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UMD\AI\as-ai\LineClass\"/>
    </mc:Choice>
  </mc:AlternateContent>
  <xr:revisionPtr revIDLastSave="0" documentId="13_ncr:9_{6F8EB393-5B3F-4A15-93DD-E88B7A8D705D}" xr6:coauthVersionLast="47" xr6:coauthVersionMax="47" xr10:uidLastSave="{00000000-0000-0000-0000-000000000000}"/>
  <bookViews>
    <workbookView xWindow="615" yWindow="1425" windowWidth="50130" windowHeight="17505" xr2:uid="{E743DC57-3E0B-40B1-BC6B-EF7851EBEC40}"/>
  </bookViews>
  <sheets>
    <sheet name="found_levels" sheetId="1" r:id="rId1"/>
    <sheet name="Sheet1" sheetId="2" r:id="rId2"/>
  </sheets>
  <definedNames>
    <definedName name="_xlnm._FilterDatabase" localSheetId="0" hidden="1">found_levels!$A$1:$R$90</definedName>
  </definedNames>
  <calcPr calcId="0" refMode="R1C1"/>
</workbook>
</file>

<file path=xl/calcChain.xml><?xml version="1.0" encoding="utf-8"?>
<calcChain xmlns="http://schemas.openxmlformats.org/spreadsheetml/2006/main">
  <c r="A3" i="2" l="1"/>
</calcChain>
</file>

<file path=xl/sharedStrings.xml><?xml version="1.0" encoding="utf-8"?>
<sst xmlns="http://schemas.openxmlformats.org/spreadsheetml/2006/main" count="386" uniqueCount="116">
  <si>
    <t>idx</t>
  </si>
  <si>
    <t>label</t>
  </si>
  <si>
    <t>J</t>
  </si>
  <si>
    <t>parity</t>
  </si>
  <si>
    <t>cfg</t>
  </si>
  <si>
    <t>E_calc</t>
  </si>
  <si>
    <t>W</t>
  </si>
  <si>
    <t>E_found</t>
  </si>
  <si>
    <t>verdict</t>
  </si>
  <si>
    <t>n_found</t>
  </si>
  <si>
    <t>ln_R</t>
  </si>
  <si>
    <t>n_match</t>
  </si>
  <si>
    <t>n_free</t>
  </si>
  <si>
    <t>dE_o_c</t>
  </si>
  <si>
    <t>cowan_lid</t>
  </si>
  <si>
    <t>unique_found</t>
  </si>
  <si>
    <t>not_found</t>
  </si>
  <si>
    <t>Note</t>
  </si>
  <si>
    <t>f5d6s~1F2F</t>
  </si>
  <si>
    <t>o</t>
  </si>
  <si>
    <t>f5d6s</t>
  </si>
  <si>
    <t>firm</t>
  </si>
  <si>
    <t>this is the position IDEN2 already holds for this row, as 059003.000646</t>
  </si>
  <si>
    <t>f5d2 ~3P4D</t>
  </si>
  <si>
    <t>f5d2</t>
  </si>
  <si>
    <t>f5d2 ~3P2F</t>
  </si>
  <si>
    <t>weak</t>
  </si>
  <si>
    <t>f5d6s~1D2D</t>
  </si>
  <si>
    <t>f5d2 ~3P2D</t>
  </si>
  <si>
    <t>this is the position IDEN2 already holds for this row, as 059003.000647</t>
  </si>
  <si>
    <t>f27p ~3F4G</t>
  </si>
  <si>
    <t>f27p</t>
  </si>
  <si>
    <t>f5d6s~3D4D</t>
  </si>
  <si>
    <t>f27d _3H4G</t>
  </si>
  <si>
    <t>e</t>
  </si>
  <si>
    <t>f27d</t>
  </si>
  <si>
    <t>f27d _3H4I</t>
  </si>
  <si>
    <t>this is the position IDEN2 already holds for this row, as 059003.000648</t>
  </si>
  <si>
    <t>f5d2 ~3F2D</t>
  </si>
  <si>
    <t>f27d _3H4K</t>
  </si>
  <si>
    <t>this is the position IDEN2 already holds for this row, as 059003.000649</t>
  </si>
  <si>
    <t>f27p ~3F2G</t>
  </si>
  <si>
    <t>f5d2 ~3P4F</t>
  </si>
  <si>
    <t>f28s _3H4H</t>
  </si>
  <si>
    <t>f28s</t>
  </si>
  <si>
    <t>fd6p _1H2I</t>
  </si>
  <si>
    <t>fd6p</t>
  </si>
  <si>
    <t>f5d6s~3H4H</t>
  </si>
  <si>
    <t>f27d _3H2I</t>
  </si>
  <si>
    <t>f28s _3F2F</t>
  </si>
  <si>
    <t>no support</t>
  </si>
  <si>
    <t>f27p ~3F4F</t>
  </si>
  <si>
    <t>5d3  _4F4F</t>
  </si>
  <si>
    <t>5d3</t>
  </si>
  <si>
    <t>fd6p _1G2H</t>
  </si>
  <si>
    <t>this is the position IDEN2 already holds for this row, as 059003.000650</t>
  </si>
  <si>
    <t>f27d _3H2G</t>
  </si>
  <si>
    <t>f27d _3H4H</t>
  </si>
  <si>
    <t>duplicate with row 518 (J 2.5), 0.000 cm^-1 away; duplicate with the position IDEN2 holds for row 518 (J 2.5), as 059003.000652, 0.002 cm^-1 away</t>
  </si>
  <si>
    <t>f26d _3F2F</t>
  </si>
  <si>
    <t>f26d</t>
  </si>
  <si>
    <t>f25f ~1G2D</t>
  </si>
  <si>
    <t>f25f</t>
  </si>
  <si>
    <t>f5d2 ~1G2D</t>
  </si>
  <si>
    <t>duplicate with row 316 (J 3.5), 0.024 cm^-1 away</t>
  </si>
  <si>
    <t>this is the position IDEN2 already holds for this row, as 059003.000651</t>
  </si>
  <si>
    <t>f5d6s~3F4F</t>
  </si>
  <si>
    <t>duplicate with row 446 (J 7.5), 0.000 cm^-1 away</t>
  </si>
  <si>
    <t>f27d _3H2F</t>
  </si>
  <si>
    <t>duplicate with row 392 (J 3.5), 0.000 cm^-1 away</t>
  </si>
  <si>
    <t>f26d _3F4G</t>
  </si>
  <si>
    <t>f27d _3F2H</t>
  </si>
  <si>
    <t>f27d _3F4G</t>
  </si>
  <si>
    <t>duplicate with row 447 (J 6.5), 0.000 cm^-1 away</t>
  </si>
  <si>
    <t>fd6p _1H2H</t>
  </si>
  <si>
    <t>fd6p _3H4I</t>
  </si>
  <si>
    <t>f27d _3H4F</t>
  </si>
  <si>
    <t>duplicate with row 406 (J 4.5), 0.000 cm^-1 away</t>
  </si>
  <si>
    <t>fd6p _1H2G</t>
  </si>
  <si>
    <t>duplicate with row 315 (J 3.5), 0.024 cm^-1 away</t>
  </si>
  <si>
    <t>duplicate with row 421 (J 4.5), 0.000 cm^-1 away</t>
  </si>
  <si>
    <t>duplicate with row 389 (J 3.5), 0.000 cm^-1 away</t>
  </si>
  <si>
    <t>f26d _1G2F</t>
  </si>
  <si>
    <t>f26f ~3H2G</t>
  </si>
  <si>
    <t>f26f</t>
  </si>
  <si>
    <t>f25g _3H4H</t>
  </si>
  <si>
    <t>f25g</t>
  </si>
  <si>
    <t>duplicate with the position IDEN2 holds for row 337 (J 3.5), as 059003.000600, 0.005 cm^-1 away</t>
  </si>
  <si>
    <t>duplicate with row 521 (J 3.5), 0.000 cm^-1 away; this is the position IDEN2 already holds for this row, as 059003.000652</t>
  </si>
  <si>
    <t>f28s _1G2G</t>
  </si>
  <si>
    <t>f27d _3H2K</t>
  </si>
  <si>
    <t>f27p ~1G2H</t>
  </si>
  <si>
    <t>f28s _3F4F</t>
  </si>
  <si>
    <t>f25f ~3F4P</t>
  </si>
  <si>
    <t>f27p ~3F4D</t>
  </si>
  <si>
    <t>fd6p _3G2H</t>
  </si>
  <si>
    <t>f27d _3F2G</t>
  </si>
  <si>
    <t>duplicate with row 319 (J 5.5), 0.000 cm^-1 away; duplicate with row 321 (J 3.5), 0.020 cm^-1 away</t>
  </si>
  <si>
    <t>f5d2 ~3F4P</t>
  </si>
  <si>
    <t>this is the position IDEN2 already holds for this row, as 059003.000653</t>
  </si>
  <si>
    <t>f26d _3F2D</t>
  </si>
  <si>
    <t>f26d _1G2H</t>
  </si>
  <si>
    <t>f27d _3F2F</t>
  </si>
  <si>
    <t>f27d _3F4D</t>
  </si>
  <si>
    <t>duplicate with row 319 (J 5.5), 0.020 cm^-1 away; duplicate with row 317 (J 4.5), 0.020 cm^-1 away</t>
  </si>
  <si>
    <t>f5d6s~3D2D</t>
  </si>
  <si>
    <t>f27d _1G2H</t>
  </si>
  <si>
    <t>f27d _3F4H</t>
  </si>
  <si>
    <t>f25g _3F4F</t>
  </si>
  <si>
    <t>f25f ~3P4G</t>
  </si>
  <si>
    <t>f25g _3F4G</t>
  </si>
  <si>
    <t>f25g _3F4I</t>
  </si>
  <si>
    <t>f25g _3F2I</t>
  </si>
  <si>
    <t>Accepted!</t>
  </si>
  <si>
    <t>Too large dE_o_c; Accepted!</t>
  </si>
  <si>
    <t>duplicate with row 317 (J 4.5), 0.000 cm^-1 away; duplicate with row 321 (J 3.5), 0.020 cm^-1 away; accepted.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</si>
</sst>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B52F-37E9-4757-BFB2-50AE26839FFD}">
  <sheetPr filterMode="1"/>
  <dimension ref="A1:R90"/>
  <sheetViews>
    <sheetView tabSelected="1" workbookViewId="0">
      <pane ySplit="1" topLeftCell="A2" activePane="bottomLeft" state="frozen"/>
      <selection pane="bottomLeft" activeCell="R41" sqref="R41"/>
    </sheetView>
  </sheetViews>
  <sheetFormatPr defaultRowHeight="15" x14ac:dyDescent="0.25"/>
  <cols>
    <col min="1" max="1" width="5.85546875" bestFit="1" customWidth="1"/>
    <col min="2" max="2" width="11.28515625" bestFit="1" customWidth="1"/>
    <col min="3" max="3" width="4" bestFit="1" customWidth="1"/>
    <col min="4" max="4" width="8.28515625" bestFit="1" customWidth="1"/>
    <col min="5" max="5" width="5.85546875" bestFit="1" customWidth="1"/>
    <col min="6" max="6" width="9" bestFit="1" customWidth="1"/>
    <col min="7" max="7" width="6" bestFit="1" customWidth="1"/>
    <col min="8" max="8" width="11" bestFit="1" customWidth="1"/>
    <col min="9" max="9" width="10.5703125" bestFit="1" customWidth="1"/>
    <col min="10" max="10" width="10.42578125" bestFit="1" customWidth="1"/>
    <col min="11" max="11" width="7" bestFit="1" customWidth="1"/>
    <col min="12" max="12" width="10.85546875" bestFit="1" customWidth="1"/>
    <col min="13" max="13" width="8.5703125" bestFit="1" customWidth="1"/>
    <col min="14" max="14" width="9.7109375" bestFit="1" customWidth="1"/>
    <col min="15" max="15" width="12.28515625" bestFit="1" customWidth="1"/>
    <col min="16" max="16" width="15.5703125" bestFit="1" customWidth="1"/>
    <col min="17" max="17" width="12.140625" bestFit="1" customWidth="1"/>
    <col min="18" max="18" width="130.57031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906</v>
      </c>
      <c r="B2" t="s">
        <v>18</v>
      </c>
      <c r="C2">
        <v>2.5</v>
      </c>
      <c r="D2" t="s">
        <v>19</v>
      </c>
      <c r="E2" t="s">
        <v>20</v>
      </c>
      <c r="F2">
        <v>94239.8</v>
      </c>
      <c r="G2">
        <v>215.8</v>
      </c>
      <c r="H2">
        <v>94876.468999999997</v>
      </c>
      <c r="I2" t="s">
        <v>21</v>
      </c>
      <c r="J2">
        <v>1</v>
      </c>
      <c r="K2">
        <v>8.15</v>
      </c>
      <c r="L2">
        <v>10</v>
      </c>
      <c r="M2">
        <v>8</v>
      </c>
      <c r="N2">
        <v>636.66899999999998</v>
      </c>
      <c r="O2">
        <v>217</v>
      </c>
      <c r="P2" t="b">
        <v>1</v>
      </c>
      <c r="Q2" t="b">
        <v>0</v>
      </c>
      <c r="R2" t="s">
        <v>22</v>
      </c>
    </row>
    <row r="3" spans="1:18" hidden="1" x14ac:dyDescent="0.25">
      <c r="A3">
        <v>986</v>
      </c>
      <c r="B3" t="s">
        <v>23</v>
      </c>
      <c r="C3">
        <v>1.5</v>
      </c>
      <c r="D3" t="s">
        <v>19</v>
      </c>
      <c r="E3" t="s">
        <v>24</v>
      </c>
      <c r="F3">
        <v>75159.899999999994</v>
      </c>
      <c r="G3">
        <v>210.4</v>
      </c>
      <c r="J3">
        <v>0</v>
      </c>
      <c r="O3">
        <v>138</v>
      </c>
      <c r="P3" t="b">
        <v>0</v>
      </c>
      <c r="Q3" t="b">
        <v>1</v>
      </c>
    </row>
    <row r="4" spans="1:18" hidden="1" x14ac:dyDescent="0.25">
      <c r="A4">
        <v>951</v>
      </c>
      <c r="B4" t="s">
        <v>25</v>
      </c>
      <c r="C4">
        <v>2.5</v>
      </c>
      <c r="D4" t="s">
        <v>19</v>
      </c>
      <c r="E4" t="s">
        <v>24</v>
      </c>
      <c r="F4">
        <v>83140.800000000003</v>
      </c>
      <c r="G4">
        <v>210.4</v>
      </c>
      <c r="H4">
        <v>82633.520999999993</v>
      </c>
      <c r="I4" t="s">
        <v>26</v>
      </c>
      <c r="J4">
        <v>1</v>
      </c>
      <c r="K4">
        <v>1.1479999999999999</v>
      </c>
      <c r="L4">
        <v>4</v>
      </c>
      <c r="M4">
        <v>4</v>
      </c>
      <c r="N4">
        <v>-507.279</v>
      </c>
      <c r="O4">
        <v>172</v>
      </c>
      <c r="P4" t="b">
        <v>0</v>
      </c>
      <c r="Q4" t="b">
        <v>0</v>
      </c>
    </row>
    <row r="5" spans="1:18" x14ac:dyDescent="0.25">
      <c r="A5">
        <v>924</v>
      </c>
      <c r="B5" t="s">
        <v>27</v>
      </c>
      <c r="C5">
        <v>2.5</v>
      </c>
      <c r="D5" t="s">
        <v>19</v>
      </c>
      <c r="E5" t="s">
        <v>20</v>
      </c>
      <c r="F5">
        <v>88538.4</v>
      </c>
      <c r="G5">
        <v>215.8</v>
      </c>
      <c r="H5">
        <v>87829.748999999996</v>
      </c>
      <c r="I5" t="s">
        <v>21</v>
      </c>
      <c r="J5">
        <v>1</v>
      </c>
      <c r="K5">
        <v>12.101000000000001</v>
      </c>
      <c r="L5">
        <v>7</v>
      </c>
      <c r="M5">
        <v>7</v>
      </c>
      <c r="N5">
        <v>-708.65099999999995</v>
      </c>
      <c r="O5">
        <v>199</v>
      </c>
      <c r="P5" t="b">
        <v>1</v>
      </c>
      <c r="Q5" t="b">
        <v>0</v>
      </c>
      <c r="R5" s="2" t="s">
        <v>114</v>
      </c>
    </row>
    <row r="6" spans="1:18" x14ac:dyDescent="0.25">
      <c r="A6">
        <v>998</v>
      </c>
      <c r="B6" t="s">
        <v>28</v>
      </c>
      <c r="C6">
        <v>1.5</v>
      </c>
      <c r="D6" t="s">
        <v>19</v>
      </c>
      <c r="E6" t="s">
        <v>24</v>
      </c>
      <c r="F6">
        <v>72363.600000000006</v>
      </c>
      <c r="G6">
        <v>210.4</v>
      </c>
      <c r="H6">
        <v>71767.221000000005</v>
      </c>
      <c r="I6" t="s">
        <v>21</v>
      </c>
      <c r="J6">
        <v>1</v>
      </c>
      <c r="K6">
        <v>9.4339999999999993</v>
      </c>
      <c r="L6">
        <v>6</v>
      </c>
      <c r="M6">
        <v>6</v>
      </c>
      <c r="N6">
        <v>-596.37900000000002</v>
      </c>
      <c r="O6">
        <v>126</v>
      </c>
      <c r="P6" t="b">
        <v>1</v>
      </c>
      <c r="Q6" t="b">
        <v>0</v>
      </c>
      <c r="R6" t="s">
        <v>29</v>
      </c>
    </row>
    <row r="7" spans="1:18" hidden="1" x14ac:dyDescent="0.25">
      <c r="A7">
        <v>691</v>
      </c>
      <c r="B7" t="s">
        <v>30</v>
      </c>
      <c r="C7">
        <v>4.5</v>
      </c>
      <c r="D7" t="s">
        <v>19</v>
      </c>
      <c r="E7" t="s">
        <v>31</v>
      </c>
      <c r="F7">
        <v>118596.3</v>
      </c>
      <c r="G7">
        <v>42.3</v>
      </c>
      <c r="J7">
        <v>0</v>
      </c>
      <c r="O7">
        <v>332</v>
      </c>
      <c r="P7" t="b">
        <v>0</v>
      </c>
      <c r="Q7" t="b">
        <v>1</v>
      </c>
    </row>
    <row r="8" spans="1:18" hidden="1" x14ac:dyDescent="0.25">
      <c r="A8">
        <v>919</v>
      </c>
      <c r="B8" t="s">
        <v>32</v>
      </c>
      <c r="C8">
        <v>2.5</v>
      </c>
      <c r="D8" t="s">
        <v>19</v>
      </c>
      <c r="E8" t="s">
        <v>20</v>
      </c>
      <c r="F8">
        <v>90091.7</v>
      </c>
      <c r="G8">
        <v>215.8</v>
      </c>
      <c r="H8">
        <v>90050.028999999995</v>
      </c>
      <c r="I8" t="s">
        <v>26</v>
      </c>
      <c r="J8">
        <v>1</v>
      </c>
      <c r="K8">
        <v>2.6</v>
      </c>
      <c r="L8">
        <v>7</v>
      </c>
      <c r="M8">
        <v>4</v>
      </c>
      <c r="N8">
        <v>-41.670999999999999</v>
      </c>
      <c r="O8">
        <v>204</v>
      </c>
      <c r="P8" t="b">
        <v>0</v>
      </c>
      <c r="Q8" t="b">
        <v>0</v>
      </c>
    </row>
    <row r="9" spans="1:18" hidden="1" x14ac:dyDescent="0.25">
      <c r="A9">
        <v>513</v>
      </c>
      <c r="B9" t="s">
        <v>33</v>
      </c>
      <c r="C9">
        <v>3.5</v>
      </c>
      <c r="D9" t="s">
        <v>34</v>
      </c>
      <c r="E9" t="s">
        <v>35</v>
      </c>
      <c r="F9">
        <v>130272.1</v>
      </c>
      <c r="G9">
        <v>91.5</v>
      </c>
      <c r="H9">
        <v>130096.086</v>
      </c>
      <c r="I9" t="s">
        <v>26</v>
      </c>
      <c r="J9">
        <v>2</v>
      </c>
      <c r="K9">
        <v>3.5009999999999999</v>
      </c>
      <c r="L9">
        <v>6</v>
      </c>
      <c r="M9">
        <v>5</v>
      </c>
      <c r="N9">
        <v>-176.01400000000001</v>
      </c>
      <c r="O9">
        <v>2205</v>
      </c>
      <c r="P9" t="b">
        <v>0</v>
      </c>
      <c r="Q9" t="b">
        <v>0</v>
      </c>
    </row>
    <row r="10" spans="1:18" x14ac:dyDescent="0.25">
      <c r="A10">
        <v>499</v>
      </c>
      <c r="B10" t="s">
        <v>36</v>
      </c>
      <c r="C10">
        <v>5.5</v>
      </c>
      <c r="D10" t="s">
        <v>34</v>
      </c>
      <c r="E10" t="s">
        <v>35</v>
      </c>
      <c r="F10">
        <v>131826.4</v>
      </c>
      <c r="G10">
        <v>91.5</v>
      </c>
      <c r="H10">
        <v>131665.06599999999</v>
      </c>
      <c r="I10" t="s">
        <v>21</v>
      </c>
      <c r="J10">
        <v>2</v>
      </c>
      <c r="K10">
        <v>4.4109999999999996</v>
      </c>
      <c r="L10">
        <v>5</v>
      </c>
      <c r="M10">
        <v>5</v>
      </c>
      <c r="N10">
        <v>-161.334</v>
      </c>
      <c r="O10">
        <v>2216</v>
      </c>
      <c r="P10" t="b">
        <v>0</v>
      </c>
      <c r="Q10" t="b">
        <v>0</v>
      </c>
      <c r="R10" t="s">
        <v>37</v>
      </c>
    </row>
    <row r="11" spans="1:18" hidden="1" x14ac:dyDescent="0.25">
      <c r="A11">
        <v>994</v>
      </c>
      <c r="B11" t="s">
        <v>38</v>
      </c>
      <c r="C11">
        <v>1.5</v>
      </c>
      <c r="D11" t="s">
        <v>19</v>
      </c>
      <c r="E11" t="s">
        <v>24</v>
      </c>
      <c r="F11">
        <v>73369.899999999994</v>
      </c>
      <c r="G11">
        <v>210.4</v>
      </c>
      <c r="J11">
        <v>0</v>
      </c>
      <c r="O11">
        <v>130</v>
      </c>
      <c r="P11" t="b">
        <v>0</v>
      </c>
      <c r="Q11" t="b">
        <v>1</v>
      </c>
    </row>
    <row r="12" spans="1:18" hidden="1" x14ac:dyDescent="0.25">
      <c r="A12">
        <v>491</v>
      </c>
      <c r="B12" t="s">
        <v>33</v>
      </c>
      <c r="C12">
        <v>4.5</v>
      </c>
      <c r="D12" t="s">
        <v>34</v>
      </c>
      <c r="E12" t="s">
        <v>35</v>
      </c>
      <c r="F12">
        <v>132226.20000000001</v>
      </c>
      <c r="G12">
        <v>91.5</v>
      </c>
      <c r="J12">
        <v>0</v>
      </c>
      <c r="O12">
        <v>2224</v>
      </c>
      <c r="P12" t="b">
        <v>0</v>
      </c>
      <c r="Q12" t="b">
        <v>1</v>
      </c>
    </row>
    <row r="13" spans="1:18" x14ac:dyDescent="0.25">
      <c r="A13">
        <v>522</v>
      </c>
      <c r="B13" t="s">
        <v>39</v>
      </c>
      <c r="C13">
        <v>5.5</v>
      </c>
      <c r="D13" t="s">
        <v>34</v>
      </c>
      <c r="E13" t="s">
        <v>35</v>
      </c>
      <c r="F13">
        <v>129628.2</v>
      </c>
      <c r="G13">
        <v>91.5</v>
      </c>
      <c r="H13">
        <v>129498.086</v>
      </c>
      <c r="I13" t="s">
        <v>21</v>
      </c>
      <c r="J13">
        <v>2</v>
      </c>
      <c r="K13">
        <v>8.484</v>
      </c>
      <c r="L13">
        <v>4</v>
      </c>
      <c r="M13">
        <v>4</v>
      </c>
      <c r="N13">
        <v>-130.114</v>
      </c>
      <c r="O13">
        <v>2197</v>
      </c>
      <c r="P13" t="b">
        <v>0</v>
      </c>
      <c r="Q13" t="b">
        <v>0</v>
      </c>
      <c r="R13" t="s">
        <v>40</v>
      </c>
    </row>
    <row r="14" spans="1:18" hidden="1" x14ac:dyDescent="0.25">
      <c r="A14">
        <v>705</v>
      </c>
      <c r="B14" t="s">
        <v>41</v>
      </c>
      <c r="C14">
        <v>3.5</v>
      </c>
      <c r="D14" t="s">
        <v>19</v>
      </c>
      <c r="E14" t="s">
        <v>31</v>
      </c>
      <c r="F14">
        <v>118086.9</v>
      </c>
      <c r="G14">
        <v>42.3</v>
      </c>
      <c r="J14">
        <v>0</v>
      </c>
      <c r="O14">
        <v>324</v>
      </c>
      <c r="P14" t="b">
        <v>0</v>
      </c>
      <c r="Q14" t="b">
        <v>1</v>
      </c>
    </row>
    <row r="15" spans="1:18" hidden="1" x14ac:dyDescent="0.25">
      <c r="A15">
        <v>987</v>
      </c>
      <c r="B15" t="s">
        <v>42</v>
      </c>
      <c r="C15">
        <v>2.5</v>
      </c>
      <c r="D15" t="s">
        <v>19</v>
      </c>
      <c r="E15" t="s">
        <v>24</v>
      </c>
      <c r="F15">
        <v>74670.600000000006</v>
      </c>
      <c r="G15">
        <v>210.4</v>
      </c>
      <c r="H15">
        <v>74456.620999999999</v>
      </c>
      <c r="I15" t="s">
        <v>26</v>
      </c>
      <c r="J15">
        <v>1</v>
      </c>
      <c r="K15">
        <v>1.57</v>
      </c>
      <c r="L15">
        <v>6</v>
      </c>
      <c r="M15">
        <v>4</v>
      </c>
      <c r="N15">
        <v>-213.97900000000001</v>
      </c>
      <c r="O15">
        <v>137</v>
      </c>
      <c r="P15" t="b">
        <v>0</v>
      </c>
      <c r="Q15" t="b">
        <v>0</v>
      </c>
    </row>
    <row r="16" spans="1:18" hidden="1" x14ac:dyDescent="0.25">
      <c r="A16">
        <v>501</v>
      </c>
      <c r="B16" t="s">
        <v>43</v>
      </c>
      <c r="C16">
        <v>5.5</v>
      </c>
      <c r="D16" t="s">
        <v>34</v>
      </c>
      <c r="E16" t="s">
        <v>44</v>
      </c>
      <c r="F16">
        <v>131319.4</v>
      </c>
      <c r="G16">
        <v>79.599999999999994</v>
      </c>
      <c r="J16">
        <v>0</v>
      </c>
      <c r="O16">
        <v>2214</v>
      </c>
      <c r="P16" t="b">
        <v>0</v>
      </c>
      <c r="Q16" t="b">
        <v>1</v>
      </c>
    </row>
    <row r="17" spans="1:18" hidden="1" x14ac:dyDescent="0.25">
      <c r="A17">
        <v>675</v>
      </c>
      <c r="B17" t="s">
        <v>30</v>
      </c>
      <c r="C17">
        <v>4.5</v>
      </c>
      <c r="D17" t="s">
        <v>19</v>
      </c>
      <c r="E17" t="s">
        <v>31</v>
      </c>
      <c r="F17">
        <v>119248.3</v>
      </c>
      <c r="G17">
        <v>42.3</v>
      </c>
      <c r="J17">
        <v>0</v>
      </c>
      <c r="O17">
        <v>340</v>
      </c>
      <c r="P17" t="b">
        <v>0</v>
      </c>
      <c r="Q17" t="b">
        <v>1</v>
      </c>
    </row>
    <row r="18" spans="1:18" hidden="1" x14ac:dyDescent="0.25">
      <c r="A18">
        <v>442</v>
      </c>
      <c r="B18" t="s">
        <v>45</v>
      </c>
      <c r="C18">
        <v>5.5</v>
      </c>
      <c r="D18" t="s">
        <v>34</v>
      </c>
      <c r="E18" t="s">
        <v>46</v>
      </c>
      <c r="F18">
        <v>134118.1</v>
      </c>
      <c r="G18">
        <v>404.2</v>
      </c>
      <c r="H18">
        <v>133790.144</v>
      </c>
      <c r="I18" t="s">
        <v>26</v>
      </c>
      <c r="J18">
        <v>4</v>
      </c>
      <c r="K18">
        <v>2.5630000000000002</v>
      </c>
      <c r="L18">
        <v>5</v>
      </c>
      <c r="M18">
        <v>4</v>
      </c>
      <c r="N18">
        <v>-327.95600000000002</v>
      </c>
      <c r="O18">
        <v>2238</v>
      </c>
      <c r="P18" t="b">
        <v>0</v>
      </c>
      <c r="Q18" t="b">
        <v>0</v>
      </c>
    </row>
    <row r="19" spans="1:18" hidden="1" x14ac:dyDescent="0.25">
      <c r="A19">
        <v>932</v>
      </c>
      <c r="B19" t="s">
        <v>47</v>
      </c>
      <c r="C19">
        <v>3.5</v>
      </c>
      <c r="D19" t="s">
        <v>19</v>
      </c>
      <c r="E19" t="s">
        <v>20</v>
      </c>
      <c r="F19">
        <v>86015.9</v>
      </c>
      <c r="G19">
        <v>215.8</v>
      </c>
      <c r="J19">
        <v>0</v>
      </c>
      <c r="O19">
        <v>191</v>
      </c>
      <c r="P19" t="b">
        <v>0</v>
      </c>
      <c r="Q19" t="b">
        <v>1</v>
      </c>
    </row>
    <row r="20" spans="1:18" hidden="1" x14ac:dyDescent="0.25">
      <c r="A20">
        <v>439</v>
      </c>
      <c r="B20" t="s">
        <v>48</v>
      </c>
      <c r="C20">
        <v>6.5</v>
      </c>
      <c r="D20" t="s">
        <v>34</v>
      </c>
      <c r="E20" t="s">
        <v>35</v>
      </c>
      <c r="F20">
        <v>134204.5</v>
      </c>
      <c r="G20">
        <v>91.5</v>
      </c>
      <c r="H20">
        <v>134061.18599999999</v>
      </c>
      <c r="I20" t="s">
        <v>26</v>
      </c>
      <c r="J20">
        <v>3</v>
      </c>
      <c r="K20">
        <v>1.9390000000000001</v>
      </c>
      <c r="L20">
        <v>6</v>
      </c>
      <c r="M20">
        <v>3</v>
      </c>
      <c r="N20">
        <v>-143.31399999999999</v>
      </c>
      <c r="O20">
        <v>2241</v>
      </c>
      <c r="P20" t="b">
        <v>0</v>
      </c>
      <c r="Q20" t="b">
        <v>0</v>
      </c>
    </row>
    <row r="21" spans="1:18" hidden="1" x14ac:dyDescent="0.25">
      <c r="A21">
        <v>372</v>
      </c>
      <c r="B21" t="s">
        <v>49</v>
      </c>
      <c r="C21">
        <v>3.5</v>
      </c>
      <c r="D21" t="s">
        <v>34</v>
      </c>
      <c r="E21" t="s">
        <v>44</v>
      </c>
      <c r="F21">
        <v>136082.5</v>
      </c>
      <c r="G21">
        <v>79.599999999999994</v>
      </c>
      <c r="H21">
        <v>136251.15100000001</v>
      </c>
      <c r="I21" t="s">
        <v>50</v>
      </c>
      <c r="J21">
        <v>1</v>
      </c>
      <c r="K21">
        <v>2.5000000000000001E-2</v>
      </c>
      <c r="L21">
        <v>4</v>
      </c>
      <c r="M21">
        <v>1</v>
      </c>
      <c r="N21">
        <v>168.65100000000001</v>
      </c>
      <c r="O21">
        <v>2281</v>
      </c>
      <c r="P21" t="b">
        <v>0</v>
      </c>
      <c r="Q21" t="b">
        <v>0</v>
      </c>
    </row>
    <row r="22" spans="1:18" hidden="1" x14ac:dyDescent="0.25">
      <c r="A22">
        <v>710</v>
      </c>
      <c r="B22" t="s">
        <v>51</v>
      </c>
      <c r="C22">
        <v>2.5</v>
      </c>
      <c r="D22" t="s">
        <v>19</v>
      </c>
      <c r="E22" t="s">
        <v>31</v>
      </c>
      <c r="F22">
        <v>117972.7</v>
      </c>
      <c r="G22">
        <v>42.3</v>
      </c>
      <c r="H22">
        <v>117947.711</v>
      </c>
      <c r="I22" t="s">
        <v>26</v>
      </c>
      <c r="J22">
        <v>1</v>
      </c>
      <c r="K22">
        <v>0.106</v>
      </c>
      <c r="L22">
        <v>6</v>
      </c>
      <c r="M22">
        <v>2</v>
      </c>
      <c r="N22">
        <v>-24.989000000000001</v>
      </c>
      <c r="O22">
        <v>320</v>
      </c>
      <c r="P22" t="b">
        <v>0</v>
      </c>
      <c r="Q22" t="b">
        <v>0</v>
      </c>
    </row>
    <row r="23" spans="1:18" hidden="1" x14ac:dyDescent="0.25">
      <c r="A23">
        <v>375</v>
      </c>
      <c r="B23" t="s">
        <v>52</v>
      </c>
      <c r="C23">
        <v>2.5</v>
      </c>
      <c r="D23" t="s">
        <v>34</v>
      </c>
      <c r="E23" t="s">
        <v>53</v>
      </c>
      <c r="F23">
        <v>135976.6</v>
      </c>
      <c r="G23">
        <v>134</v>
      </c>
      <c r="J23">
        <v>0</v>
      </c>
      <c r="O23">
        <v>2279</v>
      </c>
      <c r="P23" t="b">
        <v>0</v>
      </c>
      <c r="Q23" t="b">
        <v>1</v>
      </c>
    </row>
    <row r="24" spans="1:18" x14ac:dyDescent="0.25">
      <c r="A24">
        <v>672</v>
      </c>
      <c r="B24" t="s">
        <v>54</v>
      </c>
      <c r="C24">
        <v>5.5</v>
      </c>
      <c r="D24" t="s">
        <v>34</v>
      </c>
      <c r="E24" t="s">
        <v>46</v>
      </c>
      <c r="F24">
        <v>119339.6</v>
      </c>
      <c r="G24">
        <v>404.2</v>
      </c>
      <c r="H24">
        <v>119552.40399999999</v>
      </c>
      <c r="I24" t="s">
        <v>21</v>
      </c>
      <c r="J24">
        <v>1</v>
      </c>
      <c r="K24">
        <v>11.125999999999999</v>
      </c>
      <c r="L24">
        <v>7</v>
      </c>
      <c r="M24">
        <v>6</v>
      </c>
      <c r="N24">
        <v>212.804</v>
      </c>
      <c r="O24">
        <v>2085</v>
      </c>
      <c r="P24" t="b">
        <v>1</v>
      </c>
      <c r="Q24" t="b">
        <v>0</v>
      </c>
      <c r="R24" t="s">
        <v>55</v>
      </c>
    </row>
    <row r="25" spans="1:18" hidden="1" x14ac:dyDescent="0.25">
      <c r="A25">
        <v>488</v>
      </c>
      <c r="B25" t="s">
        <v>56</v>
      </c>
      <c r="C25">
        <v>3.5</v>
      </c>
      <c r="D25" t="s">
        <v>34</v>
      </c>
      <c r="E25" t="s">
        <v>35</v>
      </c>
      <c r="F25">
        <v>132460.5</v>
      </c>
      <c r="G25">
        <v>91.5</v>
      </c>
      <c r="H25">
        <v>132507.606</v>
      </c>
      <c r="I25" t="s">
        <v>26</v>
      </c>
      <c r="J25">
        <v>2</v>
      </c>
      <c r="K25">
        <v>2.1349999999999998</v>
      </c>
      <c r="L25">
        <v>4</v>
      </c>
      <c r="M25">
        <v>4</v>
      </c>
      <c r="N25">
        <v>47.106000000000002</v>
      </c>
      <c r="O25">
        <v>2226</v>
      </c>
      <c r="P25" t="b">
        <v>0</v>
      </c>
      <c r="Q25" t="b">
        <v>0</v>
      </c>
    </row>
    <row r="26" spans="1:18" hidden="1" x14ac:dyDescent="0.25">
      <c r="A26">
        <v>521</v>
      </c>
      <c r="B26" t="s">
        <v>57</v>
      </c>
      <c r="C26">
        <v>3.5</v>
      </c>
      <c r="D26" t="s">
        <v>34</v>
      </c>
      <c r="E26" t="s">
        <v>35</v>
      </c>
      <c r="F26">
        <v>129738.7</v>
      </c>
      <c r="G26">
        <v>91.5</v>
      </c>
      <c r="H26">
        <v>129877.14599999999</v>
      </c>
      <c r="I26" t="s">
        <v>26</v>
      </c>
      <c r="J26">
        <v>4</v>
      </c>
      <c r="K26">
        <v>5.6580000000000004</v>
      </c>
      <c r="L26">
        <v>4</v>
      </c>
      <c r="M26">
        <v>4</v>
      </c>
      <c r="N26">
        <v>138.446</v>
      </c>
      <c r="O26">
        <v>2198</v>
      </c>
      <c r="P26" t="b">
        <v>0</v>
      </c>
      <c r="Q26" t="b">
        <v>0</v>
      </c>
      <c r="R26" t="s">
        <v>58</v>
      </c>
    </row>
    <row r="27" spans="1:18" hidden="1" x14ac:dyDescent="0.25">
      <c r="A27">
        <v>825</v>
      </c>
      <c r="B27" t="s">
        <v>59</v>
      </c>
      <c r="C27">
        <v>3.5</v>
      </c>
      <c r="D27" t="s">
        <v>34</v>
      </c>
      <c r="E27" t="s">
        <v>60</v>
      </c>
      <c r="F27">
        <v>108201.7</v>
      </c>
      <c r="G27">
        <v>60.4</v>
      </c>
      <c r="J27">
        <v>0</v>
      </c>
      <c r="O27">
        <v>2043</v>
      </c>
      <c r="P27" t="b">
        <v>0</v>
      </c>
      <c r="Q27" t="b">
        <v>1</v>
      </c>
    </row>
    <row r="28" spans="1:18" hidden="1" x14ac:dyDescent="0.25">
      <c r="A28">
        <v>632</v>
      </c>
      <c r="B28" t="s">
        <v>61</v>
      </c>
      <c r="C28">
        <v>2.5</v>
      </c>
      <c r="D28" t="s">
        <v>19</v>
      </c>
      <c r="E28" t="s">
        <v>62</v>
      </c>
      <c r="F28">
        <v>121757.4</v>
      </c>
      <c r="G28">
        <v>106.1</v>
      </c>
      <c r="J28">
        <v>0</v>
      </c>
      <c r="O28">
        <v>361</v>
      </c>
      <c r="P28" t="b">
        <v>0</v>
      </c>
      <c r="Q28" t="b">
        <v>1</v>
      </c>
    </row>
    <row r="29" spans="1:18" x14ac:dyDescent="0.25">
      <c r="A29">
        <v>944</v>
      </c>
      <c r="B29" t="s">
        <v>63</v>
      </c>
      <c r="C29">
        <v>2.5</v>
      </c>
      <c r="D29" t="s">
        <v>19</v>
      </c>
      <c r="E29" t="s">
        <v>24</v>
      </c>
      <c r="F29">
        <v>84315.7</v>
      </c>
      <c r="G29">
        <v>210.4</v>
      </c>
      <c r="H29">
        <v>84588.600999999995</v>
      </c>
      <c r="I29" t="s">
        <v>21</v>
      </c>
      <c r="J29">
        <v>3</v>
      </c>
      <c r="K29">
        <v>17.791</v>
      </c>
      <c r="L29">
        <v>8</v>
      </c>
      <c r="M29">
        <v>7</v>
      </c>
      <c r="N29">
        <v>272.90100000000001</v>
      </c>
      <c r="O29">
        <v>179</v>
      </c>
      <c r="P29" t="b">
        <v>0</v>
      </c>
      <c r="Q29" t="b">
        <v>0</v>
      </c>
      <c r="R29" t="s">
        <v>113</v>
      </c>
    </row>
    <row r="30" spans="1:18" hidden="1" x14ac:dyDescent="0.25">
      <c r="A30">
        <v>315</v>
      </c>
      <c r="B30" t="s">
        <v>52</v>
      </c>
      <c r="C30">
        <v>3.5</v>
      </c>
      <c r="D30" t="s">
        <v>34</v>
      </c>
      <c r="E30" t="s">
        <v>53</v>
      </c>
      <c r="F30">
        <v>137284.29999999999</v>
      </c>
      <c r="G30">
        <v>134</v>
      </c>
      <c r="H30">
        <v>137068.18799999999</v>
      </c>
      <c r="I30" t="s">
        <v>26</v>
      </c>
      <c r="J30">
        <v>1</v>
      </c>
      <c r="K30">
        <v>1.085</v>
      </c>
      <c r="L30">
        <v>6</v>
      </c>
      <c r="M30">
        <v>5</v>
      </c>
      <c r="N30">
        <v>-216.11199999999999</v>
      </c>
      <c r="O30">
        <v>2321</v>
      </c>
      <c r="P30" t="b">
        <v>0</v>
      </c>
      <c r="Q30" t="b">
        <v>0</v>
      </c>
      <c r="R30" t="s">
        <v>64</v>
      </c>
    </row>
    <row r="31" spans="1:18" hidden="1" x14ac:dyDescent="0.25">
      <c r="A31">
        <v>449</v>
      </c>
      <c r="B31" t="s">
        <v>45</v>
      </c>
      <c r="C31">
        <v>5.5</v>
      </c>
      <c r="D31" t="s">
        <v>34</v>
      </c>
      <c r="E31" t="s">
        <v>46</v>
      </c>
      <c r="F31">
        <v>133993</v>
      </c>
      <c r="G31">
        <v>404.2</v>
      </c>
      <c r="H31">
        <v>133745.96400000001</v>
      </c>
      <c r="I31" t="s">
        <v>26</v>
      </c>
      <c r="J31">
        <v>6</v>
      </c>
      <c r="K31">
        <v>1.95</v>
      </c>
      <c r="L31">
        <v>4</v>
      </c>
      <c r="M31">
        <v>4</v>
      </c>
      <c r="N31">
        <v>-247.036</v>
      </c>
      <c r="O31">
        <v>2234</v>
      </c>
      <c r="P31" t="b">
        <v>0</v>
      </c>
      <c r="Q31" t="b">
        <v>0</v>
      </c>
    </row>
    <row r="32" spans="1:18" hidden="1" x14ac:dyDescent="0.25">
      <c r="A32">
        <v>432</v>
      </c>
      <c r="B32" t="s">
        <v>33</v>
      </c>
      <c r="C32">
        <v>5.5</v>
      </c>
      <c r="D32" t="s">
        <v>34</v>
      </c>
      <c r="E32" t="s">
        <v>35</v>
      </c>
      <c r="F32">
        <v>134353.1</v>
      </c>
      <c r="G32">
        <v>91.5</v>
      </c>
      <c r="H32">
        <v>134249.12599999999</v>
      </c>
      <c r="I32" t="s">
        <v>26</v>
      </c>
      <c r="J32">
        <v>1</v>
      </c>
      <c r="K32">
        <v>1.3560000000000001</v>
      </c>
      <c r="L32">
        <v>4</v>
      </c>
      <c r="M32">
        <v>4</v>
      </c>
      <c r="N32">
        <v>-103.974</v>
      </c>
      <c r="O32">
        <v>2242</v>
      </c>
      <c r="P32" t="b">
        <v>0</v>
      </c>
      <c r="Q32" t="b">
        <v>0</v>
      </c>
    </row>
    <row r="33" spans="1:18" hidden="1" x14ac:dyDescent="0.25">
      <c r="A33">
        <v>1010</v>
      </c>
      <c r="B33" t="s">
        <v>28</v>
      </c>
      <c r="C33">
        <v>2.5</v>
      </c>
      <c r="D33" t="s">
        <v>19</v>
      </c>
      <c r="E33" t="s">
        <v>24</v>
      </c>
      <c r="F33">
        <v>70304.2</v>
      </c>
      <c r="G33">
        <v>210.4</v>
      </c>
      <c r="H33">
        <v>70490.600999999995</v>
      </c>
      <c r="I33" t="s">
        <v>26</v>
      </c>
      <c r="J33">
        <v>2</v>
      </c>
      <c r="K33">
        <v>0.17199999999999999</v>
      </c>
      <c r="L33">
        <v>4</v>
      </c>
      <c r="M33">
        <v>3</v>
      </c>
      <c r="N33">
        <v>186.40100000000001</v>
      </c>
      <c r="O33">
        <v>114</v>
      </c>
      <c r="P33" t="b">
        <v>0</v>
      </c>
      <c r="Q33" t="b">
        <v>0</v>
      </c>
    </row>
    <row r="34" spans="1:18" x14ac:dyDescent="0.25">
      <c r="A34">
        <v>523</v>
      </c>
      <c r="B34" t="s">
        <v>36</v>
      </c>
      <c r="C34">
        <v>4.5</v>
      </c>
      <c r="D34" t="s">
        <v>34</v>
      </c>
      <c r="E34" t="s">
        <v>35</v>
      </c>
      <c r="F34">
        <v>129564</v>
      </c>
      <c r="G34">
        <v>91.5</v>
      </c>
      <c r="H34">
        <v>129454.486</v>
      </c>
      <c r="I34" t="s">
        <v>21</v>
      </c>
      <c r="J34">
        <v>5</v>
      </c>
      <c r="K34">
        <v>12.888999999999999</v>
      </c>
      <c r="L34">
        <v>5</v>
      </c>
      <c r="M34">
        <v>5</v>
      </c>
      <c r="N34">
        <v>-109.514</v>
      </c>
      <c r="O34">
        <v>2196</v>
      </c>
      <c r="P34" t="b">
        <v>0</v>
      </c>
      <c r="Q34" t="b">
        <v>0</v>
      </c>
      <c r="R34" t="s">
        <v>65</v>
      </c>
    </row>
    <row r="35" spans="1:18" x14ac:dyDescent="0.25">
      <c r="A35">
        <v>937</v>
      </c>
      <c r="B35" t="s">
        <v>66</v>
      </c>
      <c r="C35">
        <v>2.5</v>
      </c>
      <c r="D35" t="s">
        <v>19</v>
      </c>
      <c r="E35" t="s">
        <v>20</v>
      </c>
      <c r="F35">
        <v>84871.5</v>
      </c>
      <c r="G35">
        <v>215.8</v>
      </c>
      <c r="H35">
        <v>84914.828999999998</v>
      </c>
      <c r="I35" t="s">
        <v>21</v>
      </c>
      <c r="J35">
        <v>2</v>
      </c>
      <c r="K35">
        <v>6.8230000000000004</v>
      </c>
      <c r="L35">
        <v>7</v>
      </c>
      <c r="M35">
        <v>5</v>
      </c>
      <c r="N35">
        <v>43.329000000000001</v>
      </c>
      <c r="O35">
        <v>186</v>
      </c>
      <c r="P35" t="b">
        <v>0</v>
      </c>
      <c r="Q35" t="b">
        <v>0</v>
      </c>
      <c r="R35" t="s">
        <v>113</v>
      </c>
    </row>
    <row r="36" spans="1:18" hidden="1" x14ac:dyDescent="0.25">
      <c r="A36">
        <v>447</v>
      </c>
      <c r="B36" t="s">
        <v>57</v>
      </c>
      <c r="C36">
        <v>6.5</v>
      </c>
      <c r="D36" t="s">
        <v>34</v>
      </c>
      <c r="E36" t="s">
        <v>35</v>
      </c>
      <c r="F36">
        <v>134001.60000000001</v>
      </c>
      <c r="G36">
        <v>91.5</v>
      </c>
      <c r="H36">
        <v>133945.386</v>
      </c>
      <c r="I36" t="s">
        <v>26</v>
      </c>
      <c r="J36">
        <v>5</v>
      </c>
      <c r="K36">
        <v>8.8019999999999996</v>
      </c>
      <c r="L36">
        <v>3</v>
      </c>
      <c r="M36">
        <v>3</v>
      </c>
      <c r="N36">
        <v>-56.213999999999999</v>
      </c>
      <c r="O36">
        <v>2235</v>
      </c>
      <c r="P36" t="b">
        <v>0</v>
      </c>
      <c r="Q36" t="b">
        <v>0</v>
      </c>
      <c r="R36" t="s">
        <v>67</v>
      </c>
    </row>
    <row r="37" spans="1:18" hidden="1" x14ac:dyDescent="0.25">
      <c r="A37">
        <v>389</v>
      </c>
      <c r="B37" t="s">
        <v>68</v>
      </c>
      <c r="C37">
        <v>3.5</v>
      </c>
      <c r="D37" t="s">
        <v>34</v>
      </c>
      <c r="E37" t="s">
        <v>35</v>
      </c>
      <c r="F37">
        <v>135213.6</v>
      </c>
      <c r="G37">
        <v>91.5</v>
      </c>
      <c r="H37">
        <v>135414.24600000001</v>
      </c>
      <c r="I37" t="s">
        <v>26</v>
      </c>
      <c r="J37">
        <v>2</v>
      </c>
      <c r="K37">
        <v>0.69499999999999995</v>
      </c>
      <c r="L37">
        <v>3</v>
      </c>
      <c r="M37">
        <v>2</v>
      </c>
      <c r="N37">
        <v>200.64599999999999</v>
      </c>
      <c r="O37">
        <v>2273</v>
      </c>
      <c r="P37" t="b">
        <v>0</v>
      </c>
      <c r="Q37" t="b">
        <v>0</v>
      </c>
      <c r="R37" t="s">
        <v>69</v>
      </c>
    </row>
    <row r="38" spans="1:18" hidden="1" x14ac:dyDescent="0.25">
      <c r="A38">
        <v>856</v>
      </c>
      <c r="B38" t="s">
        <v>70</v>
      </c>
      <c r="C38">
        <v>2.5</v>
      </c>
      <c r="D38" t="s">
        <v>34</v>
      </c>
      <c r="E38" t="s">
        <v>60</v>
      </c>
      <c r="F38">
        <v>105790.1</v>
      </c>
      <c r="G38">
        <v>60.4</v>
      </c>
      <c r="H38">
        <v>105721.304</v>
      </c>
      <c r="I38" t="s">
        <v>26</v>
      </c>
      <c r="J38">
        <v>3</v>
      </c>
      <c r="K38">
        <v>2.9169999999999998</v>
      </c>
      <c r="L38">
        <v>4</v>
      </c>
      <c r="M38">
        <v>3</v>
      </c>
      <c r="N38">
        <v>-68.796000000000006</v>
      </c>
      <c r="O38">
        <v>2013</v>
      </c>
      <c r="P38" t="b">
        <v>0</v>
      </c>
      <c r="Q38" t="b">
        <v>0</v>
      </c>
    </row>
    <row r="39" spans="1:18" x14ac:dyDescent="0.25">
      <c r="A39">
        <v>319</v>
      </c>
      <c r="B39" t="s">
        <v>71</v>
      </c>
      <c r="C39">
        <v>5.5</v>
      </c>
      <c r="D39" t="s">
        <v>34</v>
      </c>
      <c r="E39" t="s">
        <v>35</v>
      </c>
      <c r="F39">
        <v>136995</v>
      </c>
      <c r="G39">
        <v>91.5</v>
      </c>
      <c r="H39">
        <v>136902.68599999999</v>
      </c>
      <c r="I39" t="s">
        <v>21</v>
      </c>
      <c r="J39">
        <v>7</v>
      </c>
      <c r="K39" s="3">
        <v>11.345000000000001</v>
      </c>
      <c r="L39">
        <v>6</v>
      </c>
      <c r="M39">
        <v>5</v>
      </c>
      <c r="N39">
        <v>-92.313999999999993</v>
      </c>
      <c r="O39">
        <v>2317</v>
      </c>
      <c r="P39" t="b">
        <v>0</v>
      </c>
      <c r="Q39" t="b">
        <v>0</v>
      </c>
      <c r="R39" s="3" t="s">
        <v>115</v>
      </c>
    </row>
    <row r="40" spans="1:18" hidden="1" x14ac:dyDescent="0.25">
      <c r="A40">
        <v>329</v>
      </c>
      <c r="B40" t="s">
        <v>72</v>
      </c>
      <c r="C40">
        <v>5.5</v>
      </c>
      <c r="D40" t="s">
        <v>34</v>
      </c>
      <c r="E40" t="s">
        <v>35</v>
      </c>
      <c r="F40">
        <v>136692.4</v>
      </c>
      <c r="G40">
        <v>91.5</v>
      </c>
      <c r="H40">
        <v>136779.766</v>
      </c>
      <c r="I40" t="s">
        <v>26</v>
      </c>
      <c r="J40">
        <v>4</v>
      </c>
      <c r="K40">
        <v>2.1819999999999999</v>
      </c>
      <c r="L40">
        <v>4</v>
      </c>
      <c r="M40">
        <v>2</v>
      </c>
      <c r="N40">
        <v>87.366</v>
      </c>
      <c r="O40">
        <v>2309</v>
      </c>
      <c r="P40" t="b">
        <v>0</v>
      </c>
      <c r="Q40" t="b">
        <v>0</v>
      </c>
    </row>
    <row r="41" spans="1:18" x14ac:dyDescent="0.25">
      <c r="A41">
        <v>446</v>
      </c>
      <c r="B41" t="s">
        <v>36</v>
      </c>
      <c r="C41">
        <v>7.5</v>
      </c>
      <c r="D41" t="s">
        <v>34</v>
      </c>
      <c r="E41" t="s">
        <v>35</v>
      </c>
      <c r="F41">
        <v>134002</v>
      </c>
      <c r="G41">
        <v>91.5</v>
      </c>
      <c r="H41">
        <v>133945.386</v>
      </c>
      <c r="I41" t="s">
        <v>21</v>
      </c>
      <c r="J41">
        <v>9</v>
      </c>
      <c r="K41">
        <v>13.537000000000001</v>
      </c>
      <c r="L41">
        <v>4</v>
      </c>
      <c r="M41">
        <v>4</v>
      </c>
      <c r="N41">
        <v>-56.613999999999997</v>
      </c>
      <c r="O41">
        <v>2236</v>
      </c>
      <c r="P41" t="b">
        <v>0</v>
      </c>
      <c r="Q41" t="b">
        <v>0</v>
      </c>
      <c r="R41" s="1" t="s">
        <v>73</v>
      </c>
    </row>
    <row r="42" spans="1:18" x14ac:dyDescent="0.25">
      <c r="A42">
        <v>500</v>
      </c>
      <c r="B42" t="s">
        <v>74</v>
      </c>
      <c r="C42">
        <v>4.5</v>
      </c>
      <c r="D42" t="s">
        <v>34</v>
      </c>
      <c r="E42" t="s">
        <v>46</v>
      </c>
      <c r="F42">
        <v>131498.1</v>
      </c>
      <c r="G42">
        <v>404.2</v>
      </c>
      <c r="H42">
        <v>130461.204</v>
      </c>
      <c r="I42" t="s">
        <v>21</v>
      </c>
      <c r="J42">
        <v>4</v>
      </c>
      <c r="K42">
        <v>6.7919999999999998</v>
      </c>
      <c r="L42">
        <v>5</v>
      </c>
      <c r="M42">
        <v>4</v>
      </c>
      <c r="N42">
        <v>-1036.896</v>
      </c>
      <c r="O42">
        <v>2215</v>
      </c>
      <c r="P42" t="b">
        <v>0</v>
      </c>
      <c r="Q42" t="b">
        <v>0</v>
      </c>
      <c r="R42" s="2" t="s">
        <v>114</v>
      </c>
    </row>
    <row r="43" spans="1:18" hidden="1" x14ac:dyDescent="0.25">
      <c r="A43">
        <v>670</v>
      </c>
      <c r="B43" t="s">
        <v>51</v>
      </c>
      <c r="C43">
        <v>3.5</v>
      </c>
      <c r="D43" t="s">
        <v>19</v>
      </c>
      <c r="E43" t="s">
        <v>31</v>
      </c>
      <c r="F43">
        <v>119376.3</v>
      </c>
      <c r="G43">
        <v>42.3</v>
      </c>
      <c r="H43">
        <v>119299.431</v>
      </c>
      <c r="I43" t="s">
        <v>26</v>
      </c>
      <c r="J43">
        <v>2</v>
      </c>
      <c r="K43">
        <v>3.5000000000000003E-2</v>
      </c>
      <c r="L43">
        <v>5</v>
      </c>
      <c r="M43">
        <v>2</v>
      </c>
      <c r="N43">
        <v>-76.869</v>
      </c>
      <c r="O43">
        <v>343</v>
      </c>
      <c r="P43" t="b">
        <v>0</v>
      </c>
      <c r="Q43" t="b">
        <v>0</v>
      </c>
    </row>
    <row r="44" spans="1:18" x14ac:dyDescent="0.25">
      <c r="A44">
        <v>711</v>
      </c>
      <c r="B44" t="s">
        <v>75</v>
      </c>
      <c r="C44">
        <v>5.5</v>
      </c>
      <c r="D44" t="s">
        <v>34</v>
      </c>
      <c r="E44" t="s">
        <v>46</v>
      </c>
      <c r="F44">
        <v>117932.1</v>
      </c>
      <c r="G44">
        <v>404.2</v>
      </c>
      <c r="H44">
        <v>117889.024</v>
      </c>
      <c r="I44" t="s">
        <v>21</v>
      </c>
      <c r="J44">
        <v>3</v>
      </c>
      <c r="K44">
        <v>17.867000000000001</v>
      </c>
      <c r="L44">
        <v>9</v>
      </c>
      <c r="M44">
        <v>7</v>
      </c>
      <c r="N44">
        <v>-43.076000000000001</v>
      </c>
      <c r="O44">
        <v>2068</v>
      </c>
      <c r="P44" t="b">
        <v>0</v>
      </c>
      <c r="Q44" t="b">
        <v>0</v>
      </c>
      <c r="R44" t="s">
        <v>113</v>
      </c>
    </row>
    <row r="45" spans="1:18" x14ac:dyDescent="0.25">
      <c r="A45">
        <v>421</v>
      </c>
      <c r="B45" t="s">
        <v>76</v>
      </c>
      <c r="C45">
        <v>4.5</v>
      </c>
      <c r="D45" t="s">
        <v>34</v>
      </c>
      <c r="E45" t="s">
        <v>35</v>
      </c>
      <c r="F45">
        <v>134464</v>
      </c>
      <c r="G45">
        <v>91.5</v>
      </c>
      <c r="H45">
        <v>134696.62599999999</v>
      </c>
      <c r="I45" t="s">
        <v>21</v>
      </c>
      <c r="J45">
        <v>1</v>
      </c>
      <c r="K45">
        <v>4.9660000000000002</v>
      </c>
      <c r="L45">
        <v>5</v>
      </c>
      <c r="M45">
        <v>5</v>
      </c>
      <c r="N45">
        <v>232.626</v>
      </c>
      <c r="O45">
        <v>2251</v>
      </c>
      <c r="P45" t="b">
        <v>1</v>
      </c>
      <c r="Q45" t="b">
        <v>0</v>
      </c>
      <c r="R45" s="1" t="s">
        <v>77</v>
      </c>
    </row>
    <row r="46" spans="1:18" hidden="1" x14ac:dyDescent="0.25">
      <c r="A46">
        <v>316</v>
      </c>
      <c r="B46" t="s">
        <v>78</v>
      </c>
      <c r="C46">
        <v>3.5</v>
      </c>
      <c r="D46" t="s">
        <v>34</v>
      </c>
      <c r="E46" t="s">
        <v>46</v>
      </c>
      <c r="F46">
        <v>137240.9</v>
      </c>
      <c r="G46">
        <v>404.2</v>
      </c>
      <c r="H46">
        <v>137068.16399999999</v>
      </c>
      <c r="I46" t="s">
        <v>26</v>
      </c>
      <c r="J46">
        <v>7</v>
      </c>
      <c r="K46">
        <v>3.246</v>
      </c>
      <c r="L46">
        <v>6</v>
      </c>
      <c r="M46">
        <v>5</v>
      </c>
      <c r="N46">
        <v>-172.73599999999999</v>
      </c>
      <c r="O46">
        <v>2320</v>
      </c>
      <c r="P46" t="b">
        <v>0</v>
      </c>
      <c r="Q46" t="b">
        <v>0</v>
      </c>
      <c r="R46" t="s">
        <v>79</v>
      </c>
    </row>
    <row r="47" spans="1:18" x14ac:dyDescent="0.25">
      <c r="A47">
        <v>406</v>
      </c>
      <c r="B47" t="s">
        <v>56</v>
      </c>
      <c r="C47">
        <v>4.5</v>
      </c>
      <c r="D47" t="s">
        <v>34</v>
      </c>
      <c r="E47" t="s">
        <v>35</v>
      </c>
      <c r="F47">
        <v>134714.79999999999</v>
      </c>
      <c r="G47">
        <v>91.5</v>
      </c>
      <c r="H47">
        <v>134696.62599999999</v>
      </c>
      <c r="I47" t="s">
        <v>21</v>
      </c>
      <c r="J47">
        <v>2</v>
      </c>
      <c r="K47">
        <v>11.978</v>
      </c>
      <c r="L47">
        <v>5</v>
      </c>
      <c r="M47">
        <v>5</v>
      </c>
      <c r="N47">
        <v>-18.173999999999999</v>
      </c>
      <c r="O47">
        <v>2263</v>
      </c>
      <c r="P47" t="b">
        <v>0</v>
      </c>
      <c r="Q47" t="b">
        <v>0</v>
      </c>
      <c r="R47" s="1" t="s">
        <v>80</v>
      </c>
    </row>
    <row r="48" spans="1:18" hidden="1" x14ac:dyDescent="0.25">
      <c r="A48">
        <v>492</v>
      </c>
      <c r="B48" t="s">
        <v>33</v>
      </c>
      <c r="C48">
        <v>3.5</v>
      </c>
      <c r="D48" t="s">
        <v>34</v>
      </c>
      <c r="E48" t="s">
        <v>35</v>
      </c>
      <c r="F48">
        <v>132136</v>
      </c>
      <c r="G48">
        <v>91.5</v>
      </c>
      <c r="H48">
        <v>131830.84599999999</v>
      </c>
      <c r="I48" t="s">
        <v>26</v>
      </c>
      <c r="J48">
        <v>2</v>
      </c>
      <c r="K48">
        <v>2.3210000000000002</v>
      </c>
      <c r="L48">
        <v>5</v>
      </c>
      <c r="M48">
        <v>3</v>
      </c>
      <c r="N48">
        <v>-305.154</v>
      </c>
      <c r="O48">
        <v>2223</v>
      </c>
      <c r="P48" t="b">
        <v>0</v>
      </c>
      <c r="Q48" t="b">
        <v>0</v>
      </c>
    </row>
    <row r="49" spans="1:18" hidden="1" x14ac:dyDescent="0.25">
      <c r="A49">
        <v>834</v>
      </c>
      <c r="B49" t="s">
        <v>59</v>
      </c>
      <c r="C49">
        <v>2.5</v>
      </c>
      <c r="D49" t="s">
        <v>34</v>
      </c>
      <c r="E49" t="s">
        <v>60</v>
      </c>
      <c r="F49">
        <v>107743.5</v>
      </c>
      <c r="G49">
        <v>60.4</v>
      </c>
      <c r="J49">
        <v>0</v>
      </c>
      <c r="O49">
        <v>2035</v>
      </c>
      <c r="P49" t="b">
        <v>0</v>
      </c>
      <c r="Q49" t="b">
        <v>1</v>
      </c>
    </row>
    <row r="50" spans="1:18" hidden="1" x14ac:dyDescent="0.25">
      <c r="A50">
        <v>392</v>
      </c>
      <c r="B50" t="s">
        <v>72</v>
      </c>
      <c r="C50">
        <v>3.5</v>
      </c>
      <c r="D50" t="s">
        <v>34</v>
      </c>
      <c r="E50" t="s">
        <v>35</v>
      </c>
      <c r="F50">
        <v>135131.5</v>
      </c>
      <c r="G50">
        <v>91.5</v>
      </c>
      <c r="H50">
        <v>135414.24600000001</v>
      </c>
      <c r="I50" t="s">
        <v>26</v>
      </c>
      <c r="J50">
        <v>1</v>
      </c>
      <c r="K50">
        <v>1.1000000000000001</v>
      </c>
      <c r="L50">
        <v>3</v>
      </c>
      <c r="M50">
        <v>2</v>
      </c>
      <c r="N50">
        <v>282.74599999999998</v>
      </c>
      <c r="O50">
        <v>2271</v>
      </c>
      <c r="P50" t="b">
        <v>0</v>
      </c>
      <c r="Q50" t="b">
        <v>0</v>
      </c>
      <c r="R50" t="s">
        <v>81</v>
      </c>
    </row>
    <row r="51" spans="1:18" hidden="1" x14ac:dyDescent="0.25">
      <c r="A51">
        <v>799</v>
      </c>
      <c r="B51" t="s">
        <v>82</v>
      </c>
      <c r="C51">
        <v>3.5</v>
      </c>
      <c r="D51" t="s">
        <v>34</v>
      </c>
      <c r="E51" t="s">
        <v>60</v>
      </c>
      <c r="F51">
        <v>111465.9</v>
      </c>
      <c r="G51">
        <v>60.4</v>
      </c>
      <c r="H51">
        <v>111600.54399999999</v>
      </c>
      <c r="I51" t="s">
        <v>26</v>
      </c>
      <c r="J51">
        <v>1</v>
      </c>
      <c r="K51">
        <v>7.97</v>
      </c>
      <c r="L51">
        <v>6</v>
      </c>
      <c r="M51">
        <v>3</v>
      </c>
      <c r="N51">
        <v>134.64400000000001</v>
      </c>
      <c r="O51">
        <v>2058</v>
      </c>
      <c r="P51" t="b">
        <v>0</v>
      </c>
      <c r="Q51" t="b">
        <v>0</v>
      </c>
    </row>
    <row r="52" spans="1:18" hidden="1" x14ac:dyDescent="0.25">
      <c r="A52">
        <v>443</v>
      </c>
      <c r="B52" t="s">
        <v>83</v>
      </c>
      <c r="C52">
        <v>3.5</v>
      </c>
      <c r="D52" t="s">
        <v>19</v>
      </c>
      <c r="E52" t="s">
        <v>84</v>
      </c>
      <c r="F52">
        <v>134099</v>
      </c>
      <c r="G52">
        <v>45.4</v>
      </c>
      <c r="H52">
        <v>134195.73000000001</v>
      </c>
      <c r="I52" t="s">
        <v>26</v>
      </c>
      <c r="J52">
        <v>3</v>
      </c>
      <c r="K52">
        <v>1.6679999999999999</v>
      </c>
      <c r="L52">
        <v>2</v>
      </c>
      <c r="M52">
        <v>2</v>
      </c>
      <c r="N52">
        <v>96.73</v>
      </c>
      <c r="O52">
        <v>418</v>
      </c>
      <c r="P52" t="b">
        <v>0</v>
      </c>
      <c r="Q52" t="b">
        <v>0</v>
      </c>
    </row>
    <row r="53" spans="1:18" hidden="1" x14ac:dyDescent="0.25">
      <c r="A53">
        <v>345</v>
      </c>
      <c r="B53" t="s">
        <v>85</v>
      </c>
      <c r="C53">
        <v>3.5</v>
      </c>
      <c r="D53" t="s">
        <v>34</v>
      </c>
      <c r="E53" t="s">
        <v>86</v>
      </c>
      <c r="F53">
        <v>136591.4</v>
      </c>
      <c r="G53">
        <v>23.8</v>
      </c>
      <c r="H53">
        <v>136638.50700000001</v>
      </c>
      <c r="I53" t="s">
        <v>26</v>
      </c>
      <c r="J53">
        <v>4</v>
      </c>
      <c r="K53">
        <v>3.391</v>
      </c>
      <c r="L53">
        <v>2</v>
      </c>
      <c r="M53">
        <v>2</v>
      </c>
      <c r="N53">
        <v>47.106999999999999</v>
      </c>
      <c r="O53">
        <v>2298</v>
      </c>
      <c r="P53" t="b">
        <v>0</v>
      </c>
      <c r="Q53" t="b">
        <v>0</v>
      </c>
      <c r="R53" t="s">
        <v>87</v>
      </c>
    </row>
    <row r="54" spans="1:18" hidden="1" x14ac:dyDescent="0.25">
      <c r="A54">
        <v>518</v>
      </c>
      <c r="B54" t="s">
        <v>33</v>
      </c>
      <c r="C54">
        <v>2.5</v>
      </c>
      <c r="D54" t="s">
        <v>34</v>
      </c>
      <c r="E54" t="s">
        <v>35</v>
      </c>
      <c r="F54">
        <v>130042</v>
      </c>
      <c r="G54">
        <v>91.5</v>
      </c>
      <c r="H54">
        <v>129877.14599999999</v>
      </c>
      <c r="I54" t="s">
        <v>26</v>
      </c>
      <c r="J54">
        <v>8</v>
      </c>
      <c r="K54">
        <v>7.41</v>
      </c>
      <c r="L54">
        <v>4</v>
      </c>
      <c r="M54">
        <v>4</v>
      </c>
      <c r="N54">
        <v>-164.85400000000001</v>
      </c>
      <c r="O54">
        <v>2201</v>
      </c>
      <c r="P54" t="b">
        <v>0</v>
      </c>
      <c r="Q54" t="b">
        <v>0</v>
      </c>
      <c r="R54" t="s">
        <v>88</v>
      </c>
    </row>
    <row r="55" spans="1:18" hidden="1" x14ac:dyDescent="0.25">
      <c r="A55">
        <v>269</v>
      </c>
      <c r="B55" t="s">
        <v>89</v>
      </c>
      <c r="C55">
        <v>4.5</v>
      </c>
      <c r="D55" t="s">
        <v>34</v>
      </c>
      <c r="E55" t="s">
        <v>44</v>
      </c>
      <c r="F55">
        <v>139026.9</v>
      </c>
      <c r="G55">
        <v>79.599999999999994</v>
      </c>
      <c r="H55">
        <v>139249.27100000001</v>
      </c>
      <c r="I55" t="s">
        <v>26</v>
      </c>
      <c r="J55">
        <v>2</v>
      </c>
      <c r="K55">
        <v>3.004</v>
      </c>
      <c r="L55">
        <v>4</v>
      </c>
      <c r="M55">
        <v>4</v>
      </c>
      <c r="N55">
        <v>222.37100000000001</v>
      </c>
      <c r="O55">
        <v>2347</v>
      </c>
      <c r="P55" t="b">
        <v>0</v>
      </c>
      <c r="Q55" t="b">
        <v>0</v>
      </c>
    </row>
    <row r="56" spans="1:18" hidden="1" x14ac:dyDescent="0.25">
      <c r="A56">
        <v>418</v>
      </c>
      <c r="B56" t="s">
        <v>90</v>
      </c>
      <c r="C56">
        <v>7.5</v>
      </c>
      <c r="D56" t="s">
        <v>34</v>
      </c>
      <c r="E56" t="s">
        <v>35</v>
      </c>
      <c r="F56">
        <v>134489.29999999999</v>
      </c>
      <c r="G56">
        <v>91.5</v>
      </c>
      <c r="H56">
        <v>134475.166</v>
      </c>
      <c r="I56" t="s">
        <v>26</v>
      </c>
      <c r="J56">
        <v>8</v>
      </c>
      <c r="K56">
        <v>6.0170000000000003</v>
      </c>
      <c r="L56">
        <v>4</v>
      </c>
      <c r="M56">
        <v>2</v>
      </c>
      <c r="N56">
        <v>-14.134</v>
      </c>
      <c r="O56">
        <v>2254</v>
      </c>
      <c r="P56" t="b">
        <v>0</v>
      </c>
      <c r="Q56" t="b">
        <v>0</v>
      </c>
    </row>
    <row r="57" spans="1:18" hidden="1" x14ac:dyDescent="0.25">
      <c r="A57">
        <v>611</v>
      </c>
      <c r="B57" t="s">
        <v>91</v>
      </c>
      <c r="C57">
        <v>5.5</v>
      </c>
      <c r="D57" t="s">
        <v>19</v>
      </c>
      <c r="E57" t="s">
        <v>31</v>
      </c>
      <c r="F57">
        <v>122933.4</v>
      </c>
      <c r="G57">
        <v>42.3</v>
      </c>
      <c r="H57">
        <v>122903.41099999999</v>
      </c>
      <c r="I57" t="s">
        <v>26</v>
      </c>
      <c r="J57">
        <v>3</v>
      </c>
      <c r="K57">
        <v>7.2709999999999999</v>
      </c>
      <c r="L57">
        <v>4</v>
      </c>
      <c r="M57">
        <v>3</v>
      </c>
      <c r="N57">
        <v>-29.989000000000001</v>
      </c>
      <c r="O57">
        <v>365</v>
      </c>
      <c r="P57" t="b">
        <v>0</v>
      </c>
      <c r="Q57" t="b">
        <v>0</v>
      </c>
    </row>
    <row r="58" spans="1:18" hidden="1" x14ac:dyDescent="0.25">
      <c r="A58">
        <v>445</v>
      </c>
      <c r="B58" t="s">
        <v>92</v>
      </c>
      <c r="C58">
        <v>1.5</v>
      </c>
      <c r="D58" t="s">
        <v>34</v>
      </c>
      <c r="E58" t="s">
        <v>44</v>
      </c>
      <c r="F58">
        <v>134076.9</v>
      </c>
      <c r="G58">
        <v>79.599999999999994</v>
      </c>
      <c r="H58">
        <v>134187.851</v>
      </c>
      <c r="I58" t="s">
        <v>26</v>
      </c>
      <c r="J58">
        <v>1</v>
      </c>
      <c r="K58">
        <v>0.433</v>
      </c>
      <c r="L58">
        <v>2</v>
      </c>
      <c r="M58">
        <v>2</v>
      </c>
      <c r="N58">
        <v>110.95099999999999</v>
      </c>
      <c r="O58">
        <v>2237</v>
      </c>
      <c r="P58" t="b">
        <v>0</v>
      </c>
      <c r="Q58" t="b">
        <v>0</v>
      </c>
    </row>
    <row r="59" spans="1:18" hidden="1" x14ac:dyDescent="0.25">
      <c r="A59">
        <v>735</v>
      </c>
      <c r="B59" t="s">
        <v>93</v>
      </c>
      <c r="C59">
        <v>0.5</v>
      </c>
      <c r="D59" t="s">
        <v>19</v>
      </c>
      <c r="E59" t="s">
        <v>62</v>
      </c>
      <c r="F59">
        <v>116804.7</v>
      </c>
      <c r="G59">
        <v>106.1</v>
      </c>
      <c r="H59">
        <v>116927.75900000001</v>
      </c>
      <c r="I59" t="s">
        <v>26</v>
      </c>
      <c r="J59">
        <v>5</v>
      </c>
      <c r="K59">
        <v>6.2720000000000002</v>
      </c>
      <c r="L59">
        <v>6</v>
      </c>
      <c r="M59">
        <v>2</v>
      </c>
      <c r="N59">
        <v>123.059</v>
      </c>
      <c r="O59">
        <v>300</v>
      </c>
      <c r="P59" t="b">
        <v>0</v>
      </c>
      <c r="Q59" t="b">
        <v>0</v>
      </c>
    </row>
    <row r="60" spans="1:18" hidden="1" x14ac:dyDescent="0.25">
      <c r="A60">
        <v>692</v>
      </c>
      <c r="B60" t="s">
        <v>94</v>
      </c>
      <c r="C60">
        <v>3.5</v>
      </c>
      <c r="D60" t="s">
        <v>19</v>
      </c>
      <c r="E60" t="s">
        <v>31</v>
      </c>
      <c r="F60">
        <v>118504.2</v>
      </c>
      <c r="G60">
        <v>42.3</v>
      </c>
      <c r="H60">
        <v>118393.99099999999</v>
      </c>
      <c r="I60" t="s">
        <v>26</v>
      </c>
      <c r="J60">
        <v>2</v>
      </c>
      <c r="K60">
        <v>3.2480000000000002</v>
      </c>
      <c r="L60">
        <v>5</v>
      </c>
      <c r="M60">
        <v>2</v>
      </c>
      <c r="N60">
        <v>-110.209</v>
      </c>
      <c r="O60">
        <v>331</v>
      </c>
      <c r="P60" t="b">
        <v>0</v>
      </c>
      <c r="Q60" t="b">
        <v>0</v>
      </c>
    </row>
    <row r="61" spans="1:18" hidden="1" x14ac:dyDescent="0.25">
      <c r="A61">
        <v>716</v>
      </c>
      <c r="B61" t="s">
        <v>30</v>
      </c>
      <c r="C61">
        <v>3.5</v>
      </c>
      <c r="D61" t="s">
        <v>19</v>
      </c>
      <c r="E61" t="s">
        <v>31</v>
      </c>
      <c r="F61">
        <v>117761</v>
      </c>
      <c r="G61">
        <v>42.3</v>
      </c>
      <c r="J61">
        <v>0</v>
      </c>
      <c r="O61">
        <v>316</v>
      </c>
      <c r="P61" t="b">
        <v>0</v>
      </c>
      <c r="Q61" t="b">
        <v>1</v>
      </c>
    </row>
    <row r="62" spans="1:18" x14ac:dyDescent="0.25">
      <c r="A62">
        <v>936</v>
      </c>
      <c r="B62" t="s">
        <v>25</v>
      </c>
      <c r="C62">
        <v>3.5</v>
      </c>
      <c r="D62" t="s">
        <v>19</v>
      </c>
      <c r="E62" t="s">
        <v>24</v>
      </c>
      <c r="F62">
        <v>84887</v>
      </c>
      <c r="G62">
        <v>210.4</v>
      </c>
      <c r="H62">
        <v>85186.701000000001</v>
      </c>
      <c r="I62" t="s">
        <v>21</v>
      </c>
      <c r="J62">
        <v>5</v>
      </c>
      <c r="K62">
        <v>17.706</v>
      </c>
      <c r="L62">
        <v>7</v>
      </c>
      <c r="M62">
        <v>5</v>
      </c>
      <c r="N62">
        <v>299.70100000000002</v>
      </c>
      <c r="O62">
        <v>187</v>
      </c>
      <c r="P62" t="b">
        <v>0</v>
      </c>
      <c r="Q62" t="b">
        <v>0</v>
      </c>
      <c r="R62" t="s">
        <v>113</v>
      </c>
    </row>
    <row r="63" spans="1:18" hidden="1" x14ac:dyDescent="0.25">
      <c r="A63">
        <v>713</v>
      </c>
      <c r="B63" t="s">
        <v>94</v>
      </c>
      <c r="C63">
        <v>2.5</v>
      </c>
      <c r="D63" t="s">
        <v>19</v>
      </c>
      <c r="E63" t="s">
        <v>31</v>
      </c>
      <c r="F63">
        <v>117888.6</v>
      </c>
      <c r="G63">
        <v>42.3</v>
      </c>
      <c r="J63">
        <v>0</v>
      </c>
      <c r="O63">
        <v>319</v>
      </c>
      <c r="P63" t="b">
        <v>0</v>
      </c>
      <c r="Q63" t="b">
        <v>1</v>
      </c>
    </row>
    <row r="64" spans="1:18" hidden="1" x14ac:dyDescent="0.25">
      <c r="A64">
        <v>558</v>
      </c>
      <c r="B64" t="s">
        <v>95</v>
      </c>
      <c r="C64">
        <v>4.5</v>
      </c>
      <c r="D64" t="s">
        <v>34</v>
      </c>
      <c r="E64" t="s">
        <v>46</v>
      </c>
      <c r="F64">
        <v>126138.2</v>
      </c>
      <c r="G64">
        <v>404.2</v>
      </c>
      <c r="H64">
        <v>125181.60400000001</v>
      </c>
      <c r="I64" t="s">
        <v>26</v>
      </c>
      <c r="J64">
        <v>3</v>
      </c>
      <c r="K64">
        <v>1.1990000000000001</v>
      </c>
      <c r="L64">
        <v>4</v>
      </c>
      <c r="M64">
        <v>4</v>
      </c>
      <c r="N64">
        <v>-956.596</v>
      </c>
      <c r="O64">
        <v>2173</v>
      </c>
      <c r="P64" t="b">
        <v>0</v>
      </c>
      <c r="Q64" t="b">
        <v>0</v>
      </c>
    </row>
    <row r="65" spans="1:18" x14ac:dyDescent="0.25">
      <c r="A65">
        <v>915</v>
      </c>
      <c r="B65" t="s">
        <v>27</v>
      </c>
      <c r="C65">
        <v>1.5</v>
      </c>
      <c r="D65" t="s">
        <v>19</v>
      </c>
      <c r="E65" t="s">
        <v>20</v>
      </c>
      <c r="F65">
        <v>91039.2</v>
      </c>
      <c r="G65">
        <v>215.8</v>
      </c>
      <c r="H65">
        <v>90321.009000000005</v>
      </c>
      <c r="I65" t="s">
        <v>21</v>
      </c>
      <c r="J65">
        <v>4</v>
      </c>
      <c r="K65">
        <v>11.762</v>
      </c>
      <c r="L65">
        <v>7</v>
      </c>
      <c r="M65">
        <v>5</v>
      </c>
      <c r="N65">
        <v>-718.19100000000003</v>
      </c>
      <c r="O65">
        <v>208</v>
      </c>
      <c r="P65" t="b">
        <v>0</v>
      </c>
      <c r="Q65" t="b">
        <v>0</v>
      </c>
      <c r="R65" t="s">
        <v>113</v>
      </c>
    </row>
    <row r="66" spans="1:18" hidden="1" x14ac:dyDescent="0.25">
      <c r="A66">
        <v>317</v>
      </c>
      <c r="B66" t="s">
        <v>96</v>
      </c>
      <c r="C66">
        <v>4.5</v>
      </c>
      <c r="D66" t="s">
        <v>34</v>
      </c>
      <c r="E66" t="s">
        <v>35</v>
      </c>
      <c r="F66">
        <v>137083.5</v>
      </c>
      <c r="G66">
        <v>91.5</v>
      </c>
      <c r="H66">
        <v>136902.68599999999</v>
      </c>
      <c r="I66" t="s">
        <v>26</v>
      </c>
      <c r="J66">
        <v>7</v>
      </c>
      <c r="K66" s="1">
        <v>9.42</v>
      </c>
      <c r="L66">
        <v>6</v>
      </c>
      <c r="M66">
        <v>3</v>
      </c>
      <c r="N66">
        <v>-180.81399999999999</v>
      </c>
      <c r="O66">
        <v>2319</v>
      </c>
      <c r="P66" t="b">
        <v>0</v>
      </c>
      <c r="Q66" t="b">
        <v>0</v>
      </c>
      <c r="R66" t="s">
        <v>97</v>
      </c>
    </row>
    <row r="67" spans="1:18" hidden="1" x14ac:dyDescent="0.25">
      <c r="A67">
        <v>299</v>
      </c>
      <c r="B67" t="s">
        <v>52</v>
      </c>
      <c r="C67">
        <v>4.5</v>
      </c>
      <c r="D67" t="s">
        <v>34</v>
      </c>
      <c r="E67" t="s">
        <v>53</v>
      </c>
      <c r="F67">
        <v>138572.70000000001</v>
      </c>
      <c r="G67">
        <v>134</v>
      </c>
      <c r="J67">
        <v>0</v>
      </c>
      <c r="O67">
        <v>2327</v>
      </c>
      <c r="P67" t="b">
        <v>0</v>
      </c>
      <c r="Q67" t="b">
        <v>1</v>
      </c>
    </row>
    <row r="68" spans="1:18" hidden="1" x14ac:dyDescent="0.25">
      <c r="A68">
        <v>381</v>
      </c>
      <c r="B68" t="s">
        <v>49</v>
      </c>
      <c r="C68">
        <v>2.5</v>
      </c>
      <c r="D68" t="s">
        <v>34</v>
      </c>
      <c r="E68" t="s">
        <v>44</v>
      </c>
      <c r="F68">
        <v>135576.6</v>
      </c>
      <c r="G68">
        <v>79.599999999999994</v>
      </c>
      <c r="J68">
        <v>0</v>
      </c>
      <c r="O68">
        <v>2276</v>
      </c>
      <c r="P68" t="b">
        <v>0</v>
      </c>
      <c r="Q68" t="b">
        <v>1</v>
      </c>
    </row>
    <row r="69" spans="1:18" x14ac:dyDescent="0.25">
      <c r="A69">
        <v>1014</v>
      </c>
      <c r="B69" t="s">
        <v>98</v>
      </c>
      <c r="C69">
        <v>1.5</v>
      </c>
      <c r="D69" t="s">
        <v>19</v>
      </c>
      <c r="E69" t="s">
        <v>24</v>
      </c>
      <c r="F69">
        <v>69366.399999999994</v>
      </c>
      <c r="G69">
        <v>210.4</v>
      </c>
      <c r="H69">
        <v>68890.201000000001</v>
      </c>
      <c r="I69" t="s">
        <v>21</v>
      </c>
      <c r="J69">
        <v>12</v>
      </c>
      <c r="K69">
        <v>16.585999999999999</v>
      </c>
      <c r="L69">
        <v>6</v>
      </c>
      <c r="M69">
        <v>5</v>
      </c>
      <c r="N69">
        <v>-476.19900000000001</v>
      </c>
      <c r="O69">
        <v>110</v>
      </c>
      <c r="P69" t="b">
        <v>0</v>
      </c>
      <c r="Q69" t="b">
        <v>0</v>
      </c>
      <c r="R69" t="s">
        <v>99</v>
      </c>
    </row>
    <row r="70" spans="1:18" hidden="1" x14ac:dyDescent="0.25">
      <c r="A70">
        <v>824</v>
      </c>
      <c r="B70" t="s">
        <v>100</v>
      </c>
      <c r="C70">
        <v>2.5</v>
      </c>
      <c r="D70" t="s">
        <v>34</v>
      </c>
      <c r="E70" t="s">
        <v>60</v>
      </c>
      <c r="F70">
        <v>108488.4</v>
      </c>
      <c r="G70">
        <v>60.4</v>
      </c>
      <c r="H70">
        <v>108592.024</v>
      </c>
      <c r="I70" t="s">
        <v>26</v>
      </c>
      <c r="J70">
        <v>1</v>
      </c>
      <c r="K70">
        <v>1.923</v>
      </c>
      <c r="L70">
        <v>5</v>
      </c>
      <c r="M70">
        <v>3</v>
      </c>
      <c r="N70">
        <v>103.624</v>
      </c>
      <c r="O70">
        <v>2044</v>
      </c>
      <c r="P70" t="b">
        <v>0</v>
      </c>
      <c r="Q70" t="b">
        <v>0</v>
      </c>
    </row>
    <row r="71" spans="1:18" hidden="1" x14ac:dyDescent="0.25">
      <c r="A71">
        <v>803</v>
      </c>
      <c r="B71" t="s">
        <v>101</v>
      </c>
      <c r="C71">
        <v>4.5</v>
      </c>
      <c r="D71" t="s">
        <v>34</v>
      </c>
      <c r="E71" t="s">
        <v>60</v>
      </c>
      <c r="F71">
        <v>111244.7</v>
      </c>
      <c r="G71">
        <v>60.4</v>
      </c>
      <c r="H71">
        <v>111250.504</v>
      </c>
      <c r="I71" t="s">
        <v>50</v>
      </c>
      <c r="J71">
        <v>1</v>
      </c>
      <c r="K71">
        <v>0.36399999999999999</v>
      </c>
      <c r="L71">
        <v>3</v>
      </c>
      <c r="M71">
        <v>1</v>
      </c>
      <c r="N71">
        <v>5.8040000000000003</v>
      </c>
      <c r="O71">
        <v>2057</v>
      </c>
      <c r="P71" t="b">
        <v>0</v>
      </c>
      <c r="Q71" t="b">
        <v>0</v>
      </c>
    </row>
    <row r="72" spans="1:18" hidden="1" x14ac:dyDescent="0.25">
      <c r="A72">
        <v>658</v>
      </c>
      <c r="B72" t="s">
        <v>75</v>
      </c>
      <c r="C72">
        <v>5.5</v>
      </c>
      <c r="D72" t="s">
        <v>34</v>
      </c>
      <c r="E72" t="s">
        <v>46</v>
      </c>
      <c r="F72">
        <v>120416.4</v>
      </c>
      <c r="G72">
        <v>404.2</v>
      </c>
      <c r="H72">
        <v>120805.38400000001</v>
      </c>
      <c r="I72" t="s">
        <v>26</v>
      </c>
      <c r="J72">
        <v>10</v>
      </c>
      <c r="K72">
        <v>3.5369999999999999</v>
      </c>
      <c r="L72">
        <v>4</v>
      </c>
      <c r="M72">
        <v>3</v>
      </c>
      <c r="N72">
        <v>388.98399999999998</v>
      </c>
      <c r="O72">
        <v>2093</v>
      </c>
      <c r="P72" t="b">
        <v>0</v>
      </c>
      <c r="Q72" t="b">
        <v>0</v>
      </c>
    </row>
    <row r="73" spans="1:18" hidden="1" x14ac:dyDescent="0.25">
      <c r="A73">
        <v>318</v>
      </c>
      <c r="B73" t="s">
        <v>102</v>
      </c>
      <c r="C73">
        <v>3.5</v>
      </c>
      <c r="D73" t="s">
        <v>34</v>
      </c>
      <c r="E73" t="s">
        <v>35</v>
      </c>
      <c r="F73">
        <v>137023.4</v>
      </c>
      <c r="G73">
        <v>91.5</v>
      </c>
      <c r="H73">
        <v>136758.84599999999</v>
      </c>
      <c r="I73" t="s">
        <v>26</v>
      </c>
      <c r="J73">
        <v>6</v>
      </c>
      <c r="K73">
        <v>4.4820000000000002</v>
      </c>
      <c r="L73">
        <v>6</v>
      </c>
      <c r="M73">
        <v>5</v>
      </c>
      <c r="N73">
        <v>-264.55399999999997</v>
      </c>
      <c r="O73">
        <v>2318</v>
      </c>
      <c r="P73" t="b">
        <v>0</v>
      </c>
      <c r="Q73" t="b">
        <v>0</v>
      </c>
    </row>
    <row r="74" spans="1:18" x14ac:dyDescent="0.25">
      <c r="A74">
        <v>321</v>
      </c>
      <c r="B74" t="s">
        <v>103</v>
      </c>
      <c r="C74">
        <v>3.5</v>
      </c>
      <c r="D74" t="s">
        <v>34</v>
      </c>
      <c r="E74" t="s">
        <v>35</v>
      </c>
      <c r="F74">
        <v>136881.70000000001</v>
      </c>
      <c r="G74">
        <v>91.5</v>
      </c>
      <c r="H74">
        <v>136902.70600000001</v>
      </c>
      <c r="I74" t="s">
        <v>21</v>
      </c>
      <c r="J74">
        <v>5</v>
      </c>
      <c r="K74" s="1">
        <v>6.5739999999999998</v>
      </c>
      <c r="L74">
        <v>7</v>
      </c>
      <c r="M74">
        <v>4</v>
      </c>
      <c r="N74">
        <v>21.006</v>
      </c>
      <c r="O74">
        <v>2315</v>
      </c>
      <c r="P74" t="b">
        <v>0</v>
      </c>
      <c r="Q74" t="b">
        <v>0</v>
      </c>
      <c r="R74" s="1" t="s">
        <v>104</v>
      </c>
    </row>
    <row r="75" spans="1:18" x14ac:dyDescent="0.25">
      <c r="A75">
        <v>903</v>
      </c>
      <c r="B75" t="s">
        <v>105</v>
      </c>
      <c r="C75">
        <v>1.5</v>
      </c>
      <c r="D75" t="s">
        <v>19</v>
      </c>
      <c r="E75" t="s">
        <v>20</v>
      </c>
      <c r="F75">
        <v>95551.5</v>
      </c>
      <c r="G75">
        <v>215.8</v>
      </c>
      <c r="H75">
        <v>95003.909</v>
      </c>
      <c r="I75" t="s">
        <v>21</v>
      </c>
      <c r="J75">
        <v>6</v>
      </c>
      <c r="K75">
        <v>26.765999999999998</v>
      </c>
      <c r="L75">
        <v>9</v>
      </c>
      <c r="M75">
        <v>9</v>
      </c>
      <c r="N75">
        <v>-547.59100000000001</v>
      </c>
      <c r="O75">
        <v>220</v>
      </c>
      <c r="P75" t="b">
        <v>0</v>
      </c>
      <c r="Q75" t="b">
        <v>0</v>
      </c>
      <c r="R75" t="s">
        <v>113</v>
      </c>
    </row>
    <row r="76" spans="1:18" hidden="1" x14ac:dyDescent="0.25">
      <c r="A76">
        <v>252</v>
      </c>
      <c r="B76" t="s">
        <v>106</v>
      </c>
      <c r="C76">
        <v>4.5</v>
      </c>
      <c r="D76" t="s">
        <v>34</v>
      </c>
      <c r="E76" t="s">
        <v>35</v>
      </c>
      <c r="F76">
        <v>139805.29999999999</v>
      </c>
      <c r="G76">
        <v>91.5</v>
      </c>
      <c r="H76">
        <v>139996.726</v>
      </c>
      <c r="I76" t="s">
        <v>26</v>
      </c>
      <c r="J76">
        <v>3</v>
      </c>
      <c r="K76">
        <v>1.8220000000000001</v>
      </c>
      <c r="L76">
        <v>2</v>
      </c>
      <c r="M76">
        <v>2</v>
      </c>
      <c r="N76">
        <v>191.42599999999999</v>
      </c>
      <c r="O76">
        <v>2360</v>
      </c>
      <c r="P76" t="b">
        <v>0</v>
      </c>
      <c r="Q76" t="b">
        <v>0</v>
      </c>
    </row>
    <row r="77" spans="1:18" hidden="1" x14ac:dyDescent="0.25">
      <c r="A77">
        <v>621</v>
      </c>
      <c r="B77" t="s">
        <v>61</v>
      </c>
      <c r="C77">
        <v>1.5</v>
      </c>
      <c r="D77" t="s">
        <v>19</v>
      </c>
      <c r="E77" t="s">
        <v>62</v>
      </c>
      <c r="F77">
        <v>122593.3</v>
      </c>
      <c r="G77">
        <v>106.1</v>
      </c>
      <c r="H77">
        <v>122646.959</v>
      </c>
      <c r="I77" t="s">
        <v>26</v>
      </c>
      <c r="J77">
        <v>1</v>
      </c>
      <c r="K77">
        <v>3.855</v>
      </c>
      <c r="L77">
        <v>3</v>
      </c>
      <c r="M77">
        <v>2</v>
      </c>
      <c r="N77">
        <v>53.658999999999999</v>
      </c>
      <c r="O77">
        <v>363</v>
      </c>
      <c r="P77" t="b">
        <v>0</v>
      </c>
      <c r="Q77" t="b">
        <v>0</v>
      </c>
    </row>
    <row r="78" spans="1:18" hidden="1" x14ac:dyDescent="0.25">
      <c r="A78">
        <v>339</v>
      </c>
      <c r="B78" t="s">
        <v>102</v>
      </c>
      <c r="C78">
        <v>2.5</v>
      </c>
      <c r="D78" t="s">
        <v>34</v>
      </c>
      <c r="E78" t="s">
        <v>35</v>
      </c>
      <c r="F78">
        <v>136605.70000000001</v>
      </c>
      <c r="G78">
        <v>91.5</v>
      </c>
      <c r="H78">
        <v>136619.42600000001</v>
      </c>
      <c r="I78" t="s">
        <v>26</v>
      </c>
      <c r="J78">
        <v>7</v>
      </c>
      <c r="K78">
        <v>0.55200000000000005</v>
      </c>
      <c r="L78">
        <v>3</v>
      </c>
      <c r="M78">
        <v>2</v>
      </c>
      <c r="N78">
        <v>13.726000000000001</v>
      </c>
      <c r="O78">
        <v>2302</v>
      </c>
      <c r="P78" t="b">
        <v>0</v>
      </c>
      <c r="Q78" t="b">
        <v>0</v>
      </c>
    </row>
    <row r="79" spans="1:18" hidden="1" x14ac:dyDescent="0.25">
      <c r="A79">
        <v>376</v>
      </c>
      <c r="B79" t="s">
        <v>45</v>
      </c>
      <c r="C79">
        <v>6.5</v>
      </c>
      <c r="D79" t="s">
        <v>34</v>
      </c>
      <c r="E79" t="s">
        <v>46</v>
      </c>
      <c r="F79">
        <v>135975.5</v>
      </c>
      <c r="G79">
        <v>404.2</v>
      </c>
      <c r="H79">
        <v>134872.28400000001</v>
      </c>
      <c r="I79" t="s">
        <v>26</v>
      </c>
      <c r="J79">
        <v>11</v>
      </c>
      <c r="K79">
        <v>5.431</v>
      </c>
      <c r="L79">
        <v>3</v>
      </c>
      <c r="M79">
        <v>3</v>
      </c>
      <c r="N79">
        <v>-1103.2159999999999</v>
      </c>
      <c r="O79">
        <v>2278</v>
      </c>
      <c r="P79" t="b">
        <v>0</v>
      </c>
      <c r="Q79" t="b">
        <v>0</v>
      </c>
    </row>
    <row r="80" spans="1:18" hidden="1" x14ac:dyDescent="0.25">
      <c r="A80">
        <v>506</v>
      </c>
      <c r="B80" t="s">
        <v>76</v>
      </c>
      <c r="C80">
        <v>2.5</v>
      </c>
      <c r="D80" t="s">
        <v>34</v>
      </c>
      <c r="E80" t="s">
        <v>35</v>
      </c>
      <c r="F80">
        <v>130935.4</v>
      </c>
      <c r="G80">
        <v>91.5</v>
      </c>
      <c r="H80">
        <v>131121.14600000001</v>
      </c>
      <c r="I80" t="s">
        <v>26</v>
      </c>
      <c r="J80">
        <v>7</v>
      </c>
      <c r="K80">
        <v>1.4650000000000001</v>
      </c>
      <c r="L80">
        <v>3</v>
      </c>
      <c r="M80">
        <v>3</v>
      </c>
      <c r="N80">
        <v>185.74600000000001</v>
      </c>
      <c r="O80">
        <v>2209</v>
      </c>
      <c r="P80" t="b">
        <v>0</v>
      </c>
      <c r="Q80" t="b">
        <v>0</v>
      </c>
    </row>
    <row r="81" spans="1:17" hidden="1" x14ac:dyDescent="0.25">
      <c r="A81">
        <v>408</v>
      </c>
      <c r="B81" t="s">
        <v>107</v>
      </c>
      <c r="C81">
        <v>3.5</v>
      </c>
      <c r="D81" t="s">
        <v>34</v>
      </c>
      <c r="E81" t="s">
        <v>35</v>
      </c>
      <c r="F81">
        <v>134679.5</v>
      </c>
      <c r="G81">
        <v>91.5</v>
      </c>
      <c r="H81">
        <v>134393.14600000001</v>
      </c>
      <c r="I81" t="s">
        <v>26</v>
      </c>
      <c r="J81">
        <v>5</v>
      </c>
      <c r="K81">
        <v>2.17</v>
      </c>
      <c r="L81">
        <v>3</v>
      </c>
      <c r="M81">
        <v>3</v>
      </c>
      <c r="N81">
        <v>-286.35399999999998</v>
      </c>
      <c r="O81">
        <v>2262</v>
      </c>
      <c r="P81" t="b">
        <v>0</v>
      </c>
      <c r="Q81" t="b">
        <v>0</v>
      </c>
    </row>
    <row r="82" spans="1:17" hidden="1" x14ac:dyDescent="0.25">
      <c r="A82">
        <v>484</v>
      </c>
      <c r="B82" t="s">
        <v>68</v>
      </c>
      <c r="C82">
        <v>2.5</v>
      </c>
      <c r="D82" t="s">
        <v>34</v>
      </c>
      <c r="E82" t="s">
        <v>35</v>
      </c>
      <c r="F82">
        <v>132788.5</v>
      </c>
      <c r="G82">
        <v>91.5</v>
      </c>
      <c r="H82">
        <v>132538.28599999999</v>
      </c>
      <c r="I82" t="s">
        <v>26</v>
      </c>
      <c r="J82">
        <v>7</v>
      </c>
      <c r="K82">
        <v>3.1760000000000002</v>
      </c>
      <c r="L82">
        <v>3</v>
      </c>
      <c r="M82">
        <v>3</v>
      </c>
      <c r="N82">
        <v>-250.214</v>
      </c>
      <c r="O82">
        <v>2227</v>
      </c>
      <c r="P82" t="b">
        <v>0</v>
      </c>
      <c r="Q82" t="b">
        <v>0</v>
      </c>
    </row>
    <row r="83" spans="1:17" hidden="1" x14ac:dyDescent="0.25">
      <c r="A83">
        <v>258</v>
      </c>
      <c r="B83" t="s">
        <v>108</v>
      </c>
      <c r="C83">
        <v>3.5</v>
      </c>
      <c r="D83" t="s">
        <v>34</v>
      </c>
      <c r="E83" t="s">
        <v>86</v>
      </c>
      <c r="F83">
        <v>139544.29999999999</v>
      </c>
      <c r="G83">
        <v>23.8</v>
      </c>
      <c r="H83">
        <v>139580.18700000001</v>
      </c>
      <c r="I83" t="s">
        <v>26</v>
      </c>
      <c r="J83">
        <v>8</v>
      </c>
      <c r="K83">
        <v>4.5949999999999998</v>
      </c>
      <c r="L83">
        <v>3</v>
      </c>
      <c r="M83">
        <v>2</v>
      </c>
      <c r="N83">
        <v>35.887</v>
      </c>
      <c r="O83">
        <v>2354</v>
      </c>
      <c r="P83" t="b">
        <v>0</v>
      </c>
      <c r="Q83" t="b">
        <v>0</v>
      </c>
    </row>
    <row r="84" spans="1:17" hidden="1" x14ac:dyDescent="0.25">
      <c r="A84">
        <v>489</v>
      </c>
      <c r="B84" t="s">
        <v>109</v>
      </c>
      <c r="C84">
        <v>2.5</v>
      </c>
      <c r="D84" t="s">
        <v>19</v>
      </c>
      <c r="E84" t="s">
        <v>62</v>
      </c>
      <c r="F84">
        <v>132356.79999999999</v>
      </c>
      <c r="G84">
        <v>106.1</v>
      </c>
      <c r="H84">
        <v>132260.61900000001</v>
      </c>
      <c r="I84" t="s">
        <v>50</v>
      </c>
      <c r="J84">
        <v>3</v>
      </c>
      <c r="K84">
        <v>3.8719999999999999</v>
      </c>
      <c r="L84">
        <v>4</v>
      </c>
      <c r="M84">
        <v>1</v>
      </c>
      <c r="N84">
        <v>-96.180999999999997</v>
      </c>
      <c r="O84">
        <v>384</v>
      </c>
      <c r="P84" t="b">
        <v>0</v>
      </c>
      <c r="Q84" t="b">
        <v>0</v>
      </c>
    </row>
    <row r="85" spans="1:17" hidden="1" x14ac:dyDescent="0.25">
      <c r="A85">
        <v>402</v>
      </c>
      <c r="B85" t="s">
        <v>52</v>
      </c>
      <c r="C85">
        <v>1.5</v>
      </c>
      <c r="D85" t="s">
        <v>34</v>
      </c>
      <c r="E85" t="s">
        <v>53</v>
      </c>
      <c r="F85">
        <v>134848.29999999999</v>
      </c>
      <c r="G85">
        <v>134</v>
      </c>
      <c r="H85">
        <v>134546.08799999999</v>
      </c>
      <c r="I85" t="s">
        <v>26</v>
      </c>
      <c r="J85">
        <v>6</v>
      </c>
      <c r="K85">
        <v>2.161</v>
      </c>
      <c r="L85">
        <v>3</v>
      </c>
      <c r="M85">
        <v>2</v>
      </c>
      <c r="N85">
        <v>-302.21199999999999</v>
      </c>
      <c r="O85">
        <v>2265</v>
      </c>
      <c r="P85" t="b">
        <v>0</v>
      </c>
      <c r="Q85" t="b">
        <v>0</v>
      </c>
    </row>
    <row r="86" spans="1:17" hidden="1" x14ac:dyDescent="0.25">
      <c r="A86">
        <v>209</v>
      </c>
      <c r="B86" t="s">
        <v>110</v>
      </c>
      <c r="C86">
        <v>5.5</v>
      </c>
      <c r="D86" t="s">
        <v>34</v>
      </c>
      <c r="E86" t="s">
        <v>86</v>
      </c>
      <c r="F86">
        <v>140979.5</v>
      </c>
      <c r="G86">
        <v>23.8</v>
      </c>
      <c r="H86">
        <v>140917.04699999999</v>
      </c>
      <c r="I86" t="s">
        <v>26</v>
      </c>
      <c r="J86">
        <v>2</v>
      </c>
      <c r="K86">
        <v>4.2050000000000001</v>
      </c>
      <c r="L86">
        <v>3</v>
      </c>
      <c r="M86">
        <v>3</v>
      </c>
      <c r="N86">
        <v>-62.453000000000003</v>
      </c>
      <c r="O86">
        <v>2383</v>
      </c>
      <c r="P86" t="b">
        <v>0</v>
      </c>
      <c r="Q86" t="b">
        <v>0</v>
      </c>
    </row>
    <row r="87" spans="1:17" hidden="1" x14ac:dyDescent="0.25">
      <c r="A87">
        <v>212</v>
      </c>
      <c r="B87" t="s">
        <v>111</v>
      </c>
      <c r="C87">
        <v>6.5</v>
      </c>
      <c r="D87" t="s">
        <v>34</v>
      </c>
      <c r="E87" t="s">
        <v>86</v>
      </c>
      <c r="F87">
        <v>140972</v>
      </c>
      <c r="G87">
        <v>23.8</v>
      </c>
      <c r="H87">
        <v>140998.587</v>
      </c>
      <c r="I87" t="s">
        <v>26</v>
      </c>
      <c r="J87">
        <v>7</v>
      </c>
      <c r="K87">
        <v>2.9140000000000001</v>
      </c>
      <c r="L87">
        <v>3</v>
      </c>
      <c r="M87">
        <v>3</v>
      </c>
      <c r="N87">
        <v>26.587</v>
      </c>
      <c r="O87">
        <v>2381</v>
      </c>
      <c r="P87" t="b">
        <v>0</v>
      </c>
      <c r="Q87" t="b">
        <v>0</v>
      </c>
    </row>
    <row r="88" spans="1:17" hidden="1" x14ac:dyDescent="0.25">
      <c r="A88">
        <v>254</v>
      </c>
      <c r="B88" t="s">
        <v>112</v>
      </c>
      <c r="C88">
        <v>5.5</v>
      </c>
      <c r="D88" t="s">
        <v>34</v>
      </c>
      <c r="E88" t="s">
        <v>86</v>
      </c>
      <c r="F88">
        <v>139570.6</v>
      </c>
      <c r="G88">
        <v>23.8</v>
      </c>
      <c r="J88">
        <v>0</v>
      </c>
      <c r="O88">
        <v>2358</v>
      </c>
      <c r="P88" t="b">
        <v>0</v>
      </c>
      <c r="Q88" t="b">
        <v>1</v>
      </c>
    </row>
    <row r="89" spans="1:17" hidden="1" x14ac:dyDescent="0.25">
      <c r="A89">
        <v>324</v>
      </c>
      <c r="B89" t="s">
        <v>107</v>
      </c>
      <c r="C89">
        <v>6.5</v>
      </c>
      <c r="D89" t="s">
        <v>34</v>
      </c>
      <c r="E89" t="s">
        <v>35</v>
      </c>
      <c r="F89">
        <v>136778</v>
      </c>
      <c r="G89">
        <v>91.5</v>
      </c>
      <c r="H89">
        <v>136783.86600000001</v>
      </c>
      <c r="I89" t="s">
        <v>26</v>
      </c>
      <c r="J89">
        <v>16</v>
      </c>
      <c r="K89">
        <v>2.3940000000000001</v>
      </c>
      <c r="L89">
        <v>2</v>
      </c>
      <c r="M89">
        <v>2</v>
      </c>
      <c r="N89">
        <v>5.8659999999999997</v>
      </c>
      <c r="O89">
        <v>2313</v>
      </c>
      <c r="P89" t="b">
        <v>0</v>
      </c>
      <c r="Q89" t="b">
        <v>0</v>
      </c>
    </row>
    <row r="90" spans="1:17" hidden="1" x14ac:dyDescent="0.25">
      <c r="A90">
        <v>495</v>
      </c>
      <c r="B90" t="s">
        <v>39</v>
      </c>
      <c r="C90">
        <v>7.5</v>
      </c>
      <c r="D90" t="s">
        <v>34</v>
      </c>
      <c r="E90" t="s">
        <v>35</v>
      </c>
      <c r="F90">
        <v>132069.6</v>
      </c>
      <c r="G90">
        <v>91.5</v>
      </c>
      <c r="H90">
        <v>132205.42600000001</v>
      </c>
      <c r="I90" t="s">
        <v>26</v>
      </c>
      <c r="J90">
        <v>12</v>
      </c>
      <c r="K90">
        <v>5.4710000000000001</v>
      </c>
      <c r="L90">
        <v>2</v>
      </c>
      <c r="M90">
        <v>2</v>
      </c>
      <c r="N90">
        <v>135.82599999999999</v>
      </c>
      <c r="O90">
        <v>2220</v>
      </c>
      <c r="P90" t="b">
        <v>0</v>
      </c>
      <c r="Q90" t="b">
        <v>0</v>
      </c>
    </row>
  </sheetData>
  <autoFilter ref="A1:R90" xr:uid="{CEE7B52F-37E9-4757-BFB2-50AE26839FFD}">
    <filterColumn colId="8">
      <filters>
        <filter val="firm"/>
      </filters>
    </filterColumn>
    <filterColumn colId="16">
      <filters>
        <filter val="FALSE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D24F9-1B07-4A25-85CB-104DC3EF0347}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>
        <v>0.51790000000000003</v>
      </c>
    </row>
    <row r="2" spans="1:1" x14ac:dyDescent="0.25">
      <c r="A2">
        <v>9.1999999999999998E-2</v>
      </c>
    </row>
    <row r="3" spans="1:1" x14ac:dyDescent="0.25">
      <c r="A3">
        <f>1-SUM(A1:A2)</f>
        <v>0.3901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found_levels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Kramida</dc:creator>
  <cp:lastModifiedBy>Alexander Kramida</cp:lastModifiedBy>
  <dcterms:created xsi:type="dcterms:W3CDTF">2026-09-18T21:08:22Z</dcterms:created>
  <dcterms:modified xsi:type="dcterms:W3CDTF">2026-09-20T00:23:29Z</dcterms:modified>
</cp:coreProperties>
</file>