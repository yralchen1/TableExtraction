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UMD\AI\as-ai\LineClass\"/>
    </mc:Choice>
  </mc:AlternateContent>
  <xr:revisionPtr revIDLastSave="0" documentId="13_ncr:1_{A91B6286-0B83-4186-8B48-AD3F11C35242}" xr6:coauthVersionLast="47" xr6:coauthVersionMax="47" xr10:uidLastSave="{00000000-0000-0000-0000-000000000000}"/>
  <bookViews>
    <workbookView xWindow="2550" yWindow="2550" windowWidth="47415" windowHeight="17505" xr2:uid="{00000000-000D-0000-FFFF-FFFF00000000}"/>
  </bookViews>
  <sheets>
    <sheet name="Icalc" sheetId="1" r:id="rId1"/>
  </sheets>
  <definedNames>
    <definedName name="_xlnm._FilterDatabase" localSheetId="0" hidden="1">Icalc!$A$1:$H$96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1" l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<sst xmlns="http://schemas.openxmlformats.org/spreadsheetml/2006/main" count="389" uniqueCount="201">
  <si>
    <t>id1</t>
  </si>
  <si>
    <t>id2</t>
  </si>
  <si>
    <t>rwn</t>
  </si>
  <si>
    <t>gA</t>
  </si>
  <si>
    <t>u%gA</t>
  </si>
  <si>
    <t>Icalc</t>
  </si>
  <si>
    <t>Eup</t>
  </si>
  <si>
    <t>u_ln</t>
  </si>
  <si>
    <t>ref</t>
  </si>
  <si>
    <t>TW</t>
  </si>
  <si>
    <t>059003.000045</t>
  </si>
  <si>
    <t>059003.000041</t>
  </si>
  <si>
    <t>059003.000053</t>
  </si>
  <si>
    <t>059003.000054</t>
  </si>
  <si>
    <t>059003.000047</t>
  </si>
  <si>
    <t>059003.000060</t>
  </si>
  <si>
    <t>059003.000062</t>
  </si>
  <si>
    <t>059003.000067</t>
  </si>
  <si>
    <t>059003.000565</t>
  </si>
  <si>
    <t>059003.000073</t>
  </si>
  <si>
    <t>059003.000075</t>
  </si>
  <si>
    <t>059003.000063</t>
  </si>
  <si>
    <t>059003.000082</t>
  </si>
  <si>
    <t>059003.000080</t>
  </si>
  <si>
    <t>059003.000085</t>
  </si>
  <si>
    <t>059003.000088</t>
  </si>
  <si>
    <t>059003.000087</t>
  </si>
  <si>
    <t>059003.000076</t>
  </si>
  <si>
    <t>059003.000564</t>
  </si>
  <si>
    <t>059003.000081</t>
  </si>
  <si>
    <t>059003.000099</t>
  </si>
  <si>
    <t>059003.000083</t>
  </si>
  <si>
    <t>059003.000097</t>
  </si>
  <si>
    <t>059003.000106</t>
  </si>
  <si>
    <t>059003.000105</t>
  </si>
  <si>
    <t>059003.000563</t>
  </si>
  <si>
    <t>059003.000108</t>
  </si>
  <si>
    <t>059003.000111</t>
  </si>
  <si>
    <t>059003.000095</t>
  </si>
  <si>
    <t>059003.000098</t>
  </si>
  <si>
    <t>059003.000115</t>
  </si>
  <si>
    <t>059003.000104</t>
  </si>
  <si>
    <t>059003.000119</t>
  </si>
  <si>
    <t>059003.000123</t>
  </si>
  <si>
    <t>059003.000112</t>
  </si>
  <si>
    <t>059003.000126</t>
  </si>
  <si>
    <t>059003.000125</t>
  </si>
  <si>
    <t>059003.000127</t>
  </si>
  <si>
    <t>059003.000131</t>
  </si>
  <si>
    <t>059003.000121</t>
  </si>
  <si>
    <t>059003.000560</t>
  </si>
  <si>
    <t>059003.000347</t>
  </si>
  <si>
    <t>059003.000134</t>
  </si>
  <si>
    <t>059003.000346</t>
  </si>
  <si>
    <t>059003.000555</t>
  </si>
  <si>
    <t>059003.000135</t>
  </si>
  <si>
    <t>059003.000130</t>
  </si>
  <si>
    <t>059003.000343</t>
  </si>
  <si>
    <t>059003.000553</t>
  </si>
  <si>
    <t>059003.000550</t>
  </si>
  <si>
    <t>059003.000549</t>
  </si>
  <si>
    <t>059003.000548</t>
  </si>
  <si>
    <t>059003.000345</t>
  </si>
  <si>
    <t>059003.000341</t>
  </si>
  <si>
    <t>059003.000334</t>
  </si>
  <si>
    <t>059003.000145</t>
  </si>
  <si>
    <t>059003.000148</t>
  </si>
  <si>
    <t>059003.000146</t>
  </si>
  <si>
    <t>059003.000330</t>
  </si>
  <si>
    <t>059003.000329</t>
  </si>
  <si>
    <t>059003.000151</t>
  </si>
  <si>
    <t>059003.000327</t>
  </si>
  <si>
    <t>059003.000142</t>
  </si>
  <si>
    <t>059003.000150</t>
  </si>
  <si>
    <t>059003.000144</t>
  </si>
  <si>
    <t>059003.000153</t>
  </si>
  <si>
    <t>059003.000321</t>
  </si>
  <si>
    <t>059003.000149</t>
  </si>
  <si>
    <t>059003.000318</t>
  </si>
  <si>
    <t>059003.000317</t>
  </si>
  <si>
    <t>059003.000160</t>
  </si>
  <si>
    <t>059003.000315</t>
  </si>
  <si>
    <t>059003.000161</t>
  </si>
  <si>
    <t>059003.000541</t>
  </si>
  <si>
    <t>059003.000167</t>
  </si>
  <si>
    <t>059003.000155</t>
  </si>
  <si>
    <t>059003.000165</t>
  </si>
  <si>
    <t>059003.000158</t>
  </si>
  <si>
    <t>059003.000173</t>
  </si>
  <si>
    <t>059003.000556</t>
  </si>
  <si>
    <t>059003.000163</t>
  </si>
  <si>
    <t>059003.000177</t>
  </si>
  <si>
    <t>059003.000551</t>
  </si>
  <si>
    <t>059003.000175</t>
  </si>
  <si>
    <t>059003.000545</t>
  </si>
  <si>
    <t>059003.000543</t>
  </si>
  <si>
    <t>059003.000179</t>
  </si>
  <si>
    <t>059003.000181</t>
  </si>
  <si>
    <t>059003.000322</t>
  </si>
  <si>
    <t>059003.000319</t>
  </si>
  <si>
    <t>059003.000184</t>
  </si>
  <si>
    <t>059003.000180</t>
  </si>
  <si>
    <t>059003.000182</t>
  </si>
  <si>
    <t>059003.000186</t>
  </si>
  <si>
    <t>059003.000191</t>
  </si>
  <si>
    <t>059003.000623</t>
  </si>
  <si>
    <t>1.922E+05</t>
  </si>
  <si>
    <t>1.061E+07</t>
  </si>
  <si>
    <t>1.128E+07</t>
  </si>
  <si>
    <t>1.006E+05</t>
  </si>
  <si>
    <t>5.774E+07</t>
  </si>
  <si>
    <t>1.298E+06</t>
  </si>
  <si>
    <t>8.911E+06</t>
  </si>
  <si>
    <t>5.264E+06</t>
  </si>
  <si>
    <t>1.828E+06</t>
  </si>
  <si>
    <t>7.010E+05</t>
  </si>
  <si>
    <t>5.270E+06</t>
  </si>
  <si>
    <t>1.473E+07</t>
  </si>
  <si>
    <t>1.610E+08</t>
  </si>
  <si>
    <t>9.605E+06</t>
  </si>
  <si>
    <t>5.515E+06</t>
  </si>
  <si>
    <t>8.340E+07</t>
  </si>
  <si>
    <t>1.200E+06</t>
  </si>
  <si>
    <t>8.981E+05</t>
  </si>
  <si>
    <t>1.585E+07</t>
  </si>
  <si>
    <t>6.281E+06</t>
  </si>
  <si>
    <t>2.285E+06</t>
  </si>
  <si>
    <t>6.178E+07</t>
  </si>
  <si>
    <t>2.011E+05</t>
  </si>
  <si>
    <t>4.257E+06</t>
  </si>
  <si>
    <t>1.432E+07</t>
  </si>
  <si>
    <t>7.615E+06</t>
  </si>
  <si>
    <t>6.825E+05</t>
  </si>
  <si>
    <t>4.986E+07</t>
  </si>
  <si>
    <t>1.113E+08</t>
  </si>
  <si>
    <t>1.796E+07</t>
  </si>
  <si>
    <t>1.790E+06</t>
  </si>
  <si>
    <t>1.354E+07</t>
  </si>
  <si>
    <t>1.594E+06</t>
  </si>
  <si>
    <t>1.350E+04</t>
  </si>
  <si>
    <t>1.379E+07</t>
  </si>
  <si>
    <t>1.188E+05</t>
  </si>
  <si>
    <t>1.241E+07</t>
  </si>
  <si>
    <t>8.076E+07</t>
  </si>
  <si>
    <t>2.139E+07</t>
  </si>
  <si>
    <t>4.373E+05</t>
  </si>
  <si>
    <t>1.223E+06</t>
  </si>
  <si>
    <t>6.756E+05</t>
  </si>
  <si>
    <t>2.377E+06</t>
  </si>
  <si>
    <t>1.155E+06</t>
  </si>
  <si>
    <t>6.521E+06</t>
  </si>
  <si>
    <t>2.264E+06</t>
  </si>
  <si>
    <t>1.577E+05</t>
  </si>
  <si>
    <t>3.867E+07</t>
  </si>
  <si>
    <t>9.579E+08</t>
  </si>
  <si>
    <t>2.740E+07</t>
  </si>
  <si>
    <t>1.299E+09</t>
  </si>
  <si>
    <t>7.315E+08</t>
  </si>
  <si>
    <t>1.278E+06</t>
  </si>
  <si>
    <t>3.961E+09</t>
  </si>
  <si>
    <t>1.642E+07</t>
  </si>
  <si>
    <t>5.268E+07</t>
  </si>
  <si>
    <t>6.203E+08</t>
  </si>
  <si>
    <t>7.125E+08</t>
  </si>
  <si>
    <t>9.296E+07</t>
  </si>
  <si>
    <t>2.189E+08</t>
  </si>
  <si>
    <t>5.173E+08</t>
  </si>
  <si>
    <t>1.284E+09</t>
  </si>
  <si>
    <t>4.385E+05</t>
  </si>
  <si>
    <t>1.289E+09</t>
  </si>
  <si>
    <t>1.113E+09</t>
  </si>
  <si>
    <t>1.663E+06</t>
  </si>
  <si>
    <t>3.737E+04</t>
  </si>
  <si>
    <t>2.190E+05</t>
  </si>
  <si>
    <t>2.946E+06</t>
  </si>
  <si>
    <t>1.752E+06</t>
  </si>
  <si>
    <t>2.998E+06</t>
  </si>
  <si>
    <t>9.825E+06</t>
  </si>
  <si>
    <t>5.565E+06</t>
  </si>
  <si>
    <t>1.555E+05</t>
  </si>
  <si>
    <t>4.243E+06</t>
  </si>
  <si>
    <t>4.461E+04</t>
  </si>
  <si>
    <t>5.405E+06</t>
  </si>
  <si>
    <t>8.642E+05</t>
  </si>
  <si>
    <t>1.042E+05</t>
  </si>
  <si>
    <t>1.266E+07</t>
  </si>
  <si>
    <t>6.799E+06</t>
  </si>
  <si>
    <t>8.545E+05</t>
  </si>
  <si>
    <t>4.712E+05</t>
  </si>
  <si>
    <t>1.614E+06</t>
  </si>
  <si>
    <t>9.234E+05</t>
  </si>
  <si>
    <t>1.742E+04</t>
  </si>
  <si>
    <t>7.575E+04</t>
  </si>
  <si>
    <t>3.708E+05</t>
  </si>
  <si>
    <t>7.223E+04</t>
  </si>
  <si>
    <t>3.970E+05</t>
  </si>
  <si>
    <t>5.829E+05</t>
  </si>
  <si>
    <t>7.605E+05</t>
  </si>
  <si>
    <t>1.895E+04</t>
  </si>
  <si>
    <t>4.407E+04</t>
  </si>
  <si>
    <t>4.313E+04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</si>
</sst>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1" fontId="0" fillId="0" borderId="0" xfId="0" applyNumberFormat="1"/>
    <xf numFmtId="2" fontId="0" fillId="0" borderId="0" xfId="0" applyNumberFormat="1"/>
    <xf numFmtId="49" fontId="0" fillId="0" borderId="0" xfId="0" quotePrefix="1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96"/>
  <sheetViews>
    <sheetView tabSelected="1" workbookViewId="0">
      <pane ySplit="1" topLeftCell="A26" activePane="bottomLeft" state="frozen"/>
      <selection pane="bottomLeft" activeCell="G30" sqref="G30"/>
    </sheetView>
  </sheetViews>
  <sheetFormatPr defaultRowHeight="15" x14ac:dyDescent="0.25"/>
  <cols>
    <col min="1" max="2" width="13.7109375" style="1" bestFit="1" customWidth="1"/>
    <col min="3" max="4" width="9.5703125" bestFit="1" customWidth="1"/>
    <col min="5" max="5" width="10" bestFit="1" customWidth="1"/>
    <col min="6" max="6" width="8.5703125" bestFit="1" customWidth="1"/>
    <col min="7" max="7" width="9" bestFit="1" customWidth="1"/>
    <col min="8" max="8" width="7" bestFit="1" customWidth="1"/>
  </cols>
  <sheetData>
    <row r="1" spans="1:9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4" t="s">
        <v>11</v>
      </c>
      <c r="B2" s="1" t="s">
        <v>105</v>
      </c>
      <c r="C2" s="3">
        <v>120111.49999999999</v>
      </c>
      <c r="D2" s="2" t="s">
        <v>106</v>
      </c>
      <c r="E2">
        <v>368.76</v>
      </c>
      <c r="F2" s="5">
        <v>1.673</v>
      </c>
      <c r="G2">
        <v>132958.16</v>
      </c>
      <c r="H2" s="3">
        <f>LN(1+$E2/100)</f>
        <v>1.5449207244023102</v>
      </c>
      <c r="I2" t="s">
        <v>9</v>
      </c>
    </row>
    <row r="3" spans="1:9" x14ac:dyDescent="0.25">
      <c r="A3" s="4" t="s">
        <v>10</v>
      </c>
      <c r="B3" s="1" t="s">
        <v>105</v>
      </c>
      <c r="C3" s="3">
        <v>118399.34</v>
      </c>
      <c r="D3" s="2" t="s">
        <v>107</v>
      </c>
      <c r="E3">
        <v>78.58</v>
      </c>
      <c r="F3" s="5">
        <v>90.581000000000003</v>
      </c>
      <c r="G3">
        <v>132958.16</v>
      </c>
      <c r="H3" s="3">
        <f t="shared" ref="H3:H66" si="0">LN(1+$E3/100)</f>
        <v>0.57986649410097901</v>
      </c>
      <c r="I3" t="s">
        <v>9</v>
      </c>
    </row>
    <row r="4" spans="1:9" x14ac:dyDescent="0.25">
      <c r="A4" s="4" t="s">
        <v>14</v>
      </c>
      <c r="B4" s="1" t="s">
        <v>105</v>
      </c>
      <c r="C4" s="3">
        <v>117912.35999999999</v>
      </c>
      <c r="D4" s="2" t="s">
        <v>108</v>
      </c>
      <c r="E4">
        <v>552.74</v>
      </c>
      <c r="F4" s="5">
        <v>95.982399999999998</v>
      </c>
      <c r="G4">
        <v>132958.16</v>
      </c>
      <c r="H4" s="3">
        <f t="shared" si="0"/>
        <v>1.876008701672955</v>
      </c>
      <c r="I4" t="s">
        <v>9</v>
      </c>
    </row>
    <row r="5" spans="1:9" x14ac:dyDescent="0.25">
      <c r="A5" s="4" t="s">
        <v>12</v>
      </c>
      <c r="B5" s="1" t="s">
        <v>105</v>
      </c>
      <c r="C5" s="3">
        <v>116822.18999999999</v>
      </c>
      <c r="D5" s="2" t="s">
        <v>109</v>
      </c>
      <c r="E5">
        <v>529.15</v>
      </c>
      <c r="F5" s="5">
        <v>0.86040000000000005</v>
      </c>
      <c r="G5">
        <v>132958.16</v>
      </c>
      <c r="H5" s="3">
        <f t="shared" si="0"/>
        <v>1.8391995160498855</v>
      </c>
      <c r="I5" t="s">
        <v>9</v>
      </c>
    </row>
    <row r="6" spans="1:9" x14ac:dyDescent="0.25">
      <c r="A6" s="4" t="s">
        <v>13</v>
      </c>
      <c r="B6" s="1" t="s">
        <v>105</v>
      </c>
      <c r="C6" s="3">
        <v>116442.01</v>
      </c>
      <c r="D6" s="2" t="s">
        <v>110</v>
      </c>
      <c r="E6">
        <v>104.11</v>
      </c>
      <c r="F6" s="5">
        <v>485.50460000000004</v>
      </c>
      <c r="G6">
        <v>132958.16</v>
      </c>
      <c r="H6" s="3">
        <f t="shared" si="0"/>
        <v>0.71348887821785989</v>
      </c>
      <c r="I6" t="s">
        <v>9</v>
      </c>
    </row>
    <row r="7" spans="1:9" x14ac:dyDescent="0.25">
      <c r="A7" s="4" t="s">
        <v>15</v>
      </c>
      <c r="B7" s="1" t="s">
        <v>105</v>
      </c>
      <c r="C7" s="3">
        <v>115331.16</v>
      </c>
      <c r="D7" s="2" t="s">
        <v>111</v>
      </c>
      <c r="E7">
        <v>181.28</v>
      </c>
      <c r="F7" s="5">
        <v>10.802800000000001</v>
      </c>
      <c r="G7">
        <v>132958.16</v>
      </c>
      <c r="H7" s="3">
        <f t="shared" si="0"/>
        <v>1.0341804285087208</v>
      </c>
      <c r="I7" t="s">
        <v>9</v>
      </c>
    </row>
    <row r="8" spans="1:9" x14ac:dyDescent="0.25">
      <c r="A8" s="4" t="s">
        <v>16</v>
      </c>
      <c r="B8" s="1" t="s">
        <v>105</v>
      </c>
      <c r="C8" s="3">
        <v>114894.79999999999</v>
      </c>
      <c r="D8" s="2" t="s">
        <v>112</v>
      </c>
      <c r="E8">
        <v>167.02</v>
      </c>
      <c r="F8" s="5">
        <v>73.946600000000004</v>
      </c>
      <c r="G8">
        <v>132958.16</v>
      </c>
      <c r="H8" s="3">
        <f t="shared" si="0"/>
        <v>0.98215337597385766</v>
      </c>
      <c r="I8" t="s">
        <v>9</v>
      </c>
    </row>
    <row r="9" spans="1:9" x14ac:dyDescent="0.25">
      <c r="A9" s="4" t="s">
        <v>21</v>
      </c>
      <c r="B9" s="1" t="s">
        <v>105</v>
      </c>
      <c r="C9" s="3">
        <v>114746.4</v>
      </c>
      <c r="D9" s="2" t="s">
        <v>113</v>
      </c>
      <c r="E9">
        <v>325.58999999999997</v>
      </c>
      <c r="F9" s="5">
        <v>43.378500000000003</v>
      </c>
      <c r="G9">
        <v>132958.16</v>
      </c>
      <c r="H9" s="3">
        <f t="shared" si="0"/>
        <v>1.4483062555227006</v>
      </c>
      <c r="I9" t="s">
        <v>9</v>
      </c>
    </row>
    <row r="10" spans="1:9" x14ac:dyDescent="0.25">
      <c r="A10" s="4" t="s">
        <v>17</v>
      </c>
      <c r="B10" s="1" t="s">
        <v>105</v>
      </c>
      <c r="C10" s="3">
        <v>113968.07999999999</v>
      </c>
      <c r="D10" s="2" t="s">
        <v>114</v>
      </c>
      <c r="E10">
        <v>111.99</v>
      </c>
      <c r="F10" s="5">
        <v>15.033100000000001</v>
      </c>
      <c r="G10">
        <v>132958.16</v>
      </c>
      <c r="H10" s="3">
        <f t="shared" si="0"/>
        <v>0.75136891776006975</v>
      </c>
      <c r="I10" t="s">
        <v>9</v>
      </c>
    </row>
    <row r="11" spans="1:9" x14ac:dyDescent="0.25">
      <c r="A11" s="4" t="s">
        <v>20</v>
      </c>
      <c r="B11" s="1" t="s">
        <v>105</v>
      </c>
      <c r="C11" s="3">
        <v>112642.50999999998</v>
      </c>
      <c r="D11" s="2" t="s">
        <v>115</v>
      </c>
      <c r="E11">
        <v>312.89999999999998</v>
      </c>
      <c r="F11" s="5">
        <v>5.7121000000000004</v>
      </c>
      <c r="G11">
        <v>132958.16</v>
      </c>
      <c r="H11" s="3">
        <f t="shared" si="0"/>
        <v>1.418035246903953</v>
      </c>
      <c r="I11" t="s">
        <v>9</v>
      </c>
    </row>
    <row r="12" spans="1:9" x14ac:dyDescent="0.25">
      <c r="A12" s="4" t="s">
        <v>19</v>
      </c>
      <c r="B12" s="1" t="s">
        <v>105</v>
      </c>
      <c r="C12" s="3">
        <v>113085.72999999998</v>
      </c>
      <c r="D12" s="2" t="s">
        <v>116</v>
      </c>
      <c r="E12">
        <v>432.18</v>
      </c>
      <c r="F12" s="5">
        <v>42.828800000000001</v>
      </c>
      <c r="G12">
        <v>132958.16</v>
      </c>
      <c r="H12" s="3">
        <f t="shared" si="0"/>
        <v>1.6718115919921603</v>
      </c>
      <c r="I12" t="s">
        <v>9</v>
      </c>
    </row>
    <row r="13" spans="1:9" x14ac:dyDescent="0.25">
      <c r="A13" s="4" t="s">
        <v>27</v>
      </c>
      <c r="B13" s="1" t="s">
        <v>105</v>
      </c>
      <c r="C13" s="3">
        <v>112109.77</v>
      </c>
      <c r="D13" s="2" t="s">
        <v>117</v>
      </c>
      <c r="E13">
        <v>124.88</v>
      </c>
      <c r="F13" s="5">
        <v>119.1893</v>
      </c>
      <c r="G13">
        <v>132958.16</v>
      </c>
      <c r="H13" s="3">
        <f t="shared" si="0"/>
        <v>0.81039674061018518</v>
      </c>
      <c r="I13" t="s">
        <v>9</v>
      </c>
    </row>
    <row r="14" spans="1:9" x14ac:dyDescent="0.25">
      <c r="A14" s="4" t="s">
        <v>29</v>
      </c>
      <c r="B14" s="1" t="s">
        <v>105</v>
      </c>
      <c r="C14" s="3">
        <v>111539.31999999999</v>
      </c>
      <c r="D14" s="2" t="s">
        <v>118</v>
      </c>
      <c r="E14">
        <v>72.459999999999994</v>
      </c>
      <c r="F14" s="5">
        <v>1296.097</v>
      </c>
      <c r="G14">
        <v>132958.16</v>
      </c>
      <c r="H14" s="3">
        <f t="shared" si="0"/>
        <v>0.54499513953608691</v>
      </c>
      <c r="I14" t="s">
        <v>9</v>
      </c>
    </row>
    <row r="15" spans="1:9" x14ac:dyDescent="0.25">
      <c r="A15" s="4" t="s">
        <v>23</v>
      </c>
      <c r="B15" s="1" t="s">
        <v>105</v>
      </c>
      <c r="C15" s="3">
        <v>111663.27</v>
      </c>
      <c r="D15" s="2" t="s">
        <v>119</v>
      </c>
      <c r="E15">
        <v>75.67</v>
      </c>
      <c r="F15" s="5">
        <v>77.316500000000005</v>
      </c>
      <c r="G15">
        <v>132958.16</v>
      </c>
      <c r="H15" s="3">
        <f t="shared" si="0"/>
        <v>0.56343704903720015</v>
      </c>
      <c r="I15" t="s">
        <v>9</v>
      </c>
    </row>
    <row r="16" spans="1:9" x14ac:dyDescent="0.25">
      <c r="A16" s="4" t="s">
        <v>22</v>
      </c>
      <c r="B16" s="1" t="s">
        <v>105</v>
      </c>
      <c r="C16" s="3">
        <v>111422.99</v>
      </c>
      <c r="D16" s="2" t="s">
        <v>120</v>
      </c>
      <c r="E16">
        <v>162.44999999999999</v>
      </c>
      <c r="F16" s="5">
        <v>44.358400000000003</v>
      </c>
      <c r="G16">
        <v>132958.16</v>
      </c>
      <c r="H16" s="3">
        <f t="shared" si="0"/>
        <v>0.96489040171021734</v>
      </c>
      <c r="I16" t="s">
        <v>9</v>
      </c>
    </row>
    <row r="17" spans="1:9" x14ac:dyDescent="0.25">
      <c r="A17" s="4" t="s">
        <v>31</v>
      </c>
      <c r="B17" s="1" t="s">
        <v>105</v>
      </c>
      <c r="C17" s="3">
        <v>111346.97</v>
      </c>
      <c r="D17" s="2" t="s">
        <v>121</v>
      </c>
      <c r="E17">
        <v>182.63</v>
      </c>
      <c r="F17" s="5">
        <v>669.51070000000004</v>
      </c>
      <c r="G17">
        <v>132958.16</v>
      </c>
      <c r="H17" s="3">
        <f t="shared" si="0"/>
        <v>1.0389684357405946</v>
      </c>
      <c r="I17" t="s">
        <v>9</v>
      </c>
    </row>
    <row r="18" spans="1:9" x14ac:dyDescent="0.25">
      <c r="A18" s="4" t="s">
        <v>24</v>
      </c>
      <c r="B18" s="1" t="s">
        <v>105</v>
      </c>
      <c r="C18" s="3">
        <v>110877.22</v>
      </c>
      <c r="D18" s="2" t="s">
        <v>122</v>
      </c>
      <c r="E18">
        <v>396.01</v>
      </c>
      <c r="F18" s="5">
        <v>9.607800000000001</v>
      </c>
      <c r="G18">
        <v>132958.16</v>
      </c>
      <c r="H18" s="3">
        <f t="shared" si="0"/>
        <v>1.6014259018239225</v>
      </c>
      <c r="I18" t="s">
        <v>9</v>
      </c>
    </row>
    <row r="19" spans="1:9" x14ac:dyDescent="0.25">
      <c r="A19" s="4" t="s">
        <v>25</v>
      </c>
      <c r="B19" s="1" t="s">
        <v>105</v>
      </c>
      <c r="C19" s="3">
        <v>110210.46999999999</v>
      </c>
      <c r="D19" s="2" t="s">
        <v>123</v>
      </c>
      <c r="E19">
        <v>1043.52</v>
      </c>
      <c r="F19" s="5">
        <v>7.1461000000000006</v>
      </c>
      <c r="G19">
        <v>132958.16</v>
      </c>
      <c r="H19" s="3">
        <f t="shared" si="0"/>
        <v>2.4366963174835772</v>
      </c>
      <c r="I19" t="s">
        <v>9</v>
      </c>
    </row>
    <row r="20" spans="1:9" x14ac:dyDescent="0.25">
      <c r="A20" s="4" t="s">
        <v>26</v>
      </c>
      <c r="B20" s="1" t="s">
        <v>105</v>
      </c>
      <c r="C20" s="3">
        <v>110430.45999999999</v>
      </c>
      <c r="D20" s="2" t="s">
        <v>124</v>
      </c>
      <c r="E20">
        <v>81.48</v>
      </c>
      <c r="F20" s="5">
        <v>126.04860000000001</v>
      </c>
      <c r="G20">
        <v>132958.16</v>
      </c>
      <c r="H20" s="3">
        <f t="shared" si="0"/>
        <v>0.59597526880767171</v>
      </c>
      <c r="I20" t="s">
        <v>9</v>
      </c>
    </row>
    <row r="21" spans="1:9" x14ac:dyDescent="0.25">
      <c r="A21" s="4" t="s">
        <v>39</v>
      </c>
      <c r="B21" s="1" t="s">
        <v>105</v>
      </c>
      <c r="C21" s="3">
        <v>109206.59</v>
      </c>
      <c r="D21" s="2" t="s">
        <v>125</v>
      </c>
      <c r="E21">
        <v>131.72</v>
      </c>
      <c r="F21" s="5">
        <v>49.616400000000006</v>
      </c>
      <c r="G21">
        <v>132958.16</v>
      </c>
      <c r="H21" s="3">
        <f t="shared" si="0"/>
        <v>0.84035956024033187</v>
      </c>
      <c r="I21" t="s">
        <v>9</v>
      </c>
    </row>
    <row r="22" spans="1:9" x14ac:dyDescent="0.25">
      <c r="A22" s="4" t="s">
        <v>32</v>
      </c>
      <c r="B22" s="1" t="s">
        <v>105</v>
      </c>
      <c r="C22" s="3">
        <v>109306.27999999998</v>
      </c>
      <c r="D22" s="2" t="s">
        <v>126</v>
      </c>
      <c r="E22">
        <v>245.03</v>
      </c>
      <c r="F22" s="5">
        <v>18.020600000000002</v>
      </c>
      <c r="G22">
        <v>132958.16</v>
      </c>
      <c r="H22" s="3">
        <f t="shared" si="0"/>
        <v>1.2384611837845083</v>
      </c>
      <c r="I22" t="s">
        <v>9</v>
      </c>
    </row>
    <row r="23" spans="1:9" x14ac:dyDescent="0.25">
      <c r="A23" s="4" t="s">
        <v>38</v>
      </c>
      <c r="B23" s="1" t="s">
        <v>105</v>
      </c>
      <c r="C23" s="3">
        <v>109425.29999999999</v>
      </c>
      <c r="D23" s="2" t="s">
        <v>127</v>
      </c>
      <c r="E23">
        <v>174.61</v>
      </c>
      <c r="F23" s="5">
        <v>486.89080000000001</v>
      </c>
      <c r="G23">
        <v>132958.16</v>
      </c>
      <c r="H23" s="3">
        <f t="shared" si="0"/>
        <v>1.0101817232886832</v>
      </c>
      <c r="I23" t="s">
        <v>9</v>
      </c>
    </row>
    <row r="24" spans="1:9" x14ac:dyDescent="0.25">
      <c r="A24" s="4" t="s">
        <v>30</v>
      </c>
      <c r="B24" s="1" t="s">
        <v>105</v>
      </c>
      <c r="C24" s="3">
        <v>109113.57999999999</v>
      </c>
      <c r="D24" s="2" t="s">
        <v>128</v>
      </c>
      <c r="E24">
        <v>308.18</v>
      </c>
      <c r="F24" s="5">
        <v>1.5774000000000001</v>
      </c>
      <c r="G24">
        <v>132958.16</v>
      </c>
      <c r="H24" s="3">
        <f t="shared" si="0"/>
        <v>1.406538067596933</v>
      </c>
      <c r="I24" t="s">
        <v>9</v>
      </c>
    </row>
    <row r="25" spans="1:9" x14ac:dyDescent="0.25">
      <c r="A25" s="4" t="s">
        <v>34</v>
      </c>
      <c r="B25" s="1" t="s">
        <v>105</v>
      </c>
      <c r="C25" s="3">
        <v>108487.26</v>
      </c>
      <c r="D25" s="2" t="s">
        <v>129</v>
      </c>
      <c r="E25">
        <v>298.83</v>
      </c>
      <c r="F25" s="5">
        <v>33.364400000000003</v>
      </c>
      <c r="G25">
        <v>132958.16</v>
      </c>
      <c r="H25" s="3">
        <f t="shared" si="0"/>
        <v>1.3833650749473136</v>
      </c>
      <c r="I25" t="s">
        <v>9</v>
      </c>
    </row>
    <row r="26" spans="1:9" x14ac:dyDescent="0.25">
      <c r="A26" s="4" t="s">
        <v>41</v>
      </c>
      <c r="B26" s="1" t="s">
        <v>105</v>
      </c>
      <c r="C26" s="3">
        <v>108496.91999999998</v>
      </c>
      <c r="D26" s="2" t="s">
        <v>130</v>
      </c>
      <c r="E26">
        <v>324.44</v>
      </c>
      <c r="F26" s="5">
        <v>112.0193</v>
      </c>
      <c r="G26">
        <v>132958.16</v>
      </c>
      <c r="H26" s="3">
        <f t="shared" si="0"/>
        <v>1.4456004670172984</v>
      </c>
      <c r="I26" t="s">
        <v>9</v>
      </c>
    </row>
    <row r="27" spans="1:9" x14ac:dyDescent="0.25">
      <c r="A27" s="4" t="s">
        <v>33</v>
      </c>
      <c r="B27" s="1" t="s">
        <v>105</v>
      </c>
      <c r="C27" s="3">
        <v>108170.13999999998</v>
      </c>
      <c r="D27" s="2" t="s">
        <v>131</v>
      </c>
      <c r="E27">
        <v>110</v>
      </c>
      <c r="F27" s="5">
        <v>59.367600000000003</v>
      </c>
      <c r="G27">
        <v>132958.16</v>
      </c>
      <c r="H27" s="3">
        <f t="shared" si="0"/>
        <v>0.74193734472937733</v>
      </c>
      <c r="I27" t="s">
        <v>9</v>
      </c>
    </row>
    <row r="28" spans="1:9" x14ac:dyDescent="0.25">
      <c r="A28" s="4" t="s">
        <v>36</v>
      </c>
      <c r="B28" s="1" t="s">
        <v>105</v>
      </c>
      <c r="C28" s="3">
        <v>107924.25</v>
      </c>
      <c r="D28" s="2" t="s">
        <v>132</v>
      </c>
      <c r="E28">
        <v>830.34</v>
      </c>
      <c r="F28" s="5">
        <v>5.3058000000000005</v>
      </c>
      <c r="G28">
        <v>132958.16</v>
      </c>
      <c r="H28" s="3">
        <f t="shared" si="0"/>
        <v>2.230379924744808</v>
      </c>
      <c r="I28" t="s">
        <v>9</v>
      </c>
    </row>
    <row r="29" spans="1:9" x14ac:dyDescent="0.25">
      <c r="A29" s="4" t="s">
        <v>37</v>
      </c>
      <c r="B29" s="1" t="s">
        <v>105</v>
      </c>
      <c r="C29" s="3">
        <v>107548.42</v>
      </c>
      <c r="D29" s="2" t="s">
        <v>133</v>
      </c>
      <c r="E29">
        <v>75.88</v>
      </c>
      <c r="F29" s="5">
        <v>385.72210000000001</v>
      </c>
      <c r="G29">
        <v>132958.16</v>
      </c>
      <c r="H29" s="3">
        <f t="shared" si="0"/>
        <v>0.56463175832451795</v>
      </c>
      <c r="I29" t="s">
        <v>9</v>
      </c>
    </row>
    <row r="30" spans="1:9" x14ac:dyDescent="0.25">
      <c r="A30" s="4" t="s">
        <v>44</v>
      </c>
      <c r="B30" s="1" t="s">
        <v>105</v>
      </c>
      <c r="C30" s="3">
        <v>107023.18</v>
      </c>
      <c r="D30" s="2" t="s">
        <v>134</v>
      </c>
      <c r="E30">
        <v>87.06</v>
      </c>
      <c r="F30" s="5">
        <v>857.24520000000007</v>
      </c>
      <c r="G30">
        <v>132958.16</v>
      </c>
      <c r="H30" s="3">
        <f t="shared" si="0"/>
        <v>0.6262592350183136</v>
      </c>
      <c r="I30" t="s">
        <v>9</v>
      </c>
    </row>
    <row r="31" spans="1:9" x14ac:dyDescent="0.25">
      <c r="A31" s="4" t="s">
        <v>40</v>
      </c>
      <c r="B31" s="1" t="s">
        <v>105</v>
      </c>
      <c r="C31" s="3">
        <v>106511.19</v>
      </c>
      <c r="D31" s="2" t="s">
        <v>135</v>
      </c>
      <c r="E31">
        <v>203.2</v>
      </c>
      <c r="F31" s="5">
        <v>137.71180000000001</v>
      </c>
      <c r="G31">
        <v>132958.16</v>
      </c>
      <c r="H31" s="3">
        <f t="shared" si="0"/>
        <v>1.1092224677801252</v>
      </c>
      <c r="I31" t="s">
        <v>9</v>
      </c>
    </row>
    <row r="32" spans="1:9" x14ac:dyDescent="0.25">
      <c r="A32" s="4" t="s">
        <v>42</v>
      </c>
      <c r="B32" s="1" t="s">
        <v>105</v>
      </c>
      <c r="C32" s="3">
        <v>105819.61</v>
      </c>
      <c r="D32" s="2" t="s">
        <v>136</v>
      </c>
      <c r="E32">
        <v>324.08999999999997</v>
      </c>
      <c r="F32" s="5">
        <v>13.694700000000001</v>
      </c>
      <c r="G32">
        <v>132958.16</v>
      </c>
      <c r="H32" s="3">
        <f t="shared" si="0"/>
        <v>1.4447755108699623</v>
      </c>
      <c r="I32" t="s">
        <v>9</v>
      </c>
    </row>
    <row r="33" spans="1:9" x14ac:dyDescent="0.25">
      <c r="A33" s="4" t="s">
        <v>49</v>
      </c>
      <c r="B33" s="1" t="s">
        <v>105</v>
      </c>
      <c r="C33" s="3">
        <v>105505.70999999999</v>
      </c>
      <c r="D33" s="2" t="s">
        <v>137</v>
      </c>
      <c r="E33">
        <v>100.38</v>
      </c>
      <c r="F33" s="5">
        <v>103.20020000000001</v>
      </c>
      <c r="G33">
        <v>132958.16</v>
      </c>
      <c r="H33" s="3">
        <f t="shared" si="0"/>
        <v>0.69504537784302556</v>
      </c>
      <c r="I33" t="s">
        <v>9</v>
      </c>
    </row>
    <row r="34" spans="1:9" x14ac:dyDescent="0.25">
      <c r="A34" s="4" t="s">
        <v>43</v>
      </c>
      <c r="B34" s="1" t="s">
        <v>105</v>
      </c>
      <c r="C34" s="3">
        <v>105353.9</v>
      </c>
      <c r="D34" s="2" t="s">
        <v>138</v>
      </c>
      <c r="E34">
        <v>597.73</v>
      </c>
      <c r="F34" s="5">
        <v>12.093400000000001</v>
      </c>
      <c r="G34">
        <v>132958.16</v>
      </c>
      <c r="H34" s="3">
        <f t="shared" si="0"/>
        <v>1.9426620224560851</v>
      </c>
      <c r="I34" t="s">
        <v>9</v>
      </c>
    </row>
    <row r="35" spans="1:9" x14ac:dyDescent="0.25">
      <c r="A35" s="4" t="s">
        <v>46</v>
      </c>
      <c r="B35" s="1" t="s">
        <v>105</v>
      </c>
      <c r="C35" s="3">
        <v>104558.73</v>
      </c>
      <c r="D35" s="2" t="s">
        <v>139</v>
      </c>
      <c r="E35">
        <v>167.89</v>
      </c>
      <c r="F35" s="5">
        <v>9.5600000000000004E-2</v>
      </c>
      <c r="G35">
        <v>132958.16</v>
      </c>
      <c r="H35" s="3">
        <f t="shared" si="0"/>
        <v>0.98540626250483265</v>
      </c>
      <c r="I35" t="s">
        <v>9</v>
      </c>
    </row>
    <row r="36" spans="1:9" x14ac:dyDescent="0.25">
      <c r="A36" s="4" t="s">
        <v>45</v>
      </c>
      <c r="B36" s="1" t="s">
        <v>105</v>
      </c>
      <c r="C36" s="3">
        <v>104237.45</v>
      </c>
      <c r="D36" s="2" t="s">
        <v>140</v>
      </c>
      <c r="E36">
        <v>96.25</v>
      </c>
      <c r="F36" s="5">
        <v>103.91720000000001</v>
      </c>
      <c r="G36">
        <v>132958.16</v>
      </c>
      <c r="H36" s="3">
        <f t="shared" si="0"/>
        <v>0.67421917067442638</v>
      </c>
      <c r="I36" t="s">
        <v>9</v>
      </c>
    </row>
    <row r="37" spans="1:9" x14ac:dyDescent="0.25">
      <c r="A37" s="4" t="s">
        <v>47</v>
      </c>
      <c r="B37" s="1" t="s">
        <v>105</v>
      </c>
      <c r="C37" s="3">
        <v>104073.01999999999</v>
      </c>
      <c r="D37" s="2" t="s">
        <v>141</v>
      </c>
      <c r="E37">
        <v>450.27</v>
      </c>
      <c r="F37" s="5">
        <v>0.88430000000000009</v>
      </c>
      <c r="G37">
        <v>132958.16</v>
      </c>
      <c r="H37" s="3">
        <f t="shared" si="0"/>
        <v>1.7052388808728871</v>
      </c>
      <c r="I37" t="s">
        <v>9</v>
      </c>
    </row>
    <row r="38" spans="1:9" x14ac:dyDescent="0.25">
      <c r="A38" s="4" t="s">
        <v>56</v>
      </c>
      <c r="B38" s="1" t="s">
        <v>105</v>
      </c>
      <c r="C38" s="3">
        <v>103690.29999999999</v>
      </c>
      <c r="D38" s="2" t="s">
        <v>142</v>
      </c>
      <c r="E38">
        <v>235.25</v>
      </c>
      <c r="F38" s="5">
        <v>93.066600000000008</v>
      </c>
      <c r="G38">
        <v>132958.16</v>
      </c>
      <c r="H38" s="3">
        <f t="shared" si="0"/>
        <v>1.2097063361736966</v>
      </c>
      <c r="I38" t="s">
        <v>9</v>
      </c>
    </row>
    <row r="39" spans="1:9" x14ac:dyDescent="0.25">
      <c r="A39" s="4" t="s">
        <v>48</v>
      </c>
      <c r="B39" s="1" t="s">
        <v>105</v>
      </c>
      <c r="C39" s="3">
        <v>103123.06999999998</v>
      </c>
      <c r="D39" s="2" t="s">
        <v>143</v>
      </c>
      <c r="E39">
        <v>85.9</v>
      </c>
      <c r="F39" s="5">
        <v>601.53910000000008</v>
      </c>
      <c r="G39">
        <v>132958.16</v>
      </c>
      <c r="H39" s="3">
        <f t="shared" si="0"/>
        <v>0.620038708739307</v>
      </c>
      <c r="I39" t="s">
        <v>9</v>
      </c>
    </row>
    <row r="40" spans="1:9" x14ac:dyDescent="0.25">
      <c r="A40" s="4" t="s">
        <v>55</v>
      </c>
      <c r="B40" s="1" t="s">
        <v>105</v>
      </c>
      <c r="C40" s="3">
        <v>101703.44999999998</v>
      </c>
      <c r="D40" s="2" t="s">
        <v>144</v>
      </c>
      <c r="E40">
        <v>144.08000000000001</v>
      </c>
      <c r="F40" s="5">
        <v>157.35760000000002</v>
      </c>
      <c r="G40">
        <v>132958.16</v>
      </c>
      <c r="H40" s="3">
        <f t="shared" si="0"/>
        <v>0.89232585442032297</v>
      </c>
      <c r="I40" t="s">
        <v>9</v>
      </c>
    </row>
    <row r="41" spans="1:9" x14ac:dyDescent="0.25">
      <c r="A41" s="4" t="s">
        <v>52</v>
      </c>
      <c r="B41" s="1" t="s">
        <v>105</v>
      </c>
      <c r="C41" s="3">
        <v>101963.60999999999</v>
      </c>
      <c r="D41" s="2" t="s">
        <v>145</v>
      </c>
      <c r="E41">
        <v>97.13</v>
      </c>
      <c r="F41" s="5">
        <v>3.2265000000000001</v>
      </c>
      <c r="G41">
        <v>132958.16</v>
      </c>
      <c r="H41" s="3">
        <f t="shared" si="0"/>
        <v>0.67869322358979478</v>
      </c>
      <c r="I41" t="s">
        <v>9</v>
      </c>
    </row>
    <row r="42" spans="1:9" x14ac:dyDescent="0.25">
      <c r="A42" s="4" t="s">
        <v>72</v>
      </c>
      <c r="B42" s="1" t="s">
        <v>105</v>
      </c>
      <c r="C42" s="3">
        <v>99298.17</v>
      </c>
      <c r="D42" s="2" t="s">
        <v>146</v>
      </c>
      <c r="E42">
        <v>312.45999999999998</v>
      </c>
      <c r="F42" s="5">
        <v>8.7713000000000001</v>
      </c>
      <c r="G42">
        <v>132958.16</v>
      </c>
      <c r="H42" s="3">
        <f t="shared" si="0"/>
        <v>1.4169690453878094</v>
      </c>
      <c r="I42" t="s">
        <v>9</v>
      </c>
    </row>
    <row r="43" spans="1:9" x14ac:dyDescent="0.25">
      <c r="A43" s="4" t="s">
        <v>74</v>
      </c>
      <c r="B43" s="1" t="s">
        <v>105</v>
      </c>
      <c r="C43" s="3">
        <v>98437.89</v>
      </c>
      <c r="D43" s="2" t="s">
        <v>147</v>
      </c>
      <c r="E43">
        <v>664.12</v>
      </c>
      <c r="F43" s="5">
        <v>4.8039000000000005</v>
      </c>
      <c r="G43">
        <v>132958.16</v>
      </c>
      <c r="H43" s="3">
        <f t="shared" si="0"/>
        <v>2.0335546589073599</v>
      </c>
      <c r="I43" t="s">
        <v>9</v>
      </c>
    </row>
    <row r="44" spans="1:9" x14ac:dyDescent="0.25">
      <c r="A44" s="4" t="s">
        <v>65</v>
      </c>
      <c r="B44" s="1" t="s">
        <v>105</v>
      </c>
      <c r="C44" s="3">
        <v>98132.669999999984</v>
      </c>
      <c r="D44" s="2" t="s">
        <v>148</v>
      </c>
      <c r="E44">
        <v>224.23</v>
      </c>
      <c r="F44" s="5">
        <v>16.849499999999999</v>
      </c>
      <c r="G44">
        <v>132958.16</v>
      </c>
      <c r="H44" s="3">
        <f t="shared" si="0"/>
        <v>1.1762829545042726</v>
      </c>
      <c r="I44" t="s">
        <v>9</v>
      </c>
    </row>
    <row r="45" spans="1:9" x14ac:dyDescent="0.25">
      <c r="A45" s="4" t="s">
        <v>67</v>
      </c>
      <c r="B45" s="1" t="s">
        <v>105</v>
      </c>
      <c r="C45" s="3">
        <v>97933.67</v>
      </c>
      <c r="D45" s="2" t="s">
        <v>149</v>
      </c>
      <c r="E45">
        <v>893.16</v>
      </c>
      <c r="F45" s="5">
        <v>8.1738</v>
      </c>
      <c r="G45">
        <v>132958.16</v>
      </c>
      <c r="H45" s="3">
        <f t="shared" si="0"/>
        <v>2.2957215929726429</v>
      </c>
      <c r="I45" t="s">
        <v>9</v>
      </c>
    </row>
    <row r="46" spans="1:9" x14ac:dyDescent="0.25">
      <c r="A46" s="4" t="s">
        <v>77</v>
      </c>
      <c r="B46" s="1" t="s">
        <v>105</v>
      </c>
      <c r="C46" s="3">
        <v>97573.989999999991</v>
      </c>
      <c r="D46" s="2" t="s">
        <v>150</v>
      </c>
      <c r="E46">
        <v>317.06</v>
      </c>
      <c r="F46" s="5">
        <v>46.0075</v>
      </c>
      <c r="G46">
        <v>132958.16</v>
      </c>
      <c r="H46" s="3">
        <f t="shared" si="0"/>
        <v>1.4280599103523581</v>
      </c>
      <c r="I46" t="s">
        <v>9</v>
      </c>
    </row>
    <row r="47" spans="1:9" x14ac:dyDescent="0.25">
      <c r="A47" s="4" t="s">
        <v>66</v>
      </c>
      <c r="B47" s="1" t="s">
        <v>105</v>
      </c>
      <c r="C47" s="3">
        <v>97667.159999999989</v>
      </c>
      <c r="D47" s="2" t="s">
        <v>151</v>
      </c>
      <c r="E47">
        <v>74.55</v>
      </c>
      <c r="F47" s="5">
        <v>15.965200000000001</v>
      </c>
      <c r="G47">
        <v>132958.16</v>
      </c>
      <c r="H47" s="3">
        <f t="shared" si="0"/>
        <v>0.55704104756295358</v>
      </c>
      <c r="I47" t="s">
        <v>9</v>
      </c>
    </row>
    <row r="48" spans="1:9" x14ac:dyDescent="0.25">
      <c r="A48" s="4" t="s">
        <v>73</v>
      </c>
      <c r="B48" s="1" t="s">
        <v>105</v>
      </c>
      <c r="C48" s="3">
        <v>97157.04</v>
      </c>
      <c r="D48" s="2" t="s">
        <v>152</v>
      </c>
      <c r="E48">
        <v>240.17</v>
      </c>
      <c r="F48" s="5">
        <v>1.0994000000000002</v>
      </c>
      <c r="G48">
        <v>132958.16</v>
      </c>
      <c r="H48" s="3">
        <f t="shared" si="0"/>
        <v>1.2242753066637668</v>
      </c>
      <c r="I48" t="s">
        <v>9</v>
      </c>
    </row>
    <row r="49" spans="1:9" x14ac:dyDescent="0.25">
      <c r="A49" s="4" t="s">
        <v>70</v>
      </c>
      <c r="B49" s="1" t="s">
        <v>105</v>
      </c>
      <c r="C49" s="3">
        <v>97129.699999999983</v>
      </c>
      <c r="D49" s="2" t="s">
        <v>153</v>
      </c>
      <c r="E49">
        <v>73.37</v>
      </c>
      <c r="F49" s="5">
        <v>270.8109</v>
      </c>
      <c r="G49">
        <v>132958.16</v>
      </c>
      <c r="H49" s="3">
        <f t="shared" si="0"/>
        <v>0.55025785300970498</v>
      </c>
      <c r="I49" t="s">
        <v>9</v>
      </c>
    </row>
    <row r="50" spans="1:9" x14ac:dyDescent="0.25">
      <c r="A50" s="4" t="s">
        <v>85</v>
      </c>
      <c r="B50" s="1" t="s">
        <v>105</v>
      </c>
      <c r="C50" s="3">
        <v>96305.87</v>
      </c>
      <c r="D50" s="2" t="s">
        <v>154</v>
      </c>
      <c r="E50">
        <v>130.53</v>
      </c>
      <c r="F50" s="5">
        <v>6653.7839000000004</v>
      </c>
      <c r="G50">
        <v>132958.16</v>
      </c>
      <c r="H50" s="3">
        <f t="shared" si="0"/>
        <v>0.83521081982341316</v>
      </c>
      <c r="I50" t="s">
        <v>9</v>
      </c>
    </row>
    <row r="51" spans="1:9" x14ac:dyDescent="0.25">
      <c r="A51" s="4" t="s">
        <v>75</v>
      </c>
      <c r="B51" s="1" t="s">
        <v>105</v>
      </c>
      <c r="C51" s="3">
        <v>96317.78</v>
      </c>
      <c r="D51" s="2" t="s">
        <v>155</v>
      </c>
      <c r="E51">
        <v>238.68</v>
      </c>
      <c r="F51" s="5">
        <v>190.29179999999999</v>
      </c>
      <c r="G51">
        <v>132958.16</v>
      </c>
      <c r="H51" s="3">
        <f t="shared" si="0"/>
        <v>1.2198855227859851</v>
      </c>
      <c r="I51" t="s">
        <v>9</v>
      </c>
    </row>
    <row r="52" spans="1:9" x14ac:dyDescent="0.25">
      <c r="A52" s="4" t="s">
        <v>87</v>
      </c>
      <c r="B52" s="1" t="s">
        <v>105</v>
      </c>
      <c r="C52" s="3">
        <v>95946.239999999991</v>
      </c>
      <c r="D52" s="2" t="s">
        <v>156</v>
      </c>
      <c r="E52">
        <v>92.8</v>
      </c>
      <c r="F52" s="5">
        <v>9000.5727000000006</v>
      </c>
      <c r="G52">
        <v>132958.16</v>
      </c>
      <c r="H52" s="3">
        <f t="shared" si="0"/>
        <v>0.65648319618835382</v>
      </c>
      <c r="I52" t="s">
        <v>9</v>
      </c>
    </row>
    <row r="53" spans="1:9" x14ac:dyDescent="0.25">
      <c r="A53" s="4" t="s">
        <v>80</v>
      </c>
      <c r="B53" s="1" t="s">
        <v>105</v>
      </c>
      <c r="C53" s="3">
        <v>95038.58</v>
      </c>
      <c r="D53" s="2" t="s">
        <v>157</v>
      </c>
      <c r="E53">
        <v>82.56</v>
      </c>
      <c r="F53" s="5">
        <v>5012.5470000000005</v>
      </c>
      <c r="G53">
        <v>132958.16</v>
      </c>
      <c r="H53" s="3">
        <f t="shared" si="0"/>
        <v>0.60190870012567421</v>
      </c>
      <c r="I53" t="s">
        <v>9</v>
      </c>
    </row>
    <row r="54" spans="1:9" x14ac:dyDescent="0.25">
      <c r="A54" s="4" t="s">
        <v>82</v>
      </c>
      <c r="B54" s="1" t="s">
        <v>105</v>
      </c>
      <c r="C54" s="3">
        <v>94509.78</v>
      </c>
      <c r="D54" s="2" t="s">
        <v>158</v>
      </c>
      <c r="E54">
        <v>104.53</v>
      </c>
      <c r="F54" s="5">
        <v>8.7234999999999996</v>
      </c>
      <c r="G54">
        <v>132958.16</v>
      </c>
      <c r="H54" s="3">
        <f t="shared" si="0"/>
        <v>0.71554447800198362</v>
      </c>
      <c r="I54" t="s">
        <v>9</v>
      </c>
    </row>
    <row r="55" spans="1:9" x14ac:dyDescent="0.25">
      <c r="A55" s="4" t="s">
        <v>90</v>
      </c>
      <c r="B55" s="1" t="s">
        <v>105</v>
      </c>
      <c r="C55" s="3">
        <v>94263.64999999998</v>
      </c>
      <c r="D55" s="2" t="s">
        <v>159</v>
      </c>
      <c r="E55">
        <v>82.85</v>
      </c>
      <c r="F55" s="5">
        <v>26957.7899</v>
      </c>
      <c r="G55">
        <v>132958.16</v>
      </c>
      <c r="H55" s="3">
        <f t="shared" si="0"/>
        <v>0.60349595860729888</v>
      </c>
      <c r="I55" t="s">
        <v>9</v>
      </c>
    </row>
    <row r="56" spans="1:9" x14ac:dyDescent="0.25">
      <c r="A56" s="4" t="s">
        <v>86</v>
      </c>
      <c r="B56" s="1" t="s">
        <v>105</v>
      </c>
      <c r="C56" s="3">
        <v>94231.659999999989</v>
      </c>
      <c r="D56" s="2" t="s">
        <v>160</v>
      </c>
      <c r="E56">
        <v>104.53</v>
      </c>
      <c r="F56" s="5">
        <v>111.63690000000001</v>
      </c>
      <c r="G56">
        <v>132958.16</v>
      </c>
      <c r="H56" s="3">
        <f t="shared" si="0"/>
        <v>0.71554447800198362</v>
      </c>
      <c r="I56" t="s">
        <v>9</v>
      </c>
    </row>
    <row r="57" spans="1:9" x14ac:dyDescent="0.25">
      <c r="A57" s="4" t="s">
        <v>84</v>
      </c>
      <c r="B57" s="1" t="s">
        <v>105</v>
      </c>
      <c r="C57" s="3">
        <v>93933.889999999985</v>
      </c>
      <c r="D57" s="2" t="s">
        <v>161</v>
      </c>
      <c r="E57">
        <v>76.75</v>
      </c>
      <c r="F57" s="5">
        <v>356.39680000000004</v>
      </c>
      <c r="G57">
        <v>132958.16</v>
      </c>
      <c r="H57" s="3">
        <f t="shared" si="0"/>
        <v>0.56956611878859076</v>
      </c>
      <c r="I57" t="s">
        <v>9</v>
      </c>
    </row>
    <row r="58" spans="1:9" x14ac:dyDescent="0.25">
      <c r="A58" s="4" t="s">
        <v>88</v>
      </c>
      <c r="B58" s="1" t="s">
        <v>105</v>
      </c>
      <c r="C58" s="3">
        <v>93087.989999999991</v>
      </c>
      <c r="D58" s="2" t="s">
        <v>162</v>
      </c>
      <c r="E58">
        <v>76.760000000000005</v>
      </c>
      <c r="F58" s="5">
        <v>4157.3094000000001</v>
      </c>
      <c r="G58">
        <v>132958.16</v>
      </c>
      <c r="H58" s="3">
        <f t="shared" si="0"/>
        <v>0.56962269427444789</v>
      </c>
      <c r="I58" t="s">
        <v>9</v>
      </c>
    </row>
    <row r="59" spans="1:9" x14ac:dyDescent="0.25">
      <c r="A59" s="4" t="s">
        <v>93</v>
      </c>
      <c r="B59" s="1" t="s">
        <v>105</v>
      </c>
      <c r="C59" s="3">
        <v>92859.5</v>
      </c>
      <c r="D59" s="2" t="s">
        <v>163</v>
      </c>
      <c r="E59">
        <v>72.22</v>
      </c>
      <c r="F59" s="5">
        <v>4766.4009000000005</v>
      </c>
      <c r="G59">
        <v>132958.16</v>
      </c>
      <c r="H59" s="3">
        <f t="shared" si="0"/>
        <v>0.54360254327992774</v>
      </c>
      <c r="I59" t="s">
        <v>9</v>
      </c>
    </row>
    <row r="60" spans="1:9" x14ac:dyDescent="0.25">
      <c r="A60" s="4" t="s">
        <v>91</v>
      </c>
      <c r="B60" s="1" t="s">
        <v>105</v>
      </c>
      <c r="C60" s="3">
        <v>91934.18</v>
      </c>
      <c r="D60" s="2" t="s">
        <v>164</v>
      </c>
      <c r="E60">
        <v>114.45</v>
      </c>
      <c r="F60" s="5">
        <v>615.09040000000005</v>
      </c>
      <c r="G60">
        <v>132958.16</v>
      </c>
      <c r="H60" s="3">
        <f t="shared" si="0"/>
        <v>0.76290642497479799</v>
      </c>
      <c r="I60" t="s">
        <v>9</v>
      </c>
    </row>
    <row r="61" spans="1:9" x14ac:dyDescent="0.25">
      <c r="A61" s="4" t="s">
        <v>96</v>
      </c>
      <c r="B61" s="1" t="s">
        <v>105</v>
      </c>
      <c r="C61" s="3">
        <v>88278.18</v>
      </c>
      <c r="D61" s="2" t="s">
        <v>165</v>
      </c>
      <c r="E61">
        <v>69.790000000000006</v>
      </c>
      <c r="F61" s="5">
        <v>1397.2179000000001</v>
      </c>
      <c r="G61">
        <v>132958.16</v>
      </c>
      <c r="H61" s="3">
        <f t="shared" si="0"/>
        <v>0.52939219333982923</v>
      </c>
      <c r="I61" t="s">
        <v>9</v>
      </c>
    </row>
    <row r="62" spans="1:9" x14ac:dyDescent="0.25">
      <c r="A62" s="4" t="s">
        <v>101</v>
      </c>
      <c r="B62" s="1" t="s">
        <v>105</v>
      </c>
      <c r="C62" s="3">
        <v>88054.739999999991</v>
      </c>
      <c r="D62" s="2" t="s">
        <v>166</v>
      </c>
      <c r="E62">
        <v>76.3</v>
      </c>
      <c r="F62" s="5">
        <v>3294.8301000000001</v>
      </c>
      <c r="G62">
        <v>132958.16</v>
      </c>
      <c r="H62" s="3">
        <f t="shared" si="0"/>
        <v>0.56701690341573308</v>
      </c>
      <c r="I62" t="s">
        <v>9</v>
      </c>
    </row>
    <row r="63" spans="1:9" x14ac:dyDescent="0.25">
      <c r="A63" s="4" t="s">
        <v>97</v>
      </c>
      <c r="B63" s="1" t="s">
        <v>105</v>
      </c>
      <c r="C63" s="3">
        <v>87152.209999999992</v>
      </c>
      <c r="D63" s="2" t="s">
        <v>167</v>
      </c>
      <c r="E63">
        <v>96.13</v>
      </c>
      <c r="F63" s="5">
        <v>8079.0365000000002</v>
      </c>
      <c r="G63">
        <v>132958.16</v>
      </c>
      <c r="H63" s="3">
        <f t="shared" si="0"/>
        <v>0.6736075186853282</v>
      </c>
      <c r="I63" t="s">
        <v>9</v>
      </c>
    </row>
    <row r="64" spans="1:9" x14ac:dyDescent="0.25">
      <c r="A64" s="4" t="s">
        <v>102</v>
      </c>
      <c r="B64" s="1" t="s">
        <v>105</v>
      </c>
      <c r="C64" s="3">
        <v>87151.06</v>
      </c>
      <c r="D64" s="2" t="s">
        <v>168</v>
      </c>
      <c r="E64">
        <v>163.44</v>
      </c>
      <c r="F64" s="5">
        <v>2.7484999999999999</v>
      </c>
      <c r="G64">
        <v>132958.16</v>
      </c>
      <c r="H64" s="3">
        <f t="shared" si="0"/>
        <v>0.96865545208001758</v>
      </c>
      <c r="I64" t="s">
        <v>9</v>
      </c>
    </row>
    <row r="65" spans="1:9" x14ac:dyDescent="0.25">
      <c r="A65" s="4" t="s">
        <v>100</v>
      </c>
      <c r="B65" s="1" t="s">
        <v>105</v>
      </c>
      <c r="C65" s="3">
        <v>86174.52</v>
      </c>
      <c r="D65" s="2" t="s">
        <v>169</v>
      </c>
      <c r="E65">
        <v>59.8</v>
      </c>
      <c r="F65" s="5">
        <v>8009.0334000000003</v>
      </c>
      <c r="G65">
        <v>132958.16</v>
      </c>
      <c r="H65" s="3">
        <f t="shared" si="0"/>
        <v>0.46875284734408285</v>
      </c>
      <c r="I65" t="s">
        <v>9</v>
      </c>
    </row>
    <row r="66" spans="1:9" x14ac:dyDescent="0.25">
      <c r="A66" s="4" t="s">
        <v>103</v>
      </c>
      <c r="B66" s="1" t="s">
        <v>105</v>
      </c>
      <c r="C66" s="3">
        <v>84212.68</v>
      </c>
      <c r="D66" s="2" t="s">
        <v>170</v>
      </c>
      <c r="E66">
        <v>72.34</v>
      </c>
      <c r="F66" s="5">
        <v>6759.6131000000005</v>
      </c>
      <c r="G66">
        <v>132958.16</v>
      </c>
      <c r="H66" s="3">
        <f t="shared" si="0"/>
        <v>0.54429908382352943</v>
      </c>
      <c r="I66" t="s">
        <v>9</v>
      </c>
    </row>
    <row r="67" spans="1:9" x14ac:dyDescent="0.25">
      <c r="A67" s="4" t="s">
        <v>104</v>
      </c>
      <c r="B67" s="1" t="s">
        <v>105</v>
      </c>
      <c r="C67" s="3">
        <v>81645.359999999986</v>
      </c>
      <c r="D67" s="2" t="s">
        <v>171</v>
      </c>
      <c r="E67">
        <v>172.05</v>
      </c>
      <c r="F67" s="5">
        <v>9.7990000000000013</v>
      </c>
      <c r="G67">
        <v>132958.16</v>
      </c>
      <c r="H67" s="3">
        <f t="shared" ref="H67:H96" si="1">LN(1+$E67/100)</f>
        <v>1.0008156869438432</v>
      </c>
      <c r="I67" t="s">
        <v>9</v>
      </c>
    </row>
    <row r="68" spans="1:9" x14ac:dyDescent="0.25">
      <c r="A68" s="4" t="s">
        <v>83</v>
      </c>
      <c r="B68" s="1" t="s">
        <v>105</v>
      </c>
      <c r="C68" s="3">
        <v>32743.169999999991</v>
      </c>
      <c r="D68" s="2" t="s">
        <v>172</v>
      </c>
      <c r="E68">
        <v>97.02</v>
      </c>
      <c r="F68" s="5">
        <v>9.5600000000000004E-2</v>
      </c>
      <c r="G68">
        <v>132958.16</v>
      </c>
      <c r="H68" s="3">
        <f t="shared" si="1"/>
        <v>0.67813506043944172</v>
      </c>
      <c r="I68" t="s">
        <v>9</v>
      </c>
    </row>
    <row r="69" spans="1:9" x14ac:dyDescent="0.25">
      <c r="A69" s="4" t="s">
        <v>81</v>
      </c>
      <c r="B69" s="1" t="s">
        <v>105</v>
      </c>
      <c r="C69" s="3">
        <v>32527.869999999992</v>
      </c>
      <c r="D69" s="2" t="s">
        <v>173</v>
      </c>
      <c r="E69">
        <v>40.57</v>
      </c>
      <c r="F69" s="5">
        <v>0.52580000000000005</v>
      </c>
      <c r="G69">
        <v>132958.16</v>
      </c>
      <c r="H69" s="3">
        <f t="shared" si="1"/>
        <v>0.34053539935558313</v>
      </c>
      <c r="I69" t="s">
        <v>9</v>
      </c>
    </row>
    <row r="70" spans="1:9" x14ac:dyDescent="0.25">
      <c r="A70" s="4" t="s">
        <v>79</v>
      </c>
      <c r="B70" s="1" t="s">
        <v>105</v>
      </c>
      <c r="C70" s="3">
        <v>32169.209999999992</v>
      </c>
      <c r="D70" s="2" t="s">
        <v>174</v>
      </c>
      <c r="E70">
        <v>97.19</v>
      </c>
      <c r="F70" s="5">
        <v>6.8593000000000002</v>
      </c>
      <c r="G70">
        <v>132958.16</v>
      </c>
      <c r="H70" s="3">
        <f t="shared" si="1"/>
        <v>0.67899754495550313</v>
      </c>
      <c r="I70" t="s">
        <v>9</v>
      </c>
    </row>
    <row r="71" spans="1:9" x14ac:dyDescent="0.25">
      <c r="A71" s="4" t="s">
        <v>78</v>
      </c>
      <c r="B71" s="1" t="s">
        <v>105</v>
      </c>
      <c r="C71" s="3">
        <v>32010.979999999989</v>
      </c>
      <c r="D71" s="2" t="s">
        <v>175</v>
      </c>
      <c r="E71">
        <v>127.44</v>
      </c>
      <c r="F71" s="5">
        <v>4.0630000000000006</v>
      </c>
      <c r="G71">
        <v>132958.16</v>
      </c>
      <c r="H71" s="3">
        <f t="shared" si="1"/>
        <v>0.82171628135465291</v>
      </c>
      <c r="I71" t="s">
        <v>9</v>
      </c>
    </row>
    <row r="72" spans="1:9" x14ac:dyDescent="0.25">
      <c r="A72" s="4" t="s">
        <v>99</v>
      </c>
      <c r="B72" s="1" t="s">
        <v>105</v>
      </c>
      <c r="C72" s="3">
        <v>31886.729999999985</v>
      </c>
      <c r="D72" s="2" t="s">
        <v>176</v>
      </c>
      <c r="E72">
        <v>87.59</v>
      </c>
      <c r="F72" s="5">
        <v>6.9071000000000007</v>
      </c>
      <c r="G72">
        <v>132958.16</v>
      </c>
      <c r="H72" s="3">
        <f t="shared" si="1"/>
        <v>0.62908854425922489</v>
      </c>
      <c r="I72" t="s">
        <v>9</v>
      </c>
    </row>
    <row r="73" spans="1:9" x14ac:dyDescent="0.25">
      <c r="A73" s="4" t="s">
        <v>76</v>
      </c>
      <c r="B73" s="1" t="s">
        <v>105</v>
      </c>
      <c r="C73" s="3">
        <v>31511.889999999992</v>
      </c>
      <c r="D73" s="2" t="s">
        <v>177</v>
      </c>
      <c r="E73">
        <v>84.02</v>
      </c>
      <c r="F73" s="5">
        <v>22.4421</v>
      </c>
      <c r="G73">
        <v>132958.16</v>
      </c>
      <c r="H73" s="3">
        <f t="shared" si="1"/>
        <v>0.60987426136612366</v>
      </c>
      <c r="I73" t="s">
        <v>9</v>
      </c>
    </row>
    <row r="74" spans="1:9" x14ac:dyDescent="0.25">
      <c r="A74" s="4" t="s">
        <v>98</v>
      </c>
      <c r="B74" s="1" t="s">
        <v>105</v>
      </c>
      <c r="C74" s="3">
        <v>31292.579999999987</v>
      </c>
      <c r="D74" s="2" t="s">
        <v>178</v>
      </c>
      <c r="E74">
        <v>74.349999999999994</v>
      </c>
      <c r="F74" s="5">
        <v>12.5953</v>
      </c>
      <c r="G74">
        <v>132958.16</v>
      </c>
      <c r="H74" s="3">
        <f t="shared" si="1"/>
        <v>0.55589458713356887</v>
      </c>
      <c r="I74" t="s">
        <v>9</v>
      </c>
    </row>
    <row r="75" spans="1:9" x14ac:dyDescent="0.25">
      <c r="A75" s="4" t="s">
        <v>71</v>
      </c>
      <c r="B75" s="1" t="s">
        <v>105</v>
      </c>
      <c r="C75" s="3">
        <v>30127.729999999985</v>
      </c>
      <c r="D75" s="2" t="s">
        <v>179</v>
      </c>
      <c r="E75">
        <v>191.86</v>
      </c>
      <c r="F75" s="5">
        <v>0.33460000000000001</v>
      </c>
      <c r="G75">
        <v>132958.16</v>
      </c>
      <c r="H75" s="3">
        <f t="shared" si="1"/>
        <v>1.0711040492515083</v>
      </c>
      <c r="I75" t="s">
        <v>9</v>
      </c>
    </row>
    <row r="76" spans="1:9" x14ac:dyDescent="0.25">
      <c r="A76" s="4" t="s">
        <v>68</v>
      </c>
      <c r="B76" s="1" t="s">
        <v>105</v>
      </c>
      <c r="C76" s="3">
        <v>29623.099999999995</v>
      </c>
      <c r="D76" s="2" t="s">
        <v>180</v>
      </c>
      <c r="E76">
        <v>42.93</v>
      </c>
      <c r="F76" s="5">
        <v>9.1059000000000001</v>
      </c>
      <c r="G76">
        <v>132958.16</v>
      </c>
      <c r="H76" s="3">
        <f t="shared" si="1"/>
        <v>0.3571848139329325</v>
      </c>
      <c r="I76" t="s">
        <v>9</v>
      </c>
    </row>
    <row r="77" spans="1:9" x14ac:dyDescent="0.25">
      <c r="A77" s="4" t="s">
        <v>69</v>
      </c>
      <c r="B77" s="1" t="s">
        <v>105</v>
      </c>
      <c r="C77" s="3">
        <v>29649.629999999986</v>
      </c>
      <c r="D77" s="2" t="s">
        <v>181</v>
      </c>
      <c r="E77">
        <v>223.67</v>
      </c>
      <c r="F77" s="5">
        <v>9.5600000000000004E-2</v>
      </c>
      <c r="G77">
        <v>132958.16</v>
      </c>
      <c r="H77" s="3">
        <f t="shared" si="1"/>
        <v>1.174554292243267</v>
      </c>
      <c r="I77" t="s">
        <v>9</v>
      </c>
    </row>
    <row r="78" spans="1:9" x14ac:dyDescent="0.25">
      <c r="A78" s="4" t="s">
        <v>64</v>
      </c>
      <c r="B78" s="1" t="s">
        <v>105</v>
      </c>
      <c r="C78" s="3">
        <v>29062.329999999987</v>
      </c>
      <c r="D78" s="2" t="s">
        <v>182</v>
      </c>
      <c r="E78">
        <v>59.37</v>
      </c>
      <c r="F78" s="5">
        <v>11.4003</v>
      </c>
      <c r="G78">
        <v>132958.16</v>
      </c>
      <c r="H78" s="3">
        <f t="shared" si="1"/>
        <v>0.46605835688345099</v>
      </c>
      <c r="I78" t="s">
        <v>9</v>
      </c>
    </row>
    <row r="79" spans="1:9" x14ac:dyDescent="0.25">
      <c r="A79" s="4" t="s">
        <v>95</v>
      </c>
      <c r="B79" s="1" t="s">
        <v>105</v>
      </c>
      <c r="C79" s="3">
        <v>28984.809999999998</v>
      </c>
      <c r="D79" s="2" t="s">
        <v>183</v>
      </c>
      <c r="E79">
        <v>70.959999999999994</v>
      </c>
      <c r="F79" s="5">
        <v>1.8164</v>
      </c>
      <c r="G79">
        <v>132958.16</v>
      </c>
      <c r="H79" s="3">
        <f t="shared" si="1"/>
        <v>0.53625942502280077</v>
      </c>
      <c r="I79" t="s">
        <v>9</v>
      </c>
    </row>
    <row r="80" spans="1:9" x14ac:dyDescent="0.25">
      <c r="A80" s="4" t="s">
        <v>94</v>
      </c>
      <c r="B80" s="1" t="s">
        <v>105</v>
      </c>
      <c r="C80" s="3">
        <v>27619.649999999994</v>
      </c>
      <c r="D80" s="2" t="s">
        <v>184</v>
      </c>
      <c r="E80">
        <v>66.459999999999994</v>
      </c>
      <c r="F80" s="5">
        <v>0.21510000000000001</v>
      </c>
      <c r="G80">
        <v>132958.16</v>
      </c>
      <c r="H80" s="3">
        <f t="shared" si="1"/>
        <v>0.50958485432985778</v>
      </c>
      <c r="I80" t="s">
        <v>9</v>
      </c>
    </row>
    <row r="81" spans="1:9" x14ac:dyDescent="0.25">
      <c r="A81" s="4" t="s">
        <v>63</v>
      </c>
      <c r="B81" s="1" t="s">
        <v>105</v>
      </c>
      <c r="C81" s="3">
        <v>27391.539999999994</v>
      </c>
      <c r="D81" s="2" t="s">
        <v>185</v>
      </c>
      <c r="E81">
        <v>51.64</v>
      </c>
      <c r="F81" s="5">
        <v>25.1189</v>
      </c>
      <c r="G81">
        <v>132958.16</v>
      </c>
      <c r="H81" s="3">
        <f t="shared" si="1"/>
        <v>0.4163391046600427</v>
      </c>
      <c r="I81" t="s">
        <v>9</v>
      </c>
    </row>
    <row r="82" spans="1:9" x14ac:dyDescent="0.25">
      <c r="A82" s="4" t="s">
        <v>61</v>
      </c>
      <c r="B82" s="1" t="s">
        <v>105</v>
      </c>
      <c r="C82" s="3">
        <v>26804.409999999989</v>
      </c>
      <c r="D82" s="2" t="s">
        <v>186</v>
      </c>
      <c r="E82">
        <v>48.88</v>
      </c>
      <c r="F82" s="5">
        <v>13.240600000000001</v>
      </c>
      <c r="G82">
        <v>132958.16</v>
      </c>
      <c r="H82" s="3">
        <f t="shared" si="1"/>
        <v>0.3979704263459039</v>
      </c>
      <c r="I82" t="s">
        <v>9</v>
      </c>
    </row>
    <row r="83" spans="1:9" x14ac:dyDescent="0.25">
      <c r="A83" s="4" t="s">
        <v>60</v>
      </c>
      <c r="B83" s="1" t="s">
        <v>105</v>
      </c>
      <c r="C83" s="3">
        <v>26733.939999999991</v>
      </c>
      <c r="D83" s="2" t="s">
        <v>187</v>
      </c>
      <c r="E83">
        <v>43.52</v>
      </c>
      <c r="F83" s="5">
        <v>1.6491</v>
      </c>
      <c r="G83">
        <v>132958.16</v>
      </c>
      <c r="H83" s="3">
        <f t="shared" si="1"/>
        <v>0.36130421232239462</v>
      </c>
      <c r="I83" t="s">
        <v>9</v>
      </c>
    </row>
    <row r="84" spans="1:9" x14ac:dyDescent="0.25">
      <c r="A84" s="4" t="s">
        <v>59</v>
      </c>
      <c r="B84" s="1" t="s">
        <v>105</v>
      </c>
      <c r="C84" s="3">
        <v>26651.649999999991</v>
      </c>
      <c r="D84" s="2" t="s">
        <v>188</v>
      </c>
      <c r="E84">
        <v>43.88</v>
      </c>
      <c r="F84" s="5">
        <v>0.90820000000000001</v>
      </c>
      <c r="G84">
        <v>132958.16</v>
      </c>
      <c r="H84" s="3">
        <f t="shared" si="1"/>
        <v>0.36380943283933187</v>
      </c>
      <c r="I84" t="s">
        <v>9</v>
      </c>
    </row>
    <row r="85" spans="1:9" x14ac:dyDescent="0.25">
      <c r="A85" s="4" t="s">
        <v>92</v>
      </c>
      <c r="B85" s="1" t="s">
        <v>105</v>
      </c>
      <c r="C85" s="3">
        <v>26573.51</v>
      </c>
      <c r="D85" s="2" t="s">
        <v>189</v>
      </c>
      <c r="E85">
        <v>54.73</v>
      </c>
      <c r="F85" s="5">
        <v>3.1070000000000002</v>
      </c>
      <c r="G85">
        <v>132958.16</v>
      </c>
      <c r="H85" s="3">
        <f t="shared" si="1"/>
        <v>0.43651147651348982</v>
      </c>
      <c r="I85" t="s">
        <v>9</v>
      </c>
    </row>
    <row r="86" spans="1:9" x14ac:dyDescent="0.25">
      <c r="A86" s="4" t="s">
        <v>58</v>
      </c>
      <c r="B86" s="1" t="s">
        <v>105</v>
      </c>
      <c r="C86" s="3">
        <v>26489.739999999998</v>
      </c>
      <c r="D86" s="2" t="s">
        <v>190</v>
      </c>
      <c r="E86">
        <v>50.91</v>
      </c>
      <c r="F86" s="5">
        <v>1.7686000000000002</v>
      </c>
      <c r="G86">
        <v>132958.16</v>
      </c>
      <c r="H86" s="3">
        <f t="shared" si="1"/>
        <v>0.41151344664236783</v>
      </c>
      <c r="I86" t="s">
        <v>9</v>
      </c>
    </row>
    <row r="87" spans="1:9" x14ac:dyDescent="0.25">
      <c r="A87" s="4" t="s">
        <v>57</v>
      </c>
      <c r="B87" s="1" t="s">
        <v>105</v>
      </c>
      <c r="C87" s="3">
        <v>26293.089999999993</v>
      </c>
      <c r="D87" s="2" t="s">
        <v>191</v>
      </c>
      <c r="E87">
        <v>106.29</v>
      </c>
      <c r="F87" s="5">
        <v>2.3900000000000001E-2</v>
      </c>
      <c r="G87">
        <v>132958.16</v>
      </c>
      <c r="H87" s="3">
        <f t="shared" si="1"/>
        <v>0.72411275981682532</v>
      </c>
      <c r="I87" t="s">
        <v>9</v>
      </c>
    </row>
    <row r="88" spans="1:9" x14ac:dyDescent="0.25">
      <c r="A88" s="4" t="s">
        <v>62</v>
      </c>
      <c r="B88" s="1" t="s">
        <v>105</v>
      </c>
      <c r="C88" s="3">
        <v>25876.21999999999</v>
      </c>
      <c r="D88" s="2" t="s">
        <v>192</v>
      </c>
      <c r="E88">
        <v>43.5</v>
      </c>
      <c r="F88" s="5">
        <v>0.1434</v>
      </c>
      <c r="G88">
        <v>132958.16</v>
      </c>
      <c r="H88" s="3">
        <f t="shared" si="1"/>
        <v>0.36116484921158448</v>
      </c>
      <c r="I88" t="s">
        <v>9</v>
      </c>
    </row>
    <row r="89" spans="1:9" x14ac:dyDescent="0.25">
      <c r="A89" s="4" t="s">
        <v>89</v>
      </c>
      <c r="B89" s="1" t="s">
        <v>105</v>
      </c>
      <c r="C89" s="3">
        <v>25695.449999999993</v>
      </c>
      <c r="D89" s="2" t="s">
        <v>193</v>
      </c>
      <c r="E89">
        <v>98.67</v>
      </c>
      <c r="F89" s="5">
        <v>0.69310000000000005</v>
      </c>
      <c r="G89">
        <v>132958.16</v>
      </c>
      <c r="H89" s="3">
        <f t="shared" si="1"/>
        <v>0.68647497079188069</v>
      </c>
      <c r="I89" t="s">
        <v>9</v>
      </c>
    </row>
    <row r="90" spans="1:9" x14ac:dyDescent="0.25">
      <c r="A90" s="4" t="s">
        <v>54</v>
      </c>
      <c r="B90" s="1" t="s">
        <v>105</v>
      </c>
      <c r="C90" s="3">
        <v>25734.959999999988</v>
      </c>
      <c r="D90" s="2" t="s">
        <v>194</v>
      </c>
      <c r="E90">
        <v>485.79</v>
      </c>
      <c r="F90" s="5">
        <v>0.1434</v>
      </c>
      <c r="G90">
        <v>132958.16</v>
      </c>
      <c r="H90" s="3">
        <f t="shared" si="1"/>
        <v>1.7677911775872517</v>
      </c>
      <c r="I90" t="s">
        <v>9</v>
      </c>
    </row>
    <row r="91" spans="1:9" x14ac:dyDescent="0.25">
      <c r="A91" s="4" t="s">
        <v>53</v>
      </c>
      <c r="B91" s="1" t="s">
        <v>105</v>
      </c>
      <c r="C91" s="3">
        <v>25659.089999999993</v>
      </c>
      <c r="D91" s="2" t="s">
        <v>195</v>
      </c>
      <c r="E91">
        <v>65.64</v>
      </c>
      <c r="F91" s="5">
        <v>0.7409</v>
      </c>
      <c r="G91">
        <v>132958.16</v>
      </c>
      <c r="H91" s="3">
        <f t="shared" si="1"/>
        <v>0.50464657268927515</v>
      </c>
      <c r="I91" t="s">
        <v>9</v>
      </c>
    </row>
    <row r="92" spans="1:9" x14ac:dyDescent="0.25">
      <c r="A92" s="4" t="s">
        <v>51</v>
      </c>
      <c r="B92" s="1" t="s">
        <v>105</v>
      </c>
      <c r="C92" s="3">
        <v>25103.69999999999</v>
      </c>
      <c r="D92" s="2" t="s">
        <v>196</v>
      </c>
      <c r="E92">
        <v>63.93</v>
      </c>
      <c r="F92" s="5">
        <v>1.0516000000000001</v>
      </c>
      <c r="G92">
        <v>132958.16</v>
      </c>
      <c r="H92" s="3">
        <f t="shared" si="1"/>
        <v>0.49426932145027352</v>
      </c>
      <c r="I92" t="s">
        <v>9</v>
      </c>
    </row>
    <row r="93" spans="1:9" x14ac:dyDescent="0.25">
      <c r="A93" s="4" t="s">
        <v>50</v>
      </c>
      <c r="B93" s="1" t="s">
        <v>105</v>
      </c>
      <c r="C93" s="3">
        <v>24384.159999999993</v>
      </c>
      <c r="D93" s="2" t="s">
        <v>197</v>
      </c>
      <c r="E93">
        <v>36.9</v>
      </c>
      <c r="F93" s="5">
        <v>1.3384</v>
      </c>
      <c r="G93">
        <v>132958.16</v>
      </c>
      <c r="H93" s="3">
        <f t="shared" si="1"/>
        <v>0.31408054630631183</v>
      </c>
      <c r="I93" t="s">
        <v>9</v>
      </c>
    </row>
    <row r="94" spans="1:9" x14ac:dyDescent="0.25">
      <c r="A94" s="4" t="s">
        <v>35</v>
      </c>
      <c r="B94" s="1" t="s">
        <v>105</v>
      </c>
      <c r="C94" s="3">
        <v>19103.929999999993</v>
      </c>
      <c r="D94" s="2" t="s">
        <v>198</v>
      </c>
      <c r="E94">
        <v>32.4</v>
      </c>
      <c r="F94" s="5">
        <v>2.3900000000000001E-2</v>
      </c>
      <c r="G94">
        <v>132958.16</v>
      </c>
      <c r="H94" s="3">
        <f t="shared" si="1"/>
        <v>0.28065745751481652</v>
      </c>
      <c r="I94" t="s">
        <v>9</v>
      </c>
    </row>
    <row r="95" spans="1:9" x14ac:dyDescent="0.25">
      <c r="A95" s="4" t="s">
        <v>28</v>
      </c>
      <c r="B95" s="1" t="s">
        <v>105</v>
      </c>
      <c r="C95" s="3">
        <v>17518.71</v>
      </c>
      <c r="D95" s="2" t="s">
        <v>199</v>
      </c>
      <c r="E95">
        <v>24.57</v>
      </c>
      <c r="F95" s="5">
        <v>4.7800000000000002E-2</v>
      </c>
      <c r="G95">
        <v>132958.16</v>
      </c>
      <c r="H95" s="3">
        <f t="shared" si="1"/>
        <v>0.21969762090990996</v>
      </c>
      <c r="I95" t="s">
        <v>9</v>
      </c>
    </row>
    <row r="96" spans="1:9" x14ac:dyDescent="0.25">
      <c r="A96" s="4" t="s">
        <v>18</v>
      </c>
      <c r="B96" s="1" t="s">
        <v>105</v>
      </c>
      <c r="C96" s="3">
        <v>13732.639999999989</v>
      </c>
      <c r="D96" s="2" t="s">
        <v>200</v>
      </c>
      <c r="E96">
        <v>83.46</v>
      </c>
      <c r="F96" s="5">
        <v>4.7800000000000002E-2</v>
      </c>
      <c r="G96">
        <v>132958.16</v>
      </c>
      <c r="H96" s="3">
        <f t="shared" si="1"/>
        <v>0.60682647409341817</v>
      </c>
      <c r="I96" t="s">
        <v>9</v>
      </c>
    </row>
  </sheetData>
  <autoFilter ref="A1:H9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Kramida</dc:creator>
  <cp:lastModifiedBy>Alexander Kramida</cp:lastModifiedBy>
  <dcterms:created xsi:type="dcterms:W3CDTF">2026-08-28T12:43:48Z</dcterms:created>
  <dcterms:modified xsi:type="dcterms:W3CDTF">2026-09-05T20:29:01Z</dcterms:modified>
</cp:coreProperties>
</file>