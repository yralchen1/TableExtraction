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MD\AI\as-ai\LineClass\iter_hfs\"/>
    </mc:Choice>
  </mc:AlternateContent>
  <xr:revisionPtr revIDLastSave="0" documentId="13_ncr:9_{3D700E4E-B98E-4C26-82F5-348B2635A9A2}" xr6:coauthVersionLast="47" xr6:coauthVersionMax="47" xr10:uidLastSave="{00000000-0000-0000-0000-000000000000}"/>
  <bookViews>
    <workbookView xWindow="3330" yWindow="3330" windowWidth="46860" windowHeight="17505" xr2:uid="{719BED87-1817-4191-A3DD-1F86BB0963F1}"/>
  </bookViews>
  <sheets>
    <sheet name="assignment_diffs_vs_iter" sheetId="1" r:id="rId1"/>
  </sheets>
  <definedNames>
    <definedName name="_xlnm._FilterDatabase" localSheetId="0" hidden="1">assignment_diffs_vs_iter!$A$1:$X$35</definedName>
  </definedNames>
  <calcPr calcId="0" refMode="R1C1"/>
</workbook>
</file>

<file path=xl/calcChain.xml><?xml version="1.0" encoding="utf-8"?>
<calcChain xmlns="http://schemas.openxmlformats.org/spreadsheetml/2006/main">
  <c r="R8" i="1" l="1"/>
  <c r="R2" i="1"/>
  <c r="R12" i="1"/>
  <c r="R22" i="1"/>
  <c r="R26" i="1"/>
  <c r="R35" i="1"/>
  <c r="R34" i="1"/>
  <c r="R33" i="1"/>
</calcChain>
</file>

<file path=xl/sharedStrings.xml><?xml version="1.0" encoding="utf-8"?>
<sst xmlns="http://schemas.openxmlformats.org/spreadsheetml/2006/main" count="324" uniqueCount="166">
  <si>
    <t>wn_key</t>
  </si>
  <si>
    <t>low_id</t>
  </si>
  <si>
    <t>upp_id</t>
  </si>
  <si>
    <t>low_iden2</t>
  </si>
  <si>
    <t>upp_iden2</t>
  </si>
  <si>
    <t>accepted_in</t>
  </si>
  <si>
    <t>grade_iter</t>
  </si>
  <si>
    <t>OC_iter</t>
  </si>
  <si>
    <t>grade_hfs</t>
  </si>
  <si>
    <t>OC_hfs</t>
  </si>
  <si>
    <t>hfs_D</t>
  </si>
  <si>
    <t>kappa</t>
  </si>
  <si>
    <t>hfs_shift</t>
  </si>
  <si>
    <t>u_hfs_shift</t>
  </si>
  <si>
    <t>unc_wn_obs</t>
  </si>
  <si>
    <t>obs_intens</t>
  </si>
  <si>
    <t>calc_intens</t>
  </si>
  <si>
    <t>manual</t>
  </si>
  <si>
    <t>iter_also_accepts</t>
  </si>
  <si>
    <t>iter_hfs_also_accepts</t>
  </si>
  <si>
    <t>notes_iter</t>
  </si>
  <si>
    <t>notes_hfs</t>
  </si>
  <si>
    <t>decision</t>
  </si>
  <si>
    <t>reason</t>
  </si>
  <si>
    <t>059003.000182</t>
  </si>
  <si>
    <t>059003.000433</t>
  </si>
  <si>
    <t>iter only</t>
  </si>
  <si>
    <t>2B</t>
  </si>
  <si>
    <t>4B</t>
  </si>
  <si>
    <t>266.4493349430018</t>
  </si>
  <si>
    <t>Step1 Accepted New: Ic stat significant &amp; compatible with Iobs (asym: Ic too strong)</t>
  </si>
  <si>
    <t>Step3 Rejected: new, no solid evidence for acceptance</t>
  </si>
  <si>
    <t>059003.000386</t>
  </si>
  <si>
    <t>059003.000613</t>
  </si>
  <si>
    <t>5B</t>
  </si>
  <si>
    <t>134.3694666714008</t>
  </si>
  <si>
    <t>059003.000312</t>
  </si>
  <si>
    <t>059003.000684</t>
  </si>
  <si>
    <t>2G</t>
  </si>
  <si>
    <t>395.9693910237653</t>
  </si>
  <si>
    <t>Step2 Accepted (pair, mixed/new): joint CoG sigma=1.64; eff. spread sigma=0.33; sum I z=0.90</t>
  </si>
  <si>
    <t>059003.000307</t>
  </si>
  <si>
    <t>059003.000655</t>
  </si>
  <si>
    <t>1768.554976125341</t>
  </si>
  <si>
    <t>Step1 Accepted New: Ic stat significant &amp; compatible with Iobs (asym: Ic too weak)</t>
  </si>
  <si>
    <t>Step1 Rejected New: Strong Ritz mismatch</t>
  </si>
  <si>
    <t>059003.000304</t>
  </si>
  <si>
    <t>059003.000670</t>
  </si>
  <si>
    <t>5G</t>
  </si>
  <si>
    <t>63841.75941950024</t>
  </si>
  <si>
    <t>000144-000240</t>
  </si>
  <si>
    <t>Step2 Accepted (pair, mixed/new): joint CoG sigma=0.38; eff. spread sigma=0.17; sum I z=0.90</t>
  </si>
  <si>
    <t>no candidate row</t>
  </si>
  <si>
    <t>059003.000148</t>
  </si>
  <si>
    <t>059003.000258</t>
  </si>
  <si>
    <t>526.9922668297518</t>
  </si>
  <si>
    <t>000224-000322</t>
  </si>
  <si>
    <t>Step1 Accepted New: Ritz Ok, Fair Ic match (3.3 sigma)</t>
  </si>
  <si>
    <t>059003.000105</t>
  </si>
  <si>
    <t>059003.000199</t>
  </si>
  <si>
    <t>3B</t>
  </si>
  <si>
    <t>5215.806366118368</t>
  </si>
  <si>
    <t>000165-000275</t>
  </si>
  <si>
    <t>Step2 Accepted (pair, mixed/new): joint CoG sigma=0.75; eff. spread sigma=0.88; sum I z=0.77</t>
  </si>
  <si>
    <t>059003.000073</t>
  </si>
  <si>
    <t>059003.000247</t>
  </si>
  <si>
    <t>4G</t>
  </si>
  <si>
    <t>32879.70587768924</t>
  </si>
  <si>
    <t>000075-000250</t>
  </si>
  <si>
    <t>Step2 Accepted (pair, mixed/new): joint CoG sigma=0.59; eff. spread sigma=0.14; sum I z=0.23</t>
  </si>
  <si>
    <t>059003.000644</t>
  </si>
  <si>
    <t>2A</t>
  </si>
  <si>
    <t>3A</t>
  </si>
  <si>
    <t>2681.806968196702</t>
  </si>
  <si>
    <t>059003.000127</t>
  </si>
  <si>
    <t>059003.000445</t>
  </si>
  <si>
    <t>3987.459418990786</t>
  </si>
  <si>
    <t>000132-000297</t>
  </si>
  <si>
    <t>Step1 Accepted New: Ritz Ok, Fair Ic match (0.9 sigma)</t>
  </si>
  <si>
    <t>059003.000042</t>
  </si>
  <si>
    <t>2820.433865209407</t>
  </si>
  <si>
    <t>000126-000451</t>
  </si>
  <si>
    <t>Step3 Accepted: old, no solid evidence for rejection</t>
  </si>
  <si>
    <t>Step1 Rejected Legacy: calc contribution too weak vs I_cum (&lt;2% of I_cum)</t>
  </si>
  <si>
    <t>059003.000067</t>
  </si>
  <si>
    <t>059003.000303</t>
  </si>
  <si>
    <t>240.3237963797026</t>
  </si>
  <si>
    <t>000206-000420</t>
  </si>
  <si>
    <t>Step2 Accepted (pair, mixed/new): joint CoG sigma=2.38; eff. spread sigma=0.13; sum I z=0.34</t>
  </si>
  <si>
    <t>059003.000206</t>
  </si>
  <si>
    <t>059003.000420</t>
  </si>
  <si>
    <t>000067-000303</t>
  </si>
  <si>
    <t>059003.000488</t>
  </si>
  <si>
    <t>059003.000401</t>
  </si>
  <si>
    <t>3E</t>
  </si>
  <si>
    <t>1561.758330345275</t>
  </si>
  <si>
    <t>059003.000388</t>
  </si>
  <si>
    <t>iter_hfs only</t>
  </si>
  <si>
    <t>310.9525867464278</t>
  </si>
  <si>
    <t>000388-000614</t>
  </si>
  <si>
    <t>Step2 Accepted (pair, mixed/new): joint CoG sigma=0.85; eff. spread sigma=0.11; sum I z=0.08</t>
  </si>
  <si>
    <t>059003.000192</t>
  </si>
  <si>
    <t>059003.000295</t>
  </si>
  <si>
    <t>21748.85721743995</t>
  </si>
  <si>
    <t>000192-000641; 000141-000219</t>
  </si>
  <si>
    <t>Step2 Accepted (pair, mixed/new): joint CoG sigma=1.34; eff. spread sigma=0.54; sum I z=0.05</t>
  </si>
  <si>
    <t>059003.000191</t>
  </si>
  <si>
    <t>059003.000449</t>
  </si>
  <si>
    <t>F / Step2 Rejected New: Conflicting/suspicious (notes1: F)</t>
  </si>
  <si>
    <t>F / Step1 Accepted New: Ic stat significant &amp; compatible with Iobs (asym: Ic too weak)</t>
  </si>
  <si>
    <t>059003.000139</t>
  </si>
  <si>
    <t>059003.000257</t>
  </si>
  <si>
    <t>2793.758666541996</t>
  </si>
  <si>
    <t>1.763e+04</t>
  </si>
  <si>
    <t>Step1 Accepted New: Ritz Ok, Fair Ic match (2.1 sigma)</t>
  </si>
  <si>
    <t>059003.000146</t>
  </si>
  <si>
    <t>059003.000451</t>
  </si>
  <si>
    <t>2549.549315085598</t>
  </si>
  <si>
    <t>059003.000145</t>
  </si>
  <si>
    <t>059003.000660</t>
  </si>
  <si>
    <t>5A</t>
  </si>
  <si>
    <t>9807.736712563075</t>
  </si>
  <si>
    <t>000067-000265</t>
  </si>
  <si>
    <t>059003.000215</t>
  </si>
  <si>
    <t>059003.000667</t>
  </si>
  <si>
    <t>19831.06696236891</t>
  </si>
  <si>
    <t>000269-000570</t>
  </si>
  <si>
    <t>Step2 Accepted (pair, mixed/new): joint CoG sigma=0.88; eff. spread sigma=0.13; sum I z=0.19</t>
  </si>
  <si>
    <t>059003.000126</t>
  </si>
  <si>
    <t>000042-000258</t>
  </si>
  <si>
    <t>059003.000054</t>
  </si>
  <si>
    <t>059003.000436</t>
  </si>
  <si>
    <t>3G</t>
  </si>
  <si>
    <t>7271.377399271341</t>
  </si>
  <si>
    <t>000165-000313</t>
  </si>
  <si>
    <t>Step2 Accepted (pair, mixed/new): joint CoG sigma=2.64; eff. spread sigma=0.00; sum I z=0.57; accepted: Ritz Ok for broadened line</t>
  </si>
  <si>
    <t>059003.000165</t>
  </si>
  <si>
    <t>059003.000313</t>
  </si>
  <si>
    <t>2.011e+04</t>
  </si>
  <si>
    <t>000054-000436</t>
  </si>
  <si>
    <t>059003.000041</t>
  </si>
  <si>
    <t>059003.000262</t>
  </si>
  <si>
    <t>4A</t>
  </si>
  <si>
    <t>1520.949755636528</t>
  </si>
  <si>
    <t>000081-000288</t>
  </si>
  <si>
    <t>Step2 Accepted (pair, mixed/new): joint CoG sigma=0.35; eff. spread sigma=0.46; sum I z=0.86</t>
  </si>
  <si>
    <t>059003.000080</t>
  </si>
  <si>
    <t>059003.000292</t>
  </si>
  <si>
    <t>1667.395022510801</t>
  </si>
  <si>
    <t>4D</t>
  </si>
  <si>
    <t>2D</t>
  </si>
  <si>
    <t>15417.91772183942</t>
  </si>
  <si>
    <t>059003.000072</t>
  </si>
  <si>
    <t>5E</t>
  </si>
  <si>
    <t>000106-000310</t>
  </si>
  <si>
    <t>Step2 Accepted (pair, mixed/new): joint CoG sigma=0.29; eff. spread sigma=0.21; sum I z=0.74</t>
  </si>
  <si>
    <t>059003.000060</t>
  </si>
  <si>
    <t>2382.973038458817</t>
  </si>
  <si>
    <t>059003.000630</t>
  </si>
  <si>
    <t>2550.902320973061</t>
  </si>
  <si>
    <t>059003.000381</t>
  </si>
  <si>
    <t>615.0844825089019</t>
  </si>
  <si>
    <t>3433.490874022083</t>
  </si>
  <si>
    <t>059003.000403</t>
  </si>
  <si>
    <t>2766.161257490615</t>
  </si>
  <si>
    <t>000082-000353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</si>
</sst>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3" borderId="0" xfId="0" quotePrefix="1" applyFill="1"/>
    <xf numFmtId="1" fontId="0" fillId="33" borderId="0" xfId="0" applyNumberFormat="1" applyFill="1"/>
    <xf numFmtId="0" fontId="0" fillId="34" borderId="0" xfId="0" applyFill="1"/>
    <xf numFmtId="0" fontId="0" fillId="34" borderId="0" xfId="0" quotePrefix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B3FA-E6CE-4BC0-B352-E2EB87FBEA5A}">
  <dimension ref="A1:X35"/>
  <sheetViews>
    <sheetView tabSelected="1" workbookViewId="0">
      <pane ySplit="1" topLeftCell="A2" activePane="bottomLeft" state="frozen"/>
      <selection pane="bottomLeft" activeCell="A8" sqref="A8:XFD8"/>
    </sheetView>
  </sheetViews>
  <sheetFormatPr defaultRowHeight="15" x14ac:dyDescent="0.25"/>
  <cols>
    <col min="1" max="1" width="11" bestFit="1" customWidth="1"/>
    <col min="2" max="3" width="13.7109375" bestFit="1" customWidth="1"/>
    <col min="4" max="4" width="12.140625" bestFit="1" customWidth="1"/>
    <col min="5" max="5" width="12.42578125" bestFit="1" customWidth="1"/>
    <col min="6" max="6" width="13.85546875" bestFit="1" customWidth="1"/>
    <col min="7" max="7" width="12" bestFit="1" customWidth="1"/>
    <col min="8" max="8" width="9.5703125" bestFit="1" customWidth="1"/>
    <col min="9" max="9" width="11.85546875" bestFit="1" customWidth="1"/>
    <col min="10" max="10" width="9.42578125" bestFit="1" customWidth="1"/>
    <col min="11" max="11" width="8.140625" bestFit="1" customWidth="1"/>
    <col min="12" max="12" width="8.85546875" bestFit="1" customWidth="1"/>
    <col min="13" max="13" width="10.7109375" bestFit="1" customWidth="1"/>
    <col min="14" max="14" width="12.7109375" bestFit="1" customWidth="1"/>
    <col min="15" max="15" width="14.140625" bestFit="1" customWidth="1"/>
    <col min="16" max="16" width="17.85546875" bestFit="1" customWidth="1"/>
    <col min="17" max="17" width="13.28515625" bestFit="1" customWidth="1"/>
    <col min="18" max="18" width="10.140625" bestFit="1" customWidth="1"/>
    <col min="19" max="20" width="28" bestFit="1" customWidth="1"/>
    <col min="21" max="21" width="84.5703125" bestFit="1" customWidth="1"/>
    <col min="22" max="22" width="118.28515625" bestFit="1" customWidth="1"/>
    <col min="23" max="23" width="10.85546875" bestFit="1" customWidth="1"/>
    <col min="24" max="24" width="9.42578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s="4" customFormat="1" x14ac:dyDescent="0.25">
      <c r="A2" s="4">
        <v>22524.4601</v>
      </c>
      <c r="B2" s="5" t="s">
        <v>24</v>
      </c>
      <c r="C2" s="5" t="s">
        <v>25</v>
      </c>
      <c r="D2" s="4">
        <v>1098</v>
      </c>
      <c r="E2" s="4">
        <v>1031</v>
      </c>
      <c r="F2" s="4" t="s">
        <v>26</v>
      </c>
      <c r="G2" s="4" t="s">
        <v>27</v>
      </c>
      <c r="H2" s="4">
        <v>-4.2999999999999997E-2</v>
      </c>
      <c r="I2" s="4" t="s">
        <v>28</v>
      </c>
      <c r="J2" s="4">
        <v>-6.6000000000000003E-2</v>
      </c>
      <c r="K2" s="4">
        <v>-0.77200000000000002</v>
      </c>
      <c r="L2" s="4">
        <v>0.94399999999999995</v>
      </c>
      <c r="M2" s="4">
        <v>0</v>
      </c>
      <c r="N2" s="4">
        <v>0</v>
      </c>
      <c r="O2" s="4">
        <v>2.1700000000000001E-2</v>
      </c>
      <c r="P2" s="5" t="s">
        <v>29</v>
      </c>
      <c r="Q2" s="4">
        <v>506.3</v>
      </c>
      <c r="R2" s="4">
        <f>10*LN(Q2)</f>
        <v>62.271293789758637</v>
      </c>
      <c r="U2" s="4" t="s">
        <v>30</v>
      </c>
      <c r="V2" s="4" t="s">
        <v>31</v>
      </c>
    </row>
    <row r="3" spans="1:24" s="4" customFormat="1" x14ac:dyDescent="0.25">
      <c r="A3" s="4">
        <v>22800.427100000001</v>
      </c>
      <c r="B3" s="5" t="s">
        <v>32</v>
      </c>
      <c r="C3" s="5" t="s">
        <v>33</v>
      </c>
      <c r="D3" s="4">
        <v>749</v>
      </c>
      <c r="E3" s="4">
        <v>282</v>
      </c>
      <c r="F3" s="4" t="s">
        <v>26</v>
      </c>
      <c r="G3" s="4" t="s">
        <v>27</v>
      </c>
      <c r="H3" s="4">
        <v>-3.6999999999999998E-2</v>
      </c>
      <c r="I3" s="4" t="s">
        <v>34</v>
      </c>
      <c r="J3" s="4">
        <v>-0.14099999999999999</v>
      </c>
      <c r="K3" s="4">
        <v>0</v>
      </c>
      <c r="L3" s="4">
        <v>0.94399999999999995</v>
      </c>
      <c r="M3" s="4">
        <v>0</v>
      </c>
      <c r="N3" s="4">
        <v>0</v>
      </c>
      <c r="O3" s="4">
        <v>2.1899999999999999E-2</v>
      </c>
      <c r="P3" s="5" t="s">
        <v>35</v>
      </c>
      <c r="Q3" s="4">
        <v>210.6</v>
      </c>
      <c r="U3" s="4" t="s">
        <v>30</v>
      </c>
      <c r="V3" s="4" t="s">
        <v>31</v>
      </c>
    </row>
    <row r="4" spans="1:24" s="4" customFormat="1" x14ac:dyDescent="0.25">
      <c r="A4" s="4">
        <v>25657.662799999998</v>
      </c>
      <c r="B4" s="5" t="s">
        <v>36</v>
      </c>
      <c r="C4" s="5" t="s">
        <v>37</v>
      </c>
      <c r="D4" s="4">
        <v>904</v>
      </c>
      <c r="E4" s="4">
        <v>658</v>
      </c>
      <c r="F4" s="4" t="s">
        <v>26</v>
      </c>
      <c r="G4" s="4" t="s">
        <v>38</v>
      </c>
      <c r="H4" s="4">
        <v>0.23899999999999999</v>
      </c>
      <c r="I4" s="4" t="s">
        <v>38</v>
      </c>
      <c r="J4" s="4">
        <v>0.26700000000000002</v>
      </c>
      <c r="K4" s="4">
        <v>0</v>
      </c>
      <c r="L4" s="4">
        <v>0.2</v>
      </c>
      <c r="M4" s="4">
        <v>0</v>
      </c>
      <c r="N4" s="4">
        <v>0</v>
      </c>
      <c r="O4" s="4">
        <v>0.18329999999999999</v>
      </c>
      <c r="P4" s="5" t="s">
        <v>39</v>
      </c>
      <c r="Q4" s="4">
        <v>71.930000000000007</v>
      </c>
      <c r="U4" s="4" t="s">
        <v>40</v>
      </c>
      <c r="V4" s="4" t="s">
        <v>31</v>
      </c>
    </row>
    <row r="5" spans="1:24" s="4" customFormat="1" x14ac:dyDescent="0.25">
      <c r="A5" s="4">
        <v>27260.162700000001</v>
      </c>
      <c r="B5" s="5" t="s">
        <v>41</v>
      </c>
      <c r="C5" s="5" t="s">
        <v>42</v>
      </c>
      <c r="D5" s="4">
        <v>916</v>
      </c>
      <c r="E5" s="4">
        <v>711</v>
      </c>
      <c r="F5" s="4" t="s">
        <v>26</v>
      </c>
      <c r="G5" s="4" t="s">
        <v>27</v>
      </c>
      <c r="H5" s="4">
        <v>7.8E-2</v>
      </c>
      <c r="I5" s="4" t="s">
        <v>34</v>
      </c>
      <c r="J5" s="4">
        <v>0.216</v>
      </c>
      <c r="K5" s="4">
        <v>0</v>
      </c>
      <c r="L5" s="4">
        <v>0.94399999999999995</v>
      </c>
      <c r="M5" s="4">
        <v>0</v>
      </c>
      <c r="N5" s="4">
        <v>0</v>
      </c>
      <c r="O5" s="4">
        <v>4.99E-2</v>
      </c>
      <c r="P5" s="5" t="s">
        <v>43</v>
      </c>
      <c r="Q5" s="4">
        <v>623.1</v>
      </c>
      <c r="U5" s="4" t="s">
        <v>44</v>
      </c>
      <c r="V5" s="4" t="s">
        <v>45</v>
      </c>
    </row>
    <row r="6" spans="1:24" s="1" customFormat="1" x14ac:dyDescent="0.25">
      <c r="A6" s="1">
        <v>33445.188300000002</v>
      </c>
      <c r="B6" s="2" t="s">
        <v>46</v>
      </c>
      <c r="C6" s="2" t="s">
        <v>47</v>
      </c>
      <c r="D6" s="1">
        <v>925</v>
      </c>
      <c r="E6" s="1">
        <v>627</v>
      </c>
      <c r="F6" s="1" t="s">
        <v>26</v>
      </c>
      <c r="G6" s="1" t="s">
        <v>48</v>
      </c>
      <c r="H6" s="1">
        <v>-0.17699999999999999</v>
      </c>
      <c r="O6" s="1">
        <v>3.6999999999999998E-2</v>
      </c>
      <c r="P6" s="2" t="s">
        <v>49</v>
      </c>
      <c r="Q6" s="1">
        <v>1815</v>
      </c>
      <c r="S6" s="1" t="s">
        <v>50</v>
      </c>
      <c r="T6" s="1" t="s">
        <v>50</v>
      </c>
      <c r="U6" s="1" t="s">
        <v>51</v>
      </c>
      <c r="V6" s="1" t="s">
        <v>52</v>
      </c>
    </row>
    <row r="7" spans="1:24" s="4" customFormat="1" x14ac:dyDescent="0.25">
      <c r="A7" s="4">
        <v>35730.250899999999</v>
      </c>
      <c r="B7" s="5" t="s">
        <v>53</v>
      </c>
      <c r="C7" s="5" t="s">
        <v>54</v>
      </c>
      <c r="D7" s="4">
        <v>1131</v>
      </c>
      <c r="E7" s="4">
        <v>1006</v>
      </c>
      <c r="F7" s="4" t="s">
        <v>26</v>
      </c>
      <c r="G7" s="4" t="s">
        <v>38</v>
      </c>
      <c r="H7" s="4">
        <v>1.9E-2</v>
      </c>
      <c r="I7" s="4" t="s">
        <v>48</v>
      </c>
      <c r="J7" s="4">
        <v>-0.78500000000000003</v>
      </c>
      <c r="K7" s="4">
        <v>-1.0669999999999999</v>
      </c>
      <c r="L7" s="4">
        <v>0.2</v>
      </c>
      <c r="M7" s="4">
        <v>0</v>
      </c>
      <c r="N7" s="4">
        <v>0.35</v>
      </c>
      <c r="O7" s="4">
        <v>0.18329999999999999</v>
      </c>
      <c r="P7" s="5" t="s">
        <v>55</v>
      </c>
      <c r="Q7" s="4">
        <v>7216</v>
      </c>
      <c r="S7" s="4" t="s">
        <v>56</v>
      </c>
      <c r="T7" s="4" t="s">
        <v>56</v>
      </c>
      <c r="U7" s="4" t="s">
        <v>57</v>
      </c>
      <c r="V7" s="4" t="s">
        <v>45</v>
      </c>
    </row>
    <row r="8" spans="1:24" s="1" customFormat="1" x14ac:dyDescent="0.25">
      <c r="A8" s="1">
        <v>36887.620799999997</v>
      </c>
      <c r="B8" s="2" t="s">
        <v>58</v>
      </c>
      <c r="C8" s="2" t="s">
        <v>59</v>
      </c>
      <c r="D8" s="1">
        <v>1179</v>
      </c>
      <c r="E8" s="1">
        <v>1079</v>
      </c>
      <c r="F8" s="1" t="s">
        <v>26</v>
      </c>
      <c r="G8" s="1" t="s">
        <v>60</v>
      </c>
      <c r="H8" s="1">
        <v>1.4630000000000001</v>
      </c>
      <c r="I8" s="1" t="s">
        <v>28</v>
      </c>
      <c r="J8" s="1">
        <v>1.724</v>
      </c>
      <c r="K8" s="1">
        <v>0.35299999999999998</v>
      </c>
      <c r="L8" s="1">
        <v>0.2</v>
      </c>
      <c r="M8" s="1">
        <v>0.50600000000000001</v>
      </c>
      <c r="N8" s="1">
        <v>9.8000000000000004E-2</v>
      </c>
      <c r="O8" s="1">
        <v>0.18329999999999999</v>
      </c>
      <c r="P8" s="2" t="s">
        <v>61</v>
      </c>
      <c r="Q8" s="1">
        <v>2451</v>
      </c>
      <c r="R8" s="1">
        <f>10*LN(Q8)</f>
        <v>78.042513835281127</v>
      </c>
      <c r="S8" s="1" t="s">
        <v>62</v>
      </c>
      <c r="T8" s="1" t="s">
        <v>62</v>
      </c>
      <c r="U8" s="1" t="s">
        <v>63</v>
      </c>
      <c r="V8" s="1" t="s">
        <v>45</v>
      </c>
    </row>
    <row r="9" spans="1:24" s="1" customFormat="1" x14ac:dyDescent="0.25">
      <c r="A9" s="1">
        <v>48671.3482</v>
      </c>
      <c r="B9" s="2" t="s">
        <v>64</v>
      </c>
      <c r="C9" s="2" t="s">
        <v>65</v>
      </c>
      <c r="D9" s="1">
        <v>1207</v>
      </c>
      <c r="E9" s="1">
        <v>1025</v>
      </c>
      <c r="F9" s="1" t="s">
        <v>26</v>
      </c>
      <c r="G9" s="1" t="s">
        <v>66</v>
      </c>
      <c r="H9" s="1">
        <v>-0.29699999999999999</v>
      </c>
      <c r="I9" s="1" t="s">
        <v>66</v>
      </c>
      <c r="J9" s="1">
        <v>-0.30199999999999999</v>
      </c>
      <c r="K9" s="1">
        <v>0</v>
      </c>
      <c r="L9" s="1">
        <v>0.63300000000000001</v>
      </c>
      <c r="M9" s="1">
        <v>0</v>
      </c>
      <c r="N9" s="1">
        <v>0.161</v>
      </c>
      <c r="O9" s="1">
        <v>9.8400000000000001E-2</v>
      </c>
      <c r="P9" s="2" t="s">
        <v>67</v>
      </c>
      <c r="Q9" s="1">
        <v>2680</v>
      </c>
      <c r="S9" s="1" t="s">
        <v>68</v>
      </c>
      <c r="T9" s="1" t="s">
        <v>68</v>
      </c>
      <c r="U9" s="1" t="s">
        <v>69</v>
      </c>
      <c r="V9" s="1" t="s">
        <v>45</v>
      </c>
    </row>
    <row r="10" spans="1:24" s="1" customFormat="1" x14ac:dyDescent="0.25">
      <c r="A10" s="1">
        <v>51932.429600000003</v>
      </c>
      <c r="B10" s="2" t="s">
        <v>24</v>
      </c>
      <c r="C10" s="2" t="s">
        <v>70</v>
      </c>
      <c r="D10" s="1">
        <v>1098</v>
      </c>
      <c r="E10" s="1">
        <v>900</v>
      </c>
      <c r="F10" s="1" t="s">
        <v>26</v>
      </c>
      <c r="G10" s="1" t="s">
        <v>71</v>
      </c>
      <c r="H10" s="1">
        <v>-0.64100000000000001</v>
      </c>
      <c r="I10" s="1" t="s">
        <v>72</v>
      </c>
      <c r="J10" s="1">
        <v>-0.95799999999999996</v>
      </c>
      <c r="K10" s="1">
        <v>-0.93400000000000005</v>
      </c>
      <c r="L10" s="1">
        <v>0.63300000000000001</v>
      </c>
      <c r="M10" s="1">
        <v>0</v>
      </c>
      <c r="N10" s="1">
        <v>0</v>
      </c>
      <c r="O10" s="1">
        <v>0.36720000000000003</v>
      </c>
      <c r="P10" s="2" t="s">
        <v>73</v>
      </c>
      <c r="Q10" s="1">
        <v>3814</v>
      </c>
      <c r="U10" s="1" t="s">
        <v>30</v>
      </c>
      <c r="V10" s="1" t="s">
        <v>31</v>
      </c>
    </row>
    <row r="11" spans="1:24" s="1" customFormat="1" x14ac:dyDescent="0.25">
      <c r="A11" s="1">
        <v>53197.541499999999</v>
      </c>
      <c r="B11" s="2" t="s">
        <v>74</v>
      </c>
      <c r="C11" s="2" t="s">
        <v>75</v>
      </c>
      <c r="D11" s="1">
        <v>1154</v>
      </c>
      <c r="E11" s="1">
        <v>954</v>
      </c>
      <c r="F11" s="1" t="s">
        <v>26</v>
      </c>
      <c r="G11" s="1" t="s">
        <v>27</v>
      </c>
      <c r="H11" s="1">
        <v>-8.2000000000000003E-2</v>
      </c>
      <c r="I11" s="1" t="s">
        <v>28</v>
      </c>
      <c r="J11" s="1">
        <v>-0.41799999999999998</v>
      </c>
      <c r="K11" s="1">
        <v>-1.091</v>
      </c>
      <c r="L11" s="1">
        <v>0.63300000000000001</v>
      </c>
      <c r="M11" s="1">
        <v>0.17499999999999999</v>
      </c>
      <c r="N11" s="1">
        <v>3.6999999999999998E-2</v>
      </c>
      <c r="O11" s="1">
        <v>0.10730000000000001</v>
      </c>
      <c r="P11" s="2" t="s">
        <v>76</v>
      </c>
      <c r="Q11" s="1">
        <v>1572</v>
      </c>
      <c r="S11" s="1" t="s">
        <v>77</v>
      </c>
      <c r="T11" s="1" t="s">
        <v>77</v>
      </c>
      <c r="U11" s="1" t="s">
        <v>78</v>
      </c>
      <c r="V11" s="1" t="s">
        <v>45</v>
      </c>
    </row>
    <row r="12" spans="1:24" s="1" customFormat="1" x14ac:dyDescent="0.25">
      <c r="A12" s="1">
        <v>57669.166100000002</v>
      </c>
      <c r="B12" s="2" t="s">
        <v>79</v>
      </c>
      <c r="C12" s="2" t="s">
        <v>54</v>
      </c>
      <c r="D12" s="1">
        <v>1241</v>
      </c>
      <c r="E12" s="1">
        <v>1006</v>
      </c>
      <c r="F12" s="1" t="s">
        <v>26</v>
      </c>
      <c r="G12" s="1" t="s">
        <v>38</v>
      </c>
      <c r="H12" s="1">
        <v>0.15</v>
      </c>
      <c r="I12" s="1" t="s">
        <v>38</v>
      </c>
      <c r="J12" s="1">
        <v>0.13200000000000001</v>
      </c>
      <c r="K12" s="1">
        <v>0</v>
      </c>
      <c r="L12" s="1">
        <v>0.63300000000000001</v>
      </c>
      <c r="M12" s="1">
        <v>0</v>
      </c>
      <c r="N12" s="1">
        <v>0</v>
      </c>
      <c r="O12" s="1">
        <v>0.1177</v>
      </c>
      <c r="P12" s="2" t="s">
        <v>80</v>
      </c>
      <c r="Q12" s="1">
        <v>21.38</v>
      </c>
      <c r="R12" s="1">
        <f>10*LN(Q12)</f>
        <v>30.624559055968991</v>
      </c>
      <c r="T12" s="1" t="s">
        <v>81</v>
      </c>
      <c r="U12" s="1" t="s">
        <v>82</v>
      </c>
      <c r="V12" s="1" t="s">
        <v>83</v>
      </c>
    </row>
    <row r="13" spans="1:24" s="1" customFormat="1" x14ac:dyDescent="0.25">
      <c r="A13" s="1">
        <v>68521.079800000007</v>
      </c>
      <c r="B13" s="2" t="s">
        <v>84</v>
      </c>
      <c r="C13" s="2" t="s">
        <v>85</v>
      </c>
      <c r="D13" s="1">
        <v>1216</v>
      </c>
      <c r="E13" s="1">
        <v>927</v>
      </c>
      <c r="F13" s="1" t="s">
        <v>26</v>
      </c>
      <c r="G13" s="1" t="s">
        <v>38</v>
      </c>
      <c r="H13" s="1">
        <v>-0.252</v>
      </c>
      <c r="I13" s="1" t="s">
        <v>38</v>
      </c>
      <c r="J13" s="1">
        <v>-0.25700000000000001</v>
      </c>
      <c r="K13" s="1">
        <v>0</v>
      </c>
      <c r="L13" s="1">
        <v>0.63300000000000001</v>
      </c>
      <c r="M13" s="1">
        <v>0</v>
      </c>
      <c r="N13" s="1">
        <v>0</v>
      </c>
      <c r="O13" s="1">
        <v>0.1492</v>
      </c>
      <c r="P13" s="2" t="s">
        <v>86</v>
      </c>
      <c r="Q13" s="1">
        <v>45.49</v>
      </c>
      <c r="S13" s="1" t="s">
        <v>87</v>
      </c>
      <c r="U13" s="1" t="s">
        <v>88</v>
      </c>
      <c r="V13" s="1" t="s">
        <v>31</v>
      </c>
    </row>
    <row r="14" spans="1:24" s="4" customFormat="1" x14ac:dyDescent="0.25">
      <c r="A14" s="4">
        <v>68521.079800000007</v>
      </c>
      <c r="B14" s="5" t="s">
        <v>89</v>
      </c>
      <c r="C14" s="5" t="s">
        <v>90</v>
      </c>
      <c r="D14" s="4">
        <v>1072</v>
      </c>
      <c r="E14" s="4">
        <v>505</v>
      </c>
      <c r="F14" s="4" t="s">
        <v>26</v>
      </c>
      <c r="G14" s="4" t="s">
        <v>60</v>
      </c>
      <c r="H14" s="4">
        <v>-0.41399999999999998</v>
      </c>
      <c r="I14" s="4" t="s">
        <v>28</v>
      </c>
      <c r="J14" s="4">
        <v>-0.55300000000000005</v>
      </c>
      <c r="K14" s="4">
        <v>-0.47899999999999998</v>
      </c>
      <c r="L14" s="4">
        <v>0.63300000000000001</v>
      </c>
      <c r="M14" s="4">
        <v>0</v>
      </c>
      <c r="N14" s="4">
        <v>0</v>
      </c>
      <c r="O14" s="4">
        <v>0.1492</v>
      </c>
      <c r="P14" s="5" t="s">
        <v>86</v>
      </c>
      <c r="Q14" s="4">
        <v>80.400000000000006</v>
      </c>
      <c r="S14" s="4" t="s">
        <v>91</v>
      </c>
      <c r="U14" s="4" t="s">
        <v>88</v>
      </c>
      <c r="V14" s="4" t="s">
        <v>45</v>
      </c>
    </row>
    <row r="15" spans="1:24" s="1" customFormat="1" x14ac:dyDescent="0.25">
      <c r="A15" s="1">
        <v>89999.513900000005</v>
      </c>
      <c r="B15" s="2" t="s">
        <v>74</v>
      </c>
      <c r="C15" s="2" t="s">
        <v>92</v>
      </c>
      <c r="D15" s="1">
        <v>1154</v>
      </c>
      <c r="E15" s="1">
        <v>682</v>
      </c>
      <c r="F15" s="1" t="s">
        <v>26</v>
      </c>
      <c r="G15" s="1" t="s">
        <v>60</v>
      </c>
      <c r="H15" s="1">
        <v>-0.58099999999999996</v>
      </c>
      <c r="I15" s="1" t="s">
        <v>28</v>
      </c>
      <c r="J15" s="1">
        <v>-0.92300000000000004</v>
      </c>
      <c r="K15" s="1">
        <v>-1.091</v>
      </c>
      <c r="L15" s="1">
        <v>0.63300000000000001</v>
      </c>
      <c r="M15" s="1">
        <v>0</v>
      </c>
      <c r="N15" s="1">
        <v>0</v>
      </c>
      <c r="O15" s="1">
        <v>0.23580000000000001</v>
      </c>
      <c r="P15" s="1">
        <v>706.62726035443097</v>
      </c>
      <c r="Q15" s="1">
        <v>301.8</v>
      </c>
      <c r="U15" s="1" t="s">
        <v>44</v>
      </c>
      <c r="V15" s="1" t="s">
        <v>45</v>
      </c>
    </row>
    <row r="16" spans="1:24" s="1" customFormat="1" x14ac:dyDescent="0.25">
      <c r="A16" s="1">
        <v>93609.296300000002</v>
      </c>
      <c r="B16" s="2" t="s">
        <v>58</v>
      </c>
      <c r="C16" s="2" t="s">
        <v>93</v>
      </c>
      <c r="D16" s="1">
        <v>1179</v>
      </c>
      <c r="E16" s="1">
        <v>708</v>
      </c>
      <c r="F16" s="1" t="s">
        <v>26</v>
      </c>
      <c r="G16" s="1" t="s">
        <v>94</v>
      </c>
      <c r="H16" s="1">
        <v>-0.58599999999999997</v>
      </c>
      <c r="I16" s="1" t="s">
        <v>94</v>
      </c>
      <c r="J16" s="1">
        <v>-0.67300000000000004</v>
      </c>
      <c r="K16" s="1">
        <v>0</v>
      </c>
      <c r="L16" s="1">
        <v>0.63300000000000001</v>
      </c>
      <c r="M16" s="1">
        <v>0</v>
      </c>
      <c r="N16" s="1">
        <v>0</v>
      </c>
      <c r="O16" s="1">
        <v>0.25330000000000003</v>
      </c>
      <c r="P16" s="2" t="s">
        <v>95</v>
      </c>
      <c r="Q16" s="1">
        <v>52.63</v>
      </c>
      <c r="U16" s="1" t="s">
        <v>44</v>
      </c>
      <c r="V16" s="1" t="s">
        <v>31</v>
      </c>
    </row>
    <row r="17" spans="1:22" s="4" customFormat="1" x14ac:dyDescent="0.25">
      <c r="A17" s="4">
        <v>22513.256300000001</v>
      </c>
      <c r="B17" s="5" t="s">
        <v>96</v>
      </c>
      <c r="C17" s="5" t="s">
        <v>33</v>
      </c>
      <c r="D17" s="4">
        <v>745</v>
      </c>
      <c r="E17" s="4">
        <v>282</v>
      </c>
      <c r="F17" s="4" t="s">
        <v>97</v>
      </c>
      <c r="G17" s="4" t="s">
        <v>48</v>
      </c>
      <c r="H17" s="4">
        <v>0.14699999999999999</v>
      </c>
      <c r="I17" s="4" t="s">
        <v>48</v>
      </c>
      <c r="J17" s="4">
        <v>9.1999999999999998E-2</v>
      </c>
      <c r="K17" s="4">
        <v>0</v>
      </c>
      <c r="L17" s="4">
        <v>0.94399999999999995</v>
      </c>
      <c r="M17" s="4">
        <v>0</v>
      </c>
      <c r="N17" s="4">
        <v>0</v>
      </c>
      <c r="O17" s="4">
        <v>2.1700000000000001E-2</v>
      </c>
      <c r="P17" s="5" t="s">
        <v>98</v>
      </c>
      <c r="Q17" s="4">
        <v>48.51</v>
      </c>
      <c r="S17" s="4" t="s">
        <v>99</v>
      </c>
      <c r="T17" s="4" t="s">
        <v>99</v>
      </c>
      <c r="U17" s="4" t="s">
        <v>45</v>
      </c>
      <c r="V17" s="4" t="s">
        <v>100</v>
      </c>
    </row>
    <row r="18" spans="1:22" s="1" customFormat="1" x14ac:dyDescent="0.25">
      <c r="A18" s="1">
        <v>31398.870999999999</v>
      </c>
      <c r="B18" s="2" t="s">
        <v>101</v>
      </c>
      <c r="C18" s="2" t="s">
        <v>102</v>
      </c>
      <c r="D18" s="1">
        <v>1087</v>
      </c>
      <c r="E18" s="1">
        <v>950</v>
      </c>
      <c r="F18" s="1" t="s">
        <v>97</v>
      </c>
      <c r="G18" s="1" t="s">
        <v>34</v>
      </c>
      <c r="H18" s="1">
        <v>-0.80100000000000005</v>
      </c>
      <c r="I18" s="1" t="s">
        <v>60</v>
      </c>
      <c r="J18" s="1">
        <v>-0.498</v>
      </c>
      <c r="K18" s="1">
        <v>0.39800000000000002</v>
      </c>
      <c r="L18" s="1">
        <v>0.2</v>
      </c>
      <c r="M18" s="1">
        <v>0.42499999999999999</v>
      </c>
      <c r="N18" s="1">
        <v>0.26900000000000002</v>
      </c>
      <c r="O18" s="1">
        <v>0.18329999999999999</v>
      </c>
      <c r="P18" s="2" t="s">
        <v>103</v>
      </c>
      <c r="Q18" s="1">
        <v>7874</v>
      </c>
      <c r="S18" s="1" t="s">
        <v>104</v>
      </c>
      <c r="T18" s="1" t="s">
        <v>104</v>
      </c>
      <c r="U18" s="1" t="s">
        <v>45</v>
      </c>
      <c r="V18" s="1" t="s">
        <v>105</v>
      </c>
    </row>
    <row r="19" spans="1:22" s="1" customFormat="1" x14ac:dyDescent="0.25">
      <c r="A19" s="1">
        <v>33491.887900000002</v>
      </c>
      <c r="B19" s="2" t="s">
        <v>106</v>
      </c>
      <c r="C19" s="2" t="s">
        <v>107</v>
      </c>
      <c r="D19" s="1">
        <v>1088</v>
      </c>
      <c r="E19" s="1">
        <v>939</v>
      </c>
      <c r="F19" s="1" t="s">
        <v>97</v>
      </c>
      <c r="G19" s="1" t="s">
        <v>60</v>
      </c>
      <c r="H19" s="1">
        <v>0.54</v>
      </c>
      <c r="I19" s="1" t="s">
        <v>27</v>
      </c>
      <c r="J19" s="1">
        <v>-7.8E-2</v>
      </c>
      <c r="K19" s="1">
        <v>-0.81699999999999995</v>
      </c>
      <c r="L19" s="1">
        <v>0.2</v>
      </c>
      <c r="M19" s="1">
        <v>-0.65400000000000003</v>
      </c>
      <c r="N19" s="1">
        <v>0.18</v>
      </c>
      <c r="O19" s="1">
        <v>0.18329999999999999</v>
      </c>
      <c r="P19" s="1">
        <v>15750.8855424222</v>
      </c>
      <c r="Q19" s="1">
        <v>6983</v>
      </c>
      <c r="U19" s="1" t="s">
        <v>108</v>
      </c>
      <c r="V19" s="1" t="s">
        <v>109</v>
      </c>
    </row>
    <row r="20" spans="1:22" s="1" customFormat="1" x14ac:dyDescent="0.25">
      <c r="A20" s="1">
        <v>37622.249300000003</v>
      </c>
      <c r="B20" s="2" t="s">
        <v>110</v>
      </c>
      <c r="C20" s="2" t="s">
        <v>111</v>
      </c>
      <c r="D20" s="1">
        <v>1141</v>
      </c>
      <c r="E20" s="1">
        <v>1009</v>
      </c>
      <c r="F20" s="1" t="s">
        <v>97</v>
      </c>
      <c r="G20" s="1" t="s">
        <v>48</v>
      </c>
      <c r="H20" s="1">
        <v>0.85299999999999998</v>
      </c>
      <c r="I20" s="1" t="s">
        <v>38</v>
      </c>
      <c r="J20" s="1">
        <v>-1.9E-2</v>
      </c>
      <c r="K20" s="1">
        <v>-1.1379999999999999</v>
      </c>
      <c r="L20" s="1">
        <v>0.2</v>
      </c>
      <c r="M20" s="1">
        <v>-0.91</v>
      </c>
      <c r="N20" s="1">
        <v>0.14199999999999999</v>
      </c>
      <c r="O20" s="1">
        <v>0.18329999999999999</v>
      </c>
      <c r="P20" s="2" t="s">
        <v>112</v>
      </c>
      <c r="Q20" s="2" t="s">
        <v>113</v>
      </c>
      <c r="U20" s="1" t="s">
        <v>45</v>
      </c>
      <c r="V20" s="1" t="s">
        <v>114</v>
      </c>
    </row>
    <row r="21" spans="1:22" s="1" customFormat="1" x14ac:dyDescent="0.25">
      <c r="A21" s="1">
        <v>51365.556299999997</v>
      </c>
      <c r="B21" s="2" t="s">
        <v>115</v>
      </c>
      <c r="C21" s="2" t="s">
        <v>116</v>
      </c>
      <c r="D21" s="1">
        <v>1134</v>
      </c>
      <c r="E21" s="1">
        <v>931</v>
      </c>
      <c r="F21" s="1" t="s">
        <v>97</v>
      </c>
      <c r="G21" s="1" t="s">
        <v>34</v>
      </c>
      <c r="H21" s="1">
        <v>-0.498</v>
      </c>
      <c r="I21" s="1" t="s">
        <v>27</v>
      </c>
      <c r="J21" s="1">
        <v>-0.16300000000000001</v>
      </c>
      <c r="K21" s="1">
        <v>0</v>
      </c>
      <c r="L21" s="1">
        <v>0.63300000000000001</v>
      </c>
      <c r="M21" s="1">
        <v>0</v>
      </c>
      <c r="N21" s="1">
        <v>0</v>
      </c>
      <c r="O21" s="1">
        <v>0.10349999999999999</v>
      </c>
      <c r="P21" s="2" t="s">
        <v>117</v>
      </c>
      <c r="Q21" s="1">
        <v>7821</v>
      </c>
      <c r="U21" s="1" t="s">
        <v>45</v>
      </c>
      <c r="V21" s="1" t="s">
        <v>30</v>
      </c>
    </row>
    <row r="22" spans="1:22" s="1" customFormat="1" x14ac:dyDescent="0.25">
      <c r="A22" s="1">
        <v>53004.729899999998</v>
      </c>
      <c r="B22" s="2" t="s">
        <v>118</v>
      </c>
      <c r="C22" s="2" t="s">
        <v>119</v>
      </c>
      <c r="D22" s="1">
        <v>1135</v>
      </c>
      <c r="E22" s="1">
        <v>924</v>
      </c>
      <c r="F22" s="1" t="s">
        <v>97</v>
      </c>
      <c r="G22" s="1" t="s">
        <v>120</v>
      </c>
      <c r="H22" s="1">
        <v>0.49399999999999999</v>
      </c>
      <c r="I22" s="1" t="s">
        <v>71</v>
      </c>
      <c r="J22" s="1">
        <v>0.185</v>
      </c>
      <c r="K22" s="1">
        <v>-0.87</v>
      </c>
      <c r="L22" s="1">
        <v>0.63300000000000001</v>
      </c>
      <c r="M22" s="1">
        <v>-0.251</v>
      </c>
      <c r="N22" s="1">
        <v>2.5000000000000001E-2</v>
      </c>
      <c r="O22" s="1">
        <v>0.1069</v>
      </c>
      <c r="P22" s="2" t="s">
        <v>121</v>
      </c>
      <c r="Q22" s="1">
        <v>6476</v>
      </c>
      <c r="R22" s="1">
        <f>10*LN(Q22)</f>
        <v>87.758583147975258</v>
      </c>
      <c r="S22" s="1" t="s">
        <v>122</v>
      </c>
      <c r="T22" s="1" t="s">
        <v>122</v>
      </c>
      <c r="U22" s="1" t="s">
        <v>45</v>
      </c>
      <c r="V22" s="1" t="s">
        <v>44</v>
      </c>
    </row>
    <row r="23" spans="1:22" s="4" customFormat="1" x14ac:dyDescent="0.25">
      <c r="A23" s="4">
        <v>53134.088499999998</v>
      </c>
      <c r="B23" s="5" t="s">
        <v>123</v>
      </c>
      <c r="C23" s="5" t="s">
        <v>124</v>
      </c>
      <c r="D23" s="4">
        <v>1062</v>
      </c>
      <c r="E23" s="4">
        <v>718</v>
      </c>
      <c r="F23" s="4" t="s">
        <v>97</v>
      </c>
      <c r="G23" s="4" t="s">
        <v>66</v>
      </c>
      <c r="H23" s="4">
        <v>0.4</v>
      </c>
      <c r="I23" s="4" t="s">
        <v>66</v>
      </c>
      <c r="J23" s="4">
        <v>0.32300000000000001</v>
      </c>
      <c r="K23" s="4">
        <v>-0.32</v>
      </c>
      <c r="L23" s="4">
        <v>0.63300000000000001</v>
      </c>
      <c r="M23" s="4">
        <v>-1.4999999999999999E-2</v>
      </c>
      <c r="N23" s="4">
        <v>2.5999999999999999E-2</v>
      </c>
      <c r="O23" s="4">
        <v>0.1071</v>
      </c>
      <c r="P23" s="5" t="s">
        <v>125</v>
      </c>
      <c r="Q23" s="4">
        <v>1902</v>
      </c>
      <c r="S23" s="4" t="s">
        <v>126</v>
      </c>
      <c r="T23" s="4" t="s">
        <v>126</v>
      </c>
      <c r="U23" s="4" t="s">
        <v>45</v>
      </c>
      <c r="V23" s="4" t="s">
        <v>127</v>
      </c>
    </row>
    <row r="24" spans="1:22" s="1" customFormat="1" x14ac:dyDescent="0.25">
      <c r="A24" s="1">
        <v>57669.166100000002</v>
      </c>
      <c r="B24" s="2" t="s">
        <v>128</v>
      </c>
      <c r="C24" s="2" t="s">
        <v>116</v>
      </c>
      <c r="D24" s="1">
        <v>1155</v>
      </c>
      <c r="E24" s="1">
        <v>931</v>
      </c>
      <c r="F24" s="1" t="s">
        <v>97</v>
      </c>
      <c r="G24" s="1" t="s">
        <v>34</v>
      </c>
      <c r="H24" s="1">
        <v>-0.56999999999999995</v>
      </c>
      <c r="I24" s="1" t="s">
        <v>60</v>
      </c>
      <c r="J24" s="1">
        <v>-0.23799999999999999</v>
      </c>
      <c r="K24" s="1">
        <v>0</v>
      </c>
      <c r="L24" s="1">
        <v>0.63300000000000001</v>
      </c>
      <c r="M24" s="1">
        <v>0</v>
      </c>
      <c r="N24" s="1">
        <v>0</v>
      </c>
      <c r="O24" s="1">
        <v>0.1177</v>
      </c>
      <c r="P24" s="2" t="s">
        <v>80</v>
      </c>
      <c r="Q24" s="1">
        <v>2055</v>
      </c>
      <c r="S24" s="1" t="s">
        <v>129</v>
      </c>
      <c r="U24" s="1" t="s">
        <v>45</v>
      </c>
      <c r="V24" s="1" t="s">
        <v>44</v>
      </c>
    </row>
    <row r="25" spans="1:22" s="4" customFormat="1" x14ac:dyDescent="0.25">
      <c r="A25" s="4">
        <v>58102.307999999997</v>
      </c>
      <c r="B25" s="5" t="s">
        <v>130</v>
      </c>
      <c r="C25" s="5" t="s">
        <v>131</v>
      </c>
      <c r="D25" s="4">
        <v>1229</v>
      </c>
      <c r="E25" s="4">
        <v>988</v>
      </c>
      <c r="F25" s="4" t="s">
        <v>97</v>
      </c>
      <c r="G25" s="4" t="s">
        <v>132</v>
      </c>
      <c r="H25" s="4">
        <v>-1.171</v>
      </c>
      <c r="I25" s="4" t="s">
        <v>132</v>
      </c>
      <c r="J25" s="4">
        <v>-1.179</v>
      </c>
      <c r="K25" s="4">
        <v>0</v>
      </c>
      <c r="L25" s="4">
        <v>0.63300000000000001</v>
      </c>
      <c r="M25" s="4">
        <v>0.126</v>
      </c>
      <c r="N25" s="4">
        <v>1.7000000000000001E-2</v>
      </c>
      <c r="O25" s="4">
        <v>0.40810000000000002</v>
      </c>
      <c r="P25" s="5" t="s">
        <v>133</v>
      </c>
      <c r="Q25" s="4">
        <v>5.6470000000000002</v>
      </c>
      <c r="T25" s="4" t="s">
        <v>134</v>
      </c>
      <c r="U25" s="4" t="s">
        <v>31</v>
      </c>
      <c r="V25" s="4" t="s">
        <v>135</v>
      </c>
    </row>
    <row r="26" spans="1:22" s="1" customFormat="1" x14ac:dyDescent="0.25">
      <c r="A26" s="1">
        <v>58102.307999999997</v>
      </c>
      <c r="B26" s="2" t="s">
        <v>136</v>
      </c>
      <c r="C26" s="2" t="s">
        <v>137</v>
      </c>
      <c r="D26" s="1">
        <v>1116</v>
      </c>
      <c r="E26" s="1">
        <v>902</v>
      </c>
      <c r="F26" s="1" t="s">
        <v>97</v>
      </c>
      <c r="G26" s="1" t="s">
        <v>28</v>
      </c>
      <c r="H26" s="1">
        <v>-1.3029999999999999</v>
      </c>
      <c r="I26" s="1" t="s">
        <v>60</v>
      </c>
      <c r="J26" s="1">
        <v>-1.0780000000000001</v>
      </c>
      <c r="K26" s="1">
        <v>0.34200000000000003</v>
      </c>
      <c r="L26" s="1">
        <v>0.63300000000000001</v>
      </c>
      <c r="M26" s="1">
        <v>0.126</v>
      </c>
      <c r="N26" s="1">
        <v>1.7000000000000001E-2</v>
      </c>
      <c r="O26" s="1">
        <v>0.40810000000000002</v>
      </c>
      <c r="P26" s="2" t="s">
        <v>133</v>
      </c>
      <c r="Q26" s="2" t="s">
        <v>138</v>
      </c>
      <c r="R26" s="1">
        <f>10*LN(Q26)</f>
        <v>99.089724827666984</v>
      </c>
      <c r="T26" s="1" t="s">
        <v>139</v>
      </c>
      <c r="U26" s="1" t="s">
        <v>45</v>
      </c>
      <c r="V26" s="1" t="s">
        <v>135</v>
      </c>
    </row>
    <row r="27" spans="1:22" s="1" customFormat="1" x14ac:dyDescent="0.25">
      <c r="A27" s="1">
        <v>58745.222800000003</v>
      </c>
      <c r="B27" s="2" t="s">
        <v>140</v>
      </c>
      <c r="C27" s="2" t="s">
        <v>141</v>
      </c>
      <c r="D27" s="1">
        <v>1242</v>
      </c>
      <c r="E27" s="1">
        <v>1003</v>
      </c>
      <c r="F27" s="1" t="s">
        <v>97</v>
      </c>
      <c r="G27" s="1" t="s">
        <v>142</v>
      </c>
      <c r="H27" s="1">
        <v>-0.41699999999999998</v>
      </c>
      <c r="I27" s="1" t="s">
        <v>72</v>
      </c>
      <c r="J27" s="1">
        <v>-0.35299999999999998</v>
      </c>
      <c r="K27" s="1">
        <v>0.28599999999999998</v>
      </c>
      <c r="L27" s="1">
        <v>0.63300000000000001</v>
      </c>
      <c r="M27" s="1">
        <v>7.2999999999999995E-2</v>
      </c>
      <c r="N27" s="1">
        <v>2.4E-2</v>
      </c>
      <c r="O27" s="1">
        <v>0.12039999999999999</v>
      </c>
      <c r="P27" s="2" t="s">
        <v>143</v>
      </c>
      <c r="Q27" s="1">
        <v>2208</v>
      </c>
      <c r="S27" s="1" t="s">
        <v>144</v>
      </c>
      <c r="T27" s="1" t="s">
        <v>144</v>
      </c>
      <c r="U27" s="1" t="s">
        <v>45</v>
      </c>
      <c r="V27" s="1" t="s">
        <v>145</v>
      </c>
    </row>
    <row r="28" spans="1:22" s="1" customFormat="1" x14ac:dyDescent="0.25">
      <c r="A28" s="1">
        <v>60109.195</v>
      </c>
      <c r="B28" s="2" t="s">
        <v>146</v>
      </c>
      <c r="C28" s="2" t="s">
        <v>147</v>
      </c>
      <c r="D28" s="1">
        <v>1201</v>
      </c>
      <c r="E28" s="1">
        <v>956</v>
      </c>
      <c r="F28" s="1" t="s">
        <v>97</v>
      </c>
      <c r="G28" s="1" t="s">
        <v>60</v>
      </c>
      <c r="H28" s="1">
        <v>-0.36899999999999999</v>
      </c>
      <c r="I28" s="1" t="s">
        <v>60</v>
      </c>
      <c r="J28" s="1">
        <v>-0.29699999999999999</v>
      </c>
      <c r="K28" s="1">
        <v>0.24099999999999999</v>
      </c>
      <c r="L28" s="1">
        <v>0.63300000000000001</v>
      </c>
      <c r="M28" s="1">
        <v>8.8999999999999996E-2</v>
      </c>
      <c r="N28" s="1">
        <v>2.7E-2</v>
      </c>
      <c r="O28" s="1">
        <v>0.124</v>
      </c>
      <c r="P28" s="2" t="s">
        <v>148</v>
      </c>
      <c r="Q28" s="1">
        <v>4583</v>
      </c>
      <c r="U28" s="1" t="s">
        <v>31</v>
      </c>
      <c r="V28" s="1" t="s">
        <v>30</v>
      </c>
    </row>
    <row r="29" spans="1:22" s="1" customFormat="1" x14ac:dyDescent="0.25">
      <c r="A29" s="1">
        <v>68337.193499999994</v>
      </c>
      <c r="B29" s="2" t="s">
        <v>64</v>
      </c>
      <c r="C29" s="2" t="s">
        <v>46</v>
      </c>
      <c r="D29" s="1">
        <v>1207</v>
      </c>
      <c r="E29" s="1">
        <v>925</v>
      </c>
      <c r="F29" s="1" t="s">
        <v>97</v>
      </c>
      <c r="G29" s="1" t="s">
        <v>149</v>
      </c>
      <c r="H29" s="1">
        <v>-0.51800000000000002</v>
      </c>
      <c r="I29" s="1" t="s">
        <v>150</v>
      </c>
      <c r="J29" s="1">
        <v>-9.8000000000000004E-2</v>
      </c>
      <c r="K29" s="1">
        <v>0</v>
      </c>
      <c r="L29" s="1">
        <v>0.63300000000000001</v>
      </c>
      <c r="M29" s="1">
        <v>0</v>
      </c>
      <c r="N29" s="1">
        <v>0</v>
      </c>
      <c r="O29" s="1">
        <v>0.14860000000000001</v>
      </c>
      <c r="P29" s="2" t="s">
        <v>151</v>
      </c>
      <c r="Q29" s="1">
        <v>731.1</v>
      </c>
      <c r="U29" s="1" t="s">
        <v>45</v>
      </c>
      <c r="V29" s="1" t="s">
        <v>44</v>
      </c>
    </row>
    <row r="30" spans="1:22" s="1" customFormat="1" x14ac:dyDescent="0.25">
      <c r="A30" s="1">
        <v>68508.439199999993</v>
      </c>
      <c r="B30" s="2" t="s">
        <v>152</v>
      </c>
      <c r="C30" s="2" t="s">
        <v>46</v>
      </c>
      <c r="D30" s="1">
        <v>1212</v>
      </c>
      <c r="E30" s="1">
        <v>925</v>
      </c>
      <c r="F30" s="1" t="s">
        <v>97</v>
      </c>
      <c r="G30" s="1" t="s">
        <v>153</v>
      </c>
      <c r="H30" s="1">
        <v>-0.84799999999999998</v>
      </c>
      <c r="I30" s="1" t="s">
        <v>94</v>
      </c>
      <c r="J30" s="1">
        <v>-0.43</v>
      </c>
      <c r="K30" s="1">
        <v>0</v>
      </c>
      <c r="L30" s="1">
        <v>0.63300000000000001</v>
      </c>
      <c r="M30" s="1">
        <v>0</v>
      </c>
      <c r="N30" s="1">
        <v>0</v>
      </c>
      <c r="O30" s="1">
        <v>0.14910000000000001</v>
      </c>
      <c r="P30" s="1">
        <v>3195.9212276648</v>
      </c>
      <c r="Q30" s="1">
        <v>24.5</v>
      </c>
      <c r="S30" s="1" t="s">
        <v>154</v>
      </c>
      <c r="T30" s="1" t="s">
        <v>154</v>
      </c>
      <c r="U30" s="1" t="s">
        <v>45</v>
      </c>
      <c r="V30" s="1" t="s">
        <v>155</v>
      </c>
    </row>
    <row r="31" spans="1:22" s="1" customFormat="1" x14ac:dyDescent="0.25">
      <c r="A31" s="1">
        <v>70582.630799999999</v>
      </c>
      <c r="B31" s="2" t="s">
        <v>156</v>
      </c>
      <c r="C31" s="2" t="s">
        <v>46</v>
      </c>
      <c r="D31" s="1">
        <v>1225</v>
      </c>
      <c r="E31" s="1">
        <v>925</v>
      </c>
      <c r="F31" s="1" t="s">
        <v>97</v>
      </c>
      <c r="G31" s="1" t="s">
        <v>34</v>
      </c>
      <c r="H31" s="1">
        <v>-0.64700000000000002</v>
      </c>
      <c r="I31" s="1" t="s">
        <v>27</v>
      </c>
      <c r="J31" s="1">
        <v>-0.23100000000000001</v>
      </c>
      <c r="K31" s="1">
        <v>0</v>
      </c>
      <c r="L31" s="1">
        <v>0.63300000000000001</v>
      </c>
      <c r="M31" s="1">
        <v>0</v>
      </c>
      <c r="N31" s="1">
        <v>0</v>
      </c>
      <c r="O31" s="1">
        <v>0.15609999999999999</v>
      </c>
      <c r="P31" s="2" t="s">
        <v>157</v>
      </c>
      <c r="Q31" s="1">
        <v>1151</v>
      </c>
      <c r="U31" s="1" t="s">
        <v>45</v>
      </c>
      <c r="V31" s="1" t="s">
        <v>44</v>
      </c>
    </row>
    <row r="32" spans="1:22" s="1" customFormat="1" x14ac:dyDescent="0.25">
      <c r="A32" s="1">
        <v>83315.698799999998</v>
      </c>
      <c r="B32" s="2" t="s">
        <v>110</v>
      </c>
      <c r="C32" s="2" t="s">
        <v>158</v>
      </c>
      <c r="D32" s="1">
        <v>1141</v>
      </c>
      <c r="E32" s="1">
        <v>747</v>
      </c>
      <c r="F32" s="1" t="s">
        <v>97</v>
      </c>
      <c r="G32" s="1" t="s">
        <v>149</v>
      </c>
      <c r="H32" s="1">
        <v>0.76500000000000001</v>
      </c>
      <c r="I32" s="1" t="s">
        <v>150</v>
      </c>
      <c r="J32" s="1">
        <v>0.38400000000000001</v>
      </c>
      <c r="K32" s="1">
        <v>-1.1379999999999999</v>
      </c>
      <c r="L32" s="1">
        <v>0.63300000000000001</v>
      </c>
      <c r="M32" s="1">
        <v>-0.41699999999999998</v>
      </c>
      <c r="N32" s="1">
        <v>4.2999999999999997E-2</v>
      </c>
      <c r="O32" s="1">
        <v>0.2056</v>
      </c>
      <c r="P32" s="2" t="s">
        <v>159</v>
      </c>
      <c r="Q32" s="1">
        <v>107</v>
      </c>
      <c r="U32" s="1" t="s">
        <v>45</v>
      </c>
      <c r="V32" s="1" t="s">
        <v>44</v>
      </c>
    </row>
    <row r="33" spans="1:22" s="1" customFormat="1" x14ac:dyDescent="0.25">
      <c r="A33" s="1">
        <v>86615.620899999994</v>
      </c>
      <c r="B33" s="2" t="s">
        <v>74</v>
      </c>
      <c r="C33" s="2" t="s">
        <v>160</v>
      </c>
      <c r="D33" s="1">
        <v>1154</v>
      </c>
      <c r="E33" s="1">
        <v>760</v>
      </c>
      <c r="F33" s="1" t="s">
        <v>97</v>
      </c>
      <c r="G33" s="1" t="s">
        <v>60</v>
      </c>
      <c r="H33" s="1">
        <v>0.65300000000000002</v>
      </c>
      <c r="I33" s="1" t="s">
        <v>27</v>
      </c>
      <c r="J33" s="1">
        <v>0.31</v>
      </c>
      <c r="K33" s="1">
        <v>-1.091</v>
      </c>
      <c r="L33" s="1">
        <v>0.63300000000000001</v>
      </c>
      <c r="M33" s="1">
        <v>-0.4</v>
      </c>
      <c r="N33" s="1">
        <v>4.1000000000000002E-2</v>
      </c>
      <c r="O33" s="1">
        <v>0.22009999999999999</v>
      </c>
      <c r="P33" s="2" t="s">
        <v>161</v>
      </c>
      <c r="Q33" s="1">
        <v>291.5</v>
      </c>
      <c r="R33" s="3">
        <f>10*LN(Q33)</f>
        <v>56.750400057905466</v>
      </c>
      <c r="U33" s="1" t="s">
        <v>31</v>
      </c>
      <c r="V33" s="1" t="s">
        <v>44</v>
      </c>
    </row>
    <row r="34" spans="1:22" s="1" customFormat="1" x14ac:dyDescent="0.25">
      <c r="A34" s="1">
        <v>89196.909499999994</v>
      </c>
      <c r="B34" s="2" t="s">
        <v>74</v>
      </c>
      <c r="C34" s="2" t="s">
        <v>93</v>
      </c>
      <c r="D34" s="1">
        <v>1154</v>
      </c>
      <c r="E34" s="1">
        <v>708</v>
      </c>
      <c r="F34" s="1" t="s">
        <v>97</v>
      </c>
      <c r="G34" s="1" t="s">
        <v>28</v>
      </c>
      <c r="H34" s="1">
        <v>0.81100000000000005</v>
      </c>
      <c r="I34" s="1" t="s">
        <v>27</v>
      </c>
      <c r="J34" s="1">
        <v>0.38900000000000001</v>
      </c>
      <c r="K34" s="1">
        <v>-1.091</v>
      </c>
      <c r="L34" s="1">
        <v>0.63300000000000001</v>
      </c>
      <c r="M34" s="1">
        <v>-0.4</v>
      </c>
      <c r="N34" s="1">
        <v>4.1000000000000002E-2</v>
      </c>
      <c r="O34" s="1">
        <v>0.23200000000000001</v>
      </c>
      <c r="P34" s="2" t="s">
        <v>162</v>
      </c>
      <c r="Q34" s="1">
        <v>1786</v>
      </c>
      <c r="R34" s="3">
        <f>10*LN(Q34)</f>
        <v>74.877337614364436</v>
      </c>
      <c r="U34" s="1" t="s">
        <v>45</v>
      </c>
      <c r="V34" s="1" t="s">
        <v>44</v>
      </c>
    </row>
    <row r="35" spans="1:22" s="1" customFormat="1" x14ac:dyDescent="0.25">
      <c r="A35" s="1">
        <v>89387.619600000005</v>
      </c>
      <c r="B35" s="2" t="s">
        <v>74</v>
      </c>
      <c r="C35" s="2" t="s">
        <v>163</v>
      </c>
      <c r="D35" s="1">
        <v>1154</v>
      </c>
      <c r="E35" s="1">
        <v>699</v>
      </c>
      <c r="F35" s="1" t="s">
        <v>97</v>
      </c>
      <c r="G35" s="1" t="s">
        <v>142</v>
      </c>
      <c r="H35" s="1">
        <v>0.873</v>
      </c>
      <c r="I35" s="1" t="s">
        <v>72</v>
      </c>
      <c r="J35" s="1">
        <v>0.53400000000000003</v>
      </c>
      <c r="K35" s="1">
        <v>-1.091</v>
      </c>
      <c r="L35" s="1">
        <v>0.63300000000000001</v>
      </c>
      <c r="M35" s="1">
        <v>-0.312</v>
      </c>
      <c r="N35" s="1">
        <v>3.2000000000000001E-2</v>
      </c>
      <c r="O35" s="1">
        <v>0.2329</v>
      </c>
      <c r="P35" s="2" t="s">
        <v>164</v>
      </c>
      <c r="Q35" s="1">
        <v>1514</v>
      </c>
      <c r="R35" s="3">
        <f>10*LN(Q35)</f>
        <v>73.225104339973939</v>
      </c>
      <c r="S35" s="1" t="s">
        <v>165</v>
      </c>
      <c r="T35" s="1" t="s">
        <v>165</v>
      </c>
      <c r="U35" s="1" t="s">
        <v>45</v>
      </c>
      <c r="V35" s="1" t="s">
        <v>44</v>
      </c>
    </row>
  </sheetData>
  <autoFilter ref="A1:X35" xr:uid="{1083B3FA-E6CE-4BC0-B352-E2EB87FBEA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assignment_diffs_vs_iter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Kramida</dc:creator>
  <cp:lastModifiedBy>Alexander Kramida</cp:lastModifiedBy>
  <dcterms:created xsi:type="dcterms:W3CDTF">2026-10-01T20:19:01Z</dcterms:created>
  <dcterms:modified xsi:type="dcterms:W3CDTF">2026-10-02T17:33:17Z</dcterms:modified>
</cp:coreProperties>
</file>