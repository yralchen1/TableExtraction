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ED33F729-FECA-4CDB-B2EC-43E82BBA6AC3}" xr6:coauthVersionLast="47" xr6:coauthVersionMax="47" xr10:uidLastSave="{00000000-0000-0000-0000-000000000000}"/>
  <bookViews>
    <workbookView xWindow="1770" yWindow="1770" windowWidth="33750" windowHeight="17505" xr2:uid="{68C78799-B5FA-484B-A356-80AD47BF3397}"/>
  </bookViews>
  <sheets>
    <sheet name="wavelength_calibration" sheetId="1" r:id="rId1"/>
  </sheets>
  <functionGroups builtInGroupCount="19"/>
  <definedNames>
    <definedName name="_xlnm._FilterDatabase" localSheetId="0" hidden="1">wavelength_calibration!$A$1:$L$152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4" i="1" l="1" a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K2" i="1"/>
  <c r="J2" i="1"/>
  <c r="L2" i="1" s="1"/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<sst xmlns="http://schemas.openxmlformats.org/spreadsheetml/2006/main" count="10" uniqueCount="10">
  <si>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block</t>
  </si>
  <si>
    <t>lambda_lo_A</t>
  </si>
  <si>
    <t>lambda_hi_A</t>
  </si>
  <si>
    <t>lambda_mid_A</t>
  </si>
  <si>
    <t>n_lines</t>
  </si>
  <si>
    <t>d_lambda_A</t>
  </si>
  <si>
    <t>u_d_lambda_A</t>
  </si>
  <si>
    <t>shift_cm-1</t>
  </si>
  <si>
    <t>u_shift_cm-1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</si>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</sst>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wavelength_calibration!$D$2:$D$152</c:f>
              <c:numCache>
                <c:formatCode>General</c:formatCode>
                <c:ptCount val="151"/>
                <c:pt idx="0">
                  <c:v>838.94</c:v>
                </c:pt>
                <c:pt idx="1">
                  <c:v>868.86599999999999</c:v>
                </c:pt>
                <c:pt idx="2">
                  <c:v>927.11099999999999</c:v>
                </c:pt>
                <c:pt idx="3">
                  <c:v>983.245</c:v>
                </c:pt>
                <c:pt idx="4">
                  <c:v>1012.5</c:v>
                </c:pt>
                <c:pt idx="5">
                  <c:v>1037.5</c:v>
                </c:pt>
                <c:pt idx="6">
                  <c:v>1062.5</c:v>
                </c:pt>
                <c:pt idx="7">
                  <c:v>1087.5</c:v>
                </c:pt>
                <c:pt idx="8">
                  <c:v>1112.5</c:v>
                </c:pt>
                <c:pt idx="9">
                  <c:v>1137.5</c:v>
                </c:pt>
                <c:pt idx="10">
                  <c:v>1157.1469999999999</c:v>
                </c:pt>
                <c:pt idx="11">
                  <c:v>1187.5</c:v>
                </c:pt>
                <c:pt idx="12">
                  <c:v>1212.5</c:v>
                </c:pt>
                <c:pt idx="13">
                  <c:v>1237.5</c:v>
                </c:pt>
                <c:pt idx="14">
                  <c:v>1262.5</c:v>
                </c:pt>
                <c:pt idx="15">
                  <c:v>1287.5</c:v>
                </c:pt>
                <c:pt idx="16">
                  <c:v>1312.5</c:v>
                </c:pt>
                <c:pt idx="17">
                  <c:v>1337.5</c:v>
                </c:pt>
                <c:pt idx="18">
                  <c:v>1362.5</c:v>
                </c:pt>
                <c:pt idx="19">
                  <c:v>1387.5</c:v>
                </c:pt>
                <c:pt idx="20">
                  <c:v>1412.5</c:v>
                </c:pt>
                <c:pt idx="21">
                  <c:v>1437.5</c:v>
                </c:pt>
                <c:pt idx="22">
                  <c:v>1462.5</c:v>
                </c:pt>
                <c:pt idx="23">
                  <c:v>1487.5</c:v>
                </c:pt>
                <c:pt idx="24">
                  <c:v>1511.3720000000001</c:v>
                </c:pt>
                <c:pt idx="25">
                  <c:v>1594.4090000000001</c:v>
                </c:pt>
                <c:pt idx="26">
                  <c:v>1681.9090000000001</c:v>
                </c:pt>
                <c:pt idx="27">
                  <c:v>1712.5</c:v>
                </c:pt>
                <c:pt idx="28">
                  <c:v>1737.5</c:v>
                </c:pt>
                <c:pt idx="29">
                  <c:v>1762.5</c:v>
                </c:pt>
                <c:pt idx="30">
                  <c:v>1787.5</c:v>
                </c:pt>
                <c:pt idx="31">
                  <c:v>1812.5</c:v>
                </c:pt>
                <c:pt idx="32">
                  <c:v>1837.5</c:v>
                </c:pt>
                <c:pt idx="33">
                  <c:v>1862.5</c:v>
                </c:pt>
                <c:pt idx="34">
                  <c:v>1887.5</c:v>
                </c:pt>
                <c:pt idx="35">
                  <c:v>1912.5</c:v>
                </c:pt>
                <c:pt idx="36">
                  <c:v>1937.5</c:v>
                </c:pt>
                <c:pt idx="37">
                  <c:v>1962.5</c:v>
                </c:pt>
                <c:pt idx="38">
                  <c:v>1987.5</c:v>
                </c:pt>
                <c:pt idx="39">
                  <c:v>2012.5</c:v>
                </c:pt>
                <c:pt idx="40">
                  <c:v>2037.5</c:v>
                </c:pt>
                <c:pt idx="41">
                  <c:v>2062.5</c:v>
                </c:pt>
                <c:pt idx="42">
                  <c:v>2089.1579999999999</c:v>
                </c:pt>
                <c:pt idx="43">
                  <c:v>2126.6579999999999</c:v>
                </c:pt>
                <c:pt idx="44">
                  <c:v>2162.5</c:v>
                </c:pt>
                <c:pt idx="45">
                  <c:v>2182.953</c:v>
                </c:pt>
                <c:pt idx="46">
                  <c:v>2195.453</c:v>
                </c:pt>
                <c:pt idx="47">
                  <c:v>2212.5</c:v>
                </c:pt>
                <c:pt idx="48">
                  <c:v>2237.5</c:v>
                </c:pt>
                <c:pt idx="49">
                  <c:v>2262.5</c:v>
                </c:pt>
                <c:pt idx="50">
                  <c:v>2287.5</c:v>
                </c:pt>
                <c:pt idx="51">
                  <c:v>2312.5</c:v>
                </c:pt>
                <c:pt idx="52">
                  <c:v>2337.5</c:v>
                </c:pt>
                <c:pt idx="53">
                  <c:v>2362.5</c:v>
                </c:pt>
                <c:pt idx="54">
                  <c:v>2387.5</c:v>
                </c:pt>
                <c:pt idx="55">
                  <c:v>2412.5</c:v>
                </c:pt>
                <c:pt idx="56">
                  <c:v>2437.5</c:v>
                </c:pt>
                <c:pt idx="57">
                  <c:v>2462.5</c:v>
                </c:pt>
                <c:pt idx="58">
                  <c:v>2487.5</c:v>
                </c:pt>
                <c:pt idx="59">
                  <c:v>2512.5</c:v>
                </c:pt>
                <c:pt idx="60">
                  <c:v>2537.5</c:v>
                </c:pt>
                <c:pt idx="61">
                  <c:v>2562.5</c:v>
                </c:pt>
                <c:pt idx="62">
                  <c:v>2587.5</c:v>
                </c:pt>
                <c:pt idx="63">
                  <c:v>2612.5</c:v>
                </c:pt>
                <c:pt idx="64">
                  <c:v>2637.5</c:v>
                </c:pt>
                <c:pt idx="65">
                  <c:v>2662.5</c:v>
                </c:pt>
                <c:pt idx="66">
                  <c:v>2687.5</c:v>
                </c:pt>
                <c:pt idx="67">
                  <c:v>2712.5</c:v>
                </c:pt>
                <c:pt idx="68">
                  <c:v>2737.5</c:v>
                </c:pt>
                <c:pt idx="69">
                  <c:v>2765.645</c:v>
                </c:pt>
                <c:pt idx="70">
                  <c:v>2829.34</c:v>
                </c:pt>
                <c:pt idx="71">
                  <c:v>2862.5</c:v>
                </c:pt>
                <c:pt idx="72">
                  <c:v>2887.5</c:v>
                </c:pt>
                <c:pt idx="73">
                  <c:v>2912.5</c:v>
                </c:pt>
                <c:pt idx="74">
                  <c:v>2937.5</c:v>
                </c:pt>
                <c:pt idx="75">
                  <c:v>2962.5</c:v>
                </c:pt>
                <c:pt idx="76">
                  <c:v>2987.5</c:v>
                </c:pt>
                <c:pt idx="77">
                  <c:v>3012.5</c:v>
                </c:pt>
                <c:pt idx="78">
                  <c:v>3037.5</c:v>
                </c:pt>
                <c:pt idx="79">
                  <c:v>3062.5</c:v>
                </c:pt>
                <c:pt idx="80">
                  <c:v>3087.5</c:v>
                </c:pt>
                <c:pt idx="81">
                  <c:v>3112.5</c:v>
                </c:pt>
                <c:pt idx="82">
                  <c:v>3150</c:v>
                </c:pt>
                <c:pt idx="83">
                  <c:v>3193.212</c:v>
                </c:pt>
                <c:pt idx="84">
                  <c:v>3265.5239999999999</c:v>
                </c:pt>
                <c:pt idx="85">
                  <c:v>3287.5</c:v>
                </c:pt>
                <c:pt idx="86">
                  <c:v>3312.5</c:v>
                </c:pt>
                <c:pt idx="87">
                  <c:v>3337.5</c:v>
                </c:pt>
                <c:pt idx="88">
                  <c:v>3362.5</c:v>
                </c:pt>
                <c:pt idx="89">
                  <c:v>3387.5</c:v>
                </c:pt>
                <c:pt idx="90">
                  <c:v>3412.5</c:v>
                </c:pt>
                <c:pt idx="91">
                  <c:v>3450</c:v>
                </c:pt>
                <c:pt idx="92">
                  <c:v>3500</c:v>
                </c:pt>
                <c:pt idx="93">
                  <c:v>3550</c:v>
                </c:pt>
                <c:pt idx="94">
                  <c:v>3600</c:v>
                </c:pt>
                <c:pt idx="95">
                  <c:v>3650</c:v>
                </c:pt>
                <c:pt idx="96">
                  <c:v>3687.5</c:v>
                </c:pt>
                <c:pt idx="97">
                  <c:v>3737.5</c:v>
                </c:pt>
                <c:pt idx="98">
                  <c:v>3800</c:v>
                </c:pt>
                <c:pt idx="99">
                  <c:v>3862.5</c:v>
                </c:pt>
                <c:pt idx="100">
                  <c:v>3950</c:v>
                </c:pt>
                <c:pt idx="101">
                  <c:v>4050</c:v>
                </c:pt>
                <c:pt idx="102">
                  <c:v>4125</c:v>
                </c:pt>
                <c:pt idx="103">
                  <c:v>4162.5</c:v>
                </c:pt>
                <c:pt idx="104">
                  <c:v>4187.5</c:v>
                </c:pt>
                <c:pt idx="105">
                  <c:v>4225</c:v>
                </c:pt>
                <c:pt idx="106">
                  <c:v>4262.5</c:v>
                </c:pt>
                <c:pt idx="107">
                  <c:v>4287.5</c:v>
                </c:pt>
                <c:pt idx="108">
                  <c:v>4312.5</c:v>
                </c:pt>
                <c:pt idx="109">
                  <c:v>4350</c:v>
                </c:pt>
                <c:pt idx="110">
                  <c:v>4387.5</c:v>
                </c:pt>
                <c:pt idx="111">
                  <c:v>4412.5</c:v>
                </c:pt>
                <c:pt idx="112">
                  <c:v>4437.5</c:v>
                </c:pt>
                <c:pt idx="113">
                  <c:v>4475</c:v>
                </c:pt>
                <c:pt idx="114">
                  <c:v>4537.5</c:v>
                </c:pt>
                <c:pt idx="115">
                  <c:v>4612.5</c:v>
                </c:pt>
                <c:pt idx="116">
                  <c:v>4687.5</c:v>
                </c:pt>
                <c:pt idx="117">
                  <c:v>4762.5</c:v>
                </c:pt>
                <c:pt idx="118">
                  <c:v>4867.8990000000003</c:v>
                </c:pt>
                <c:pt idx="119">
                  <c:v>5175</c:v>
                </c:pt>
                <c:pt idx="120">
                  <c:v>5375</c:v>
                </c:pt>
                <c:pt idx="121">
                  <c:v>5525</c:v>
                </c:pt>
                <c:pt idx="122">
                  <c:v>5612.5</c:v>
                </c:pt>
                <c:pt idx="123">
                  <c:v>5712.5</c:v>
                </c:pt>
                <c:pt idx="124">
                  <c:v>5837.5</c:v>
                </c:pt>
                <c:pt idx="125">
                  <c:v>5950</c:v>
                </c:pt>
                <c:pt idx="126">
                  <c:v>6062.5</c:v>
                </c:pt>
                <c:pt idx="127">
                  <c:v>6162.5</c:v>
                </c:pt>
                <c:pt idx="128">
                  <c:v>6237.5</c:v>
                </c:pt>
                <c:pt idx="129">
                  <c:v>6350</c:v>
                </c:pt>
                <c:pt idx="130">
                  <c:v>6475</c:v>
                </c:pt>
                <c:pt idx="131">
                  <c:v>6625</c:v>
                </c:pt>
                <c:pt idx="132">
                  <c:v>6812.5</c:v>
                </c:pt>
                <c:pt idx="133">
                  <c:v>6962.5</c:v>
                </c:pt>
                <c:pt idx="134">
                  <c:v>7087.5</c:v>
                </c:pt>
                <c:pt idx="135">
                  <c:v>7250</c:v>
                </c:pt>
                <c:pt idx="136">
                  <c:v>7412.5</c:v>
                </c:pt>
                <c:pt idx="137">
                  <c:v>7525</c:v>
                </c:pt>
                <c:pt idx="138">
                  <c:v>7637.5</c:v>
                </c:pt>
                <c:pt idx="139">
                  <c:v>7750</c:v>
                </c:pt>
                <c:pt idx="140">
                  <c:v>7825</c:v>
                </c:pt>
                <c:pt idx="141">
                  <c:v>7900</c:v>
                </c:pt>
                <c:pt idx="142">
                  <c:v>8012.5</c:v>
                </c:pt>
                <c:pt idx="143">
                  <c:v>8137.5</c:v>
                </c:pt>
                <c:pt idx="144">
                  <c:v>8300</c:v>
                </c:pt>
                <c:pt idx="145">
                  <c:v>8462.5</c:v>
                </c:pt>
                <c:pt idx="146">
                  <c:v>8650</c:v>
                </c:pt>
                <c:pt idx="147">
                  <c:v>9166.6350000000002</c:v>
                </c:pt>
                <c:pt idx="148">
                  <c:v>9375</c:v>
                </c:pt>
                <c:pt idx="149">
                  <c:v>9600</c:v>
                </c:pt>
                <c:pt idx="150">
                  <c:v>10062.5</c:v>
                </c:pt>
              </c:numCache>
            </c:numRef>
          </c:xVal>
          <c:yVal>
            <c:numRef>
              <c:f>wavelength_calibration!$F$2:$F$152</c:f>
              <c:numCache>
                <c:formatCode>General</c:formatCode>
                <c:ptCount val="151"/>
                <c:pt idx="0">
                  <c:v>5.5000000000000003E-4</c:v>
                </c:pt>
                <c:pt idx="1">
                  <c:v>2.0799999999999998E-3</c:v>
                </c:pt>
                <c:pt idx="2">
                  <c:v>2.2200000000000002E-3</c:v>
                </c:pt>
                <c:pt idx="3">
                  <c:v>-1.0000000000000001E-5</c:v>
                </c:pt>
                <c:pt idx="4">
                  <c:v>1.33E-3</c:v>
                </c:pt>
                <c:pt idx="5">
                  <c:v>1.92E-3</c:v>
                </c:pt>
                <c:pt idx="6">
                  <c:v>2.0300000000000001E-3</c:v>
                </c:pt>
                <c:pt idx="7">
                  <c:v>1.0399999999999999E-3</c:v>
                </c:pt>
                <c:pt idx="8">
                  <c:v>-2.6800000000000001E-3</c:v>
                </c:pt>
                <c:pt idx="9">
                  <c:v>-3.9899999999999996E-3</c:v>
                </c:pt>
                <c:pt idx="10">
                  <c:v>-5.2399999999999999E-3</c:v>
                </c:pt>
                <c:pt idx="11">
                  <c:v>-4.9399999999999999E-3</c:v>
                </c:pt>
                <c:pt idx="12">
                  <c:v>-7.2999999999999996E-4</c:v>
                </c:pt>
                <c:pt idx="13">
                  <c:v>4.7000000000000002E-3</c:v>
                </c:pt>
                <c:pt idx="14">
                  <c:v>3.4099999999999998E-3</c:v>
                </c:pt>
                <c:pt idx="15">
                  <c:v>1.4400000000000001E-3</c:v>
                </c:pt>
                <c:pt idx="16">
                  <c:v>2.5999999999999998E-4</c:v>
                </c:pt>
                <c:pt idx="17">
                  <c:v>-2.5300000000000001E-3</c:v>
                </c:pt>
                <c:pt idx="18">
                  <c:v>-3.5699999999999998E-3</c:v>
                </c:pt>
                <c:pt idx="19">
                  <c:v>-3.3800000000000002E-3</c:v>
                </c:pt>
                <c:pt idx="20">
                  <c:v>-1.58E-3</c:v>
                </c:pt>
                <c:pt idx="21">
                  <c:v>-1.1800000000000001E-3</c:v>
                </c:pt>
                <c:pt idx="22">
                  <c:v>5.4000000000000001E-4</c:v>
                </c:pt>
                <c:pt idx="23">
                  <c:v>-7.3999999999999999E-4</c:v>
                </c:pt>
                <c:pt idx="24">
                  <c:v>-1.14E-3</c:v>
                </c:pt>
                <c:pt idx="25">
                  <c:v>2.2599999999999999E-3</c:v>
                </c:pt>
                <c:pt idx="26">
                  <c:v>6.5799999999999999E-3</c:v>
                </c:pt>
                <c:pt idx="27">
                  <c:v>2.33E-3</c:v>
                </c:pt>
                <c:pt idx="28">
                  <c:v>3.6600000000000001E-3</c:v>
                </c:pt>
                <c:pt idx="29">
                  <c:v>2.6700000000000001E-3</c:v>
                </c:pt>
                <c:pt idx="30">
                  <c:v>8.0800000000000004E-3</c:v>
                </c:pt>
                <c:pt idx="31">
                  <c:v>8.3999999999999995E-3</c:v>
                </c:pt>
                <c:pt idx="32">
                  <c:v>1.038E-2</c:v>
                </c:pt>
                <c:pt idx="33">
                  <c:v>5.13E-3</c:v>
                </c:pt>
                <c:pt idx="34">
                  <c:v>1.65E-3</c:v>
                </c:pt>
                <c:pt idx="35">
                  <c:v>2.2399999999999998E-3</c:v>
                </c:pt>
                <c:pt idx="36">
                  <c:v>1.7000000000000001E-4</c:v>
                </c:pt>
                <c:pt idx="37">
                  <c:v>1.4499999999999999E-3</c:v>
                </c:pt>
                <c:pt idx="38">
                  <c:v>1E-3</c:v>
                </c:pt>
                <c:pt idx="39">
                  <c:v>5.1500000000000001E-3</c:v>
                </c:pt>
                <c:pt idx="40">
                  <c:v>5.0200000000000002E-3</c:v>
                </c:pt>
                <c:pt idx="41">
                  <c:v>4.6499999999999996E-3</c:v>
                </c:pt>
                <c:pt idx="42">
                  <c:v>3.98E-3</c:v>
                </c:pt>
                <c:pt idx="43">
                  <c:v>1.7700000000000001E-3</c:v>
                </c:pt>
                <c:pt idx="44">
                  <c:v>-2.7299999999999998E-3</c:v>
                </c:pt>
                <c:pt idx="45">
                  <c:v>-3.62E-3</c:v>
                </c:pt>
                <c:pt idx="46">
                  <c:v>-1.8E-3</c:v>
                </c:pt>
                <c:pt idx="47">
                  <c:v>1.72E-3</c:v>
                </c:pt>
                <c:pt idx="48">
                  <c:v>1.74E-3</c:v>
                </c:pt>
                <c:pt idx="49">
                  <c:v>1.91E-3</c:v>
                </c:pt>
                <c:pt idx="50">
                  <c:v>2.7E-4</c:v>
                </c:pt>
                <c:pt idx="51">
                  <c:v>2.2799999999999999E-3</c:v>
                </c:pt>
                <c:pt idx="52">
                  <c:v>2.7599999999999999E-3</c:v>
                </c:pt>
                <c:pt idx="53">
                  <c:v>3.2799999999999999E-3</c:v>
                </c:pt>
                <c:pt idx="54">
                  <c:v>2.3800000000000002E-3</c:v>
                </c:pt>
                <c:pt idx="55">
                  <c:v>2.15E-3</c:v>
                </c:pt>
                <c:pt idx="56">
                  <c:v>1.1299999999999999E-3</c:v>
                </c:pt>
                <c:pt idx="57">
                  <c:v>-1.9000000000000001E-4</c:v>
                </c:pt>
                <c:pt idx="58">
                  <c:v>3.1099999999999999E-3</c:v>
                </c:pt>
                <c:pt idx="59">
                  <c:v>-6.0000000000000002E-5</c:v>
                </c:pt>
                <c:pt idx="60">
                  <c:v>-1E-3</c:v>
                </c:pt>
                <c:pt idx="61">
                  <c:v>-3.6999999999999999E-4</c:v>
                </c:pt>
                <c:pt idx="62">
                  <c:v>-9.7000000000000005E-4</c:v>
                </c:pt>
                <c:pt idx="63">
                  <c:v>-7.9000000000000001E-4</c:v>
                </c:pt>
                <c:pt idx="64">
                  <c:v>-1.3799999999999999E-3</c:v>
                </c:pt>
                <c:pt idx="65">
                  <c:v>-1.5100000000000001E-3</c:v>
                </c:pt>
                <c:pt idx="66">
                  <c:v>1.0000000000000001E-5</c:v>
                </c:pt>
                <c:pt idx="67">
                  <c:v>-1E-3</c:v>
                </c:pt>
                <c:pt idx="68">
                  <c:v>-1.72E-3</c:v>
                </c:pt>
                <c:pt idx="69">
                  <c:v>-1.7899999999999999E-3</c:v>
                </c:pt>
                <c:pt idx="70">
                  <c:v>-5.1999999999999995E-4</c:v>
                </c:pt>
                <c:pt idx="71">
                  <c:v>1.5399999999999999E-3</c:v>
                </c:pt>
                <c:pt idx="72">
                  <c:v>2.1099999999999999E-3</c:v>
                </c:pt>
                <c:pt idx="73">
                  <c:v>2.8900000000000002E-3</c:v>
                </c:pt>
                <c:pt idx="74">
                  <c:v>3.8800000000000002E-3</c:v>
                </c:pt>
                <c:pt idx="75">
                  <c:v>4.2300000000000003E-3</c:v>
                </c:pt>
                <c:pt idx="76">
                  <c:v>2.5799999999999998E-3</c:v>
                </c:pt>
                <c:pt idx="77">
                  <c:v>2.81E-3</c:v>
                </c:pt>
                <c:pt idx="78">
                  <c:v>-4.4999999999999999E-4</c:v>
                </c:pt>
                <c:pt idx="79">
                  <c:v>2.4499999999999999E-3</c:v>
                </c:pt>
                <c:pt idx="80">
                  <c:v>1.3600000000000001E-3</c:v>
                </c:pt>
                <c:pt idx="81">
                  <c:v>-4.0999999999999999E-4</c:v>
                </c:pt>
                <c:pt idx="82">
                  <c:v>2.4000000000000001E-4</c:v>
                </c:pt>
                <c:pt idx="83">
                  <c:v>-1.9599999999999999E-3</c:v>
                </c:pt>
                <c:pt idx="84">
                  <c:v>-3.1E-4</c:v>
                </c:pt>
                <c:pt idx="85">
                  <c:v>-1.5299999999999999E-3</c:v>
                </c:pt>
                <c:pt idx="86">
                  <c:v>-1.73E-3</c:v>
                </c:pt>
                <c:pt idx="87">
                  <c:v>-2.5899999999999999E-3</c:v>
                </c:pt>
                <c:pt idx="88">
                  <c:v>3.6000000000000002E-4</c:v>
                </c:pt>
                <c:pt idx="89">
                  <c:v>2.16E-3</c:v>
                </c:pt>
                <c:pt idx="90">
                  <c:v>2.32E-3</c:v>
                </c:pt>
                <c:pt idx="91">
                  <c:v>8.7000000000000001E-4</c:v>
                </c:pt>
                <c:pt idx="92">
                  <c:v>-2.66E-3</c:v>
                </c:pt>
                <c:pt idx="93">
                  <c:v>-5.1999999999999995E-4</c:v>
                </c:pt>
                <c:pt idx="94">
                  <c:v>-3.2100000000000002E-3</c:v>
                </c:pt>
                <c:pt idx="95">
                  <c:v>-3.4000000000000002E-4</c:v>
                </c:pt>
                <c:pt idx="96">
                  <c:v>9.7000000000000005E-4</c:v>
                </c:pt>
                <c:pt idx="97">
                  <c:v>-4.4999999999999997E-3</c:v>
                </c:pt>
                <c:pt idx="98">
                  <c:v>-3.48E-3</c:v>
                </c:pt>
                <c:pt idx="99">
                  <c:v>-1.91E-3</c:v>
                </c:pt>
                <c:pt idx="100">
                  <c:v>1E-3</c:v>
                </c:pt>
                <c:pt idx="101">
                  <c:v>1.5200000000000001E-3</c:v>
                </c:pt>
                <c:pt idx="102">
                  <c:v>8.3499999999999998E-3</c:v>
                </c:pt>
                <c:pt idx="103">
                  <c:v>4.64E-3</c:v>
                </c:pt>
                <c:pt idx="104">
                  <c:v>8.6999999999999994E-3</c:v>
                </c:pt>
                <c:pt idx="105">
                  <c:v>5.4900000000000001E-3</c:v>
                </c:pt>
                <c:pt idx="106">
                  <c:v>-6.8000000000000005E-4</c:v>
                </c:pt>
                <c:pt idx="107">
                  <c:v>3.3300000000000001E-3</c:v>
                </c:pt>
                <c:pt idx="108">
                  <c:v>4.6299999999999996E-3</c:v>
                </c:pt>
                <c:pt idx="109">
                  <c:v>8.1499999999999993E-3</c:v>
                </c:pt>
                <c:pt idx="110">
                  <c:v>3.2200000000000002E-3</c:v>
                </c:pt>
                <c:pt idx="111">
                  <c:v>8.6199999999999992E-3</c:v>
                </c:pt>
                <c:pt idx="112">
                  <c:v>5.4999999999999997E-3</c:v>
                </c:pt>
                <c:pt idx="113">
                  <c:v>1.387E-2</c:v>
                </c:pt>
                <c:pt idx="114">
                  <c:v>7.5900000000000004E-3</c:v>
                </c:pt>
                <c:pt idx="115">
                  <c:v>2.31E-3</c:v>
                </c:pt>
                <c:pt idx="116">
                  <c:v>6.28E-3</c:v>
                </c:pt>
                <c:pt idx="117">
                  <c:v>1.09E-2</c:v>
                </c:pt>
                <c:pt idx="118">
                  <c:v>-1.33E-3</c:v>
                </c:pt>
                <c:pt idx="119">
                  <c:v>-3.0000000000000001E-5</c:v>
                </c:pt>
                <c:pt idx="120">
                  <c:v>-5.9300000000000004E-3</c:v>
                </c:pt>
                <c:pt idx="121">
                  <c:v>-6.13E-3</c:v>
                </c:pt>
                <c:pt idx="122">
                  <c:v>-3.62E-3</c:v>
                </c:pt>
                <c:pt idx="123">
                  <c:v>1.83E-3</c:v>
                </c:pt>
                <c:pt idx="124">
                  <c:v>7.4999999999999997E-3</c:v>
                </c:pt>
                <c:pt idx="125">
                  <c:v>-1E-3</c:v>
                </c:pt>
                <c:pt idx="126">
                  <c:v>-1.5299999999999999E-3</c:v>
                </c:pt>
                <c:pt idx="127">
                  <c:v>1.3699999999999999E-3</c:v>
                </c:pt>
                <c:pt idx="128">
                  <c:v>5.47E-3</c:v>
                </c:pt>
                <c:pt idx="129">
                  <c:v>-2.7200000000000002E-3</c:v>
                </c:pt>
                <c:pt idx="130">
                  <c:v>-2.3500000000000001E-3</c:v>
                </c:pt>
                <c:pt idx="131">
                  <c:v>-2.3900000000000002E-3</c:v>
                </c:pt>
                <c:pt idx="132">
                  <c:v>6.0000000000000002E-5</c:v>
                </c:pt>
                <c:pt idx="133">
                  <c:v>8.5599999999999999E-3</c:v>
                </c:pt>
                <c:pt idx="134">
                  <c:v>-2.82E-3</c:v>
                </c:pt>
                <c:pt idx="135">
                  <c:v>6.8599999999999998E-3</c:v>
                </c:pt>
                <c:pt idx="136">
                  <c:v>7.4599999999999996E-3</c:v>
                </c:pt>
                <c:pt idx="137">
                  <c:v>-1.8169999999999999E-2</c:v>
                </c:pt>
                <c:pt idx="138">
                  <c:v>-1.6420000000000001E-2</c:v>
                </c:pt>
                <c:pt idx="139">
                  <c:v>-1.1560000000000001E-2</c:v>
                </c:pt>
                <c:pt idx="140">
                  <c:v>-2.82E-3</c:v>
                </c:pt>
                <c:pt idx="141">
                  <c:v>1.32E-3</c:v>
                </c:pt>
                <c:pt idx="142">
                  <c:v>5.8799999999999998E-3</c:v>
                </c:pt>
                <c:pt idx="143">
                  <c:v>6.1900000000000002E-3</c:v>
                </c:pt>
                <c:pt idx="144">
                  <c:v>2.6900000000000001E-3</c:v>
                </c:pt>
                <c:pt idx="145">
                  <c:v>1.9810000000000001E-2</c:v>
                </c:pt>
                <c:pt idx="146">
                  <c:v>1.0399999999999999E-3</c:v>
                </c:pt>
                <c:pt idx="147">
                  <c:v>5.7400000000000003E-3</c:v>
                </c:pt>
                <c:pt idx="148">
                  <c:v>3.4499999999999999E-3</c:v>
                </c:pt>
                <c:pt idx="149">
                  <c:v>-1.1780000000000001E-2</c:v>
                </c:pt>
                <c:pt idx="150">
                  <c:v>3.8300000000000001E-3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ADA-ABB9-E3683AD30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5392"/>
        <c:axId val="458319280"/>
      </c:scatterChart>
      <c:valAx>
        <c:axId val="459725392"/>
        <c:scaling>
          <c:orientation val="minMax"/>
          <c:min val="2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19280"/>
        <c:crosses val="autoZero"/>
        <c:crossBetween val="midCat"/>
      </c:valAx>
      <c:valAx>
        <c:axId val="45831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154</xdr:row>
      <xdr:rowOff>23812</xdr:rowOff>
    </xdr:from>
    <xdr:to>
      <xdr:col>16</xdr:col>
      <xdr:colOff>9525</xdr:colOff>
      <xdr:row>168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D6D7A6-09E8-E4CD-8E2B-317792768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D16FD-F2FC-414D-AC38-110045781B9A}">
  <sheetPr codeName="Sheet1"/>
  <dimension ref="A1:L154"/>
  <sheetViews>
    <sheetView tabSelected="1" workbookViewId="0">
      <pane ySplit="1" topLeftCell="A149" activePane="bottomLeft" state="frozen"/>
      <selection pane="bottomLeft" activeCell="J60" sqref="J60"/>
    </sheetView>
  </sheetViews>
  <sheetFormatPr defaultRowHeight="15" x14ac:dyDescent="0.25"/>
  <cols>
    <col min="1" max="1" width="8.140625" bestFit="1" customWidth="1"/>
    <col min="2" max="3" width="14.7109375" bestFit="1" customWidth="1"/>
    <col min="4" max="4" width="16.5703125" bestFit="1" customWidth="1"/>
    <col min="5" max="5" width="9.5703125" bestFit="1" customWidth="1"/>
    <col min="6" max="6" width="14.140625" bestFit="1" customWidth="1"/>
    <col min="7" max="7" width="16.28515625" bestFit="1" customWidth="1"/>
    <col min="8" max="8" width="12.42578125" bestFit="1" customWidth="1"/>
    <col min="9" max="9" width="14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2" x14ac:dyDescent="0.25">
      <c r="A2">
        <v>2</v>
      </c>
      <c r="B2">
        <v>827.88099999999997</v>
      </c>
      <c r="C2">
        <v>850</v>
      </c>
      <c r="D2">
        <v>838.94</v>
      </c>
      <c r="E2">
        <v>38</v>
      </c>
      <c r="F2">
        <v>5.5000000000000003E-4</v>
      </c>
      <c r="G2">
        <v>5.0000000000000001E-4</v>
      </c>
      <c r="H2">
        <v>-7.8100000000000003E-2</v>
      </c>
      <c r="I2">
        <v>7.0800000000000002E-2</v>
      </c>
      <c r="J2" s="1">
        <f>H2/I2</f>
        <v>-1.1031073446327684</v>
      </c>
      <c r="K2" s="1">
        <f>F2/G2</f>
        <v>1.1000000000000001</v>
      </c>
      <c r="L2" s="1">
        <f>J2+K2</f>
        <v>-3.1073446327682941E-3</v>
      </c>
    </row>
    <row r="3" spans="1:12" x14ac:dyDescent="0.25">
      <c r="A3">
        <v>2</v>
      </c>
      <c r="B3">
        <v>850</v>
      </c>
      <c r="C3">
        <v>887.73199999999997</v>
      </c>
      <c r="D3">
        <v>868.86599999999999</v>
      </c>
      <c r="E3">
        <v>34</v>
      </c>
      <c r="F3">
        <v>2.0799999999999998E-3</v>
      </c>
      <c r="G3">
        <v>5.4000000000000001E-4</v>
      </c>
      <c r="H3">
        <v>-0.27610000000000001</v>
      </c>
      <c r="I3">
        <v>7.2099999999999997E-2</v>
      </c>
      <c r="J3" s="1">
        <f t="shared" ref="J3:J66" si="0">H3/I3</f>
        <v>-3.8294036061026357</v>
      </c>
      <c r="K3" s="1">
        <f t="shared" ref="K3:K66" si="1">F3/G3</f>
        <v>3.8518518518518516</v>
      </c>
      <c r="L3" s="1">
        <f t="shared" ref="L3:L66" si="2">J3+K3</f>
        <v>2.2448245749215889E-2</v>
      </c>
    </row>
    <row r="4" spans="1:12" x14ac:dyDescent="0.25">
      <c r="A4">
        <v>3</v>
      </c>
      <c r="B4">
        <v>887.73199999999997</v>
      </c>
      <c r="C4">
        <v>966.48900000000003</v>
      </c>
      <c r="D4">
        <v>927.11099999999999</v>
      </c>
      <c r="E4">
        <v>16</v>
      </c>
      <c r="F4">
        <v>2.2200000000000002E-3</v>
      </c>
      <c r="G4">
        <v>6.8999999999999997E-4</v>
      </c>
      <c r="H4">
        <v>-0.2581</v>
      </c>
      <c r="I4">
        <v>8.0799999999999997E-2</v>
      </c>
      <c r="J4" s="1">
        <f t="shared" si="0"/>
        <v>-3.1943069306930694</v>
      </c>
      <c r="K4" s="1">
        <f t="shared" si="1"/>
        <v>3.2173913043478266</v>
      </c>
      <c r="L4" s="1">
        <f t="shared" si="2"/>
        <v>2.308437365475724E-2</v>
      </c>
    </row>
    <row r="5" spans="1:12" x14ac:dyDescent="0.25">
      <c r="A5">
        <v>4</v>
      </c>
      <c r="B5">
        <v>966.48900000000003</v>
      </c>
      <c r="C5">
        <v>1000</v>
      </c>
      <c r="D5">
        <v>983.245</v>
      </c>
      <c r="E5">
        <v>36</v>
      </c>
      <c r="F5">
        <v>-1.0000000000000001E-5</v>
      </c>
      <c r="G5">
        <v>5.4000000000000001E-4</v>
      </c>
      <c r="H5">
        <v>6.9999999999999999E-4</v>
      </c>
      <c r="I5">
        <v>5.5599999999999997E-2</v>
      </c>
      <c r="J5" s="1">
        <f t="shared" si="0"/>
        <v>1.2589928057553957E-2</v>
      </c>
      <c r="K5" s="1">
        <f t="shared" si="1"/>
        <v>-1.8518518518518521E-2</v>
      </c>
      <c r="L5" s="1">
        <f t="shared" si="2"/>
        <v>-5.9285904609645643E-3</v>
      </c>
    </row>
    <row r="6" spans="1:12" x14ac:dyDescent="0.25">
      <c r="A6">
        <v>4</v>
      </c>
      <c r="B6">
        <v>1000</v>
      </c>
      <c r="C6">
        <v>1025</v>
      </c>
      <c r="D6">
        <v>1012.5</v>
      </c>
      <c r="E6">
        <v>94</v>
      </c>
      <c r="F6">
        <v>1.33E-3</v>
      </c>
      <c r="G6">
        <v>4.4000000000000002E-4</v>
      </c>
      <c r="H6">
        <v>-0.1298</v>
      </c>
      <c r="I6">
        <v>4.3400000000000001E-2</v>
      </c>
      <c r="J6" s="1">
        <f t="shared" si="0"/>
        <v>-2.9907834101382487</v>
      </c>
      <c r="K6" s="1">
        <f t="shared" si="1"/>
        <v>3.0227272727272725</v>
      </c>
      <c r="L6" s="1">
        <f t="shared" si="2"/>
        <v>3.1943862589023819E-2</v>
      </c>
    </row>
    <row r="7" spans="1:12" x14ac:dyDescent="0.25">
      <c r="A7">
        <v>4</v>
      </c>
      <c r="B7">
        <v>1025</v>
      </c>
      <c r="C7">
        <v>1050</v>
      </c>
      <c r="D7">
        <v>1037.5</v>
      </c>
      <c r="E7">
        <v>134</v>
      </c>
      <c r="F7">
        <v>1.92E-3</v>
      </c>
      <c r="G7">
        <v>4.4000000000000002E-4</v>
      </c>
      <c r="H7">
        <v>-0.1779</v>
      </c>
      <c r="I7">
        <v>4.07E-2</v>
      </c>
      <c r="J7" s="1">
        <f t="shared" si="0"/>
        <v>-4.3710073710073711</v>
      </c>
      <c r="K7" s="1">
        <f t="shared" si="1"/>
        <v>4.3636363636363633</v>
      </c>
      <c r="L7" s="1">
        <f t="shared" si="2"/>
        <v>-7.3710073710078206E-3</v>
      </c>
    </row>
    <row r="8" spans="1:12" x14ac:dyDescent="0.25">
      <c r="A8">
        <v>4</v>
      </c>
      <c r="B8">
        <v>1050</v>
      </c>
      <c r="C8">
        <v>1075</v>
      </c>
      <c r="D8">
        <v>1062.5</v>
      </c>
      <c r="E8">
        <v>139</v>
      </c>
      <c r="F8">
        <v>2.0300000000000001E-3</v>
      </c>
      <c r="G8">
        <v>4.6000000000000001E-4</v>
      </c>
      <c r="H8">
        <v>-0.1794</v>
      </c>
      <c r="I8">
        <v>4.0399999999999998E-2</v>
      </c>
      <c r="J8" s="1">
        <f t="shared" si="0"/>
        <v>-4.4405940594059405</v>
      </c>
      <c r="K8" s="1">
        <f t="shared" si="1"/>
        <v>4.4130434782608701</v>
      </c>
      <c r="L8" s="1">
        <f t="shared" si="2"/>
        <v>-2.7550581145070474E-2</v>
      </c>
    </row>
    <row r="9" spans="1:12" x14ac:dyDescent="0.25">
      <c r="A9">
        <v>4</v>
      </c>
      <c r="B9">
        <v>1075</v>
      </c>
      <c r="C9">
        <v>1100</v>
      </c>
      <c r="D9">
        <v>1087.5</v>
      </c>
      <c r="E9">
        <v>118</v>
      </c>
      <c r="F9">
        <v>1.0399999999999999E-3</v>
      </c>
      <c r="G9">
        <v>4.8000000000000001E-4</v>
      </c>
      <c r="H9">
        <v>-8.8099999999999998E-2</v>
      </c>
      <c r="I9">
        <v>4.0399999999999998E-2</v>
      </c>
      <c r="J9" s="1">
        <f t="shared" si="0"/>
        <v>-2.1806930693069306</v>
      </c>
      <c r="K9" s="1">
        <f t="shared" si="1"/>
        <v>2.1666666666666665</v>
      </c>
      <c r="L9" s="1">
        <f t="shared" si="2"/>
        <v>-1.4026402640264113E-2</v>
      </c>
    </row>
    <row r="10" spans="1:12" x14ac:dyDescent="0.25">
      <c r="A10">
        <v>4</v>
      </c>
      <c r="B10">
        <v>1100</v>
      </c>
      <c r="C10">
        <v>1125</v>
      </c>
      <c r="D10">
        <v>1112.5</v>
      </c>
      <c r="E10">
        <v>97</v>
      </c>
      <c r="F10">
        <v>-2.6800000000000001E-3</v>
      </c>
      <c r="G10">
        <v>5.1000000000000004E-4</v>
      </c>
      <c r="H10">
        <v>0.2162</v>
      </c>
      <c r="I10">
        <v>4.1300000000000003E-2</v>
      </c>
      <c r="J10" s="1">
        <f t="shared" si="0"/>
        <v>5.2348668280871671</v>
      </c>
      <c r="K10" s="1">
        <f t="shared" si="1"/>
        <v>-5.2549019607843137</v>
      </c>
      <c r="L10" s="1">
        <f t="shared" si="2"/>
        <v>-2.0035132697146629E-2</v>
      </c>
    </row>
    <row r="11" spans="1:12" x14ac:dyDescent="0.25">
      <c r="A11">
        <v>4</v>
      </c>
      <c r="B11">
        <v>1125</v>
      </c>
      <c r="C11">
        <v>1150</v>
      </c>
      <c r="D11">
        <v>1137.5</v>
      </c>
      <c r="E11">
        <v>68</v>
      </c>
      <c r="F11">
        <v>-3.9899999999999996E-3</v>
      </c>
      <c r="G11">
        <v>5.6999999999999998E-4</v>
      </c>
      <c r="H11">
        <v>0.30819999999999997</v>
      </c>
      <c r="I11">
        <v>4.4299999999999999E-2</v>
      </c>
      <c r="J11" s="1">
        <f t="shared" si="0"/>
        <v>6.9571106094808126</v>
      </c>
      <c r="K11" s="1">
        <f t="shared" si="1"/>
        <v>-7</v>
      </c>
      <c r="L11" s="1">
        <f t="shared" si="2"/>
        <v>-4.2889390519187387E-2</v>
      </c>
    </row>
    <row r="12" spans="1:12" x14ac:dyDescent="0.25">
      <c r="A12">
        <v>4</v>
      </c>
      <c r="B12">
        <v>1150</v>
      </c>
      <c r="C12">
        <v>1164.2940000000001</v>
      </c>
      <c r="D12">
        <v>1157.1469999999999</v>
      </c>
      <c r="E12">
        <v>24</v>
      </c>
      <c r="F12">
        <v>-5.2399999999999999E-3</v>
      </c>
      <c r="G12">
        <v>8.0000000000000004E-4</v>
      </c>
      <c r="H12">
        <v>0.3916</v>
      </c>
      <c r="I12">
        <v>5.9799999999999999E-2</v>
      </c>
      <c r="J12" s="1">
        <f t="shared" si="0"/>
        <v>6.5484949832775925</v>
      </c>
      <c r="K12" s="1">
        <f t="shared" si="1"/>
        <v>-6.55</v>
      </c>
      <c r="L12" s="1">
        <f t="shared" si="2"/>
        <v>-1.5050167224073263E-3</v>
      </c>
    </row>
    <row r="13" spans="1:12" x14ac:dyDescent="0.25">
      <c r="A13">
        <v>6</v>
      </c>
      <c r="B13">
        <v>1175</v>
      </c>
      <c r="C13">
        <v>1200</v>
      </c>
      <c r="D13">
        <v>1187.5</v>
      </c>
      <c r="E13">
        <v>33</v>
      </c>
      <c r="F13">
        <v>-4.9399999999999999E-3</v>
      </c>
      <c r="G13">
        <v>7.6000000000000004E-4</v>
      </c>
      <c r="H13">
        <v>0.35039999999999999</v>
      </c>
      <c r="I13">
        <v>5.3900000000000003E-2</v>
      </c>
      <c r="J13" s="1">
        <f t="shared" si="0"/>
        <v>6.5009276437847863</v>
      </c>
      <c r="K13" s="1">
        <f t="shared" si="1"/>
        <v>-6.5</v>
      </c>
      <c r="L13" s="1">
        <f t="shared" si="2"/>
        <v>9.2764378478626952E-4</v>
      </c>
    </row>
    <row r="14" spans="1:12" x14ac:dyDescent="0.25">
      <c r="A14">
        <v>6</v>
      </c>
      <c r="B14">
        <v>1200</v>
      </c>
      <c r="C14">
        <v>1225</v>
      </c>
      <c r="D14">
        <v>1212.5</v>
      </c>
      <c r="E14">
        <v>31</v>
      </c>
      <c r="F14">
        <v>-7.2999999999999996E-4</v>
      </c>
      <c r="G14">
        <v>8.1999999999999998E-4</v>
      </c>
      <c r="H14">
        <v>4.9599999999999998E-2</v>
      </c>
      <c r="I14">
        <v>5.6000000000000001E-2</v>
      </c>
      <c r="J14" s="1">
        <f t="shared" si="0"/>
        <v>0.88571428571428568</v>
      </c>
      <c r="K14" s="1">
        <f t="shared" si="1"/>
        <v>-0.8902439024390244</v>
      </c>
      <c r="L14" s="1">
        <f t="shared" si="2"/>
        <v>-4.5296167247387276E-3</v>
      </c>
    </row>
    <row r="15" spans="1:12" x14ac:dyDescent="0.25">
      <c r="A15">
        <v>6</v>
      </c>
      <c r="B15">
        <v>1225</v>
      </c>
      <c r="C15">
        <v>1250</v>
      </c>
      <c r="D15">
        <v>1237.5</v>
      </c>
      <c r="E15">
        <v>14</v>
      </c>
      <c r="F15">
        <v>4.7000000000000002E-3</v>
      </c>
      <c r="G15">
        <v>1.1199999999999999E-3</v>
      </c>
      <c r="H15">
        <v>-0.307</v>
      </c>
      <c r="I15">
        <v>7.3400000000000007E-2</v>
      </c>
      <c r="J15" s="1">
        <f t="shared" si="0"/>
        <v>-4.1825613079019073</v>
      </c>
      <c r="K15" s="1">
        <f t="shared" si="1"/>
        <v>4.1964285714285721</v>
      </c>
      <c r="L15" s="1">
        <f t="shared" si="2"/>
        <v>1.3867263526664786E-2</v>
      </c>
    </row>
    <row r="16" spans="1:12" x14ac:dyDescent="0.25">
      <c r="A16">
        <v>6</v>
      </c>
      <c r="B16">
        <v>1250</v>
      </c>
      <c r="C16">
        <v>1275</v>
      </c>
      <c r="D16">
        <v>1262.5</v>
      </c>
      <c r="E16">
        <v>22</v>
      </c>
      <c r="F16">
        <v>3.4099999999999998E-3</v>
      </c>
      <c r="G16">
        <v>9.7000000000000005E-4</v>
      </c>
      <c r="H16">
        <v>-0.21390000000000001</v>
      </c>
      <c r="I16">
        <v>6.0999999999999999E-2</v>
      </c>
      <c r="J16" s="1">
        <f t="shared" si="0"/>
        <v>-3.5065573770491807</v>
      </c>
      <c r="K16" s="1">
        <f t="shared" si="1"/>
        <v>3.5154639175257727</v>
      </c>
      <c r="L16" s="1">
        <f t="shared" si="2"/>
        <v>8.9065404765920064E-3</v>
      </c>
    </row>
    <row r="17" spans="1:12" x14ac:dyDescent="0.25">
      <c r="A17">
        <v>6</v>
      </c>
      <c r="B17">
        <v>1275</v>
      </c>
      <c r="C17">
        <v>1300</v>
      </c>
      <c r="D17">
        <v>1287.5</v>
      </c>
      <c r="E17">
        <v>14</v>
      </c>
      <c r="F17">
        <v>1.4400000000000001E-3</v>
      </c>
      <c r="G17">
        <v>1.24E-3</v>
      </c>
      <c r="H17">
        <v>-8.6699999999999999E-2</v>
      </c>
      <c r="I17">
        <v>7.4700000000000003E-2</v>
      </c>
      <c r="J17" s="1">
        <f t="shared" si="0"/>
        <v>-1.1606425702811245</v>
      </c>
      <c r="K17" s="1">
        <f t="shared" si="1"/>
        <v>1.1612903225806452</v>
      </c>
      <c r="L17" s="1">
        <f t="shared" si="2"/>
        <v>6.4775229952074298E-4</v>
      </c>
    </row>
    <row r="18" spans="1:12" x14ac:dyDescent="0.25">
      <c r="A18">
        <v>6</v>
      </c>
      <c r="B18">
        <v>1300</v>
      </c>
      <c r="C18">
        <v>1325</v>
      </c>
      <c r="D18">
        <v>1312.5</v>
      </c>
      <c r="E18">
        <v>26</v>
      </c>
      <c r="F18">
        <v>2.5999999999999998E-4</v>
      </c>
      <c r="G18">
        <v>9.7999999999999997E-4</v>
      </c>
      <c r="H18">
        <v>-1.5299999999999999E-2</v>
      </c>
      <c r="I18">
        <v>5.6899999999999999E-2</v>
      </c>
      <c r="J18" s="1">
        <f t="shared" si="0"/>
        <v>-0.26889279437609842</v>
      </c>
      <c r="K18" s="1">
        <f t="shared" si="1"/>
        <v>0.26530612244897955</v>
      </c>
      <c r="L18" s="1">
        <f t="shared" si="2"/>
        <v>-3.5866719271188674E-3</v>
      </c>
    </row>
    <row r="19" spans="1:12" x14ac:dyDescent="0.25">
      <c r="A19">
        <v>6</v>
      </c>
      <c r="B19">
        <v>1325</v>
      </c>
      <c r="C19">
        <v>1350</v>
      </c>
      <c r="D19">
        <v>1337.5</v>
      </c>
      <c r="E19">
        <v>14</v>
      </c>
      <c r="F19">
        <v>-2.5300000000000001E-3</v>
      </c>
      <c r="G19">
        <v>1.32E-3</v>
      </c>
      <c r="H19">
        <v>0.1416</v>
      </c>
      <c r="I19">
        <v>7.3499999999999996E-2</v>
      </c>
      <c r="J19" s="1">
        <f t="shared" si="0"/>
        <v>1.9265306122448982</v>
      </c>
      <c r="K19" s="1">
        <f t="shared" si="1"/>
        <v>-1.9166666666666667</v>
      </c>
      <c r="L19" s="1">
        <f t="shared" si="2"/>
        <v>9.8639455782314478E-3</v>
      </c>
    </row>
    <row r="20" spans="1:12" x14ac:dyDescent="0.25">
      <c r="A20">
        <v>6</v>
      </c>
      <c r="B20">
        <v>1350</v>
      </c>
      <c r="C20">
        <v>1375</v>
      </c>
      <c r="D20">
        <v>1362.5</v>
      </c>
      <c r="E20">
        <v>17</v>
      </c>
      <c r="F20">
        <v>-3.5699999999999998E-3</v>
      </c>
      <c r="G20">
        <v>1.34E-3</v>
      </c>
      <c r="H20">
        <v>0.19239999999999999</v>
      </c>
      <c r="I20">
        <v>7.2400000000000006E-2</v>
      </c>
      <c r="J20" s="1">
        <f t="shared" si="0"/>
        <v>2.6574585635359114</v>
      </c>
      <c r="K20" s="1">
        <f t="shared" si="1"/>
        <v>-2.6641791044776117</v>
      </c>
      <c r="L20" s="1">
        <f t="shared" si="2"/>
        <v>-6.7205409417003814E-3</v>
      </c>
    </row>
    <row r="21" spans="1:12" x14ac:dyDescent="0.25">
      <c r="A21">
        <v>6</v>
      </c>
      <c r="B21">
        <v>1375</v>
      </c>
      <c r="C21">
        <v>1400</v>
      </c>
      <c r="D21">
        <v>1387.5</v>
      </c>
      <c r="E21">
        <v>34</v>
      </c>
      <c r="F21">
        <v>-3.3800000000000002E-3</v>
      </c>
      <c r="G21">
        <v>9.8999999999999999E-4</v>
      </c>
      <c r="H21">
        <v>0.17560000000000001</v>
      </c>
      <c r="I21">
        <v>5.1200000000000002E-2</v>
      </c>
      <c r="J21" s="1">
        <f t="shared" si="0"/>
        <v>3.4296875</v>
      </c>
      <c r="K21" s="1">
        <f t="shared" si="1"/>
        <v>-3.4141414141414144</v>
      </c>
      <c r="L21" s="1">
        <f t="shared" si="2"/>
        <v>1.5546085858585634E-2</v>
      </c>
    </row>
    <row r="22" spans="1:12" x14ac:dyDescent="0.25">
      <c r="A22">
        <v>6</v>
      </c>
      <c r="B22">
        <v>1400</v>
      </c>
      <c r="C22">
        <v>1425</v>
      </c>
      <c r="D22">
        <v>1412.5</v>
      </c>
      <c r="E22">
        <v>58</v>
      </c>
      <c r="F22">
        <v>-1.58E-3</v>
      </c>
      <c r="G22">
        <v>8.8000000000000003E-4</v>
      </c>
      <c r="H22">
        <v>7.9399999999999998E-2</v>
      </c>
      <c r="I22">
        <v>4.3900000000000002E-2</v>
      </c>
      <c r="J22" s="1">
        <f t="shared" si="0"/>
        <v>1.8086560364464692</v>
      </c>
      <c r="K22" s="1">
        <f t="shared" si="1"/>
        <v>-1.7954545454545454</v>
      </c>
      <c r="L22" s="1">
        <f t="shared" si="2"/>
        <v>1.3201490991923803E-2</v>
      </c>
    </row>
    <row r="23" spans="1:12" x14ac:dyDescent="0.25">
      <c r="A23">
        <v>6</v>
      </c>
      <c r="B23">
        <v>1425</v>
      </c>
      <c r="C23">
        <v>1450</v>
      </c>
      <c r="D23">
        <v>1437.5</v>
      </c>
      <c r="E23">
        <v>34</v>
      </c>
      <c r="F23">
        <v>-1.1800000000000001E-3</v>
      </c>
      <c r="G23">
        <v>1.14E-3</v>
      </c>
      <c r="H23">
        <v>5.7000000000000002E-2</v>
      </c>
      <c r="I23">
        <v>5.5199999999999999E-2</v>
      </c>
      <c r="J23" s="1">
        <f t="shared" si="0"/>
        <v>1.0326086956521741</v>
      </c>
      <c r="K23" s="1">
        <f t="shared" si="1"/>
        <v>-1.0350877192982457</v>
      </c>
      <c r="L23" s="1">
        <f t="shared" si="2"/>
        <v>-2.4790236460716653E-3</v>
      </c>
    </row>
    <row r="24" spans="1:12" x14ac:dyDescent="0.25">
      <c r="A24">
        <v>6</v>
      </c>
      <c r="B24">
        <v>1450</v>
      </c>
      <c r="C24">
        <v>1475</v>
      </c>
      <c r="D24">
        <v>1462.5</v>
      </c>
      <c r="E24">
        <v>52</v>
      </c>
      <c r="F24">
        <v>5.4000000000000001E-4</v>
      </c>
      <c r="G24">
        <v>9.7999999999999997E-4</v>
      </c>
      <c r="H24">
        <v>-2.53E-2</v>
      </c>
      <c r="I24">
        <v>4.5999999999999999E-2</v>
      </c>
      <c r="J24" s="1">
        <f t="shared" si="0"/>
        <v>-0.55000000000000004</v>
      </c>
      <c r="K24" s="1">
        <f t="shared" si="1"/>
        <v>0.55102040816326536</v>
      </c>
      <c r="L24" s="1">
        <f t="shared" si="2"/>
        <v>1.0204081632653184E-3</v>
      </c>
    </row>
    <row r="25" spans="1:12" x14ac:dyDescent="0.25">
      <c r="A25">
        <v>6</v>
      </c>
      <c r="B25">
        <v>1475</v>
      </c>
      <c r="C25">
        <v>1500</v>
      </c>
      <c r="D25">
        <v>1487.5</v>
      </c>
      <c r="E25">
        <v>64</v>
      </c>
      <c r="F25">
        <v>-7.3999999999999999E-4</v>
      </c>
      <c r="G25">
        <v>9.1E-4</v>
      </c>
      <c r="H25">
        <v>3.3300000000000003E-2</v>
      </c>
      <c r="I25">
        <v>4.1300000000000003E-2</v>
      </c>
      <c r="J25" s="1">
        <f t="shared" si="0"/>
        <v>0.80629539951573848</v>
      </c>
      <c r="K25" s="1">
        <f t="shared" si="1"/>
        <v>-0.81318681318681318</v>
      </c>
      <c r="L25" s="1">
        <f t="shared" si="2"/>
        <v>-6.8914136710747087E-3</v>
      </c>
    </row>
    <row r="26" spans="1:12" x14ac:dyDescent="0.25">
      <c r="A26">
        <v>6</v>
      </c>
      <c r="B26">
        <v>1500</v>
      </c>
      <c r="C26">
        <v>1522.7449999999999</v>
      </c>
      <c r="D26">
        <v>1511.3720000000001</v>
      </c>
      <c r="E26">
        <v>37</v>
      </c>
      <c r="F26">
        <v>-1.14E-3</v>
      </c>
      <c r="G26">
        <v>1.17E-3</v>
      </c>
      <c r="H26">
        <v>0.05</v>
      </c>
      <c r="I26">
        <v>5.1400000000000001E-2</v>
      </c>
      <c r="J26" s="1">
        <f t="shared" si="0"/>
        <v>0.97276264591439687</v>
      </c>
      <c r="K26" s="1">
        <f t="shared" si="1"/>
        <v>-0.97435897435897434</v>
      </c>
      <c r="L26" s="1">
        <f t="shared" si="2"/>
        <v>-1.5963284445774661E-3</v>
      </c>
    </row>
    <row r="27" spans="1:12" x14ac:dyDescent="0.25">
      <c r="A27">
        <v>7</v>
      </c>
      <c r="B27">
        <v>1525</v>
      </c>
      <c r="C27">
        <v>1663.817</v>
      </c>
      <c r="D27">
        <v>1594.4090000000001</v>
      </c>
      <c r="E27">
        <v>15</v>
      </c>
      <c r="F27">
        <v>2.2599999999999999E-3</v>
      </c>
      <c r="G27">
        <v>1.9300000000000001E-3</v>
      </c>
      <c r="H27">
        <v>-8.8999999999999996E-2</v>
      </c>
      <c r="I27">
        <v>7.5800000000000006E-2</v>
      </c>
      <c r="J27" s="1">
        <f t="shared" si="0"/>
        <v>-1.1741424802110816</v>
      </c>
      <c r="K27" s="1">
        <f t="shared" si="1"/>
        <v>1.1709844559585492</v>
      </c>
      <c r="L27" s="1">
        <f t="shared" si="2"/>
        <v>-3.1580242525324209E-3</v>
      </c>
    </row>
    <row r="28" spans="1:12" x14ac:dyDescent="0.25">
      <c r="A28">
        <v>8</v>
      </c>
      <c r="B28">
        <v>1663.817</v>
      </c>
      <c r="C28">
        <v>1700</v>
      </c>
      <c r="D28">
        <v>1681.9090000000001</v>
      </c>
      <c r="E28">
        <v>20</v>
      </c>
      <c r="F28">
        <v>6.5799999999999999E-3</v>
      </c>
      <c r="G28">
        <v>1.7700000000000001E-3</v>
      </c>
      <c r="H28">
        <v>-0.23280000000000001</v>
      </c>
      <c r="I28">
        <v>6.2600000000000003E-2</v>
      </c>
      <c r="J28" s="1">
        <f t="shared" si="0"/>
        <v>-3.718849840255591</v>
      </c>
      <c r="K28" s="1">
        <f t="shared" si="1"/>
        <v>3.717514124293785</v>
      </c>
      <c r="L28" s="1">
        <f t="shared" si="2"/>
        <v>-1.3357159618059278E-3</v>
      </c>
    </row>
    <row r="29" spans="1:12" x14ac:dyDescent="0.25">
      <c r="A29">
        <v>8</v>
      </c>
      <c r="B29">
        <v>1700</v>
      </c>
      <c r="C29">
        <v>1725</v>
      </c>
      <c r="D29">
        <v>1712.5</v>
      </c>
      <c r="E29">
        <v>14</v>
      </c>
      <c r="F29">
        <v>2.33E-3</v>
      </c>
      <c r="G29">
        <v>2.1800000000000001E-3</v>
      </c>
      <c r="H29">
        <v>-7.9500000000000001E-2</v>
      </c>
      <c r="I29">
        <v>7.4499999999999997E-2</v>
      </c>
      <c r="J29" s="1">
        <f t="shared" si="0"/>
        <v>-1.0671140939597317</v>
      </c>
      <c r="K29" s="1">
        <f t="shared" si="1"/>
        <v>1.0688073394495412</v>
      </c>
      <c r="L29" s="1">
        <f t="shared" si="2"/>
        <v>1.6932454898095362E-3</v>
      </c>
    </row>
    <row r="30" spans="1:12" x14ac:dyDescent="0.25">
      <c r="A30">
        <v>8</v>
      </c>
      <c r="B30">
        <v>1725</v>
      </c>
      <c r="C30">
        <v>1750</v>
      </c>
      <c r="D30">
        <v>1737.5</v>
      </c>
      <c r="E30">
        <v>23</v>
      </c>
      <c r="F30">
        <v>3.6600000000000001E-3</v>
      </c>
      <c r="G30">
        <v>1.7899999999999999E-3</v>
      </c>
      <c r="H30">
        <v>-0.1212</v>
      </c>
      <c r="I30">
        <v>5.9299999999999999E-2</v>
      </c>
      <c r="J30" s="1">
        <f t="shared" si="0"/>
        <v>-2.0438448566610457</v>
      </c>
      <c r="K30" s="1">
        <f t="shared" si="1"/>
        <v>2.0446927374301676</v>
      </c>
      <c r="L30" s="1">
        <f t="shared" si="2"/>
        <v>8.4788076912190036E-4</v>
      </c>
    </row>
    <row r="31" spans="1:12" x14ac:dyDescent="0.25">
      <c r="A31">
        <v>8</v>
      </c>
      <c r="B31">
        <v>1750</v>
      </c>
      <c r="C31">
        <v>1775</v>
      </c>
      <c r="D31">
        <v>1762.5</v>
      </c>
      <c r="E31">
        <v>23</v>
      </c>
      <c r="F31">
        <v>2.6700000000000001E-3</v>
      </c>
      <c r="G31">
        <v>1.9400000000000001E-3</v>
      </c>
      <c r="H31">
        <v>-8.5900000000000004E-2</v>
      </c>
      <c r="I31">
        <v>6.2300000000000001E-2</v>
      </c>
      <c r="J31" s="1">
        <f t="shared" si="0"/>
        <v>-1.3788121990369182</v>
      </c>
      <c r="K31" s="1">
        <f t="shared" si="1"/>
        <v>1.3762886597938144</v>
      </c>
      <c r="L31" s="1">
        <f t="shared" si="2"/>
        <v>-2.5235392431037784E-3</v>
      </c>
    </row>
    <row r="32" spans="1:12" x14ac:dyDescent="0.25">
      <c r="A32">
        <v>8</v>
      </c>
      <c r="B32">
        <v>1775</v>
      </c>
      <c r="C32">
        <v>1800</v>
      </c>
      <c r="D32">
        <v>1787.5</v>
      </c>
      <c r="E32">
        <v>31</v>
      </c>
      <c r="F32">
        <v>8.0800000000000004E-3</v>
      </c>
      <c r="G32">
        <v>1.72E-3</v>
      </c>
      <c r="H32">
        <v>-0.25280000000000002</v>
      </c>
      <c r="I32">
        <v>5.3800000000000001E-2</v>
      </c>
      <c r="J32" s="1">
        <f t="shared" si="0"/>
        <v>-4.6988847583643123</v>
      </c>
      <c r="K32" s="1">
        <f t="shared" si="1"/>
        <v>4.6976744186046515</v>
      </c>
      <c r="L32" s="1">
        <f t="shared" si="2"/>
        <v>-1.2103397596607834E-3</v>
      </c>
    </row>
    <row r="33" spans="1:12" x14ac:dyDescent="0.25">
      <c r="A33">
        <v>8</v>
      </c>
      <c r="B33">
        <v>1800</v>
      </c>
      <c r="C33">
        <v>1825</v>
      </c>
      <c r="D33">
        <v>1812.5</v>
      </c>
      <c r="E33">
        <v>28</v>
      </c>
      <c r="F33">
        <v>8.3999999999999995E-3</v>
      </c>
      <c r="G33">
        <v>1.91E-3</v>
      </c>
      <c r="H33">
        <v>-0.25559999999999999</v>
      </c>
      <c r="I33">
        <v>5.8299999999999998E-2</v>
      </c>
      <c r="J33" s="1">
        <f t="shared" si="0"/>
        <v>-4.3842195540308753</v>
      </c>
      <c r="K33" s="1">
        <f t="shared" si="1"/>
        <v>4.3979057591623034</v>
      </c>
      <c r="L33" s="1">
        <f t="shared" si="2"/>
        <v>1.3686205131428153E-2</v>
      </c>
    </row>
    <row r="34" spans="1:12" x14ac:dyDescent="0.25">
      <c r="A34">
        <v>8</v>
      </c>
      <c r="B34">
        <v>1825</v>
      </c>
      <c r="C34">
        <v>1850</v>
      </c>
      <c r="D34">
        <v>1837.5</v>
      </c>
      <c r="E34">
        <v>33</v>
      </c>
      <c r="F34">
        <v>1.038E-2</v>
      </c>
      <c r="G34">
        <v>1.7600000000000001E-3</v>
      </c>
      <c r="H34">
        <v>-0.30740000000000001</v>
      </c>
      <c r="I34">
        <v>5.21E-2</v>
      </c>
      <c r="J34" s="1">
        <f t="shared" si="0"/>
        <v>-5.9001919385796544</v>
      </c>
      <c r="K34" s="1">
        <f t="shared" si="1"/>
        <v>5.8977272727272725</v>
      </c>
      <c r="L34" s="1">
        <f t="shared" si="2"/>
        <v>-2.4646658523819198E-3</v>
      </c>
    </row>
    <row r="35" spans="1:12" x14ac:dyDescent="0.25">
      <c r="A35">
        <v>8</v>
      </c>
      <c r="B35">
        <v>1850</v>
      </c>
      <c r="C35">
        <v>1875</v>
      </c>
      <c r="D35">
        <v>1862.5</v>
      </c>
      <c r="E35">
        <v>37</v>
      </c>
      <c r="F35">
        <v>5.13E-3</v>
      </c>
      <c r="G35">
        <v>1.64E-3</v>
      </c>
      <c r="H35">
        <v>-0.1479</v>
      </c>
      <c r="I35">
        <v>4.7100000000000003E-2</v>
      </c>
      <c r="J35" s="1">
        <f t="shared" si="0"/>
        <v>-3.1401273885350318</v>
      </c>
      <c r="K35" s="1">
        <f t="shared" si="1"/>
        <v>3.1280487804878048</v>
      </c>
      <c r="L35" s="1">
        <f t="shared" si="2"/>
        <v>-1.2078608047227046E-2</v>
      </c>
    </row>
    <row r="36" spans="1:12" x14ac:dyDescent="0.25">
      <c r="A36">
        <v>8</v>
      </c>
      <c r="B36">
        <v>1875</v>
      </c>
      <c r="C36">
        <v>1900</v>
      </c>
      <c r="D36">
        <v>1887.5</v>
      </c>
      <c r="E36">
        <v>57</v>
      </c>
      <c r="F36">
        <v>1.65E-3</v>
      </c>
      <c r="G36">
        <v>1.4E-3</v>
      </c>
      <c r="H36">
        <v>-4.6300000000000001E-2</v>
      </c>
      <c r="I36">
        <v>3.9199999999999999E-2</v>
      </c>
      <c r="J36" s="1">
        <f t="shared" si="0"/>
        <v>-1.181122448979592</v>
      </c>
      <c r="K36" s="1">
        <f t="shared" si="1"/>
        <v>1.1785714285714286</v>
      </c>
      <c r="L36" s="1">
        <f t="shared" si="2"/>
        <v>-2.5510204081633514E-3</v>
      </c>
    </row>
    <row r="37" spans="1:12" x14ac:dyDescent="0.25">
      <c r="A37">
        <v>8</v>
      </c>
      <c r="B37">
        <v>1900</v>
      </c>
      <c r="C37">
        <v>1925</v>
      </c>
      <c r="D37">
        <v>1912.5</v>
      </c>
      <c r="E37">
        <v>34</v>
      </c>
      <c r="F37">
        <v>2.2399999999999998E-3</v>
      </c>
      <c r="G37">
        <v>1.75E-3</v>
      </c>
      <c r="H37">
        <v>-6.1400000000000003E-2</v>
      </c>
      <c r="I37">
        <v>4.7699999999999999E-2</v>
      </c>
      <c r="J37" s="1">
        <f t="shared" si="0"/>
        <v>-1.2872117400419287</v>
      </c>
      <c r="K37" s="1">
        <f t="shared" si="1"/>
        <v>1.2799999999999998</v>
      </c>
      <c r="L37" s="1">
        <f t="shared" si="2"/>
        <v>-7.2117400419289268E-3</v>
      </c>
    </row>
    <row r="38" spans="1:12" x14ac:dyDescent="0.25">
      <c r="A38">
        <v>8</v>
      </c>
      <c r="B38">
        <v>1925</v>
      </c>
      <c r="C38">
        <v>1950</v>
      </c>
      <c r="D38">
        <v>1937.5</v>
      </c>
      <c r="E38">
        <v>42</v>
      </c>
      <c r="F38">
        <v>1.7000000000000001E-4</v>
      </c>
      <c r="G38">
        <v>1.6100000000000001E-3</v>
      </c>
      <c r="H38">
        <v>-4.5999999999999999E-3</v>
      </c>
      <c r="I38">
        <v>4.2999999999999997E-2</v>
      </c>
      <c r="J38" s="1">
        <f t="shared" si="0"/>
        <v>-0.10697674418604652</v>
      </c>
      <c r="K38" s="1">
        <f t="shared" si="1"/>
        <v>0.10559006211180125</v>
      </c>
      <c r="L38" s="1">
        <f t="shared" si="2"/>
        <v>-1.3866820742452768E-3</v>
      </c>
    </row>
    <row r="39" spans="1:12" x14ac:dyDescent="0.25">
      <c r="A39">
        <v>8</v>
      </c>
      <c r="B39">
        <v>1950</v>
      </c>
      <c r="C39">
        <v>1975</v>
      </c>
      <c r="D39">
        <v>1962.5</v>
      </c>
      <c r="E39">
        <v>54</v>
      </c>
      <c r="F39">
        <v>1.4499999999999999E-3</v>
      </c>
      <c r="G39">
        <v>1.5100000000000001E-3</v>
      </c>
      <c r="H39">
        <v>-3.78E-2</v>
      </c>
      <c r="I39">
        <v>3.9300000000000002E-2</v>
      </c>
      <c r="J39" s="1">
        <f t="shared" si="0"/>
        <v>-0.96183206106870223</v>
      </c>
      <c r="K39" s="1">
        <f t="shared" si="1"/>
        <v>0.96026490066225156</v>
      </c>
      <c r="L39" s="1">
        <f t="shared" si="2"/>
        <v>-1.5671604064506628E-3</v>
      </c>
    </row>
    <row r="40" spans="1:12" x14ac:dyDescent="0.25">
      <c r="A40">
        <v>8</v>
      </c>
      <c r="B40">
        <v>1975</v>
      </c>
      <c r="C40">
        <v>2000</v>
      </c>
      <c r="D40">
        <v>1987.5</v>
      </c>
      <c r="E40">
        <v>47</v>
      </c>
      <c r="F40">
        <v>1E-3</v>
      </c>
      <c r="G40">
        <v>1.66E-3</v>
      </c>
      <c r="H40">
        <v>-2.5399999999999999E-2</v>
      </c>
      <c r="I40">
        <v>4.2099999999999999E-2</v>
      </c>
      <c r="J40" s="1">
        <f t="shared" si="0"/>
        <v>-0.60332541567695963</v>
      </c>
      <c r="K40" s="1">
        <f t="shared" si="1"/>
        <v>0.60240963855421692</v>
      </c>
      <c r="L40" s="1">
        <f t="shared" si="2"/>
        <v>-9.1577712274271139E-4</v>
      </c>
    </row>
    <row r="41" spans="1:12" x14ac:dyDescent="0.25">
      <c r="A41">
        <v>8</v>
      </c>
      <c r="B41">
        <v>2000</v>
      </c>
      <c r="C41">
        <v>2025</v>
      </c>
      <c r="D41">
        <v>2012.5</v>
      </c>
      <c r="E41">
        <v>44</v>
      </c>
      <c r="F41">
        <v>5.1500000000000001E-3</v>
      </c>
      <c r="G41">
        <v>1.6999999999999999E-3</v>
      </c>
      <c r="H41">
        <v>-0.1273</v>
      </c>
      <c r="I41">
        <v>4.19E-2</v>
      </c>
      <c r="J41" s="1">
        <f t="shared" si="0"/>
        <v>-3.0381861575178997</v>
      </c>
      <c r="K41" s="1">
        <f t="shared" si="1"/>
        <v>3.0294117647058827</v>
      </c>
      <c r="L41" s="1">
        <f t="shared" si="2"/>
        <v>-8.7743928120169734E-3</v>
      </c>
    </row>
    <row r="42" spans="1:12" x14ac:dyDescent="0.25">
      <c r="A42">
        <v>8</v>
      </c>
      <c r="B42">
        <v>2025</v>
      </c>
      <c r="C42">
        <v>2050</v>
      </c>
      <c r="D42">
        <v>2037.5</v>
      </c>
      <c r="E42">
        <v>53</v>
      </c>
      <c r="F42">
        <v>5.0200000000000002E-3</v>
      </c>
      <c r="G42">
        <v>1.6100000000000001E-3</v>
      </c>
      <c r="H42">
        <v>-0.12089999999999999</v>
      </c>
      <c r="I42">
        <v>3.8800000000000001E-2</v>
      </c>
      <c r="J42" s="1">
        <f t="shared" si="0"/>
        <v>-3.1159793814432986</v>
      </c>
      <c r="K42" s="1">
        <f t="shared" si="1"/>
        <v>3.1180124223602483</v>
      </c>
      <c r="L42" s="1">
        <f t="shared" si="2"/>
        <v>2.0330409169497798E-3</v>
      </c>
    </row>
    <row r="43" spans="1:12" x14ac:dyDescent="0.25">
      <c r="A43">
        <v>8</v>
      </c>
      <c r="B43">
        <v>2050</v>
      </c>
      <c r="C43">
        <v>2075</v>
      </c>
      <c r="D43">
        <v>2062.5</v>
      </c>
      <c r="E43">
        <v>53</v>
      </c>
      <c r="F43">
        <v>4.6499999999999996E-3</v>
      </c>
      <c r="G43">
        <v>1.6299999999999999E-3</v>
      </c>
      <c r="H43">
        <v>-0.10929999999999999</v>
      </c>
      <c r="I43">
        <v>3.8199999999999998E-2</v>
      </c>
      <c r="J43" s="1">
        <f t="shared" si="0"/>
        <v>-2.8612565445026177</v>
      </c>
      <c r="K43" s="1">
        <f t="shared" si="1"/>
        <v>2.852760736196319</v>
      </c>
      <c r="L43" s="1">
        <f t="shared" si="2"/>
        <v>-8.4958083062987022E-3</v>
      </c>
    </row>
    <row r="44" spans="1:12" x14ac:dyDescent="0.25">
      <c r="A44">
        <v>8</v>
      </c>
      <c r="B44">
        <v>2075</v>
      </c>
      <c r="C44">
        <v>2103.3150000000001</v>
      </c>
      <c r="D44">
        <v>2089.1579999999999</v>
      </c>
      <c r="E44">
        <v>62</v>
      </c>
      <c r="F44">
        <v>3.98E-3</v>
      </c>
      <c r="G44">
        <v>1.58E-3</v>
      </c>
      <c r="H44">
        <v>-9.1200000000000003E-2</v>
      </c>
      <c r="I44">
        <v>3.6200000000000003E-2</v>
      </c>
      <c r="J44" s="1">
        <f t="shared" si="0"/>
        <v>-2.5193370165745854</v>
      </c>
      <c r="K44" s="1">
        <f t="shared" si="1"/>
        <v>2.518987341772152</v>
      </c>
      <c r="L44" s="1">
        <f t="shared" si="2"/>
        <v>-3.4967480243341953E-4</v>
      </c>
    </row>
    <row r="45" spans="1:12" x14ac:dyDescent="0.25">
      <c r="A45">
        <v>9</v>
      </c>
      <c r="B45">
        <v>2103.3150000000001</v>
      </c>
      <c r="C45">
        <v>2150</v>
      </c>
      <c r="D45">
        <v>2126.6579999999999</v>
      </c>
      <c r="E45">
        <v>29</v>
      </c>
      <c r="F45">
        <v>1.7700000000000001E-3</v>
      </c>
      <c r="G45">
        <v>8.8000000000000003E-4</v>
      </c>
      <c r="H45">
        <v>-3.9E-2</v>
      </c>
      <c r="I45">
        <v>1.95E-2</v>
      </c>
      <c r="J45" s="1">
        <f t="shared" si="0"/>
        <v>-2</v>
      </c>
      <c r="K45" s="1">
        <f t="shared" si="1"/>
        <v>2.0113636363636362</v>
      </c>
      <c r="L45" s="1">
        <f t="shared" si="2"/>
        <v>1.1363636363636243E-2</v>
      </c>
    </row>
    <row r="46" spans="1:12" x14ac:dyDescent="0.25">
      <c r="A46">
        <v>9</v>
      </c>
      <c r="B46">
        <v>2150</v>
      </c>
      <c r="C46">
        <v>2175</v>
      </c>
      <c r="D46">
        <v>2162.5</v>
      </c>
      <c r="E46">
        <v>15</v>
      </c>
      <c r="F46">
        <v>-2.7299999999999998E-3</v>
      </c>
      <c r="G46">
        <v>9.7999999999999997E-4</v>
      </c>
      <c r="H46">
        <v>5.8299999999999998E-2</v>
      </c>
      <c r="I46">
        <v>2.0899999999999998E-2</v>
      </c>
      <c r="J46" s="1">
        <f t="shared" si="0"/>
        <v>2.7894736842105265</v>
      </c>
      <c r="K46" s="1">
        <f t="shared" si="1"/>
        <v>-2.7857142857142856</v>
      </c>
      <c r="L46" s="1">
        <f t="shared" si="2"/>
        <v>3.7593984962409621E-3</v>
      </c>
    </row>
    <row r="47" spans="1:12" x14ac:dyDescent="0.25">
      <c r="A47">
        <v>9</v>
      </c>
      <c r="B47">
        <v>2175</v>
      </c>
      <c r="C47">
        <v>2190.9050000000002</v>
      </c>
      <c r="D47">
        <v>2182.953</v>
      </c>
      <c r="E47">
        <v>17</v>
      </c>
      <c r="F47">
        <v>-3.62E-3</v>
      </c>
      <c r="G47">
        <v>9.5E-4</v>
      </c>
      <c r="H47">
        <v>7.5899999999999995E-2</v>
      </c>
      <c r="I47">
        <v>1.9900000000000001E-2</v>
      </c>
      <c r="J47" s="1">
        <f t="shared" si="0"/>
        <v>3.8140703517587937</v>
      </c>
      <c r="K47" s="1">
        <f t="shared" si="1"/>
        <v>-3.8105263157894735</v>
      </c>
      <c r="L47" s="1">
        <f t="shared" si="2"/>
        <v>3.5440359693201806E-3</v>
      </c>
    </row>
    <row r="48" spans="1:12" x14ac:dyDescent="0.25">
      <c r="A48">
        <v>10</v>
      </c>
      <c r="B48">
        <v>2190.9050000000002</v>
      </c>
      <c r="C48">
        <v>2200</v>
      </c>
      <c r="D48">
        <v>2195.453</v>
      </c>
      <c r="E48">
        <v>17</v>
      </c>
      <c r="F48">
        <v>-1.8E-3</v>
      </c>
      <c r="G48">
        <v>9.7000000000000005E-4</v>
      </c>
      <c r="H48">
        <v>3.7400000000000003E-2</v>
      </c>
      <c r="I48">
        <v>0.02</v>
      </c>
      <c r="J48" s="1">
        <f t="shared" si="0"/>
        <v>1.87</v>
      </c>
      <c r="K48" s="1">
        <f t="shared" si="1"/>
        <v>-1.8556701030927834</v>
      </c>
      <c r="L48" s="1">
        <f t="shared" si="2"/>
        <v>1.4329896907216755E-2</v>
      </c>
    </row>
    <row r="49" spans="1:12" x14ac:dyDescent="0.25">
      <c r="A49">
        <v>10</v>
      </c>
      <c r="B49">
        <v>2200</v>
      </c>
      <c r="C49">
        <v>2225</v>
      </c>
      <c r="D49">
        <v>2212.5</v>
      </c>
      <c r="E49">
        <v>44</v>
      </c>
      <c r="F49">
        <v>1.72E-3</v>
      </c>
      <c r="G49">
        <v>8.5999999999999998E-4</v>
      </c>
      <c r="H49">
        <v>-3.5200000000000002E-2</v>
      </c>
      <c r="I49">
        <v>1.7500000000000002E-2</v>
      </c>
      <c r="J49" s="1">
        <f t="shared" si="0"/>
        <v>-2.0114285714285716</v>
      </c>
      <c r="K49" s="1">
        <f t="shared" si="1"/>
        <v>2</v>
      </c>
      <c r="L49" s="1">
        <f t="shared" si="2"/>
        <v>-1.1428571428571566E-2</v>
      </c>
    </row>
    <row r="50" spans="1:12" x14ac:dyDescent="0.25">
      <c r="A50">
        <v>10</v>
      </c>
      <c r="B50">
        <v>2225</v>
      </c>
      <c r="C50">
        <v>2250</v>
      </c>
      <c r="D50">
        <v>2237.5</v>
      </c>
      <c r="E50">
        <v>70</v>
      </c>
      <c r="F50">
        <v>1.74E-3</v>
      </c>
      <c r="G50">
        <v>8.3000000000000001E-4</v>
      </c>
      <c r="H50">
        <v>-3.4700000000000002E-2</v>
      </c>
      <c r="I50">
        <v>1.67E-2</v>
      </c>
      <c r="J50" s="1">
        <f t="shared" si="0"/>
        <v>-2.0778443113772456</v>
      </c>
      <c r="K50" s="1">
        <f t="shared" si="1"/>
        <v>2.0963855421686746</v>
      </c>
      <c r="L50" s="1">
        <f t="shared" si="2"/>
        <v>1.8541230791428998E-2</v>
      </c>
    </row>
    <row r="51" spans="1:12" x14ac:dyDescent="0.25">
      <c r="A51">
        <v>10</v>
      </c>
      <c r="B51">
        <v>2250</v>
      </c>
      <c r="C51">
        <v>2275</v>
      </c>
      <c r="D51">
        <v>2262.5</v>
      </c>
      <c r="E51">
        <v>63</v>
      </c>
      <c r="F51">
        <v>1.91E-3</v>
      </c>
      <c r="G51">
        <v>8.4999999999999995E-4</v>
      </c>
      <c r="H51">
        <v>-3.7199999999999997E-2</v>
      </c>
      <c r="I51">
        <v>1.66E-2</v>
      </c>
      <c r="J51" s="1">
        <f t="shared" si="0"/>
        <v>-2.2409638554216866</v>
      </c>
      <c r="K51" s="1">
        <f t="shared" si="1"/>
        <v>2.2470588235294118</v>
      </c>
      <c r="L51" s="1">
        <f t="shared" si="2"/>
        <v>6.0949681077251405E-3</v>
      </c>
    </row>
    <row r="52" spans="1:12" x14ac:dyDescent="0.25">
      <c r="A52">
        <v>10</v>
      </c>
      <c r="B52">
        <v>2275</v>
      </c>
      <c r="C52">
        <v>2300</v>
      </c>
      <c r="D52">
        <v>2287.5</v>
      </c>
      <c r="E52">
        <v>63</v>
      </c>
      <c r="F52">
        <v>2.7E-4</v>
      </c>
      <c r="G52">
        <v>8.5999999999999998E-4</v>
      </c>
      <c r="H52">
        <v>-5.1000000000000004E-3</v>
      </c>
      <c r="I52">
        <v>1.6400000000000001E-2</v>
      </c>
      <c r="J52" s="1">
        <f t="shared" si="0"/>
        <v>-0.31097560975609756</v>
      </c>
      <c r="K52" s="1">
        <f t="shared" si="1"/>
        <v>0.31395348837209303</v>
      </c>
      <c r="L52" s="1">
        <f t="shared" si="2"/>
        <v>2.9778786159954662E-3</v>
      </c>
    </row>
    <row r="53" spans="1:12" x14ac:dyDescent="0.25">
      <c r="A53">
        <v>10</v>
      </c>
      <c r="B53">
        <v>2300</v>
      </c>
      <c r="C53">
        <v>2325</v>
      </c>
      <c r="D53">
        <v>2312.5</v>
      </c>
      <c r="E53">
        <v>70</v>
      </c>
      <c r="F53">
        <v>2.2799999999999999E-3</v>
      </c>
      <c r="G53">
        <v>8.5999999999999998E-4</v>
      </c>
      <c r="H53">
        <v>-4.2599999999999999E-2</v>
      </c>
      <c r="I53">
        <v>1.61E-2</v>
      </c>
      <c r="J53" s="1">
        <f t="shared" si="0"/>
        <v>-2.6459627329192545</v>
      </c>
      <c r="K53" s="1">
        <f t="shared" si="1"/>
        <v>2.6511627906976742</v>
      </c>
      <c r="L53" s="1">
        <f t="shared" si="2"/>
        <v>5.2000577784196977E-3</v>
      </c>
    </row>
    <row r="54" spans="1:12" x14ac:dyDescent="0.25">
      <c r="A54">
        <v>10</v>
      </c>
      <c r="B54">
        <v>2325</v>
      </c>
      <c r="C54">
        <v>2350</v>
      </c>
      <c r="D54">
        <v>2337.5</v>
      </c>
      <c r="E54">
        <v>53</v>
      </c>
      <c r="F54">
        <v>2.7599999999999999E-3</v>
      </c>
      <c r="G54">
        <v>8.8999999999999995E-4</v>
      </c>
      <c r="H54">
        <v>-5.0500000000000003E-2</v>
      </c>
      <c r="I54">
        <v>1.6299999999999999E-2</v>
      </c>
      <c r="J54" s="1">
        <f t="shared" si="0"/>
        <v>-3.0981595092024543</v>
      </c>
      <c r="K54" s="1">
        <f t="shared" si="1"/>
        <v>3.101123595505618</v>
      </c>
      <c r="L54" s="1">
        <f t="shared" si="2"/>
        <v>2.9640863031636933E-3</v>
      </c>
    </row>
    <row r="55" spans="1:12" x14ac:dyDescent="0.25">
      <c r="A55">
        <v>10</v>
      </c>
      <c r="B55">
        <v>2350</v>
      </c>
      <c r="C55">
        <v>2375</v>
      </c>
      <c r="D55">
        <v>2362.5</v>
      </c>
      <c r="E55">
        <v>52</v>
      </c>
      <c r="F55">
        <v>3.2799999999999999E-3</v>
      </c>
      <c r="G55">
        <v>9.1E-4</v>
      </c>
      <c r="H55">
        <v>-5.8799999999999998E-2</v>
      </c>
      <c r="I55">
        <v>1.6199999999999999E-2</v>
      </c>
      <c r="J55" s="1">
        <f t="shared" si="0"/>
        <v>-3.6296296296296298</v>
      </c>
      <c r="K55" s="1">
        <f t="shared" si="1"/>
        <v>3.6043956043956045</v>
      </c>
      <c r="L55" s="1">
        <f t="shared" si="2"/>
        <v>-2.5234025234025292E-2</v>
      </c>
    </row>
    <row r="56" spans="1:12" x14ac:dyDescent="0.25">
      <c r="A56">
        <v>10</v>
      </c>
      <c r="B56">
        <v>2375</v>
      </c>
      <c r="C56">
        <v>2400</v>
      </c>
      <c r="D56">
        <v>2387.5</v>
      </c>
      <c r="E56">
        <v>45</v>
      </c>
      <c r="F56">
        <v>2.3800000000000002E-3</v>
      </c>
      <c r="G56">
        <v>9.3000000000000005E-4</v>
      </c>
      <c r="H56">
        <v>-4.1700000000000001E-2</v>
      </c>
      <c r="I56">
        <v>1.6299999999999999E-2</v>
      </c>
      <c r="J56" s="1">
        <f t="shared" si="0"/>
        <v>-2.5582822085889574</v>
      </c>
      <c r="K56" s="1">
        <f t="shared" si="1"/>
        <v>2.5591397849462365</v>
      </c>
      <c r="L56" s="1">
        <f t="shared" si="2"/>
        <v>8.5757635727912174E-4</v>
      </c>
    </row>
    <row r="57" spans="1:12" x14ac:dyDescent="0.25">
      <c r="A57">
        <v>10</v>
      </c>
      <c r="B57">
        <v>2400</v>
      </c>
      <c r="C57">
        <v>2425</v>
      </c>
      <c r="D57">
        <v>2412.5</v>
      </c>
      <c r="E57">
        <v>40</v>
      </c>
      <c r="F57">
        <v>2.15E-3</v>
      </c>
      <c r="G57">
        <v>9.3999999999999997E-4</v>
      </c>
      <c r="H57">
        <v>-3.6900000000000002E-2</v>
      </c>
      <c r="I57">
        <v>1.6199999999999999E-2</v>
      </c>
      <c r="J57" s="1">
        <f t="shared" si="0"/>
        <v>-2.2777777777777781</v>
      </c>
      <c r="K57" s="1">
        <f t="shared" si="1"/>
        <v>2.2872340425531914</v>
      </c>
      <c r="L57" s="1">
        <f t="shared" si="2"/>
        <v>9.4562647754132811E-3</v>
      </c>
    </row>
    <row r="58" spans="1:12" x14ac:dyDescent="0.25">
      <c r="A58">
        <v>10</v>
      </c>
      <c r="B58">
        <v>2425</v>
      </c>
      <c r="C58">
        <v>2450</v>
      </c>
      <c r="D58">
        <v>2437.5</v>
      </c>
      <c r="E58">
        <v>46</v>
      </c>
      <c r="F58">
        <v>1.1299999999999999E-3</v>
      </c>
      <c r="G58">
        <v>9.3000000000000005E-4</v>
      </c>
      <c r="H58">
        <v>-1.89E-2</v>
      </c>
      <c r="I58">
        <v>1.5599999999999999E-2</v>
      </c>
      <c r="J58" s="1">
        <f t="shared" si="0"/>
        <v>-1.2115384615384617</v>
      </c>
      <c r="K58" s="1">
        <f t="shared" si="1"/>
        <v>1.21505376344086</v>
      </c>
      <c r="L58" s="1">
        <f t="shared" si="2"/>
        <v>3.5153019023983489E-3</v>
      </c>
    </row>
    <row r="59" spans="1:12" x14ac:dyDescent="0.25">
      <c r="A59">
        <v>10</v>
      </c>
      <c r="B59">
        <v>2450</v>
      </c>
      <c r="C59">
        <v>2475</v>
      </c>
      <c r="D59">
        <v>2462.5</v>
      </c>
      <c r="E59">
        <v>42</v>
      </c>
      <c r="F59">
        <v>-1.9000000000000001E-4</v>
      </c>
      <c r="G59">
        <v>9.6000000000000002E-4</v>
      </c>
      <c r="H59">
        <v>3.0999999999999999E-3</v>
      </c>
      <c r="I59">
        <v>1.5800000000000002E-2</v>
      </c>
      <c r="J59" s="1">
        <f t="shared" si="0"/>
        <v>0.19620253164556958</v>
      </c>
      <c r="K59" s="1">
        <f t="shared" si="1"/>
        <v>-0.19791666666666669</v>
      </c>
      <c r="L59" s="1">
        <f t="shared" si="2"/>
        <v>-1.7141350210971018E-3</v>
      </c>
    </row>
    <row r="60" spans="1:12" x14ac:dyDescent="0.25">
      <c r="A60">
        <v>10</v>
      </c>
      <c r="B60">
        <v>2475</v>
      </c>
      <c r="C60">
        <v>2500</v>
      </c>
      <c r="D60">
        <v>2487.5</v>
      </c>
      <c r="E60">
        <v>61</v>
      </c>
      <c r="F60">
        <v>3.1099999999999999E-3</v>
      </c>
      <c r="G60">
        <v>9.3000000000000005E-4</v>
      </c>
      <c r="H60">
        <v>-5.0299999999999997E-2</v>
      </c>
      <c r="I60">
        <v>1.4999999999999999E-2</v>
      </c>
      <c r="J60" s="1">
        <f t="shared" si="0"/>
        <v>-3.3533333333333335</v>
      </c>
      <c r="K60" s="1">
        <f t="shared" si="1"/>
        <v>3.344086021505376</v>
      </c>
      <c r="L60" s="1">
        <f t="shared" si="2"/>
        <v>-9.2473118279574607E-3</v>
      </c>
    </row>
    <row r="61" spans="1:12" x14ac:dyDescent="0.25">
      <c r="A61">
        <v>10</v>
      </c>
      <c r="B61">
        <v>2500</v>
      </c>
      <c r="C61">
        <v>2525</v>
      </c>
      <c r="D61">
        <v>2512.5</v>
      </c>
      <c r="E61">
        <v>57</v>
      </c>
      <c r="F61">
        <v>-6.0000000000000002E-5</v>
      </c>
      <c r="G61">
        <v>9.5E-4</v>
      </c>
      <c r="H61">
        <v>1E-3</v>
      </c>
      <c r="I61">
        <v>1.5100000000000001E-2</v>
      </c>
      <c r="J61" s="1">
        <f t="shared" si="0"/>
        <v>6.6225165562913912E-2</v>
      </c>
      <c r="K61" s="1">
        <f t="shared" si="1"/>
        <v>-6.3157894736842107E-2</v>
      </c>
      <c r="L61" s="1">
        <f t="shared" si="2"/>
        <v>3.0672708260718051E-3</v>
      </c>
    </row>
    <row r="62" spans="1:12" x14ac:dyDescent="0.25">
      <c r="A62">
        <v>10</v>
      </c>
      <c r="B62">
        <v>2525</v>
      </c>
      <c r="C62">
        <v>2550</v>
      </c>
      <c r="D62">
        <v>2537.5</v>
      </c>
      <c r="E62">
        <v>42</v>
      </c>
      <c r="F62">
        <v>-1E-3</v>
      </c>
      <c r="G62">
        <v>1E-3</v>
      </c>
      <c r="H62">
        <v>1.55E-2</v>
      </c>
      <c r="I62">
        <v>1.5599999999999999E-2</v>
      </c>
      <c r="J62" s="1">
        <f t="shared" si="0"/>
        <v>0.99358974358974361</v>
      </c>
      <c r="K62" s="1">
        <f t="shared" si="1"/>
        <v>-1</v>
      </c>
      <c r="L62" s="1">
        <f t="shared" si="2"/>
        <v>-6.4102564102563875E-3</v>
      </c>
    </row>
    <row r="63" spans="1:12" x14ac:dyDescent="0.25">
      <c r="A63">
        <v>10</v>
      </c>
      <c r="B63">
        <v>2550</v>
      </c>
      <c r="C63">
        <v>2575</v>
      </c>
      <c r="D63">
        <v>2562.5</v>
      </c>
      <c r="E63">
        <v>51</v>
      </c>
      <c r="F63">
        <v>-3.6999999999999999E-4</v>
      </c>
      <c r="G63">
        <v>9.7999999999999997E-4</v>
      </c>
      <c r="H63">
        <v>5.5999999999999999E-3</v>
      </c>
      <c r="I63">
        <v>1.4999999999999999E-2</v>
      </c>
      <c r="J63" s="1">
        <f t="shared" si="0"/>
        <v>0.37333333333333335</v>
      </c>
      <c r="K63" s="1">
        <f t="shared" si="1"/>
        <v>-0.3775510204081633</v>
      </c>
      <c r="L63" s="1">
        <f t="shared" si="2"/>
        <v>-4.2176870748299455E-3</v>
      </c>
    </row>
    <row r="64" spans="1:12" x14ac:dyDescent="0.25">
      <c r="A64">
        <v>10</v>
      </c>
      <c r="B64">
        <v>2575</v>
      </c>
      <c r="C64">
        <v>2600</v>
      </c>
      <c r="D64">
        <v>2587.5</v>
      </c>
      <c r="E64">
        <v>47</v>
      </c>
      <c r="F64">
        <v>-9.7000000000000005E-4</v>
      </c>
      <c r="G64">
        <v>1.0200000000000001E-3</v>
      </c>
      <c r="H64">
        <v>1.44E-2</v>
      </c>
      <c r="I64">
        <v>1.52E-2</v>
      </c>
      <c r="J64" s="1">
        <f t="shared" si="0"/>
        <v>0.94736842105263153</v>
      </c>
      <c r="K64" s="1">
        <f t="shared" si="1"/>
        <v>-0.9509803921568627</v>
      </c>
      <c r="L64" s="1">
        <f t="shared" si="2"/>
        <v>-3.6119711042311708E-3</v>
      </c>
    </row>
    <row r="65" spans="1:12" x14ac:dyDescent="0.25">
      <c r="A65">
        <v>10</v>
      </c>
      <c r="B65">
        <v>2600</v>
      </c>
      <c r="C65">
        <v>2625</v>
      </c>
      <c r="D65">
        <v>2612.5</v>
      </c>
      <c r="E65">
        <v>45</v>
      </c>
      <c r="F65">
        <v>-7.9000000000000001E-4</v>
      </c>
      <c r="G65">
        <v>1.0399999999999999E-3</v>
      </c>
      <c r="H65">
        <v>1.15E-2</v>
      </c>
      <c r="I65">
        <v>1.52E-2</v>
      </c>
      <c r="J65" s="1">
        <f t="shared" si="0"/>
        <v>0.75657894736842102</v>
      </c>
      <c r="K65" s="1">
        <f t="shared" si="1"/>
        <v>-0.75961538461538469</v>
      </c>
      <c r="L65" s="1">
        <f t="shared" si="2"/>
        <v>-3.0364372469636747E-3</v>
      </c>
    </row>
    <row r="66" spans="1:12" x14ac:dyDescent="0.25">
      <c r="A66">
        <v>10</v>
      </c>
      <c r="B66">
        <v>2625</v>
      </c>
      <c r="C66">
        <v>2650</v>
      </c>
      <c r="D66">
        <v>2637.5</v>
      </c>
      <c r="E66">
        <v>26</v>
      </c>
      <c r="F66">
        <v>-1.3799999999999999E-3</v>
      </c>
      <c r="G66">
        <v>1.15E-3</v>
      </c>
      <c r="H66">
        <v>1.9900000000000001E-2</v>
      </c>
      <c r="I66">
        <v>1.6500000000000001E-2</v>
      </c>
      <c r="J66" s="1">
        <f t="shared" si="0"/>
        <v>1.2060606060606061</v>
      </c>
      <c r="K66" s="1">
        <f t="shared" si="1"/>
        <v>-1.2</v>
      </c>
      <c r="L66" s="1">
        <f t="shared" si="2"/>
        <v>6.0606060606060996E-3</v>
      </c>
    </row>
    <row r="67" spans="1:12" x14ac:dyDescent="0.25">
      <c r="A67">
        <v>10</v>
      </c>
      <c r="B67">
        <v>2650</v>
      </c>
      <c r="C67">
        <v>2675</v>
      </c>
      <c r="D67">
        <v>2662.5</v>
      </c>
      <c r="E67">
        <v>34</v>
      </c>
      <c r="F67">
        <v>-1.5100000000000001E-3</v>
      </c>
      <c r="G67">
        <v>1.09E-3</v>
      </c>
      <c r="H67">
        <v>2.1399999999999999E-2</v>
      </c>
      <c r="I67">
        <v>1.54E-2</v>
      </c>
      <c r="J67" s="1">
        <f t="shared" ref="J67:J130" si="3">H67/I67</f>
        <v>1.3896103896103895</v>
      </c>
      <c r="K67" s="1">
        <f t="shared" ref="K67:K130" si="4">F67/G67</f>
        <v>-1.3853211009174311</v>
      </c>
      <c r="L67" s="1">
        <f t="shared" ref="L67:L130" si="5">J67+K67</f>
        <v>4.2892886929584151E-3</v>
      </c>
    </row>
    <row r="68" spans="1:12" x14ac:dyDescent="0.25">
      <c r="A68">
        <v>10</v>
      </c>
      <c r="B68">
        <v>2675</v>
      </c>
      <c r="C68">
        <v>2700</v>
      </c>
      <c r="D68">
        <v>2687.5</v>
      </c>
      <c r="E68">
        <v>32</v>
      </c>
      <c r="F68">
        <v>1.0000000000000001E-5</v>
      </c>
      <c r="G68">
        <v>1.1199999999999999E-3</v>
      </c>
      <c r="H68">
        <v>-2.0000000000000001E-4</v>
      </c>
      <c r="I68">
        <v>1.55E-2</v>
      </c>
      <c r="J68" s="1">
        <f t="shared" si="3"/>
        <v>-1.2903225806451613E-2</v>
      </c>
      <c r="K68" s="1">
        <f t="shared" si="4"/>
        <v>8.9285714285714298E-3</v>
      </c>
      <c r="L68" s="1">
        <f t="shared" si="5"/>
        <v>-3.9746543778801831E-3</v>
      </c>
    </row>
    <row r="69" spans="1:12" x14ac:dyDescent="0.25">
      <c r="A69">
        <v>10</v>
      </c>
      <c r="B69">
        <v>2700</v>
      </c>
      <c r="C69">
        <v>2725</v>
      </c>
      <c r="D69">
        <v>2712.5</v>
      </c>
      <c r="E69">
        <v>40</v>
      </c>
      <c r="F69">
        <v>-1E-3</v>
      </c>
      <c r="G69">
        <v>1.1100000000000001E-3</v>
      </c>
      <c r="H69">
        <v>1.3599999999999999E-2</v>
      </c>
      <c r="I69">
        <v>1.5100000000000001E-2</v>
      </c>
      <c r="J69" s="1">
        <f t="shared" si="3"/>
        <v>0.90066225165562908</v>
      </c>
      <c r="K69" s="1">
        <f t="shared" si="4"/>
        <v>-0.9009009009009008</v>
      </c>
      <c r="L69" s="1">
        <f t="shared" si="5"/>
        <v>-2.3864924527172704E-4</v>
      </c>
    </row>
    <row r="70" spans="1:12" x14ac:dyDescent="0.25">
      <c r="A70">
        <v>10</v>
      </c>
      <c r="B70">
        <v>2725</v>
      </c>
      <c r="C70">
        <v>2750</v>
      </c>
      <c r="D70">
        <v>2737.5</v>
      </c>
      <c r="E70">
        <v>24</v>
      </c>
      <c r="F70">
        <v>-1.72E-3</v>
      </c>
      <c r="G70">
        <v>1.1999999999999999E-3</v>
      </c>
      <c r="H70">
        <v>2.29E-2</v>
      </c>
      <c r="I70">
        <v>1.6E-2</v>
      </c>
      <c r="J70" s="1">
        <f t="shared" si="3"/>
        <v>1.4312499999999999</v>
      </c>
      <c r="K70" s="1">
        <f t="shared" si="4"/>
        <v>-1.4333333333333333</v>
      </c>
      <c r="L70" s="1">
        <f t="shared" si="5"/>
        <v>-2.083333333333437E-3</v>
      </c>
    </row>
    <row r="71" spans="1:12" x14ac:dyDescent="0.25">
      <c r="A71">
        <v>10</v>
      </c>
      <c r="B71">
        <v>2750</v>
      </c>
      <c r="C71">
        <v>2781.2890000000002</v>
      </c>
      <c r="D71">
        <v>2765.645</v>
      </c>
      <c r="E71">
        <v>29</v>
      </c>
      <c r="F71">
        <v>-1.7899999999999999E-3</v>
      </c>
      <c r="G71">
        <v>1.24E-3</v>
      </c>
      <c r="H71">
        <v>2.3300000000000001E-2</v>
      </c>
      <c r="I71">
        <v>1.6199999999999999E-2</v>
      </c>
      <c r="J71" s="1">
        <f t="shared" si="3"/>
        <v>1.4382716049382718</v>
      </c>
      <c r="K71" s="1">
        <f t="shared" si="4"/>
        <v>-1.4435483870967742</v>
      </c>
      <c r="L71" s="1">
        <f t="shared" si="5"/>
        <v>-5.2767821585024688E-3</v>
      </c>
    </row>
    <row r="72" spans="1:12" x14ac:dyDescent="0.25">
      <c r="A72">
        <v>12</v>
      </c>
      <c r="B72">
        <v>2808.68</v>
      </c>
      <c r="C72">
        <v>2850</v>
      </c>
      <c r="D72">
        <v>2829.34</v>
      </c>
      <c r="E72">
        <v>28</v>
      </c>
      <c r="F72">
        <v>-5.1999999999999995E-4</v>
      </c>
      <c r="G72">
        <v>1.2999999999999999E-3</v>
      </c>
      <c r="H72">
        <v>6.4000000000000003E-3</v>
      </c>
      <c r="I72">
        <v>1.6199999999999999E-2</v>
      </c>
      <c r="J72" s="1">
        <f t="shared" si="3"/>
        <v>0.39506172839506176</v>
      </c>
      <c r="K72" s="1">
        <f t="shared" si="4"/>
        <v>-0.39999999999999997</v>
      </c>
      <c r="L72" s="1">
        <f t="shared" si="5"/>
        <v>-4.9382716049382047E-3</v>
      </c>
    </row>
    <row r="73" spans="1:12" x14ac:dyDescent="0.25">
      <c r="A73">
        <v>12</v>
      </c>
      <c r="B73">
        <v>2850</v>
      </c>
      <c r="C73">
        <v>2875</v>
      </c>
      <c r="D73">
        <v>2862.5</v>
      </c>
      <c r="E73">
        <v>16</v>
      </c>
      <c r="F73">
        <v>1.5399999999999999E-3</v>
      </c>
      <c r="G73">
        <v>1.5900000000000001E-3</v>
      </c>
      <c r="H73">
        <v>-1.8800000000000001E-2</v>
      </c>
      <c r="I73">
        <v>1.9400000000000001E-2</v>
      </c>
      <c r="J73" s="1">
        <f t="shared" si="3"/>
        <v>-0.96907216494845361</v>
      </c>
      <c r="K73" s="1">
        <f t="shared" si="4"/>
        <v>0.96855345911949675</v>
      </c>
      <c r="L73" s="1">
        <f t="shared" si="5"/>
        <v>-5.187058289568558E-4</v>
      </c>
    </row>
    <row r="74" spans="1:12" x14ac:dyDescent="0.25">
      <c r="A74">
        <v>12</v>
      </c>
      <c r="B74">
        <v>2875</v>
      </c>
      <c r="C74">
        <v>2900</v>
      </c>
      <c r="D74">
        <v>2887.5</v>
      </c>
      <c r="E74">
        <v>23</v>
      </c>
      <c r="F74">
        <v>2.1099999999999999E-3</v>
      </c>
      <c r="G74">
        <v>1.3600000000000001E-3</v>
      </c>
      <c r="H74">
        <v>-2.5399999999999999E-2</v>
      </c>
      <c r="I74">
        <v>1.6400000000000001E-2</v>
      </c>
      <c r="J74" s="1">
        <f t="shared" si="3"/>
        <v>-1.5487804878048779</v>
      </c>
      <c r="K74" s="1">
        <f t="shared" si="4"/>
        <v>1.5514705882352939</v>
      </c>
      <c r="L74" s="1">
        <f t="shared" si="5"/>
        <v>2.6901004304160647E-3</v>
      </c>
    </row>
    <row r="75" spans="1:12" x14ac:dyDescent="0.25">
      <c r="A75">
        <v>12</v>
      </c>
      <c r="B75">
        <v>2900</v>
      </c>
      <c r="C75">
        <v>2925</v>
      </c>
      <c r="D75">
        <v>2912.5</v>
      </c>
      <c r="E75">
        <v>17</v>
      </c>
      <c r="F75">
        <v>2.8900000000000002E-3</v>
      </c>
      <c r="G75">
        <v>1.5499999999999999E-3</v>
      </c>
      <c r="H75">
        <v>-3.4000000000000002E-2</v>
      </c>
      <c r="I75">
        <v>1.83E-2</v>
      </c>
      <c r="J75" s="1">
        <f t="shared" si="3"/>
        <v>-1.8579234972677596</v>
      </c>
      <c r="K75" s="1">
        <f t="shared" si="4"/>
        <v>1.8645161290322583</v>
      </c>
      <c r="L75" s="1">
        <f t="shared" si="5"/>
        <v>6.5926317644986465E-3</v>
      </c>
    </row>
    <row r="76" spans="1:12" x14ac:dyDescent="0.25">
      <c r="A76">
        <v>12</v>
      </c>
      <c r="B76">
        <v>2925</v>
      </c>
      <c r="C76">
        <v>2950</v>
      </c>
      <c r="D76">
        <v>2937.5</v>
      </c>
      <c r="E76">
        <v>22</v>
      </c>
      <c r="F76">
        <v>3.8800000000000002E-3</v>
      </c>
      <c r="G76">
        <v>1.5399999999999999E-3</v>
      </c>
      <c r="H76">
        <v>-4.4999999999999998E-2</v>
      </c>
      <c r="I76">
        <v>1.78E-2</v>
      </c>
      <c r="J76" s="1">
        <f t="shared" si="3"/>
        <v>-2.5280898876404492</v>
      </c>
      <c r="K76" s="1">
        <f t="shared" si="4"/>
        <v>2.5194805194805197</v>
      </c>
      <c r="L76" s="1">
        <f t="shared" si="5"/>
        <v>-8.6093681599295202E-3</v>
      </c>
    </row>
    <row r="77" spans="1:12" x14ac:dyDescent="0.25">
      <c r="A77">
        <v>12</v>
      </c>
      <c r="B77">
        <v>2950</v>
      </c>
      <c r="C77">
        <v>2975</v>
      </c>
      <c r="D77">
        <v>2962.5</v>
      </c>
      <c r="E77">
        <v>24</v>
      </c>
      <c r="F77">
        <v>4.2300000000000003E-3</v>
      </c>
      <c r="G77">
        <v>1.47E-3</v>
      </c>
      <c r="H77">
        <v>-4.82E-2</v>
      </c>
      <c r="I77">
        <v>1.67E-2</v>
      </c>
      <c r="J77" s="1">
        <f t="shared" si="3"/>
        <v>-2.8862275449101795</v>
      </c>
      <c r="K77" s="1">
        <f t="shared" si="4"/>
        <v>2.8775510204081636</v>
      </c>
      <c r="L77" s="1">
        <f t="shared" si="5"/>
        <v>-8.6765245020159476E-3</v>
      </c>
    </row>
    <row r="78" spans="1:12" x14ac:dyDescent="0.25">
      <c r="A78">
        <v>12</v>
      </c>
      <c r="B78">
        <v>2975</v>
      </c>
      <c r="C78">
        <v>3000</v>
      </c>
      <c r="D78">
        <v>2987.5</v>
      </c>
      <c r="E78">
        <v>30</v>
      </c>
      <c r="F78">
        <v>2.5799999999999998E-3</v>
      </c>
      <c r="G78">
        <v>1.47E-3</v>
      </c>
      <c r="H78">
        <v>-2.8899999999999999E-2</v>
      </c>
      <c r="I78">
        <v>1.6500000000000001E-2</v>
      </c>
      <c r="J78" s="1">
        <f t="shared" si="3"/>
        <v>-1.7515151515151512</v>
      </c>
      <c r="K78" s="1">
        <f t="shared" si="4"/>
        <v>1.7551020408163265</v>
      </c>
      <c r="L78" s="1">
        <f t="shared" si="5"/>
        <v>3.5868893011752334E-3</v>
      </c>
    </row>
    <row r="79" spans="1:12" x14ac:dyDescent="0.25">
      <c r="A79">
        <v>12</v>
      </c>
      <c r="B79">
        <v>3000</v>
      </c>
      <c r="C79">
        <v>3025</v>
      </c>
      <c r="D79">
        <v>3012.5</v>
      </c>
      <c r="E79">
        <v>25</v>
      </c>
      <c r="F79">
        <v>2.81E-3</v>
      </c>
      <c r="G79">
        <v>1.67E-3</v>
      </c>
      <c r="H79">
        <v>-3.1E-2</v>
      </c>
      <c r="I79">
        <v>1.84E-2</v>
      </c>
      <c r="J79" s="1">
        <f t="shared" si="3"/>
        <v>-1.6847826086956521</v>
      </c>
      <c r="K79" s="1">
        <f t="shared" si="4"/>
        <v>1.6826347305389222</v>
      </c>
      <c r="L79" s="1">
        <f t="shared" si="5"/>
        <v>-2.1478781567298988E-3</v>
      </c>
    </row>
    <row r="80" spans="1:12" x14ac:dyDescent="0.25">
      <c r="A80">
        <v>12</v>
      </c>
      <c r="B80">
        <v>3025</v>
      </c>
      <c r="C80">
        <v>3050</v>
      </c>
      <c r="D80">
        <v>3037.5</v>
      </c>
      <c r="E80">
        <v>26</v>
      </c>
      <c r="F80">
        <v>-4.4999999999999999E-4</v>
      </c>
      <c r="G80">
        <v>1.58E-3</v>
      </c>
      <c r="H80">
        <v>4.8999999999999998E-3</v>
      </c>
      <c r="I80">
        <v>1.7100000000000001E-2</v>
      </c>
      <c r="J80" s="1">
        <f t="shared" si="3"/>
        <v>0.28654970760233917</v>
      </c>
      <c r="K80" s="1">
        <f t="shared" si="4"/>
        <v>-0.28481012658227844</v>
      </c>
      <c r="L80" s="1">
        <f t="shared" si="5"/>
        <v>1.7395810200607209E-3</v>
      </c>
    </row>
    <row r="81" spans="1:12" x14ac:dyDescent="0.25">
      <c r="A81">
        <v>12</v>
      </c>
      <c r="B81">
        <v>3050</v>
      </c>
      <c r="C81">
        <v>3075</v>
      </c>
      <c r="D81">
        <v>3062.5</v>
      </c>
      <c r="E81">
        <v>22</v>
      </c>
      <c r="F81">
        <v>2.4499999999999999E-3</v>
      </c>
      <c r="G81">
        <v>1.7799999999999999E-3</v>
      </c>
      <c r="H81">
        <v>-2.6100000000000002E-2</v>
      </c>
      <c r="I81">
        <v>1.9E-2</v>
      </c>
      <c r="J81" s="1">
        <f t="shared" si="3"/>
        <v>-1.3736842105263158</v>
      </c>
      <c r="K81" s="1">
        <f t="shared" si="4"/>
        <v>1.3764044943820226</v>
      </c>
      <c r="L81" s="1">
        <f t="shared" si="5"/>
        <v>2.7202838557067732E-3</v>
      </c>
    </row>
    <row r="82" spans="1:12" x14ac:dyDescent="0.25">
      <c r="A82">
        <v>12</v>
      </c>
      <c r="B82">
        <v>3075</v>
      </c>
      <c r="C82">
        <v>3100</v>
      </c>
      <c r="D82">
        <v>3087.5</v>
      </c>
      <c r="E82">
        <v>19</v>
      </c>
      <c r="F82">
        <v>1.3600000000000001E-3</v>
      </c>
      <c r="G82">
        <v>1.6999999999999999E-3</v>
      </c>
      <c r="H82">
        <v>-1.43E-2</v>
      </c>
      <c r="I82">
        <v>1.78E-2</v>
      </c>
      <c r="J82" s="1">
        <f t="shared" si="3"/>
        <v>-0.8033707865168539</v>
      </c>
      <c r="K82" s="1">
        <f t="shared" si="4"/>
        <v>0.80000000000000016</v>
      </c>
      <c r="L82" s="1">
        <f t="shared" si="5"/>
        <v>-3.370786516853741E-3</v>
      </c>
    </row>
    <row r="83" spans="1:12" x14ac:dyDescent="0.25">
      <c r="A83">
        <v>12</v>
      </c>
      <c r="B83">
        <v>3100</v>
      </c>
      <c r="C83">
        <v>3125</v>
      </c>
      <c r="D83">
        <v>3112.5</v>
      </c>
      <c r="E83">
        <v>12</v>
      </c>
      <c r="F83">
        <v>-4.0999999999999999E-4</v>
      </c>
      <c r="G83">
        <v>2.0600000000000002E-3</v>
      </c>
      <c r="H83">
        <v>4.1999999999999997E-3</v>
      </c>
      <c r="I83">
        <v>2.12E-2</v>
      </c>
      <c r="J83" s="1">
        <f t="shared" si="3"/>
        <v>0.1981132075471698</v>
      </c>
      <c r="K83" s="1">
        <f t="shared" si="4"/>
        <v>-0.1990291262135922</v>
      </c>
      <c r="L83" s="1">
        <f t="shared" si="5"/>
        <v>-9.1591866642240505E-4</v>
      </c>
    </row>
    <row r="84" spans="1:12" x14ac:dyDescent="0.25">
      <c r="A84">
        <v>12</v>
      </c>
      <c r="B84">
        <v>3125</v>
      </c>
      <c r="C84">
        <v>3175</v>
      </c>
      <c r="D84">
        <v>3150</v>
      </c>
      <c r="E84">
        <v>18</v>
      </c>
      <c r="F84">
        <v>2.4000000000000001E-4</v>
      </c>
      <c r="G84">
        <v>1.9400000000000001E-3</v>
      </c>
      <c r="H84">
        <v>-2.3999999999999998E-3</v>
      </c>
      <c r="I84">
        <v>1.9599999999999999E-2</v>
      </c>
      <c r="J84" s="1">
        <f t="shared" si="3"/>
        <v>-0.12244897959183673</v>
      </c>
      <c r="K84" s="1">
        <f t="shared" si="4"/>
        <v>0.12371134020618556</v>
      </c>
      <c r="L84" s="1">
        <f t="shared" si="5"/>
        <v>1.2623606143488258E-3</v>
      </c>
    </row>
    <row r="85" spans="1:12" x14ac:dyDescent="0.25">
      <c r="A85">
        <v>12</v>
      </c>
      <c r="B85">
        <v>3175</v>
      </c>
      <c r="C85">
        <v>3211.424</v>
      </c>
      <c r="D85">
        <v>3193.212</v>
      </c>
      <c r="E85">
        <v>12</v>
      </c>
      <c r="F85">
        <v>-1.9599999999999999E-3</v>
      </c>
      <c r="G85">
        <v>2.5200000000000001E-3</v>
      </c>
      <c r="H85">
        <v>1.9199999999999998E-2</v>
      </c>
      <c r="I85">
        <v>2.47E-2</v>
      </c>
      <c r="J85" s="1">
        <f t="shared" si="3"/>
        <v>0.77732793522267196</v>
      </c>
      <c r="K85" s="1">
        <f t="shared" si="4"/>
        <v>-0.77777777777777768</v>
      </c>
      <c r="L85" s="1">
        <f t="shared" si="5"/>
        <v>-4.4984255510571725E-4</v>
      </c>
    </row>
    <row r="86" spans="1:12" x14ac:dyDescent="0.25">
      <c r="A86">
        <v>14</v>
      </c>
      <c r="B86">
        <v>3256.049</v>
      </c>
      <c r="C86">
        <v>3275</v>
      </c>
      <c r="D86">
        <v>3265.5239999999999</v>
      </c>
      <c r="E86">
        <v>12</v>
      </c>
      <c r="F86">
        <v>-3.1E-4</v>
      </c>
      <c r="G86">
        <v>2.0999999999999999E-3</v>
      </c>
      <c r="H86">
        <v>2.8999999999999998E-3</v>
      </c>
      <c r="I86">
        <v>1.9699999999999999E-2</v>
      </c>
      <c r="J86" s="1">
        <f t="shared" si="3"/>
        <v>0.14720812182741116</v>
      </c>
      <c r="K86" s="1">
        <f t="shared" si="4"/>
        <v>-0.14761904761904762</v>
      </c>
      <c r="L86" s="1">
        <f t="shared" si="5"/>
        <v>-4.1092579163645726E-4</v>
      </c>
    </row>
    <row r="87" spans="1:12" x14ac:dyDescent="0.25">
      <c r="A87">
        <v>14</v>
      </c>
      <c r="B87">
        <v>3275</v>
      </c>
      <c r="C87">
        <v>3300</v>
      </c>
      <c r="D87">
        <v>3287.5</v>
      </c>
      <c r="E87">
        <v>12</v>
      </c>
      <c r="F87">
        <v>-1.5299999999999999E-3</v>
      </c>
      <c r="G87">
        <v>2.49E-3</v>
      </c>
      <c r="H87">
        <v>1.41E-2</v>
      </c>
      <c r="I87">
        <v>2.3099999999999999E-2</v>
      </c>
      <c r="J87" s="1">
        <f t="shared" si="3"/>
        <v>0.61038961038961037</v>
      </c>
      <c r="K87" s="1">
        <f t="shared" si="4"/>
        <v>-0.61445783132530118</v>
      </c>
      <c r="L87" s="1">
        <f t="shared" si="5"/>
        <v>-4.0682209356908139E-3</v>
      </c>
    </row>
    <row r="88" spans="1:12" x14ac:dyDescent="0.25">
      <c r="A88">
        <v>14</v>
      </c>
      <c r="B88">
        <v>3300</v>
      </c>
      <c r="C88">
        <v>3325</v>
      </c>
      <c r="D88">
        <v>3312.5</v>
      </c>
      <c r="E88">
        <v>12</v>
      </c>
      <c r="F88">
        <v>-1.73E-3</v>
      </c>
      <c r="G88">
        <v>2.3600000000000001E-3</v>
      </c>
      <c r="H88">
        <v>1.5800000000000002E-2</v>
      </c>
      <c r="I88">
        <v>2.1600000000000001E-2</v>
      </c>
      <c r="J88" s="1">
        <f t="shared" si="3"/>
        <v>0.73148148148148151</v>
      </c>
      <c r="K88" s="1">
        <f t="shared" si="4"/>
        <v>-0.73305084745762705</v>
      </c>
      <c r="L88" s="1">
        <f t="shared" si="5"/>
        <v>-1.5693659761455425E-3</v>
      </c>
    </row>
    <row r="89" spans="1:12" x14ac:dyDescent="0.25">
      <c r="A89">
        <v>14</v>
      </c>
      <c r="B89">
        <v>3325</v>
      </c>
      <c r="C89">
        <v>3350</v>
      </c>
      <c r="D89">
        <v>3337.5</v>
      </c>
      <c r="E89">
        <v>18</v>
      </c>
      <c r="F89">
        <v>-2.5899999999999999E-3</v>
      </c>
      <c r="G89">
        <v>1.9599999999999999E-3</v>
      </c>
      <c r="H89">
        <v>2.3300000000000001E-2</v>
      </c>
      <c r="I89">
        <v>1.7600000000000001E-2</v>
      </c>
      <c r="J89" s="1">
        <f t="shared" si="3"/>
        <v>1.3238636363636365</v>
      </c>
      <c r="K89" s="1">
        <f t="shared" si="4"/>
        <v>-1.3214285714285714</v>
      </c>
      <c r="L89" s="1">
        <f t="shared" si="5"/>
        <v>2.4350649350650677E-3</v>
      </c>
    </row>
    <row r="90" spans="1:12" x14ac:dyDescent="0.25">
      <c r="A90">
        <v>14</v>
      </c>
      <c r="B90">
        <v>3350</v>
      </c>
      <c r="C90">
        <v>3375</v>
      </c>
      <c r="D90">
        <v>3362.5</v>
      </c>
      <c r="E90">
        <v>22</v>
      </c>
      <c r="F90">
        <v>3.6000000000000002E-4</v>
      </c>
      <c r="G90">
        <v>1.91E-3</v>
      </c>
      <c r="H90">
        <v>-3.2000000000000002E-3</v>
      </c>
      <c r="I90">
        <v>1.6899999999999998E-2</v>
      </c>
      <c r="J90" s="1">
        <f t="shared" si="3"/>
        <v>-0.18934911242603553</v>
      </c>
      <c r="K90" s="1">
        <f t="shared" si="4"/>
        <v>0.18848167539267016</v>
      </c>
      <c r="L90" s="1">
        <f t="shared" si="5"/>
        <v>-8.6743703336536471E-4</v>
      </c>
    </row>
    <row r="91" spans="1:12" x14ac:dyDescent="0.25">
      <c r="A91">
        <v>14</v>
      </c>
      <c r="B91">
        <v>3375</v>
      </c>
      <c r="C91">
        <v>3400</v>
      </c>
      <c r="D91">
        <v>3387.5</v>
      </c>
      <c r="E91">
        <v>17</v>
      </c>
      <c r="F91">
        <v>2.16E-3</v>
      </c>
      <c r="G91">
        <v>2.2899999999999999E-3</v>
      </c>
      <c r="H91">
        <v>-1.8800000000000001E-2</v>
      </c>
      <c r="I91">
        <v>0.02</v>
      </c>
      <c r="J91" s="1">
        <f t="shared" si="3"/>
        <v>-0.94000000000000006</v>
      </c>
      <c r="K91" s="1">
        <f t="shared" si="4"/>
        <v>0.94323144104803502</v>
      </c>
      <c r="L91" s="1">
        <f t="shared" si="5"/>
        <v>3.2314410480349665E-3</v>
      </c>
    </row>
    <row r="92" spans="1:12" x14ac:dyDescent="0.25">
      <c r="A92">
        <v>14</v>
      </c>
      <c r="B92">
        <v>3400</v>
      </c>
      <c r="C92">
        <v>3425</v>
      </c>
      <c r="D92">
        <v>3412.5</v>
      </c>
      <c r="E92">
        <v>13</v>
      </c>
      <c r="F92">
        <v>2.32E-3</v>
      </c>
      <c r="G92">
        <v>2.33E-3</v>
      </c>
      <c r="H92">
        <v>-1.9900000000000001E-2</v>
      </c>
      <c r="I92">
        <v>0.02</v>
      </c>
      <c r="J92" s="1">
        <f t="shared" si="3"/>
        <v>-0.995</v>
      </c>
      <c r="K92" s="1">
        <f t="shared" si="4"/>
        <v>0.99570815450643779</v>
      </c>
      <c r="L92" s="1">
        <f t="shared" si="5"/>
        <v>7.0815450643779698E-4</v>
      </c>
    </row>
    <row r="93" spans="1:12" x14ac:dyDescent="0.25">
      <c r="A93">
        <v>14</v>
      </c>
      <c r="B93">
        <v>3425</v>
      </c>
      <c r="C93">
        <v>3475</v>
      </c>
      <c r="D93">
        <v>3450</v>
      </c>
      <c r="E93">
        <v>14</v>
      </c>
      <c r="F93">
        <v>8.7000000000000001E-4</v>
      </c>
      <c r="G93">
        <v>2.81E-3</v>
      </c>
      <c r="H93">
        <v>-7.3000000000000001E-3</v>
      </c>
      <c r="I93">
        <v>2.3599999999999999E-2</v>
      </c>
      <c r="J93" s="1">
        <f t="shared" si="3"/>
        <v>-0.30932203389830509</v>
      </c>
      <c r="K93" s="1">
        <f t="shared" si="4"/>
        <v>0.30960854092526691</v>
      </c>
      <c r="L93" s="1">
        <f t="shared" si="5"/>
        <v>2.8650702696181307E-4</v>
      </c>
    </row>
    <row r="94" spans="1:12" x14ac:dyDescent="0.25">
      <c r="A94">
        <v>14</v>
      </c>
      <c r="B94">
        <v>3475</v>
      </c>
      <c r="C94">
        <v>3525</v>
      </c>
      <c r="D94">
        <v>3500</v>
      </c>
      <c r="E94">
        <v>17</v>
      </c>
      <c r="F94">
        <v>-2.66E-3</v>
      </c>
      <c r="G94">
        <v>2.2300000000000002E-3</v>
      </c>
      <c r="H94">
        <v>2.1700000000000001E-2</v>
      </c>
      <c r="I94">
        <v>1.8200000000000001E-2</v>
      </c>
      <c r="J94" s="1">
        <f t="shared" si="3"/>
        <v>1.1923076923076923</v>
      </c>
      <c r="K94" s="1">
        <f t="shared" si="4"/>
        <v>-1.1928251121076232</v>
      </c>
      <c r="L94" s="1">
        <f t="shared" si="5"/>
        <v>-5.1741979993091824E-4</v>
      </c>
    </row>
    <row r="95" spans="1:12" x14ac:dyDescent="0.25">
      <c r="A95">
        <v>14</v>
      </c>
      <c r="B95">
        <v>3525</v>
      </c>
      <c r="C95">
        <v>3575</v>
      </c>
      <c r="D95">
        <v>3550</v>
      </c>
      <c r="E95">
        <v>12</v>
      </c>
      <c r="F95">
        <v>-5.1999999999999995E-4</v>
      </c>
      <c r="G95">
        <v>2.6099999999999999E-3</v>
      </c>
      <c r="H95">
        <v>4.1000000000000003E-3</v>
      </c>
      <c r="I95">
        <v>2.07E-2</v>
      </c>
      <c r="J95" s="1">
        <f t="shared" si="3"/>
        <v>0.19806763285024157</v>
      </c>
      <c r="K95" s="1">
        <f t="shared" si="4"/>
        <v>-0.19923371647509577</v>
      </c>
      <c r="L95" s="1">
        <f t="shared" si="5"/>
        <v>-1.1660836248542084E-3</v>
      </c>
    </row>
    <row r="96" spans="1:12" x14ac:dyDescent="0.25">
      <c r="A96">
        <v>14</v>
      </c>
      <c r="B96">
        <v>3575</v>
      </c>
      <c r="C96">
        <v>3625</v>
      </c>
      <c r="D96">
        <v>3600</v>
      </c>
      <c r="E96">
        <v>14</v>
      </c>
      <c r="F96">
        <v>-3.2100000000000002E-3</v>
      </c>
      <c r="G96">
        <v>2.3900000000000002E-3</v>
      </c>
      <c r="H96">
        <v>2.4799999999999999E-2</v>
      </c>
      <c r="I96">
        <v>1.8499999999999999E-2</v>
      </c>
      <c r="J96" s="1">
        <f t="shared" si="3"/>
        <v>1.3405405405405406</v>
      </c>
      <c r="K96" s="1">
        <f t="shared" si="4"/>
        <v>-1.3430962343096233</v>
      </c>
      <c r="L96" s="1">
        <f t="shared" si="5"/>
        <v>-2.555693769082712E-3</v>
      </c>
    </row>
    <row r="97" spans="1:12" x14ac:dyDescent="0.25">
      <c r="A97">
        <v>14</v>
      </c>
      <c r="B97">
        <v>3625</v>
      </c>
      <c r="C97">
        <v>3675</v>
      </c>
      <c r="D97">
        <v>3650</v>
      </c>
      <c r="E97">
        <v>18</v>
      </c>
      <c r="F97">
        <v>-3.4000000000000002E-4</v>
      </c>
      <c r="G97">
        <v>2.1700000000000001E-3</v>
      </c>
      <c r="H97">
        <v>2.5000000000000001E-3</v>
      </c>
      <c r="I97">
        <v>1.6299999999999999E-2</v>
      </c>
      <c r="J97" s="1">
        <f t="shared" si="3"/>
        <v>0.15337423312883439</v>
      </c>
      <c r="K97" s="1">
        <f t="shared" si="4"/>
        <v>-0.1566820276497696</v>
      </c>
      <c r="L97" s="1">
        <f t="shared" si="5"/>
        <v>-3.3077945209352144E-3</v>
      </c>
    </row>
    <row r="98" spans="1:12" x14ac:dyDescent="0.25">
      <c r="A98">
        <v>14</v>
      </c>
      <c r="B98">
        <v>3675</v>
      </c>
      <c r="C98">
        <v>3700</v>
      </c>
      <c r="D98">
        <v>3687.5</v>
      </c>
      <c r="E98">
        <v>17</v>
      </c>
      <c r="F98">
        <v>9.7000000000000005E-4</v>
      </c>
      <c r="G98">
        <v>2.2100000000000002E-3</v>
      </c>
      <c r="H98">
        <v>-7.1000000000000004E-3</v>
      </c>
      <c r="I98">
        <v>1.6299999999999999E-2</v>
      </c>
      <c r="J98" s="1">
        <f t="shared" si="3"/>
        <v>-0.43558282208588961</v>
      </c>
      <c r="K98" s="1">
        <f t="shared" si="4"/>
        <v>0.43891402714932126</v>
      </c>
      <c r="L98" s="1">
        <f t="shared" si="5"/>
        <v>3.3312050634316526E-3</v>
      </c>
    </row>
    <row r="99" spans="1:12" x14ac:dyDescent="0.25">
      <c r="A99">
        <v>14</v>
      </c>
      <c r="B99">
        <v>3700</v>
      </c>
      <c r="C99">
        <v>3775</v>
      </c>
      <c r="D99">
        <v>3737.5</v>
      </c>
      <c r="E99">
        <v>17</v>
      </c>
      <c r="F99">
        <v>-4.4999999999999997E-3</v>
      </c>
      <c r="G99">
        <v>2.3999999999999998E-3</v>
      </c>
      <c r="H99">
        <v>3.2199999999999999E-2</v>
      </c>
      <c r="I99">
        <v>1.72E-2</v>
      </c>
      <c r="J99" s="1">
        <f t="shared" si="3"/>
        <v>1.8720930232558139</v>
      </c>
      <c r="K99" s="1">
        <f t="shared" si="4"/>
        <v>-1.875</v>
      </c>
      <c r="L99" s="1">
        <f t="shared" si="5"/>
        <v>-2.9069767441860517E-3</v>
      </c>
    </row>
    <row r="100" spans="1:12" x14ac:dyDescent="0.25">
      <c r="A100">
        <v>14</v>
      </c>
      <c r="B100">
        <v>3775</v>
      </c>
      <c r="C100">
        <v>3825</v>
      </c>
      <c r="D100">
        <v>3800</v>
      </c>
      <c r="E100">
        <v>14</v>
      </c>
      <c r="F100">
        <v>-3.48E-3</v>
      </c>
      <c r="G100">
        <v>2.4599999999999999E-3</v>
      </c>
      <c r="H100">
        <v>2.41E-2</v>
      </c>
      <c r="I100">
        <v>1.7000000000000001E-2</v>
      </c>
      <c r="J100" s="1">
        <f t="shared" si="3"/>
        <v>1.4176470588235293</v>
      </c>
      <c r="K100" s="1">
        <f t="shared" si="4"/>
        <v>-1.4146341463414636</v>
      </c>
      <c r="L100" s="1">
        <f t="shared" si="5"/>
        <v>3.0129124820656994E-3</v>
      </c>
    </row>
    <row r="101" spans="1:12" x14ac:dyDescent="0.25">
      <c r="A101">
        <v>14</v>
      </c>
      <c r="B101">
        <v>3825</v>
      </c>
      <c r="C101">
        <v>3900</v>
      </c>
      <c r="D101">
        <v>3862.5</v>
      </c>
      <c r="E101">
        <v>13</v>
      </c>
      <c r="F101">
        <v>-1.91E-3</v>
      </c>
      <c r="G101">
        <v>2.7799999999999999E-3</v>
      </c>
      <c r="H101">
        <v>1.2800000000000001E-2</v>
      </c>
      <c r="I101">
        <v>1.8700000000000001E-2</v>
      </c>
      <c r="J101" s="1">
        <f t="shared" si="3"/>
        <v>0.68449197860962563</v>
      </c>
      <c r="K101" s="1">
        <f t="shared" si="4"/>
        <v>-0.68705035971223027</v>
      </c>
      <c r="L101" s="1">
        <f t="shared" si="5"/>
        <v>-2.5583811026046455E-3</v>
      </c>
    </row>
    <row r="102" spans="1:12" x14ac:dyDescent="0.25">
      <c r="A102">
        <v>14</v>
      </c>
      <c r="B102">
        <v>3900</v>
      </c>
      <c r="C102">
        <v>4000</v>
      </c>
      <c r="D102">
        <v>3950</v>
      </c>
      <c r="E102">
        <v>14</v>
      </c>
      <c r="F102">
        <v>1E-3</v>
      </c>
      <c r="G102">
        <v>2.63E-3</v>
      </c>
      <c r="H102">
        <v>-6.4000000000000003E-3</v>
      </c>
      <c r="I102">
        <v>1.6799999999999999E-2</v>
      </c>
      <c r="J102" s="1">
        <f t="shared" si="3"/>
        <v>-0.38095238095238099</v>
      </c>
      <c r="K102" s="1">
        <f t="shared" si="4"/>
        <v>0.38022813688212931</v>
      </c>
      <c r="L102" s="1">
        <f t="shared" si="5"/>
        <v>-7.2424407025167836E-4</v>
      </c>
    </row>
    <row r="103" spans="1:12" x14ac:dyDescent="0.25">
      <c r="A103">
        <v>14</v>
      </c>
      <c r="B103">
        <v>4000</v>
      </c>
      <c r="C103">
        <v>4100</v>
      </c>
      <c r="D103">
        <v>4050</v>
      </c>
      <c r="E103">
        <v>16</v>
      </c>
      <c r="F103">
        <v>1.5200000000000001E-3</v>
      </c>
      <c r="G103">
        <v>2.5100000000000001E-3</v>
      </c>
      <c r="H103">
        <v>-9.2999999999999992E-3</v>
      </c>
      <c r="I103">
        <v>1.5299999999999999E-2</v>
      </c>
      <c r="J103" s="1">
        <f t="shared" si="3"/>
        <v>-0.60784313725490191</v>
      </c>
      <c r="K103" s="1">
        <f t="shared" si="4"/>
        <v>0.60557768924302791</v>
      </c>
      <c r="L103" s="1">
        <f t="shared" si="5"/>
        <v>-2.265448011874005E-3</v>
      </c>
    </row>
    <row r="104" spans="1:12" x14ac:dyDescent="0.25">
      <c r="A104">
        <v>14</v>
      </c>
      <c r="B104">
        <v>4100</v>
      </c>
      <c r="C104">
        <v>4150</v>
      </c>
      <c r="D104">
        <v>4125</v>
      </c>
      <c r="E104">
        <v>14</v>
      </c>
      <c r="F104">
        <v>8.3499999999999998E-3</v>
      </c>
      <c r="G104">
        <v>3.48E-3</v>
      </c>
      <c r="H104">
        <v>-4.9099999999999998E-2</v>
      </c>
      <c r="I104">
        <v>2.0500000000000001E-2</v>
      </c>
      <c r="J104" s="1">
        <f t="shared" si="3"/>
        <v>-2.3951219512195121</v>
      </c>
      <c r="K104" s="1">
        <f t="shared" si="4"/>
        <v>2.3994252873563218</v>
      </c>
      <c r="L104" s="1">
        <f t="shared" si="5"/>
        <v>4.3033361368096656E-3</v>
      </c>
    </row>
    <row r="105" spans="1:12" x14ac:dyDescent="0.25">
      <c r="A105">
        <v>14</v>
      </c>
      <c r="B105">
        <v>4150</v>
      </c>
      <c r="C105">
        <v>4175</v>
      </c>
      <c r="D105">
        <v>4162.5</v>
      </c>
      <c r="E105">
        <v>15</v>
      </c>
      <c r="F105">
        <v>4.64E-3</v>
      </c>
      <c r="G105">
        <v>3.64E-3</v>
      </c>
      <c r="H105">
        <v>-2.6800000000000001E-2</v>
      </c>
      <c r="I105">
        <v>2.1000000000000001E-2</v>
      </c>
      <c r="J105" s="1">
        <f t="shared" si="3"/>
        <v>-1.2761904761904761</v>
      </c>
      <c r="K105" s="1">
        <f t="shared" si="4"/>
        <v>1.2747252747252746</v>
      </c>
      <c r="L105" s="1">
        <f t="shared" si="5"/>
        <v>-1.46520146520146E-3</v>
      </c>
    </row>
    <row r="106" spans="1:12" x14ac:dyDescent="0.25">
      <c r="A106">
        <v>14</v>
      </c>
      <c r="B106">
        <v>4175</v>
      </c>
      <c r="C106">
        <v>4200</v>
      </c>
      <c r="D106">
        <v>4187.5</v>
      </c>
      <c r="E106">
        <v>13</v>
      </c>
      <c r="F106">
        <v>8.6999999999999994E-3</v>
      </c>
      <c r="G106">
        <v>3.7699999999999999E-3</v>
      </c>
      <c r="H106">
        <v>-4.9599999999999998E-2</v>
      </c>
      <c r="I106">
        <v>2.1499999999999998E-2</v>
      </c>
      <c r="J106" s="1">
        <f t="shared" si="3"/>
        <v>-2.3069767441860467</v>
      </c>
      <c r="K106" s="1">
        <f t="shared" si="4"/>
        <v>2.3076923076923075</v>
      </c>
      <c r="L106" s="1">
        <f t="shared" si="5"/>
        <v>7.1556350626078569E-4</v>
      </c>
    </row>
    <row r="107" spans="1:12" x14ac:dyDescent="0.25">
      <c r="A107">
        <v>14</v>
      </c>
      <c r="B107">
        <v>4200</v>
      </c>
      <c r="C107">
        <v>4250</v>
      </c>
      <c r="D107">
        <v>4225</v>
      </c>
      <c r="E107">
        <v>26</v>
      </c>
      <c r="F107">
        <v>5.4900000000000001E-3</v>
      </c>
      <c r="G107">
        <v>2.63E-3</v>
      </c>
      <c r="H107">
        <v>-3.0700000000000002E-2</v>
      </c>
      <c r="I107">
        <v>1.47E-2</v>
      </c>
      <c r="J107" s="1">
        <f t="shared" si="3"/>
        <v>-2.0884353741496602</v>
      </c>
      <c r="K107" s="1">
        <f t="shared" si="4"/>
        <v>2.0874524714828899</v>
      </c>
      <c r="L107" s="1">
        <f t="shared" si="5"/>
        <v>-9.8290266677025784E-4</v>
      </c>
    </row>
    <row r="108" spans="1:12" x14ac:dyDescent="0.25">
      <c r="A108">
        <v>14</v>
      </c>
      <c r="B108">
        <v>4250</v>
      </c>
      <c r="C108">
        <v>4275</v>
      </c>
      <c r="D108">
        <v>4262.5</v>
      </c>
      <c r="E108">
        <v>12</v>
      </c>
      <c r="F108">
        <v>-6.8000000000000005E-4</v>
      </c>
      <c r="G108">
        <v>4.3099999999999996E-3</v>
      </c>
      <c r="H108">
        <v>3.8E-3</v>
      </c>
      <c r="I108">
        <v>2.3699999999999999E-2</v>
      </c>
      <c r="J108" s="1">
        <f t="shared" si="3"/>
        <v>0.16033755274261605</v>
      </c>
      <c r="K108" s="1">
        <f t="shared" si="4"/>
        <v>-0.1577726218097448</v>
      </c>
      <c r="L108" s="1">
        <f t="shared" si="5"/>
        <v>2.5649309328712455E-3</v>
      </c>
    </row>
    <row r="109" spans="1:12" x14ac:dyDescent="0.25">
      <c r="A109">
        <v>14</v>
      </c>
      <c r="B109">
        <v>4275</v>
      </c>
      <c r="C109">
        <v>4300</v>
      </c>
      <c r="D109">
        <v>4287.5</v>
      </c>
      <c r="E109">
        <v>21</v>
      </c>
      <c r="F109">
        <v>3.3300000000000001E-3</v>
      </c>
      <c r="G109">
        <v>3.3700000000000002E-3</v>
      </c>
      <c r="H109">
        <v>-1.8100000000000002E-2</v>
      </c>
      <c r="I109">
        <v>1.83E-2</v>
      </c>
      <c r="J109" s="1">
        <f t="shared" si="3"/>
        <v>-0.98907103825136622</v>
      </c>
      <c r="K109" s="1">
        <f t="shared" si="4"/>
        <v>0.98813056379821951</v>
      </c>
      <c r="L109" s="1">
        <f t="shared" si="5"/>
        <v>-9.404744531467113E-4</v>
      </c>
    </row>
    <row r="110" spans="1:12" x14ac:dyDescent="0.25">
      <c r="A110">
        <v>14</v>
      </c>
      <c r="B110">
        <v>4300</v>
      </c>
      <c r="C110">
        <v>4325</v>
      </c>
      <c r="D110">
        <v>4312.5</v>
      </c>
      <c r="E110">
        <v>12</v>
      </c>
      <c r="F110">
        <v>4.6299999999999996E-3</v>
      </c>
      <c r="G110">
        <v>3.7599999999999999E-3</v>
      </c>
      <c r="H110">
        <v>-2.4899999999999999E-2</v>
      </c>
      <c r="I110">
        <v>2.0199999999999999E-2</v>
      </c>
      <c r="J110" s="1">
        <f t="shared" si="3"/>
        <v>-1.2326732673267327</v>
      </c>
      <c r="K110" s="1">
        <f t="shared" si="4"/>
        <v>1.2313829787234041</v>
      </c>
      <c r="L110" s="1">
        <f t="shared" si="5"/>
        <v>-1.2902886033285821E-3</v>
      </c>
    </row>
    <row r="111" spans="1:12" x14ac:dyDescent="0.25">
      <c r="A111">
        <v>14</v>
      </c>
      <c r="B111">
        <v>4325</v>
      </c>
      <c r="C111">
        <v>4375</v>
      </c>
      <c r="D111">
        <v>4350</v>
      </c>
      <c r="E111">
        <v>27</v>
      </c>
      <c r="F111">
        <v>8.1499999999999993E-3</v>
      </c>
      <c r="G111">
        <v>3.3400000000000001E-3</v>
      </c>
      <c r="H111">
        <v>-4.3099999999999999E-2</v>
      </c>
      <c r="I111">
        <v>1.7600000000000001E-2</v>
      </c>
      <c r="J111" s="1">
        <f t="shared" si="3"/>
        <v>-2.4488636363636362</v>
      </c>
      <c r="K111" s="1">
        <f t="shared" si="4"/>
        <v>2.4401197604790417</v>
      </c>
      <c r="L111" s="1">
        <f t="shared" si="5"/>
        <v>-8.7438758845945763E-3</v>
      </c>
    </row>
    <row r="112" spans="1:12" x14ac:dyDescent="0.25">
      <c r="A112">
        <v>14</v>
      </c>
      <c r="B112">
        <v>4375</v>
      </c>
      <c r="C112">
        <v>4400</v>
      </c>
      <c r="D112">
        <v>4387.5</v>
      </c>
      <c r="E112">
        <v>16</v>
      </c>
      <c r="F112">
        <v>3.2200000000000002E-3</v>
      </c>
      <c r="G112">
        <v>3.7399999999999998E-3</v>
      </c>
      <c r="H112">
        <v>-1.67E-2</v>
      </c>
      <c r="I112">
        <v>1.9400000000000001E-2</v>
      </c>
      <c r="J112" s="1">
        <f t="shared" si="3"/>
        <v>-0.86082474226804118</v>
      </c>
      <c r="K112" s="1">
        <f t="shared" si="4"/>
        <v>0.8609625668449199</v>
      </c>
      <c r="L112" s="1">
        <f t="shared" si="5"/>
        <v>1.3782457687872007E-4</v>
      </c>
    </row>
    <row r="113" spans="1:12" x14ac:dyDescent="0.25">
      <c r="A113">
        <v>14</v>
      </c>
      <c r="B113">
        <v>4400</v>
      </c>
      <c r="C113">
        <v>4425</v>
      </c>
      <c r="D113">
        <v>4412.5</v>
      </c>
      <c r="E113">
        <v>14</v>
      </c>
      <c r="F113">
        <v>8.6199999999999992E-3</v>
      </c>
      <c r="G113">
        <v>3.8800000000000002E-3</v>
      </c>
      <c r="H113">
        <v>-4.4299999999999999E-2</v>
      </c>
      <c r="I113">
        <v>1.9900000000000001E-2</v>
      </c>
      <c r="J113" s="1">
        <f t="shared" si="3"/>
        <v>-2.2261306532663316</v>
      </c>
      <c r="K113" s="1">
        <f t="shared" si="4"/>
        <v>2.2216494845360821</v>
      </c>
      <c r="L113" s="1">
        <f t="shared" si="5"/>
        <v>-4.4811687302495073E-3</v>
      </c>
    </row>
    <row r="114" spans="1:12" x14ac:dyDescent="0.25">
      <c r="A114">
        <v>14</v>
      </c>
      <c r="B114">
        <v>4425</v>
      </c>
      <c r="C114">
        <v>4450</v>
      </c>
      <c r="D114">
        <v>4437.5</v>
      </c>
      <c r="E114">
        <v>13</v>
      </c>
      <c r="F114">
        <v>5.4999999999999997E-3</v>
      </c>
      <c r="G114">
        <v>4.15E-3</v>
      </c>
      <c r="H114">
        <v>-2.7900000000000001E-2</v>
      </c>
      <c r="I114">
        <v>2.1100000000000001E-2</v>
      </c>
      <c r="J114" s="1">
        <f t="shared" si="3"/>
        <v>-1.3222748815165877</v>
      </c>
      <c r="K114" s="1">
        <f t="shared" si="4"/>
        <v>1.3253012048192769</v>
      </c>
      <c r="L114" s="1">
        <f t="shared" si="5"/>
        <v>3.02632330268926E-3</v>
      </c>
    </row>
    <row r="115" spans="1:12" x14ac:dyDescent="0.25">
      <c r="A115">
        <v>14</v>
      </c>
      <c r="B115">
        <v>4450</v>
      </c>
      <c r="C115">
        <v>4500</v>
      </c>
      <c r="D115">
        <v>4475</v>
      </c>
      <c r="E115">
        <v>15</v>
      </c>
      <c r="F115">
        <v>1.387E-2</v>
      </c>
      <c r="G115">
        <v>3.6800000000000001E-3</v>
      </c>
      <c r="H115">
        <v>-6.93E-2</v>
      </c>
      <c r="I115">
        <v>1.84E-2</v>
      </c>
      <c r="J115" s="1">
        <f t="shared" si="3"/>
        <v>-3.7663043478260869</v>
      </c>
      <c r="K115" s="1">
        <f t="shared" si="4"/>
        <v>3.7690217391304346</v>
      </c>
      <c r="L115" s="1">
        <f t="shared" si="5"/>
        <v>2.7173913043476716E-3</v>
      </c>
    </row>
    <row r="116" spans="1:12" x14ac:dyDescent="0.25">
      <c r="A116">
        <v>14</v>
      </c>
      <c r="B116">
        <v>4500</v>
      </c>
      <c r="C116">
        <v>4575</v>
      </c>
      <c r="D116">
        <v>4537.5</v>
      </c>
      <c r="E116">
        <v>13</v>
      </c>
      <c r="F116">
        <v>7.5900000000000004E-3</v>
      </c>
      <c r="G116">
        <v>3.5000000000000001E-3</v>
      </c>
      <c r="H116">
        <v>-3.6799999999999999E-2</v>
      </c>
      <c r="I116">
        <v>1.7000000000000001E-2</v>
      </c>
      <c r="J116" s="1">
        <f t="shared" si="3"/>
        <v>-2.164705882352941</v>
      </c>
      <c r="K116" s="1">
        <f t="shared" si="4"/>
        <v>2.1685714285714286</v>
      </c>
      <c r="L116" s="1">
        <f t="shared" si="5"/>
        <v>3.8655462184875589E-3</v>
      </c>
    </row>
    <row r="117" spans="1:12" x14ac:dyDescent="0.25">
      <c r="A117">
        <v>14</v>
      </c>
      <c r="B117">
        <v>4575</v>
      </c>
      <c r="C117">
        <v>4650</v>
      </c>
      <c r="D117">
        <v>4612.5</v>
      </c>
      <c r="E117">
        <v>16</v>
      </c>
      <c r="F117">
        <v>2.31E-3</v>
      </c>
      <c r="G117">
        <v>3.4199999999999999E-3</v>
      </c>
      <c r="H117">
        <v>-1.09E-2</v>
      </c>
      <c r="I117">
        <v>1.61E-2</v>
      </c>
      <c r="J117" s="1">
        <f t="shared" si="3"/>
        <v>-0.67701863354037273</v>
      </c>
      <c r="K117" s="1">
        <f t="shared" si="4"/>
        <v>0.67543859649122806</v>
      </c>
      <c r="L117" s="1">
        <f t="shared" si="5"/>
        <v>-1.5800370491446669E-3</v>
      </c>
    </row>
    <row r="118" spans="1:12" x14ac:dyDescent="0.25">
      <c r="A118">
        <v>14</v>
      </c>
      <c r="B118">
        <v>4650</v>
      </c>
      <c r="C118">
        <v>4725</v>
      </c>
      <c r="D118">
        <v>4687.5</v>
      </c>
      <c r="E118">
        <v>13</v>
      </c>
      <c r="F118">
        <v>6.28E-3</v>
      </c>
      <c r="G118">
        <v>3.8800000000000002E-3</v>
      </c>
      <c r="H118">
        <v>-2.86E-2</v>
      </c>
      <c r="I118">
        <v>1.7600000000000001E-2</v>
      </c>
      <c r="J118" s="1">
        <f t="shared" si="3"/>
        <v>-1.625</v>
      </c>
      <c r="K118" s="1">
        <f t="shared" si="4"/>
        <v>1.6185567010309279</v>
      </c>
      <c r="L118" s="1">
        <f t="shared" si="5"/>
        <v>-6.4432989690721421E-3</v>
      </c>
    </row>
    <row r="119" spans="1:12" x14ac:dyDescent="0.25">
      <c r="A119">
        <v>14</v>
      </c>
      <c r="B119">
        <v>4725</v>
      </c>
      <c r="C119">
        <v>4800</v>
      </c>
      <c r="D119">
        <v>4762.5</v>
      </c>
      <c r="E119">
        <v>14</v>
      </c>
      <c r="F119">
        <v>1.09E-2</v>
      </c>
      <c r="G119">
        <v>3.96E-3</v>
      </c>
      <c r="H119">
        <v>-4.8099999999999997E-2</v>
      </c>
      <c r="I119">
        <v>1.7399999999999999E-2</v>
      </c>
      <c r="J119" s="1">
        <f t="shared" si="3"/>
        <v>-2.764367816091954</v>
      </c>
      <c r="K119" s="1">
        <f t="shared" si="4"/>
        <v>2.7525252525252526</v>
      </c>
      <c r="L119" s="1">
        <f t="shared" si="5"/>
        <v>-1.1842563566701436E-2</v>
      </c>
    </row>
    <row r="120" spans="1:12" x14ac:dyDescent="0.25">
      <c r="A120">
        <v>14</v>
      </c>
      <c r="B120">
        <v>4800</v>
      </c>
      <c r="C120">
        <v>4935.799</v>
      </c>
      <c r="D120">
        <v>4867.8990000000003</v>
      </c>
      <c r="E120">
        <v>14</v>
      </c>
      <c r="F120">
        <v>-1.33E-3</v>
      </c>
      <c r="G120">
        <v>4.0200000000000001E-3</v>
      </c>
      <c r="H120">
        <v>5.5999999999999999E-3</v>
      </c>
      <c r="I120">
        <v>1.7000000000000001E-2</v>
      </c>
      <c r="J120" s="1">
        <f t="shared" si="3"/>
        <v>0.32941176470588235</v>
      </c>
      <c r="K120" s="1">
        <f t="shared" si="4"/>
        <v>-0.3308457711442786</v>
      </c>
      <c r="L120" s="1">
        <f t="shared" si="5"/>
        <v>-1.4340064383962514E-3</v>
      </c>
    </row>
    <row r="121" spans="1:12" x14ac:dyDescent="0.25">
      <c r="A121">
        <v>16</v>
      </c>
      <c r="B121">
        <v>5075</v>
      </c>
      <c r="C121">
        <v>5275</v>
      </c>
      <c r="D121">
        <v>5175</v>
      </c>
      <c r="E121">
        <v>12</v>
      </c>
      <c r="F121">
        <v>-3.0000000000000001E-5</v>
      </c>
      <c r="G121">
        <v>4.1999999999999997E-3</v>
      </c>
      <c r="H121">
        <v>1E-4</v>
      </c>
      <c r="I121">
        <v>1.5699999999999999E-2</v>
      </c>
      <c r="J121" s="1">
        <f t="shared" si="3"/>
        <v>6.3694267515923579E-3</v>
      </c>
      <c r="K121" s="1">
        <f t="shared" si="4"/>
        <v>-7.1428571428571435E-3</v>
      </c>
      <c r="L121" s="1">
        <f t="shared" si="5"/>
        <v>-7.7343039126478563E-4</v>
      </c>
    </row>
    <row r="122" spans="1:12" x14ac:dyDescent="0.25">
      <c r="A122">
        <v>16</v>
      </c>
      <c r="B122">
        <v>5275</v>
      </c>
      <c r="C122">
        <v>5475</v>
      </c>
      <c r="D122">
        <v>5375</v>
      </c>
      <c r="E122">
        <v>13</v>
      </c>
      <c r="F122">
        <v>-5.9300000000000004E-3</v>
      </c>
      <c r="G122">
        <v>4.79E-3</v>
      </c>
      <c r="H122">
        <v>2.0500000000000001E-2</v>
      </c>
      <c r="I122">
        <v>1.66E-2</v>
      </c>
      <c r="J122" s="1">
        <f t="shared" si="3"/>
        <v>1.2349397590361446</v>
      </c>
      <c r="K122" s="1">
        <f t="shared" si="4"/>
        <v>-1.2379958246346556</v>
      </c>
      <c r="L122" s="1">
        <f t="shared" si="5"/>
        <v>-3.0560655985110152E-3</v>
      </c>
    </row>
    <row r="123" spans="1:12" x14ac:dyDescent="0.25">
      <c r="A123">
        <v>16</v>
      </c>
      <c r="B123">
        <v>5475</v>
      </c>
      <c r="C123">
        <v>5575</v>
      </c>
      <c r="D123">
        <v>5525</v>
      </c>
      <c r="E123">
        <v>12</v>
      </c>
      <c r="F123">
        <v>-6.13E-3</v>
      </c>
      <c r="G123">
        <v>5.47E-3</v>
      </c>
      <c r="H123">
        <v>2.01E-2</v>
      </c>
      <c r="I123">
        <v>1.7899999999999999E-2</v>
      </c>
      <c r="J123" s="1">
        <f t="shared" si="3"/>
        <v>1.1229050279329609</v>
      </c>
      <c r="K123" s="1">
        <f t="shared" si="4"/>
        <v>-1.1206581352833638</v>
      </c>
      <c r="L123" s="1">
        <f t="shared" si="5"/>
        <v>2.2468926495970987E-3</v>
      </c>
    </row>
    <row r="124" spans="1:12" x14ac:dyDescent="0.25">
      <c r="A124">
        <v>16</v>
      </c>
      <c r="B124">
        <v>5575</v>
      </c>
      <c r="C124">
        <v>5650</v>
      </c>
      <c r="D124">
        <v>5612.5</v>
      </c>
      <c r="E124">
        <v>12</v>
      </c>
      <c r="F124">
        <v>-3.62E-3</v>
      </c>
      <c r="G124">
        <v>6.4000000000000003E-3</v>
      </c>
      <c r="H124">
        <v>1.15E-2</v>
      </c>
      <c r="I124">
        <v>2.0299999999999999E-2</v>
      </c>
      <c r="J124" s="1">
        <f t="shared" si="3"/>
        <v>0.56650246305418717</v>
      </c>
      <c r="K124" s="1">
        <f t="shared" si="4"/>
        <v>-0.56562499999999993</v>
      </c>
      <c r="L124" s="1">
        <f t="shared" si="5"/>
        <v>8.7746305418723303E-4</v>
      </c>
    </row>
    <row r="125" spans="1:12" x14ac:dyDescent="0.25">
      <c r="A125">
        <v>16</v>
      </c>
      <c r="B125">
        <v>5650</v>
      </c>
      <c r="C125">
        <v>5775</v>
      </c>
      <c r="D125">
        <v>5712.5</v>
      </c>
      <c r="E125">
        <v>16</v>
      </c>
      <c r="F125">
        <v>1.83E-3</v>
      </c>
      <c r="G125">
        <v>5.5700000000000003E-3</v>
      </c>
      <c r="H125">
        <v>-5.5999999999999999E-3</v>
      </c>
      <c r="I125">
        <v>1.7100000000000001E-2</v>
      </c>
      <c r="J125" s="1">
        <f t="shared" si="3"/>
        <v>-0.32748538011695905</v>
      </c>
      <c r="K125" s="1">
        <f t="shared" si="4"/>
        <v>0.32854578096947934</v>
      </c>
      <c r="L125" s="1">
        <f t="shared" si="5"/>
        <v>1.0604008525202935E-3</v>
      </c>
    </row>
    <row r="126" spans="1:12" x14ac:dyDescent="0.25">
      <c r="A126">
        <v>16</v>
      </c>
      <c r="B126">
        <v>5775</v>
      </c>
      <c r="C126">
        <v>5900</v>
      </c>
      <c r="D126">
        <v>5837.5</v>
      </c>
      <c r="E126">
        <v>13</v>
      </c>
      <c r="F126">
        <v>7.4999999999999997E-3</v>
      </c>
      <c r="G126">
        <v>6.8700000000000002E-3</v>
      </c>
      <c r="H126">
        <v>-2.1999999999999999E-2</v>
      </c>
      <c r="I126">
        <v>2.0199999999999999E-2</v>
      </c>
      <c r="J126" s="1">
        <f t="shared" si="3"/>
        <v>-1.0891089108910892</v>
      </c>
      <c r="K126" s="1">
        <f t="shared" si="4"/>
        <v>1.0917030567685588</v>
      </c>
      <c r="L126" s="1">
        <f t="shared" si="5"/>
        <v>2.5941458774696446E-3</v>
      </c>
    </row>
    <row r="127" spans="1:12" x14ac:dyDescent="0.25">
      <c r="A127">
        <v>16</v>
      </c>
      <c r="B127">
        <v>5900</v>
      </c>
      <c r="C127">
        <v>6000</v>
      </c>
      <c r="D127">
        <v>5950</v>
      </c>
      <c r="E127">
        <v>12</v>
      </c>
      <c r="F127">
        <v>-1E-3</v>
      </c>
      <c r="G127">
        <v>7.1000000000000004E-3</v>
      </c>
      <c r="H127">
        <v>2.8E-3</v>
      </c>
      <c r="I127">
        <v>2.01E-2</v>
      </c>
      <c r="J127" s="1">
        <f t="shared" si="3"/>
        <v>0.13930348258706468</v>
      </c>
      <c r="K127" s="1">
        <f t="shared" si="4"/>
        <v>-0.14084507042253522</v>
      </c>
      <c r="L127" s="1">
        <f t="shared" si="5"/>
        <v>-1.541587835470537E-3</v>
      </c>
    </row>
    <row r="128" spans="1:12" x14ac:dyDescent="0.25">
      <c r="A128">
        <v>16</v>
      </c>
      <c r="B128">
        <v>6000</v>
      </c>
      <c r="C128">
        <v>6125</v>
      </c>
      <c r="D128">
        <v>6062.5</v>
      </c>
      <c r="E128">
        <v>13</v>
      </c>
      <c r="F128">
        <v>-1.5299999999999999E-3</v>
      </c>
      <c r="G128">
        <v>6.7099999999999998E-3</v>
      </c>
      <c r="H128">
        <v>4.1999999999999997E-3</v>
      </c>
      <c r="I128">
        <v>1.83E-2</v>
      </c>
      <c r="J128" s="1">
        <f t="shared" si="3"/>
        <v>0.22950819672131145</v>
      </c>
      <c r="K128" s="1">
        <f t="shared" si="4"/>
        <v>-0.22801788375558865</v>
      </c>
      <c r="L128" s="1">
        <f t="shared" si="5"/>
        <v>1.4903129657228009E-3</v>
      </c>
    </row>
    <row r="129" spans="1:12" x14ac:dyDescent="0.25">
      <c r="A129">
        <v>16</v>
      </c>
      <c r="B129">
        <v>6125</v>
      </c>
      <c r="C129">
        <v>6200</v>
      </c>
      <c r="D129">
        <v>6162.5</v>
      </c>
      <c r="E129">
        <v>12</v>
      </c>
      <c r="F129">
        <v>1.3699999999999999E-3</v>
      </c>
      <c r="G129">
        <v>6.5700000000000003E-3</v>
      </c>
      <c r="H129">
        <v>-3.5999999999999999E-3</v>
      </c>
      <c r="I129">
        <v>1.7299999999999999E-2</v>
      </c>
      <c r="J129" s="1">
        <f t="shared" si="3"/>
        <v>-0.20809248554913296</v>
      </c>
      <c r="K129" s="1">
        <f t="shared" si="4"/>
        <v>0.20852359208523591</v>
      </c>
      <c r="L129" s="1">
        <f t="shared" si="5"/>
        <v>4.3110653610295424E-4</v>
      </c>
    </row>
    <row r="130" spans="1:12" x14ac:dyDescent="0.25">
      <c r="A130">
        <v>16</v>
      </c>
      <c r="B130">
        <v>6200</v>
      </c>
      <c r="C130">
        <v>6275</v>
      </c>
      <c r="D130">
        <v>6237.5</v>
      </c>
      <c r="E130">
        <v>13</v>
      </c>
      <c r="F130">
        <v>5.47E-3</v>
      </c>
      <c r="G130">
        <v>7.7000000000000002E-3</v>
      </c>
      <c r="H130">
        <v>-1.41E-2</v>
      </c>
      <c r="I130">
        <v>1.9800000000000002E-2</v>
      </c>
      <c r="J130" s="1">
        <f t="shared" si="3"/>
        <v>-0.71212121212121204</v>
      </c>
      <c r="K130" s="1">
        <f t="shared" si="4"/>
        <v>0.71038961038961035</v>
      </c>
      <c r="L130" s="1">
        <f t="shared" si="5"/>
        <v>-1.7316017316016952E-3</v>
      </c>
    </row>
    <row r="131" spans="1:12" x14ac:dyDescent="0.25">
      <c r="A131">
        <v>16</v>
      </c>
      <c r="B131">
        <v>6275</v>
      </c>
      <c r="C131">
        <v>6425</v>
      </c>
      <c r="D131">
        <v>6350</v>
      </c>
      <c r="E131">
        <v>12</v>
      </c>
      <c r="F131">
        <v>-2.7200000000000002E-3</v>
      </c>
      <c r="G131">
        <v>7.3000000000000001E-3</v>
      </c>
      <c r="H131">
        <v>6.7000000000000002E-3</v>
      </c>
      <c r="I131">
        <v>1.8100000000000002E-2</v>
      </c>
      <c r="J131" s="1">
        <f t="shared" ref="J131:J152" si="6">H131/I131</f>
        <v>0.37016574585635359</v>
      </c>
      <c r="K131" s="1">
        <f t="shared" ref="K131:K152" si="7">F131/G131</f>
        <v>-0.37260273972602742</v>
      </c>
      <c r="L131" s="1">
        <f t="shared" ref="L131:L152" si="8">J131+K131</f>
        <v>-2.4369938696738314E-3</v>
      </c>
    </row>
    <row r="132" spans="1:12" x14ac:dyDescent="0.25">
      <c r="A132">
        <v>16</v>
      </c>
      <c r="B132">
        <v>6425</v>
      </c>
      <c r="C132">
        <v>6525</v>
      </c>
      <c r="D132">
        <v>6475</v>
      </c>
      <c r="E132">
        <v>12</v>
      </c>
      <c r="F132">
        <v>-2.3500000000000001E-3</v>
      </c>
      <c r="G132">
        <v>7.2700000000000004E-3</v>
      </c>
      <c r="H132">
        <v>5.5999999999999999E-3</v>
      </c>
      <c r="I132">
        <v>1.7299999999999999E-2</v>
      </c>
      <c r="J132" s="1">
        <f t="shared" si="6"/>
        <v>0.32369942196531792</v>
      </c>
      <c r="K132" s="1">
        <f t="shared" si="7"/>
        <v>-0.32324621733149933</v>
      </c>
      <c r="L132" s="1">
        <f t="shared" si="8"/>
        <v>4.5320463381859355E-4</v>
      </c>
    </row>
    <row r="133" spans="1:12" x14ac:dyDescent="0.25">
      <c r="A133">
        <v>16</v>
      </c>
      <c r="B133">
        <v>6525</v>
      </c>
      <c r="C133">
        <v>6725</v>
      </c>
      <c r="D133">
        <v>6625</v>
      </c>
      <c r="E133">
        <v>14</v>
      </c>
      <c r="F133">
        <v>-2.3900000000000002E-3</v>
      </c>
      <c r="G133">
        <v>7.2899999999999996E-3</v>
      </c>
      <c r="H133">
        <v>5.4999999999999997E-3</v>
      </c>
      <c r="I133">
        <v>1.66E-2</v>
      </c>
      <c r="J133" s="1">
        <f t="shared" si="6"/>
        <v>0.33132530120481923</v>
      </c>
      <c r="K133" s="1">
        <f t="shared" si="7"/>
        <v>-0.32784636488340196</v>
      </c>
      <c r="L133" s="1">
        <f t="shared" si="8"/>
        <v>3.4789363214172697E-3</v>
      </c>
    </row>
    <row r="134" spans="1:12" x14ac:dyDescent="0.25">
      <c r="A134">
        <v>16</v>
      </c>
      <c r="B134">
        <v>6725</v>
      </c>
      <c r="C134">
        <v>6900</v>
      </c>
      <c r="D134">
        <v>6812.5</v>
      </c>
      <c r="E134">
        <v>12</v>
      </c>
      <c r="F134">
        <v>6.0000000000000002E-5</v>
      </c>
      <c r="G134">
        <v>7.8799999999999999E-3</v>
      </c>
      <c r="H134">
        <v>-1E-4</v>
      </c>
      <c r="I134">
        <v>1.7000000000000001E-2</v>
      </c>
      <c r="J134" s="1">
        <f t="shared" si="6"/>
        <v>-5.8823529411764705E-3</v>
      </c>
      <c r="K134" s="1">
        <f t="shared" si="7"/>
        <v>7.6142131979695434E-3</v>
      </c>
      <c r="L134" s="1">
        <f t="shared" si="8"/>
        <v>1.7318602567930729E-3</v>
      </c>
    </row>
    <row r="135" spans="1:12" x14ac:dyDescent="0.25">
      <c r="A135">
        <v>16</v>
      </c>
      <c r="B135">
        <v>6900</v>
      </c>
      <c r="C135">
        <v>7025</v>
      </c>
      <c r="D135">
        <v>6962.5</v>
      </c>
      <c r="E135">
        <v>12</v>
      </c>
      <c r="F135">
        <v>8.5599999999999999E-3</v>
      </c>
      <c r="G135">
        <v>7.9900000000000006E-3</v>
      </c>
      <c r="H135">
        <v>-1.7600000000000001E-2</v>
      </c>
      <c r="I135">
        <v>1.6500000000000001E-2</v>
      </c>
      <c r="J135" s="1">
        <f t="shared" si="6"/>
        <v>-1.0666666666666667</v>
      </c>
      <c r="K135" s="1">
        <f t="shared" si="7"/>
        <v>1.0713391739674591</v>
      </c>
      <c r="L135" s="1">
        <f t="shared" si="8"/>
        <v>4.6725073007924944E-3</v>
      </c>
    </row>
    <row r="136" spans="1:12" x14ac:dyDescent="0.25">
      <c r="A136">
        <v>16</v>
      </c>
      <c r="B136">
        <v>7025</v>
      </c>
      <c r="C136">
        <v>7150</v>
      </c>
      <c r="D136">
        <v>7087.5</v>
      </c>
      <c r="E136">
        <v>12</v>
      </c>
      <c r="F136">
        <v>-2.82E-3</v>
      </c>
      <c r="G136">
        <v>8.1399999999999997E-3</v>
      </c>
      <c r="H136">
        <v>5.5999999999999999E-3</v>
      </c>
      <c r="I136">
        <v>1.6199999999999999E-2</v>
      </c>
      <c r="J136" s="1">
        <f t="shared" si="6"/>
        <v>0.34567901234567905</v>
      </c>
      <c r="K136" s="1">
        <f t="shared" si="7"/>
        <v>-0.34643734643734647</v>
      </c>
      <c r="L136" s="1">
        <f t="shared" si="8"/>
        <v>-7.5833409166742305E-4</v>
      </c>
    </row>
    <row r="137" spans="1:12" x14ac:dyDescent="0.25">
      <c r="A137">
        <v>16</v>
      </c>
      <c r="B137">
        <v>7150</v>
      </c>
      <c r="C137">
        <v>7350</v>
      </c>
      <c r="D137">
        <v>7250</v>
      </c>
      <c r="E137">
        <v>14</v>
      </c>
      <c r="F137">
        <v>6.8599999999999998E-3</v>
      </c>
      <c r="G137">
        <v>8.26E-3</v>
      </c>
      <c r="H137">
        <v>-1.2999999999999999E-2</v>
      </c>
      <c r="I137">
        <v>1.5699999999999999E-2</v>
      </c>
      <c r="J137" s="1">
        <f t="shared" si="6"/>
        <v>-0.82802547770700641</v>
      </c>
      <c r="K137" s="1">
        <f t="shared" si="7"/>
        <v>0.83050847457627119</v>
      </c>
      <c r="L137" s="1">
        <f t="shared" si="8"/>
        <v>2.4829968692647864E-3</v>
      </c>
    </row>
    <row r="138" spans="1:12" x14ac:dyDescent="0.25">
      <c r="A138">
        <v>16</v>
      </c>
      <c r="B138">
        <v>7350</v>
      </c>
      <c r="C138">
        <v>7475</v>
      </c>
      <c r="D138">
        <v>7412.5</v>
      </c>
      <c r="E138">
        <v>16</v>
      </c>
      <c r="F138">
        <v>7.4599999999999996E-3</v>
      </c>
      <c r="G138">
        <v>8.2500000000000004E-3</v>
      </c>
      <c r="H138">
        <v>-1.3599999999999999E-2</v>
      </c>
      <c r="I138">
        <v>1.4999999999999999E-2</v>
      </c>
      <c r="J138" s="1">
        <f t="shared" si="6"/>
        <v>-0.90666666666666662</v>
      </c>
      <c r="K138" s="1">
        <f t="shared" si="7"/>
        <v>0.90424242424242418</v>
      </c>
      <c r="L138" s="1">
        <f t="shared" si="8"/>
        <v>-2.4242424242424399E-3</v>
      </c>
    </row>
    <row r="139" spans="1:12" x14ac:dyDescent="0.25">
      <c r="A139">
        <v>16</v>
      </c>
      <c r="B139">
        <v>7475</v>
      </c>
      <c r="C139">
        <v>7575</v>
      </c>
      <c r="D139">
        <v>7525</v>
      </c>
      <c r="E139">
        <v>14</v>
      </c>
      <c r="F139">
        <v>-1.8169999999999999E-2</v>
      </c>
      <c r="G139">
        <v>8.6E-3</v>
      </c>
      <c r="H139">
        <v>3.2099999999999997E-2</v>
      </c>
      <c r="I139">
        <v>1.52E-2</v>
      </c>
      <c r="J139" s="1">
        <f t="shared" si="6"/>
        <v>2.1118421052631575</v>
      </c>
      <c r="K139" s="1">
        <f t="shared" si="7"/>
        <v>-2.1127906976744186</v>
      </c>
      <c r="L139" s="1">
        <f t="shared" si="8"/>
        <v>-9.4859241126110661E-4</v>
      </c>
    </row>
    <row r="140" spans="1:12" x14ac:dyDescent="0.25">
      <c r="A140">
        <v>16</v>
      </c>
      <c r="B140">
        <v>7575</v>
      </c>
      <c r="C140">
        <v>7700</v>
      </c>
      <c r="D140">
        <v>7637.5</v>
      </c>
      <c r="E140">
        <v>15</v>
      </c>
      <c r="F140">
        <v>-1.6420000000000001E-2</v>
      </c>
      <c r="G140">
        <v>7.8499999999999993E-3</v>
      </c>
      <c r="H140">
        <v>2.8199999999999999E-2</v>
      </c>
      <c r="I140">
        <v>1.35E-2</v>
      </c>
      <c r="J140" s="1">
        <f t="shared" si="6"/>
        <v>2.088888888888889</v>
      </c>
      <c r="K140" s="1">
        <f t="shared" si="7"/>
        <v>-2.0917197452229304</v>
      </c>
      <c r="L140" s="1">
        <f t="shared" si="8"/>
        <v>-2.8308563340413428E-3</v>
      </c>
    </row>
    <row r="141" spans="1:12" x14ac:dyDescent="0.25">
      <c r="A141">
        <v>16</v>
      </c>
      <c r="B141">
        <v>7700</v>
      </c>
      <c r="C141">
        <v>7800</v>
      </c>
      <c r="D141">
        <v>7750</v>
      </c>
      <c r="E141">
        <v>13</v>
      </c>
      <c r="F141">
        <v>-1.1560000000000001E-2</v>
      </c>
      <c r="G141">
        <v>8.9999999999999993E-3</v>
      </c>
      <c r="H141">
        <v>1.9199999999999998E-2</v>
      </c>
      <c r="I141">
        <v>1.4999999999999999E-2</v>
      </c>
      <c r="J141" s="1">
        <f t="shared" si="6"/>
        <v>1.28</v>
      </c>
      <c r="K141" s="1">
        <f t="shared" si="7"/>
        <v>-1.2844444444444447</v>
      </c>
      <c r="L141" s="1">
        <f t="shared" si="8"/>
        <v>-4.4444444444446951E-3</v>
      </c>
    </row>
    <row r="142" spans="1:12" x14ac:dyDescent="0.25">
      <c r="A142">
        <v>16</v>
      </c>
      <c r="B142">
        <v>7800</v>
      </c>
      <c r="C142">
        <v>7850</v>
      </c>
      <c r="D142">
        <v>7825</v>
      </c>
      <c r="E142">
        <v>14</v>
      </c>
      <c r="F142">
        <v>-2.82E-3</v>
      </c>
      <c r="G142">
        <v>8.09E-3</v>
      </c>
      <c r="H142">
        <v>4.5999999999999999E-3</v>
      </c>
      <c r="I142">
        <v>1.32E-2</v>
      </c>
      <c r="J142" s="1">
        <f t="shared" si="6"/>
        <v>0.34848484848484851</v>
      </c>
      <c r="K142" s="1">
        <f t="shared" si="7"/>
        <v>-0.34857849196538937</v>
      </c>
      <c r="L142" s="1">
        <f t="shared" si="8"/>
        <v>-9.3643480540861468E-5</v>
      </c>
    </row>
    <row r="143" spans="1:12" x14ac:dyDescent="0.25">
      <c r="A143">
        <v>16</v>
      </c>
      <c r="B143">
        <v>7850</v>
      </c>
      <c r="C143">
        <v>7950</v>
      </c>
      <c r="D143">
        <v>7900</v>
      </c>
      <c r="E143">
        <v>14</v>
      </c>
      <c r="F143">
        <v>1.32E-3</v>
      </c>
      <c r="G143">
        <v>8.7600000000000004E-3</v>
      </c>
      <c r="H143">
        <v>-2.0999999999999999E-3</v>
      </c>
      <c r="I143">
        <v>1.4E-2</v>
      </c>
      <c r="J143" s="1">
        <f t="shared" si="6"/>
        <v>-0.15</v>
      </c>
      <c r="K143" s="1">
        <f t="shared" si="7"/>
        <v>0.15068493150684931</v>
      </c>
      <c r="L143" s="1">
        <f t="shared" si="8"/>
        <v>6.8493150684931225E-4</v>
      </c>
    </row>
    <row r="144" spans="1:12" x14ac:dyDescent="0.25">
      <c r="A144">
        <v>16</v>
      </c>
      <c r="B144">
        <v>7950</v>
      </c>
      <c r="C144">
        <v>8075</v>
      </c>
      <c r="D144">
        <v>8012.5</v>
      </c>
      <c r="E144">
        <v>12</v>
      </c>
      <c r="F144">
        <v>5.8799999999999998E-3</v>
      </c>
      <c r="G144">
        <v>1.013E-2</v>
      </c>
      <c r="H144">
        <v>-9.1999999999999998E-3</v>
      </c>
      <c r="I144">
        <v>1.5800000000000002E-2</v>
      </c>
      <c r="J144" s="1">
        <f t="shared" si="6"/>
        <v>-0.58227848101265811</v>
      </c>
      <c r="K144" s="1">
        <f t="shared" si="7"/>
        <v>0.58045409674234938</v>
      </c>
      <c r="L144" s="1">
        <f t="shared" si="8"/>
        <v>-1.8243842703087321E-3</v>
      </c>
    </row>
    <row r="145" spans="1:12" x14ac:dyDescent="0.25">
      <c r="A145">
        <v>16</v>
      </c>
      <c r="B145">
        <v>8075</v>
      </c>
      <c r="C145">
        <v>8200</v>
      </c>
      <c r="D145">
        <v>8137.5</v>
      </c>
      <c r="E145">
        <v>12</v>
      </c>
      <c r="F145">
        <v>6.1900000000000002E-3</v>
      </c>
      <c r="G145">
        <v>1.142E-2</v>
      </c>
      <c r="H145">
        <v>-9.2999999999999992E-3</v>
      </c>
      <c r="I145">
        <v>1.72E-2</v>
      </c>
      <c r="J145" s="1">
        <f t="shared" si="6"/>
        <v>-0.54069767441860461</v>
      </c>
      <c r="K145" s="1">
        <f t="shared" si="7"/>
        <v>0.5420315236427321</v>
      </c>
      <c r="L145" s="1">
        <f t="shared" si="8"/>
        <v>1.3338492241274924E-3</v>
      </c>
    </row>
    <row r="146" spans="1:12" x14ac:dyDescent="0.25">
      <c r="A146">
        <v>16</v>
      </c>
      <c r="B146">
        <v>8200</v>
      </c>
      <c r="C146">
        <v>8400</v>
      </c>
      <c r="D146">
        <v>8300</v>
      </c>
      <c r="E146">
        <v>13</v>
      </c>
      <c r="F146">
        <v>2.6900000000000001E-3</v>
      </c>
      <c r="G146">
        <v>1.1379999999999999E-2</v>
      </c>
      <c r="H146">
        <v>-3.8999999999999998E-3</v>
      </c>
      <c r="I146">
        <v>1.6500000000000001E-2</v>
      </c>
      <c r="J146" s="1">
        <f t="shared" si="6"/>
        <v>-0.23636363636363633</v>
      </c>
      <c r="K146" s="1">
        <f t="shared" si="7"/>
        <v>0.23637961335676627</v>
      </c>
      <c r="L146" s="1">
        <f t="shared" si="8"/>
        <v>1.5976993129940276E-5</v>
      </c>
    </row>
    <row r="147" spans="1:12" x14ac:dyDescent="0.25">
      <c r="A147">
        <v>16</v>
      </c>
      <c r="B147">
        <v>8400</v>
      </c>
      <c r="C147">
        <v>8525</v>
      </c>
      <c r="D147">
        <v>8462.5</v>
      </c>
      <c r="E147">
        <v>16</v>
      </c>
      <c r="F147">
        <v>1.9810000000000001E-2</v>
      </c>
      <c r="G147">
        <v>1.1350000000000001E-2</v>
      </c>
      <c r="H147">
        <v>-2.7699999999999999E-2</v>
      </c>
      <c r="I147">
        <v>1.5800000000000002E-2</v>
      </c>
      <c r="J147" s="1">
        <f t="shared" si="6"/>
        <v>-1.7531645569620251</v>
      </c>
      <c r="K147" s="1">
        <f t="shared" si="7"/>
        <v>1.7453744493392072</v>
      </c>
      <c r="L147" s="1">
        <f t="shared" si="8"/>
        <v>-7.7901076228179544E-3</v>
      </c>
    </row>
    <row r="148" spans="1:12" x14ac:dyDescent="0.25">
      <c r="A148">
        <v>16</v>
      </c>
      <c r="B148">
        <v>8550</v>
      </c>
      <c r="C148">
        <v>8750</v>
      </c>
      <c r="D148">
        <v>8650</v>
      </c>
      <c r="E148">
        <v>22</v>
      </c>
      <c r="F148">
        <v>1.0399999999999999E-3</v>
      </c>
      <c r="G148">
        <v>9.6200000000000001E-3</v>
      </c>
      <c r="H148">
        <v>-1.4E-3</v>
      </c>
      <c r="I148">
        <v>1.29E-2</v>
      </c>
      <c r="J148" s="1">
        <f t="shared" si="6"/>
        <v>-0.10852713178294573</v>
      </c>
      <c r="K148" s="1">
        <f t="shared" si="7"/>
        <v>0.1081081081081081</v>
      </c>
      <c r="L148" s="1">
        <f t="shared" si="8"/>
        <v>-4.190236748376347E-4</v>
      </c>
    </row>
    <row r="149" spans="1:12" x14ac:dyDescent="0.25">
      <c r="A149">
        <v>18</v>
      </c>
      <c r="B149">
        <v>9033.27</v>
      </c>
      <c r="C149">
        <v>9300</v>
      </c>
      <c r="D149">
        <v>9166.6350000000002</v>
      </c>
      <c r="E149">
        <v>12</v>
      </c>
      <c r="F149">
        <v>5.7400000000000003E-3</v>
      </c>
      <c r="G149">
        <v>1.502E-2</v>
      </c>
      <c r="H149">
        <v>-6.7999999999999996E-3</v>
      </c>
      <c r="I149">
        <v>1.7899999999999999E-2</v>
      </c>
      <c r="J149" s="1">
        <f t="shared" si="6"/>
        <v>-0.37988826815642457</v>
      </c>
      <c r="K149" s="1">
        <f t="shared" si="7"/>
        <v>0.38215712383488681</v>
      </c>
      <c r="L149" s="1">
        <f t="shared" si="8"/>
        <v>2.2688556784622449E-3</v>
      </c>
    </row>
    <row r="150" spans="1:12" x14ac:dyDescent="0.25">
      <c r="A150">
        <v>18</v>
      </c>
      <c r="B150">
        <v>9300</v>
      </c>
      <c r="C150">
        <v>9450</v>
      </c>
      <c r="D150">
        <v>9375</v>
      </c>
      <c r="E150">
        <v>13</v>
      </c>
      <c r="F150">
        <v>3.4499999999999999E-3</v>
      </c>
      <c r="G150">
        <v>1.485E-2</v>
      </c>
      <c r="H150">
        <v>-3.8999999999999998E-3</v>
      </c>
      <c r="I150">
        <v>1.6899999999999998E-2</v>
      </c>
      <c r="J150" s="1">
        <f t="shared" si="6"/>
        <v>-0.23076923076923078</v>
      </c>
      <c r="K150" s="1">
        <f t="shared" si="7"/>
        <v>0.23232323232323232</v>
      </c>
      <c r="L150" s="1">
        <f t="shared" si="8"/>
        <v>1.5540015540015384E-3</v>
      </c>
    </row>
    <row r="151" spans="1:12" x14ac:dyDescent="0.25">
      <c r="A151">
        <v>18</v>
      </c>
      <c r="B151">
        <v>9450</v>
      </c>
      <c r="C151">
        <v>9750</v>
      </c>
      <c r="D151">
        <v>9600</v>
      </c>
      <c r="E151">
        <v>12</v>
      </c>
      <c r="F151">
        <v>-1.1780000000000001E-2</v>
      </c>
      <c r="G151">
        <v>1.617E-2</v>
      </c>
      <c r="H151">
        <v>1.2800000000000001E-2</v>
      </c>
      <c r="I151">
        <v>1.7500000000000002E-2</v>
      </c>
      <c r="J151" s="1">
        <f t="shared" si="6"/>
        <v>0.73142857142857143</v>
      </c>
      <c r="K151" s="1">
        <f t="shared" si="7"/>
        <v>-0.72850958565244284</v>
      </c>
      <c r="L151" s="1">
        <f t="shared" si="8"/>
        <v>2.9189857761285909E-3</v>
      </c>
    </row>
    <row r="152" spans="1:12" x14ac:dyDescent="0.25">
      <c r="A152">
        <v>18</v>
      </c>
      <c r="B152">
        <v>9775</v>
      </c>
      <c r="C152">
        <v>10350</v>
      </c>
      <c r="D152">
        <v>10062.5</v>
      </c>
      <c r="E152">
        <v>13</v>
      </c>
      <c r="F152">
        <v>3.8300000000000001E-3</v>
      </c>
      <c r="G152">
        <v>1.6580000000000001E-2</v>
      </c>
      <c r="H152">
        <v>-3.8E-3</v>
      </c>
      <c r="I152">
        <v>1.6400000000000001E-2</v>
      </c>
      <c r="J152" s="1">
        <f t="shared" si="6"/>
        <v>-0.23170731707317072</v>
      </c>
      <c r="K152" s="1">
        <f t="shared" si="7"/>
        <v>0.23100120627261761</v>
      </c>
      <c r="L152" s="1">
        <f t="shared" si="8"/>
        <v>-7.0611080055310582E-4</v>
      </c>
    </row>
    <row r="154" spans="1:12" x14ac:dyDescent="0.25">
      <c r="J154" s="1" cm="1">
        <f t="array" ref="J154">rms(J$2:J$152)</f>
        <v>2.1323322348163498</v>
      </c>
    </row>
  </sheetData>
  <autoFilter ref="A1:L152" xr:uid="{60FD16FD-F2FC-414D-AC38-110045781B9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wavelength_calibration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2026-09-22T17:15:10Z</dcterms:created>
  <dcterms:modified xsi:type="dcterms:W3CDTF">2026-09-23T21:14:23Z</dcterms:modified>
</cp:coreProperties>
</file>