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9_{103071AA-7132-48E8-8144-AFB466825B99}" xr6:coauthVersionLast="47" xr6:coauthVersionMax="47" xr10:uidLastSave="{00000000-0000-0000-0000-000000000000}"/>
  <bookViews>
    <workbookView xWindow="2805" yWindow="2805" windowWidth="39840" windowHeight="17505" activeTab="5" xr2:uid="{9DCD1EAE-832B-46BA-9B16-C720A36FAF62}"/>
  </bookViews>
  <sheets>
    <sheet name="pts" sheetId="1" r:id="rId1"/>
    <sheet name="Sheet1" sheetId="2" r:id="rId2"/>
    <sheet name="Sheet2" sheetId="3" r:id="rId3"/>
    <sheet name="Sheet3" sheetId="4" r:id="rId4"/>
    <sheet name="Sheet4" sheetId="5" r:id="rId5"/>
    <sheet name="Sheet5" sheetId="6" r:id="rId6"/>
  </sheets>
  <externalReferences>
    <externalReference r:id="rId7"/>
  </externalReferences>
  <definedNames>
    <definedName name="_xlnm._FilterDatabase" localSheetId="0" hidden="1">pts!$A$1:$O$4374</definedName>
    <definedName name="_xlnm._FilterDatabase" localSheetId="1" hidden="1">Sheet1!$A$1:$L$31</definedName>
    <definedName name="_xlnm._FilterDatabase" localSheetId="3" hidden="1">Sheet3!$A$1:$G$16</definedName>
  </definedNames>
  <calcPr calcId="0" refMode="R1C1"/>
</workbook>
</file>

<file path=xl/calcChain.xml><?xml version="1.0" encoding="utf-8"?>
<calcChain xmlns="http://schemas.openxmlformats.org/spreadsheetml/2006/main">
  <c r="M11" i="6" l="1"/>
  <c r="L11" i="6"/>
  <c r="M10" i="6"/>
  <c r="L10" i="6"/>
  <c r="M9" i="6"/>
  <c r="L9" i="6"/>
  <c r="M8" i="6"/>
  <c r="L8" i="6"/>
  <c r="M7" i="6"/>
  <c r="L7" i="6"/>
  <c r="M6" i="6"/>
  <c r="L6" i="6"/>
  <c r="M5" i="6"/>
  <c r="L5" i="6"/>
  <c r="M4" i="6"/>
  <c r="L4" i="6"/>
  <c r="M3" i="6"/>
  <c r="L3" i="6"/>
  <c r="M2" i="6"/>
  <c r="L2" i="6"/>
  <c r="K57" i="5"/>
  <c r="K56" i="5"/>
  <c r="K55" i="5"/>
  <c r="K54" i="5"/>
  <c r="K53" i="5"/>
  <c r="K52" i="5"/>
  <c r="J57" i="5"/>
  <c r="J56" i="5"/>
  <c r="J55" i="5"/>
  <c r="J54" i="5"/>
  <c r="J53" i="5"/>
  <c r="J52" i="5"/>
  <c r="J35" i="5"/>
  <c r="J34" i="5"/>
  <c r="J33" i="5"/>
  <c r="J32" i="5"/>
  <c r="J31" i="5"/>
  <c r="J30" i="5"/>
  <c r="I57" i="5"/>
  <c r="I56" i="5"/>
  <c r="I55" i="5"/>
  <c r="I54" i="5"/>
  <c r="I53" i="5"/>
  <c r="H57" i="5"/>
  <c r="H56" i="5"/>
  <c r="H55" i="5"/>
  <c r="H54" i="5"/>
  <c r="H53" i="5"/>
  <c r="H52" i="5"/>
  <c r="I52" i="5"/>
  <c r="G57" i="5"/>
  <c r="G56" i="5"/>
  <c r="G55" i="5"/>
  <c r="G54" i="5"/>
  <c r="G53" i="5"/>
  <c r="G52" i="5"/>
  <c r="C57" i="5"/>
  <c r="C56" i="5"/>
  <c r="C55" i="5"/>
  <c r="C54" i="5"/>
  <c r="C53" i="5"/>
  <c r="C52" i="5"/>
  <c r="I35" i="5"/>
  <c r="I34" i="5"/>
  <c r="I33" i="5"/>
  <c r="I32" i="5"/>
  <c r="I31" i="5"/>
  <c r="I30" i="5"/>
  <c r="C35" i="5"/>
  <c r="C34" i="5"/>
  <c r="C33" i="5"/>
  <c r="C32" i="5"/>
  <c r="C31" i="5"/>
  <c r="C30" i="5"/>
  <c r="I12" i="5"/>
  <c r="O8" i="5"/>
  <c r="O7" i="5"/>
  <c r="O6" i="5"/>
  <c r="O5" i="5"/>
  <c r="O4" i="5"/>
  <c r="O3" i="5"/>
  <c r="I8" i="5"/>
  <c r="J8" i="5" s="1"/>
  <c r="I7" i="5"/>
  <c r="J7" i="5" s="1"/>
  <c r="I6" i="5"/>
  <c r="J6" i="5" s="1"/>
  <c r="I5" i="5"/>
  <c r="J5" i="5" s="1"/>
  <c r="I4" i="5"/>
  <c r="J4" i="5" s="1"/>
  <c r="I3" i="5"/>
  <c r="J3" i="5" s="1"/>
  <c r="C8" i="5"/>
  <c r="K8" i="5" s="1"/>
  <c r="C7" i="5"/>
  <c r="K7" i="5" s="1"/>
  <c r="C6" i="5"/>
  <c r="K6" i="5" s="1"/>
  <c r="C5" i="5"/>
  <c r="K5" i="5" s="1"/>
  <c r="C4" i="5"/>
  <c r="K4" i="5" s="1"/>
  <c r="C3" i="5"/>
  <c r="K3" i="5" s="1"/>
  <c r="N30" i="2" a="1"/>
  <c r="N18" i="2" a="1"/>
  <c r="N22" i="2" a="1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I6" i="2"/>
  <c r="I31" i="2"/>
  <c r="I23" i="2"/>
  <c r="I30" i="2"/>
  <c r="I29" i="2"/>
  <c r="I28" i="2"/>
  <c r="I27" i="2"/>
  <c r="I26" i="2"/>
  <c r="I25" i="2"/>
  <c r="I24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5" i="2"/>
  <c r="I4" i="2"/>
  <c r="I3" i="2"/>
  <c r="I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R4372" i="1"/>
  <c r="R4371" i="1"/>
  <c r="R4370" i="1"/>
  <c r="R4369" i="1"/>
  <c r="R4368" i="1"/>
  <c r="R4367" i="1"/>
  <c r="R4366" i="1"/>
  <c r="R4365" i="1"/>
  <c r="R4364" i="1"/>
  <c r="R4363" i="1"/>
  <c r="R4362" i="1"/>
  <c r="R4361" i="1"/>
  <c r="R4360" i="1"/>
  <c r="R4359" i="1"/>
  <c r="R4358" i="1"/>
  <c r="R4357" i="1"/>
  <c r="R4356" i="1"/>
  <c r="R4355" i="1"/>
  <c r="R4354" i="1"/>
  <c r="R4353" i="1"/>
  <c r="R4352" i="1"/>
  <c r="R4351" i="1"/>
  <c r="R4350" i="1"/>
  <c r="R4349" i="1"/>
  <c r="R4348" i="1"/>
  <c r="R4347" i="1"/>
  <c r="R4346" i="1"/>
  <c r="R4345" i="1"/>
  <c r="R4344" i="1"/>
  <c r="R4343" i="1"/>
  <c r="R4342" i="1"/>
  <c r="R4341" i="1"/>
  <c r="R4340" i="1"/>
  <c r="R4339" i="1"/>
  <c r="R4338" i="1"/>
  <c r="R4337" i="1"/>
  <c r="R4336" i="1"/>
  <c r="R4335" i="1"/>
  <c r="R4334" i="1"/>
  <c r="R4333" i="1"/>
  <c r="R4332" i="1"/>
  <c r="R4331" i="1"/>
  <c r="R4330" i="1"/>
  <c r="R4329" i="1"/>
  <c r="R4328" i="1"/>
  <c r="R4327" i="1"/>
  <c r="R4326" i="1"/>
  <c r="R4325" i="1"/>
  <c r="R4324" i="1"/>
  <c r="V4323" i="1"/>
  <c r="X4323" i="1" s="1"/>
  <c r="X4366" i="1"/>
  <c r="X4358" i="1"/>
  <c r="Q4358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T33" i="1"/>
  <c r="U33" i="1"/>
  <c r="T34" i="1"/>
  <c r="U34" i="1"/>
  <c r="T35" i="1"/>
  <c r="U35" i="1"/>
  <c r="T36" i="1"/>
  <c r="U36" i="1"/>
  <c r="T37" i="1"/>
  <c r="U37" i="1"/>
  <c r="T38" i="1"/>
  <c r="U38" i="1"/>
  <c r="T39" i="1"/>
  <c r="U39" i="1"/>
  <c r="T40" i="1"/>
  <c r="U40" i="1"/>
  <c r="T41" i="1"/>
  <c r="U41" i="1"/>
  <c r="T42" i="1"/>
  <c r="U42" i="1"/>
  <c r="T43" i="1"/>
  <c r="U43" i="1"/>
  <c r="T44" i="1"/>
  <c r="U44" i="1"/>
  <c r="T45" i="1"/>
  <c r="U45" i="1"/>
  <c r="T46" i="1"/>
  <c r="U46" i="1"/>
  <c r="T47" i="1"/>
  <c r="U47" i="1"/>
  <c r="T48" i="1"/>
  <c r="U48" i="1"/>
  <c r="T49" i="1"/>
  <c r="U49" i="1"/>
  <c r="T50" i="1"/>
  <c r="U50" i="1"/>
  <c r="T51" i="1"/>
  <c r="U51" i="1"/>
  <c r="T52" i="1"/>
  <c r="U52" i="1"/>
  <c r="T53" i="1"/>
  <c r="U53" i="1"/>
  <c r="T54" i="1"/>
  <c r="U54" i="1"/>
  <c r="T55" i="1"/>
  <c r="U55" i="1"/>
  <c r="T56" i="1"/>
  <c r="U56" i="1"/>
  <c r="T57" i="1"/>
  <c r="U57" i="1"/>
  <c r="T58" i="1"/>
  <c r="U58" i="1"/>
  <c r="T59" i="1"/>
  <c r="U59" i="1"/>
  <c r="T60" i="1"/>
  <c r="U60" i="1"/>
  <c r="T61" i="1"/>
  <c r="U61" i="1"/>
  <c r="T62" i="1"/>
  <c r="U62" i="1"/>
  <c r="T63" i="1"/>
  <c r="U63" i="1"/>
  <c r="T64" i="1"/>
  <c r="U64" i="1"/>
  <c r="T65" i="1"/>
  <c r="U65" i="1"/>
  <c r="T66" i="1"/>
  <c r="U66" i="1"/>
  <c r="T67" i="1"/>
  <c r="U67" i="1"/>
  <c r="T68" i="1"/>
  <c r="U68" i="1"/>
  <c r="T69" i="1"/>
  <c r="U69" i="1"/>
  <c r="T70" i="1"/>
  <c r="U70" i="1"/>
  <c r="T71" i="1"/>
  <c r="U71" i="1"/>
  <c r="T72" i="1"/>
  <c r="U72" i="1"/>
  <c r="T73" i="1"/>
  <c r="U73" i="1"/>
  <c r="T74" i="1"/>
  <c r="U74" i="1"/>
  <c r="T75" i="1"/>
  <c r="U75" i="1"/>
  <c r="T76" i="1"/>
  <c r="U76" i="1"/>
  <c r="T77" i="1"/>
  <c r="U77" i="1"/>
  <c r="T78" i="1"/>
  <c r="U78" i="1"/>
  <c r="T79" i="1"/>
  <c r="U79" i="1"/>
  <c r="T80" i="1"/>
  <c r="U80" i="1"/>
  <c r="T81" i="1"/>
  <c r="U81" i="1"/>
  <c r="T82" i="1"/>
  <c r="U82" i="1"/>
  <c r="T83" i="1"/>
  <c r="U83" i="1"/>
  <c r="T84" i="1"/>
  <c r="U84" i="1"/>
  <c r="T85" i="1"/>
  <c r="U85" i="1"/>
  <c r="T86" i="1"/>
  <c r="U86" i="1"/>
  <c r="T87" i="1"/>
  <c r="U87" i="1"/>
  <c r="T88" i="1"/>
  <c r="U88" i="1"/>
  <c r="T89" i="1"/>
  <c r="U89" i="1"/>
  <c r="T90" i="1"/>
  <c r="U90" i="1"/>
  <c r="T91" i="1"/>
  <c r="U91" i="1"/>
  <c r="T92" i="1"/>
  <c r="U92" i="1"/>
  <c r="T93" i="1"/>
  <c r="U93" i="1"/>
  <c r="T94" i="1"/>
  <c r="U94" i="1"/>
  <c r="T95" i="1"/>
  <c r="U95" i="1"/>
  <c r="T96" i="1"/>
  <c r="U96" i="1"/>
  <c r="T97" i="1"/>
  <c r="U97" i="1"/>
  <c r="T98" i="1"/>
  <c r="U98" i="1"/>
  <c r="T99" i="1"/>
  <c r="U99" i="1"/>
  <c r="T100" i="1"/>
  <c r="U100" i="1"/>
  <c r="T101" i="1"/>
  <c r="U101" i="1"/>
  <c r="T102" i="1"/>
  <c r="U102" i="1"/>
  <c r="T103" i="1"/>
  <c r="U103" i="1"/>
  <c r="T104" i="1"/>
  <c r="U104" i="1"/>
  <c r="T105" i="1"/>
  <c r="U105" i="1"/>
  <c r="T106" i="1"/>
  <c r="U106" i="1"/>
  <c r="T107" i="1"/>
  <c r="U107" i="1"/>
  <c r="T108" i="1"/>
  <c r="U108" i="1"/>
  <c r="T109" i="1"/>
  <c r="U109" i="1"/>
  <c r="T110" i="1"/>
  <c r="U110" i="1"/>
  <c r="T111" i="1"/>
  <c r="U111" i="1"/>
  <c r="T112" i="1"/>
  <c r="U112" i="1"/>
  <c r="T113" i="1"/>
  <c r="U113" i="1"/>
  <c r="T114" i="1"/>
  <c r="U114" i="1"/>
  <c r="T115" i="1"/>
  <c r="U115" i="1"/>
  <c r="T116" i="1"/>
  <c r="U116" i="1"/>
  <c r="T117" i="1"/>
  <c r="U117" i="1"/>
  <c r="T118" i="1"/>
  <c r="U118" i="1"/>
  <c r="T119" i="1"/>
  <c r="U119" i="1"/>
  <c r="T120" i="1"/>
  <c r="U120" i="1"/>
  <c r="T121" i="1"/>
  <c r="U121" i="1"/>
  <c r="T122" i="1"/>
  <c r="U122" i="1"/>
  <c r="T123" i="1"/>
  <c r="U123" i="1"/>
  <c r="T124" i="1"/>
  <c r="U124" i="1"/>
  <c r="T125" i="1"/>
  <c r="U125" i="1"/>
  <c r="T126" i="1"/>
  <c r="U126" i="1"/>
  <c r="T127" i="1"/>
  <c r="U127" i="1"/>
  <c r="T128" i="1"/>
  <c r="U128" i="1"/>
  <c r="T129" i="1"/>
  <c r="U129" i="1"/>
  <c r="T130" i="1"/>
  <c r="U130" i="1"/>
  <c r="T131" i="1"/>
  <c r="U131" i="1"/>
  <c r="T132" i="1"/>
  <c r="U132" i="1"/>
  <c r="T133" i="1"/>
  <c r="U133" i="1"/>
  <c r="T134" i="1"/>
  <c r="U134" i="1"/>
  <c r="T135" i="1"/>
  <c r="U135" i="1"/>
  <c r="T136" i="1"/>
  <c r="U136" i="1"/>
  <c r="T137" i="1"/>
  <c r="U137" i="1"/>
  <c r="T138" i="1"/>
  <c r="U138" i="1"/>
  <c r="T139" i="1"/>
  <c r="U139" i="1"/>
  <c r="T140" i="1"/>
  <c r="U140" i="1"/>
  <c r="T141" i="1"/>
  <c r="U141" i="1"/>
  <c r="T142" i="1"/>
  <c r="U142" i="1"/>
  <c r="T143" i="1"/>
  <c r="U143" i="1"/>
  <c r="T144" i="1"/>
  <c r="U144" i="1"/>
  <c r="T145" i="1"/>
  <c r="U145" i="1"/>
  <c r="T146" i="1"/>
  <c r="U146" i="1"/>
  <c r="T147" i="1"/>
  <c r="U147" i="1"/>
  <c r="T148" i="1"/>
  <c r="U148" i="1"/>
  <c r="T149" i="1"/>
  <c r="U149" i="1"/>
  <c r="T150" i="1"/>
  <c r="U150" i="1"/>
  <c r="T151" i="1"/>
  <c r="U151" i="1"/>
  <c r="T152" i="1"/>
  <c r="U152" i="1"/>
  <c r="T153" i="1"/>
  <c r="U153" i="1"/>
  <c r="T154" i="1"/>
  <c r="U154" i="1"/>
  <c r="T155" i="1"/>
  <c r="U155" i="1"/>
  <c r="T156" i="1"/>
  <c r="U156" i="1"/>
  <c r="T157" i="1"/>
  <c r="U157" i="1"/>
  <c r="T158" i="1"/>
  <c r="U158" i="1"/>
  <c r="T159" i="1"/>
  <c r="U159" i="1"/>
  <c r="T160" i="1"/>
  <c r="U160" i="1"/>
  <c r="T161" i="1"/>
  <c r="U161" i="1"/>
  <c r="T162" i="1"/>
  <c r="U162" i="1"/>
  <c r="T163" i="1"/>
  <c r="U163" i="1"/>
  <c r="T164" i="1"/>
  <c r="U164" i="1"/>
  <c r="T165" i="1"/>
  <c r="U165" i="1"/>
  <c r="T166" i="1"/>
  <c r="U166" i="1"/>
  <c r="T167" i="1"/>
  <c r="U167" i="1"/>
  <c r="T168" i="1"/>
  <c r="U168" i="1"/>
  <c r="T169" i="1"/>
  <c r="U169" i="1"/>
  <c r="T170" i="1"/>
  <c r="U170" i="1"/>
  <c r="T171" i="1"/>
  <c r="U171" i="1"/>
  <c r="T172" i="1"/>
  <c r="U172" i="1"/>
  <c r="T173" i="1"/>
  <c r="U173" i="1"/>
  <c r="T174" i="1"/>
  <c r="U174" i="1"/>
  <c r="T175" i="1"/>
  <c r="U175" i="1"/>
  <c r="T176" i="1"/>
  <c r="U176" i="1"/>
  <c r="T177" i="1"/>
  <c r="U177" i="1"/>
  <c r="T178" i="1"/>
  <c r="U178" i="1"/>
  <c r="T179" i="1"/>
  <c r="U179" i="1"/>
  <c r="T180" i="1"/>
  <c r="U180" i="1"/>
  <c r="T181" i="1"/>
  <c r="U181" i="1"/>
  <c r="T182" i="1"/>
  <c r="U182" i="1"/>
  <c r="T183" i="1"/>
  <c r="U183" i="1"/>
  <c r="T184" i="1"/>
  <c r="U184" i="1"/>
  <c r="T185" i="1"/>
  <c r="U185" i="1"/>
  <c r="T186" i="1"/>
  <c r="U186" i="1"/>
  <c r="T187" i="1"/>
  <c r="U187" i="1"/>
  <c r="T188" i="1"/>
  <c r="U188" i="1"/>
  <c r="T189" i="1"/>
  <c r="U189" i="1"/>
  <c r="T190" i="1"/>
  <c r="U190" i="1"/>
  <c r="T191" i="1"/>
  <c r="U191" i="1"/>
  <c r="T192" i="1"/>
  <c r="U192" i="1"/>
  <c r="T193" i="1"/>
  <c r="U193" i="1"/>
  <c r="T194" i="1"/>
  <c r="U194" i="1"/>
  <c r="T195" i="1"/>
  <c r="U195" i="1"/>
  <c r="T196" i="1"/>
  <c r="U196" i="1"/>
  <c r="T197" i="1"/>
  <c r="U197" i="1"/>
  <c r="T198" i="1"/>
  <c r="U198" i="1"/>
  <c r="T199" i="1"/>
  <c r="U199" i="1"/>
  <c r="T200" i="1"/>
  <c r="U200" i="1"/>
  <c r="T201" i="1"/>
  <c r="U201" i="1"/>
  <c r="T202" i="1"/>
  <c r="U202" i="1"/>
  <c r="T203" i="1"/>
  <c r="U203" i="1"/>
  <c r="T204" i="1"/>
  <c r="U204" i="1"/>
  <c r="T205" i="1"/>
  <c r="U205" i="1"/>
  <c r="T206" i="1"/>
  <c r="U206" i="1"/>
  <c r="T207" i="1"/>
  <c r="U207" i="1"/>
  <c r="T208" i="1"/>
  <c r="U208" i="1"/>
  <c r="T209" i="1"/>
  <c r="U209" i="1"/>
  <c r="T210" i="1"/>
  <c r="U210" i="1"/>
  <c r="T211" i="1"/>
  <c r="U211" i="1"/>
  <c r="T212" i="1"/>
  <c r="U212" i="1"/>
  <c r="T213" i="1"/>
  <c r="U213" i="1"/>
  <c r="T214" i="1"/>
  <c r="U214" i="1"/>
  <c r="T215" i="1"/>
  <c r="U215" i="1"/>
  <c r="T216" i="1"/>
  <c r="U216" i="1"/>
  <c r="T217" i="1"/>
  <c r="U217" i="1"/>
  <c r="T218" i="1"/>
  <c r="U218" i="1"/>
  <c r="T219" i="1"/>
  <c r="U219" i="1"/>
  <c r="T220" i="1"/>
  <c r="U220" i="1"/>
  <c r="T221" i="1"/>
  <c r="U221" i="1"/>
  <c r="T222" i="1"/>
  <c r="U222" i="1"/>
  <c r="T223" i="1"/>
  <c r="U223" i="1"/>
  <c r="T224" i="1"/>
  <c r="U224" i="1"/>
  <c r="T225" i="1"/>
  <c r="U225" i="1"/>
  <c r="T226" i="1"/>
  <c r="U226" i="1"/>
  <c r="T227" i="1"/>
  <c r="U227" i="1"/>
  <c r="T228" i="1"/>
  <c r="U228" i="1"/>
  <c r="T229" i="1"/>
  <c r="U229" i="1"/>
  <c r="T230" i="1"/>
  <c r="U230" i="1"/>
  <c r="T231" i="1"/>
  <c r="U231" i="1"/>
  <c r="T232" i="1"/>
  <c r="U232" i="1"/>
  <c r="T233" i="1"/>
  <c r="U233" i="1"/>
  <c r="T234" i="1"/>
  <c r="U234" i="1"/>
  <c r="T235" i="1"/>
  <c r="U235" i="1"/>
  <c r="T236" i="1"/>
  <c r="U236" i="1"/>
  <c r="T237" i="1"/>
  <c r="U237" i="1"/>
  <c r="T238" i="1"/>
  <c r="U238" i="1"/>
  <c r="T239" i="1"/>
  <c r="U239" i="1"/>
  <c r="T240" i="1"/>
  <c r="U240" i="1"/>
  <c r="T241" i="1"/>
  <c r="U241" i="1"/>
  <c r="T242" i="1"/>
  <c r="U242" i="1"/>
  <c r="T243" i="1"/>
  <c r="U243" i="1"/>
  <c r="T244" i="1"/>
  <c r="U244" i="1"/>
  <c r="T245" i="1"/>
  <c r="U245" i="1"/>
  <c r="T246" i="1"/>
  <c r="U246" i="1"/>
  <c r="T247" i="1"/>
  <c r="U247" i="1"/>
  <c r="T248" i="1"/>
  <c r="U248" i="1"/>
  <c r="T249" i="1"/>
  <c r="U249" i="1"/>
  <c r="T250" i="1"/>
  <c r="U250" i="1"/>
  <c r="T251" i="1"/>
  <c r="U251" i="1"/>
  <c r="T252" i="1"/>
  <c r="U252" i="1"/>
  <c r="T253" i="1"/>
  <c r="U253" i="1"/>
  <c r="T254" i="1"/>
  <c r="U254" i="1"/>
  <c r="T255" i="1"/>
  <c r="U255" i="1"/>
  <c r="T256" i="1"/>
  <c r="U256" i="1"/>
  <c r="T257" i="1"/>
  <c r="U257" i="1"/>
  <c r="T258" i="1"/>
  <c r="U258" i="1"/>
  <c r="T259" i="1"/>
  <c r="U259" i="1"/>
  <c r="T260" i="1"/>
  <c r="U260" i="1"/>
  <c r="T261" i="1"/>
  <c r="U261" i="1"/>
  <c r="T262" i="1"/>
  <c r="U262" i="1"/>
  <c r="T263" i="1"/>
  <c r="U263" i="1"/>
  <c r="T264" i="1"/>
  <c r="U264" i="1"/>
  <c r="T265" i="1"/>
  <c r="U265" i="1"/>
  <c r="T266" i="1"/>
  <c r="U266" i="1"/>
  <c r="T267" i="1"/>
  <c r="U267" i="1"/>
  <c r="T268" i="1"/>
  <c r="U268" i="1"/>
  <c r="T269" i="1"/>
  <c r="U269" i="1"/>
  <c r="T270" i="1"/>
  <c r="U270" i="1"/>
  <c r="T271" i="1"/>
  <c r="U271" i="1"/>
  <c r="T272" i="1"/>
  <c r="U272" i="1"/>
  <c r="T273" i="1"/>
  <c r="U273" i="1"/>
  <c r="T274" i="1"/>
  <c r="U274" i="1"/>
  <c r="T275" i="1"/>
  <c r="U275" i="1"/>
  <c r="T276" i="1"/>
  <c r="U276" i="1"/>
  <c r="T277" i="1"/>
  <c r="U277" i="1"/>
  <c r="T278" i="1"/>
  <c r="U278" i="1"/>
  <c r="T279" i="1"/>
  <c r="U279" i="1"/>
  <c r="T280" i="1"/>
  <c r="U280" i="1"/>
  <c r="T281" i="1"/>
  <c r="U281" i="1"/>
  <c r="T282" i="1"/>
  <c r="U282" i="1"/>
  <c r="T283" i="1"/>
  <c r="U283" i="1"/>
  <c r="T284" i="1"/>
  <c r="U284" i="1"/>
  <c r="T285" i="1"/>
  <c r="U285" i="1"/>
  <c r="T286" i="1"/>
  <c r="U286" i="1"/>
  <c r="T287" i="1"/>
  <c r="U287" i="1"/>
  <c r="T288" i="1"/>
  <c r="U288" i="1"/>
  <c r="T289" i="1"/>
  <c r="U289" i="1"/>
  <c r="T290" i="1"/>
  <c r="U290" i="1"/>
  <c r="T291" i="1"/>
  <c r="U291" i="1"/>
  <c r="T292" i="1"/>
  <c r="U292" i="1"/>
  <c r="T293" i="1"/>
  <c r="U293" i="1"/>
  <c r="T294" i="1"/>
  <c r="U294" i="1"/>
  <c r="T295" i="1"/>
  <c r="U295" i="1"/>
  <c r="T296" i="1"/>
  <c r="U296" i="1"/>
  <c r="T297" i="1"/>
  <c r="U297" i="1"/>
  <c r="T298" i="1"/>
  <c r="U298" i="1"/>
  <c r="T299" i="1"/>
  <c r="U299" i="1"/>
  <c r="T300" i="1"/>
  <c r="U300" i="1"/>
  <c r="T301" i="1"/>
  <c r="U301" i="1"/>
  <c r="T302" i="1"/>
  <c r="U302" i="1"/>
  <c r="T303" i="1"/>
  <c r="U303" i="1"/>
  <c r="T304" i="1"/>
  <c r="U304" i="1"/>
  <c r="T305" i="1"/>
  <c r="U305" i="1"/>
  <c r="T306" i="1"/>
  <c r="U306" i="1"/>
  <c r="T307" i="1"/>
  <c r="U307" i="1"/>
  <c r="T308" i="1"/>
  <c r="U308" i="1"/>
  <c r="T309" i="1"/>
  <c r="U309" i="1"/>
  <c r="T310" i="1"/>
  <c r="U310" i="1"/>
  <c r="T311" i="1"/>
  <c r="U311" i="1"/>
  <c r="T312" i="1"/>
  <c r="U312" i="1"/>
  <c r="T313" i="1"/>
  <c r="U313" i="1"/>
  <c r="T314" i="1"/>
  <c r="U314" i="1"/>
  <c r="T315" i="1"/>
  <c r="U315" i="1"/>
  <c r="T316" i="1"/>
  <c r="U316" i="1"/>
  <c r="T317" i="1"/>
  <c r="U317" i="1"/>
  <c r="T318" i="1"/>
  <c r="U318" i="1"/>
  <c r="T319" i="1"/>
  <c r="U319" i="1"/>
  <c r="T320" i="1"/>
  <c r="U320" i="1"/>
  <c r="T321" i="1"/>
  <c r="U321" i="1"/>
  <c r="T322" i="1"/>
  <c r="U322" i="1"/>
  <c r="T323" i="1"/>
  <c r="U323" i="1"/>
  <c r="T324" i="1"/>
  <c r="U324" i="1"/>
  <c r="T325" i="1"/>
  <c r="U325" i="1"/>
  <c r="T326" i="1"/>
  <c r="U326" i="1"/>
  <c r="T327" i="1"/>
  <c r="U327" i="1"/>
  <c r="T328" i="1"/>
  <c r="U328" i="1"/>
  <c r="T329" i="1"/>
  <c r="U329" i="1"/>
  <c r="T330" i="1"/>
  <c r="U330" i="1"/>
  <c r="T331" i="1"/>
  <c r="U331" i="1"/>
  <c r="T332" i="1"/>
  <c r="U332" i="1"/>
  <c r="T333" i="1"/>
  <c r="U333" i="1"/>
  <c r="T334" i="1"/>
  <c r="U334" i="1"/>
  <c r="T335" i="1"/>
  <c r="U335" i="1"/>
  <c r="T336" i="1"/>
  <c r="U336" i="1"/>
  <c r="T337" i="1"/>
  <c r="U337" i="1"/>
  <c r="T338" i="1"/>
  <c r="U338" i="1"/>
  <c r="T339" i="1"/>
  <c r="U339" i="1"/>
  <c r="T340" i="1"/>
  <c r="U340" i="1"/>
  <c r="T341" i="1"/>
  <c r="U341" i="1"/>
  <c r="T342" i="1"/>
  <c r="U342" i="1"/>
  <c r="T343" i="1"/>
  <c r="U343" i="1"/>
  <c r="T344" i="1"/>
  <c r="U344" i="1"/>
  <c r="T345" i="1"/>
  <c r="U345" i="1"/>
  <c r="T346" i="1"/>
  <c r="U346" i="1"/>
  <c r="T347" i="1"/>
  <c r="U347" i="1"/>
  <c r="T348" i="1"/>
  <c r="U348" i="1"/>
  <c r="T349" i="1"/>
  <c r="U349" i="1"/>
  <c r="T350" i="1"/>
  <c r="U350" i="1"/>
  <c r="T351" i="1"/>
  <c r="U351" i="1"/>
  <c r="T352" i="1"/>
  <c r="U352" i="1"/>
  <c r="T353" i="1"/>
  <c r="U353" i="1"/>
  <c r="T354" i="1"/>
  <c r="U354" i="1"/>
  <c r="T355" i="1"/>
  <c r="U355" i="1"/>
  <c r="T356" i="1"/>
  <c r="U356" i="1"/>
  <c r="T357" i="1"/>
  <c r="U357" i="1"/>
  <c r="T358" i="1"/>
  <c r="U358" i="1"/>
  <c r="T359" i="1"/>
  <c r="U359" i="1"/>
  <c r="T360" i="1"/>
  <c r="U360" i="1"/>
  <c r="T361" i="1"/>
  <c r="U361" i="1"/>
  <c r="T362" i="1"/>
  <c r="U362" i="1"/>
  <c r="T363" i="1"/>
  <c r="U363" i="1"/>
  <c r="T364" i="1"/>
  <c r="U364" i="1"/>
  <c r="T365" i="1"/>
  <c r="U365" i="1"/>
  <c r="T366" i="1"/>
  <c r="U366" i="1"/>
  <c r="T367" i="1"/>
  <c r="U367" i="1"/>
  <c r="T368" i="1"/>
  <c r="U368" i="1"/>
  <c r="T369" i="1"/>
  <c r="U369" i="1"/>
  <c r="T370" i="1"/>
  <c r="U370" i="1"/>
  <c r="T371" i="1"/>
  <c r="U371" i="1"/>
  <c r="T372" i="1"/>
  <c r="U372" i="1"/>
  <c r="T373" i="1"/>
  <c r="U373" i="1"/>
  <c r="T374" i="1"/>
  <c r="U374" i="1"/>
  <c r="T375" i="1"/>
  <c r="U375" i="1"/>
  <c r="T376" i="1"/>
  <c r="U376" i="1"/>
  <c r="T377" i="1"/>
  <c r="U377" i="1"/>
  <c r="T378" i="1"/>
  <c r="U378" i="1"/>
  <c r="T379" i="1"/>
  <c r="U379" i="1"/>
  <c r="T380" i="1"/>
  <c r="U380" i="1"/>
  <c r="T381" i="1"/>
  <c r="U381" i="1"/>
  <c r="T382" i="1"/>
  <c r="U382" i="1"/>
  <c r="T383" i="1"/>
  <c r="U383" i="1"/>
  <c r="T384" i="1"/>
  <c r="U384" i="1"/>
  <c r="T385" i="1"/>
  <c r="U385" i="1"/>
  <c r="T386" i="1"/>
  <c r="U386" i="1"/>
  <c r="T387" i="1"/>
  <c r="U387" i="1"/>
  <c r="T388" i="1"/>
  <c r="U388" i="1"/>
  <c r="T389" i="1"/>
  <c r="U389" i="1"/>
  <c r="T390" i="1"/>
  <c r="U390" i="1"/>
  <c r="T391" i="1"/>
  <c r="U391" i="1"/>
  <c r="T392" i="1"/>
  <c r="U392" i="1"/>
  <c r="T393" i="1"/>
  <c r="U393" i="1"/>
  <c r="T394" i="1"/>
  <c r="U394" i="1"/>
  <c r="T395" i="1"/>
  <c r="U395" i="1"/>
  <c r="T396" i="1"/>
  <c r="U396" i="1"/>
  <c r="T397" i="1"/>
  <c r="U397" i="1"/>
  <c r="T398" i="1"/>
  <c r="U398" i="1"/>
  <c r="T399" i="1"/>
  <c r="U399" i="1"/>
  <c r="T400" i="1"/>
  <c r="U400" i="1"/>
  <c r="T401" i="1"/>
  <c r="U401" i="1"/>
  <c r="T402" i="1"/>
  <c r="U402" i="1"/>
  <c r="T403" i="1"/>
  <c r="U403" i="1"/>
  <c r="T404" i="1"/>
  <c r="U404" i="1"/>
  <c r="T405" i="1"/>
  <c r="U405" i="1"/>
  <c r="T406" i="1"/>
  <c r="U406" i="1"/>
  <c r="T407" i="1"/>
  <c r="U407" i="1"/>
  <c r="T408" i="1"/>
  <c r="U408" i="1"/>
  <c r="T409" i="1"/>
  <c r="U409" i="1"/>
  <c r="T410" i="1"/>
  <c r="U410" i="1"/>
  <c r="T411" i="1"/>
  <c r="U411" i="1"/>
  <c r="T412" i="1"/>
  <c r="U412" i="1"/>
  <c r="T413" i="1"/>
  <c r="U413" i="1"/>
  <c r="T414" i="1"/>
  <c r="U414" i="1"/>
  <c r="T415" i="1"/>
  <c r="U415" i="1"/>
  <c r="T416" i="1"/>
  <c r="U416" i="1"/>
  <c r="T417" i="1"/>
  <c r="U417" i="1"/>
  <c r="T418" i="1"/>
  <c r="U418" i="1"/>
  <c r="T419" i="1"/>
  <c r="U419" i="1"/>
  <c r="T420" i="1"/>
  <c r="U420" i="1"/>
  <c r="T421" i="1"/>
  <c r="U421" i="1"/>
  <c r="T422" i="1"/>
  <c r="U422" i="1"/>
  <c r="T423" i="1"/>
  <c r="U423" i="1"/>
  <c r="T424" i="1"/>
  <c r="U424" i="1"/>
  <c r="T425" i="1"/>
  <c r="U425" i="1"/>
  <c r="T426" i="1"/>
  <c r="U426" i="1"/>
  <c r="T427" i="1"/>
  <c r="U427" i="1"/>
  <c r="T428" i="1"/>
  <c r="U428" i="1"/>
  <c r="T429" i="1"/>
  <c r="U429" i="1"/>
  <c r="T430" i="1"/>
  <c r="U430" i="1"/>
  <c r="T431" i="1"/>
  <c r="U431" i="1"/>
  <c r="T432" i="1"/>
  <c r="U432" i="1"/>
  <c r="T433" i="1"/>
  <c r="U433" i="1"/>
  <c r="T434" i="1"/>
  <c r="U434" i="1"/>
  <c r="T435" i="1"/>
  <c r="U435" i="1"/>
  <c r="T436" i="1"/>
  <c r="U436" i="1"/>
  <c r="T437" i="1"/>
  <c r="U437" i="1"/>
  <c r="T438" i="1"/>
  <c r="U438" i="1"/>
  <c r="T439" i="1"/>
  <c r="U439" i="1"/>
  <c r="T440" i="1"/>
  <c r="U440" i="1"/>
  <c r="T441" i="1"/>
  <c r="U441" i="1"/>
  <c r="T442" i="1"/>
  <c r="U442" i="1"/>
  <c r="T443" i="1"/>
  <c r="U443" i="1"/>
  <c r="T444" i="1"/>
  <c r="U444" i="1"/>
  <c r="T445" i="1"/>
  <c r="U445" i="1"/>
  <c r="T446" i="1"/>
  <c r="U446" i="1"/>
  <c r="T447" i="1"/>
  <c r="U447" i="1"/>
  <c r="T448" i="1"/>
  <c r="U448" i="1"/>
  <c r="T449" i="1"/>
  <c r="U449" i="1"/>
  <c r="T450" i="1"/>
  <c r="U450" i="1"/>
  <c r="T451" i="1"/>
  <c r="U451" i="1"/>
  <c r="T452" i="1"/>
  <c r="U452" i="1"/>
  <c r="T453" i="1"/>
  <c r="U453" i="1"/>
  <c r="T454" i="1"/>
  <c r="U454" i="1"/>
  <c r="T455" i="1"/>
  <c r="U455" i="1"/>
  <c r="T456" i="1"/>
  <c r="U456" i="1"/>
  <c r="T457" i="1"/>
  <c r="U457" i="1"/>
  <c r="T458" i="1"/>
  <c r="U458" i="1"/>
  <c r="T459" i="1"/>
  <c r="U459" i="1"/>
  <c r="T460" i="1"/>
  <c r="U460" i="1"/>
  <c r="T461" i="1"/>
  <c r="U461" i="1"/>
  <c r="T462" i="1"/>
  <c r="U462" i="1"/>
  <c r="T463" i="1"/>
  <c r="U463" i="1"/>
  <c r="T464" i="1"/>
  <c r="U464" i="1"/>
  <c r="T465" i="1"/>
  <c r="U465" i="1"/>
  <c r="T466" i="1"/>
  <c r="U466" i="1"/>
  <c r="T467" i="1"/>
  <c r="U467" i="1"/>
  <c r="T468" i="1"/>
  <c r="U468" i="1"/>
  <c r="T469" i="1"/>
  <c r="U469" i="1"/>
  <c r="T470" i="1"/>
  <c r="U470" i="1"/>
  <c r="T471" i="1"/>
  <c r="U471" i="1"/>
  <c r="T472" i="1"/>
  <c r="U472" i="1"/>
  <c r="T473" i="1"/>
  <c r="U473" i="1"/>
  <c r="T474" i="1"/>
  <c r="U474" i="1"/>
  <c r="T475" i="1"/>
  <c r="U475" i="1"/>
  <c r="T476" i="1"/>
  <c r="U476" i="1"/>
  <c r="T477" i="1"/>
  <c r="U477" i="1"/>
  <c r="T478" i="1"/>
  <c r="U478" i="1"/>
  <c r="T479" i="1"/>
  <c r="U479" i="1"/>
  <c r="T480" i="1"/>
  <c r="U480" i="1"/>
  <c r="T481" i="1"/>
  <c r="U481" i="1"/>
  <c r="T482" i="1"/>
  <c r="U482" i="1"/>
  <c r="T483" i="1"/>
  <c r="U483" i="1"/>
  <c r="T484" i="1"/>
  <c r="U484" i="1"/>
  <c r="T485" i="1"/>
  <c r="U485" i="1"/>
  <c r="T486" i="1"/>
  <c r="U486" i="1"/>
  <c r="T487" i="1"/>
  <c r="U487" i="1"/>
  <c r="T488" i="1"/>
  <c r="U488" i="1"/>
  <c r="T489" i="1"/>
  <c r="U489" i="1"/>
  <c r="T490" i="1"/>
  <c r="U490" i="1"/>
  <c r="T491" i="1"/>
  <c r="U491" i="1"/>
  <c r="T492" i="1"/>
  <c r="U492" i="1"/>
  <c r="T493" i="1"/>
  <c r="U493" i="1"/>
  <c r="T494" i="1"/>
  <c r="U494" i="1"/>
  <c r="T495" i="1"/>
  <c r="U495" i="1"/>
  <c r="T496" i="1"/>
  <c r="U496" i="1"/>
  <c r="T497" i="1"/>
  <c r="U497" i="1"/>
  <c r="T498" i="1"/>
  <c r="U498" i="1"/>
  <c r="T499" i="1"/>
  <c r="U499" i="1"/>
  <c r="T500" i="1"/>
  <c r="U500" i="1"/>
  <c r="T501" i="1"/>
  <c r="U501" i="1"/>
  <c r="T502" i="1"/>
  <c r="U502" i="1"/>
  <c r="T503" i="1"/>
  <c r="U503" i="1"/>
  <c r="T504" i="1"/>
  <c r="U504" i="1"/>
  <c r="T505" i="1"/>
  <c r="U505" i="1"/>
  <c r="T506" i="1"/>
  <c r="U506" i="1"/>
  <c r="T507" i="1"/>
  <c r="U507" i="1"/>
  <c r="T508" i="1"/>
  <c r="U508" i="1"/>
  <c r="T509" i="1"/>
  <c r="U509" i="1"/>
  <c r="T510" i="1"/>
  <c r="U510" i="1"/>
  <c r="T511" i="1"/>
  <c r="U511" i="1"/>
  <c r="T512" i="1"/>
  <c r="U512" i="1"/>
  <c r="T513" i="1"/>
  <c r="U513" i="1"/>
  <c r="T514" i="1"/>
  <c r="U514" i="1"/>
  <c r="T515" i="1"/>
  <c r="U515" i="1"/>
  <c r="T516" i="1"/>
  <c r="U516" i="1"/>
  <c r="T517" i="1"/>
  <c r="U517" i="1"/>
  <c r="T518" i="1"/>
  <c r="U518" i="1"/>
  <c r="T519" i="1"/>
  <c r="U519" i="1"/>
  <c r="T520" i="1"/>
  <c r="U520" i="1"/>
  <c r="T521" i="1"/>
  <c r="U521" i="1"/>
  <c r="T522" i="1"/>
  <c r="U522" i="1"/>
  <c r="T523" i="1"/>
  <c r="U523" i="1"/>
  <c r="T524" i="1"/>
  <c r="U524" i="1"/>
  <c r="T525" i="1"/>
  <c r="U525" i="1"/>
  <c r="T526" i="1"/>
  <c r="U526" i="1"/>
  <c r="T527" i="1"/>
  <c r="U527" i="1"/>
  <c r="T528" i="1"/>
  <c r="U528" i="1"/>
  <c r="T529" i="1"/>
  <c r="U529" i="1"/>
  <c r="T530" i="1"/>
  <c r="U530" i="1"/>
  <c r="T531" i="1"/>
  <c r="U531" i="1"/>
  <c r="T532" i="1"/>
  <c r="U532" i="1"/>
  <c r="T533" i="1"/>
  <c r="U533" i="1"/>
  <c r="T534" i="1"/>
  <c r="U534" i="1"/>
  <c r="T535" i="1"/>
  <c r="U535" i="1"/>
  <c r="T536" i="1"/>
  <c r="U536" i="1"/>
  <c r="T537" i="1"/>
  <c r="U537" i="1"/>
  <c r="T538" i="1"/>
  <c r="U538" i="1"/>
  <c r="T539" i="1"/>
  <c r="U539" i="1"/>
  <c r="T540" i="1"/>
  <c r="U540" i="1"/>
  <c r="T541" i="1"/>
  <c r="U541" i="1"/>
  <c r="T542" i="1"/>
  <c r="U542" i="1"/>
  <c r="T543" i="1"/>
  <c r="U543" i="1"/>
  <c r="T544" i="1"/>
  <c r="U544" i="1"/>
  <c r="T545" i="1"/>
  <c r="U545" i="1"/>
  <c r="T546" i="1"/>
  <c r="U546" i="1"/>
  <c r="T547" i="1"/>
  <c r="U547" i="1"/>
  <c r="T548" i="1"/>
  <c r="U548" i="1"/>
  <c r="T549" i="1"/>
  <c r="U549" i="1"/>
  <c r="T550" i="1"/>
  <c r="U550" i="1"/>
  <c r="T551" i="1"/>
  <c r="U551" i="1"/>
  <c r="T552" i="1"/>
  <c r="U552" i="1"/>
  <c r="T553" i="1"/>
  <c r="U553" i="1"/>
  <c r="T554" i="1"/>
  <c r="U554" i="1"/>
  <c r="T555" i="1"/>
  <c r="U555" i="1"/>
  <c r="T556" i="1"/>
  <c r="U556" i="1"/>
  <c r="T557" i="1"/>
  <c r="U557" i="1"/>
  <c r="T558" i="1"/>
  <c r="U558" i="1"/>
  <c r="T559" i="1"/>
  <c r="U559" i="1"/>
  <c r="T560" i="1"/>
  <c r="U560" i="1"/>
  <c r="T561" i="1"/>
  <c r="U561" i="1"/>
  <c r="T562" i="1"/>
  <c r="U562" i="1"/>
  <c r="T563" i="1"/>
  <c r="U563" i="1"/>
  <c r="T564" i="1"/>
  <c r="U564" i="1"/>
  <c r="T565" i="1"/>
  <c r="U565" i="1"/>
  <c r="T566" i="1"/>
  <c r="U566" i="1"/>
  <c r="T567" i="1"/>
  <c r="U567" i="1"/>
  <c r="T568" i="1"/>
  <c r="U568" i="1"/>
  <c r="T569" i="1"/>
  <c r="U569" i="1"/>
  <c r="T570" i="1"/>
  <c r="U570" i="1"/>
  <c r="T571" i="1"/>
  <c r="U571" i="1"/>
  <c r="T572" i="1"/>
  <c r="U572" i="1"/>
  <c r="T573" i="1"/>
  <c r="U573" i="1"/>
  <c r="T574" i="1"/>
  <c r="U574" i="1"/>
  <c r="T575" i="1"/>
  <c r="U575" i="1"/>
  <c r="T576" i="1"/>
  <c r="U576" i="1"/>
  <c r="T577" i="1"/>
  <c r="U577" i="1"/>
  <c r="T578" i="1"/>
  <c r="U578" i="1"/>
  <c r="T579" i="1"/>
  <c r="U579" i="1"/>
  <c r="T580" i="1"/>
  <c r="U580" i="1"/>
  <c r="T581" i="1"/>
  <c r="U581" i="1"/>
  <c r="T582" i="1"/>
  <c r="U582" i="1"/>
  <c r="T583" i="1"/>
  <c r="U583" i="1"/>
  <c r="T584" i="1"/>
  <c r="U584" i="1"/>
  <c r="T585" i="1"/>
  <c r="U585" i="1"/>
  <c r="T586" i="1"/>
  <c r="U586" i="1"/>
  <c r="T587" i="1"/>
  <c r="U587" i="1"/>
  <c r="T588" i="1"/>
  <c r="U588" i="1"/>
  <c r="T589" i="1"/>
  <c r="U589" i="1"/>
  <c r="T590" i="1"/>
  <c r="U590" i="1"/>
  <c r="T591" i="1"/>
  <c r="U591" i="1"/>
  <c r="T592" i="1"/>
  <c r="U592" i="1"/>
  <c r="T593" i="1"/>
  <c r="U593" i="1"/>
  <c r="T594" i="1"/>
  <c r="U594" i="1"/>
  <c r="T595" i="1"/>
  <c r="U595" i="1"/>
  <c r="T596" i="1"/>
  <c r="U596" i="1"/>
  <c r="T597" i="1"/>
  <c r="U597" i="1"/>
  <c r="T598" i="1"/>
  <c r="U598" i="1"/>
  <c r="T599" i="1"/>
  <c r="U599" i="1"/>
  <c r="T600" i="1"/>
  <c r="U600" i="1"/>
  <c r="T601" i="1"/>
  <c r="U601" i="1"/>
  <c r="T602" i="1"/>
  <c r="U602" i="1"/>
  <c r="T603" i="1"/>
  <c r="U603" i="1"/>
  <c r="T604" i="1"/>
  <c r="U604" i="1"/>
  <c r="T605" i="1"/>
  <c r="U605" i="1"/>
  <c r="T606" i="1"/>
  <c r="U606" i="1"/>
  <c r="T607" i="1"/>
  <c r="U607" i="1"/>
  <c r="T608" i="1"/>
  <c r="U608" i="1"/>
  <c r="T609" i="1"/>
  <c r="U609" i="1"/>
  <c r="T610" i="1"/>
  <c r="U610" i="1"/>
  <c r="T611" i="1"/>
  <c r="U611" i="1"/>
  <c r="T612" i="1"/>
  <c r="U612" i="1"/>
  <c r="T613" i="1"/>
  <c r="U613" i="1"/>
  <c r="T614" i="1"/>
  <c r="U614" i="1"/>
  <c r="T615" i="1"/>
  <c r="U615" i="1"/>
  <c r="T616" i="1"/>
  <c r="U616" i="1"/>
  <c r="T617" i="1"/>
  <c r="U617" i="1"/>
  <c r="T618" i="1"/>
  <c r="U618" i="1"/>
  <c r="T619" i="1"/>
  <c r="U619" i="1"/>
  <c r="T620" i="1"/>
  <c r="U620" i="1"/>
  <c r="T621" i="1"/>
  <c r="U621" i="1"/>
  <c r="T622" i="1"/>
  <c r="U622" i="1"/>
  <c r="T623" i="1"/>
  <c r="U623" i="1"/>
  <c r="T624" i="1"/>
  <c r="U624" i="1"/>
  <c r="T625" i="1"/>
  <c r="U625" i="1"/>
  <c r="T626" i="1"/>
  <c r="U626" i="1"/>
  <c r="T627" i="1"/>
  <c r="U627" i="1"/>
  <c r="T628" i="1"/>
  <c r="U628" i="1"/>
  <c r="T629" i="1"/>
  <c r="U629" i="1"/>
  <c r="T630" i="1"/>
  <c r="U630" i="1"/>
  <c r="T631" i="1"/>
  <c r="U631" i="1"/>
  <c r="T632" i="1"/>
  <c r="U632" i="1"/>
  <c r="T633" i="1"/>
  <c r="U633" i="1"/>
  <c r="T634" i="1"/>
  <c r="U634" i="1"/>
  <c r="T635" i="1"/>
  <c r="U635" i="1"/>
  <c r="T636" i="1"/>
  <c r="U636" i="1"/>
  <c r="T637" i="1"/>
  <c r="U637" i="1"/>
  <c r="T638" i="1"/>
  <c r="U638" i="1"/>
  <c r="T639" i="1"/>
  <c r="U639" i="1"/>
  <c r="T640" i="1"/>
  <c r="U640" i="1"/>
  <c r="T641" i="1"/>
  <c r="U641" i="1"/>
  <c r="T642" i="1"/>
  <c r="U642" i="1"/>
  <c r="T643" i="1"/>
  <c r="U643" i="1"/>
  <c r="T644" i="1"/>
  <c r="U644" i="1"/>
  <c r="T645" i="1"/>
  <c r="U645" i="1"/>
  <c r="T646" i="1"/>
  <c r="U646" i="1"/>
  <c r="T647" i="1"/>
  <c r="U647" i="1"/>
  <c r="T648" i="1"/>
  <c r="U648" i="1"/>
  <c r="T649" i="1"/>
  <c r="U649" i="1"/>
  <c r="T650" i="1"/>
  <c r="U650" i="1"/>
  <c r="T651" i="1"/>
  <c r="U651" i="1"/>
  <c r="T652" i="1"/>
  <c r="U652" i="1"/>
  <c r="T653" i="1"/>
  <c r="U653" i="1"/>
  <c r="T654" i="1"/>
  <c r="U654" i="1"/>
  <c r="T655" i="1"/>
  <c r="U655" i="1"/>
  <c r="T656" i="1"/>
  <c r="U656" i="1"/>
  <c r="T657" i="1"/>
  <c r="U657" i="1"/>
  <c r="T658" i="1"/>
  <c r="U658" i="1"/>
  <c r="T659" i="1"/>
  <c r="U659" i="1"/>
  <c r="T660" i="1"/>
  <c r="U660" i="1"/>
  <c r="T661" i="1"/>
  <c r="U661" i="1"/>
  <c r="T662" i="1"/>
  <c r="U662" i="1"/>
  <c r="T663" i="1"/>
  <c r="U663" i="1"/>
  <c r="T664" i="1"/>
  <c r="U664" i="1"/>
  <c r="T665" i="1"/>
  <c r="U665" i="1"/>
  <c r="T666" i="1"/>
  <c r="U666" i="1"/>
  <c r="T667" i="1"/>
  <c r="U667" i="1"/>
  <c r="T668" i="1"/>
  <c r="U668" i="1"/>
  <c r="T669" i="1"/>
  <c r="U669" i="1"/>
  <c r="T670" i="1"/>
  <c r="U670" i="1"/>
  <c r="T671" i="1"/>
  <c r="U671" i="1"/>
  <c r="T672" i="1"/>
  <c r="U672" i="1"/>
  <c r="T673" i="1"/>
  <c r="U673" i="1"/>
  <c r="T674" i="1"/>
  <c r="U674" i="1"/>
  <c r="T675" i="1"/>
  <c r="U675" i="1"/>
  <c r="T676" i="1"/>
  <c r="U676" i="1"/>
  <c r="T677" i="1"/>
  <c r="U677" i="1"/>
  <c r="T678" i="1"/>
  <c r="U678" i="1"/>
  <c r="T679" i="1"/>
  <c r="U679" i="1"/>
  <c r="T680" i="1"/>
  <c r="U680" i="1"/>
  <c r="T681" i="1"/>
  <c r="U681" i="1"/>
  <c r="T682" i="1"/>
  <c r="U682" i="1"/>
  <c r="T683" i="1"/>
  <c r="U683" i="1"/>
  <c r="T684" i="1"/>
  <c r="U684" i="1"/>
  <c r="T685" i="1"/>
  <c r="U685" i="1"/>
  <c r="T686" i="1"/>
  <c r="U686" i="1"/>
  <c r="T687" i="1"/>
  <c r="U687" i="1"/>
  <c r="T688" i="1"/>
  <c r="U688" i="1"/>
  <c r="T689" i="1"/>
  <c r="U689" i="1"/>
  <c r="T690" i="1"/>
  <c r="U690" i="1"/>
  <c r="T691" i="1"/>
  <c r="U691" i="1"/>
  <c r="T692" i="1"/>
  <c r="U692" i="1"/>
  <c r="T693" i="1"/>
  <c r="U693" i="1"/>
  <c r="T694" i="1"/>
  <c r="U694" i="1"/>
  <c r="T695" i="1"/>
  <c r="U695" i="1"/>
  <c r="T696" i="1"/>
  <c r="U696" i="1"/>
  <c r="T697" i="1"/>
  <c r="U697" i="1"/>
  <c r="T698" i="1"/>
  <c r="U698" i="1"/>
  <c r="T699" i="1"/>
  <c r="U699" i="1"/>
  <c r="T700" i="1"/>
  <c r="U700" i="1"/>
  <c r="T701" i="1"/>
  <c r="U701" i="1"/>
  <c r="T702" i="1"/>
  <c r="U702" i="1"/>
  <c r="T703" i="1"/>
  <c r="U703" i="1"/>
  <c r="T704" i="1"/>
  <c r="U704" i="1"/>
  <c r="T705" i="1"/>
  <c r="U705" i="1"/>
  <c r="T706" i="1"/>
  <c r="U706" i="1"/>
  <c r="T707" i="1"/>
  <c r="U707" i="1"/>
  <c r="T708" i="1"/>
  <c r="U708" i="1"/>
  <c r="T709" i="1"/>
  <c r="U709" i="1"/>
  <c r="T710" i="1"/>
  <c r="U710" i="1"/>
  <c r="T711" i="1"/>
  <c r="U711" i="1"/>
  <c r="T712" i="1"/>
  <c r="U712" i="1"/>
  <c r="T713" i="1"/>
  <c r="U713" i="1"/>
  <c r="T714" i="1"/>
  <c r="U714" i="1"/>
  <c r="T715" i="1"/>
  <c r="U715" i="1"/>
  <c r="T716" i="1"/>
  <c r="U716" i="1"/>
  <c r="T717" i="1"/>
  <c r="U717" i="1"/>
  <c r="T718" i="1"/>
  <c r="U718" i="1"/>
  <c r="T719" i="1"/>
  <c r="U719" i="1"/>
  <c r="T720" i="1"/>
  <c r="U720" i="1"/>
  <c r="T721" i="1"/>
  <c r="U721" i="1"/>
  <c r="T722" i="1"/>
  <c r="U722" i="1"/>
  <c r="T723" i="1"/>
  <c r="U723" i="1"/>
  <c r="T724" i="1"/>
  <c r="U724" i="1"/>
  <c r="T725" i="1"/>
  <c r="U725" i="1"/>
  <c r="T726" i="1"/>
  <c r="U726" i="1"/>
  <c r="T727" i="1"/>
  <c r="U727" i="1"/>
  <c r="T728" i="1"/>
  <c r="U728" i="1"/>
  <c r="T729" i="1"/>
  <c r="U729" i="1"/>
  <c r="T730" i="1"/>
  <c r="U730" i="1"/>
  <c r="T731" i="1"/>
  <c r="U731" i="1"/>
  <c r="T732" i="1"/>
  <c r="U732" i="1"/>
  <c r="T733" i="1"/>
  <c r="U733" i="1"/>
  <c r="T734" i="1"/>
  <c r="U734" i="1"/>
  <c r="T735" i="1"/>
  <c r="U735" i="1"/>
  <c r="T736" i="1"/>
  <c r="U736" i="1"/>
  <c r="T737" i="1"/>
  <c r="U737" i="1"/>
  <c r="T738" i="1"/>
  <c r="U738" i="1"/>
  <c r="T739" i="1"/>
  <c r="U739" i="1"/>
  <c r="T740" i="1"/>
  <c r="U740" i="1"/>
  <c r="T741" i="1"/>
  <c r="U741" i="1"/>
  <c r="T742" i="1"/>
  <c r="U742" i="1"/>
  <c r="T743" i="1"/>
  <c r="U743" i="1"/>
  <c r="T744" i="1"/>
  <c r="U744" i="1"/>
  <c r="T745" i="1"/>
  <c r="U745" i="1"/>
  <c r="T746" i="1"/>
  <c r="U746" i="1"/>
  <c r="T747" i="1"/>
  <c r="U747" i="1"/>
  <c r="T748" i="1"/>
  <c r="U748" i="1"/>
  <c r="T749" i="1"/>
  <c r="U749" i="1"/>
  <c r="T750" i="1"/>
  <c r="U750" i="1"/>
  <c r="T751" i="1"/>
  <c r="U751" i="1"/>
  <c r="T752" i="1"/>
  <c r="U752" i="1"/>
  <c r="T753" i="1"/>
  <c r="U753" i="1"/>
  <c r="T754" i="1"/>
  <c r="U754" i="1"/>
  <c r="T755" i="1"/>
  <c r="U755" i="1"/>
  <c r="T756" i="1"/>
  <c r="U756" i="1"/>
  <c r="T757" i="1"/>
  <c r="U757" i="1"/>
  <c r="T758" i="1"/>
  <c r="U758" i="1"/>
  <c r="T759" i="1"/>
  <c r="U759" i="1"/>
  <c r="T760" i="1"/>
  <c r="U760" i="1"/>
  <c r="T761" i="1"/>
  <c r="U761" i="1"/>
  <c r="T762" i="1"/>
  <c r="U762" i="1"/>
  <c r="T763" i="1"/>
  <c r="U763" i="1"/>
  <c r="T764" i="1"/>
  <c r="U764" i="1"/>
  <c r="T765" i="1"/>
  <c r="U765" i="1"/>
  <c r="T766" i="1"/>
  <c r="U766" i="1"/>
  <c r="T767" i="1"/>
  <c r="U767" i="1"/>
  <c r="T768" i="1"/>
  <c r="U768" i="1"/>
  <c r="T769" i="1"/>
  <c r="U769" i="1"/>
  <c r="T770" i="1"/>
  <c r="U770" i="1"/>
  <c r="T771" i="1"/>
  <c r="U771" i="1"/>
  <c r="T772" i="1"/>
  <c r="U772" i="1"/>
  <c r="T773" i="1"/>
  <c r="U773" i="1"/>
  <c r="T774" i="1"/>
  <c r="U774" i="1"/>
  <c r="T775" i="1"/>
  <c r="U775" i="1"/>
  <c r="T776" i="1"/>
  <c r="U776" i="1"/>
  <c r="T777" i="1"/>
  <c r="U777" i="1"/>
  <c r="T778" i="1"/>
  <c r="U778" i="1"/>
  <c r="T779" i="1"/>
  <c r="U779" i="1"/>
  <c r="T780" i="1"/>
  <c r="U780" i="1"/>
  <c r="T781" i="1"/>
  <c r="U781" i="1"/>
  <c r="T782" i="1"/>
  <c r="U782" i="1"/>
  <c r="T783" i="1"/>
  <c r="U783" i="1"/>
  <c r="T784" i="1"/>
  <c r="U784" i="1"/>
  <c r="T785" i="1"/>
  <c r="U785" i="1"/>
  <c r="T786" i="1"/>
  <c r="U786" i="1"/>
  <c r="T787" i="1"/>
  <c r="U787" i="1"/>
  <c r="T788" i="1"/>
  <c r="U788" i="1"/>
  <c r="T789" i="1"/>
  <c r="U789" i="1"/>
  <c r="T790" i="1"/>
  <c r="U790" i="1"/>
  <c r="T791" i="1"/>
  <c r="U791" i="1"/>
  <c r="T792" i="1"/>
  <c r="U792" i="1"/>
  <c r="T793" i="1"/>
  <c r="U793" i="1"/>
  <c r="T794" i="1"/>
  <c r="U794" i="1"/>
  <c r="T795" i="1"/>
  <c r="U795" i="1"/>
  <c r="T796" i="1"/>
  <c r="U796" i="1"/>
  <c r="T797" i="1"/>
  <c r="U797" i="1"/>
  <c r="T798" i="1"/>
  <c r="U798" i="1"/>
  <c r="T799" i="1"/>
  <c r="U799" i="1"/>
  <c r="T800" i="1"/>
  <c r="U800" i="1"/>
  <c r="T801" i="1"/>
  <c r="U801" i="1"/>
  <c r="T802" i="1"/>
  <c r="U802" i="1"/>
  <c r="T803" i="1"/>
  <c r="U803" i="1"/>
  <c r="T804" i="1"/>
  <c r="U804" i="1"/>
  <c r="T805" i="1"/>
  <c r="U805" i="1"/>
  <c r="T806" i="1"/>
  <c r="U806" i="1"/>
  <c r="T807" i="1"/>
  <c r="U807" i="1"/>
  <c r="T808" i="1"/>
  <c r="U808" i="1"/>
  <c r="T809" i="1"/>
  <c r="U809" i="1"/>
  <c r="T810" i="1"/>
  <c r="U810" i="1"/>
  <c r="T811" i="1"/>
  <c r="U811" i="1"/>
  <c r="T812" i="1"/>
  <c r="U812" i="1"/>
  <c r="T813" i="1"/>
  <c r="U813" i="1"/>
  <c r="T814" i="1"/>
  <c r="U814" i="1"/>
  <c r="T815" i="1"/>
  <c r="U815" i="1"/>
  <c r="T816" i="1"/>
  <c r="U816" i="1"/>
  <c r="T817" i="1"/>
  <c r="U817" i="1"/>
  <c r="T818" i="1"/>
  <c r="U818" i="1"/>
  <c r="T819" i="1"/>
  <c r="U819" i="1"/>
  <c r="T820" i="1"/>
  <c r="U820" i="1"/>
  <c r="T821" i="1"/>
  <c r="U821" i="1"/>
  <c r="T822" i="1"/>
  <c r="U822" i="1"/>
  <c r="T823" i="1"/>
  <c r="U823" i="1"/>
  <c r="T824" i="1"/>
  <c r="U824" i="1"/>
  <c r="T825" i="1"/>
  <c r="U825" i="1"/>
  <c r="T826" i="1"/>
  <c r="U826" i="1"/>
  <c r="T827" i="1"/>
  <c r="U827" i="1"/>
  <c r="T828" i="1"/>
  <c r="U828" i="1"/>
  <c r="T829" i="1"/>
  <c r="U829" i="1"/>
  <c r="T830" i="1"/>
  <c r="U830" i="1"/>
  <c r="T831" i="1"/>
  <c r="U831" i="1"/>
  <c r="T832" i="1"/>
  <c r="U832" i="1"/>
  <c r="T833" i="1"/>
  <c r="U833" i="1"/>
  <c r="T834" i="1"/>
  <c r="U834" i="1"/>
  <c r="T835" i="1"/>
  <c r="U835" i="1"/>
  <c r="T836" i="1"/>
  <c r="U836" i="1"/>
  <c r="T837" i="1"/>
  <c r="U837" i="1"/>
  <c r="T838" i="1"/>
  <c r="U838" i="1"/>
  <c r="T839" i="1"/>
  <c r="U839" i="1"/>
  <c r="T840" i="1"/>
  <c r="U840" i="1"/>
  <c r="T841" i="1"/>
  <c r="U841" i="1"/>
  <c r="T842" i="1"/>
  <c r="U842" i="1"/>
  <c r="T843" i="1"/>
  <c r="U843" i="1"/>
  <c r="T844" i="1"/>
  <c r="U844" i="1"/>
  <c r="T845" i="1"/>
  <c r="U845" i="1"/>
  <c r="T846" i="1"/>
  <c r="U846" i="1"/>
  <c r="T847" i="1"/>
  <c r="U847" i="1"/>
  <c r="T848" i="1"/>
  <c r="U848" i="1"/>
  <c r="T849" i="1"/>
  <c r="U849" i="1"/>
  <c r="T850" i="1"/>
  <c r="U850" i="1"/>
  <c r="T851" i="1"/>
  <c r="U851" i="1"/>
  <c r="T852" i="1"/>
  <c r="U852" i="1"/>
  <c r="T853" i="1"/>
  <c r="U853" i="1"/>
  <c r="T854" i="1"/>
  <c r="U854" i="1"/>
  <c r="T855" i="1"/>
  <c r="U855" i="1"/>
  <c r="T856" i="1"/>
  <c r="U856" i="1"/>
  <c r="T857" i="1"/>
  <c r="U857" i="1"/>
  <c r="T858" i="1"/>
  <c r="U858" i="1"/>
  <c r="T859" i="1"/>
  <c r="U859" i="1"/>
  <c r="T860" i="1"/>
  <c r="U860" i="1"/>
  <c r="T861" i="1"/>
  <c r="U861" i="1"/>
  <c r="T862" i="1"/>
  <c r="U862" i="1"/>
  <c r="T863" i="1"/>
  <c r="U863" i="1"/>
  <c r="T864" i="1"/>
  <c r="U864" i="1"/>
  <c r="T865" i="1"/>
  <c r="U865" i="1"/>
  <c r="T866" i="1"/>
  <c r="U866" i="1"/>
  <c r="T867" i="1"/>
  <c r="U867" i="1"/>
  <c r="T868" i="1"/>
  <c r="U868" i="1"/>
  <c r="T869" i="1"/>
  <c r="U869" i="1"/>
  <c r="T870" i="1"/>
  <c r="U870" i="1"/>
  <c r="T871" i="1"/>
  <c r="U871" i="1"/>
  <c r="T872" i="1"/>
  <c r="U872" i="1"/>
  <c r="T873" i="1"/>
  <c r="U873" i="1"/>
  <c r="T874" i="1"/>
  <c r="U874" i="1"/>
  <c r="T875" i="1"/>
  <c r="U875" i="1"/>
  <c r="T876" i="1"/>
  <c r="U876" i="1"/>
  <c r="T877" i="1"/>
  <c r="U877" i="1"/>
  <c r="T878" i="1"/>
  <c r="U878" i="1"/>
  <c r="T879" i="1"/>
  <c r="U879" i="1"/>
  <c r="T880" i="1"/>
  <c r="U880" i="1"/>
  <c r="T881" i="1"/>
  <c r="U881" i="1"/>
  <c r="T882" i="1"/>
  <c r="U882" i="1"/>
  <c r="T883" i="1"/>
  <c r="U883" i="1"/>
  <c r="T884" i="1"/>
  <c r="U884" i="1"/>
  <c r="T885" i="1"/>
  <c r="U885" i="1"/>
  <c r="T886" i="1"/>
  <c r="U886" i="1"/>
  <c r="T887" i="1"/>
  <c r="U887" i="1"/>
  <c r="T888" i="1"/>
  <c r="U888" i="1"/>
  <c r="T889" i="1"/>
  <c r="U889" i="1"/>
  <c r="T890" i="1"/>
  <c r="U890" i="1"/>
  <c r="T891" i="1"/>
  <c r="U891" i="1"/>
  <c r="T892" i="1"/>
  <c r="U892" i="1"/>
  <c r="T893" i="1"/>
  <c r="U893" i="1"/>
  <c r="T894" i="1"/>
  <c r="U894" i="1"/>
  <c r="T895" i="1"/>
  <c r="U895" i="1"/>
  <c r="T896" i="1"/>
  <c r="U896" i="1"/>
  <c r="T897" i="1"/>
  <c r="U897" i="1"/>
  <c r="T898" i="1"/>
  <c r="U898" i="1"/>
  <c r="T899" i="1"/>
  <c r="U899" i="1"/>
  <c r="T900" i="1"/>
  <c r="U900" i="1"/>
  <c r="T901" i="1"/>
  <c r="U901" i="1"/>
  <c r="T902" i="1"/>
  <c r="U902" i="1"/>
  <c r="T903" i="1"/>
  <c r="U903" i="1"/>
  <c r="T904" i="1"/>
  <c r="U904" i="1"/>
  <c r="T905" i="1"/>
  <c r="U905" i="1"/>
  <c r="T906" i="1"/>
  <c r="U906" i="1"/>
  <c r="T907" i="1"/>
  <c r="U907" i="1"/>
  <c r="T908" i="1"/>
  <c r="U908" i="1"/>
  <c r="T909" i="1"/>
  <c r="U909" i="1"/>
  <c r="T910" i="1"/>
  <c r="U910" i="1"/>
  <c r="T911" i="1"/>
  <c r="U911" i="1"/>
  <c r="T912" i="1"/>
  <c r="U912" i="1"/>
  <c r="T913" i="1"/>
  <c r="U913" i="1"/>
  <c r="T914" i="1"/>
  <c r="U914" i="1"/>
  <c r="T915" i="1"/>
  <c r="U915" i="1"/>
  <c r="T916" i="1"/>
  <c r="U916" i="1"/>
  <c r="T917" i="1"/>
  <c r="U917" i="1"/>
  <c r="T918" i="1"/>
  <c r="U918" i="1"/>
  <c r="T919" i="1"/>
  <c r="U919" i="1"/>
  <c r="T920" i="1"/>
  <c r="U920" i="1"/>
  <c r="T921" i="1"/>
  <c r="U921" i="1"/>
  <c r="T922" i="1"/>
  <c r="U922" i="1"/>
  <c r="T923" i="1"/>
  <c r="U923" i="1"/>
  <c r="T924" i="1"/>
  <c r="U924" i="1"/>
  <c r="T925" i="1"/>
  <c r="U925" i="1"/>
  <c r="T926" i="1"/>
  <c r="U926" i="1"/>
  <c r="T927" i="1"/>
  <c r="U927" i="1"/>
  <c r="T928" i="1"/>
  <c r="U928" i="1"/>
  <c r="T929" i="1"/>
  <c r="U929" i="1"/>
  <c r="T930" i="1"/>
  <c r="U930" i="1"/>
  <c r="T931" i="1"/>
  <c r="U931" i="1"/>
  <c r="T932" i="1"/>
  <c r="U932" i="1"/>
  <c r="T933" i="1"/>
  <c r="U933" i="1"/>
  <c r="T934" i="1"/>
  <c r="U934" i="1"/>
  <c r="T935" i="1"/>
  <c r="U935" i="1"/>
  <c r="T936" i="1"/>
  <c r="U936" i="1"/>
  <c r="T937" i="1"/>
  <c r="U937" i="1"/>
  <c r="T938" i="1"/>
  <c r="U938" i="1"/>
  <c r="T939" i="1"/>
  <c r="U939" i="1"/>
  <c r="T940" i="1"/>
  <c r="U940" i="1"/>
  <c r="T941" i="1"/>
  <c r="U941" i="1"/>
  <c r="T942" i="1"/>
  <c r="U942" i="1"/>
  <c r="T943" i="1"/>
  <c r="U943" i="1"/>
  <c r="T944" i="1"/>
  <c r="U944" i="1"/>
  <c r="T945" i="1"/>
  <c r="U945" i="1"/>
  <c r="T946" i="1"/>
  <c r="U946" i="1"/>
  <c r="T947" i="1"/>
  <c r="U947" i="1"/>
  <c r="T948" i="1"/>
  <c r="U948" i="1"/>
  <c r="T949" i="1"/>
  <c r="U949" i="1"/>
  <c r="T950" i="1"/>
  <c r="U950" i="1"/>
  <c r="T951" i="1"/>
  <c r="U951" i="1"/>
  <c r="T952" i="1"/>
  <c r="U952" i="1"/>
  <c r="T953" i="1"/>
  <c r="U953" i="1"/>
  <c r="T954" i="1"/>
  <c r="U954" i="1"/>
  <c r="T955" i="1"/>
  <c r="U955" i="1"/>
  <c r="T956" i="1"/>
  <c r="U956" i="1"/>
  <c r="T957" i="1"/>
  <c r="U957" i="1"/>
  <c r="T958" i="1"/>
  <c r="U958" i="1"/>
  <c r="T959" i="1"/>
  <c r="U959" i="1"/>
  <c r="T960" i="1"/>
  <c r="U960" i="1"/>
  <c r="T961" i="1"/>
  <c r="U961" i="1"/>
  <c r="T962" i="1"/>
  <c r="U962" i="1"/>
  <c r="T963" i="1"/>
  <c r="U963" i="1"/>
  <c r="T964" i="1"/>
  <c r="U964" i="1"/>
  <c r="T965" i="1"/>
  <c r="U965" i="1"/>
  <c r="T966" i="1"/>
  <c r="U966" i="1"/>
  <c r="T967" i="1"/>
  <c r="U967" i="1"/>
  <c r="T968" i="1"/>
  <c r="U968" i="1"/>
  <c r="T969" i="1"/>
  <c r="U969" i="1"/>
  <c r="T970" i="1"/>
  <c r="U970" i="1"/>
  <c r="T971" i="1"/>
  <c r="U971" i="1"/>
  <c r="T972" i="1"/>
  <c r="U972" i="1"/>
  <c r="T973" i="1"/>
  <c r="U973" i="1"/>
  <c r="T974" i="1"/>
  <c r="U974" i="1"/>
  <c r="T975" i="1"/>
  <c r="U975" i="1"/>
  <c r="T976" i="1"/>
  <c r="U976" i="1"/>
  <c r="T977" i="1"/>
  <c r="U977" i="1"/>
  <c r="T978" i="1"/>
  <c r="U978" i="1"/>
  <c r="T979" i="1"/>
  <c r="U979" i="1"/>
  <c r="T980" i="1"/>
  <c r="U980" i="1"/>
  <c r="T981" i="1"/>
  <c r="U981" i="1"/>
  <c r="T982" i="1"/>
  <c r="U982" i="1"/>
  <c r="T983" i="1"/>
  <c r="U983" i="1"/>
  <c r="T984" i="1"/>
  <c r="U984" i="1"/>
  <c r="T985" i="1"/>
  <c r="U985" i="1"/>
  <c r="T986" i="1"/>
  <c r="U986" i="1"/>
  <c r="T987" i="1"/>
  <c r="U987" i="1"/>
  <c r="T988" i="1"/>
  <c r="U988" i="1"/>
  <c r="T989" i="1"/>
  <c r="U989" i="1"/>
  <c r="T990" i="1"/>
  <c r="U990" i="1"/>
  <c r="T991" i="1"/>
  <c r="U991" i="1"/>
  <c r="T992" i="1"/>
  <c r="U992" i="1"/>
  <c r="T993" i="1"/>
  <c r="U993" i="1"/>
  <c r="T994" i="1"/>
  <c r="U994" i="1"/>
  <c r="T995" i="1"/>
  <c r="U995" i="1"/>
  <c r="T996" i="1"/>
  <c r="U996" i="1"/>
  <c r="T997" i="1"/>
  <c r="U997" i="1"/>
  <c r="T998" i="1"/>
  <c r="U998" i="1"/>
  <c r="T999" i="1"/>
  <c r="U999" i="1"/>
  <c r="T1000" i="1"/>
  <c r="U1000" i="1"/>
  <c r="T1001" i="1"/>
  <c r="U1001" i="1"/>
  <c r="T1002" i="1"/>
  <c r="U1002" i="1"/>
  <c r="T1003" i="1"/>
  <c r="U1003" i="1"/>
  <c r="T1004" i="1"/>
  <c r="U1004" i="1"/>
  <c r="T1005" i="1"/>
  <c r="U1005" i="1"/>
  <c r="T1006" i="1"/>
  <c r="U1006" i="1"/>
  <c r="T1007" i="1"/>
  <c r="U1007" i="1"/>
  <c r="T1008" i="1"/>
  <c r="U1008" i="1"/>
  <c r="T1009" i="1"/>
  <c r="U1009" i="1"/>
  <c r="T1010" i="1"/>
  <c r="U1010" i="1"/>
  <c r="T1011" i="1"/>
  <c r="U1011" i="1"/>
  <c r="T1012" i="1"/>
  <c r="U1012" i="1"/>
  <c r="T1013" i="1"/>
  <c r="U1013" i="1"/>
  <c r="T1014" i="1"/>
  <c r="U1014" i="1"/>
  <c r="T1015" i="1"/>
  <c r="U1015" i="1"/>
  <c r="T1016" i="1"/>
  <c r="U1016" i="1"/>
  <c r="T1017" i="1"/>
  <c r="U1017" i="1"/>
  <c r="T1018" i="1"/>
  <c r="U1018" i="1"/>
  <c r="T1019" i="1"/>
  <c r="U1019" i="1"/>
  <c r="T1020" i="1"/>
  <c r="U1020" i="1"/>
  <c r="T1021" i="1"/>
  <c r="U1021" i="1"/>
  <c r="T1022" i="1"/>
  <c r="U1022" i="1"/>
  <c r="T1023" i="1"/>
  <c r="U1023" i="1"/>
  <c r="T1024" i="1"/>
  <c r="U1024" i="1"/>
  <c r="T1025" i="1"/>
  <c r="U1025" i="1"/>
  <c r="T1026" i="1"/>
  <c r="U1026" i="1"/>
  <c r="T1027" i="1"/>
  <c r="U1027" i="1"/>
  <c r="T1028" i="1"/>
  <c r="U1028" i="1"/>
  <c r="T1029" i="1"/>
  <c r="U1029" i="1"/>
  <c r="T1030" i="1"/>
  <c r="U1030" i="1"/>
  <c r="T1031" i="1"/>
  <c r="U1031" i="1"/>
  <c r="T1032" i="1"/>
  <c r="U1032" i="1"/>
  <c r="T1033" i="1"/>
  <c r="U1033" i="1"/>
  <c r="T1034" i="1"/>
  <c r="U1034" i="1"/>
  <c r="T1035" i="1"/>
  <c r="U1035" i="1"/>
  <c r="T1036" i="1"/>
  <c r="U1036" i="1"/>
  <c r="T1037" i="1"/>
  <c r="U1037" i="1"/>
  <c r="T1038" i="1"/>
  <c r="U1038" i="1"/>
  <c r="T1039" i="1"/>
  <c r="U1039" i="1"/>
  <c r="T1040" i="1"/>
  <c r="U1040" i="1"/>
  <c r="T1041" i="1"/>
  <c r="U1041" i="1"/>
  <c r="T1042" i="1"/>
  <c r="U1042" i="1"/>
  <c r="T1043" i="1"/>
  <c r="U1043" i="1"/>
  <c r="T1044" i="1"/>
  <c r="U1044" i="1"/>
  <c r="T1045" i="1"/>
  <c r="U1045" i="1"/>
  <c r="T1046" i="1"/>
  <c r="U1046" i="1"/>
  <c r="T1047" i="1"/>
  <c r="U1047" i="1"/>
  <c r="T1048" i="1"/>
  <c r="U1048" i="1"/>
  <c r="T1049" i="1"/>
  <c r="U1049" i="1"/>
  <c r="T1050" i="1"/>
  <c r="U1050" i="1"/>
  <c r="T1051" i="1"/>
  <c r="U1051" i="1"/>
  <c r="T1052" i="1"/>
  <c r="U1052" i="1"/>
  <c r="T1053" i="1"/>
  <c r="U1053" i="1"/>
  <c r="T1054" i="1"/>
  <c r="U1054" i="1"/>
  <c r="T1055" i="1"/>
  <c r="U1055" i="1"/>
  <c r="T1056" i="1"/>
  <c r="U1056" i="1"/>
  <c r="T1057" i="1"/>
  <c r="U1057" i="1"/>
  <c r="T1058" i="1"/>
  <c r="U1058" i="1"/>
  <c r="T1059" i="1"/>
  <c r="U1059" i="1"/>
  <c r="T1060" i="1"/>
  <c r="U1060" i="1"/>
  <c r="T1061" i="1"/>
  <c r="U1061" i="1"/>
  <c r="T1062" i="1"/>
  <c r="U1062" i="1"/>
  <c r="T1063" i="1"/>
  <c r="U1063" i="1"/>
  <c r="T1064" i="1"/>
  <c r="U1064" i="1"/>
  <c r="T1065" i="1"/>
  <c r="U1065" i="1"/>
  <c r="T1066" i="1"/>
  <c r="U1066" i="1"/>
  <c r="T1067" i="1"/>
  <c r="U1067" i="1"/>
  <c r="T1068" i="1"/>
  <c r="U1068" i="1"/>
  <c r="T1069" i="1"/>
  <c r="U1069" i="1"/>
  <c r="T1070" i="1"/>
  <c r="U1070" i="1"/>
  <c r="T1071" i="1"/>
  <c r="U1071" i="1"/>
  <c r="T1072" i="1"/>
  <c r="U1072" i="1"/>
  <c r="T1073" i="1"/>
  <c r="U1073" i="1"/>
  <c r="T1074" i="1"/>
  <c r="U1074" i="1"/>
  <c r="T1075" i="1"/>
  <c r="U1075" i="1"/>
  <c r="T1076" i="1"/>
  <c r="U1076" i="1"/>
  <c r="T1077" i="1"/>
  <c r="U1077" i="1"/>
  <c r="T1078" i="1"/>
  <c r="U1078" i="1"/>
  <c r="T1079" i="1"/>
  <c r="U1079" i="1"/>
  <c r="T1080" i="1"/>
  <c r="U1080" i="1"/>
  <c r="T1081" i="1"/>
  <c r="U1081" i="1"/>
  <c r="T1082" i="1"/>
  <c r="U1082" i="1"/>
  <c r="T1083" i="1"/>
  <c r="U1083" i="1"/>
  <c r="T1084" i="1"/>
  <c r="U1084" i="1"/>
  <c r="T1085" i="1"/>
  <c r="U1085" i="1"/>
  <c r="T1086" i="1"/>
  <c r="U1086" i="1"/>
  <c r="T1087" i="1"/>
  <c r="U1087" i="1"/>
  <c r="T1088" i="1"/>
  <c r="U1088" i="1"/>
  <c r="T1089" i="1"/>
  <c r="U1089" i="1"/>
  <c r="T1090" i="1"/>
  <c r="U1090" i="1"/>
  <c r="T1091" i="1"/>
  <c r="U1091" i="1"/>
  <c r="T1092" i="1"/>
  <c r="U1092" i="1"/>
  <c r="T1093" i="1"/>
  <c r="U1093" i="1"/>
  <c r="T1094" i="1"/>
  <c r="U1094" i="1"/>
  <c r="T1095" i="1"/>
  <c r="U1095" i="1"/>
  <c r="T1096" i="1"/>
  <c r="U1096" i="1"/>
  <c r="T1097" i="1"/>
  <c r="U1097" i="1"/>
  <c r="T1098" i="1"/>
  <c r="U1098" i="1"/>
  <c r="T1099" i="1"/>
  <c r="U1099" i="1"/>
  <c r="T1100" i="1"/>
  <c r="U1100" i="1"/>
  <c r="T1101" i="1"/>
  <c r="U1101" i="1"/>
  <c r="T1102" i="1"/>
  <c r="U1102" i="1"/>
  <c r="T1103" i="1"/>
  <c r="U1103" i="1"/>
  <c r="T1104" i="1"/>
  <c r="U1104" i="1"/>
  <c r="T1105" i="1"/>
  <c r="U1105" i="1"/>
  <c r="T1106" i="1"/>
  <c r="U1106" i="1"/>
  <c r="T1107" i="1"/>
  <c r="U1107" i="1"/>
  <c r="T1108" i="1"/>
  <c r="U1108" i="1"/>
  <c r="T1109" i="1"/>
  <c r="U1109" i="1"/>
  <c r="T1110" i="1"/>
  <c r="U1110" i="1"/>
  <c r="T1111" i="1"/>
  <c r="U1111" i="1"/>
  <c r="T1112" i="1"/>
  <c r="U1112" i="1"/>
  <c r="T1113" i="1"/>
  <c r="U1113" i="1"/>
  <c r="T1114" i="1"/>
  <c r="U1114" i="1"/>
  <c r="T1115" i="1"/>
  <c r="U1115" i="1"/>
  <c r="T1116" i="1"/>
  <c r="U1116" i="1"/>
  <c r="T1117" i="1"/>
  <c r="U1117" i="1"/>
  <c r="T1118" i="1"/>
  <c r="U1118" i="1"/>
  <c r="T1119" i="1"/>
  <c r="U1119" i="1"/>
  <c r="T1120" i="1"/>
  <c r="U1120" i="1"/>
  <c r="T1121" i="1"/>
  <c r="U1121" i="1"/>
  <c r="T1122" i="1"/>
  <c r="U1122" i="1"/>
  <c r="T1123" i="1"/>
  <c r="U1123" i="1"/>
  <c r="T1124" i="1"/>
  <c r="U1124" i="1"/>
  <c r="T1125" i="1"/>
  <c r="U1125" i="1"/>
  <c r="T1126" i="1"/>
  <c r="U1126" i="1"/>
  <c r="T1127" i="1"/>
  <c r="U1127" i="1"/>
  <c r="T1128" i="1"/>
  <c r="U1128" i="1"/>
  <c r="T1129" i="1"/>
  <c r="U1129" i="1"/>
  <c r="T1130" i="1"/>
  <c r="U1130" i="1"/>
  <c r="T1131" i="1"/>
  <c r="U1131" i="1"/>
  <c r="T1132" i="1"/>
  <c r="U1132" i="1"/>
  <c r="T1133" i="1"/>
  <c r="U1133" i="1"/>
  <c r="T1134" i="1"/>
  <c r="U1134" i="1"/>
  <c r="T1135" i="1"/>
  <c r="U1135" i="1"/>
  <c r="T1136" i="1"/>
  <c r="U1136" i="1"/>
  <c r="T1137" i="1"/>
  <c r="U1137" i="1"/>
  <c r="T1138" i="1"/>
  <c r="U1138" i="1"/>
  <c r="T1139" i="1"/>
  <c r="U1139" i="1"/>
  <c r="T1140" i="1"/>
  <c r="U1140" i="1"/>
  <c r="T1141" i="1"/>
  <c r="U1141" i="1"/>
  <c r="T1142" i="1"/>
  <c r="U1142" i="1"/>
  <c r="T1143" i="1"/>
  <c r="U1143" i="1"/>
  <c r="T1144" i="1"/>
  <c r="U1144" i="1"/>
  <c r="T1145" i="1"/>
  <c r="U1145" i="1"/>
  <c r="T1146" i="1"/>
  <c r="U1146" i="1"/>
  <c r="T1147" i="1"/>
  <c r="U1147" i="1"/>
  <c r="T1148" i="1"/>
  <c r="U1148" i="1"/>
  <c r="T1149" i="1"/>
  <c r="U1149" i="1"/>
  <c r="T1150" i="1"/>
  <c r="U1150" i="1"/>
  <c r="T1151" i="1"/>
  <c r="U1151" i="1"/>
  <c r="T1152" i="1"/>
  <c r="U1152" i="1"/>
  <c r="T1153" i="1"/>
  <c r="U1153" i="1"/>
  <c r="T1154" i="1"/>
  <c r="U1154" i="1"/>
  <c r="T1155" i="1"/>
  <c r="U1155" i="1"/>
  <c r="T1156" i="1"/>
  <c r="U1156" i="1"/>
  <c r="T1157" i="1"/>
  <c r="U1157" i="1"/>
  <c r="T1158" i="1"/>
  <c r="U1158" i="1"/>
  <c r="T1159" i="1"/>
  <c r="U1159" i="1"/>
  <c r="T1160" i="1"/>
  <c r="U1160" i="1"/>
  <c r="T1161" i="1"/>
  <c r="U1161" i="1"/>
  <c r="T1162" i="1"/>
  <c r="U1162" i="1"/>
  <c r="T1163" i="1"/>
  <c r="U1163" i="1"/>
  <c r="T1164" i="1"/>
  <c r="U1164" i="1"/>
  <c r="T1165" i="1"/>
  <c r="U1165" i="1"/>
  <c r="T1166" i="1"/>
  <c r="U1166" i="1"/>
  <c r="T1167" i="1"/>
  <c r="U1167" i="1"/>
  <c r="T1168" i="1"/>
  <c r="U1168" i="1"/>
  <c r="T1169" i="1"/>
  <c r="U1169" i="1"/>
  <c r="T1170" i="1"/>
  <c r="U1170" i="1"/>
  <c r="T1171" i="1"/>
  <c r="U1171" i="1"/>
  <c r="T1172" i="1"/>
  <c r="U1172" i="1"/>
  <c r="T1173" i="1"/>
  <c r="U1173" i="1"/>
  <c r="T1174" i="1"/>
  <c r="U1174" i="1"/>
  <c r="T1175" i="1"/>
  <c r="U1175" i="1"/>
  <c r="T1176" i="1"/>
  <c r="U1176" i="1"/>
  <c r="T1177" i="1"/>
  <c r="U1177" i="1"/>
  <c r="T1178" i="1"/>
  <c r="U1178" i="1"/>
  <c r="T1179" i="1"/>
  <c r="U1179" i="1"/>
  <c r="T1180" i="1"/>
  <c r="U1180" i="1"/>
  <c r="T1181" i="1"/>
  <c r="U1181" i="1"/>
  <c r="T1182" i="1"/>
  <c r="U1182" i="1"/>
  <c r="T1183" i="1"/>
  <c r="U1183" i="1"/>
  <c r="T1184" i="1"/>
  <c r="U1184" i="1"/>
  <c r="T1185" i="1"/>
  <c r="U1185" i="1"/>
  <c r="T1186" i="1"/>
  <c r="U1186" i="1"/>
  <c r="T1187" i="1"/>
  <c r="U1187" i="1"/>
  <c r="T1188" i="1"/>
  <c r="U1188" i="1"/>
  <c r="T1189" i="1"/>
  <c r="U1189" i="1"/>
  <c r="T1190" i="1"/>
  <c r="U1190" i="1"/>
  <c r="T1191" i="1"/>
  <c r="U1191" i="1"/>
  <c r="T1192" i="1"/>
  <c r="U1192" i="1"/>
  <c r="T1193" i="1"/>
  <c r="U1193" i="1"/>
  <c r="T1194" i="1"/>
  <c r="U1194" i="1"/>
  <c r="T1195" i="1"/>
  <c r="U1195" i="1"/>
  <c r="T1196" i="1"/>
  <c r="U1196" i="1"/>
  <c r="T1197" i="1"/>
  <c r="U1197" i="1"/>
  <c r="T1198" i="1"/>
  <c r="U1198" i="1"/>
  <c r="T1199" i="1"/>
  <c r="U1199" i="1"/>
  <c r="T1200" i="1"/>
  <c r="U1200" i="1"/>
  <c r="T1201" i="1"/>
  <c r="U1201" i="1"/>
  <c r="T1202" i="1"/>
  <c r="U1202" i="1"/>
  <c r="T1203" i="1"/>
  <c r="U1203" i="1"/>
  <c r="T1204" i="1"/>
  <c r="U1204" i="1"/>
  <c r="T1205" i="1"/>
  <c r="U1205" i="1"/>
  <c r="T1206" i="1"/>
  <c r="U1206" i="1"/>
  <c r="T1207" i="1"/>
  <c r="U1207" i="1"/>
  <c r="T1208" i="1"/>
  <c r="U1208" i="1"/>
  <c r="T1209" i="1"/>
  <c r="U1209" i="1"/>
  <c r="T1210" i="1"/>
  <c r="U1210" i="1"/>
  <c r="T1211" i="1"/>
  <c r="U1211" i="1"/>
  <c r="T1212" i="1"/>
  <c r="U1212" i="1"/>
  <c r="T1213" i="1"/>
  <c r="U1213" i="1"/>
  <c r="T1214" i="1"/>
  <c r="U1214" i="1"/>
  <c r="T1215" i="1"/>
  <c r="U1215" i="1"/>
  <c r="T1216" i="1"/>
  <c r="U1216" i="1"/>
  <c r="T1217" i="1"/>
  <c r="U1217" i="1"/>
  <c r="T1218" i="1"/>
  <c r="U1218" i="1"/>
  <c r="T1219" i="1"/>
  <c r="U1219" i="1"/>
  <c r="T1220" i="1"/>
  <c r="U1220" i="1"/>
  <c r="T1221" i="1"/>
  <c r="U1221" i="1"/>
  <c r="T1222" i="1"/>
  <c r="U1222" i="1"/>
  <c r="T1223" i="1"/>
  <c r="U1223" i="1"/>
  <c r="T1224" i="1"/>
  <c r="U1224" i="1"/>
  <c r="T1225" i="1"/>
  <c r="U1225" i="1"/>
  <c r="T1226" i="1"/>
  <c r="U1226" i="1"/>
  <c r="T1227" i="1"/>
  <c r="U1227" i="1"/>
  <c r="T1228" i="1"/>
  <c r="U1228" i="1"/>
  <c r="T1229" i="1"/>
  <c r="U1229" i="1"/>
  <c r="T1230" i="1"/>
  <c r="U1230" i="1"/>
  <c r="T1231" i="1"/>
  <c r="U1231" i="1"/>
  <c r="T1232" i="1"/>
  <c r="U1232" i="1"/>
  <c r="T1233" i="1"/>
  <c r="U1233" i="1"/>
  <c r="T1234" i="1"/>
  <c r="U1234" i="1"/>
  <c r="T1235" i="1"/>
  <c r="U1235" i="1"/>
  <c r="T1236" i="1"/>
  <c r="U1236" i="1"/>
  <c r="T1237" i="1"/>
  <c r="U1237" i="1"/>
  <c r="T1238" i="1"/>
  <c r="U1238" i="1"/>
  <c r="T1239" i="1"/>
  <c r="U1239" i="1"/>
  <c r="T1240" i="1"/>
  <c r="U1240" i="1"/>
  <c r="T1241" i="1"/>
  <c r="U1241" i="1"/>
  <c r="T1242" i="1"/>
  <c r="U1242" i="1"/>
  <c r="T1243" i="1"/>
  <c r="U1243" i="1"/>
  <c r="T1244" i="1"/>
  <c r="U1244" i="1"/>
  <c r="T1245" i="1"/>
  <c r="U1245" i="1"/>
  <c r="T1246" i="1"/>
  <c r="U1246" i="1"/>
  <c r="T1247" i="1"/>
  <c r="U1247" i="1"/>
  <c r="T1248" i="1"/>
  <c r="U1248" i="1"/>
  <c r="T1249" i="1"/>
  <c r="U1249" i="1"/>
  <c r="T1250" i="1"/>
  <c r="U1250" i="1"/>
  <c r="T1251" i="1"/>
  <c r="U1251" i="1"/>
  <c r="T1252" i="1"/>
  <c r="U1252" i="1"/>
  <c r="T1253" i="1"/>
  <c r="U1253" i="1"/>
  <c r="T1254" i="1"/>
  <c r="U1254" i="1"/>
  <c r="T1255" i="1"/>
  <c r="U1255" i="1"/>
  <c r="T1256" i="1"/>
  <c r="U1256" i="1"/>
  <c r="T1257" i="1"/>
  <c r="U1257" i="1"/>
  <c r="T1258" i="1"/>
  <c r="U1258" i="1"/>
  <c r="T1259" i="1"/>
  <c r="U1259" i="1"/>
  <c r="T1260" i="1"/>
  <c r="U1260" i="1"/>
  <c r="T1261" i="1"/>
  <c r="U1261" i="1"/>
  <c r="T1262" i="1"/>
  <c r="U1262" i="1"/>
  <c r="T1263" i="1"/>
  <c r="U1263" i="1"/>
  <c r="T1264" i="1"/>
  <c r="U1264" i="1"/>
  <c r="T1265" i="1"/>
  <c r="U1265" i="1"/>
  <c r="T1266" i="1"/>
  <c r="U1266" i="1"/>
  <c r="T1267" i="1"/>
  <c r="U1267" i="1"/>
  <c r="T1268" i="1"/>
  <c r="U1268" i="1"/>
  <c r="T1269" i="1"/>
  <c r="U1269" i="1"/>
  <c r="T1270" i="1"/>
  <c r="U1270" i="1"/>
  <c r="T1271" i="1"/>
  <c r="U1271" i="1"/>
  <c r="T1272" i="1"/>
  <c r="U1272" i="1"/>
  <c r="T1273" i="1"/>
  <c r="U1273" i="1"/>
  <c r="T1274" i="1"/>
  <c r="U1274" i="1"/>
  <c r="T1275" i="1"/>
  <c r="U1275" i="1"/>
  <c r="T1276" i="1"/>
  <c r="U1276" i="1"/>
  <c r="T1277" i="1"/>
  <c r="U1277" i="1"/>
  <c r="T1278" i="1"/>
  <c r="U1278" i="1"/>
  <c r="T1279" i="1"/>
  <c r="U1279" i="1"/>
  <c r="T1280" i="1"/>
  <c r="U1280" i="1"/>
  <c r="T1281" i="1"/>
  <c r="U1281" i="1"/>
  <c r="T1282" i="1"/>
  <c r="U1282" i="1"/>
  <c r="T1283" i="1"/>
  <c r="U1283" i="1"/>
  <c r="T1284" i="1"/>
  <c r="U1284" i="1"/>
  <c r="T1285" i="1"/>
  <c r="U1285" i="1"/>
  <c r="T1286" i="1"/>
  <c r="U1286" i="1"/>
  <c r="T1287" i="1"/>
  <c r="U1287" i="1"/>
  <c r="T1288" i="1"/>
  <c r="U1288" i="1"/>
  <c r="T1289" i="1"/>
  <c r="U1289" i="1"/>
  <c r="T1290" i="1"/>
  <c r="U1290" i="1"/>
  <c r="T1291" i="1"/>
  <c r="U1291" i="1"/>
  <c r="T1292" i="1"/>
  <c r="U1292" i="1"/>
  <c r="T1293" i="1"/>
  <c r="U1293" i="1"/>
  <c r="T1294" i="1"/>
  <c r="U1294" i="1"/>
  <c r="T1295" i="1"/>
  <c r="U1295" i="1"/>
  <c r="T1296" i="1"/>
  <c r="U1296" i="1"/>
  <c r="T1297" i="1"/>
  <c r="U1297" i="1"/>
  <c r="T1298" i="1"/>
  <c r="U1298" i="1"/>
  <c r="T1299" i="1"/>
  <c r="U1299" i="1"/>
  <c r="T1300" i="1"/>
  <c r="U1300" i="1"/>
  <c r="T1301" i="1"/>
  <c r="U1301" i="1"/>
  <c r="T1302" i="1"/>
  <c r="U1302" i="1"/>
  <c r="T1303" i="1"/>
  <c r="U1303" i="1"/>
  <c r="T1304" i="1"/>
  <c r="U1304" i="1"/>
  <c r="T1305" i="1"/>
  <c r="U1305" i="1"/>
  <c r="T1306" i="1"/>
  <c r="U1306" i="1"/>
  <c r="T1307" i="1"/>
  <c r="U1307" i="1"/>
  <c r="T1308" i="1"/>
  <c r="U1308" i="1"/>
  <c r="T1309" i="1"/>
  <c r="U1309" i="1"/>
  <c r="T1310" i="1"/>
  <c r="U1310" i="1"/>
  <c r="T1311" i="1"/>
  <c r="U1311" i="1"/>
  <c r="T1312" i="1"/>
  <c r="U1312" i="1"/>
  <c r="T1313" i="1"/>
  <c r="U1313" i="1"/>
  <c r="T1314" i="1"/>
  <c r="U1314" i="1"/>
  <c r="T1315" i="1"/>
  <c r="U1315" i="1"/>
  <c r="T1316" i="1"/>
  <c r="U1316" i="1"/>
  <c r="T1317" i="1"/>
  <c r="U1317" i="1"/>
  <c r="T1318" i="1"/>
  <c r="U1318" i="1"/>
  <c r="T1319" i="1"/>
  <c r="U1319" i="1"/>
  <c r="T1320" i="1"/>
  <c r="U1320" i="1"/>
  <c r="T1321" i="1"/>
  <c r="U1321" i="1"/>
  <c r="T1322" i="1"/>
  <c r="U1322" i="1"/>
  <c r="T1323" i="1"/>
  <c r="U1323" i="1"/>
  <c r="T1324" i="1"/>
  <c r="U1324" i="1"/>
  <c r="T1325" i="1"/>
  <c r="U1325" i="1"/>
  <c r="T1326" i="1"/>
  <c r="U1326" i="1"/>
  <c r="T1327" i="1"/>
  <c r="U1327" i="1"/>
  <c r="T1328" i="1"/>
  <c r="U1328" i="1"/>
  <c r="T1329" i="1"/>
  <c r="U1329" i="1"/>
  <c r="T1330" i="1"/>
  <c r="U1330" i="1"/>
  <c r="T1331" i="1"/>
  <c r="U1331" i="1"/>
  <c r="T1332" i="1"/>
  <c r="U1332" i="1"/>
  <c r="T1333" i="1"/>
  <c r="U1333" i="1"/>
  <c r="T1334" i="1"/>
  <c r="U1334" i="1"/>
  <c r="T1335" i="1"/>
  <c r="U1335" i="1"/>
  <c r="T1336" i="1"/>
  <c r="U1336" i="1"/>
  <c r="T1337" i="1"/>
  <c r="U1337" i="1"/>
  <c r="T1338" i="1"/>
  <c r="U1338" i="1"/>
  <c r="T1339" i="1"/>
  <c r="U1339" i="1"/>
  <c r="T1340" i="1"/>
  <c r="U1340" i="1"/>
  <c r="T1341" i="1"/>
  <c r="U1341" i="1"/>
  <c r="T1342" i="1"/>
  <c r="U1342" i="1"/>
  <c r="T1343" i="1"/>
  <c r="U1343" i="1"/>
  <c r="T1344" i="1"/>
  <c r="U1344" i="1"/>
  <c r="T1345" i="1"/>
  <c r="U1345" i="1"/>
  <c r="T1346" i="1"/>
  <c r="U1346" i="1"/>
  <c r="T1347" i="1"/>
  <c r="U1347" i="1"/>
  <c r="T1348" i="1"/>
  <c r="U1348" i="1"/>
  <c r="T1349" i="1"/>
  <c r="U1349" i="1"/>
  <c r="T1350" i="1"/>
  <c r="U1350" i="1"/>
  <c r="T1351" i="1"/>
  <c r="U1351" i="1"/>
  <c r="T1352" i="1"/>
  <c r="U1352" i="1"/>
  <c r="T1353" i="1"/>
  <c r="U1353" i="1"/>
  <c r="T1354" i="1"/>
  <c r="U1354" i="1"/>
  <c r="T1355" i="1"/>
  <c r="U1355" i="1"/>
  <c r="T1356" i="1"/>
  <c r="U1356" i="1"/>
  <c r="T1357" i="1"/>
  <c r="U1357" i="1"/>
  <c r="T1358" i="1"/>
  <c r="U1358" i="1"/>
  <c r="T1359" i="1"/>
  <c r="U1359" i="1"/>
  <c r="T1360" i="1"/>
  <c r="U1360" i="1"/>
  <c r="T1361" i="1"/>
  <c r="U1361" i="1"/>
  <c r="T1362" i="1"/>
  <c r="U1362" i="1"/>
  <c r="T1363" i="1"/>
  <c r="U1363" i="1"/>
  <c r="T1364" i="1"/>
  <c r="U1364" i="1"/>
  <c r="T1365" i="1"/>
  <c r="U1365" i="1"/>
  <c r="T1366" i="1"/>
  <c r="U1366" i="1"/>
  <c r="T1367" i="1"/>
  <c r="U1367" i="1"/>
  <c r="T1368" i="1"/>
  <c r="U1368" i="1"/>
  <c r="T1369" i="1"/>
  <c r="U1369" i="1"/>
  <c r="T1370" i="1"/>
  <c r="U1370" i="1"/>
  <c r="T1371" i="1"/>
  <c r="U1371" i="1"/>
  <c r="T1372" i="1"/>
  <c r="U1372" i="1"/>
  <c r="T1373" i="1"/>
  <c r="U1373" i="1"/>
  <c r="T1374" i="1"/>
  <c r="U1374" i="1"/>
  <c r="T1375" i="1"/>
  <c r="U1375" i="1"/>
  <c r="T1376" i="1"/>
  <c r="U1376" i="1"/>
  <c r="T1377" i="1"/>
  <c r="U1377" i="1"/>
  <c r="T1378" i="1"/>
  <c r="U1378" i="1"/>
  <c r="T1379" i="1"/>
  <c r="U1379" i="1"/>
  <c r="T1380" i="1"/>
  <c r="U1380" i="1"/>
  <c r="T1381" i="1"/>
  <c r="U1381" i="1"/>
  <c r="T1382" i="1"/>
  <c r="U1382" i="1"/>
  <c r="T1383" i="1"/>
  <c r="U1383" i="1"/>
  <c r="T1384" i="1"/>
  <c r="U1384" i="1"/>
  <c r="T1385" i="1"/>
  <c r="U1385" i="1"/>
  <c r="T1386" i="1"/>
  <c r="U1386" i="1"/>
  <c r="T1387" i="1"/>
  <c r="U1387" i="1"/>
  <c r="T1388" i="1"/>
  <c r="U1388" i="1"/>
  <c r="T1389" i="1"/>
  <c r="U1389" i="1"/>
  <c r="T1390" i="1"/>
  <c r="U1390" i="1"/>
  <c r="T1391" i="1"/>
  <c r="U1391" i="1"/>
  <c r="T1392" i="1"/>
  <c r="U1392" i="1"/>
  <c r="T1393" i="1"/>
  <c r="U1393" i="1"/>
  <c r="T1394" i="1"/>
  <c r="U1394" i="1"/>
  <c r="T1395" i="1"/>
  <c r="U1395" i="1"/>
  <c r="T1396" i="1"/>
  <c r="U1396" i="1"/>
  <c r="T1397" i="1"/>
  <c r="U1397" i="1"/>
  <c r="T1398" i="1"/>
  <c r="U1398" i="1"/>
  <c r="T1399" i="1"/>
  <c r="U1399" i="1"/>
  <c r="T1400" i="1"/>
  <c r="U1400" i="1"/>
  <c r="T1401" i="1"/>
  <c r="U1401" i="1"/>
  <c r="T1402" i="1"/>
  <c r="U1402" i="1"/>
  <c r="T1403" i="1"/>
  <c r="U1403" i="1"/>
  <c r="T1404" i="1"/>
  <c r="U1404" i="1"/>
  <c r="T1405" i="1"/>
  <c r="U1405" i="1"/>
  <c r="T1406" i="1"/>
  <c r="U1406" i="1"/>
  <c r="T1407" i="1"/>
  <c r="U1407" i="1"/>
  <c r="T1408" i="1"/>
  <c r="U1408" i="1"/>
  <c r="T1409" i="1"/>
  <c r="U1409" i="1"/>
  <c r="T1410" i="1"/>
  <c r="U1410" i="1"/>
  <c r="T1411" i="1"/>
  <c r="U1411" i="1"/>
  <c r="T1412" i="1"/>
  <c r="U1412" i="1"/>
  <c r="T1413" i="1"/>
  <c r="U1413" i="1"/>
  <c r="T1414" i="1"/>
  <c r="U1414" i="1"/>
  <c r="T1415" i="1"/>
  <c r="U1415" i="1"/>
  <c r="T1416" i="1"/>
  <c r="U1416" i="1"/>
  <c r="T1417" i="1"/>
  <c r="U1417" i="1"/>
  <c r="T1418" i="1"/>
  <c r="U1418" i="1"/>
  <c r="T1419" i="1"/>
  <c r="U1419" i="1"/>
  <c r="T1420" i="1"/>
  <c r="U1420" i="1"/>
  <c r="T1421" i="1"/>
  <c r="U1421" i="1"/>
  <c r="T1422" i="1"/>
  <c r="U1422" i="1"/>
  <c r="T1423" i="1"/>
  <c r="U1423" i="1"/>
  <c r="T1424" i="1"/>
  <c r="U1424" i="1"/>
  <c r="T1425" i="1"/>
  <c r="U1425" i="1"/>
  <c r="T1426" i="1"/>
  <c r="U1426" i="1"/>
  <c r="T1427" i="1"/>
  <c r="U1427" i="1"/>
  <c r="T1428" i="1"/>
  <c r="U1428" i="1"/>
  <c r="T1429" i="1"/>
  <c r="U1429" i="1"/>
  <c r="T1430" i="1"/>
  <c r="U1430" i="1"/>
  <c r="T1431" i="1"/>
  <c r="U1431" i="1"/>
  <c r="T1432" i="1"/>
  <c r="U1432" i="1"/>
  <c r="T1433" i="1"/>
  <c r="U1433" i="1"/>
  <c r="T1434" i="1"/>
  <c r="U1434" i="1"/>
  <c r="T1435" i="1"/>
  <c r="U1435" i="1"/>
  <c r="T1436" i="1"/>
  <c r="U1436" i="1"/>
  <c r="T1437" i="1"/>
  <c r="U1437" i="1"/>
  <c r="T1438" i="1"/>
  <c r="U1438" i="1"/>
  <c r="T1439" i="1"/>
  <c r="U1439" i="1"/>
  <c r="T1440" i="1"/>
  <c r="U1440" i="1"/>
  <c r="T1441" i="1"/>
  <c r="U1441" i="1"/>
  <c r="T1442" i="1"/>
  <c r="U1442" i="1"/>
  <c r="T1443" i="1"/>
  <c r="U1443" i="1"/>
  <c r="T1444" i="1"/>
  <c r="U1444" i="1"/>
  <c r="T1445" i="1"/>
  <c r="U1445" i="1"/>
  <c r="T1446" i="1"/>
  <c r="U1446" i="1"/>
  <c r="T1447" i="1"/>
  <c r="U1447" i="1"/>
  <c r="T1448" i="1"/>
  <c r="U1448" i="1"/>
  <c r="T1449" i="1"/>
  <c r="U1449" i="1"/>
  <c r="T1450" i="1"/>
  <c r="U1450" i="1"/>
  <c r="T1451" i="1"/>
  <c r="U1451" i="1"/>
  <c r="T1452" i="1"/>
  <c r="U1452" i="1"/>
  <c r="T1453" i="1"/>
  <c r="U1453" i="1"/>
  <c r="T1454" i="1"/>
  <c r="U1454" i="1"/>
  <c r="T1455" i="1"/>
  <c r="U1455" i="1"/>
  <c r="T1456" i="1"/>
  <c r="U1456" i="1"/>
  <c r="T1457" i="1"/>
  <c r="U1457" i="1"/>
  <c r="T1458" i="1"/>
  <c r="U1458" i="1"/>
  <c r="T1459" i="1"/>
  <c r="U1459" i="1"/>
  <c r="T1460" i="1"/>
  <c r="U1460" i="1"/>
  <c r="T1461" i="1"/>
  <c r="U1461" i="1"/>
  <c r="T1462" i="1"/>
  <c r="U1462" i="1"/>
  <c r="T1463" i="1"/>
  <c r="U1463" i="1"/>
  <c r="T1464" i="1"/>
  <c r="U1464" i="1"/>
  <c r="T1465" i="1"/>
  <c r="U1465" i="1"/>
  <c r="T1466" i="1"/>
  <c r="U1466" i="1"/>
  <c r="T1467" i="1"/>
  <c r="U1467" i="1"/>
  <c r="T1468" i="1"/>
  <c r="U1468" i="1"/>
  <c r="T1469" i="1"/>
  <c r="U1469" i="1"/>
  <c r="T1470" i="1"/>
  <c r="U1470" i="1"/>
  <c r="T1471" i="1"/>
  <c r="U1471" i="1"/>
  <c r="T1472" i="1"/>
  <c r="U1472" i="1"/>
  <c r="T1473" i="1"/>
  <c r="U1473" i="1"/>
  <c r="T1474" i="1"/>
  <c r="U1474" i="1"/>
  <c r="T1475" i="1"/>
  <c r="U1475" i="1"/>
  <c r="T1476" i="1"/>
  <c r="U1476" i="1"/>
  <c r="T1477" i="1"/>
  <c r="U1477" i="1"/>
  <c r="T1478" i="1"/>
  <c r="U1478" i="1"/>
  <c r="T1479" i="1"/>
  <c r="U1479" i="1"/>
  <c r="T1480" i="1"/>
  <c r="U1480" i="1"/>
  <c r="T1481" i="1"/>
  <c r="U1481" i="1"/>
  <c r="T1482" i="1"/>
  <c r="U1482" i="1"/>
  <c r="T1483" i="1"/>
  <c r="U1483" i="1"/>
  <c r="T1484" i="1"/>
  <c r="U1484" i="1"/>
  <c r="T1485" i="1"/>
  <c r="U1485" i="1"/>
  <c r="T1486" i="1"/>
  <c r="U1486" i="1"/>
  <c r="T1487" i="1"/>
  <c r="U1487" i="1"/>
  <c r="T1488" i="1"/>
  <c r="U1488" i="1"/>
  <c r="T1489" i="1"/>
  <c r="U1489" i="1"/>
  <c r="T1490" i="1"/>
  <c r="U1490" i="1"/>
  <c r="T1491" i="1"/>
  <c r="U1491" i="1"/>
  <c r="T1492" i="1"/>
  <c r="U1492" i="1"/>
  <c r="T1493" i="1"/>
  <c r="U1493" i="1"/>
  <c r="T1494" i="1"/>
  <c r="U1494" i="1"/>
  <c r="T1495" i="1"/>
  <c r="U1495" i="1"/>
  <c r="T1496" i="1"/>
  <c r="U1496" i="1"/>
  <c r="T1497" i="1"/>
  <c r="U1497" i="1"/>
  <c r="T1498" i="1"/>
  <c r="U1498" i="1"/>
  <c r="T1499" i="1"/>
  <c r="U1499" i="1"/>
  <c r="T1500" i="1"/>
  <c r="U1500" i="1"/>
  <c r="T1501" i="1"/>
  <c r="U1501" i="1"/>
  <c r="T1502" i="1"/>
  <c r="U1502" i="1"/>
  <c r="T1503" i="1"/>
  <c r="U1503" i="1"/>
  <c r="T1504" i="1"/>
  <c r="U1504" i="1"/>
  <c r="T1505" i="1"/>
  <c r="U1505" i="1"/>
  <c r="T1506" i="1"/>
  <c r="U1506" i="1"/>
  <c r="T1507" i="1"/>
  <c r="U1507" i="1"/>
  <c r="T1508" i="1"/>
  <c r="U1508" i="1"/>
  <c r="T1509" i="1"/>
  <c r="U1509" i="1"/>
  <c r="T1510" i="1"/>
  <c r="U1510" i="1"/>
  <c r="T1511" i="1"/>
  <c r="U1511" i="1"/>
  <c r="T1512" i="1"/>
  <c r="U1512" i="1"/>
  <c r="T1513" i="1"/>
  <c r="U1513" i="1"/>
  <c r="T1514" i="1"/>
  <c r="U1514" i="1"/>
  <c r="T1515" i="1"/>
  <c r="U1515" i="1"/>
  <c r="T1516" i="1"/>
  <c r="U1516" i="1"/>
  <c r="T1517" i="1"/>
  <c r="U1517" i="1"/>
  <c r="T1518" i="1"/>
  <c r="U1518" i="1"/>
  <c r="T1519" i="1"/>
  <c r="U1519" i="1"/>
  <c r="T1520" i="1"/>
  <c r="U1520" i="1"/>
  <c r="T1521" i="1"/>
  <c r="U1521" i="1"/>
  <c r="T1522" i="1"/>
  <c r="U1522" i="1"/>
  <c r="T1523" i="1"/>
  <c r="U1523" i="1"/>
  <c r="T1524" i="1"/>
  <c r="U1524" i="1"/>
  <c r="T1525" i="1"/>
  <c r="U1525" i="1"/>
  <c r="T1526" i="1"/>
  <c r="U1526" i="1"/>
  <c r="T1527" i="1"/>
  <c r="U1527" i="1"/>
  <c r="T1528" i="1"/>
  <c r="U1528" i="1"/>
  <c r="T1529" i="1"/>
  <c r="U1529" i="1"/>
  <c r="T1530" i="1"/>
  <c r="U1530" i="1"/>
  <c r="T1531" i="1"/>
  <c r="U1531" i="1"/>
  <c r="T1532" i="1"/>
  <c r="U1532" i="1"/>
  <c r="T1533" i="1"/>
  <c r="U1533" i="1"/>
  <c r="T1534" i="1"/>
  <c r="U1534" i="1"/>
  <c r="T1535" i="1"/>
  <c r="U1535" i="1"/>
  <c r="T1536" i="1"/>
  <c r="U1536" i="1"/>
  <c r="T1537" i="1"/>
  <c r="U1537" i="1"/>
  <c r="T1538" i="1"/>
  <c r="U1538" i="1"/>
  <c r="T1539" i="1"/>
  <c r="U1539" i="1"/>
  <c r="T1540" i="1"/>
  <c r="U1540" i="1"/>
  <c r="T1541" i="1"/>
  <c r="U1541" i="1"/>
  <c r="T1542" i="1"/>
  <c r="U1542" i="1"/>
  <c r="T1543" i="1"/>
  <c r="U1543" i="1"/>
  <c r="T1544" i="1"/>
  <c r="U1544" i="1"/>
  <c r="T1545" i="1"/>
  <c r="U1545" i="1"/>
  <c r="T1546" i="1"/>
  <c r="U1546" i="1"/>
  <c r="T1547" i="1"/>
  <c r="U1547" i="1"/>
  <c r="T1548" i="1"/>
  <c r="U1548" i="1"/>
  <c r="T1549" i="1"/>
  <c r="U1549" i="1"/>
  <c r="T1550" i="1"/>
  <c r="U1550" i="1"/>
  <c r="T1551" i="1"/>
  <c r="U1551" i="1"/>
  <c r="T1552" i="1"/>
  <c r="U1552" i="1"/>
  <c r="T1553" i="1"/>
  <c r="U1553" i="1"/>
  <c r="T1554" i="1"/>
  <c r="U1554" i="1"/>
  <c r="T1555" i="1"/>
  <c r="U1555" i="1"/>
  <c r="T1556" i="1"/>
  <c r="U1556" i="1"/>
  <c r="T1557" i="1"/>
  <c r="U1557" i="1"/>
  <c r="T1558" i="1"/>
  <c r="U1558" i="1"/>
  <c r="T1559" i="1"/>
  <c r="U1559" i="1"/>
  <c r="T1560" i="1"/>
  <c r="U1560" i="1"/>
  <c r="T1561" i="1"/>
  <c r="U1561" i="1"/>
  <c r="T1562" i="1"/>
  <c r="U1562" i="1"/>
  <c r="T1563" i="1"/>
  <c r="U1563" i="1"/>
  <c r="T1564" i="1"/>
  <c r="U1564" i="1"/>
  <c r="T1565" i="1"/>
  <c r="U1565" i="1"/>
  <c r="T1566" i="1"/>
  <c r="U1566" i="1"/>
  <c r="T1567" i="1"/>
  <c r="U1567" i="1"/>
  <c r="T1568" i="1"/>
  <c r="U1568" i="1"/>
  <c r="T1569" i="1"/>
  <c r="U1569" i="1"/>
  <c r="T1570" i="1"/>
  <c r="U1570" i="1"/>
  <c r="T1571" i="1"/>
  <c r="U1571" i="1"/>
  <c r="T1572" i="1"/>
  <c r="U1572" i="1"/>
  <c r="T1573" i="1"/>
  <c r="U1573" i="1"/>
  <c r="T1574" i="1"/>
  <c r="U1574" i="1"/>
  <c r="T1575" i="1"/>
  <c r="U1575" i="1"/>
  <c r="T1576" i="1"/>
  <c r="U1576" i="1"/>
  <c r="T1577" i="1"/>
  <c r="U1577" i="1"/>
  <c r="T1578" i="1"/>
  <c r="U1578" i="1"/>
  <c r="T1579" i="1"/>
  <c r="U1579" i="1"/>
  <c r="T1580" i="1"/>
  <c r="U1580" i="1"/>
  <c r="T1581" i="1"/>
  <c r="U1581" i="1"/>
  <c r="T1582" i="1"/>
  <c r="U1582" i="1"/>
  <c r="T1583" i="1"/>
  <c r="U1583" i="1"/>
  <c r="T1584" i="1"/>
  <c r="U1584" i="1"/>
  <c r="T1585" i="1"/>
  <c r="U1585" i="1"/>
  <c r="T1586" i="1"/>
  <c r="U1586" i="1"/>
  <c r="T1587" i="1"/>
  <c r="U1587" i="1"/>
  <c r="T1588" i="1"/>
  <c r="U1588" i="1"/>
  <c r="T1589" i="1"/>
  <c r="U1589" i="1"/>
  <c r="T1590" i="1"/>
  <c r="U1590" i="1"/>
  <c r="T1591" i="1"/>
  <c r="U1591" i="1"/>
  <c r="T1592" i="1"/>
  <c r="U1592" i="1"/>
  <c r="T1593" i="1"/>
  <c r="U1593" i="1"/>
  <c r="T1594" i="1"/>
  <c r="U1594" i="1"/>
  <c r="T1595" i="1"/>
  <c r="U1595" i="1"/>
  <c r="T1596" i="1"/>
  <c r="U1596" i="1"/>
  <c r="T1597" i="1"/>
  <c r="U1597" i="1"/>
  <c r="T1598" i="1"/>
  <c r="U1598" i="1"/>
  <c r="T1599" i="1"/>
  <c r="U1599" i="1"/>
  <c r="T1600" i="1"/>
  <c r="U1600" i="1"/>
  <c r="T1601" i="1"/>
  <c r="U1601" i="1"/>
  <c r="T1602" i="1"/>
  <c r="U1602" i="1"/>
  <c r="T1603" i="1"/>
  <c r="U1603" i="1"/>
  <c r="T1604" i="1"/>
  <c r="U1604" i="1"/>
  <c r="T1605" i="1"/>
  <c r="U1605" i="1"/>
  <c r="T1606" i="1"/>
  <c r="U1606" i="1"/>
  <c r="T1607" i="1"/>
  <c r="U1607" i="1"/>
  <c r="T1608" i="1"/>
  <c r="U1608" i="1"/>
  <c r="T1609" i="1"/>
  <c r="U1609" i="1"/>
  <c r="T1610" i="1"/>
  <c r="U1610" i="1"/>
  <c r="T1611" i="1"/>
  <c r="U1611" i="1"/>
  <c r="T1612" i="1"/>
  <c r="U1612" i="1"/>
  <c r="T1613" i="1"/>
  <c r="U1613" i="1"/>
  <c r="T1614" i="1"/>
  <c r="U1614" i="1"/>
  <c r="T1615" i="1"/>
  <c r="U1615" i="1"/>
  <c r="T1616" i="1"/>
  <c r="U1616" i="1"/>
  <c r="T1617" i="1"/>
  <c r="U1617" i="1"/>
  <c r="T1618" i="1"/>
  <c r="U1618" i="1"/>
  <c r="T1619" i="1"/>
  <c r="U1619" i="1"/>
  <c r="T1620" i="1"/>
  <c r="U1620" i="1"/>
  <c r="T1621" i="1"/>
  <c r="U1621" i="1"/>
  <c r="T1622" i="1"/>
  <c r="U1622" i="1"/>
  <c r="T1623" i="1"/>
  <c r="U1623" i="1"/>
  <c r="T1624" i="1"/>
  <c r="U1624" i="1"/>
  <c r="T1625" i="1"/>
  <c r="U1625" i="1"/>
  <c r="T1626" i="1"/>
  <c r="U1626" i="1"/>
  <c r="T1627" i="1"/>
  <c r="U1627" i="1"/>
  <c r="T1628" i="1"/>
  <c r="U1628" i="1"/>
  <c r="T1629" i="1"/>
  <c r="U1629" i="1"/>
  <c r="T1630" i="1"/>
  <c r="U1630" i="1"/>
  <c r="T1631" i="1"/>
  <c r="U1631" i="1"/>
  <c r="T1632" i="1"/>
  <c r="U1632" i="1"/>
  <c r="T1633" i="1"/>
  <c r="U1633" i="1"/>
  <c r="T1634" i="1"/>
  <c r="U1634" i="1"/>
  <c r="T1635" i="1"/>
  <c r="U1635" i="1"/>
  <c r="T1636" i="1"/>
  <c r="U1636" i="1"/>
  <c r="T1637" i="1"/>
  <c r="U1637" i="1"/>
  <c r="T1638" i="1"/>
  <c r="U1638" i="1"/>
  <c r="T1639" i="1"/>
  <c r="U1639" i="1"/>
  <c r="T1640" i="1"/>
  <c r="U1640" i="1"/>
  <c r="T1641" i="1"/>
  <c r="U1641" i="1"/>
  <c r="T1642" i="1"/>
  <c r="U1642" i="1"/>
  <c r="T1643" i="1"/>
  <c r="U1643" i="1"/>
  <c r="T1644" i="1"/>
  <c r="U1644" i="1"/>
  <c r="T1645" i="1"/>
  <c r="U1645" i="1"/>
  <c r="T1646" i="1"/>
  <c r="U1646" i="1"/>
  <c r="T1647" i="1"/>
  <c r="U1647" i="1"/>
  <c r="T1648" i="1"/>
  <c r="U1648" i="1"/>
  <c r="T1649" i="1"/>
  <c r="U1649" i="1"/>
  <c r="T1650" i="1"/>
  <c r="U1650" i="1"/>
  <c r="T1651" i="1"/>
  <c r="U1651" i="1"/>
  <c r="T1652" i="1"/>
  <c r="U1652" i="1"/>
  <c r="T1653" i="1"/>
  <c r="U1653" i="1"/>
  <c r="T1654" i="1"/>
  <c r="U1654" i="1"/>
  <c r="T1655" i="1"/>
  <c r="U1655" i="1"/>
  <c r="T1656" i="1"/>
  <c r="U1656" i="1"/>
  <c r="T1657" i="1"/>
  <c r="U1657" i="1"/>
  <c r="T1658" i="1"/>
  <c r="U1658" i="1"/>
  <c r="T1659" i="1"/>
  <c r="U1659" i="1"/>
  <c r="T1660" i="1"/>
  <c r="U1660" i="1"/>
  <c r="T1661" i="1"/>
  <c r="U1661" i="1"/>
  <c r="T1662" i="1"/>
  <c r="U1662" i="1"/>
  <c r="T1663" i="1"/>
  <c r="U1663" i="1"/>
  <c r="T1664" i="1"/>
  <c r="U1664" i="1"/>
  <c r="T1665" i="1"/>
  <c r="U1665" i="1"/>
  <c r="T1666" i="1"/>
  <c r="U1666" i="1"/>
  <c r="T1667" i="1"/>
  <c r="U1667" i="1"/>
  <c r="T1668" i="1"/>
  <c r="U1668" i="1"/>
  <c r="T1669" i="1"/>
  <c r="U1669" i="1"/>
  <c r="T1670" i="1"/>
  <c r="U1670" i="1"/>
  <c r="T1671" i="1"/>
  <c r="U1671" i="1"/>
  <c r="T1672" i="1"/>
  <c r="U1672" i="1"/>
  <c r="T1673" i="1"/>
  <c r="U1673" i="1"/>
  <c r="T1674" i="1"/>
  <c r="U1674" i="1"/>
  <c r="T1675" i="1"/>
  <c r="U1675" i="1"/>
  <c r="T1676" i="1"/>
  <c r="U1676" i="1"/>
  <c r="T1677" i="1"/>
  <c r="U1677" i="1"/>
  <c r="T1678" i="1"/>
  <c r="U1678" i="1"/>
  <c r="T1679" i="1"/>
  <c r="U1679" i="1"/>
  <c r="T1680" i="1"/>
  <c r="U1680" i="1"/>
  <c r="T1681" i="1"/>
  <c r="U1681" i="1"/>
  <c r="T1682" i="1"/>
  <c r="U1682" i="1"/>
  <c r="T1683" i="1"/>
  <c r="U1683" i="1"/>
  <c r="T1684" i="1"/>
  <c r="U1684" i="1"/>
  <c r="T1685" i="1"/>
  <c r="U1685" i="1"/>
  <c r="T1686" i="1"/>
  <c r="U1686" i="1"/>
  <c r="T1687" i="1"/>
  <c r="U1687" i="1"/>
  <c r="T1688" i="1"/>
  <c r="U1688" i="1"/>
  <c r="T1689" i="1"/>
  <c r="U1689" i="1"/>
  <c r="T1690" i="1"/>
  <c r="U1690" i="1"/>
  <c r="T1691" i="1"/>
  <c r="U1691" i="1"/>
  <c r="T1692" i="1"/>
  <c r="U1692" i="1"/>
  <c r="T1693" i="1"/>
  <c r="U1693" i="1"/>
  <c r="T1694" i="1"/>
  <c r="U1694" i="1"/>
  <c r="T1695" i="1"/>
  <c r="U1695" i="1"/>
  <c r="T1696" i="1"/>
  <c r="U1696" i="1"/>
  <c r="T1697" i="1"/>
  <c r="U1697" i="1"/>
  <c r="T1698" i="1"/>
  <c r="U1698" i="1"/>
  <c r="T1699" i="1"/>
  <c r="U1699" i="1"/>
  <c r="T1700" i="1"/>
  <c r="U1700" i="1"/>
  <c r="T1701" i="1"/>
  <c r="U1701" i="1"/>
  <c r="T1702" i="1"/>
  <c r="U1702" i="1"/>
  <c r="T1703" i="1"/>
  <c r="U1703" i="1"/>
  <c r="T1704" i="1"/>
  <c r="U1704" i="1"/>
  <c r="T1705" i="1"/>
  <c r="U1705" i="1"/>
  <c r="T1706" i="1"/>
  <c r="U1706" i="1"/>
  <c r="T1707" i="1"/>
  <c r="U1707" i="1"/>
  <c r="T1708" i="1"/>
  <c r="U1708" i="1"/>
  <c r="T1709" i="1"/>
  <c r="U1709" i="1"/>
  <c r="T1710" i="1"/>
  <c r="U1710" i="1"/>
  <c r="T1711" i="1"/>
  <c r="U1711" i="1"/>
  <c r="T1712" i="1"/>
  <c r="U1712" i="1"/>
  <c r="T1713" i="1"/>
  <c r="U1713" i="1"/>
  <c r="T1714" i="1"/>
  <c r="U1714" i="1"/>
  <c r="T1715" i="1"/>
  <c r="U1715" i="1"/>
  <c r="T1716" i="1"/>
  <c r="U1716" i="1"/>
  <c r="T1717" i="1"/>
  <c r="U1717" i="1"/>
  <c r="T1718" i="1"/>
  <c r="U1718" i="1"/>
  <c r="T1719" i="1"/>
  <c r="U1719" i="1"/>
  <c r="T1720" i="1"/>
  <c r="U1720" i="1"/>
  <c r="T1721" i="1"/>
  <c r="U1721" i="1"/>
  <c r="T1722" i="1"/>
  <c r="U1722" i="1"/>
  <c r="T1723" i="1"/>
  <c r="U1723" i="1"/>
  <c r="T1724" i="1"/>
  <c r="U1724" i="1"/>
  <c r="T1725" i="1"/>
  <c r="U1725" i="1"/>
  <c r="T1726" i="1"/>
  <c r="U1726" i="1"/>
  <c r="T1727" i="1"/>
  <c r="U1727" i="1"/>
  <c r="T1728" i="1"/>
  <c r="U1728" i="1"/>
  <c r="T1729" i="1"/>
  <c r="U1729" i="1"/>
  <c r="T1730" i="1"/>
  <c r="U1730" i="1"/>
  <c r="T1731" i="1"/>
  <c r="U1731" i="1"/>
  <c r="T1732" i="1"/>
  <c r="U1732" i="1"/>
  <c r="T1733" i="1"/>
  <c r="U1733" i="1"/>
  <c r="T1734" i="1"/>
  <c r="U1734" i="1"/>
  <c r="T1735" i="1"/>
  <c r="U1735" i="1"/>
  <c r="T1736" i="1"/>
  <c r="U1736" i="1"/>
  <c r="T1737" i="1"/>
  <c r="U1737" i="1"/>
  <c r="T1738" i="1"/>
  <c r="U1738" i="1"/>
  <c r="T1739" i="1"/>
  <c r="U1739" i="1"/>
  <c r="T1740" i="1"/>
  <c r="U1740" i="1"/>
  <c r="T1741" i="1"/>
  <c r="U1741" i="1"/>
  <c r="T1742" i="1"/>
  <c r="U1742" i="1"/>
  <c r="T1743" i="1"/>
  <c r="U1743" i="1"/>
  <c r="T1744" i="1"/>
  <c r="U1744" i="1"/>
  <c r="T1745" i="1"/>
  <c r="U1745" i="1"/>
  <c r="T1746" i="1"/>
  <c r="U1746" i="1"/>
  <c r="T1747" i="1"/>
  <c r="U1747" i="1"/>
  <c r="T1748" i="1"/>
  <c r="U1748" i="1"/>
  <c r="T1749" i="1"/>
  <c r="U1749" i="1"/>
  <c r="T1750" i="1"/>
  <c r="U1750" i="1"/>
  <c r="T1751" i="1"/>
  <c r="U1751" i="1"/>
  <c r="T1752" i="1"/>
  <c r="U1752" i="1"/>
  <c r="T1753" i="1"/>
  <c r="U1753" i="1"/>
  <c r="T1754" i="1"/>
  <c r="U1754" i="1"/>
  <c r="T1755" i="1"/>
  <c r="U1755" i="1"/>
  <c r="T1756" i="1"/>
  <c r="U1756" i="1"/>
  <c r="T1757" i="1"/>
  <c r="U1757" i="1"/>
  <c r="T1758" i="1"/>
  <c r="U1758" i="1"/>
  <c r="T1759" i="1"/>
  <c r="U1759" i="1"/>
  <c r="T1760" i="1"/>
  <c r="U1760" i="1"/>
  <c r="T1761" i="1"/>
  <c r="U1761" i="1"/>
  <c r="T1762" i="1"/>
  <c r="U1762" i="1"/>
  <c r="T1763" i="1"/>
  <c r="U1763" i="1"/>
  <c r="T1764" i="1"/>
  <c r="U1764" i="1"/>
  <c r="T1765" i="1"/>
  <c r="U1765" i="1"/>
  <c r="T1766" i="1"/>
  <c r="U1766" i="1"/>
  <c r="T1767" i="1"/>
  <c r="U1767" i="1"/>
  <c r="T1768" i="1"/>
  <c r="U1768" i="1"/>
  <c r="T1769" i="1"/>
  <c r="U1769" i="1"/>
  <c r="T1770" i="1"/>
  <c r="U1770" i="1"/>
  <c r="T1771" i="1"/>
  <c r="U1771" i="1"/>
  <c r="T1772" i="1"/>
  <c r="U1772" i="1"/>
  <c r="T1773" i="1"/>
  <c r="U1773" i="1"/>
  <c r="T1774" i="1"/>
  <c r="U1774" i="1"/>
  <c r="T1775" i="1"/>
  <c r="U1775" i="1"/>
  <c r="T1776" i="1"/>
  <c r="U1776" i="1"/>
  <c r="T1777" i="1"/>
  <c r="U1777" i="1"/>
  <c r="T1778" i="1"/>
  <c r="U1778" i="1"/>
  <c r="T1779" i="1"/>
  <c r="U1779" i="1"/>
  <c r="T1780" i="1"/>
  <c r="U1780" i="1"/>
  <c r="T1781" i="1"/>
  <c r="U1781" i="1"/>
  <c r="T1782" i="1"/>
  <c r="U1782" i="1"/>
  <c r="T1783" i="1"/>
  <c r="U1783" i="1"/>
  <c r="T1784" i="1"/>
  <c r="U1784" i="1"/>
  <c r="T1785" i="1"/>
  <c r="U1785" i="1"/>
  <c r="T1786" i="1"/>
  <c r="U1786" i="1"/>
  <c r="T1787" i="1"/>
  <c r="U1787" i="1"/>
  <c r="T1788" i="1"/>
  <c r="U1788" i="1"/>
  <c r="T1789" i="1"/>
  <c r="U1789" i="1"/>
  <c r="T1790" i="1"/>
  <c r="U1790" i="1"/>
  <c r="T1791" i="1"/>
  <c r="U1791" i="1"/>
  <c r="T1792" i="1"/>
  <c r="U1792" i="1"/>
  <c r="T1793" i="1"/>
  <c r="U1793" i="1"/>
  <c r="T1794" i="1"/>
  <c r="U1794" i="1"/>
  <c r="T1795" i="1"/>
  <c r="U1795" i="1"/>
  <c r="T1796" i="1"/>
  <c r="U1796" i="1"/>
  <c r="T1797" i="1"/>
  <c r="U1797" i="1"/>
  <c r="T1798" i="1"/>
  <c r="U1798" i="1"/>
  <c r="T1799" i="1"/>
  <c r="U1799" i="1"/>
  <c r="T1800" i="1"/>
  <c r="U1800" i="1"/>
  <c r="T1801" i="1"/>
  <c r="U1801" i="1"/>
  <c r="T1802" i="1"/>
  <c r="U1802" i="1"/>
  <c r="T1803" i="1"/>
  <c r="U1803" i="1"/>
  <c r="T1804" i="1"/>
  <c r="U1804" i="1"/>
  <c r="T1805" i="1"/>
  <c r="U1805" i="1"/>
  <c r="T1806" i="1"/>
  <c r="U1806" i="1"/>
  <c r="T1807" i="1"/>
  <c r="U1807" i="1"/>
  <c r="T1808" i="1"/>
  <c r="U1808" i="1"/>
  <c r="T1809" i="1"/>
  <c r="U1809" i="1"/>
  <c r="T1810" i="1"/>
  <c r="U1810" i="1"/>
  <c r="T1811" i="1"/>
  <c r="U1811" i="1"/>
  <c r="T1812" i="1"/>
  <c r="U1812" i="1"/>
  <c r="T1813" i="1"/>
  <c r="U1813" i="1"/>
  <c r="T1814" i="1"/>
  <c r="U1814" i="1"/>
  <c r="T1815" i="1"/>
  <c r="U1815" i="1"/>
  <c r="T1816" i="1"/>
  <c r="U1816" i="1"/>
  <c r="T1817" i="1"/>
  <c r="U1817" i="1"/>
  <c r="T1818" i="1"/>
  <c r="U1818" i="1"/>
  <c r="T1819" i="1"/>
  <c r="U1819" i="1"/>
  <c r="T1820" i="1"/>
  <c r="U1820" i="1"/>
  <c r="T1821" i="1"/>
  <c r="U1821" i="1"/>
  <c r="T1822" i="1"/>
  <c r="U1822" i="1"/>
  <c r="T1823" i="1"/>
  <c r="U1823" i="1"/>
  <c r="T1824" i="1"/>
  <c r="U1824" i="1"/>
  <c r="T1825" i="1"/>
  <c r="U1825" i="1"/>
  <c r="T1826" i="1"/>
  <c r="U1826" i="1"/>
  <c r="T1827" i="1"/>
  <c r="U1827" i="1"/>
  <c r="T1828" i="1"/>
  <c r="U1828" i="1"/>
  <c r="T1829" i="1"/>
  <c r="U1829" i="1"/>
  <c r="T1830" i="1"/>
  <c r="U1830" i="1"/>
  <c r="T1831" i="1"/>
  <c r="U1831" i="1"/>
  <c r="T1832" i="1"/>
  <c r="U1832" i="1"/>
  <c r="T1833" i="1"/>
  <c r="U1833" i="1"/>
  <c r="T1834" i="1"/>
  <c r="U1834" i="1"/>
  <c r="T1835" i="1"/>
  <c r="U1835" i="1"/>
  <c r="T1836" i="1"/>
  <c r="U1836" i="1"/>
  <c r="T1837" i="1"/>
  <c r="U1837" i="1"/>
  <c r="T1838" i="1"/>
  <c r="U1838" i="1"/>
  <c r="T1839" i="1"/>
  <c r="U1839" i="1"/>
  <c r="T1840" i="1"/>
  <c r="U1840" i="1"/>
  <c r="T1841" i="1"/>
  <c r="U1841" i="1"/>
  <c r="T1842" i="1"/>
  <c r="U1842" i="1"/>
  <c r="T1843" i="1"/>
  <c r="U1843" i="1"/>
  <c r="T1844" i="1"/>
  <c r="U1844" i="1"/>
  <c r="T1845" i="1"/>
  <c r="U1845" i="1"/>
  <c r="T1846" i="1"/>
  <c r="U1846" i="1"/>
  <c r="T1847" i="1"/>
  <c r="U1847" i="1"/>
  <c r="T1848" i="1"/>
  <c r="U1848" i="1"/>
  <c r="T1849" i="1"/>
  <c r="U1849" i="1"/>
  <c r="T1850" i="1"/>
  <c r="U1850" i="1"/>
  <c r="T1851" i="1"/>
  <c r="U1851" i="1"/>
  <c r="T1852" i="1"/>
  <c r="U1852" i="1"/>
  <c r="T1853" i="1"/>
  <c r="U1853" i="1"/>
  <c r="T1854" i="1"/>
  <c r="U1854" i="1"/>
  <c r="T1855" i="1"/>
  <c r="U1855" i="1"/>
  <c r="T1856" i="1"/>
  <c r="U1856" i="1"/>
  <c r="T1857" i="1"/>
  <c r="U1857" i="1"/>
  <c r="T1858" i="1"/>
  <c r="U1858" i="1"/>
  <c r="T1859" i="1"/>
  <c r="U1859" i="1"/>
  <c r="T1860" i="1"/>
  <c r="U1860" i="1"/>
  <c r="T1861" i="1"/>
  <c r="U1861" i="1"/>
  <c r="T1862" i="1"/>
  <c r="U1862" i="1"/>
  <c r="T1863" i="1"/>
  <c r="U1863" i="1"/>
  <c r="T1864" i="1"/>
  <c r="U1864" i="1"/>
  <c r="T1865" i="1"/>
  <c r="U1865" i="1"/>
  <c r="T1866" i="1"/>
  <c r="U1866" i="1"/>
  <c r="T1867" i="1"/>
  <c r="U1867" i="1"/>
  <c r="T1868" i="1"/>
  <c r="U1868" i="1"/>
  <c r="T1869" i="1"/>
  <c r="U1869" i="1"/>
  <c r="T1870" i="1"/>
  <c r="U1870" i="1"/>
  <c r="T1871" i="1"/>
  <c r="U1871" i="1"/>
  <c r="T1872" i="1"/>
  <c r="U1872" i="1"/>
  <c r="T1873" i="1"/>
  <c r="U1873" i="1"/>
  <c r="T1874" i="1"/>
  <c r="U1874" i="1"/>
  <c r="T1875" i="1"/>
  <c r="U1875" i="1"/>
  <c r="T1876" i="1"/>
  <c r="U1876" i="1"/>
  <c r="T1877" i="1"/>
  <c r="U1877" i="1"/>
  <c r="T1878" i="1"/>
  <c r="U1878" i="1"/>
  <c r="T1879" i="1"/>
  <c r="U1879" i="1"/>
  <c r="T1880" i="1"/>
  <c r="U1880" i="1"/>
  <c r="T1881" i="1"/>
  <c r="U1881" i="1"/>
  <c r="T1882" i="1"/>
  <c r="U1882" i="1"/>
  <c r="T1883" i="1"/>
  <c r="U1883" i="1"/>
  <c r="T1884" i="1"/>
  <c r="U1884" i="1"/>
  <c r="T1885" i="1"/>
  <c r="U1885" i="1"/>
  <c r="T1886" i="1"/>
  <c r="U1886" i="1"/>
  <c r="T1887" i="1"/>
  <c r="U1887" i="1"/>
  <c r="T1888" i="1"/>
  <c r="U1888" i="1"/>
  <c r="T1889" i="1"/>
  <c r="U1889" i="1"/>
  <c r="T1890" i="1"/>
  <c r="U1890" i="1"/>
  <c r="T1891" i="1"/>
  <c r="U1891" i="1"/>
  <c r="T1892" i="1"/>
  <c r="U1892" i="1"/>
  <c r="T1893" i="1"/>
  <c r="U1893" i="1"/>
  <c r="T1894" i="1"/>
  <c r="U1894" i="1"/>
  <c r="T1895" i="1"/>
  <c r="U1895" i="1"/>
  <c r="T1896" i="1"/>
  <c r="U1896" i="1"/>
  <c r="T1897" i="1"/>
  <c r="U1897" i="1"/>
  <c r="T1898" i="1"/>
  <c r="U1898" i="1"/>
  <c r="T1899" i="1"/>
  <c r="U1899" i="1"/>
  <c r="T1900" i="1"/>
  <c r="U1900" i="1"/>
  <c r="T1901" i="1"/>
  <c r="U1901" i="1"/>
  <c r="T1902" i="1"/>
  <c r="U1902" i="1"/>
  <c r="T1903" i="1"/>
  <c r="U1903" i="1"/>
  <c r="T1904" i="1"/>
  <c r="U1904" i="1"/>
  <c r="T1905" i="1"/>
  <c r="U1905" i="1"/>
  <c r="T1906" i="1"/>
  <c r="U1906" i="1"/>
  <c r="T1907" i="1"/>
  <c r="U1907" i="1"/>
  <c r="T1908" i="1"/>
  <c r="U1908" i="1"/>
  <c r="T1909" i="1"/>
  <c r="U1909" i="1"/>
  <c r="T1910" i="1"/>
  <c r="U1910" i="1"/>
  <c r="T1911" i="1"/>
  <c r="U1911" i="1"/>
  <c r="T1912" i="1"/>
  <c r="U1912" i="1"/>
  <c r="T1913" i="1"/>
  <c r="U1913" i="1"/>
  <c r="T1914" i="1"/>
  <c r="U1914" i="1"/>
  <c r="T1915" i="1"/>
  <c r="U1915" i="1"/>
  <c r="T1916" i="1"/>
  <c r="U1916" i="1"/>
  <c r="T1917" i="1"/>
  <c r="U1917" i="1"/>
  <c r="T1918" i="1"/>
  <c r="U1918" i="1"/>
  <c r="T1919" i="1"/>
  <c r="U1919" i="1"/>
  <c r="T1920" i="1"/>
  <c r="U1920" i="1"/>
  <c r="T1921" i="1"/>
  <c r="U1921" i="1"/>
  <c r="T1922" i="1"/>
  <c r="U1922" i="1"/>
  <c r="T1923" i="1"/>
  <c r="U1923" i="1"/>
  <c r="T1924" i="1"/>
  <c r="U1924" i="1"/>
  <c r="T1925" i="1"/>
  <c r="U1925" i="1"/>
  <c r="T1926" i="1"/>
  <c r="U1926" i="1"/>
  <c r="T1927" i="1"/>
  <c r="U1927" i="1"/>
  <c r="T1928" i="1"/>
  <c r="U1928" i="1"/>
  <c r="T1929" i="1"/>
  <c r="U1929" i="1"/>
  <c r="T1930" i="1"/>
  <c r="U1930" i="1"/>
  <c r="T1931" i="1"/>
  <c r="U1931" i="1"/>
  <c r="T1932" i="1"/>
  <c r="U1932" i="1"/>
  <c r="T1933" i="1"/>
  <c r="U1933" i="1"/>
  <c r="T1934" i="1"/>
  <c r="U1934" i="1"/>
  <c r="T1935" i="1"/>
  <c r="U1935" i="1"/>
  <c r="T1936" i="1"/>
  <c r="U1936" i="1"/>
  <c r="T1937" i="1"/>
  <c r="U1937" i="1"/>
  <c r="T1938" i="1"/>
  <c r="U1938" i="1"/>
  <c r="T1939" i="1"/>
  <c r="U1939" i="1"/>
  <c r="T1940" i="1"/>
  <c r="U1940" i="1"/>
  <c r="T1941" i="1"/>
  <c r="U1941" i="1"/>
  <c r="T1942" i="1"/>
  <c r="U1942" i="1"/>
  <c r="T1943" i="1"/>
  <c r="U1943" i="1"/>
  <c r="T1944" i="1"/>
  <c r="U1944" i="1"/>
  <c r="T1945" i="1"/>
  <c r="U1945" i="1"/>
  <c r="T1946" i="1"/>
  <c r="U1946" i="1"/>
  <c r="T1947" i="1"/>
  <c r="U1947" i="1"/>
  <c r="T1948" i="1"/>
  <c r="U1948" i="1"/>
  <c r="T1949" i="1"/>
  <c r="U1949" i="1"/>
  <c r="T1950" i="1"/>
  <c r="U1950" i="1"/>
  <c r="T1951" i="1"/>
  <c r="U1951" i="1"/>
  <c r="T1952" i="1"/>
  <c r="U1952" i="1"/>
  <c r="T1953" i="1"/>
  <c r="U1953" i="1"/>
  <c r="T1954" i="1"/>
  <c r="U1954" i="1"/>
  <c r="T1955" i="1"/>
  <c r="U1955" i="1"/>
  <c r="T1956" i="1"/>
  <c r="U1956" i="1"/>
  <c r="T1957" i="1"/>
  <c r="U1957" i="1"/>
  <c r="T1958" i="1"/>
  <c r="U1958" i="1"/>
  <c r="T1959" i="1"/>
  <c r="U1959" i="1"/>
  <c r="T1960" i="1"/>
  <c r="U1960" i="1"/>
  <c r="T1961" i="1"/>
  <c r="U1961" i="1"/>
  <c r="T1962" i="1"/>
  <c r="U1962" i="1"/>
  <c r="T1963" i="1"/>
  <c r="U1963" i="1"/>
  <c r="T1964" i="1"/>
  <c r="U1964" i="1"/>
  <c r="T1965" i="1"/>
  <c r="U1965" i="1"/>
  <c r="T1966" i="1"/>
  <c r="U1966" i="1"/>
  <c r="T1967" i="1"/>
  <c r="U1967" i="1"/>
  <c r="T1968" i="1"/>
  <c r="U1968" i="1"/>
  <c r="T1969" i="1"/>
  <c r="U1969" i="1"/>
  <c r="T1970" i="1"/>
  <c r="U1970" i="1"/>
  <c r="T1971" i="1"/>
  <c r="U1971" i="1"/>
  <c r="T1972" i="1"/>
  <c r="U1972" i="1"/>
  <c r="T1973" i="1"/>
  <c r="U1973" i="1"/>
  <c r="T1974" i="1"/>
  <c r="U1974" i="1"/>
  <c r="T1975" i="1"/>
  <c r="U1975" i="1"/>
  <c r="T1976" i="1"/>
  <c r="U1976" i="1"/>
  <c r="T1977" i="1"/>
  <c r="U1977" i="1"/>
  <c r="T1978" i="1"/>
  <c r="U1978" i="1"/>
  <c r="T1979" i="1"/>
  <c r="U1979" i="1"/>
  <c r="T1980" i="1"/>
  <c r="U1980" i="1"/>
  <c r="T1981" i="1"/>
  <c r="U1981" i="1"/>
  <c r="T1982" i="1"/>
  <c r="U1982" i="1"/>
  <c r="T1983" i="1"/>
  <c r="U1983" i="1"/>
  <c r="T1984" i="1"/>
  <c r="U1984" i="1"/>
  <c r="T1985" i="1"/>
  <c r="U1985" i="1"/>
  <c r="T1986" i="1"/>
  <c r="U1986" i="1"/>
  <c r="T1987" i="1"/>
  <c r="U1987" i="1"/>
  <c r="T1988" i="1"/>
  <c r="U1988" i="1"/>
  <c r="T1989" i="1"/>
  <c r="U1989" i="1"/>
  <c r="T1990" i="1"/>
  <c r="U1990" i="1"/>
  <c r="T1991" i="1"/>
  <c r="U1991" i="1"/>
  <c r="T1992" i="1"/>
  <c r="U1992" i="1"/>
  <c r="T1993" i="1"/>
  <c r="U1993" i="1"/>
  <c r="T1994" i="1"/>
  <c r="U1994" i="1"/>
  <c r="T1995" i="1"/>
  <c r="U1995" i="1"/>
  <c r="T1996" i="1"/>
  <c r="U1996" i="1"/>
  <c r="T1997" i="1"/>
  <c r="U1997" i="1"/>
  <c r="T1998" i="1"/>
  <c r="U1998" i="1"/>
  <c r="T1999" i="1"/>
  <c r="U1999" i="1"/>
  <c r="T2000" i="1"/>
  <c r="U2000" i="1"/>
  <c r="T2001" i="1"/>
  <c r="U2001" i="1"/>
  <c r="T2002" i="1"/>
  <c r="U2002" i="1"/>
  <c r="T2003" i="1"/>
  <c r="U2003" i="1"/>
  <c r="T2004" i="1"/>
  <c r="U2004" i="1"/>
  <c r="T2005" i="1"/>
  <c r="U2005" i="1"/>
  <c r="T2006" i="1"/>
  <c r="U2006" i="1"/>
  <c r="T2007" i="1"/>
  <c r="U2007" i="1"/>
  <c r="T2008" i="1"/>
  <c r="U2008" i="1"/>
  <c r="T2009" i="1"/>
  <c r="U2009" i="1"/>
  <c r="T2010" i="1"/>
  <c r="U2010" i="1"/>
  <c r="T2011" i="1"/>
  <c r="U2011" i="1"/>
  <c r="T2012" i="1"/>
  <c r="U2012" i="1"/>
  <c r="T2013" i="1"/>
  <c r="U2013" i="1"/>
  <c r="T2014" i="1"/>
  <c r="U2014" i="1"/>
  <c r="T2015" i="1"/>
  <c r="U2015" i="1"/>
  <c r="T2016" i="1"/>
  <c r="U2016" i="1"/>
  <c r="T2017" i="1"/>
  <c r="U2017" i="1"/>
  <c r="T2018" i="1"/>
  <c r="U2018" i="1"/>
  <c r="T2019" i="1"/>
  <c r="U2019" i="1"/>
  <c r="T2020" i="1"/>
  <c r="U2020" i="1"/>
  <c r="T2021" i="1"/>
  <c r="U2021" i="1"/>
  <c r="T2022" i="1"/>
  <c r="U2022" i="1"/>
  <c r="T2023" i="1"/>
  <c r="U2023" i="1"/>
  <c r="T2024" i="1"/>
  <c r="U2024" i="1"/>
  <c r="T2025" i="1"/>
  <c r="U2025" i="1"/>
  <c r="T2026" i="1"/>
  <c r="U2026" i="1"/>
  <c r="T2027" i="1"/>
  <c r="U2027" i="1"/>
  <c r="T2028" i="1"/>
  <c r="U2028" i="1"/>
  <c r="T2029" i="1"/>
  <c r="U2029" i="1"/>
  <c r="T2030" i="1"/>
  <c r="U2030" i="1"/>
  <c r="T2031" i="1"/>
  <c r="U2031" i="1"/>
  <c r="T2032" i="1"/>
  <c r="U2032" i="1"/>
  <c r="T2033" i="1"/>
  <c r="U2033" i="1"/>
  <c r="T2034" i="1"/>
  <c r="U2034" i="1"/>
  <c r="T2035" i="1"/>
  <c r="U2035" i="1"/>
  <c r="T2036" i="1"/>
  <c r="U2036" i="1"/>
  <c r="T2037" i="1"/>
  <c r="U2037" i="1"/>
  <c r="T2038" i="1"/>
  <c r="U2038" i="1"/>
  <c r="T2039" i="1"/>
  <c r="U2039" i="1"/>
  <c r="T2040" i="1"/>
  <c r="U2040" i="1"/>
  <c r="T2041" i="1"/>
  <c r="U2041" i="1"/>
  <c r="T2042" i="1"/>
  <c r="U2042" i="1"/>
  <c r="T2043" i="1"/>
  <c r="U2043" i="1"/>
  <c r="T2044" i="1"/>
  <c r="U2044" i="1"/>
  <c r="T2045" i="1"/>
  <c r="U2045" i="1"/>
  <c r="T2046" i="1"/>
  <c r="U2046" i="1"/>
  <c r="T2047" i="1"/>
  <c r="U2047" i="1"/>
  <c r="T2048" i="1"/>
  <c r="U2048" i="1"/>
  <c r="T2049" i="1"/>
  <c r="U2049" i="1"/>
  <c r="T2050" i="1"/>
  <c r="U2050" i="1"/>
  <c r="T2051" i="1"/>
  <c r="U2051" i="1"/>
  <c r="T2052" i="1"/>
  <c r="U2052" i="1"/>
  <c r="T2053" i="1"/>
  <c r="U2053" i="1"/>
  <c r="T2054" i="1"/>
  <c r="U2054" i="1"/>
  <c r="T2055" i="1"/>
  <c r="U2055" i="1"/>
  <c r="T2056" i="1"/>
  <c r="U2056" i="1"/>
  <c r="T2057" i="1"/>
  <c r="U2057" i="1"/>
  <c r="T2058" i="1"/>
  <c r="U2058" i="1"/>
  <c r="T2059" i="1"/>
  <c r="U2059" i="1"/>
  <c r="T2060" i="1"/>
  <c r="U2060" i="1"/>
  <c r="T2061" i="1"/>
  <c r="U2061" i="1"/>
  <c r="T2062" i="1"/>
  <c r="U2062" i="1"/>
  <c r="T2063" i="1"/>
  <c r="U2063" i="1"/>
  <c r="T2064" i="1"/>
  <c r="U2064" i="1"/>
  <c r="T2065" i="1"/>
  <c r="U2065" i="1"/>
  <c r="T2066" i="1"/>
  <c r="U2066" i="1"/>
  <c r="T2067" i="1"/>
  <c r="U2067" i="1"/>
  <c r="T2068" i="1"/>
  <c r="U2068" i="1"/>
  <c r="T2069" i="1"/>
  <c r="U2069" i="1"/>
  <c r="T2070" i="1"/>
  <c r="U2070" i="1"/>
  <c r="T2071" i="1"/>
  <c r="U2071" i="1"/>
  <c r="T2072" i="1"/>
  <c r="U2072" i="1"/>
  <c r="T2073" i="1"/>
  <c r="U2073" i="1"/>
  <c r="T2074" i="1"/>
  <c r="U2074" i="1"/>
  <c r="T2075" i="1"/>
  <c r="U2075" i="1"/>
  <c r="T2076" i="1"/>
  <c r="U2076" i="1"/>
  <c r="T2077" i="1"/>
  <c r="U2077" i="1"/>
  <c r="T2078" i="1"/>
  <c r="U2078" i="1"/>
  <c r="T2079" i="1"/>
  <c r="U2079" i="1"/>
  <c r="T2080" i="1"/>
  <c r="U2080" i="1"/>
  <c r="T2081" i="1"/>
  <c r="U2081" i="1"/>
  <c r="T2082" i="1"/>
  <c r="U2082" i="1"/>
  <c r="T2083" i="1"/>
  <c r="U2083" i="1"/>
  <c r="T2084" i="1"/>
  <c r="U2084" i="1"/>
  <c r="T2085" i="1"/>
  <c r="U2085" i="1"/>
  <c r="T2086" i="1"/>
  <c r="U2086" i="1"/>
  <c r="T2087" i="1"/>
  <c r="U2087" i="1"/>
  <c r="T2088" i="1"/>
  <c r="U2088" i="1"/>
  <c r="T2089" i="1"/>
  <c r="U2089" i="1"/>
  <c r="T2090" i="1"/>
  <c r="U2090" i="1"/>
  <c r="T2091" i="1"/>
  <c r="U2091" i="1"/>
  <c r="T2092" i="1"/>
  <c r="U2092" i="1"/>
  <c r="T2093" i="1"/>
  <c r="U2093" i="1"/>
  <c r="T2094" i="1"/>
  <c r="U2094" i="1"/>
  <c r="T2095" i="1"/>
  <c r="U2095" i="1"/>
  <c r="T2096" i="1"/>
  <c r="U2096" i="1"/>
  <c r="T2097" i="1"/>
  <c r="U2097" i="1"/>
  <c r="T2098" i="1"/>
  <c r="U2098" i="1"/>
  <c r="T2099" i="1"/>
  <c r="U2099" i="1"/>
  <c r="T2100" i="1"/>
  <c r="U2100" i="1"/>
  <c r="T2101" i="1"/>
  <c r="U2101" i="1"/>
  <c r="T2102" i="1"/>
  <c r="U2102" i="1"/>
  <c r="T2103" i="1"/>
  <c r="U2103" i="1"/>
  <c r="T2104" i="1"/>
  <c r="U2104" i="1"/>
  <c r="T2105" i="1"/>
  <c r="U2105" i="1"/>
  <c r="T2106" i="1"/>
  <c r="U2106" i="1"/>
  <c r="T2107" i="1"/>
  <c r="U2107" i="1"/>
  <c r="T2108" i="1"/>
  <c r="U2108" i="1"/>
  <c r="T2109" i="1"/>
  <c r="U2109" i="1"/>
  <c r="T2110" i="1"/>
  <c r="U2110" i="1"/>
  <c r="T2111" i="1"/>
  <c r="U2111" i="1"/>
  <c r="T2112" i="1"/>
  <c r="U2112" i="1"/>
  <c r="T2113" i="1"/>
  <c r="U2113" i="1"/>
  <c r="T2114" i="1"/>
  <c r="U2114" i="1"/>
  <c r="T2115" i="1"/>
  <c r="U2115" i="1"/>
  <c r="T2116" i="1"/>
  <c r="U2116" i="1"/>
  <c r="T2117" i="1"/>
  <c r="U2117" i="1"/>
  <c r="T2118" i="1"/>
  <c r="U2118" i="1"/>
  <c r="T2119" i="1"/>
  <c r="U2119" i="1"/>
  <c r="T2120" i="1"/>
  <c r="U2120" i="1"/>
  <c r="T2121" i="1"/>
  <c r="U2121" i="1"/>
  <c r="T2122" i="1"/>
  <c r="U2122" i="1"/>
  <c r="T2123" i="1"/>
  <c r="U2123" i="1"/>
  <c r="T2124" i="1"/>
  <c r="U2124" i="1"/>
  <c r="T2125" i="1"/>
  <c r="U2125" i="1"/>
  <c r="T2126" i="1"/>
  <c r="U2126" i="1"/>
  <c r="T2127" i="1"/>
  <c r="U2127" i="1"/>
  <c r="T2128" i="1"/>
  <c r="U2128" i="1"/>
  <c r="T2129" i="1"/>
  <c r="U2129" i="1"/>
  <c r="T2130" i="1"/>
  <c r="U2130" i="1"/>
  <c r="T2131" i="1"/>
  <c r="U2131" i="1"/>
  <c r="T2132" i="1"/>
  <c r="U2132" i="1"/>
  <c r="T2133" i="1"/>
  <c r="U2133" i="1"/>
  <c r="T2134" i="1"/>
  <c r="U2134" i="1"/>
  <c r="T2135" i="1"/>
  <c r="U2135" i="1"/>
  <c r="T2136" i="1"/>
  <c r="U2136" i="1"/>
  <c r="T2137" i="1"/>
  <c r="U2137" i="1"/>
  <c r="T2138" i="1"/>
  <c r="U2138" i="1"/>
  <c r="T2139" i="1"/>
  <c r="U2139" i="1"/>
  <c r="T2140" i="1"/>
  <c r="U2140" i="1"/>
  <c r="T2141" i="1"/>
  <c r="U2141" i="1"/>
  <c r="T2142" i="1"/>
  <c r="U2142" i="1"/>
  <c r="T2143" i="1"/>
  <c r="U2143" i="1"/>
  <c r="T2144" i="1"/>
  <c r="U2144" i="1"/>
  <c r="T2145" i="1"/>
  <c r="U2145" i="1"/>
  <c r="T2146" i="1"/>
  <c r="U2146" i="1"/>
  <c r="T2147" i="1"/>
  <c r="U2147" i="1"/>
  <c r="T2148" i="1"/>
  <c r="U2148" i="1"/>
  <c r="T2149" i="1"/>
  <c r="U2149" i="1"/>
  <c r="T2150" i="1"/>
  <c r="U2150" i="1"/>
  <c r="T2151" i="1"/>
  <c r="U2151" i="1"/>
  <c r="T2152" i="1"/>
  <c r="U2152" i="1"/>
  <c r="T2153" i="1"/>
  <c r="U2153" i="1"/>
  <c r="T2154" i="1"/>
  <c r="U2154" i="1"/>
  <c r="T2155" i="1"/>
  <c r="U2155" i="1"/>
  <c r="T2156" i="1"/>
  <c r="U2156" i="1"/>
  <c r="T2157" i="1"/>
  <c r="U2157" i="1"/>
  <c r="T2158" i="1"/>
  <c r="U2158" i="1"/>
  <c r="T2159" i="1"/>
  <c r="U2159" i="1"/>
  <c r="T2160" i="1"/>
  <c r="U2160" i="1"/>
  <c r="T2161" i="1"/>
  <c r="U2161" i="1"/>
  <c r="T2162" i="1"/>
  <c r="U2162" i="1"/>
  <c r="T2163" i="1"/>
  <c r="U2163" i="1"/>
  <c r="T2164" i="1"/>
  <c r="U2164" i="1"/>
  <c r="T2165" i="1"/>
  <c r="U2165" i="1"/>
  <c r="T2166" i="1"/>
  <c r="U2166" i="1"/>
  <c r="T2167" i="1"/>
  <c r="U2167" i="1"/>
  <c r="T2168" i="1"/>
  <c r="U2168" i="1"/>
  <c r="T2169" i="1"/>
  <c r="U2169" i="1"/>
  <c r="T2170" i="1"/>
  <c r="U2170" i="1"/>
  <c r="T2171" i="1"/>
  <c r="U2171" i="1"/>
  <c r="T2172" i="1"/>
  <c r="U2172" i="1"/>
  <c r="T2173" i="1"/>
  <c r="U2173" i="1"/>
  <c r="T2174" i="1"/>
  <c r="U2174" i="1"/>
  <c r="T2175" i="1"/>
  <c r="U2175" i="1"/>
  <c r="T2176" i="1"/>
  <c r="U2176" i="1"/>
  <c r="T2177" i="1"/>
  <c r="U2177" i="1"/>
  <c r="T2178" i="1"/>
  <c r="U2178" i="1"/>
  <c r="T2179" i="1"/>
  <c r="U2179" i="1"/>
  <c r="T2180" i="1"/>
  <c r="U2180" i="1"/>
  <c r="T2181" i="1"/>
  <c r="U2181" i="1"/>
  <c r="T2182" i="1"/>
  <c r="U2182" i="1"/>
  <c r="T2183" i="1"/>
  <c r="U2183" i="1"/>
  <c r="T2184" i="1"/>
  <c r="U2184" i="1"/>
  <c r="T2185" i="1"/>
  <c r="U2185" i="1"/>
  <c r="T2186" i="1"/>
  <c r="U2186" i="1"/>
  <c r="T2187" i="1"/>
  <c r="U2187" i="1"/>
  <c r="T2188" i="1"/>
  <c r="U2188" i="1"/>
  <c r="T2189" i="1"/>
  <c r="U2189" i="1"/>
  <c r="T2190" i="1"/>
  <c r="U2190" i="1"/>
  <c r="T2191" i="1"/>
  <c r="U2191" i="1"/>
  <c r="T2192" i="1"/>
  <c r="U2192" i="1"/>
  <c r="T2193" i="1"/>
  <c r="U2193" i="1"/>
  <c r="T2194" i="1"/>
  <c r="U2194" i="1"/>
  <c r="T2195" i="1"/>
  <c r="U2195" i="1"/>
  <c r="T2196" i="1"/>
  <c r="U2196" i="1"/>
  <c r="T2197" i="1"/>
  <c r="U2197" i="1"/>
  <c r="T2198" i="1"/>
  <c r="U2198" i="1"/>
  <c r="T2199" i="1"/>
  <c r="U2199" i="1"/>
  <c r="T2200" i="1"/>
  <c r="U2200" i="1"/>
  <c r="T2201" i="1"/>
  <c r="U2201" i="1"/>
  <c r="T2202" i="1"/>
  <c r="U2202" i="1"/>
  <c r="T2203" i="1"/>
  <c r="U2203" i="1"/>
  <c r="T2204" i="1"/>
  <c r="U2204" i="1"/>
  <c r="T2205" i="1"/>
  <c r="U2205" i="1"/>
  <c r="T2206" i="1"/>
  <c r="U2206" i="1"/>
  <c r="T2207" i="1"/>
  <c r="U2207" i="1"/>
  <c r="T2208" i="1"/>
  <c r="U2208" i="1"/>
  <c r="T2209" i="1"/>
  <c r="U2209" i="1"/>
  <c r="T2210" i="1"/>
  <c r="U2210" i="1"/>
  <c r="T2211" i="1"/>
  <c r="U2211" i="1"/>
  <c r="T2212" i="1"/>
  <c r="U2212" i="1"/>
  <c r="T2213" i="1"/>
  <c r="U2213" i="1"/>
  <c r="T2214" i="1"/>
  <c r="U2214" i="1"/>
  <c r="T2215" i="1"/>
  <c r="U2215" i="1"/>
  <c r="T2216" i="1"/>
  <c r="U2216" i="1"/>
  <c r="T2217" i="1"/>
  <c r="U2217" i="1"/>
  <c r="T2218" i="1"/>
  <c r="U2218" i="1"/>
  <c r="T2219" i="1"/>
  <c r="U2219" i="1"/>
  <c r="T2220" i="1"/>
  <c r="U2220" i="1"/>
  <c r="T2221" i="1"/>
  <c r="U2221" i="1"/>
  <c r="T2222" i="1"/>
  <c r="U2222" i="1"/>
  <c r="T2223" i="1"/>
  <c r="U2223" i="1"/>
  <c r="T2224" i="1"/>
  <c r="U2224" i="1"/>
  <c r="T2225" i="1"/>
  <c r="U2225" i="1"/>
  <c r="T2226" i="1"/>
  <c r="U2226" i="1"/>
  <c r="T2227" i="1"/>
  <c r="U2227" i="1"/>
  <c r="T2228" i="1"/>
  <c r="U2228" i="1"/>
  <c r="T2229" i="1"/>
  <c r="U2229" i="1"/>
  <c r="T2230" i="1"/>
  <c r="U2230" i="1"/>
  <c r="T2231" i="1"/>
  <c r="U2231" i="1"/>
  <c r="T2232" i="1"/>
  <c r="U2232" i="1"/>
  <c r="T2233" i="1"/>
  <c r="U2233" i="1"/>
  <c r="T2234" i="1"/>
  <c r="U2234" i="1"/>
  <c r="T2235" i="1"/>
  <c r="U2235" i="1"/>
  <c r="T2236" i="1"/>
  <c r="U2236" i="1"/>
  <c r="T2237" i="1"/>
  <c r="U2237" i="1"/>
  <c r="T2238" i="1"/>
  <c r="U2238" i="1"/>
  <c r="T2239" i="1"/>
  <c r="U2239" i="1"/>
  <c r="T2240" i="1"/>
  <c r="U2240" i="1"/>
  <c r="T2241" i="1"/>
  <c r="U2241" i="1"/>
  <c r="T2242" i="1"/>
  <c r="U2242" i="1"/>
  <c r="T2243" i="1"/>
  <c r="U2243" i="1"/>
  <c r="T2244" i="1"/>
  <c r="U2244" i="1"/>
  <c r="T2245" i="1"/>
  <c r="U2245" i="1"/>
  <c r="T2246" i="1"/>
  <c r="U2246" i="1"/>
  <c r="T2247" i="1"/>
  <c r="U2247" i="1"/>
  <c r="T2248" i="1"/>
  <c r="U2248" i="1"/>
  <c r="T2249" i="1"/>
  <c r="U2249" i="1"/>
  <c r="T2250" i="1"/>
  <c r="U2250" i="1"/>
  <c r="T2251" i="1"/>
  <c r="U2251" i="1"/>
  <c r="T2252" i="1"/>
  <c r="U2252" i="1"/>
  <c r="T2253" i="1"/>
  <c r="U2253" i="1"/>
  <c r="T2254" i="1"/>
  <c r="U2254" i="1"/>
  <c r="T2255" i="1"/>
  <c r="U2255" i="1"/>
  <c r="T2256" i="1"/>
  <c r="U2256" i="1"/>
  <c r="T2257" i="1"/>
  <c r="U2257" i="1"/>
  <c r="T2258" i="1"/>
  <c r="U2258" i="1"/>
  <c r="T2259" i="1"/>
  <c r="U2259" i="1"/>
  <c r="T2260" i="1"/>
  <c r="U2260" i="1"/>
  <c r="T2261" i="1"/>
  <c r="U2261" i="1"/>
  <c r="T2262" i="1"/>
  <c r="U2262" i="1"/>
  <c r="T2263" i="1"/>
  <c r="U2263" i="1"/>
  <c r="T2264" i="1"/>
  <c r="U2264" i="1"/>
  <c r="T2265" i="1"/>
  <c r="U2265" i="1"/>
  <c r="T2266" i="1"/>
  <c r="U2266" i="1"/>
  <c r="T2267" i="1"/>
  <c r="U2267" i="1"/>
  <c r="T2268" i="1"/>
  <c r="U2268" i="1"/>
  <c r="T2269" i="1"/>
  <c r="U2269" i="1"/>
  <c r="T2270" i="1"/>
  <c r="U2270" i="1"/>
  <c r="T2271" i="1"/>
  <c r="U2271" i="1"/>
  <c r="T2272" i="1"/>
  <c r="U2272" i="1"/>
  <c r="T2273" i="1"/>
  <c r="U2273" i="1"/>
  <c r="T2274" i="1"/>
  <c r="U2274" i="1"/>
  <c r="T2275" i="1"/>
  <c r="U2275" i="1"/>
  <c r="T2276" i="1"/>
  <c r="U2276" i="1"/>
  <c r="T2277" i="1"/>
  <c r="U2277" i="1"/>
  <c r="T2278" i="1"/>
  <c r="U2278" i="1"/>
  <c r="T2279" i="1"/>
  <c r="U2279" i="1"/>
  <c r="T2280" i="1"/>
  <c r="U2280" i="1"/>
  <c r="T2281" i="1"/>
  <c r="U2281" i="1"/>
  <c r="T2282" i="1"/>
  <c r="U2282" i="1"/>
  <c r="T2283" i="1"/>
  <c r="U2283" i="1"/>
  <c r="T2284" i="1"/>
  <c r="U2284" i="1"/>
  <c r="T2285" i="1"/>
  <c r="U2285" i="1"/>
  <c r="T2286" i="1"/>
  <c r="U2286" i="1"/>
  <c r="T2287" i="1"/>
  <c r="U2287" i="1"/>
  <c r="T2288" i="1"/>
  <c r="U2288" i="1"/>
  <c r="T2289" i="1"/>
  <c r="U2289" i="1"/>
  <c r="T2290" i="1"/>
  <c r="U2290" i="1"/>
  <c r="T2291" i="1"/>
  <c r="U2291" i="1"/>
  <c r="T2292" i="1"/>
  <c r="U2292" i="1"/>
  <c r="T2293" i="1"/>
  <c r="U2293" i="1"/>
  <c r="T2294" i="1"/>
  <c r="U2294" i="1"/>
  <c r="T2295" i="1"/>
  <c r="U2295" i="1"/>
  <c r="T2296" i="1"/>
  <c r="U2296" i="1"/>
  <c r="T2297" i="1"/>
  <c r="U2297" i="1"/>
  <c r="T2298" i="1"/>
  <c r="U2298" i="1"/>
  <c r="T2299" i="1"/>
  <c r="U2299" i="1"/>
  <c r="T2300" i="1"/>
  <c r="U2300" i="1"/>
  <c r="T2301" i="1"/>
  <c r="U2301" i="1"/>
  <c r="T2302" i="1"/>
  <c r="U2302" i="1"/>
  <c r="T2303" i="1"/>
  <c r="U2303" i="1"/>
  <c r="T2304" i="1"/>
  <c r="U2304" i="1"/>
  <c r="T2305" i="1"/>
  <c r="U2305" i="1"/>
  <c r="T2306" i="1"/>
  <c r="U2306" i="1"/>
  <c r="T2307" i="1"/>
  <c r="U2307" i="1"/>
  <c r="T2308" i="1"/>
  <c r="U2308" i="1"/>
  <c r="T2309" i="1"/>
  <c r="U2309" i="1"/>
  <c r="T2310" i="1"/>
  <c r="U2310" i="1"/>
  <c r="T2311" i="1"/>
  <c r="U2311" i="1"/>
  <c r="T2312" i="1"/>
  <c r="U2312" i="1"/>
  <c r="T2313" i="1"/>
  <c r="U2313" i="1"/>
  <c r="T2314" i="1"/>
  <c r="U2314" i="1"/>
  <c r="T2315" i="1"/>
  <c r="U2315" i="1"/>
  <c r="T2316" i="1"/>
  <c r="U2316" i="1"/>
  <c r="T2317" i="1"/>
  <c r="U2317" i="1"/>
  <c r="T2318" i="1"/>
  <c r="U2318" i="1"/>
  <c r="T2319" i="1"/>
  <c r="U2319" i="1"/>
  <c r="T2320" i="1"/>
  <c r="U2320" i="1"/>
  <c r="T2321" i="1"/>
  <c r="U2321" i="1"/>
  <c r="T2322" i="1"/>
  <c r="U2322" i="1"/>
  <c r="T2323" i="1"/>
  <c r="U2323" i="1"/>
  <c r="T2324" i="1"/>
  <c r="U2324" i="1"/>
  <c r="T2325" i="1"/>
  <c r="U2325" i="1"/>
  <c r="T2326" i="1"/>
  <c r="U2326" i="1"/>
  <c r="T2327" i="1"/>
  <c r="U2327" i="1"/>
  <c r="T2328" i="1"/>
  <c r="U2328" i="1"/>
  <c r="T2329" i="1"/>
  <c r="U2329" i="1"/>
  <c r="T2330" i="1"/>
  <c r="U2330" i="1"/>
  <c r="T2331" i="1"/>
  <c r="U2331" i="1"/>
  <c r="T2332" i="1"/>
  <c r="U2332" i="1"/>
  <c r="T2333" i="1"/>
  <c r="U2333" i="1"/>
  <c r="T2334" i="1"/>
  <c r="U2334" i="1"/>
  <c r="T2335" i="1"/>
  <c r="U2335" i="1"/>
  <c r="T2336" i="1"/>
  <c r="U2336" i="1"/>
  <c r="T2337" i="1"/>
  <c r="U2337" i="1"/>
  <c r="T2338" i="1"/>
  <c r="U2338" i="1"/>
  <c r="T2339" i="1"/>
  <c r="U2339" i="1"/>
  <c r="T2340" i="1"/>
  <c r="U2340" i="1"/>
  <c r="T2341" i="1"/>
  <c r="U2341" i="1"/>
  <c r="T2342" i="1"/>
  <c r="U2342" i="1"/>
  <c r="T2343" i="1"/>
  <c r="U2343" i="1"/>
  <c r="T2344" i="1"/>
  <c r="U2344" i="1"/>
  <c r="T2345" i="1"/>
  <c r="U2345" i="1"/>
  <c r="T2346" i="1"/>
  <c r="U2346" i="1"/>
  <c r="T2347" i="1"/>
  <c r="U2347" i="1"/>
  <c r="T2348" i="1"/>
  <c r="U2348" i="1"/>
  <c r="T2349" i="1"/>
  <c r="U2349" i="1"/>
  <c r="T2350" i="1"/>
  <c r="U2350" i="1"/>
  <c r="T2351" i="1"/>
  <c r="U2351" i="1"/>
  <c r="T2352" i="1"/>
  <c r="U2352" i="1"/>
  <c r="T2353" i="1"/>
  <c r="U2353" i="1"/>
  <c r="T2354" i="1"/>
  <c r="U2354" i="1"/>
  <c r="T2355" i="1"/>
  <c r="U2355" i="1"/>
  <c r="T2356" i="1"/>
  <c r="U2356" i="1"/>
  <c r="T2357" i="1"/>
  <c r="U2357" i="1"/>
  <c r="T2358" i="1"/>
  <c r="U2358" i="1"/>
  <c r="T2359" i="1"/>
  <c r="U2359" i="1"/>
  <c r="T2360" i="1"/>
  <c r="U2360" i="1"/>
  <c r="T2361" i="1"/>
  <c r="U2361" i="1"/>
  <c r="T2362" i="1"/>
  <c r="U2362" i="1"/>
  <c r="T2363" i="1"/>
  <c r="U2363" i="1"/>
  <c r="T2364" i="1"/>
  <c r="U2364" i="1"/>
  <c r="T2365" i="1"/>
  <c r="U2365" i="1"/>
  <c r="T2366" i="1"/>
  <c r="U2366" i="1"/>
  <c r="T2367" i="1"/>
  <c r="U2367" i="1"/>
  <c r="T2368" i="1"/>
  <c r="U2368" i="1"/>
  <c r="T2369" i="1"/>
  <c r="U2369" i="1"/>
  <c r="T2370" i="1"/>
  <c r="U2370" i="1"/>
  <c r="T2371" i="1"/>
  <c r="U2371" i="1"/>
  <c r="T2372" i="1"/>
  <c r="U2372" i="1"/>
  <c r="T2373" i="1"/>
  <c r="U2373" i="1"/>
  <c r="T2374" i="1"/>
  <c r="U2374" i="1"/>
  <c r="T2375" i="1"/>
  <c r="U2375" i="1"/>
  <c r="T2376" i="1"/>
  <c r="U2376" i="1"/>
  <c r="T2377" i="1"/>
  <c r="U2377" i="1"/>
  <c r="T2378" i="1"/>
  <c r="U2378" i="1"/>
  <c r="T2379" i="1"/>
  <c r="U2379" i="1"/>
  <c r="T2380" i="1"/>
  <c r="U2380" i="1"/>
  <c r="T2381" i="1"/>
  <c r="U2381" i="1"/>
  <c r="T2382" i="1"/>
  <c r="U2382" i="1"/>
  <c r="T2383" i="1"/>
  <c r="U2383" i="1"/>
  <c r="T2384" i="1"/>
  <c r="U2384" i="1"/>
  <c r="T2385" i="1"/>
  <c r="U2385" i="1"/>
  <c r="T2386" i="1"/>
  <c r="U2386" i="1"/>
  <c r="T2387" i="1"/>
  <c r="U2387" i="1"/>
  <c r="T2388" i="1"/>
  <c r="U2388" i="1"/>
  <c r="T2389" i="1"/>
  <c r="U2389" i="1"/>
  <c r="T2390" i="1"/>
  <c r="U2390" i="1"/>
  <c r="T2391" i="1"/>
  <c r="U2391" i="1"/>
  <c r="T2392" i="1"/>
  <c r="U2392" i="1"/>
  <c r="T2393" i="1"/>
  <c r="U2393" i="1"/>
  <c r="T2394" i="1"/>
  <c r="U2394" i="1"/>
  <c r="T2395" i="1"/>
  <c r="U2395" i="1"/>
  <c r="T2396" i="1"/>
  <c r="U2396" i="1"/>
  <c r="T2397" i="1"/>
  <c r="U2397" i="1"/>
  <c r="T2398" i="1"/>
  <c r="U2398" i="1"/>
  <c r="T2399" i="1"/>
  <c r="U2399" i="1"/>
  <c r="T2400" i="1"/>
  <c r="U2400" i="1"/>
  <c r="T2401" i="1"/>
  <c r="U2401" i="1"/>
  <c r="T2402" i="1"/>
  <c r="U2402" i="1"/>
  <c r="T2403" i="1"/>
  <c r="U2403" i="1"/>
  <c r="T2404" i="1"/>
  <c r="U2404" i="1"/>
  <c r="T2405" i="1"/>
  <c r="U2405" i="1"/>
  <c r="T2406" i="1"/>
  <c r="U2406" i="1"/>
  <c r="T2407" i="1"/>
  <c r="U2407" i="1"/>
  <c r="T2408" i="1"/>
  <c r="U2408" i="1"/>
  <c r="T2409" i="1"/>
  <c r="U2409" i="1"/>
  <c r="T2410" i="1"/>
  <c r="U2410" i="1"/>
  <c r="T2411" i="1"/>
  <c r="U2411" i="1"/>
  <c r="T2412" i="1"/>
  <c r="U2412" i="1"/>
  <c r="T2413" i="1"/>
  <c r="U2413" i="1"/>
  <c r="T2414" i="1"/>
  <c r="U2414" i="1"/>
  <c r="T2415" i="1"/>
  <c r="U2415" i="1"/>
  <c r="T2416" i="1"/>
  <c r="U2416" i="1"/>
  <c r="T2417" i="1"/>
  <c r="U2417" i="1"/>
  <c r="T2418" i="1"/>
  <c r="U2418" i="1"/>
  <c r="T2419" i="1"/>
  <c r="U2419" i="1"/>
  <c r="T2420" i="1"/>
  <c r="U2420" i="1"/>
  <c r="T2421" i="1"/>
  <c r="U2421" i="1"/>
  <c r="T2422" i="1"/>
  <c r="U2422" i="1"/>
  <c r="T2423" i="1"/>
  <c r="U2423" i="1"/>
  <c r="T2424" i="1"/>
  <c r="U2424" i="1"/>
  <c r="T2425" i="1"/>
  <c r="U2425" i="1"/>
  <c r="T2426" i="1"/>
  <c r="U2426" i="1"/>
  <c r="T2427" i="1"/>
  <c r="U2427" i="1"/>
  <c r="T2428" i="1"/>
  <c r="U2428" i="1"/>
  <c r="T2429" i="1"/>
  <c r="U2429" i="1"/>
  <c r="T2430" i="1"/>
  <c r="U2430" i="1"/>
  <c r="T2431" i="1"/>
  <c r="U2431" i="1"/>
  <c r="T2432" i="1"/>
  <c r="U2432" i="1"/>
  <c r="T2433" i="1"/>
  <c r="U2433" i="1"/>
  <c r="T2434" i="1"/>
  <c r="U2434" i="1"/>
  <c r="T2435" i="1"/>
  <c r="U2435" i="1"/>
  <c r="T2436" i="1"/>
  <c r="U2436" i="1"/>
  <c r="T2437" i="1"/>
  <c r="U2437" i="1"/>
  <c r="T2438" i="1"/>
  <c r="U2438" i="1"/>
  <c r="T2439" i="1"/>
  <c r="U2439" i="1"/>
  <c r="T2440" i="1"/>
  <c r="U2440" i="1"/>
  <c r="T2441" i="1"/>
  <c r="U2441" i="1"/>
  <c r="T2442" i="1"/>
  <c r="U2442" i="1"/>
  <c r="T2443" i="1"/>
  <c r="U2443" i="1"/>
  <c r="T2444" i="1"/>
  <c r="U2444" i="1"/>
  <c r="T2445" i="1"/>
  <c r="U2445" i="1"/>
  <c r="T2446" i="1"/>
  <c r="U2446" i="1"/>
  <c r="T2447" i="1"/>
  <c r="U2447" i="1"/>
  <c r="T2448" i="1"/>
  <c r="U2448" i="1"/>
  <c r="T2449" i="1"/>
  <c r="U2449" i="1"/>
  <c r="T2450" i="1"/>
  <c r="U2450" i="1"/>
  <c r="T2451" i="1"/>
  <c r="U2451" i="1"/>
  <c r="T2452" i="1"/>
  <c r="U2452" i="1"/>
  <c r="T2453" i="1"/>
  <c r="U2453" i="1"/>
  <c r="T2454" i="1"/>
  <c r="U2454" i="1"/>
  <c r="T2455" i="1"/>
  <c r="U2455" i="1"/>
  <c r="T2456" i="1"/>
  <c r="U2456" i="1"/>
  <c r="T2457" i="1"/>
  <c r="U2457" i="1"/>
  <c r="T2458" i="1"/>
  <c r="U2458" i="1"/>
  <c r="T2459" i="1"/>
  <c r="U2459" i="1"/>
  <c r="T2460" i="1"/>
  <c r="U2460" i="1"/>
  <c r="T2461" i="1"/>
  <c r="U2461" i="1"/>
  <c r="T2462" i="1"/>
  <c r="U2462" i="1"/>
  <c r="T2463" i="1"/>
  <c r="U2463" i="1"/>
  <c r="T2464" i="1"/>
  <c r="U2464" i="1"/>
  <c r="T2465" i="1"/>
  <c r="U2465" i="1"/>
  <c r="T2466" i="1"/>
  <c r="U2466" i="1"/>
  <c r="T2467" i="1"/>
  <c r="U2467" i="1"/>
  <c r="T2468" i="1"/>
  <c r="U2468" i="1"/>
  <c r="T2469" i="1"/>
  <c r="U2469" i="1"/>
  <c r="T2470" i="1"/>
  <c r="U2470" i="1"/>
  <c r="T2471" i="1"/>
  <c r="U2471" i="1"/>
  <c r="T2472" i="1"/>
  <c r="U2472" i="1"/>
  <c r="T2473" i="1"/>
  <c r="U2473" i="1"/>
  <c r="T2474" i="1"/>
  <c r="U2474" i="1"/>
  <c r="T2475" i="1"/>
  <c r="U2475" i="1"/>
  <c r="T2476" i="1"/>
  <c r="U2476" i="1"/>
  <c r="T2477" i="1"/>
  <c r="U2477" i="1"/>
  <c r="T2478" i="1"/>
  <c r="U2478" i="1"/>
  <c r="T2479" i="1"/>
  <c r="U2479" i="1"/>
  <c r="T2480" i="1"/>
  <c r="U2480" i="1"/>
  <c r="T2481" i="1"/>
  <c r="U2481" i="1"/>
  <c r="T2482" i="1"/>
  <c r="U2482" i="1"/>
  <c r="T2483" i="1"/>
  <c r="U2483" i="1"/>
  <c r="T2484" i="1"/>
  <c r="U2484" i="1"/>
  <c r="T2485" i="1"/>
  <c r="U2485" i="1"/>
  <c r="T2486" i="1"/>
  <c r="U2486" i="1"/>
  <c r="T2487" i="1"/>
  <c r="U2487" i="1"/>
  <c r="T2488" i="1"/>
  <c r="U2488" i="1"/>
  <c r="T2489" i="1"/>
  <c r="U2489" i="1"/>
  <c r="T2490" i="1"/>
  <c r="U2490" i="1"/>
  <c r="T2491" i="1"/>
  <c r="U2491" i="1"/>
  <c r="T2492" i="1"/>
  <c r="U2492" i="1"/>
  <c r="T2493" i="1"/>
  <c r="U2493" i="1"/>
  <c r="T2494" i="1"/>
  <c r="U2494" i="1"/>
  <c r="T2495" i="1"/>
  <c r="U2495" i="1"/>
  <c r="T2496" i="1"/>
  <c r="U2496" i="1"/>
  <c r="T2497" i="1"/>
  <c r="U2497" i="1"/>
  <c r="T2498" i="1"/>
  <c r="U2498" i="1"/>
  <c r="T2499" i="1"/>
  <c r="U2499" i="1"/>
  <c r="T2500" i="1"/>
  <c r="U2500" i="1"/>
  <c r="T2501" i="1"/>
  <c r="U2501" i="1"/>
  <c r="T2502" i="1"/>
  <c r="U2502" i="1"/>
  <c r="T2503" i="1"/>
  <c r="U2503" i="1"/>
  <c r="T2504" i="1"/>
  <c r="U2504" i="1"/>
  <c r="T2505" i="1"/>
  <c r="U2505" i="1"/>
  <c r="T2506" i="1"/>
  <c r="U2506" i="1"/>
  <c r="T2507" i="1"/>
  <c r="U2507" i="1"/>
  <c r="T2508" i="1"/>
  <c r="U2508" i="1"/>
  <c r="T2509" i="1"/>
  <c r="U2509" i="1"/>
  <c r="T2510" i="1"/>
  <c r="U2510" i="1"/>
  <c r="T2511" i="1"/>
  <c r="U2511" i="1"/>
  <c r="T2512" i="1"/>
  <c r="U2512" i="1"/>
  <c r="T2513" i="1"/>
  <c r="U2513" i="1"/>
  <c r="T2514" i="1"/>
  <c r="U2514" i="1"/>
  <c r="T2515" i="1"/>
  <c r="U2515" i="1"/>
  <c r="T2516" i="1"/>
  <c r="U2516" i="1"/>
  <c r="T2517" i="1"/>
  <c r="U2517" i="1"/>
  <c r="T2518" i="1"/>
  <c r="U2518" i="1"/>
  <c r="T2519" i="1"/>
  <c r="U2519" i="1"/>
  <c r="T2520" i="1"/>
  <c r="U2520" i="1"/>
  <c r="T2521" i="1"/>
  <c r="U2521" i="1"/>
  <c r="T2522" i="1"/>
  <c r="U2522" i="1"/>
  <c r="T2523" i="1"/>
  <c r="U2523" i="1"/>
  <c r="T2524" i="1"/>
  <c r="U2524" i="1"/>
  <c r="T2525" i="1"/>
  <c r="U2525" i="1"/>
  <c r="T2526" i="1"/>
  <c r="U2526" i="1"/>
  <c r="T2527" i="1"/>
  <c r="U2527" i="1"/>
  <c r="T2528" i="1"/>
  <c r="U2528" i="1"/>
  <c r="T2529" i="1"/>
  <c r="U2529" i="1"/>
  <c r="T2530" i="1"/>
  <c r="U2530" i="1"/>
  <c r="T2531" i="1"/>
  <c r="U2531" i="1"/>
  <c r="T2532" i="1"/>
  <c r="U2532" i="1"/>
  <c r="T2533" i="1"/>
  <c r="U2533" i="1"/>
  <c r="T2534" i="1"/>
  <c r="U2534" i="1"/>
  <c r="T2535" i="1"/>
  <c r="U2535" i="1"/>
  <c r="T2536" i="1"/>
  <c r="U2536" i="1"/>
  <c r="T2537" i="1"/>
  <c r="U2537" i="1"/>
  <c r="T2538" i="1"/>
  <c r="U2538" i="1"/>
  <c r="T2539" i="1"/>
  <c r="U2539" i="1"/>
  <c r="T2540" i="1"/>
  <c r="U2540" i="1"/>
  <c r="T2541" i="1"/>
  <c r="U2541" i="1"/>
  <c r="T2542" i="1"/>
  <c r="U2542" i="1"/>
  <c r="T2543" i="1"/>
  <c r="U2543" i="1"/>
  <c r="T2544" i="1"/>
  <c r="U2544" i="1"/>
  <c r="T2545" i="1"/>
  <c r="U2545" i="1"/>
  <c r="T2546" i="1"/>
  <c r="U2546" i="1"/>
  <c r="T2547" i="1"/>
  <c r="U2547" i="1"/>
  <c r="T2548" i="1"/>
  <c r="U2548" i="1"/>
  <c r="T2549" i="1"/>
  <c r="U2549" i="1"/>
  <c r="T2550" i="1"/>
  <c r="U2550" i="1"/>
  <c r="T2551" i="1"/>
  <c r="U2551" i="1"/>
  <c r="T2552" i="1"/>
  <c r="U2552" i="1"/>
  <c r="T2553" i="1"/>
  <c r="U2553" i="1"/>
  <c r="T2554" i="1"/>
  <c r="U2554" i="1"/>
  <c r="T2555" i="1"/>
  <c r="U2555" i="1"/>
  <c r="T2556" i="1"/>
  <c r="U2556" i="1"/>
  <c r="T2557" i="1"/>
  <c r="U2557" i="1"/>
  <c r="T2558" i="1"/>
  <c r="U2558" i="1"/>
  <c r="T2559" i="1"/>
  <c r="U2559" i="1"/>
  <c r="T2560" i="1"/>
  <c r="U2560" i="1"/>
  <c r="T2561" i="1"/>
  <c r="U2561" i="1"/>
  <c r="T2562" i="1"/>
  <c r="U2562" i="1"/>
  <c r="T2563" i="1"/>
  <c r="U2563" i="1"/>
  <c r="T2564" i="1"/>
  <c r="U2564" i="1"/>
  <c r="T2565" i="1"/>
  <c r="U2565" i="1"/>
  <c r="T2566" i="1"/>
  <c r="U2566" i="1"/>
  <c r="T2567" i="1"/>
  <c r="U2567" i="1"/>
  <c r="T2568" i="1"/>
  <c r="U2568" i="1"/>
  <c r="T2569" i="1"/>
  <c r="U2569" i="1"/>
  <c r="T2570" i="1"/>
  <c r="U2570" i="1"/>
  <c r="T2571" i="1"/>
  <c r="U2571" i="1"/>
  <c r="T2572" i="1"/>
  <c r="U2572" i="1"/>
  <c r="T2573" i="1"/>
  <c r="U2573" i="1"/>
  <c r="T2574" i="1"/>
  <c r="U2574" i="1"/>
  <c r="T2575" i="1"/>
  <c r="U2575" i="1"/>
  <c r="T2576" i="1"/>
  <c r="U2576" i="1"/>
  <c r="T2577" i="1"/>
  <c r="U2577" i="1"/>
  <c r="T2578" i="1"/>
  <c r="U2578" i="1"/>
  <c r="T2579" i="1"/>
  <c r="U2579" i="1"/>
  <c r="T2580" i="1"/>
  <c r="U2580" i="1"/>
  <c r="T2581" i="1"/>
  <c r="U2581" i="1"/>
  <c r="T2582" i="1"/>
  <c r="U2582" i="1"/>
  <c r="T2583" i="1"/>
  <c r="U2583" i="1"/>
  <c r="T2584" i="1"/>
  <c r="U2584" i="1"/>
  <c r="T2585" i="1"/>
  <c r="U2585" i="1"/>
  <c r="T2586" i="1"/>
  <c r="U2586" i="1"/>
  <c r="T2587" i="1"/>
  <c r="U2587" i="1"/>
  <c r="T2588" i="1"/>
  <c r="U2588" i="1"/>
  <c r="T2589" i="1"/>
  <c r="U2589" i="1"/>
  <c r="T2590" i="1"/>
  <c r="U2590" i="1"/>
  <c r="T2591" i="1"/>
  <c r="U2591" i="1"/>
  <c r="T2592" i="1"/>
  <c r="U2592" i="1"/>
  <c r="T2593" i="1"/>
  <c r="U2593" i="1"/>
  <c r="T2594" i="1"/>
  <c r="U2594" i="1"/>
  <c r="T2595" i="1"/>
  <c r="U2595" i="1"/>
  <c r="T2596" i="1"/>
  <c r="U2596" i="1"/>
  <c r="T2597" i="1"/>
  <c r="U2597" i="1"/>
  <c r="T2598" i="1"/>
  <c r="U2598" i="1"/>
  <c r="T2599" i="1"/>
  <c r="U2599" i="1"/>
  <c r="T2600" i="1"/>
  <c r="U2600" i="1"/>
  <c r="T2601" i="1"/>
  <c r="U2601" i="1"/>
  <c r="T2602" i="1"/>
  <c r="U2602" i="1"/>
  <c r="T2603" i="1"/>
  <c r="U2603" i="1"/>
  <c r="T2604" i="1"/>
  <c r="U2604" i="1"/>
  <c r="T2605" i="1"/>
  <c r="U2605" i="1"/>
  <c r="T2606" i="1"/>
  <c r="U2606" i="1"/>
  <c r="T2607" i="1"/>
  <c r="U2607" i="1"/>
  <c r="T2608" i="1"/>
  <c r="U2608" i="1"/>
  <c r="T2609" i="1"/>
  <c r="U2609" i="1"/>
  <c r="T2610" i="1"/>
  <c r="U2610" i="1"/>
  <c r="T2611" i="1"/>
  <c r="U2611" i="1"/>
  <c r="T2612" i="1"/>
  <c r="U2612" i="1"/>
  <c r="T2613" i="1"/>
  <c r="U2613" i="1"/>
  <c r="T2614" i="1"/>
  <c r="U2614" i="1"/>
  <c r="T2615" i="1"/>
  <c r="U2615" i="1"/>
  <c r="T2616" i="1"/>
  <c r="U2616" i="1"/>
  <c r="T2617" i="1"/>
  <c r="U2617" i="1"/>
  <c r="T2618" i="1"/>
  <c r="U2618" i="1"/>
  <c r="T2619" i="1"/>
  <c r="U2619" i="1"/>
  <c r="T2620" i="1"/>
  <c r="U2620" i="1"/>
  <c r="T2621" i="1"/>
  <c r="U2621" i="1"/>
  <c r="T2622" i="1"/>
  <c r="U2622" i="1"/>
  <c r="T2623" i="1"/>
  <c r="U2623" i="1"/>
  <c r="T2624" i="1"/>
  <c r="U2624" i="1"/>
  <c r="T2625" i="1"/>
  <c r="U2625" i="1"/>
  <c r="T2626" i="1"/>
  <c r="U2626" i="1"/>
  <c r="T2627" i="1"/>
  <c r="U2627" i="1"/>
  <c r="T2628" i="1"/>
  <c r="U2628" i="1"/>
  <c r="T2629" i="1"/>
  <c r="U2629" i="1"/>
  <c r="T2630" i="1"/>
  <c r="U2630" i="1"/>
  <c r="T2631" i="1"/>
  <c r="U2631" i="1"/>
  <c r="T2632" i="1"/>
  <c r="U2632" i="1"/>
  <c r="T2633" i="1"/>
  <c r="U2633" i="1"/>
  <c r="T2634" i="1"/>
  <c r="U2634" i="1"/>
  <c r="T2635" i="1"/>
  <c r="U2635" i="1"/>
  <c r="T2636" i="1"/>
  <c r="U2636" i="1"/>
  <c r="T2637" i="1"/>
  <c r="U2637" i="1"/>
  <c r="T2638" i="1"/>
  <c r="U2638" i="1"/>
  <c r="T2639" i="1"/>
  <c r="U2639" i="1"/>
  <c r="T2640" i="1"/>
  <c r="U2640" i="1"/>
  <c r="T2641" i="1"/>
  <c r="U2641" i="1"/>
  <c r="T2642" i="1"/>
  <c r="U2642" i="1"/>
  <c r="T2643" i="1"/>
  <c r="U2643" i="1"/>
  <c r="T2644" i="1"/>
  <c r="U2644" i="1"/>
  <c r="T2645" i="1"/>
  <c r="U2645" i="1"/>
  <c r="T2646" i="1"/>
  <c r="U2646" i="1"/>
  <c r="T2647" i="1"/>
  <c r="U2647" i="1"/>
  <c r="T2648" i="1"/>
  <c r="U2648" i="1"/>
  <c r="T2649" i="1"/>
  <c r="U2649" i="1"/>
  <c r="T2650" i="1"/>
  <c r="U2650" i="1"/>
  <c r="T2651" i="1"/>
  <c r="U2651" i="1"/>
  <c r="T2652" i="1"/>
  <c r="U2652" i="1"/>
  <c r="T2653" i="1"/>
  <c r="U2653" i="1"/>
  <c r="T2654" i="1"/>
  <c r="U2654" i="1"/>
  <c r="T2655" i="1"/>
  <c r="U2655" i="1"/>
  <c r="T2656" i="1"/>
  <c r="U2656" i="1"/>
  <c r="T2657" i="1"/>
  <c r="U2657" i="1"/>
  <c r="T2658" i="1"/>
  <c r="U2658" i="1"/>
  <c r="T2659" i="1"/>
  <c r="U2659" i="1"/>
  <c r="T2660" i="1"/>
  <c r="U2660" i="1"/>
  <c r="T2661" i="1"/>
  <c r="U2661" i="1"/>
  <c r="T2662" i="1"/>
  <c r="U2662" i="1"/>
  <c r="T2663" i="1"/>
  <c r="U2663" i="1"/>
  <c r="T2664" i="1"/>
  <c r="U2664" i="1"/>
  <c r="T2665" i="1"/>
  <c r="U2665" i="1"/>
  <c r="T2666" i="1"/>
  <c r="U2666" i="1"/>
  <c r="T2667" i="1"/>
  <c r="U2667" i="1"/>
  <c r="T2668" i="1"/>
  <c r="U2668" i="1"/>
  <c r="T2669" i="1"/>
  <c r="U2669" i="1"/>
  <c r="T2670" i="1"/>
  <c r="U2670" i="1"/>
  <c r="T2671" i="1"/>
  <c r="U2671" i="1"/>
  <c r="T2672" i="1"/>
  <c r="U2672" i="1"/>
  <c r="T2673" i="1"/>
  <c r="U2673" i="1"/>
  <c r="T2674" i="1"/>
  <c r="U2674" i="1"/>
  <c r="T2675" i="1"/>
  <c r="U2675" i="1"/>
  <c r="T2676" i="1"/>
  <c r="U2676" i="1"/>
  <c r="T2677" i="1"/>
  <c r="U2677" i="1"/>
  <c r="T2678" i="1"/>
  <c r="U2678" i="1"/>
  <c r="T2679" i="1"/>
  <c r="U2679" i="1"/>
  <c r="T2680" i="1"/>
  <c r="U2680" i="1"/>
  <c r="T2681" i="1"/>
  <c r="U2681" i="1"/>
  <c r="T2682" i="1"/>
  <c r="U2682" i="1"/>
  <c r="T2683" i="1"/>
  <c r="U2683" i="1"/>
  <c r="T2684" i="1"/>
  <c r="U2684" i="1"/>
  <c r="T2685" i="1"/>
  <c r="U2685" i="1"/>
  <c r="T2686" i="1"/>
  <c r="U2686" i="1"/>
  <c r="T2687" i="1"/>
  <c r="U2687" i="1"/>
  <c r="T2688" i="1"/>
  <c r="U2688" i="1"/>
  <c r="T2689" i="1"/>
  <c r="U2689" i="1"/>
  <c r="T2690" i="1"/>
  <c r="U2690" i="1"/>
  <c r="T2691" i="1"/>
  <c r="U2691" i="1"/>
  <c r="T2692" i="1"/>
  <c r="U2692" i="1"/>
  <c r="T2693" i="1"/>
  <c r="U2693" i="1"/>
  <c r="T2694" i="1"/>
  <c r="U2694" i="1"/>
  <c r="T2695" i="1"/>
  <c r="U2695" i="1"/>
  <c r="T2696" i="1"/>
  <c r="U2696" i="1"/>
  <c r="T2697" i="1"/>
  <c r="U2697" i="1"/>
  <c r="T2698" i="1"/>
  <c r="U2698" i="1"/>
  <c r="T2699" i="1"/>
  <c r="U2699" i="1"/>
  <c r="T2700" i="1"/>
  <c r="U2700" i="1"/>
  <c r="T2701" i="1"/>
  <c r="U2701" i="1"/>
  <c r="T2702" i="1"/>
  <c r="U2702" i="1"/>
  <c r="T2703" i="1"/>
  <c r="U2703" i="1"/>
  <c r="T2704" i="1"/>
  <c r="U2704" i="1"/>
  <c r="T2705" i="1"/>
  <c r="U2705" i="1"/>
  <c r="T2706" i="1"/>
  <c r="U2706" i="1"/>
  <c r="T2707" i="1"/>
  <c r="U2707" i="1"/>
  <c r="T2708" i="1"/>
  <c r="U2708" i="1"/>
  <c r="T2709" i="1"/>
  <c r="U2709" i="1"/>
  <c r="T2710" i="1"/>
  <c r="U2710" i="1"/>
  <c r="T2711" i="1"/>
  <c r="U2711" i="1"/>
  <c r="T2712" i="1"/>
  <c r="U2712" i="1"/>
  <c r="T2713" i="1"/>
  <c r="U2713" i="1"/>
  <c r="T2714" i="1"/>
  <c r="U2714" i="1"/>
  <c r="T2715" i="1"/>
  <c r="U2715" i="1"/>
  <c r="T2716" i="1"/>
  <c r="U2716" i="1"/>
  <c r="T2717" i="1"/>
  <c r="U2717" i="1"/>
  <c r="T2718" i="1"/>
  <c r="U2718" i="1"/>
  <c r="T2719" i="1"/>
  <c r="U2719" i="1"/>
  <c r="T2720" i="1"/>
  <c r="U2720" i="1"/>
  <c r="T2721" i="1"/>
  <c r="U2721" i="1"/>
  <c r="T2722" i="1"/>
  <c r="U2722" i="1"/>
  <c r="T2723" i="1"/>
  <c r="U2723" i="1"/>
  <c r="T2724" i="1"/>
  <c r="U2724" i="1"/>
  <c r="T2725" i="1"/>
  <c r="U2725" i="1"/>
  <c r="T2726" i="1"/>
  <c r="U2726" i="1"/>
  <c r="T2727" i="1"/>
  <c r="U2727" i="1"/>
  <c r="T2728" i="1"/>
  <c r="U2728" i="1"/>
  <c r="T2729" i="1"/>
  <c r="U2729" i="1"/>
  <c r="T2730" i="1"/>
  <c r="U2730" i="1"/>
  <c r="T2731" i="1"/>
  <c r="U2731" i="1"/>
  <c r="T2732" i="1"/>
  <c r="U2732" i="1"/>
  <c r="T2733" i="1"/>
  <c r="U2733" i="1"/>
  <c r="T2734" i="1"/>
  <c r="U2734" i="1"/>
  <c r="T2735" i="1"/>
  <c r="U2735" i="1"/>
  <c r="T2736" i="1"/>
  <c r="U2736" i="1"/>
  <c r="T2737" i="1"/>
  <c r="U2737" i="1"/>
  <c r="T2738" i="1"/>
  <c r="U2738" i="1"/>
  <c r="T2739" i="1"/>
  <c r="U2739" i="1"/>
  <c r="T2740" i="1"/>
  <c r="U2740" i="1"/>
  <c r="T2741" i="1"/>
  <c r="U2741" i="1"/>
  <c r="T2742" i="1"/>
  <c r="U2742" i="1"/>
  <c r="T2743" i="1"/>
  <c r="U2743" i="1"/>
  <c r="T2744" i="1"/>
  <c r="U2744" i="1"/>
  <c r="T2745" i="1"/>
  <c r="U2745" i="1"/>
  <c r="T2746" i="1"/>
  <c r="U2746" i="1"/>
  <c r="T2747" i="1"/>
  <c r="U2747" i="1"/>
  <c r="T2748" i="1"/>
  <c r="U2748" i="1"/>
  <c r="T2749" i="1"/>
  <c r="U2749" i="1"/>
  <c r="T2750" i="1"/>
  <c r="U2750" i="1"/>
  <c r="T2751" i="1"/>
  <c r="U2751" i="1"/>
  <c r="T2752" i="1"/>
  <c r="U2752" i="1"/>
  <c r="T2753" i="1"/>
  <c r="U2753" i="1"/>
  <c r="T2754" i="1"/>
  <c r="U2754" i="1"/>
  <c r="T2755" i="1"/>
  <c r="U2755" i="1"/>
  <c r="T2756" i="1"/>
  <c r="U2756" i="1"/>
  <c r="T2757" i="1"/>
  <c r="U2757" i="1"/>
  <c r="T2758" i="1"/>
  <c r="U2758" i="1"/>
  <c r="T2759" i="1"/>
  <c r="U2759" i="1"/>
  <c r="T2760" i="1"/>
  <c r="U2760" i="1"/>
  <c r="T2761" i="1"/>
  <c r="U2761" i="1"/>
  <c r="T2762" i="1"/>
  <c r="U2762" i="1"/>
  <c r="T2763" i="1"/>
  <c r="U2763" i="1"/>
  <c r="T2764" i="1"/>
  <c r="U2764" i="1"/>
  <c r="T2765" i="1"/>
  <c r="U2765" i="1"/>
  <c r="T2766" i="1"/>
  <c r="U2766" i="1"/>
  <c r="T2767" i="1"/>
  <c r="U2767" i="1"/>
  <c r="T2768" i="1"/>
  <c r="U2768" i="1"/>
  <c r="T2769" i="1"/>
  <c r="U2769" i="1"/>
  <c r="T2770" i="1"/>
  <c r="U2770" i="1"/>
  <c r="T2771" i="1"/>
  <c r="U2771" i="1"/>
  <c r="T2772" i="1"/>
  <c r="U2772" i="1"/>
  <c r="T2773" i="1"/>
  <c r="U2773" i="1"/>
  <c r="T2774" i="1"/>
  <c r="U2774" i="1"/>
  <c r="T2775" i="1"/>
  <c r="U2775" i="1"/>
  <c r="T2776" i="1"/>
  <c r="U2776" i="1"/>
  <c r="T2777" i="1"/>
  <c r="U2777" i="1"/>
  <c r="T2778" i="1"/>
  <c r="U2778" i="1"/>
  <c r="T2779" i="1"/>
  <c r="U2779" i="1"/>
  <c r="T2780" i="1"/>
  <c r="U2780" i="1"/>
  <c r="T2781" i="1"/>
  <c r="U2781" i="1"/>
  <c r="T2782" i="1"/>
  <c r="U2782" i="1"/>
  <c r="T2783" i="1"/>
  <c r="U2783" i="1"/>
  <c r="T2784" i="1"/>
  <c r="U2784" i="1"/>
  <c r="T2785" i="1"/>
  <c r="U2785" i="1"/>
  <c r="T2786" i="1"/>
  <c r="U2786" i="1"/>
  <c r="T2787" i="1"/>
  <c r="U2787" i="1"/>
  <c r="T2788" i="1"/>
  <c r="U2788" i="1"/>
  <c r="T2789" i="1"/>
  <c r="U2789" i="1"/>
  <c r="T2790" i="1"/>
  <c r="U2790" i="1"/>
  <c r="T2791" i="1"/>
  <c r="U2791" i="1"/>
  <c r="T2792" i="1"/>
  <c r="U2792" i="1"/>
  <c r="T2793" i="1"/>
  <c r="U2793" i="1"/>
  <c r="T2794" i="1"/>
  <c r="U2794" i="1"/>
  <c r="T2795" i="1"/>
  <c r="U2795" i="1"/>
  <c r="T2796" i="1"/>
  <c r="U2796" i="1"/>
  <c r="T2797" i="1"/>
  <c r="U2797" i="1"/>
  <c r="T2798" i="1"/>
  <c r="U2798" i="1"/>
  <c r="T2799" i="1"/>
  <c r="U2799" i="1"/>
  <c r="T2800" i="1"/>
  <c r="U2800" i="1"/>
  <c r="T2801" i="1"/>
  <c r="U2801" i="1"/>
  <c r="T2802" i="1"/>
  <c r="U2802" i="1"/>
  <c r="T2803" i="1"/>
  <c r="U2803" i="1"/>
  <c r="T2804" i="1"/>
  <c r="U2804" i="1"/>
  <c r="T2805" i="1"/>
  <c r="U2805" i="1"/>
  <c r="T2806" i="1"/>
  <c r="U2806" i="1"/>
  <c r="T2807" i="1"/>
  <c r="U2807" i="1"/>
  <c r="T2808" i="1"/>
  <c r="U2808" i="1"/>
  <c r="T2809" i="1"/>
  <c r="U2809" i="1"/>
  <c r="T2810" i="1"/>
  <c r="U2810" i="1"/>
  <c r="T2811" i="1"/>
  <c r="U2811" i="1"/>
  <c r="T2812" i="1"/>
  <c r="U2812" i="1"/>
  <c r="T2813" i="1"/>
  <c r="U2813" i="1"/>
  <c r="T2814" i="1"/>
  <c r="U2814" i="1"/>
  <c r="T2815" i="1"/>
  <c r="U2815" i="1"/>
  <c r="T2816" i="1"/>
  <c r="U2816" i="1"/>
  <c r="T2817" i="1"/>
  <c r="U2817" i="1"/>
  <c r="T2818" i="1"/>
  <c r="U2818" i="1"/>
  <c r="T2819" i="1"/>
  <c r="U2819" i="1"/>
  <c r="T2820" i="1"/>
  <c r="U2820" i="1"/>
  <c r="T2821" i="1"/>
  <c r="U2821" i="1"/>
  <c r="T2822" i="1"/>
  <c r="U2822" i="1"/>
  <c r="T2823" i="1"/>
  <c r="U2823" i="1"/>
  <c r="T2824" i="1"/>
  <c r="U2824" i="1"/>
  <c r="T2825" i="1"/>
  <c r="U2825" i="1"/>
  <c r="T2826" i="1"/>
  <c r="U2826" i="1"/>
  <c r="T2827" i="1"/>
  <c r="U2827" i="1"/>
  <c r="T2828" i="1"/>
  <c r="U2828" i="1"/>
  <c r="T2829" i="1"/>
  <c r="U2829" i="1"/>
  <c r="T2830" i="1"/>
  <c r="U2830" i="1"/>
  <c r="T2831" i="1"/>
  <c r="U2831" i="1"/>
  <c r="T2832" i="1"/>
  <c r="U2832" i="1"/>
  <c r="T2833" i="1"/>
  <c r="U2833" i="1"/>
  <c r="T2834" i="1"/>
  <c r="U2834" i="1"/>
  <c r="T2835" i="1"/>
  <c r="U2835" i="1"/>
  <c r="T2836" i="1"/>
  <c r="U2836" i="1"/>
  <c r="T2837" i="1"/>
  <c r="U2837" i="1"/>
  <c r="T2838" i="1"/>
  <c r="U2838" i="1"/>
  <c r="T2839" i="1"/>
  <c r="U2839" i="1"/>
  <c r="T2840" i="1"/>
  <c r="U2840" i="1"/>
  <c r="T2841" i="1"/>
  <c r="U2841" i="1"/>
  <c r="T2842" i="1"/>
  <c r="U2842" i="1"/>
  <c r="T2843" i="1"/>
  <c r="U2843" i="1"/>
  <c r="T2844" i="1"/>
  <c r="U2844" i="1"/>
  <c r="T2845" i="1"/>
  <c r="U2845" i="1"/>
  <c r="T2846" i="1"/>
  <c r="U2846" i="1"/>
  <c r="T2847" i="1"/>
  <c r="U2847" i="1"/>
  <c r="T2848" i="1"/>
  <c r="U2848" i="1"/>
  <c r="T2849" i="1"/>
  <c r="U2849" i="1"/>
  <c r="T2850" i="1"/>
  <c r="U2850" i="1"/>
  <c r="T2851" i="1"/>
  <c r="U2851" i="1"/>
  <c r="T2852" i="1"/>
  <c r="U2852" i="1"/>
  <c r="T2853" i="1"/>
  <c r="U2853" i="1"/>
  <c r="T2854" i="1"/>
  <c r="U2854" i="1"/>
  <c r="T2855" i="1"/>
  <c r="U2855" i="1"/>
  <c r="T2856" i="1"/>
  <c r="U2856" i="1"/>
  <c r="T2857" i="1"/>
  <c r="U2857" i="1"/>
  <c r="T2858" i="1"/>
  <c r="U2858" i="1"/>
  <c r="T2859" i="1"/>
  <c r="U2859" i="1"/>
  <c r="T2860" i="1"/>
  <c r="U2860" i="1"/>
  <c r="T2861" i="1"/>
  <c r="U2861" i="1"/>
  <c r="T2862" i="1"/>
  <c r="U2862" i="1"/>
  <c r="T2863" i="1"/>
  <c r="U2863" i="1"/>
  <c r="T2864" i="1"/>
  <c r="U2864" i="1"/>
  <c r="T2865" i="1"/>
  <c r="U2865" i="1"/>
  <c r="T2866" i="1"/>
  <c r="U2866" i="1"/>
  <c r="T2867" i="1"/>
  <c r="U2867" i="1"/>
  <c r="T2868" i="1"/>
  <c r="U2868" i="1"/>
  <c r="T2869" i="1"/>
  <c r="U2869" i="1"/>
  <c r="T2870" i="1"/>
  <c r="U2870" i="1"/>
  <c r="T2871" i="1"/>
  <c r="U2871" i="1"/>
  <c r="T2872" i="1"/>
  <c r="U2872" i="1"/>
  <c r="T2873" i="1"/>
  <c r="U2873" i="1"/>
  <c r="T2874" i="1"/>
  <c r="U2874" i="1"/>
  <c r="T2875" i="1"/>
  <c r="U2875" i="1"/>
  <c r="T2876" i="1"/>
  <c r="U2876" i="1"/>
  <c r="T2877" i="1"/>
  <c r="U2877" i="1"/>
  <c r="T2878" i="1"/>
  <c r="U2878" i="1"/>
  <c r="T2879" i="1"/>
  <c r="U2879" i="1"/>
  <c r="T2880" i="1"/>
  <c r="U2880" i="1"/>
  <c r="T2881" i="1"/>
  <c r="U2881" i="1"/>
  <c r="T2882" i="1"/>
  <c r="U2882" i="1"/>
  <c r="T2883" i="1"/>
  <c r="U2883" i="1"/>
  <c r="T2884" i="1"/>
  <c r="U2884" i="1"/>
  <c r="T2885" i="1"/>
  <c r="U2885" i="1"/>
  <c r="T2886" i="1"/>
  <c r="U2886" i="1"/>
  <c r="T2887" i="1"/>
  <c r="U2887" i="1"/>
  <c r="T2888" i="1"/>
  <c r="U2888" i="1"/>
  <c r="T2889" i="1"/>
  <c r="U2889" i="1"/>
  <c r="T2890" i="1"/>
  <c r="U2890" i="1"/>
  <c r="T2891" i="1"/>
  <c r="U2891" i="1"/>
  <c r="T2892" i="1"/>
  <c r="U2892" i="1"/>
  <c r="T2893" i="1"/>
  <c r="U2893" i="1"/>
  <c r="T2894" i="1"/>
  <c r="U2894" i="1"/>
  <c r="T2895" i="1"/>
  <c r="U2895" i="1"/>
  <c r="T2896" i="1"/>
  <c r="U2896" i="1"/>
  <c r="T2897" i="1"/>
  <c r="U2897" i="1"/>
  <c r="T2898" i="1"/>
  <c r="U2898" i="1"/>
  <c r="T2899" i="1"/>
  <c r="U2899" i="1"/>
  <c r="T2900" i="1"/>
  <c r="U2900" i="1"/>
  <c r="T2901" i="1"/>
  <c r="U2901" i="1"/>
  <c r="T2902" i="1"/>
  <c r="U2902" i="1"/>
  <c r="T2903" i="1"/>
  <c r="U2903" i="1"/>
  <c r="T2904" i="1"/>
  <c r="U2904" i="1"/>
  <c r="T2905" i="1"/>
  <c r="U2905" i="1"/>
  <c r="T2906" i="1"/>
  <c r="U2906" i="1"/>
  <c r="T2907" i="1"/>
  <c r="U2907" i="1"/>
  <c r="T2908" i="1"/>
  <c r="U2908" i="1"/>
  <c r="T2909" i="1"/>
  <c r="U2909" i="1"/>
  <c r="T2910" i="1"/>
  <c r="U2910" i="1"/>
  <c r="T2911" i="1"/>
  <c r="U2911" i="1"/>
  <c r="T2912" i="1"/>
  <c r="U2912" i="1"/>
  <c r="T2913" i="1"/>
  <c r="U2913" i="1"/>
  <c r="T2914" i="1"/>
  <c r="U2914" i="1"/>
  <c r="T2915" i="1"/>
  <c r="U2915" i="1"/>
  <c r="T2916" i="1"/>
  <c r="U2916" i="1"/>
  <c r="T2917" i="1"/>
  <c r="U2917" i="1"/>
  <c r="T2918" i="1"/>
  <c r="U2918" i="1"/>
  <c r="T2919" i="1"/>
  <c r="U2919" i="1"/>
  <c r="T2920" i="1"/>
  <c r="U2920" i="1"/>
  <c r="T2921" i="1"/>
  <c r="U2921" i="1"/>
  <c r="T2922" i="1"/>
  <c r="U2922" i="1"/>
  <c r="T2923" i="1"/>
  <c r="U2923" i="1"/>
  <c r="T2924" i="1"/>
  <c r="U2924" i="1"/>
  <c r="T2925" i="1"/>
  <c r="U2925" i="1"/>
  <c r="T2926" i="1"/>
  <c r="U2926" i="1"/>
  <c r="T2927" i="1"/>
  <c r="U2927" i="1"/>
  <c r="T2928" i="1"/>
  <c r="U2928" i="1"/>
  <c r="T2929" i="1"/>
  <c r="U2929" i="1"/>
  <c r="T2930" i="1"/>
  <c r="U2930" i="1"/>
  <c r="T2931" i="1"/>
  <c r="U2931" i="1"/>
  <c r="T2932" i="1"/>
  <c r="U2932" i="1"/>
  <c r="T2933" i="1"/>
  <c r="U2933" i="1"/>
  <c r="T2934" i="1"/>
  <c r="U2934" i="1"/>
  <c r="T2935" i="1"/>
  <c r="U2935" i="1"/>
  <c r="T2936" i="1"/>
  <c r="U2936" i="1"/>
  <c r="T2937" i="1"/>
  <c r="U2937" i="1"/>
  <c r="T2938" i="1"/>
  <c r="U2938" i="1"/>
  <c r="T2939" i="1"/>
  <c r="U2939" i="1"/>
  <c r="T2940" i="1"/>
  <c r="U2940" i="1"/>
  <c r="T2941" i="1"/>
  <c r="U2941" i="1"/>
  <c r="T2942" i="1"/>
  <c r="U2942" i="1"/>
  <c r="T2943" i="1"/>
  <c r="U2943" i="1"/>
  <c r="T2944" i="1"/>
  <c r="U2944" i="1"/>
  <c r="T2945" i="1"/>
  <c r="U2945" i="1"/>
  <c r="T2946" i="1"/>
  <c r="U2946" i="1"/>
  <c r="T2947" i="1"/>
  <c r="U2947" i="1"/>
  <c r="T2948" i="1"/>
  <c r="U2948" i="1"/>
  <c r="T2949" i="1"/>
  <c r="U2949" i="1"/>
  <c r="T2950" i="1"/>
  <c r="U2950" i="1"/>
  <c r="T2951" i="1"/>
  <c r="U2951" i="1"/>
  <c r="T2952" i="1"/>
  <c r="U2952" i="1"/>
  <c r="T2953" i="1"/>
  <c r="U2953" i="1"/>
  <c r="T2954" i="1"/>
  <c r="U2954" i="1"/>
  <c r="T2955" i="1"/>
  <c r="U2955" i="1"/>
  <c r="T2956" i="1"/>
  <c r="U2956" i="1"/>
  <c r="T2957" i="1"/>
  <c r="U2957" i="1"/>
  <c r="T2958" i="1"/>
  <c r="U2958" i="1"/>
  <c r="T2959" i="1"/>
  <c r="U2959" i="1"/>
  <c r="T2960" i="1"/>
  <c r="U2960" i="1"/>
  <c r="T2961" i="1"/>
  <c r="U2961" i="1"/>
  <c r="T2962" i="1"/>
  <c r="U2962" i="1"/>
  <c r="T2963" i="1"/>
  <c r="U2963" i="1"/>
  <c r="T2964" i="1"/>
  <c r="U2964" i="1"/>
  <c r="T2965" i="1"/>
  <c r="U2965" i="1"/>
  <c r="T2966" i="1"/>
  <c r="U2966" i="1"/>
  <c r="T2967" i="1"/>
  <c r="U2967" i="1"/>
  <c r="T2968" i="1"/>
  <c r="U2968" i="1"/>
  <c r="T2969" i="1"/>
  <c r="U2969" i="1"/>
  <c r="T2970" i="1"/>
  <c r="U2970" i="1"/>
  <c r="T2971" i="1"/>
  <c r="U2971" i="1"/>
  <c r="T2972" i="1"/>
  <c r="U2972" i="1"/>
  <c r="T2973" i="1"/>
  <c r="U2973" i="1"/>
  <c r="T2974" i="1"/>
  <c r="U2974" i="1"/>
  <c r="T2975" i="1"/>
  <c r="U2975" i="1"/>
  <c r="T2976" i="1"/>
  <c r="U2976" i="1"/>
  <c r="T2977" i="1"/>
  <c r="U2977" i="1"/>
  <c r="T2978" i="1"/>
  <c r="U2978" i="1"/>
  <c r="T2979" i="1"/>
  <c r="U2979" i="1"/>
  <c r="T2980" i="1"/>
  <c r="U2980" i="1"/>
  <c r="T2981" i="1"/>
  <c r="U2981" i="1"/>
  <c r="T2982" i="1"/>
  <c r="U2982" i="1"/>
  <c r="T2983" i="1"/>
  <c r="U2983" i="1"/>
  <c r="T2984" i="1"/>
  <c r="U2984" i="1"/>
  <c r="T2985" i="1"/>
  <c r="U2985" i="1"/>
  <c r="T2986" i="1"/>
  <c r="U2986" i="1"/>
  <c r="T2987" i="1"/>
  <c r="U2987" i="1"/>
  <c r="T2988" i="1"/>
  <c r="U2988" i="1"/>
  <c r="T2989" i="1"/>
  <c r="U2989" i="1"/>
  <c r="T2990" i="1"/>
  <c r="U2990" i="1"/>
  <c r="T2991" i="1"/>
  <c r="U2991" i="1"/>
  <c r="T2992" i="1"/>
  <c r="U2992" i="1"/>
  <c r="T2993" i="1"/>
  <c r="U2993" i="1"/>
  <c r="T2994" i="1"/>
  <c r="U2994" i="1"/>
  <c r="T2995" i="1"/>
  <c r="U2995" i="1"/>
  <c r="T2996" i="1"/>
  <c r="U2996" i="1"/>
  <c r="T2997" i="1"/>
  <c r="U2997" i="1"/>
  <c r="T2998" i="1"/>
  <c r="U2998" i="1"/>
  <c r="T2999" i="1"/>
  <c r="U2999" i="1"/>
  <c r="T3000" i="1"/>
  <c r="U3000" i="1"/>
  <c r="T3001" i="1"/>
  <c r="U3001" i="1"/>
  <c r="T3002" i="1"/>
  <c r="U3002" i="1"/>
  <c r="T3003" i="1"/>
  <c r="U3003" i="1"/>
  <c r="T3004" i="1"/>
  <c r="U3004" i="1"/>
  <c r="T3005" i="1"/>
  <c r="U3005" i="1"/>
  <c r="T3006" i="1"/>
  <c r="U3006" i="1"/>
  <c r="T3007" i="1"/>
  <c r="U3007" i="1"/>
  <c r="T3008" i="1"/>
  <c r="U3008" i="1"/>
  <c r="T3009" i="1"/>
  <c r="U3009" i="1"/>
  <c r="T3010" i="1"/>
  <c r="U3010" i="1"/>
  <c r="T3011" i="1"/>
  <c r="U3011" i="1"/>
  <c r="T3012" i="1"/>
  <c r="U3012" i="1"/>
  <c r="T3013" i="1"/>
  <c r="U3013" i="1"/>
  <c r="T3014" i="1"/>
  <c r="U3014" i="1"/>
  <c r="T3015" i="1"/>
  <c r="U3015" i="1"/>
  <c r="T3016" i="1"/>
  <c r="U3016" i="1"/>
  <c r="T3017" i="1"/>
  <c r="U3017" i="1"/>
  <c r="T3018" i="1"/>
  <c r="U3018" i="1"/>
  <c r="T3019" i="1"/>
  <c r="U3019" i="1"/>
  <c r="T3020" i="1"/>
  <c r="U3020" i="1"/>
  <c r="T3021" i="1"/>
  <c r="U3021" i="1"/>
  <c r="T3022" i="1"/>
  <c r="U3022" i="1"/>
  <c r="T3023" i="1"/>
  <c r="U3023" i="1"/>
  <c r="T3024" i="1"/>
  <c r="U3024" i="1"/>
  <c r="T3025" i="1"/>
  <c r="U3025" i="1"/>
  <c r="T3026" i="1"/>
  <c r="U3026" i="1"/>
  <c r="T3027" i="1"/>
  <c r="U3027" i="1"/>
  <c r="T3028" i="1"/>
  <c r="U3028" i="1"/>
  <c r="T3029" i="1"/>
  <c r="U3029" i="1"/>
  <c r="T3030" i="1"/>
  <c r="U3030" i="1"/>
  <c r="T3031" i="1"/>
  <c r="U3031" i="1"/>
  <c r="T3032" i="1"/>
  <c r="U3032" i="1"/>
  <c r="T3033" i="1"/>
  <c r="U3033" i="1"/>
  <c r="T3034" i="1"/>
  <c r="U3034" i="1"/>
  <c r="T3035" i="1"/>
  <c r="U3035" i="1"/>
  <c r="T3036" i="1"/>
  <c r="U3036" i="1"/>
  <c r="T3037" i="1"/>
  <c r="U3037" i="1"/>
  <c r="T3038" i="1"/>
  <c r="U3038" i="1"/>
  <c r="T3039" i="1"/>
  <c r="U3039" i="1"/>
  <c r="T3040" i="1"/>
  <c r="U3040" i="1"/>
  <c r="T3041" i="1"/>
  <c r="U3041" i="1"/>
  <c r="T3042" i="1"/>
  <c r="U3042" i="1"/>
  <c r="T3043" i="1"/>
  <c r="U3043" i="1"/>
  <c r="T3044" i="1"/>
  <c r="U3044" i="1"/>
  <c r="T3045" i="1"/>
  <c r="U3045" i="1"/>
  <c r="T3046" i="1"/>
  <c r="U3046" i="1"/>
  <c r="T3047" i="1"/>
  <c r="U3047" i="1"/>
  <c r="T3048" i="1"/>
  <c r="U3048" i="1"/>
  <c r="T3049" i="1"/>
  <c r="U3049" i="1"/>
  <c r="T3050" i="1"/>
  <c r="U3050" i="1"/>
  <c r="T3051" i="1"/>
  <c r="U3051" i="1"/>
  <c r="T3052" i="1"/>
  <c r="U3052" i="1"/>
  <c r="T3053" i="1"/>
  <c r="U3053" i="1"/>
  <c r="T3054" i="1"/>
  <c r="U3054" i="1"/>
  <c r="T3055" i="1"/>
  <c r="U3055" i="1"/>
  <c r="T3056" i="1"/>
  <c r="U3056" i="1"/>
  <c r="T3057" i="1"/>
  <c r="U3057" i="1"/>
  <c r="T3058" i="1"/>
  <c r="U3058" i="1"/>
  <c r="T3059" i="1"/>
  <c r="U3059" i="1"/>
  <c r="T3060" i="1"/>
  <c r="U3060" i="1"/>
  <c r="T3061" i="1"/>
  <c r="U3061" i="1"/>
  <c r="T3062" i="1"/>
  <c r="U3062" i="1"/>
  <c r="T3063" i="1"/>
  <c r="U3063" i="1"/>
  <c r="T3064" i="1"/>
  <c r="U3064" i="1"/>
  <c r="T3065" i="1"/>
  <c r="U3065" i="1"/>
  <c r="T3066" i="1"/>
  <c r="U3066" i="1"/>
  <c r="T3067" i="1"/>
  <c r="U3067" i="1"/>
  <c r="T3068" i="1"/>
  <c r="U3068" i="1"/>
  <c r="T3069" i="1"/>
  <c r="U3069" i="1"/>
  <c r="T3070" i="1"/>
  <c r="U3070" i="1"/>
  <c r="T3071" i="1"/>
  <c r="U3071" i="1"/>
  <c r="T3072" i="1"/>
  <c r="U3072" i="1"/>
  <c r="T3073" i="1"/>
  <c r="U3073" i="1"/>
  <c r="T3074" i="1"/>
  <c r="U3074" i="1"/>
  <c r="T3075" i="1"/>
  <c r="U3075" i="1"/>
  <c r="T3076" i="1"/>
  <c r="U3076" i="1"/>
  <c r="T3077" i="1"/>
  <c r="U3077" i="1"/>
  <c r="T3078" i="1"/>
  <c r="U3078" i="1"/>
  <c r="T3079" i="1"/>
  <c r="U3079" i="1"/>
  <c r="T3080" i="1"/>
  <c r="U3080" i="1"/>
  <c r="T3081" i="1"/>
  <c r="U3081" i="1"/>
  <c r="T3082" i="1"/>
  <c r="U3082" i="1"/>
  <c r="T3083" i="1"/>
  <c r="U3083" i="1"/>
  <c r="T3084" i="1"/>
  <c r="U3084" i="1"/>
  <c r="T3085" i="1"/>
  <c r="U3085" i="1"/>
  <c r="T3086" i="1"/>
  <c r="U3086" i="1"/>
  <c r="T3087" i="1"/>
  <c r="U3087" i="1"/>
  <c r="T3088" i="1"/>
  <c r="U3088" i="1"/>
  <c r="T3089" i="1"/>
  <c r="U3089" i="1"/>
  <c r="T3090" i="1"/>
  <c r="U3090" i="1"/>
  <c r="T3091" i="1"/>
  <c r="U3091" i="1"/>
  <c r="T3092" i="1"/>
  <c r="U3092" i="1"/>
  <c r="T3093" i="1"/>
  <c r="U3093" i="1"/>
  <c r="T3094" i="1"/>
  <c r="U3094" i="1"/>
  <c r="T3095" i="1"/>
  <c r="U3095" i="1"/>
  <c r="T3096" i="1"/>
  <c r="U3096" i="1"/>
  <c r="T3097" i="1"/>
  <c r="U3097" i="1"/>
  <c r="T3098" i="1"/>
  <c r="U3098" i="1"/>
  <c r="T3099" i="1"/>
  <c r="U3099" i="1"/>
  <c r="T3100" i="1"/>
  <c r="U3100" i="1"/>
  <c r="T3101" i="1"/>
  <c r="U3101" i="1"/>
  <c r="T3102" i="1"/>
  <c r="U3102" i="1"/>
  <c r="T3103" i="1"/>
  <c r="U3103" i="1"/>
  <c r="T3104" i="1"/>
  <c r="U3104" i="1"/>
  <c r="T3105" i="1"/>
  <c r="U3105" i="1"/>
  <c r="T3106" i="1"/>
  <c r="U3106" i="1"/>
  <c r="T3107" i="1"/>
  <c r="U3107" i="1"/>
  <c r="T3108" i="1"/>
  <c r="U3108" i="1"/>
  <c r="T3109" i="1"/>
  <c r="U3109" i="1"/>
  <c r="T3110" i="1"/>
  <c r="U3110" i="1"/>
  <c r="T3111" i="1"/>
  <c r="U3111" i="1"/>
  <c r="T3112" i="1"/>
  <c r="U3112" i="1"/>
  <c r="T3113" i="1"/>
  <c r="U3113" i="1"/>
  <c r="T3114" i="1"/>
  <c r="U3114" i="1"/>
  <c r="T3115" i="1"/>
  <c r="U3115" i="1"/>
  <c r="T3116" i="1"/>
  <c r="U3116" i="1"/>
  <c r="T3117" i="1"/>
  <c r="U3117" i="1"/>
  <c r="T3118" i="1"/>
  <c r="U3118" i="1"/>
  <c r="T3119" i="1"/>
  <c r="U3119" i="1"/>
  <c r="T3120" i="1"/>
  <c r="U3120" i="1"/>
  <c r="T3121" i="1"/>
  <c r="U3121" i="1"/>
  <c r="T3122" i="1"/>
  <c r="U3122" i="1"/>
  <c r="T3123" i="1"/>
  <c r="U3123" i="1"/>
  <c r="T3124" i="1"/>
  <c r="U3124" i="1"/>
  <c r="T3125" i="1"/>
  <c r="U3125" i="1"/>
  <c r="T3126" i="1"/>
  <c r="U3126" i="1"/>
  <c r="T3127" i="1"/>
  <c r="U3127" i="1"/>
  <c r="T3128" i="1"/>
  <c r="U3128" i="1"/>
  <c r="T3129" i="1"/>
  <c r="U3129" i="1"/>
  <c r="T3130" i="1"/>
  <c r="U3130" i="1"/>
  <c r="T3131" i="1"/>
  <c r="U3131" i="1"/>
  <c r="T3132" i="1"/>
  <c r="U3132" i="1"/>
  <c r="T3133" i="1"/>
  <c r="U3133" i="1"/>
  <c r="T3134" i="1"/>
  <c r="U3134" i="1"/>
  <c r="T3135" i="1"/>
  <c r="U3135" i="1"/>
  <c r="T3136" i="1"/>
  <c r="U3136" i="1"/>
  <c r="T3137" i="1"/>
  <c r="U3137" i="1"/>
  <c r="T3138" i="1"/>
  <c r="U3138" i="1"/>
  <c r="T3139" i="1"/>
  <c r="U3139" i="1"/>
  <c r="T3140" i="1"/>
  <c r="U3140" i="1"/>
  <c r="T3141" i="1"/>
  <c r="U3141" i="1"/>
  <c r="T3142" i="1"/>
  <c r="U3142" i="1"/>
  <c r="T3143" i="1"/>
  <c r="U3143" i="1"/>
  <c r="T3144" i="1"/>
  <c r="U3144" i="1"/>
  <c r="T3145" i="1"/>
  <c r="U3145" i="1"/>
  <c r="T3146" i="1"/>
  <c r="U3146" i="1"/>
  <c r="T3147" i="1"/>
  <c r="U3147" i="1"/>
  <c r="T3148" i="1"/>
  <c r="U3148" i="1"/>
  <c r="T3149" i="1"/>
  <c r="U3149" i="1"/>
  <c r="T3150" i="1"/>
  <c r="U3150" i="1"/>
  <c r="T3151" i="1"/>
  <c r="U3151" i="1"/>
  <c r="T3152" i="1"/>
  <c r="U3152" i="1"/>
  <c r="T3153" i="1"/>
  <c r="U3153" i="1"/>
  <c r="T3154" i="1"/>
  <c r="U3154" i="1"/>
  <c r="T3155" i="1"/>
  <c r="U3155" i="1"/>
  <c r="T3156" i="1"/>
  <c r="U3156" i="1"/>
  <c r="T3157" i="1"/>
  <c r="U3157" i="1"/>
  <c r="T3158" i="1"/>
  <c r="U3158" i="1"/>
  <c r="T3159" i="1"/>
  <c r="U3159" i="1"/>
  <c r="T3160" i="1"/>
  <c r="U3160" i="1"/>
  <c r="T3161" i="1"/>
  <c r="U3161" i="1"/>
  <c r="T3162" i="1"/>
  <c r="U3162" i="1"/>
  <c r="T3163" i="1"/>
  <c r="U3163" i="1"/>
  <c r="T3164" i="1"/>
  <c r="U3164" i="1"/>
  <c r="T3165" i="1"/>
  <c r="U3165" i="1"/>
  <c r="T3166" i="1"/>
  <c r="U3166" i="1"/>
  <c r="T3167" i="1"/>
  <c r="U3167" i="1"/>
  <c r="T3168" i="1"/>
  <c r="U3168" i="1"/>
  <c r="T3169" i="1"/>
  <c r="U3169" i="1"/>
  <c r="T3170" i="1"/>
  <c r="U3170" i="1"/>
  <c r="T3171" i="1"/>
  <c r="U3171" i="1"/>
  <c r="T3172" i="1"/>
  <c r="U3172" i="1"/>
  <c r="T3173" i="1"/>
  <c r="U3173" i="1"/>
  <c r="T3174" i="1"/>
  <c r="U3174" i="1"/>
  <c r="T3175" i="1"/>
  <c r="U3175" i="1"/>
  <c r="T3176" i="1"/>
  <c r="U3176" i="1"/>
  <c r="T3177" i="1"/>
  <c r="U3177" i="1"/>
  <c r="T3178" i="1"/>
  <c r="U3178" i="1"/>
  <c r="T3179" i="1"/>
  <c r="U3179" i="1"/>
  <c r="T3180" i="1"/>
  <c r="U3180" i="1"/>
  <c r="T3181" i="1"/>
  <c r="U3181" i="1"/>
  <c r="T3182" i="1"/>
  <c r="U3182" i="1"/>
  <c r="T3183" i="1"/>
  <c r="U3183" i="1"/>
  <c r="T3184" i="1"/>
  <c r="U3184" i="1"/>
  <c r="T3185" i="1"/>
  <c r="U3185" i="1"/>
  <c r="T3186" i="1"/>
  <c r="U3186" i="1"/>
  <c r="T3187" i="1"/>
  <c r="U3187" i="1"/>
  <c r="T3188" i="1"/>
  <c r="U3188" i="1"/>
  <c r="T3189" i="1"/>
  <c r="U3189" i="1"/>
  <c r="T3190" i="1"/>
  <c r="U3190" i="1"/>
  <c r="T3191" i="1"/>
  <c r="U3191" i="1"/>
  <c r="T3192" i="1"/>
  <c r="U3192" i="1"/>
  <c r="T3193" i="1"/>
  <c r="U3193" i="1"/>
  <c r="T3194" i="1"/>
  <c r="U3194" i="1"/>
  <c r="T3195" i="1"/>
  <c r="U3195" i="1"/>
  <c r="T3196" i="1"/>
  <c r="U3196" i="1"/>
  <c r="T3197" i="1"/>
  <c r="U3197" i="1"/>
  <c r="T3198" i="1"/>
  <c r="U3198" i="1"/>
  <c r="T3199" i="1"/>
  <c r="U3199" i="1"/>
  <c r="T3200" i="1"/>
  <c r="U3200" i="1"/>
  <c r="T3201" i="1"/>
  <c r="U3201" i="1"/>
  <c r="T3202" i="1"/>
  <c r="U3202" i="1"/>
  <c r="T3203" i="1"/>
  <c r="U3203" i="1"/>
  <c r="T3204" i="1"/>
  <c r="U3204" i="1"/>
  <c r="T3205" i="1"/>
  <c r="U3205" i="1"/>
  <c r="T3206" i="1"/>
  <c r="U3206" i="1"/>
  <c r="T3207" i="1"/>
  <c r="U3207" i="1"/>
  <c r="T3208" i="1"/>
  <c r="U3208" i="1"/>
  <c r="T3209" i="1"/>
  <c r="U3209" i="1"/>
  <c r="T3210" i="1"/>
  <c r="U3210" i="1"/>
  <c r="T3211" i="1"/>
  <c r="U3211" i="1"/>
  <c r="T3212" i="1"/>
  <c r="U3212" i="1"/>
  <c r="T3213" i="1"/>
  <c r="U3213" i="1"/>
  <c r="T3214" i="1"/>
  <c r="U3214" i="1"/>
  <c r="T3215" i="1"/>
  <c r="U3215" i="1"/>
  <c r="T3216" i="1"/>
  <c r="U3216" i="1"/>
  <c r="T3217" i="1"/>
  <c r="U3217" i="1"/>
  <c r="T3218" i="1"/>
  <c r="U3218" i="1"/>
  <c r="T3219" i="1"/>
  <c r="U3219" i="1"/>
  <c r="T3220" i="1"/>
  <c r="U3220" i="1"/>
  <c r="T3221" i="1"/>
  <c r="U3221" i="1"/>
  <c r="T3222" i="1"/>
  <c r="U3222" i="1"/>
  <c r="T3223" i="1"/>
  <c r="U3223" i="1"/>
  <c r="T3224" i="1"/>
  <c r="U3224" i="1"/>
  <c r="T3225" i="1"/>
  <c r="U3225" i="1"/>
  <c r="T3226" i="1"/>
  <c r="U3226" i="1"/>
  <c r="T3227" i="1"/>
  <c r="U3227" i="1"/>
  <c r="T3228" i="1"/>
  <c r="U3228" i="1"/>
  <c r="T3229" i="1"/>
  <c r="U3229" i="1"/>
  <c r="T3230" i="1"/>
  <c r="U3230" i="1"/>
  <c r="T3231" i="1"/>
  <c r="U3231" i="1"/>
  <c r="T3232" i="1"/>
  <c r="U3232" i="1"/>
  <c r="T3233" i="1"/>
  <c r="U3233" i="1"/>
  <c r="T3234" i="1"/>
  <c r="U3234" i="1"/>
  <c r="T3235" i="1"/>
  <c r="U3235" i="1"/>
  <c r="T3236" i="1"/>
  <c r="U3236" i="1"/>
  <c r="T3237" i="1"/>
  <c r="U3237" i="1"/>
  <c r="T3238" i="1"/>
  <c r="U3238" i="1"/>
  <c r="T3239" i="1"/>
  <c r="U3239" i="1"/>
  <c r="T3240" i="1"/>
  <c r="U3240" i="1"/>
  <c r="T3241" i="1"/>
  <c r="U3241" i="1"/>
  <c r="T3242" i="1"/>
  <c r="U3242" i="1"/>
  <c r="T3243" i="1"/>
  <c r="U3243" i="1"/>
  <c r="T3244" i="1"/>
  <c r="U3244" i="1"/>
  <c r="T3245" i="1"/>
  <c r="U3245" i="1"/>
  <c r="T3246" i="1"/>
  <c r="U3246" i="1"/>
  <c r="T3247" i="1"/>
  <c r="U3247" i="1"/>
  <c r="T3248" i="1"/>
  <c r="U3248" i="1"/>
  <c r="T3249" i="1"/>
  <c r="U3249" i="1"/>
  <c r="T3250" i="1"/>
  <c r="U3250" i="1"/>
  <c r="T3251" i="1"/>
  <c r="U3251" i="1"/>
  <c r="T3252" i="1"/>
  <c r="U3252" i="1"/>
  <c r="T3253" i="1"/>
  <c r="U3253" i="1"/>
  <c r="T3254" i="1"/>
  <c r="U3254" i="1"/>
  <c r="T3255" i="1"/>
  <c r="U3255" i="1"/>
  <c r="T3256" i="1"/>
  <c r="U3256" i="1"/>
  <c r="T3257" i="1"/>
  <c r="U3257" i="1"/>
  <c r="T3258" i="1"/>
  <c r="U3258" i="1"/>
  <c r="T3259" i="1"/>
  <c r="U3259" i="1"/>
  <c r="T3260" i="1"/>
  <c r="U3260" i="1"/>
  <c r="T3261" i="1"/>
  <c r="U3261" i="1"/>
  <c r="T3262" i="1"/>
  <c r="U3262" i="1"/>
  <c r="T3263" i="1"/>
  <c r="U3263" i="1"/>
  <c r="T3264" i="1"/>
  <c r="U3264" i="1"/>
  <c r="T3265" i="1"/>
  <c r="U3265" i="1"/>
  <c r="T3266" i="1"/>
  <c r="U3266" i="1"/>
  <c r="T3267" i="1"/>
  <c r="U3267" i="1"/>
  <c r="T3268" i="1"/>
  <c r="U3268" i="1"/>
  <c r="T3269" i="1"/>
  <c r="U3269" i="1"/>
  <c r="T3270" i="1"/>
  <c r="U3270" i="1"/>
  <c r="T3271" i="1"/>
  <c r="U3271" i="1"/>
  <c r="T3272" i="1"/>
  <c r="U3272" i="1"/>
  <c r="T3273" i="1"/>
  <c r="U3273" i="1"/>
  <c r="T3274" i="1"/>
  <c r="U3274" i="1"/>
  <c r="T3275" i="1"/>
  <c r="U3275" i="1"/>
  <c r="T3276" i="1"/>
  <c r="U3276" i="1"/>
  <c r="T3277" i="1"/>
  <c r="U3277" i="1"/>
  <c r="T3278" i="1"/>
  <c r="U3278" i="1"/>
  <c r="T3279" i="1"/>
  <c r="U3279" i="1"/>
  <c r="T3280" i="1"/>
  <c r="U3280" i="1"/>
  <c r="T3281" i="1"/>
  <c r="U3281" i="1"/>
  <c r="T3282" i="1"/>
  <c r="U3282" i="1"/>
  <c r="T3283" i="1"/>
  <c r="U3283" i="1"/>
  <c r="T3284" i="1"/>
  <c r="U3284" i="1"/>
  <c r="T3285" i="1"/>
  <c r="U3285" i="1"/>
  <c r="T3286" i="1"/>
  <c r="U3286" i="1"/>
  <c r="T3287" i="1"/>
  <c r="U3287" i="1"/>
  <c r="T3288" i="1"/>
  <c r="U3288" i="1"/>
  <c r="T3289" i="1"/>
  <c r="U3289" i="1"/>
  <c r="T3290" i="1"/>
  <c r="U3290" i="1"/>
  <c r="T3291" i="1"/>
  <c r="U3291" i="1"/>
  <c r="T3292" i="1"/>
  <c r="U3292" i="1"/>
  <c r="T3293" i="1"/>
  <c r="U3293" i="1"/>
  <c r="T3294" i="1"/>
  <c r="U3294" i="1"/>
  <c r="T3295" i="1"/>
  <c r="U3295" i="1"/>
  <c r="T3296" i="1"/>
  <c r="U3296" i="1"/>
  <c r="T3297" i="1"/>
  <c r="U3297" i="1"/>
  <c r="T3298" i="1"/>
  <c r="U3298" i="1"/>
  <c r="T3299" i="1"/>
  <c r="U3299" i="1"/>
  <c r="T3300" i="1"/>
  <c r="U3300" i="1"/>
  <c r="T3301" i="1"/>
  <c r="U3301" i="1"/>
  <c r="T3302" i="1"/>
  <c r="U3302" i="1"/>
  <c r="T3303" i="1"/>
  <c r="U3303" i="1"/>
  <c r="T3304" i="1"/>
  <c r="U3304" i="1"/>
  <c r="T3305" i="1"/>
  <c r="U3305" i="1"/>
  <c r="T3306" i="1"/>
  <c r="U3306" i="1"/>
  <c r="T3307" i="1"/>
  <c r="U3307" i="1"/>
  <c r="T3308" i="1"/>
  <c r="U3308" i="1"/>
  <c r="T3309" i="1"/>
  <c r="U3309" i="1"/>
  <c r="T3310" i="1"/>
  <c r="U3310" i="1"/>
  <c r="T3311" i="1"/>
  <c r="U3311" i="1"/>
  <c r="T3312" i="1"/>
  <c r="U3312" i="1"/>
  <c r="T3313" i="1"/>
  <c r="U3313" i="1"/>
  <c r="T3314" i="1"/>
  <c r="U3314" i="1"/>
  <c r="T3315" i="1"/>
  <c r="U3315" i="1"/>
  <c r="T3316" i="1"/>
  <c r="U3316" i="1"/>
  <c r="T3317" i="1"/>
  <c r="U3317" i="1"/>
  <c r="T3318" i="1"/>
  <c r="U3318" i="1"/>
  <c r="T3319" i="1"/>
  <c r="U3319" i="1"/>
  <c r="T3320" i="1"/>
  <c r="U3320" i="1"/>
  <c r="T3321" i="1"/>
  <c r="U3321" i="1"/>
  <c r="T3322" i="1"/>
  <c r="U3322" i="1"/>
  <c r="T3323" i="1"/>
  <c r="U3323" i="1"/>
  <c r="T3324" i="1"/>
  <c r="U3324" i="1"/>
  <c r="T3325" i="1"/>
  <c r="U3325" i="1"/>
  <c r="T3326" i="1"/>
  <c r="U3326" i="1"/>
  <c r="T3327" i="1"/>
  <c r="U3327" i="1"/>
  <c r="T3328" i="1"/>
  <c r="U3328" i="1"/>
  <c r="T3329" i="1"/>
  <c r="U3329" i="1"/>
  <c r="T3330" i="1"/>
  <c r="U3330" i="1"/>
  <c r="T3331" i="1"/>
  <c r="U3331" i="1"/>
  <c r="T3332" i="1"/>
  <c r="U3332" i="1"/>
  <c r="T3333" i="1"/>
  <c r="U3333" i="1"/>
  <c r="T3334" i="1"/>
  <c r="U3334" i="1"/>
  <c r="T3335" i="1"/>
  <c r="U3335" i="1"/>
  <c r="T3336" i="1"/>
  <c r="U3336" i="1"/>
  <c r="T3337" i="1"/>
  <c r="U3337" i="1"/>
  <c r="T3338" i="1"/>
  <c r="U3338" i="1"/>
  <c r="T3339" i="1"/>
  <c r="U3339" i="1"/>
  <c r="T3340" i="1"/>
  <c r="U3340" i="1"/>
  <c r="T3341" i="1"/>
  <c r="U3341" i="1"/>
  <c r="T3342" i="1"/>
  <c r="U3342" i="1"/>
  <c r="T3343" i="1"/>
  <c r="U3343" i="1"/>
  <c r="T3344" i="1"/>
  <c r="U3344" i="1"/>
  <c r="T3345" i="1"/>
  <c r="U3345" i="1"/>
  <c r="T3346" i="1"/>
  <c r="U3346" i="1"/>
  <c r="T3347" i="1"/>
  <c r="U3347" i="1"/>
  <c r="T3348" i="1"/>
  <c r="U3348" i="1"/>
  <c r="T3349" i="1"/>
  <c r="U3349" i="1"/>
  <c r="T3350" i="1"/>
  <c r="U3350" i="1"/>
  <c r="T3351" i="1"/>
  <c r="U3351" i="1"/>
  <c r="T3352" i="1"/>
  <c r="U3352" i="1"/>
  <c r="T3353" i="1"/>
  <c r="U3353" i="1"/>
  <c r="T3354" i="1"/>
  <c r="U3354" i="1"/>
  <c r="T3355" i="1"/>
  <c r="U3355" i="1"/>
  <c r="T3356" i="1"/>
  <c r="U3356" i="1"/>
  <c r="T3357" i="1"/>
  <c r="U3357" i="1"/>
  <c r="T3358" i="1"/>
  <c r="U3358" i="1"/>
  <c r="T3359" i="1"/>
  <c r="U3359" i="1"/>
  <c r="T3360" i="1"/>
  <c r="U3360" i="1"/>
  <c r="T3361" i="1"/>
  <c r="U3361" i="1"/>
  <c r="T3362" i="1"/>
  <c r="U3362" i="1"/>
  <c r="T3363" i="1"/>
  <c r="U3363" i="1"/>
  <c r="T3364" i="1"/>
  <c r="U3364" i="1"/>
  <c r="T3365" i="1"/>
  <c r="U3365" i="1"/>
  <c r="T3366" i="1"/>
  <c r="U3366" i="1"/>
  <c r="T3367" i="1"/>
  <c r="U3367" i="1"/>
  <c r="T3368" i="1"/>
  <c r="U3368" i="1"/>
  <c r="T3369" i="1"/>
  <c r="U3369" i="1"/>
  <c r="T3370" i="1"/>
  <c r="U3370" i="1"/>
  <c r="T3371" i="1"/>
  <c r="U3371" i="1"/>
  <c r="T3372" i="1"/>
  <c r="U3372" i="1"/>
  <c r="T3373" i="1"/>
  <c r="U3373" i="1"/>
  <c r="T3374" i="1"/>
  <c r="U3374" i="1"/>
  <c r="T3375" i="1"/>
  <c r="U3375" i="1"/>
  <c r="T3376" i="1"/>
  <c r="U3376" i="1"/>
  <c r="T3377" i="1"/>
  <c r="U3377" i="1"/>
  <c r="T3378" i="1"/>
  <c r="U3378" i="1"/>
  <c r="T3379" i="1"/>
  <c r="U3379" i="1"/>
  <c r="T3380" i="1"/>
  <c r="U3380" i="1"/>
  <c r="T3381" i="1"/>
  <c r="U3381" i="1"/>
  <c r="T3382" i="1"/>
  <c r="U3382" i="1"/>
  <c r="T3383" i="1"/>
  <c r="U3383" i="1"/>
  <c r="T3384" i="1"/>
  <c r="U3384" i="1"/>
  <c r="T3385" i="1"/>
  <c r="U3385" i="1"/>
  <c r="T3386" i="1"/>
  <c r="U3386" i="1"/>
  <c r="T3387" i="1"/>
  <c r="U3387" i="1"/>
  <c r="T3388" i="1"/>
  <c r="U3388" i="1"/>
  <c r="T3389" i="1"/>
  <c r="U3389" i="1"/>
  <c r="T3390" i="1"/>
  <c r="U3390" i="1"/>
  <c r="T3391" i="1"/>
  <c r="U3391" i="1"/>
  <c r="T3392" i="1"/>
  <c r="U3392" i="1"/>
  <c r="T3393" i="1"/>
  <c r="U3393" i="1"/>
  <c r="T3394" i="1"/>
  <c r="U3394" i="1"/>
  <c r="T3395" i="1"/>
  <c r="U3395" i="1"/>
  <c r="T3396" i="1"/>
  <c r="U3396" i="1"/>
  <c r="T3397" i="1"/>
  <c r="U3397" i="1"/>
  <c r="T3398" i="1"/>
  <c r="U3398" i="1"/>
  <c r="T3399" i="1"/>
  <c r="U3399" i="1"/>
  <c r="T3400" i="1"/>
  <c r="U3400" i="1"/>
  <c r="T3401" i="1"/>
  <c r="U3401" i="1"/>
  <c r="T3402" i="1"/>
  <c r="U3402" i="1"/>
  <c r="T3403" i="1"/>
  <c r="U3403" i="1"/>
  <c r="T3404" i="1"/>
  <c r="U3404" i="1"/>
  <c r="T3405" i="1"/>
  <c r="U3405" i="1"/>
  <c r="T3406" i="1"/>
  <c r="U3406" i="1"/>
  <c r="T3407" i="1"/>
  <c r="U3407" i="1"/>
  <c r="T3408" i="1"/>
  <c r="U3408" i="1"/>
  <c r="T3409" i="1"/>
  <c r="U3409" i="1"/>
  <c r="T3410" i="1"/>
  <c r="U3410" i="1"/>
  <c r="T3411" i="1"/>
  <c r="U3411" i="1"/>
  <c r="T3412" i="1"/>
  <c r="U3412" i="1"/>
  <c r="T3413" i="1"/>
  <c r="U3413" i="1"/>
  <c r="T3414" i="1"/>
  <c r="U3414" i="1"/>
  <c r="T3415" i="1"/>
  <c r="U3415" i="1"/>
  <c r="T3416" i="1"/>
  <c r="U3416" i="1"/>
  <c r="T3417" i="1"/>
  <c r="U3417" i="1"/>
  <c r="T3418" i="1"/>
  <c r="U3418" i="1"/>
  <c r="T3419" i="1"/>
  <c r="U3419" i="1"/>
  <c r="T3420" i="1"/>
  <c r="U3420" i="1"/>
  <c r="T3421" i="1"/>
  <c r="U3421" i="1"/>
  <c r="T3422" i="1"/>
  <c r="U3422" i="1"/>
  <c r="T3423" i="1"/>
  <c r="U3423" i="1"/>
  <c r="T3424" i="1"/>
  <c r="U3424" i="1"/>
  <c r="T3425" i="1"/>
  <c r="U3425" i="1"/>
  <c r="T3426" i="1"/>
  <c r="U3426" i="1"/>
  <c r="T3427" i="1"/>
  <c r="U3427" i="1"/>
  <c r="T3428" i="1"/>
  <c r="U3428" i="1"/>
  <c r="T3429" i="1"/>
  <c r="U3429" i="1"/>
  <c r="T3430" i="1"/>
  <c r="U3430" i="1"/>
  <c r="T3431" i="1"/>
  <c r="U3431" i="1"/>
  <c r="T3432" i="1"/>
  <c r="U3432" i="1"/>
  <c r="T3433" i="1"/>
  <c r="U3433" i="1"/>
  <c r="T3434" i="1"/>
  <c r="U3434" i="1"/>
  <c r="T3435" i="1"/>
  <c r="U3435" i="1"/>
  <c r="T3436" i="1"/>
  <c r="U3436" i="1"/>
  <c r="T3437" i="1"/>
  <c r="U3437" i="1"/>
  <c r="T3438" i="1"/>
  <c r="U3438" i="1"/>
  <c r="T3439" i="1"/>
  <c r="U3439" i="1"/>
  <c r="T3440" i="1"/>
  <c r="U3440" i="1"/>
  <c r="T3441" i="1"/>
  <c r="U3441" i="1"/>
  <c r="T3442" i="1"/>
  <c r="U3442" i="1"/>
  <c r="T3443" i="1"/>
  <c r="U3443" i="1"/>
  <c r="T3444" i="1"/>
  <c r="U3444" i="1"/>
  <c r="T3445" i="1"/>
  <c r="U3445" i="1"/>
  <c r="T3446" i="1"/>
  <c r="U3446" i="1"/>
  <c r="T3447" i="1"/>
  <c r="U3447" i="1"/>
  <c r="T3448" i="1"/>
  <c r="U3448" i="1"/>
  <c r="T3449" i="1"/>
  <c r="U3449" i="1"/>
  <c r="T3450" i="1"/>
  <c r="U3450" i="1"/>
  <c r="T3451" i="1"/>
  <c r="U3451" i="1"/>
  <c r="T3452" i="1"/>
  <c r="U3452" i="1"/>
  <c r="T3453" i="1"/>
  <c r="U3453" i="1"/>
  <c r="T3454" i="1"/>
  <c r="U3454" i="1"/>
  <c r="T3455" i="1"/>
  <c r="U3455" i="1"/>
  <c r="T3456" i="1"/>
  <c r="U3456" i="1"/>
  <c r="T3457" i="1"/>
  <c r="U3457" i="1"/>
  <c r="T3458" i="1"/>
  <c r="U3458" i="1"/>
  <c r="T3459" i="1"/>
  <c r="U3459" i="1"/>
  <c r="T3460" i="1"/>
  <c r="U3460" i="1"/>
  <c r="T3461" i="1"/>
  <c r="U3461" i="1"/>
  <c r="T3462" i="1"/>
  <c r="U3462" i="1"/>
  <c r="T3463" i="1"/>
  <c r="U3463" i="1"/>
  <c r="T3464" i="1"/>
  <c r="U3464" i="1"/>
  <c r="T3465" i="1"/>
  <c r="U3465" i="1"/>
  <c r="T3466" i="1"/>
  <c r="U3466" i="1"/>
  <c r="T3467" i="1"/>
  <c r="U3467" i="1"/>
  <c r="T3468" i="1"/>
  <c r="U3468" i="1"/>
  <c r="T3469" i="1"/>
  <c r="U3469" i="1"/>
  <c r="T3470" i="1"/>
  <c r="U3470" i="1"/>
  <c r="T3471" i="1"/>
  <c r="U3471" i="1"/>
  <c r="T3472" i="1"/>
  <c r="U3472" i="1"/>
  <c r="T3473" i="1"/>
  <c r="U3473" i="1"/>
  <c r="T3474" i="1"/>
  <c r="U3474" i="1"/>
  <c r="T3475" i="1"/>
  <c r="U3475" i="1"/>
  <c r="T3476" i="1"/>
  <c r="U3476" i="1"/>
  <c r="T3477" i="1"/>
  <c r="U3477" i="1"/>
  <c r="T3478" i="1"/>
  <c r="U3478" i="1"/>
  <c r="T3479" i="1"/>
  <c r="U3479" i="1"/>
  <c r="T3480" i="1"/>
  <c r="U3480" i="1"/>
  <c r="T3481" i="1"/>
  <c r="U3481" i="1"/>
  <c r="T3482" i="1"/>
  <c r="U3482" i="1"/>
  <c r="T3483" i="1"/>
  <c r="U3483" i="1"/>
  <c r="T3484" i="1"/>
  <c r="U3484" i="1"/>
  <c r="T3485" i="1"/>
  <c r="U3485" i="1"/>
  <c r="T3486" i="1"/>
  <c r="U3486" i="1"/>
  <c r="T3487" i="1"/>
  <c r="U3487" i="1"/>
  <c r="T3488" i="1"/>
  <c r="U3488" i="1"/>
  <c r="T3489" i="1"/>
  <c r="U3489" i="1"/>
  <c r="T3490" i="1"/>
  <c r="U3490" i="1"/>
  <c r="T3491" i="1"/>
  <c r="U3491" i="1"/>
  <c r="T3492" i="1"/>
  <c r="U3492" i="1"/>
  <c r="T3493" i="1"/>
  <c r="U3493" i="1"/>
  <c r="T3494" i="1"/>
  <c r="U3494" i="1"/>
  <c r="T3495" i="1"/>
  <c r="U3495" i="1"/>
  <c r="T3496" i="1"/>
  <c r="U3496" i="1"/>
  <c r="T3497" i="1"/>
  <c r="U3497" i="1"/>
  <c r="T3498" i="1"/>
  <c r="U3498" i="1"/>
  <c r="T3499" i="1"/>
  <c r="U3499" i="1"/>
  <c r="T3500" i="1"/>
  <c r="U3500" i="1"/>
  <c r="T3501" i="1"/>
  <c r="U3501" i="1"/>
  <c r="T3502" i="1"/>
  <c r="U3502" i="1"/>
  <c r="T3503" i="1"/>
  <c r="U3503" i="1"/>
  <c r="T3504" i="1"/>
  <c r="U3504" i="1"/>
  <c r="T3505" i="1"/>
  <c r="U3505" i="1"/>
  <c r="T3506" i="1"/>
  <c r="U3506" i="1"/>
  <c r="T3507" i="1"/>
  <c r="U3507" i="1"/>
  <c r="T3508" i="1"/>
  <c r="U3508" i="1"/>
  <c r="T3509" i="1"/>
  <c r="U3509" i="1"/>
  <c r="T3510" i="1"/>
  <c r="U3510" i="1"/>
  <c r="T3511" i="1"/>
  <c r="U3511" i="1"/>
  <c r="T3512" i="1"/>
  <c r="U3512" i="1"/>
  <c r="T3513" i="1"/>
  <c r="U3513" i="1"/>
  <c r="T3514" i="1"/>
  <c r="U3514" i="1"/>
  <c r="T3515" i="1"/>
  <c r="U3515" i="1"/>
  <c r="T3516" i="1"/>
  <c r="U3516" i="1"/>
  <c r="T3517" i="1"/>
  <c r="U3517" i="1"/>
  <c r="T3518" i="1"/>
  <c r="U3518" i="1"/>
  <c r="T3519" i="1"/>
  <c r="U3519" i="1"/>
  <c r="T3520" i="1"/>
  <c r="U3520" i="1"/>
  <c r="T3521" i="1"/>
  <c r="U3521" i="1"/>
  <c r="T3522" i="1"/>
  <c r="U3522" i="1"/>
  <c r="T3523" i="1"/>
  <c r="U3523" i="1"/>
  <c r="T3524" i="1"/>
  <c r="U3524" i="1"/>
  <c r="T3525" i="1"/>
  <c r="U3525" i="1"/>
  <c r="T3526" i="1"/>
  <c r="U3526" i="1"/>
  <c r="T3527" i="1"/>
  <c r="U3527" i="1"/>
  <c r="T3528" i="1"/>
  <c r="U3528" i="1"/>
  <c r="T3529" i="1"/>
  <c r="U3529" i="1"/>
  <c r="T3530" i="1"/>
  <c r="U3530" i="1"/>
  <c r="T3531" i="1"/>
  <c r="U3531" i="1"/>
  <c r="T3532" i="1"/>
  <c r="U3532" i="1"/>
  <c r="T3533" i="1"/>
  <c r="U3533" i="1"/>
  <c r="T3534" i="1"/>
  <c r="U3534" i="1"/>
  <c r="T3535" i="1"/>
  <c r="U3535" i="1"/>
  <c r="T3536" i="1"/>
  <c r="U3536" i="1"/>
  <c r="T3537" i="1"/>
  <c r="U3537" i="1"/>
  <c r="T3538" i="1"/>
  <c r="U3538" i="1"/>
  <c r="T3539" i="1"/>
  <c r="U3539" i="1"/>
  <c r="T3540" i="1"/>
  <c r="U3540" i="1"/>
  <c r="T3541" i="1"/>
  <c r="U3541" i="1"/>
  <c r="T3542" i="1"/>
  <c r="U3542" i="1"/>
  <c r="T3543" i="1"/>
  <c r="U3543" i="1"/>
  <c r="T3544" i="1"/>
  <c r="U3544" i="1"/>
  <c r="T3545" i="1"/>
  <c r="U3545" i="1"/>
  <c r="T3546" i="1"/>
  <c r="U3546" i="1"/>
  <c r="T3547" i="1"/>
  <c r="U3547" i="1"/>
  <c r="T3548" i="1"/>
  <c r="U3548" i="1"/>
  <c r="T3549" i="1"/>
  <c r="U3549" i="1"/>
  <c r="T3550" i="1"/>
  <c r="U3550" i="1"/>
  <c r="T3551" i="1"/>
  <c r="U3551" i="1"/>
  <c r="T3552" i="1"/>
  <c r="U3552" i="1"/>
  <c r="T3553" i="1"/>
  <c r="U3553" i="1"/>
  <c r="T3554" i="1"/>
  <c r="U3554" i="1"/>
  <c r="T3555" i="1"/>
  <c r="U3555" i="1"/>
  <c r="T3556" i="1"/>
  <c r="U3556" i="1"/>
  <c r="T3557" i="1"/>
  <c r="U3557" i="1"/>
  <c r="T3558" i="1"/>
  <c r="U3558" i="1"/>
  <c r="T3559" i="1"/>
  <c r="U3559" i="1"/>
  <c r="T3560" i="1"/>
  <c r="U3560" i="1"/>
  <c r="T3561" i="1"/>
  <c r="U3561" i="1"/>
  <c r="T3562" i="1"/>
  <c r="U3562" i="1"/>
  <c r="T3563" i="1"/>
  <c r="U3563" i="1"/>
  <c r="T3564" i="1"/>
  <c r="U3564" i="1"/>
  <c r="T3565" i="1"/>
  <c r="U3565" i="1"/>
  <c r="T3566" i="1"/>
  <c r="U3566" i="1"/>
  <c r="T3567" i="1"/>
  <c r="U3567" i="1"/>
  <c r="T3568" i="1"/>
  <c r="U3568" i="1"/>
  <c r="T3569" i="1"/>
  <c r="U3569" i="1"/>
  <c r="T3570" i="1"/>
  <c r="U3570" i="1"/>
  <c r="T3571" i="1"/>
  <c r="U3571" i="1"/>
  <c r="T3572" i="1"/>
  <c r="U3572" i="1"/>
  <c r="T3573" i="1"/>
  <c r="U3573" i="1"/>
  <c r="T3574" i="1"/>
  <c r="U3574" i="1"/>
  <c r="T3575" i="1"/>
  <c r="U3575" i="1"/>
  <c r="T3576" i="1"/>
  <c r="U3576" i="1"/>
  <c r="T3577" i="1"/>
  <c r="U3577" i="1"/>
  <c r="T3578" i="1"/>
  <c r="U3578" i="1"/>
  <c r="T3579" i="1"/>
  <c r="U3579" i="1"/>
  <c r="T3580" i="1"/>
  <c r="U3580" i="1"/>
  <c r="T3581" i="1"/>
  <c r="U3581" i="1"/>
  <c r="T3582" i="1"/>
  <c r="U3582" i="1"/>
  <c r="T3583" i="1"/>
  <c r="U3583" i="1"/>
  <c r="T3584" i="1"/>
  <c r="U3584" i="1"/>
  <c r="T3585" i="1"/>
  <c r="U3585" i="1"/>
  <c r="T3586" i="1"/>
  <c r="U3586" i="1"/>
  <c r="T3587" i="1"/>
  <c r="U3587" i="1"/>
  <c r="T3588" i="1"/>
  <c r="U3588" i="1"/>
  <c r="T3589" i="1"/>
  <c r="U3589" i="1"/>
  <c r="T3590" i="1"/>
  <c r="U3590" i="1"/>
  <c r="T3591" i="1"/>
  <c r="U3591" i="1"/>
  <c r="T3592" i="1"/>
  <c r="U3592" i="1"/>
  <c r="T3593" i="1"/>
  <c r="U3593" i="1"/>
  <c r="T3594" i="1"/>
  <c r="U3594" i="1"/>
  <c r="T3595" i="1"/>
  <c r="U3595" i="1"/>
  <c r="T3596" i="1"/>
  <c r="U3596" i="1"/>
  <c r="T3597" i="1"/>
  <c r="U3597" i="1"/>
  <c r="T3598" i="1"/>
  <c r="U3598" i="1"/>
  <c r="T3599" i="1"/>
  <c r="U3599" i="1"/>
  <c r="T3600" i="1"/>
  <c r="U3600" i="1"/>
  <c r="T3601" i="1"/>
  <c r="U3601" i="1"/>
  <c r="T3602" i="1"/>
  <c r="U3602" i="1"/>
  <c r="T3603" i="1"/>
  <c r="U3603" i="1"/>
  <c r="T3604" i="1"/>
  <c r="U3604" i="1"/>
  <c r="T3605" i="1"/>
  <c r="U3605" i="1"/>
  <c r="T3606" i="1"/>
  <c r="U3606" i="1"/>
  <c r="T3607" i="1"/>
  <c r="U3607" i="1"/>
  <c r="T3608" i="1"/>
  <c r="U3608" i="1"/>
  <c r="T3609" i="1"/>
  <c r="U3609" i="1"/>
  <c r="T3610" i="1"/>
  <c r="U3610" i="1"/>
  <c r="T3611" i="1"/>
  <c r="U3611" i="1"/>
  <c r="T3612" i="1"/>
  <c r="U3612" i="1"/>
  <c r="T3613" i="1"/>
  <c r="U3613" i="1"/>
  <c r="T3614" i="1"/>
  <c r="U3614" i="1"/>
  <c r="T3615" i="1"/>
  <c r="U3615" i="1"/>
  <c r="T3616" i="1"/>
  <c r="U3616" i="1"/>
  <c r="T3617" i="1"/>
  <c r="U3617" i="1"/>
  <c r="T3618" i="1"/>
  <c r="U3618" i="1"/>
  <c r="T3619" i="1"/>
  <c r="U3619" i="1"/>
  <c r="T3620" i="1"/>
  <c r="U3620" i="1"/>
  <c r="T3621" i="1"/>
  <c r="U3621" i="1"/>
  <c r="T3622" i="1"/>
  <c r="U3622" i="1"/>
  <c r="T3623" i="1"/>
  <c r="U3623" i="1"/>
  <c r="T3624" i="1"/>
  <c r="U3624" i="1"/>
  <c r="T3625" i="1"/>
  <c r="U3625" i="1"/>
  <c r="T3626" i="1"/>
  <c r="U3626" i="1"/>
  <c r="T3627" i="1"/>
  <c r="U3627" i="1"/>
  <c r="T3628" i="1"/>
  <c r="U3628" i="1"/>
  <c r="T3629" i="1"/>
  <c r="U3629" i="1"/>
  <c r="T3630" i="1"/>
  <c r="U3630" i="1"/>
  <c r="T3631" i="1"/>
  <c r="U3631" i="1"/>
  <c r="T3632" i="1"/>
  <c r="U3632" i="1"/>
  <c r="T3633" i="1"/>
  <c r="U3633" i="1"/>
  <c r="T3634" i="1"/>
  <c r="U3634" i="1"/>
  <c r="T3635" i="1"/>
  <c r="U3635" i="1"/>
  <c r="T3636" i="1"/>
  <c r="U3636" i="1"/>
  <c r="T3637" i="1"/>
  <c r="U3637" i="1"/>
  <c r="T3638" i="1"/>
  <c r="U3638" i="1"/>
  <c r="T3639" i="1"/>
  <c r="U3639" i="1"/>
  <c r="T3640" i="1"/>
  <c r="U3640" i="1"/>
  <c r="T3641" i="1"/>
  <c r="U3641" i="1"/>
  <c r="T3642" i="1"/>
  <c r="U3642" i="1"/>
  <c r="T3643" i="1"/>
  <c r="U3643" i="1"/>
  <c r="T3644" i="1"/>
  <c r="U3644" i="1"/>
  <c r="T3645" i="1"/>
  <c r="U3645" i="1"/>
  <c r="T3646" i="1"/>
  <c r="U3646" i="1"/>
  <c r="T3647" i="1"/>
  <c r="U3647" i="1"/>
  <c r="T3648" i="1"/>
  <c r="U3648" i="1"/>
  <c r="T3649" i="1"/>
  <c r="U3649" i="1"/>
  <c r="T3650" i="1"/>
  <c r="U3650" i="1"/>
  <c r="T3651" i="1"/>
  <c r="U3651" i="1"/>
  <c r="T3652" i="1"/>
  <c r="U3652" i="1"/>
  <c r="T3653" i="1"/>
  <c r="U3653" i="1"/>
  <c r="T3654" i="1"/>
  <c r="U3654" i="1"/>
  <c r="T3655" i="1"/>
  <c r="U3655" i="1"/>
  <c r="T3656" i="1"/>
  <c r="U3656" i="1"/>
  <c r="T3657" i="1"/>
  <c r="U3657" i="1"/>
  <c r="T3658" i="1"/>
  <c r="U3658" i="1"/>
  <c r="T3659" i="1"/>
  <c r="U3659" i="1"/>
  <c r="T3660" i="1"/>
  <c r="U3660" i="1"/>
  <c r="T3661" i="1"/>
  <c r="U3661" i="1"/>
  <c r="T3662" i="1"/>
  <c r="U3662" i="1"/>
  <c r="T3663" i="1"/>
  <c r="U3663" i="1"/>
  <c r="T3664" i="1"/>
  <c r="U3664" i="1"/>
  <c r="T3665" i="1"/>
  <c r="U3665" i="1"/>
  <c r="T3666" i="1"/>
  <c r="U3666" i="1"/>
  <c r="T3667" i="1"/>
  <c r="U3667" i="1"/>
  <c r="T3668" i="1"/>
  <c r="U3668" i="1"/>
  <c r="T3669" i="1"/>
  <c r="U3669" i="1"/>
  <c r="T3670" i="1"/>
  <c r="U3670" i="1"/>
  <c r="T3671" i="1"/>
  <c r="U3671" i="1"/>
  <c r="T3672" i="1"/>
  <c r="U3672" i="1"/>
  <c r="T3673" i="1"/>
  <c r="U3673" i="1"/>
  <c r="T3674" i="1"/>
  <c r="U3674" i="1"/>
  <c r="T3675" i="1"/>
  <c r="U3675" i="1"/>
  <c r="T3676" i="1"/>
  <c r="U3676" i="1"/>
  <c r="T3677" i="1"/>
  <c r="U3677" i="1"/>
  <c r="T3678" i="1"/>
  <c r="U3678" i="1"/>
  <c r="T3679" i="1"/>
  <c r="U3679" i="1"/>
  <c r="T3680" i="1"/>
  <c r="U3680" i="1"/>
  <c r="T3681" i="1"/>
  <c r="U3681" i="1"/>
  <c r="T3682" i="1"/>
  <c r="U3682" i="1"/>
  <c r="T3683" i="1"/>
  <c r="U3683" i="1"/>
  <c r="T3684" i="1"/>
  <c r="U3684" i="1"/>
  <c r="T3685" i="1"/>
  <c r="U3685" i="1"/>
  <c r="T3686" i="1"/>
  <c r="U3686" i="1"/>
  <c r="T3687" i="1"/>
  <c r="U3687" i="1"/>
  <c r="T3688" i="1"/>
  <c r="U3688" i="1"/>
  <c r="T3689" i="1"/>
  <c r="U3689" i="1"/>
  <c r="T3690" i="1"/>
  <c r="U3690" i="1"/>
  <c r="T3691" i="1"/>
  <c r="U3691" i="1"/>
  <c r="T3692" i="1"/>
  <c r="U3692" i="1"/>
  <c r="T3693" i="1"/>
  <c r="U3693" i="1"/>
  <c r="T3694" i="1"/>
  <c r="U3694" i="1"/>
  <c r="T3695" i="1"/>
  <c r="U3695" i="1"/>
  <c r="T3696" i="1"/>
  <c r="U3696" i="1"/>
  <c r="T3697" i="1"/>
  <c r="U3697" i="1"/>
  <c r="T3698" i="1"/>
  <c r="U3698" i="1"/>
  <c r="T3699" i="1"/>
  <c r="U3699" i="1"/>
  <c r="T3700" i="1"/>
  <c r="U3700" i="1"/>
  <c r="T3701" i="1"/>
  <c r="U3701" i="1"/>
  <c r="T3702" i="1"/>
  <c r="U3702" i="1"/>
  <c r="T3703" i="1"/>
  <c r="U3703" i="1"/>
  <c r="T3704" i="1"/>
  <c r="U3704" i="1"/>
  <c r="T3705" i="1"/>
  <c r="U3705" i="1"/>
  <c r="T3706" i="1"/>
  <c r="U3706" i="1"/>
  <c r="T3707" i="1"/>
  <c r="U3707" i="1"/>
  <c r="T3708" i="1"/>
  <c r="U3708" i="1"/>
  <c r="T3709" i="1"/>
  <c r="U3709" i="1"/>
  <c r="T3710" i="1"/>
  <c r="U3710" i="1"/>
  <c r="T3711" i="1"/>
  <c r="U3711" i="1"/>
  <c r="T3712" i="1"/>
  <c r="U3712" i="1"/>
  <c r="T3713" i="1"/>
  <c r="U3713" i="1"/>
  <c r="T3714" i="1"/>
  <c r="U3714" i="1"/>
  <c r="T3715" i="1"/>
  <c r="U3715" i="1"/>
  <c r="T3716" i="1"/>
  <c r="U3716" i="1"/>
  <c r="T3717" i="1"/>
  <c r="U3717" i="1"/>
  <c r="T3718" i="1"/>
  <c r="U3718" i="1"/>
  <c r="T3719" i="1"/>
  <c r="U3719" i="1"/>
  <c r="T3720" i="1"/>
  <c r="U3720" i="1"/>
  <c r="T3721" i="1"/>
  <c r="U3721" i="1"/>
  <c r="T3722" i="1"/>
  <c r="U3722" i="1"/>
  <c r="T3723" i="1"/>
  <c r="U3723" i="1"/>
  <c r="T3724" i="1"/>
  <c r="U3724" i="1"/>
  <c r="T3725" i="1"/>
  <c r="U3725" i="1"/>
  <c r="T3726" i="1"/>
  <c r="U3726" i="1"/>
  <c r="T3727" i="1"/>
  <c r="U3727" i="1"/>
  <c r="T3728" i="1"/>
  <c r="U3728" i="1"/>
  <c r="T3729" i="1"/>
  <c r="U3729" i="1"/>
  <c r="T3730" i="1"/>
  <c r="U3730" i="1"/>
  <c r="T3731" i="1"/>
  <c r="U3731" i="1"/>
  <c r="T3732" i="1"/>
  <c r="U3732" i="1"/>
  <c r="T3733" i="1"/>
  <c r="U3733" i="1"/>
  <c r="T3734" i="1"/>
  <c r="U3734" i="1"/>
  <c r="T3735" i="1"/>
  <c r="U3735" i="1"/>
  <c r="T3736" i="1"/>
  <c r="U3736" i="1"/>
  <c r="T3737" i="1"/>
  <c r="U3737" i="1"/>
  <c r="T3738" i="1"/>
  <c r="U3738" i="1"/>
  <c r="T3739" i="1"/>
  <c r="U3739" i="1"/>
  <c r="T3740" i="1"/>
  <c r="U3740" i="1"/>
  <c r="T3741" i="1"/>
  <c r="U3741" i="1"/>
  <c r="T3742" i="1"/>
  <c r="U3742" i="1"/>
  <c r="T3743" i="1"/>
  <c r="U3743" i="1"/>
  <c r="T3744" i="1"/>
  <c r="U3744" i="1"/>
  <c r="T3745" i="1"/>
  <c r="U3745" i="1"/>
  <c r="T3746" i="1"/>
  <c r="U3746" i="1"/>
  <c r="T3747" i="1"/>
  <c r="U3747" i="1"/>
  <c r="T3748" i="1"/>
  <c r="U3748" i="1"/>
  <c r="T3749" i="1"/>
  <c r="U3749" i="1"/>
  <c r="T3750" i="1"/>
  <c r="U3750" i="1"/>
  <c r="T3751" i="1"/>
  <c r="U3751" i="1"/>
  <c r="T3752" i="1"/>
  <c r="U3752" i="1"/>
  <c r="T3753" i="1"/>
  <c r="U3753" i="1"/>
  <c r="T3754" i="1"/>
  <c r="U3754" i="1"/>
  <c r="T3755" i="1"/>
  <c r="U3755" i="1"/>
  <c r="T3756" i="1"/>
  <c r="U3756" i="1"/>
  <c r="T3757" i="1"/>
  <c r="U3757" i="1"/>
  <c r="T3758" i="1"/>
  <c r="U3758" i="1"/>
  <c r="T3759" i="1"/>
  <c r="U3759" i="1"/>
  <c r="T3760" i="1"/>
  <c r="U3760" i="1"/>
  <c r="T3761" i="1"/>
  <c r="U3761" i="1"/>
  <c r="T3762" i="1"/>
  <c r="U3762" i="1"/>
  <c r="T3763" i="1"/>
  <c r="U3763" i="1"/>
  <c r="T3764" i="1"/>
  <c r="U3764" i="1"/>
  <c r="T3765" i="1"/>
  <c r="U3765" i="1"/>
  <c r="T3766" i="1"/>
  <c r="U3766" i="1"/>
  <c r="T3767" i="1"/>
  <c r="U3767" i="1"/>
  <c r="T3768" i="1"/>
  <c r="U3768" i="1"/>
  <c r="T3769" i="1"/>
  <c r="U3769" i="1"/>
  <c r="T3770" i="1"/>
  <c r="U3770" i="1"/>
  <c r="T3771" i="1"/>
  <c r="U3771" i="1"/>
  <c r="T3772" i="1"/>
  <c r="U3772" i="1"/>
  <c r="T3773" i="1"/>
  <c r="U3773" i="1"/>
  <c r="T3774" i="1"/>
  <c r="U3774" i="1"/>
  <c r="T3775" i="1"/>
  <c r="U3775" i="1"/>
  <c r="T3776" i="1"/>
  <c r="U3776" i="1"/>
  <c r="T3777" i="1"/>
  <c r="U3777" i="1"/>
  <c r="T3778" i="1"/>
  <c r="U3778" i="1"/>
  <c r="T3779" i="1"/>
  <c r="U3779" i="1"/>
  <c r="T3780" i="1"/>
  <c r="U3780" i="1"/>
  <c r="T3781" i="1"/>
  <c r="U3781" i="1"/>
  <c r="T3782" i="1"/>
  <c r="U3782" i="1"/>
  <c r="T3783" i="1"/>
  <c r="U3783" i="1"/>
  <c r="T3784" i="1"/>
  <c r="U3784" i="1"/>
  <c r="T3785" i="1"/>
  <c r="U3785" i="1"/>
  <c r="T3786" i="1"/>
  <c r="U3786" i="1"/>
  <c r="T3787" i="1"/>
  <c r="U3787" i="1"/>
  <c r="T3788" i="1"/>
  <c r="U3788" i="1"/>
  <c r="T3789" i="1"/>
  <c r="U3789" i="1"/>
  <c r="T3790" i="1"/>
  <c r="U3790" i="1"/>
  <c r="T3791" i="1"/>
  <c r="U3791" i="1"/>
  <c r="T3792" i="1"/>
  <c r="U3792" i="1"/>
  <c r="T3793" i="1"/>
  <c r="U3793" i="1"/>
  <c r="T3794" i="1"/>
  <c r="U3794" i="1"/>
  <c r="T3795" i="1"/>
  <c r="U3795" i="1"/>
  <c r="T3796" i="1"/>
  <c r="U3796" i="1"/>
  <c r="T3797" i="1"/>
  <c r="U3797" i="1"/>
  <c r="T3798" i="1"/>
  <c r="U3798" i="1"/>
  <c r="T3799" i="1"/>
  <c r="U3799" i="1"/>
  <c r="T3800" i="1"/>
  <c r="U3800" i="1"/>
  <c r="T3801" i="1"/>
  <c r="U3801" i="1"/>
  <c r="T3802" i="1"/>
  <c r="U3802" i="1"/>
  <c r="T3803" i="1"/>
  <c r="U3803" i="1"/>
  <c r="T3804" i="1"/>
  <c r="U3804" i="1"/>
  <c r="T3805" i="1"/>
  <c r="U3805" i="1"/>
  <c r="T3806" i="1"/>
  <c r="U3806" i="1"/>
  <c r="T3807" i="1"/>
  <c r="U3807" i="1"/>
  <c r="T3808" i="1"/>
  <c r="U3808" i="1"/>
  <c r="T3809" i="1"/>
  <c r="U3809" i="1"/>
  <c r="T3810" i="1"/>
  <c r="U3810" i="1"/>
  <c r="T3811" i="1"/>
  <c r="U3811" i="1"/>
  <c r="T3812" i="1"/>
  <c r="U3812" i="1"/>
  <c r="T3813" i="1"/>
  <c r="U3813" i="1"/>
  <c r="T3814" i="1"/>
  <c r="U3814" i="1"/>
  <c r="T3815" i="1"/>
  <c r="U3815" i="1"/>
  <c r="T3816" i="1"/>
  <c r="U3816" i="1"/>
  <c r="T3817" i="1"/>
  <c r="U3817" i="1"/>
  <c r="T3818" i="1"/>
  <c r="U3818" i="1"/>
  <c r="T3819" i="1"/>
  <c r="U3819" i="1"/>
  <c r="T3820" i="1"/>
  <c r="U3820" i="1"/>
  <c r="T3821" i="1"/>
  <c r="U3821" i="1"/>
  <c r="T3822" i="1"/>
  <c r="U3822" i="1"/>
  <c r="T3823" i="1"/>
  <c r="U3823" i="1"/>
  <c r="T3824" i="1"/>
  <c r="U3824" i="1"/>
  <c r="T3825" i="1"/>
  <c r="U3825" i="1"/>
  <c r="T3826" i="1"/>
  <c r="U3826" i="1"/>
  <c r="T3827" i="1"/>
  <c r="U3827" i="1"/>
  <c r="T3828" i="1"/>
  <c r="U3828" i="1"/>
  <c r="T3829" i="1"/>
  <c r="U3829" i="1"/>
  <c r="T3830" i="1"/>
  <c r="U3830" i="1"/>
  <c r="T3831" i="1"/>
  <c r="U3831" i="1"/>
  <c r="T3832" i="1"/>
  <c r="U3832" i="1"/>
  <c r="T3833" i="1"/>
  <c r="U3833" i="1"/>
  <c r="T3834" i="1"/>
  <c r="U3834" i="1"/>
  <c r="T3835" i="1"/>
  <c r="U3835" i="1"/>
  <c r="T3836" i="1"/>
  <c r="U3836" i="1"/>
  <c r="T3837" i="1"/>
  <c r="U3837" i="1"/>
  <c r="T3838" i="1"/>
  <c r="U3838" i="1"/>
  <c r="T3839" i="1"/>
  <c r="U3839" i="1"/>
  <c r="T3840" i="1"/>
  <c r="U3840" i="1"/>
  <c r="T3841" i="1"/>
  <c r="U3841" i="1"/>
  <c r="T3842" i="1"/>
  <c r="U3842" i="1"/>
  <c r="T3843" i="1"/>
  <c r="U3843" i="1"/>
  <c r="T3844" i="1"/>
  <c r="U3844" i="1"/>
  <c r="T3845" i="1"/>
  <c r="U3845" i="1"/>
  <c r="T3846" i="1"/>
  <c r="U3846" i="1"/>
  <c r="T3847" i="1"/>
  <c r="U3847" i="1"/>
  <c r="T3848" i="1"/>
  <c r="U3848" i="1"/>
  <c r="T3849" i="1"/>
  <c r="U3849" i="1"/>
  <c r="T3850" i="1"/>
  <c r="U3850" i="1"/>
  <c r="T3851" i="1"/>
  <c r="U3851" i="1"/>
  <c r="T3852" i="1"/>
  <c r="U3852" i="1"/>
  <c r="T3853" i="1"/>
  <c r="U3853" i="1"/>
  <c r="T3854" i="1"/>
  <c r="U3854" i="1"/>
  <c r="T3855" i="1"/>
  <c r="U3855" i="1"/>
  <c r="T3856" i="1"/>
  <c r="U3856" i="1"/>
  <c r="T3857" i="1"/>
  <c r="U3857" i="1"/>
  <c r="T3858" i="1"/>
  <c r="U3858" i="1"/>
  <c r="T3859" i="1"/>
  <c r="U3859" i="1"/>
  <c r="T3860" i="1"/>
  <c r="U3860" i="1"/>
  <c r="T3861" i="1"/>
  <c r="U3861" i="1"/>
  <c r="T3862" i="1"/>
  <c r="U3862" i="1"/>
  <c r="T3863" i="1"/>
  <c r="U3863" i="1"/>
  <c r="T3864" i="1"/>
  <c r="U3864" i="1"/>
  <c r="T3865" i="1"/>
  <c r="U3865" i="1"/>
  <c r="T3866" i="1"/>
  <c r="U3866" i="1"/>
  <c r="T3867" i="1"/>
  <c r="U3867" i="1"/>
  <c r="T3868" i="1"/>
  <c r="U3868" i="1"/>
  <c r="T3869" i="1"/>
  <c r="U3869" i="1"/>
  <c r="T3870" i="1"/>
  <c r="U3870" i="1"/>
  <c r="T3871" i="1"/>
  <c r="U3871" i="1"/>
  <c r="T3872" i="1"/>
  <c r="U3872" i="1"/>
  <c r="T3873" i="1"/>
  <c r="U3873" i="1"/>
  <c r="T3874" i="1"/>
  <c r="U3874" i="1"/>
  <c r="T3875" i="1"/>
  <c r="U3875" i="1"/>
  <c r="T3876" i="1"/>
  <c r="U3876" i="1"/>
  <c r="T3877" i="1"/>
  <c r="U3877" i="1"/>
  <c r="T3878" i="1"/>
  <c r="U3878" i="1"/>
  <c r="T3879" i="1"/>
  <c r="U3879" i="1"/>
  <c r="T3880" i="1"/>
  <c r="U3880" i="1"/>
  <c r="T3881" i="1"/>
  <c r="U3881" i="1"/>
  <c r="T3882" i="1"/>
  <c r="U3882" i="1"/>
  <c r="T3883" i="1"/>
  <c r="U3883" i="1"/>
  <c r="T3884" i="1"/>
  <c r="U3884" i="1"/>
  <c r="T3885" i="1"/>
  <c r="U3885" i="1"/>
  <c r="T3886" i="1"/>
  <c r="U3886" i="1"/>
  <c r="T3887" i="1"/>
  <c r="U3887" i="1"/>
  <c r="T3888" i="1"/>
  <c r="U3888" i="1"/>
  <c r="T3889" i="1"/>
  <c r="U3889" i="1"/>
  <c r="T3890" i="1"/>
  <c r="U3890" i="1"/>
  <c r="T3891" i="1"/>
  <c r="U3891" i="1"/>
  <c r="T3892" i="1"/>
  <c r="U3892" i="1"/>
  <c r="T3893" i="1"/>
  <c r="U3893" i="1"/>
  <c r="T3894" i="1"/>
  <c r="U3894" i="1"/>
  <c r="T3895" i="1"/>
  <c r="U3895" i="1"/>
  <c r="T3896" i="1"/>
  <c r="U3896" i="1"/>
  <c r="T3897" i="1"/>
  <c r="U3897" i="1"/>
  <c r="T3898" i="1"/>
  <c r="U3898" i="1"/>
  <c r="T3899" i="1"/>
  <c r="U3899" i="1"/>
  <c r="T3900" i="1"/>
  <c r="U3900" i="1"/>
  <c r="T3901" i="1"/>
  <c r="U3901" i="1"/>
  <c r="T3902" i="1"/>
  <c r="U3902" i="1"/>
  <c r="T3903" i="1"/>
  <c r="U3903" i="1"/>
  <c r="T3904" i="1"/>
  <c r="U3904" i="1"/>
  <c r="T3905" i="1"/>
  <c r="U3905" i="1"/>
  <c r="T3906" i="1"/>
  <c r="U3906" i="1"/>
  <c r="T3907" i="1"/>
  <c r="U3907" i="1"/>
  <c r="T3908" i="1"/>
  <c r="U3908" i="1"/>
  <c r="T3909" i="1"/>
  <c r="U3909" i="1"/>
  <c r="T3910" i="1"/>
  <c r="U3910" i="1"/>
  <c r="T3911" i="1"/>
  <c r="U3911" i="1"/>
  <c r="T3912" i="1"/>
  <c r="U3912" i="1"/>
  <c r="T3913" i="1"/>
  <c r="U3913" i="1"/>
  <c r="T3914" i="1"/>
  <c r="U3914" i="1"/>
  <c r="T3915" i="1"/>
  <c r="U3915" i="1"/>
  <c r="T3916" i="1"/>
  <c r="U3916" i="1"/>
  <c r="T3917" i="1"/>
  <c r="U3917" i="1"/>
  <c r="T3918" i="1"/>
  <c r="U3918" i="1"/>
  <c r="T3919" i="1"/>
  <c r="U3919" i="1"/>
  <c r="T3920" i="1"/>
  <c r="U3920" i="1"/>
  <c r="T3921" i="1"/>
  <c r="U3921" i="1"/>
  <c r="T3922" i="1"/>
  <c r="U3922" i="1"/>
  <c r="T3923" i="1"/>
  <c r="U3923" i="1"/>
  <c r="T3924" i="1"/>
  <c r="U3924" i="1"/>
  <c r="T3925" i="1"/>
  <c r="U3925" i="1"/>
  <c r="T3926" i="1"/>
  <c r="U3926" i="1"/>
  <c r="T3927" i="1"/>
  <c r="U3927" i="1"/>
  <c r="T3928" i="1"/>
  <c r="U3928" i="1"/>
  <c r="T3929" i="1"/>
  <c r="U3929" i="1"/>
  <c r="T3930" i="1"/>
  <c r="U3930" i="1"/>
  <c r="T3931" i="1"/>
  <c r="U3931" i="1"/>
  <c r="T3932" i="1"/>
  <c r="U3932" i="1"/>
  <c r="T3933" i="1"/>
  <c r="U3933" i="1"/>
  <c r="T3934" i="1"/>
  <c r="U3934" i="1"/>
  <c r="T3935" i="1"/>
  <c r="U3935" i="1"/>
  <c r="T3936" i="1"/>
  <c r="U3936" i="1"/>
  <c r="T3937" i="1"/>
  <c r="U3937" i="1"/>
  <c r="T3938" i="1"/>
  <c r="U3938" i="1"/>
  <c r="T3939" i="1"/>
  <c r="U3939" i="1"/>
  <c r="T3940" i="1"/>
  <c r="U3940" i="1"/>
  <c r="T3941" i="1"/>
  <c r="U3941" i="1"/>
  <c r="T3942" i="1"/>
  <c r="U3942" i="1"/>
  <c r="T3943" i="1"/>
  <c r="U3943" i="1"/>
  <c r="T3944" i="1"/>
  <c r="U3944" i="1"/>
  <c r="T3945" i="1"/>
  <c r="U3945" i="1"/>
  <c r="T3946" i="1"/>
  <c r="U3946" i="1"/>
  <c r="T3947" i="1"/>
  <c r="U3947" i="1"/>
  <c r="T3948" i="1"/>
  <c r="U3948" i="1"/>
  <c r="T3949" i="1"/>
  <c r="U3949" i="1"/>
  <c r="T3950" i="1"/>
  <c r="U3950" i="1"/>
  <c r="T3951" i="1"/>
  <c r="U3951" i="1"/>
  <c r="T3952" i="1"/>
  <c r="U3952" i="1"/>
  <c r="T3953" i="1"/>
  <c r="U3953" i="1"/>
  <c r="T3954" i="1"/>
  <c r="U3954" i="1"/>
  <c r="T3955" i="1"/>
  <c r="U3955" i="1"/>
  <c r="T3956" i="1"/>
  <c r="U3956" i="1"/>
  <c r="T3957" i="1"/>
  <c r="U3957" i="1"/>
  <c r="T3958" i="1"/>
  <c r="U3958" i="1"/>
  <c r="T3959" i="1"/>
  <c r="U3959" i="1"/>
  <c r="T3960" i="1"/>
  <c r="U3960" i="1"/>
  <c r="T3961" i="1"/>
  <c r="U3961" i="1"/>
  <c r="T3962" i="1"/>
  <c r="U3962" i="1"/>
  <c r="T3963" i="1"/>
  <c r="U3963" i="1"/>
  <c r="T3964" i="1"/>
  <c r="U3964" i="1"/>
  <c r="T3965" i="1"/>
  <c r="U3965" i="1"/>
  <c r="T3966" i="1"/>
  <c r="U3966" i="1"/>
  <c r="T3967" i="1"/>
  <c r="U3967" i="1"/>
  <c r="T3968" i="1"/>
  <c r="U3968" i="1"/>
  <c r="T3969" i="1"/>
  <c r="U3969" i="1"/>
  <c r="T3970" i="1"/>
  <c r="U3970" i="1"/>
  <c r="T3971" i="1"/>
  <c r="U3971" i="1"/>
  <c r="T3972" i="1"/>
  <c r="U3972" i="1"/>
  <c r="T3973" i="1"/>
  <c r="U3973" i="1"/>
  <c r="T3974" i="1"/>
  <c r="U3974" i="1"/>
  <c r="T3975" i="1"/>
  <c r="U3975" i="1"/>
  <c r="T3976" i="1"/>
  <c r="U3976" i="1"/>
  <c r="T3977" i="1"/>
  <c r="U3977" i="1"/>
  <c r="T3978" i="1"/>
  <c r="U3978" i="1"/>
  <c r="T3979" i="1"/>
  <c r="U3979" i="1"/>
  <c r="T3980" i="1"/>
  <c r="U3980" i="1"/>
  <c r="T3981" i="1"/>
  <c r="U3981" i="1"/>
  <c r="T3982" i="1"/>
  <c r="U3982" i="1"/>
  <c r="T3983" i="1"/>
  <c r="U3983" i="1"/>
  <c r="T3984" i="1"/>
  <c r="U3984" i="1"/>
  <c r="T3985" i="1"/>
  <c r="U3985" i="1"/>
  <c r="T3986" i="1"/>
  <c r="U3986" i="1"/>
  <c r="T3987" i="1"/>
  <c r="U3987" i="1"/>
  <c r="T3988" i="1"/>
  <c r="U3988" i="1"/>
  <c r="T3989" i="1"/>
  <c r="U3989" i="1"/>
  <c r="T3990" i="1"/>
  <c r="U3990" i="1"/>
  <c r="T3991" i="1"/>
  <c r="U3991" i="1"/>
  <c r="T3992" i="1"/>
  <c r="U3992" i="1"/>
  <c r="T3993" i="1"/>
  <c r="U3993" i="1"/>
  <c r="T3994" i="1"/>
  <c r="U3994" i="1"/>
  <c r="T3995" i="1"/>
  <c r="U3995" i="1"/>
  <c r="T3996" i="1"/>
  <c r="U3996" i="1"/>
  <c r="T3997" i="1"/>
  <c r="U3997" i="1"/>
  <c r="T3998" i="1"/>
  <c r="U3998" i="1"/>
  <c r="T3999" i="1"/>
  <c r="U3999" i="1"/>
  <c r="T4000" i="1"/>
  <c r="U4000" i="1"/>
  <c r="T4001" i="1"/>
  <c r="U4001" i="1"/>
  <c r="T4002" i="1"/>
  <c r="U4002" i="1"/>
  <c r="T4003" i="1"/>
  <c r="U4003" i="1"/>
  <c r="T4004" i="1"/>
  <c r="U4004" i="1"/>
  <c r="T4005" i="1"/>
  <c r="U4005" i="1"/>
  <c r="T4006" i="1"/>
  <c r="U4006" i="1"/>
  <c r="T4007" i="1"/>
  <c r="U4007" i="1"/>
  <c r="T4008" i="1"/>
  <c r="U4008" i="1"/>
  <c r="T4009" i="1"/>
  <c r="U4009" i="1"/>
  <c r="T4010" i="1"/>
  <c r="U4010" i="1"/>
  <c r="T4011" i="1"/>
  <c r="U4011" i="1"/>
  <c r="T4012" i="1"/>
  <c r="U4012" i="1"/>
  <c r="T4013" i="1"/>
  <c r="U4013" i="1"/>
  <c r="T4014" i="1"/>
  <c r="U4014" i="1"/>
  <c r="T4015" i="1"/>
  <c r="U4015" i="1"/>
  <c r="T4016" i="1"/>
  <c r="U4016" i="1"/>
  <c r="T4017" i="1"/>
  <c r="U4017" i="1"/>
  <c r="T4018" i="1"/>
  <c r="U4018" i="1"/>
  <c r="T4019" i="1"/>
  <c r="U4019" i="1"/>
  <c r="T4020" i="1"/>
  <c r="U4020" i="1"/>
  <c r="T4021" i="1"/>
  <c r="U4021" i="1"/>
  <c r="T4022" i="1"/>
  <c r="U4022" i="1"/>
  <c r="T4023" i="1"/>
  <c r="U4023" i="1"/>
  <c r="T4024" i="1"/>
  <c r="U4024" i="1"/>
  <c r="T4025" i="1"/>
  <c r="U4025" i="1"/>
  <c r="T4026" i="1"/>
  <c r="U4026" i="1"/>
  <c r="T4027" i="1"/>
  <c r="U4027" i="1"/>
  <c r="T4028" i="1"/>
  <c r="U4028" i="1"/>
  <c r="T4029" i="1"/>
  <c r="U4029" i="1"/>
  <c r="T4030" i="1"/>
  <c r="U4030" i="1"/>
  <c r="T4031" i="1"/>
  <c r="U4031" i="1"/>
  <c r="T4032" i="1"/>
  <c r="U4032" i="1"/>
  <c r="T4033" i="1"/>
  <c r="U4033" i="1"/>
  <c r="T4034" i="1"/>
  <c r="U4034" i="1"/>
  <c r="T4035" i="1"/>
  <c r="U4035" i="1"/>
  <c r="T4036" i="1"/>
  <c r="U4036" i="1"/>
  <c r="T4037" i="1"/>
  <c r="U4037" i="1"/>
  <c r="T4038" i="1"/>
  <c r="U4038" i="1"/>
  <c r="T4039" i="1"/>
  <c r="U4039" i="1"/>
  <c r="T4040" i="1"/>
  <c r="U4040" i="1"/>
  <c r="T4041" i="1"/>
  <c r="U4041" i="1"/>
  <c r="T4042" i="1"/>
  <c r="U4042" i="1"/>
  <c r="T4043" i="1"/>
  <c r="U4043" i="1"/>
  <c r="T4044" i="1"/>
  <c r="U4044" i="1"/>
  <c r="T4045" i="1"/>
  <c r="U4045" i="1"/>
  <c r="T4046" i="1"/>
  <c r="U4046" i="1"/>
  <c r="T4047" i="1"/>
  <c r="U4047" i="1"/>
  <c r="T4048" i="1"/>
  <c r="U4048" i="1"/>
  <c r="T4049" i="1"/>
  <c r="U4049" i="1"/>
  <c r="T4050" i="1"/>
  <c r="U4050" i="1"/>
  <c r="T4051" i="1"/>
  <c r="U4051" i="1"/>
  <c r="T4052" i="1"/>
  <c r="U4052" i="1"/>
  <c r="T4053" i="1"/>
  <c r="U4053" i="1"/>
  <c r="T4054" i="1"/>
  <c r="U4054" i="1"/>
  <c r="T4055" i="1"/>
  <c r="U4055" i="1"/>
  <c r="T4056" i="1"/>
  <c r="U4056" i="1"/>
  <c r="T4057" i="1"/>
  <c r="U4057" i="1"/>
  <c r="T4058" i="1"/>
  <c r="U4058" i="1"/>
  <c r="T4059" i="1"/>
  <c r="U4059" i="1"/>
  <c r="T4060" i="1"/>
  <c r="U4060" i="1"/>
  <c r="T4061" i="1"/>
  <c r="U4061" i="1"/>
  <c r="T4062" i="1"/>
  <c r="U4062" i="1"/>
  <c r="T4063" i="1"/>
  <c r="U4063" i="1"/>
  <c r="T4064" i="1"/>
  <c r="U4064" i="1"/>
  <c r="T4065" i="1"/>
  <c r="U4065" i="1"/>
  <c r="T4066" i="1"/>
  <c r="U4066" i="1"/>
  <c r="T4067" i="1"/>
  <c r="U4067" i="1"/>
  <c r="T4068" i="1"/>
  <c r="U4068" i="1"/>
  <c r="T4069" i="1"/>
  <c r="U4069" i="1"/>
  <c r="T4070" i="1"/>
  <c r="U4070" i="1"/>
  <c r="T4071" i="1"/>
  <c r="U4071" i="1"/>
  <c r="T4072" i="1"/>
  <c r="U4072" i="1"/>
  <c r="T4073" i="1"/>
  <c r="U4073" i="1"/>
  <c r="T4074" i="1"/>
  <c r="U4074" i="1"/>
  <c r="T4075" i="1"/>
  <c r="U4075" i="1"/>
  <c r="T4076" i="1"/>
  <c r="U4076" i="1"/>
  <c r="T4077" i="1"/>
  <c r="U4077" i="1"/>
  <c r="T4078" i="1"/>
  <c r="U4078" i="1"/>
  <c r="T4079" i="1"/>
  <c r="U4079" i="1"/>
  <c r="T4080" i="1"/>
  <c r="U4080" i="1"/>
  <c r="T4081" i="1"/>
  <c r="U4081" i="1"/>
  <c r="T4082" i="1"/>
  <c r="U4082" i="1"/>
  <c r="T4083" i="1"/>
  <c r="U4083" i="1"/>
  <c r="T4084" i="1"/>
  <c r="U4084" i="1"/>
  <c r="T4085" i="1"/>
  <c r="U4085" i="1"/>
  <c r="T4086" i="1"/>
  <c r="U4086" i="1"/>
  <c r="T4087" i="1"/>
  <c r="U4087" i="1"/>
  <c r="T4088" i="1"/>
  <c r="U4088" i="1"/>
  <c r="T4089" i="1"/>
  <c r="U4089" i="1"/>
  <c r="T4090" i="1"/>
  <c r="U4090" i="1"/>
  <c r="T4091" i="1"/>
  <c r="U4091" i="1"/>
  <c r="T4092" i="1"/>
  <c r="U4092" i="1"/>
  <c r="T4093" i="1"/>
  <c r="U4093" i="1"/>
  <c r="T4094" i="1"/>
  <c r="U4094" i="1"/>
  <c r="T4095" i="1"/>
  <c r="U4095" i="1"/>
  <c r="T4096" i="1"/>
  <c r="U4096" i="1"/>
  <c r="T4097" i="1"/>
  <c r="U4097" i="1"/>
  <c r="T4098" i="1"/>
  <c r="U4098" i="1"/>
  <c r="T4099" i="1"/>
  <c r="U4099" i="1"/>
  <c r="T4100" i="1"/>
  <c r="U4100" i="1"/>
  <c r="T4101" i="1"/>
  <c r="U4101" i="1"/>
  <c r="T4102" i="1"/>
  <c r="U4102" i="1"/>
  <c r="T4103" i="1"/>
  <c r="U4103" i="1"/>
  <c r="T4104" i="1"/>
  <c r="U4104" i="1"/>
  <c r="T4105" i="1"/>
  <c r="U4105" i="1"/>
  <c r="T4106" i="1"/>
  <c r="U4106" i="1"/>
  <c r="T4107" i="1"/>
  <c r="U4107" i="1"/>
  <c r="T4108" i="1"/>
  <c r="U4108" i="1"/>
  <c r="T4109" i="1"/>
  <c r="U4109" i="1"/>
  <c r="T4110" i="1"/>
  <c r="U4110" i="1"/>
  <c r="T4111" i="1"/>
  <c r="U4111" i="1"/>
  <c r="T4112" i="1"/>
  <c r="U4112" i="1"/>
  <c r="T4113" i="1"/>
  <c r="U4113" i="1"/>
  <c r="T4114" i="1"/>
  <c r="U4114" i="1"/>
  <c r="T4115" i="1"/>
  <c r="U4115" i="1"/>
  <c r="T4116" i="1"/>
  <c r="U4116" i="1"/>
  <c r="T4117" i="1"/>
  <c r="U4117" i="1"/>
  <c r="T4118" i="1"/>
  <c r="U4118" i="1"/>
  <c r="T4119" i="1"/>
  <c r="U4119" i="1"/>
  <c r="T4120" i="1"/>
  <c r="U4120" i="1"/>
  <c r="T4121" i="1"/>
  <c r="U4121" i="1"/>
  <c r="T4122" i="1"/>
  <c r="U4122" i="1"/>
  <c r="T4123" i="1"/>
  <c r="U4123" i="1"/>
  <c r="T4124" i="1"/>
  <c r="U4124" i="1"/>
  <c r="T4125" i="1"/>
  <c r="U4125" i="1"/>
  <c r="T4126" i="1"/>
  <c r="U4126" i="1"/>
  <c r="T4127" i="1"/>
  <c r="U4127" i="1"/>
  <c r="T4128" i="1"/>
  <c r="U4128" i="1"/>
  <c r="T4129" i="1"/>
  <c r="U4129" i="1"/>
  <c r="T4130" i="1"/>
  <c r="U4130" i="1"/>
  <c r="T4131" i="1"/>
  <c r="U4131" i="1"/>
  <c r="T4132" i="1"/>
  <c r="U4132" i="1"/>
  <c r="T4133" i="1"/>
  <c r="U4133" i="1"/>
  <c r="T4134" i="1"/>
  <c r="U4134" i="1"/>
  <c r="T4135" i="1"/>
  <c r="U4135" i="1"/>
  <c r="T4136" i="1"/>
  <c r="U4136" i="1"/>
  <c r="T4137" i="1"/>
  <c r="U4137" i="1"/>
  <c r="T4138" i="1"/>
  <c r="U4138" i="1"/>
  <c r="T4139" i="1"/>
  <c r="U4139" i="1"/>
  <c r="T4140" i="1"/>
  <c r="U4140" i="1"/>
  <c r="T4141" i="1"/>
  <c r="U4141" i="1"/>
  <c r="T4142" i="1"/>
  <c r="U4142" i="1"/>
  <c r="T4143" i="1"/>
  <c r="U4143" i="1"/>
  <c r="T4144" i="1"/>
  <c r="U4144" i="1"/>
  <c r="T4145" i="1"/>
  <c r="U4145" i="1"/>
  <c r="T4146" i="1"/>
  <c r="U4146" i="1"/>
  <c r="T4147" i="1"/>
  <c r="U4147" i="1"/>
  <c r="T4148" i="1"/>
  <c r="U4148" i="1"/>
  <c r="T4149" i="1"/>
  <c r="U4149" i="1"/>
  <c r="T4150" i="1"/>
  <c r="U4150" i="1"/>
  <c r="T4151" i="1"/>
  <c r="U4151" i="1"/>
  <c r="T4152" i="1"/>
  <c r="U4152" i="1"/>
  <c r="T4153" i="1"/>
  <c r="U4153" i="1"/>
  <c r="T4154" i="1"/>
  <c r="U4154" i="1"/>
  <c r="T4155" i="1"/>
  <c r="U4155" i="1"/>
  <c r="T4156" i="1"/>
  <c r="U4156" i="1"/>
  <c r="T4157" i="1"/>
  <c r="U4157" i="1"/>
  <c r="T4158" i="1"/>
  <c r="U4158" i="1"/>
  <c r="T4159" i="1"/>
  <c r="U4159" i="1"/>
  <c r="T4160" i="1"/>
  <c r="U4160" i="1"/>
  <c r="T4161" i="1"/>
  <c r="U4161" i="1"/>
  <c r="T4162" i="1"/>
  <c r="U4162" i="1"/>
  <c r="T4163" i="1"/>
  <c r="U4163" i="1"/>
  <c r="T4164" i="1"/>
  <c r="U4164" i="1"/>
  <c r="T4165" i="1"/>
  <c r="U4165" i="1"/>
  <c r="T4166" i="1"/>
  <c r="U4166" i="1"/>
  <c r="T4167" i="1"/>
  <c r="U4167" i="1"/>
  <c r="T4168" i="1"/>
  <c r="U4168" i="1"/>
  <c r="T4169" i="1"/>
  <c r="U4169" i="1"/>
  <c r="T4170" i="1"/>
  <c r="U4170" i="1"/>
  <c r="T4171" i="1"/>
  <c r="U4171" i="1"/>
  <c r="T4172" i="1"/>
  <c r="U4172" i="1"/>
  <c r="T4173" i="1"/>
  <c r="U4173" i="1"/>
  <c r="T4174" i="1"/>
  <c r="U4174" i="1"/>
  <c r="T4175" i="1"/>
  <c r="U4175" i="1"/>
  <c r="T4176" i="1"/>
  <c r="U4176" i="1"/>
  <c r="T4177" i="1"/>
  <c r="U4177" i="1"/>
  <c r="T4178" i="1"/>
  <c r="U4178" i="1"/>
  <c r="T4179" i="1"/>
  <c r="U4179" i="1"/>
  <c r="T4180" i="1"/>
  <c r="U4180" i="1"/>
  <c r="T4181" i="1"/>
  <c r="U4181" i="1"/>
  <c r="T4182" i="1"/>
  <c r="U4182" i="1"/>
  <c r="T4183" i="1"/>
  <c r="U4183" i="1"/>
  <c r="T4184" i="1"/>
  <c r="U4184" i="1"/>
  <c r="T4185" i="1"/>
  <c r="U4185" i="1"/>
  <c r="T4186" i="1"/>
  <c r="U4186" i="1"/>
  <c r="T4187" i="1"/>
  <c r="U4187" i="1"/>
  <c r="T4188" i="1"/>
  <c r="U4188" i="1"/>
  <c r="T4189" i="1"/>
  <c r="U4189" i="1"/>
  <c r="T4190" i="1"/>
  <c r="U4190" i="1"/>
  <c r="T4191" i="1"/>
  <c r="U4191" i="1"/>
  <c r="T4192" i="1"/>
  <c r="U4192" i="1"/>
  <c r="T4193" i="1"/>
  <c r="U4193" i="1"/>
  <c r="T4194" i="1"/>
  <c r="U4194" i="1"/>
  <c r="T4195" i="1"/>
  <c r="U4195" i="1"/>
  <c r="T4196" i="1"/>
  <c r="U4196" i="1"/>
  <c r="T4197" i="1"/>
  <c r="U4197" i="1"/>
  <c r="T4198" i="1"/>
  <c r="U4198" i="1"/>
  <c r="T4199" i="1"/>
  <c r="U4199" i="1"/>
  <c r="T4200" i="1"/>
  <c r="U4200" i="1"/>
  <c r="T4201" i="1"/>
  <c r="U4201" i="1"/>
  <c r="T4202" i="1"/>
  <c r="U4202" i="1"/>
  <c r="T4203" i="1"/>
  <c r="U4203" i="1"/>
  <c r="T4204" i="1"/>
  <c r="U4204" i="1"/>
  <c r="T4205" i="1"/>
  <c r="U4205" i="1"/>
  <c r="T4206" i="1"/>
  <c r="U4206" i="1"/>
  <c r="T4207" i="1"/>
  <c r="U4207" i="1"/>
  <c r="T4208" i="1"/>
  <c r="U4208" i="1"/>
  <c r="T4209" i="1"/>
  <c r="U4209" i="1"/>
  <c r="T4210" i="1"/>
  <c r="U4210" i="1"/>
  <c r="T4211" i="1"/>
  <c r="U4211" i="1"/>
  <c r="T4212" i="1"/>
  <c r="U4212" i="1"/>
  <c r="T4213" i="1"/>
  <c r="U4213" i="1"/>
  <c r="T4214" i="1"/>
  <c r="U4214" i="1"/>
  <c r="T4215" i="1"/>
  <c r="U4215" i="1"/>
  <c r="T4216" i="1"/>
  <c r="U4216" i="1"/>
  <c r="T4217" i="1"/>
  <c r="U4217" i="1"/>
  <c r="T4218" i="1"/>
  <c r="U4218" i="1"/>
  <c r="T4219" i="1"/>
  <c r="U4219" i="1"/>
  <c r="T4220" i="1"/>
  <c r="U4220" i="1"/>
  <c r="T4221" i="1"/>
  <c r="U4221" i="1"/>
  <c r="T4222" i="1"/>
  <c r="U4222" i="1"/>
  <c r="T4223" i="1"/>
  <c r="U4223" i="1"/>
  <c r="T4224" i="1"/>
  <c r="U4224" i="1"/>
  <c r="T4225" i="1"/>
  <c r="U4225" i="1"/>
  <c r="T4226" i="1"/>
  <c r="U4226" i="1"/>
  <c r="T4227" i="1"/>
  <c r="U4227" i="1"/>
  <c r="T4228" i="1"/>
  <c r="U4228" i="1"/>
  <c r="T4229" i="1"/>
  <c r="U4229" i="1"/>
  <c r="T4230" i="1"/>
  <c r="U4230" i="1"/>
  <c r="T4231" i="1"/>
  <c r="U4231" i="1"/>
  <c r="T4232" i="1"/>
  <c r="U4232" i="1"/>
  <c r="T4233" i="1"/>
  <c r="U4233" i="1"/>
  <c r="T4234" i="1"/>
  <c r="U4234" i="1"/>
  <c r="T4235" i="1"/>
  <c r="U4235" i="1"/>
  <c r="T4236" i="1"/>
  <c r="U4236" i="1"/>
  <c r="T4237" i="1"/>
  <c r="U4237" i="1"/>
  <c r="T4238" i="1"/>
  <c r="U4238" i="1"/>
  <c r="T4239" i="1"/>
  <c r="U4239" i="1"/>
  <c r="T4240" i="1"/>
  <c r="U4240" i="1"/>
  <c r="T4241" i="1"/>
  <c r="U4241" i="1"/>
  <c r="T4242" i="1"/>
  <c r="U4242" i="1"/>
  <c r="T4243" i="1"/>
  <c r="U4243" i="1"/>
  <c r="T4244" i="1"/>
  <c r="U4244" i="1"/>
  <c r="T4245" i="1"/>
  <c r="U4245" i="1"/>
  <c r="T4246" i="1"/>
  <c r="U4246" i="1"/>
  <c r="T4247" i="1"/>
  <c r="U4247" i="1"/>
  <c r="T4248" i="1"/>
  <c r="U4248" i="1"/>
  <c r="T4249" i="1"/>
  <c r="U4249" i="1"/>
  <c r="T4250" i="1"/>
  <c r="U4250" i="1"/>
  <c r="T4251" i="1"/>
  <c r="U4251" i="1"/>
  <c r="T4252" i="1"/>
  <c r="U4252" i="1"/>
  <c r="T4253" i="1"/>
  <c r="U4253" i="1"/>
  <c r="T4254" i="1"/>
  <c r="U4254" i="1"/>
  <c r="T4255" i="1"/>
  <c r="U4255" i="1"/>
  <c r="T4256" i="1"/>
  <c r="U4256" i="1"/>
  <c r="T4257" i="1"/>
  <c r="U4257" i="1"/>
  <c r="T4258" i="1"/>
  <c r="U4258" i="1"/>
  <c r="T4259" i="1"/>
  <c r="U4259" i="1"/>
  <c r="T4260" i="1"/>
  <c r="U4260" i="1"/>
  <c r="T4261" i="1"/>
  <c r="U4261" i="1"/>
  <c r="T4262" i="1"/>
  <c r="U4262" i="1"/>
  <c r="T4263" i="1"/>
  <c r="U4263" i="1"/>
  <c r="T4264" i="1"/>
  <c r="U4264" i="1"/>
  <c r="T4265" i="1"/>
  <c r="U4265" i="1"/>
  <c r="T4266" i="1"/>
  <c r="U4266" i="1"/>
  <c r="T4267" i="1"/>
  <c r="U4267" i="1"/>
  <c r="T4268" i="1"/>
  <c r="U4268" i="1"/>
  <c r="T4269" i="1"/>
  <c r="U4269" i="1"/>
  <c r="T4270" i="1"/>
  <c r="U4270" i="1"/>
  <c r="T4271" i="1"/>
  <c r="U4271" i="1"/>
  <c r="T4272" i="1"/>
  <c r="U4272" i="1"/>
  <c r="T4273" i="1"/>
  <c r="U4273" i="1"/>
  <c r="T4274" i="1"/>
  <c r="U4274" i="1"/>
  <c r="T4275" i="1"/>
  <c r="U4275" i="1"/>
  <c r="T4276" i="1"/>
  <c r="U4276" i="1"/>
  <c r="T4277" i="1"/>
  <c r="U4277" i="1"/>
  <c r="T4278" i="1"/>
  <c r="U4278" i="1"/>
  <c r="T4279" i="1"/>
  <c r="U4279" i="1"/>
  <c r="T4280" i="1"/>
  <c r="U4280" i="1"/>
  <c r="T4281" i="1"/>
  <c r="U4281" i="1"/>
  <c r="T4282" i="1"/>
  <c r="U4282" i="1"/>
  <c r="T4283" i="1"/>
  <c r="U4283" i="1"/>
  <c r="T4284" i="1"/>
  <c r="U4284" i="1"/>
  <c r="T4285" i="1"/>
  <c r="U4285" i="1"/>
  <c r="T4286" i="1"/>
  <c r="U4286" i="1"/>
  <c r="T4287" i="1"/>
  <c r="U4287" i="1"/>
  <c r="T4288" i="1"/>
  <c r="U4288" i="1"/>
  <c r="T4289" i="1"/>
  <c r="U4289" i="1"/>
  <c r="T4290" i="1"/>
  <c r="U4290" i="1"/>
  <c r="T4291" i="1"/>
  <c r="U4291" i="1"/>
  <c r="T4292" i="1"/>
  <c r="U4292" i="1"/>
  <c r="T4293" i="1"/>
  <c r="U4293" i="1"/>
  <c r="T4294" i="1"/>
  <c r="U4294" i="1"/>
  <c r="T4295" i="1"/>
  <c r="U4295" i="1"/>
  <c r="T4296" i="1"/>
  <c r="U4296" i="1"/>
  <c r="T4297" i="1"/>
  <c r="U4297" i="1"/>
  <c r="T4298" i="1"/>
  <c r="U4298" i="1"/>
  <c r="T4299" i="1"/>
  <c r="U4299" i="1"/>
  <c r="T4300" i="1"/>
  <c r="U4300" i="1"/>
  <c r="T4301" i="1"/>
  <c r="U4301" i="1"/>
  <c r="T4302" i="1"/>
  <c r="U4302" i="1"/>
  <c r="T4303" i="1"/>
  <c r="U4303" i="1"/>
  <c r="T4304" i="1"/>
  <c r="U4304" i="1"/>
  <c r="T4305" i="1"/>
  <c r="U4305" i="1"/>
  <c r="T4306" i="1"/>
  <c r="U4306" i="1"/>
  <c r="T4307" i="1"/>
  <c r="U4307" i="1"/>
  <c r="T4308" i="1"/>
  <c r="U4308" i="1"/>
  <c r="T4309" i="1"/>
  <c r="U4309" i="1"/>
  <c r="T4310" i="1"/>
  <c r="U4310" i="1"/>
  <c r="T4311" i="1"/>
  <c r="U4311" i="1"/>
  <c r="T4312" i="1"/>
  <c r="U4312" i="1"/>
  <c r="T4313" i="1"/>
  <c r="U4313" i="1"/>
  <c r="T4314" i="1"/>
  <c r="U4314" i="1"/>
  <c r="T4315" i="1"/>
  <c r="U4315" i="1"/>
  <c r="T4316" i="1"/>
  <c r="U4316" i="1"/>
  <c r="T4317" i="1"/>
  <c r="U4317" i="1"/>
  <c r="T4318" i="1"/>
  <c r="U4318" i="1"/>
  <c r="T4319" i="1"/>
  <c r="U4319" i="1"/>
  <c r="T4320" i="1"/>
  <c r="U4320" i="1"/>
  <c r="T4321" i="1"/>
  <c r="U4321" i="1"/>
  <c r="T4322" i="1"/>
  <c r="U4322" i="1"/>
  <c r="T4323" i="1"/>
  <c r="U4323" i="1"/>
  <c r="T4324" i="1"/>
  <c r="U4324" i="1"/>
  <c r="T4325" i="1"/>
  <c r="U4325" i="1"/>
  <c r="T4326" i="1"/>
  <c r="U4326" i="1"/>
  <c r="T4327" i="1"/>
  <c r="U4327" i="1"/>
  <c r="T4328" i="1"/>
  <c r="U4328" i="1"/>
  <c r="T4329" i="1"/>
  <c r="U4329" i="1"/>
  <c r="T4330" i="1"/>
  <c r="U4330" i="1"/>
  <c r="T4331" i="1"/>
  <c r="U4331" i="1"/>
  <c r="T4332" i="1"/>
  <c r="U4332" i="1"/>
  <c r="T4333" i="1"/>
  <c r="U4333" i="1"/>
  <c r="T4334" i="1"/>
  <c r="U4334" i="1"/>
  <c r="T4335" i="1"/>
  <c r="U4335" i="1"/>
  <c r="T4336" i="1"/>
  <c r="U4336" i="1"/>
  <c r="T4337" i="1"/>
  <c r="U4337" i="1"/>
  <c r="T4338" i="1"/>
  <c r="U4338" i="1"/>
  <c r="T4339" i="1"/>
  <c r="U4339" i="1"/>
  <c r="T4340" i="1"/>
  <c r="U4340" i="1"/>
  <c r="T4341" i="1"/>
  <c r="U4341" i="1"/>
  <c r="T4342" i="1"/>
  <c r="U4342" i="1"/>
  <c r="T4343" i="1"/>
  <c r="U4343" i="1"/>
  <c r="T4344" i="1"/>
  <c r="U4344" i="1"/>
  <c r="T4345" i="1"/>
  <c r="U4345" i="1"/>
  <c r="T4346" i="1"/>
  <c r="U4346" i="1"/>
  <c r="T4347" i="1"/>
  <c r="U4347" i="1"/>
  <c r="T4348" i="1"/>
  <c r="U4348" i="1"/>
  <c r="T4349" i="1"/>
  <c r="U4349" i="1"/>
  <c r="T4350" i="1"/>
  <c r="U4350" i="1"/>
  <c r="T4351" i="1"/>
  <c r="U4351" i="1"/>
  <c r="T4352" i="1"/>
  <c r="U4352" i="1"/>
  <c r="T4353" i="1"/>
  <c r="U4353" i="1"/>
  <c r="T4354" i="1"/>
  <c r="U4354" i="1"/>
  <c r="T4355" i="1"/>
  <c r="U4355" i="1"/>
  <c r="T4356" i="1"/>
  <c r="U4356" i="1"/>
  <c r="T4357" i="1"/>
  <c r="U4357" i="1"/>
  <c r="T4358" i="1"/>
  <c r="U4358" i="1"/>
  <c r="T4359" i="1"/>
  <c r="U4359" i="1"/>
  <c r="T4360" i="1"/>
  <c r="U4360" i="1"/>
  <c r="T4361" i="1"/>
  <c r="U4361" i="1"/>
  <c r="T4362" i="1"/>
  <c r="U4362" i="1"/>
  <c r="T4363" i="1"/>
  <c r="U4363" i="1"/>
  <c r="T4364" i="1"/>
  <c r="U4364" i="1"/>
  <c r="T4365" i="1"/>
  <c r="U4365" i="1"/>
  <c r="T4366" i="1"/>
  <c r="U4366" i="1"/>
  <c r="T4367" i="1"/>
  <c r="U4367" i="1"/>
  <c r="T4368" i="1"/>
  <c r="U4368" i="1"/>
  <c r="T4369" i="1"/>
  <c r="U4369" i="1"/>
  <c r="T4370" i="1"/>
  <c r="U4370" i="1"/>
  <c r="T4371" i="1"/>
  <c r="U4371" i="1"/>
  <c r="T4372" i="1"/>
  <c r="U4372" i="1"/>
  <c r="T4374" i="1"/>
  <c r="U4374" i="1"/>
  <c r="U2" i="1"/>
  <c r="T2" i="1"/>
  <c r="S4" i="1"/>
  <c r="S5" i="1" s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S560" i="1" s="1"/>
  <c r="S561" i="1" s="1"/>
  <c r="S562" i="1" s="1"/>
  <c r="S563" i="1" s="1"/>
  <c r="S564" i="1" s="1"/>
  <c r="S565" i="1" s="1"/>
  <c r="S566" i="1" s="1"/>
  <c r="S567" i="1" s="1"/>
  <c r="S568" i="1" s="1"/>
  <c r="S569" i="1" s="1"/>
  <c r="S570" i="1" s="1"/>
  <c r="S571" i="1" s="1"/>
  <c r="S572" i="1" s="1"/>
  <c r="S573" i="1" s="1"/>
  <c r="S574" i="1" s="1"/>
  <c r="S575" i="1" s="1"/>
  <c r="S576" i="1" s="1"/>
  <c r="S577" i="1" s="1"/>
  <c r="S578" i="1" s="1"/>
  <c r="S579" i="1" s="1"/>
  <c r="S580" i="1" s="1"/>
  <c r="S581" i="1" s="1"/>
  <c r="S582" i="1" s="1"/>
  <c r="S583" i="1" s="1"/>
  <c r="S584" i="1" s="1"/>
  <c r="S585" i="1" s="1"/>
  <c r="S586" i="1" s="1"/>
  <c r="S587" i="1" s="1"/>
  <c r="S588" i="1" s="1"/>
  <c r="S589" i="1" s="1"/>
  <c r="S590" i="1" s="1"/>
  <c r="S591" i="1" s="1"/>
  <c r="S592" i="1" s="1"/>
  <c r="S593" i="1" s="1"/>
  <c r="S594" i="1" s="1"/>
  <c r="S595" i="1" s="1"/>
  <c r="S596" i="1" s="1"/>
  <c r="S597" i="1" s="1"/>
  <c r="S598" i="1" s="1"/>
  <c r="S599" i="1" s="1"/>
  <c r="S600" i="1" s="1"/>
  <c r="S601" i="1" s="1"/>
  <c r="S602" i="1" s="1"/>
  <c r="S603" i="1" s="1"/>
  <c r="S604" i="1" s="1"/>
  <c r="S605" i="1" s="1"/>
  <c r="S606" i="1" s="1"/>
  <c r="S607" i="1" s="1"/>
  <c r="S608" i="1" s="1"/>
  <c r="S609" i="1" s="1"/>
  <c r="S610" i="1" s="1"/>
  <c r="S611" i="1" s="1"/>
  <c r="S612" i="1" s="1"/>
  <c r="S613" i="1" s="1"/>
  <c r="S614" i="1" s="1"/>
  <c r="S615" i="1" s="1"/>
  <c r="S616" i="1" s="1"/>
  <c r="S617" i="1" s="1"/>
  <c r="S618" i="1" s="1"/>
  <c r="S619" i="1" s="1"/>
  <c r="S620" i="1" s="1"/>
  <c r="S621" i="1" s="1"/>
  <c r="S622" i="1" s="1"/>
  <c r="S623" i="1" s="1"/>
  <c r="S624" i="1" s="1"/>
  <c r="S625" i="1" s="1"/>
  <c r="S626" i="1" s="1"/>
  <c r="S627" i="1" s="1"/>
  <c r="S628" i="1" s="1"/>
  <c r="S629" i="1" s="1"/>
  <c r="S630" i="1" s="1"/>
  <c r="S631" i="1" s="1"/>
  <c r="S632" i="1" s="1"/>
  <c r="S633" i="1" s="1"/>
  <c r="S634" i="1" s="1"/>
  <c r="S635" i="1" s="1"/>
  <c r="S636" i="1" s="1"/>
  <c r="S637" i="1" s="1"/>
  <c r="S638" i="1" s="1"/>
  <c r="S639" i="1" s="1"/>
  <c r="S640" i="1" s="1"/>
  <c r="S641" i="1" s="1"/>
  <c r="S642" i="1" s="1"/>
  <c r="S643" i="1" s="1"/>
  <c r="S644" i="1" s="1"/>
  <c r="S645" i="1" s="1"/>
  <c r="S646" i="1" s="1"/>
  <c r="S647" i="1" s="1"/>
  <c r="S648" i="1" s="1"/>
  <c r="S649" i="1" s="1"/>
  <c r="S650" i="1" s="1"/>
  <c r="S651" i="1" s="1"/>
  <c r="S652" i="1" s="1"/>
  <c r="S653" i="1" s="1"/>
  <c r="S654" i="1" s="1"/>
  <c r="S655" i="1" s="1"/>
  <c r="S656" i="1" s="1"/>
  <c r="S657" i="1" s="1"/>
  <c r="S658" i="1" s="1"/>
  <c r="S659" i="1" s="1"/>
  <c r="S660" i="1" s="1"/>
  <c r="S661" i="1" s="1"/>
  <c r="S662" i="1" s="1"/>
  <c r="S663" i="1" s="1"/>
  <c r="S664" i="1" s="1"/>
  <c r="S665" i="1" s="1"/>
  <c r="S666" i="1" s="1"/>
  <c r="S667" i="1" s="1"/>
  <c r="S668" i="1" s="1"/>
  <c r="S669" i="1" s="1"/>
  <c r="S670" i="1" s="1"/>
  <c r="S671" i="1" s="1"/>
  <c r="S672" i="1" s="1"/>
  <c r="S673" i="1" s="1"/>
  <c r="S674" i="1" s="1"/>
  <c r="S675" i="1" s="1"/>
  <c r="S676" i="1" s="1"/>
  <c r="S677" i="1" s="1"/>
  <c r="S678" i="1" s="1"/>
  <c r="S679" i="1" s="1"/>
  <c r="S680" i="1" s="1"/>
  <c r="S681" i="1" s="1"/>
  <c r="S682" i="1" s="1"/>
  <c r="S683" i="1" s="1"/>
  <c r="S684" i="1" s="1"/>
  <c r="S685" i="1" s="1"/>
  <c r="S686" i="1" s="1"/>
  <c r="S687" i="1" s="1"/>
  <c r="S688" i="1" s="1"/>
  <c r="S689" i="1" s="1"/>
  <c r="S690" i="1" s="1"/>
  <c r="S691" i="1" s="1"/>
  <c r="S692" i="1" s="1"/>
  <c r="S693" i="1" s="1"/>
  <c r="S694" i="1" s="1"/>
  <c r="S695" i="1" s="1"/>
  <c r="S696" i="1" s="1"/>
  <c r="S697" i="1" s="1"/>
  <c r="S698" i="1" s="1"/>
  <c r="S699" i="1" s="1"/>
  <c r="S700" i="1" s="1"/>
  <c r="S701" i="1" s="1"/>
  <c r="S702" i="1" s="1"/>
  <c r="S703" i="1" s="1"/>
  <c r="S704" i="1" s="1"/>
  <c r="S705" i="1" s="1"/>
  <c r="S706" i="1" s="1"/>
  <c r="S707" i="1" s="1"/>
  <c r="S708" i="1" s="1"/>
  <c r="S709" i="1" s="1"/>
  <c r="S710" i="1" s="1"/>
  <c r="S711" i="1" s="1"/>
  <c r="S712" i="1" s="1"/>
  <c r="S713" i="1" s="1"/>
  <c r="S714" i="1" s="1"/>
  <c r="S715" i="1" s="1"/>
  <c r="S716" i="1" s="1"/>
  <c r="S717" i="1" s="1"/>
  <c r="S718" i="1" s="1"/>
  <c r="S719" i="1" s="1"/>
  <c r="S720" i="1" s="1"/>
  <c r="S721" i="1" s="1"/>
  <c r="S722" i="1" s="1"/>
  <c r="S723" i="1" s="1"/>
  <c r="S724" i="1" s="1"/>
  <c r="S725" i="1" s="1"/>
  <c r="S726" i="1" s="1"/>
  <c r="S727" i="1" s="1"/>
  <c r="S728" i="1" s="1"/>
  <c r="S729" i="1" s="1"/>
  <c r="S730" i="1" s="1"/>
  <c r="S731" i="1" s="1"/>
  <c r="S732" i="1" s="1"/>
  <c r="S733" i="1" s="1"/>
  <c r="S734" i="1" s="1"/>
  <c r="S735" i="1" s="1"/>
  <c r="S736" i="1" s="1"/>
  <c r="S737" i="1" s="1"/>
  <c r="S738" i="1" s="1"/>
  <c r="S739" i="1" s="1"/>
  <c r="S740" i="1" s="1"/>
  <c r="S741" i="1" s="1"/>
  <c r="S742" i="1" s="1"/>
  <c r="S743" i="1" s="1"/>
  <c r="S744" i="1" s="1"/>
  <c r="S745" i="1" s="1"/>
  <c r="S746" i="1" s="1"/>
  <c r="S747" i="1" s="1"/>
  <c r="S748" i="1" s="1"/>
  <c r="S749" i="1" s="1"/>
  <c r="S750" i="1" s="1"/>
  <c r="S751" i="1" s="1"/>
  <c r="S752" i="1" s="1"/>
  <c r="S753" i="1" s="1"/>
  <c r="S754" i="1" s="1"/>
  <c r="S755" i="1" s="1"/>
  <c r="S756" i="1" s="1"/>
  <c r="S757" i="1" s="1"/>
  <c r="S758" i="1" s="1"/>
  <c r="S759" i="1" s="1"/>
  <c r="S760" i="1" s="1"/>
  <c r="S761" i="1" s="1"/>
  <c r="S762" i="1" s="1"/>
  <c r="S763" i="1" s="1"/>
  <c r="S764" i="1" s="1"/>
  <c r="S765" i="1" s="1"/>
  <c r="S766" i="1" s="1"/>
  <c r="S767" i="1" s="1"/>
  <c r="S768" i="1" s="1"/>
  <c r="S769" i="1" s="1"/>
  <c r="S770" i="1" s="1"/>
  <c r="S771" i="1" s="1"/>
  <c r="S772" i="1" s="1"/>
  <c r="S773" i="1" s="1"/>
  <c r="S774" i="1" s="1"/>
  <c r="S775" i="1" s="1"/>
  <c r="S776" i="1" s="1"/>
  <c r="S777" i="1" s="1"/>
  <c r="S778" i="1" s="1"/>
  <c r="S779" i="1" s="1"/>
  <c r="S780" i="1" s="1"/>
  <c r="S781" i="1" s="1"/>
  <c r="S782" i="1" s="1"/>
  <c r="S783" i="1" s="1"/>
  <c r="S784" i="1" s="1"/>
  <c r="S785" i="1" s="1"/>
  <c r="S786" i="1" s="1"/>
  <c r="S787" i="1" s="1"/>
  <c r="S788" i="1" s="1"/>
  <c r="S789" i="1" s="1"/>
  <c r="S790" i="1" s="1"/>
  <c r="S791" i="1" s="1"/>
  <c r="S792" i="1" s="1"/>
  <c r="S793" i="1" s="1"/>
  <c r="S794" i="1" s="1"/>
  <c r="S795" i="1" s="1"/>
  <c r="S796" i="1" s="1"/>
  <c r="S797" i="1" s="1"/>
  <c r="S798" i="1" s="1"/>
  <c r="S799" i="1" s="1"/>
  <c r="S800" i="1" s="1"/>
  <c r="S801" i="1" s="1"/>
  <c r="S802" i="1" s="1"/>
  <c r="S803" i="1" s="1"/>
  <c r="S804" i="1" s="1"/>
  <c r="S805" i="1" s="1"/>
  <c r="S806" i="1" s="1"/>
  <c r="S807" i="1" s="1"/>
  <c r="S808" i="1" s="1"/>
  <c r="S809" i="1" s="1"/>
  <c r="S810" i="1" s="1"/>
  <c r="S811" i="1" s="1"/>
  <c r="S812" i="1" s="1"/>
  <c r="S813" i="1" s="1"/>
  <c r="S814" i="1" s="1"/>
  <c r="S815" i="1" s="1"/>
  <c r="S816" i="1" s="1"/>
  <c r="S817" i="1" s="1"/>
  <c r="S818" i="1" s="1"/>
  <c r="S819" i="1" s="1"/>
  <c r="S820" i="1" s="1"/>
  <c r="S821" i="1" s="1"/>
  <c r="S822" i="1" s="1"/>
  <c r="S823" i="1" s="1"/>
  <c r="S824" i="1" s="1"/>
  <c r="S825" i="1" s="1"/>
  <c r="S826" i="1" s="1"/>
  <c r="S827" i="1" s="1"/>
  <c r="S828" i="1" s="1"/>
  <c r="S829" i="1" s="1"/>
  <c r="S830" i="1" s="1"/>
  <c r="S831" i="1" s="1"/>
  <c r="S832" i="1" s="1"/>
  <c r="S833" i="1" s="1"/>
  <c r="S834" i="1" s="1"/>
  <c r="S835" i="1" s="1"/>
  <c r="S836" i="1" s="1"/>
  <c r="S837" i="1" s="1"/>
  <c r="S838" i="1" s="1"/>
  <c r="S839" i="1" s="1"/>
  <c r="S840" i="1" s="1"/>
  <c r="S841" i="1" s="1"/>
  <c r="S842" i="1" s="1"/>
  <c r="S843" i="1" s="1"/>
  <c r="S844" i="1" s="1"/>
  <c r="S845" i="1" s="1"/>
  <c r="S846" i="1" s="1"/>
  <c r="S847" i="1" s="1"/>
  <c r="S848" i="1" s="1"/>
  <c r="S849" i="1" s="1"/>
  <c r="S850" i="1" s="1"/>
  <c r="S851" i="1" s="1"/>
  <c r="S852" i="1" s="1"/>
  <c r="S853" i="1" s="1"/>
  <c r="S854" i="1" s="1"/>
  <c r="S855" i="1" s="1"/>
  <c r="S856" i="1" s="1"/>
  <c r="S857" i="1" s="1"/>
  <c r="S858" i="1" s="1"/>
  <c r="S859" i="1" s="1"/>
  <c r="S860" i="1" s="1"/>
  <c r="S861" i="1" s="1"/>
  <c r="S862" i="1" s="1"/>
  <c r="S863" i="1" s="1"/>
  <c r="S864" i="1" s="1"/>
  <c r="S865" i="1" s="1"/>
  <c r="S866" i="1" s="1"/>
  <c r="S867" i="1" s="1"/>
  <c r="S868" i="1" s="1"/>
  <c r="S869" i="1" s="1"/>
  <c r="S870" i="1" s="1"/>
  <c r="S871" i="1" s="1"/>
  <c r="S872" i="1" s="1"/>
  <c r="S873" i="1" s="1"/>
  <c r="S874" i="1" s="1"/>
  <c r="S875" i="1" s="1"/>
  <c r="S876" i="1" s="1"/>
  <c r="S877" i="1" s="1"/>
  <c r="S878" i="1" s="1"/>
  <c r="S879" i="1" s="1"/>
  <c r="S880" i="1" s="1"/>
  <c r="S881" i="1" s="1"/>
  <c r="S882" i="1" s="1"/>
  <c r="S883" i="1" s="1"/>
  <c r="S884" i="1" s="1"/>
  <c r="S885" i="1" s="1"/>
  <c r="S886" i="1" s="1"/>
  <c r="S887" i="1" s="1"/>
  <c r="S888" i="1" s="1"/>
  <c r="S889" i="1" s="1"/>
  <c r="S890" i="1" s="1"/>
  <c r="S891" i="1" s="1"/>
  <c r="S892" i="1" s="1"/>
  <c r="S893" i="1" s="1"/>
  <c r="S894" i="1" s="1"/>
  <c r="S895" i="1" s="1"/>
  <c r="S896" i="1" s="1"/>
  <c r="S897" i="1" s="1"/>
  <c r="S898" i="1" s="1"/>
  <c r="S899" i="1" s="1"/>
  <c r="S900" i="1" s="1"/>
  <c r="S901" i="1" s="1"/>
  <c r="S902" i="1" s="1"/>
  <c r="S903" i="1" s="1"/>
  <c r="S904" i="1" s="1"/>
  <c r="S905" i="1" s="1"/>
  <c r="S906" i="1" s="1"/>
  <c r="S907" i="1" s="1"/>
  <c r="S908" i="1" s="1"/>
  <c r="S909" i="1" s="1"/>
  <c r="S910" i="1" s="1"/>
  <c r="S911" i="1" s="1"/>
  <c r="S912" i="1" s="1"/>
  <c r="S913" i="1" s="1"/>
  <c r="S914" i="1" s="1"/>
  <c r="S915" i="1" s="1"/>
  <c r="S916" i="1" s="1"/>
  <c r="S917" i="1" s="1"/>
  <c r="S918" i="1" s="1"/>
  <c r="S919" i="1" s="1"/>
  <c r="S920" i="1" s="1"/>
  <c r="S921" i="1" s="1"/>
  <c r="S922" i="1" s="1"/>
  <c r="S923" i="1" s="1"/>
  <c r="S924" i="1" s="1"/>
  <c r="S925" i="1" s="1"/>
  <c r="S926" i="1" s="1"/>
  <c r="S927" i="1" s="1"/>
  <c r="S928" i="1" s="1"/>
  <c r="S929" i="1" s="1"/>
  <c r="S930" i="1" s="1"/>
  <c r="S931" i="1" s="1"/>
  <c r="S932" i="1" s="1"/>
  <c r="S933" i="1" s="1"/>
  <c r="S934" i="1" s="1"/>
  <c r="S935" i="1" s="1"/>
  <c r="S936" i="1" s="1"/>
  <c r="S937" i="1" s="1"/>
  <c r="S938" i="1" s="1"/>
  <c r="S939" i="1" s="1"/>
  <c r="S940" i="1" s="1"/>
  <c r="S941" i="1" s="1"/>
  <c r="S942" i="1" s="1"/>
  <c r="S943" i="1" s="1"/>
  <c r="S944" i="1" s="1"/>
  <c r="S945" i="1" s="1"/>
  <c r="S946" i="1" s="1"/>
  <c r="S947" i="1" s="1"/>
  <c r="S948" i="1" s="1"/>
  <c r="S949" i="1" s="1"/>
  <c r="S950" i="1" s="1"/>
  <c r="S951" i="1" s="1"/>
  <c r="S952" i="1" s="1"/>
  <c r="S953" i="1" s="1"/>
  <c r="S954" i="1" s="1"/>
  <c r="S955" i="1" s="1"/>
  <c r="S956" i="1" s="1"/>
  <c r="S957" i="1" s="1"/>
  <c r="S958" i="1" s="1"/>
  <c r="S959" i="1" s="1"/>
  <c r="S960" i="1" s="1"/>
  <c r="S961" i="1" s="1"/>
  <c r="S962" i="1" s="1"/>
  <c r="S963" i="1" s="1"/>
  <c r="S964" i="1" s="1"/>
  <c r="S965" i="1" s="1"/>
  <c r="S966" i="1" s="1"/>
  <c r="S967" i="1" s="1"/>
  <c r="S968" i="1" s="1"/>
  <c r="S969" i="1" s="1"/>
  <c r="S970" i="1" s="1"/>
  <c r="S971" i="1" s="1"/>
  <c r="S972" i="1" s="1"/>
  <c r="S973" i="1" s="1"/>
  <c r="S974" i="1" s="1"/>
  <c r="S975" i="1" s="1"/>
  <c r="S976" i="1" s="1"/>
  <c r="S977" i="1" s="1"/>
  <c r="S978" i="1" s="1"/>
  <c r="S979" i="1" s="1"/>
  <c r="S980" i="1" s="1"/>
  <c r="S981" i="1" s="1"/>
  <c r="S982" i="1" s="1"/>
  <c r="S983" i="1" s="1"/>
  <c r="S984" i="1" s="1"/>
  <c r="S985" i="1" s="1"/>
  <c r="S986" i="1" s="1"/>
  <c r="S987" i="1" s="1"/>
  <c r="S988" i="1" s="1"/>
  <c r="S989" i="1" s="1"/>
  <c r="S990" i="1" s="1"/>
  <c r="S991" i="1" s="1"/>
  <c r="S992" i="1" s="1"/>
  <c r="S993" i="1" s="1"/>
  <c r="S994" i="1" s="1"/>
  <c r="S995" i="1" s="1"/>
  <c r="S996" i="1" s="1"/>
  <c r="S997" i="1" s="1"/>
  <c r="S998" i="1" s="1"/>
  <c r="S999" i="1" s="1"/>
  <c r="S1000" i="1" s="1"/>
  <c r="S1001" i="1" s="1"/>
  <c r="S1002" i="1" s="1"/>
  <c r="S1003" i="1" s="1"/>
  <c r="S1004" i="1" s="1"/>
  <c r="S1005" i="1" s="1"/>
  <c r="S1006" i="1" s="1"/>
  <c r="S1007" i="1" s="1"/>
  <c r="S1008" i="1" s="1"/>
  <c r="S1009" i="1" s="1"/>
  <c r="S1010" i="1" s="1"/>
  <c r="S1011" i="1" s="1"/>
  <c r="S1012" i="1" s="1"/>
  <c r="S1013" i="1" s="1"/>
  <c r="S1014" i="1" s="1"/>
  <c r="S1015" i="1" s="1"/>
  <c r="S1016" i="1" s="1"/>
  <c r="S1017" i="1" s="1"/>
  <c r="S1018" i="1" s="1"/>
  <c r="S1019" i="1" s="1"/>
  <c r="S1020" i="1" s="1"/>
  <c r="S1021" i="1" s="1"/>
  <c r="S1022" i="1" s="1"/>
  <c r="S1023" i="1" s="1"/>
  <c r="S1024" i="1" s="1"/>
  <c r="S1025" i="1" s="1"/>
  <c r="S1026" i="1" s="1"/>
  <c r="S1027" i="1" s="1"/>
  <c r="S1028" i="1" s="1"/>
  <c r="S1029" i="1" s="1"/>
  <c r="S1030" i="1" s="1"/>
  <c r="S1031" i="1" s="1"/>
  <c r="S1032" i="1" s="1"/>
  <c r="S1033" i="1" s="1"/>
  <c r="S1034" i="1" s="1"/>
  <c r="S1035" i="1" s="1"/>
  <c r="S1036" i="1" s="1"/>
  <c r="S1037" i="1" s="1"/>
  <c r="S1038" i="1" s="1"/>
  <c r="S1039" i="1" s="1"/>
  <c r="S1040" i="1" s="1"/>
  <c r="S1041" i="1" s="1"/>
  <c r="S1042" i="1" s="1"/>
  <c r="S1043" i="1" s="1"/>
  <c r="S1044" i="1" s="1"/>
  <c r="S1045" i="1" s="1"/>
  <c r="S1046" i="1" s="1"/>
  <c r="S1047" i="1" s="1"/>
  <c r="S1048" i="1" s="1"/>
  <c r="S1049" i="1" s="1"/>
  <c r="S1050" i="1" s="1"/>
  <c r="S1051" i="1" s="1"/>
  <c r="S1052" i="1" s="1"/>
  <c r="S1053" i="1" s="1"/>
  <c r="S1054" i="1" s="1"/>
  <c r="S1055" i="1" s="1"/>
  <c r="S1056" i="1" s="1"/>
  <c r="S1057" i="1" s="1"/>
  <c r="S1058" i="1" s="1"/>
  <c r="S1059" i="1" s="1"/>
  <c r="S1060" i="1" s="1"/>
  <c r="S1061" i="1" s="1"/>
  <c r="S1062" i="1" s="1"/>
  <c r="S1063" i="1" s="1"/>
  <c r="S1064" i="1" s="1"/>
  <c r="S1065" i="1" s="1"/>
  <c r="S1066" i="1" s="1"/>
  <c r="S1067" i="1" s="1"/>
  <c r="S1068" i="1" s="1"/>
  <c r="S1069" i="1" s="1"/>
  <c r="S1070" i="1" s="1"/>
  <c r="S1071" i="1" s="1"/>
  <c r="S1072" i="1" s="1"/>
  <c r="S1073" i="1" s="1"/>
  <c r="S1074" i="1" s="1"/>
  <c r="S1075" i="1" s="1"/>
  <c r="S1076" i="1" s="1"/>
  <c r="S1077" i="1" s="1"/>
  <c r="S1078" i="1" s="1"/>
  <c r="S1079" i="1" s="1"/>
  <c r="S1080" i="1" s="1"/>
  <c r="S1081" i="1" s="1"/>
  <c r="S1082" i="1" s="1"/>
  <c r="S1083" i="1" s="1"/>
  <c r="S1084" i="1" s="1"/>
  <c r="S1085" i="1" s="1"/>
  <c r="S1086" i="1" s="1"/>
  <c r="S1087" i="1" s="1"/>
  <c r="S1088" i="1" s="1"/>
  <c r="S1089" i="1" s="1"/>
  <c r="S1090" i="1" s="1"/>
  <c r="S1091" i="1" s="1"/>
  <c r="S1092" i="1" s="1"/>
  <c r="S1093" i="1" s="1"/>
  <c r="S1094" i="1" s="1"/>
  <c r="S1095" i="1" s="1"/>
  <c r="S1096" i="1" s="1"/>
  <c r="S1097" i="1" s="1"/>
  <c r="S1098" i="1" s="1"/>
  <c r="S1099" i="1" s="1"/>
  <c r="S1100" i="1" s="1"/>
  <c r="S1101" i="1" s="1"/>
  <c r="S1102" i="1" s="1"/>
  <c r="S1103" i="1" s="1"/>
  <c r="S1104" i="1" s="1"/>
  <c r="S1105" i="1" s="1"/>
  <c r="S1106" i="1" s="1"/>
  <c r="S1107" i="1" s="1"/>
  <c r="S1108" i="1" s="1"/>
  <c r="S1109" i="1" s="1"/>
  <c r="S1110" i="1" s="1"/>
  <c r="S1111" i="1" s="1"/>
  <c r="S1112" i="1" s="1"/>
  <c r="S1113" i="1" s="1"/>
  <c r="S1114" i="1" s="1"/>
  <c r="S1115" i="1" s="1"/>
  <c r="S1116" i="1" s="1"/>
  <c r="S1117" i="1" s="1"/>
  <c r="S1118" i="1" s="1"/>
  <c r="S1119" i="1" s="1"/>
  <c r="S1120" i="1" s="1"/>
  <c r="S1121" i="1" s="1"/>
  <c r="S1122" i="1" s="1"/>
  <c r="S1123" i="1" s="1"/>
  <c r="S1124" i="1" s="1"/>
  <c r="S1125" i="1" s="1"/>
  <c r="S1126" i="1" s="1"/>
  <c r="S1127" i="1" s="1"/>
  <c r="S1128" i="1" s="1"/>
  <c r="S1129" i="1" s="1"/>
  <c r="S1130" i="1" s="1"/>
  <c r="S1131" i="1" s="1"/>
  <c r="S1132" i="1" s="1"/>
  <c r="S1133" i="1" s="1"/>
  <c r="S1134" i="1" s="1"/>
  <c r="S1135" i="1" s="1"/>
  <c r="S1136" i="1" s="1"/>
  <c r="S1137" i="1" s="1"/>
  <c r="S1138" i="1" s="1"/>
  <c r="S1139" i="1" s="1"/>
  <c r="S1140" i="1" s="1"/>
  <c r="S1141" i="1" s="1"/>
  <c r="S1142" i="1" s="1"/>
  <c r="S1143" i="1" s="1"/>
  <c r="S1144" i="1" s="1"/>
  <c r="S1145" i="1" s="1"/>
  <c r="S1146" i="1" s="1"/>
  <c r="S1147" i="1" s="1"/>
  <c r="S1148" i="1" s="1"/>
  <c r="S1149" i="1" s="1"/>
  <c r="S1150" i="1" s="1"/>
  <c r="S1151" i="1" s="1"/>
  <c r="S1152" i="1" s="1"/>
  <c r="S1153" i="1" s="1"/>
  <c r="S1154" i="1" s="1"/>
  <c r="S1155" i="1" s="1"/>
  <c r="S1156" i="1" s="1"/>
  <c r="S1157" i="1" s="1"/>
  <c r="S1158" i="1" s="1"/>
  <c r="S1159" i="1" s="1"/>
  <c r="S1160" i="1" s="1"/>
  <c r="S1161" i="1" s="1"/>
  <c r="S1162" i="1" s="1"/>
  <c r="S1163" i="1" s="1"/>
  <c r="S1164" i="1" s="1"/>
  <c r="S1165" i="1" s="1"/>
  <c r="S1166" i="1" s="1"/>
  <c r="S1167" i="1" s="1"/>
  <c r="S1168" i="1" s="1"/>
  <c r="S1169" i="1" s="1"/>
  <c r="S1170" i="1" s="1"/>
  <c r="S1171" i="1" s="1"/>
  <c r="S1172" i="1" s="1"/>
  <c r="S1173" i="1" s="1"/>
  <c r="S1174" i="1" s="1"/>
  <c r="S1175" i="1" s="1"/>
  <c r="S1176" i="1" s="1"/>
  <c r="S1177" i="1" s="1"/>
  <c r="S1178" i="1" s="1"/>
  <c r="S1179" i="1" s="1"/>
  <c r="S1180" i="1" s="1"/>
  <c r="S1181" i="1" s="1"/>
  <c r="S1182" i="1" s="1"/>
  <c r="S1183" i="1" s="1"/>
  <c r="S1184" i="1" s="1"/>
  <c r="S1185" i="1" s="1"/>
  <c r="S1186" i="1" s="1"/>
  <c r="S1187" i="1" s="1"/>
  <c r="S1188" i="1" s="1"/>
  <c r="S1189" i="1" s="1"/>
  <c r="S1190" i="1" s="1"/>
  <c r="S1191" i="1" s="1"/>
  <c r="S1192" i="1" s="1"/>
  <c r="S1193" i="1" s="1"/>
  <c r="S1194" i="1" s="1"/>
  <c r="S1195" i="1" s="1"/>
  <c r="S1196" i="1" s="1"/>
  <c r="S1197" i="1" s="1"/>
  <c r="S1198" i="1" s="1"/>
  <c r="S1199" i="1" s="1"/>
  <c r="S1200" i="1" s="1"/>
  <c r="S1201" i="1" s="1"/>
  <c r="S1202" i="1" s="1"/>
  <c r="S1203" i="1" s="1"/>
  <c r="S1204" i="1" s="1"/>
  <c r="S1205" i="1" s="1"/>
  <c r="S1206" i="1" s="1"/>
  <c r="S1207" i="1" s="1"/>
  <c r="S1208" i="1" s="1"/>
  <c r="S1209" i="1" s="1"/>
  <c r="S1210" i="1" s="1"/>
  <c r="S1211" i="1" s="1"/>
  <c r="S1212" i="1" s="1"/>
  <c r="S1213" i="1" s="1"/>
  <c r="S1214" i="1" s="1"/>
  <c r="S1215" i="1" s="1"/>
  <c r="S1216" i="1" s="1"/>
  <c r="S1217" i="1" s="1"/>
  <c r="S1218" i="1" s="1"/>
  <c r="S1219" i="1" s="1"/>
  <c r="S1220" i="1" s="1"/>
  <c r="S1221" i="1" s="1"/>
  <c r="S1222" i="1" s="1"/>
  <c r="S1223" i="1" s="1"/>
  <c r="S1224" i="1" s="1"/>
  <c r="S1225" i="1" s="1"/>
  <c r="S1226" i="1" s="1"/>
  <c r="S1227" i="1" s="1"/>
  <c r="S1228" i="1" s="1"/>
  <c r="S1229" i="1" s="1"/>
  <c r="S1230" i="1" s="1"/>
  <c r="S1231" i="1" s="1"/>
  <c r="S1232" i="1" s="1"/>
  <c r="S1233" i="1" s="1"/>
  <c r="S1234" i="1" s="1"/>
  <c r="S1235" i="1" s="1"/>
  <c r="S1236" i="1" s="1"/>
  <c r="S1237" i="1" s="1"/>
  <c r="S1238" i="1" s="1"/>
  <c r="S1239" i="1" s="1"/>
  <c r="S1240" i="1" s="1"/>
  <c r="S1241" i="1" s="1"/>
  <c r="S1242" i="1" s="1"/>
  <c r="S1243" i="1" s="1"/>
  <c r="S1244" i="1" s="1"/>
  <c r="S1245" i="1" s="1"/>
  <c r="S1246" i="1" s="1"/>
  <c r="S1247" i="1" s="1"/>
  <c r="S1248" i="1" s="1"/>
  <c r="S1249" i="1" s="1"/>
  <c r="S1250" i="1" s="1"/>
  <c r="S1251" i="1" s="1"/>
  <c r="S1252" i="1" s="1"/>
  <c r="S1253" i="1" s="1"/>
  <c r="S1254" i="1" s="1"/>
  <c r="S1255" i="1" s="1"/>
  <c r="S1256" i="1" s="1"/>
  <c r="S1257" i="1" s="1"/>
  <c r="S1258" i="1" s="1"/>
  <c r="S1259" i="1" s="1"/>
  <c r="S1260" i="1" s="1"/>
  <c r="S1261" i="1" s="1"/>
  <c r="S1262" i="1" s="1"/>
  <c r="S1263" i="1" s="1"/>
  <c r="S1264" i="1" s="1"/>
  <c r="S1265" i="1" s="1"/>
  <c r="S1266" i="1" s="1"/>
  <c r="S1267" i="1" s="1"/>
  <c r="S1268" i="1" s="1"/>
  <c r="S1269" i="1" s="1"/>
  <c r="S1270" i="1" s="1"/>
  <c r="S1271" i="1" s="1"/>
  <c r="S1272" i="1" s="1"/>
  <c r="S1273" i="1" s="1"/>
  <c r="S1274" i="1" s="1"/>
  <c r="S1275" i="1" s="1"/>
  <c r="S1276" i="1" s="1"/>
  <c r="S1277" i="1" s="1"/>
  <c r="S1278" i="1" s="1"/>
  <c r="S1279" i="1" s="1"/>
  <c r="S1280" i="1" s="1"/>
  <c r="S1281" i="1" s="1"/>
  <c r="S1282" i="1" s="1"/>
  <c r="S1283" i="1" s="1"/>
  <c r="S1284" i="1" s="1"/>
  <c r="S1285" i="1" s="1"/>
  <c r="S1286" i="1" s="1"/>
  <c r="S1287" i="1" s="1"/>
  <c r="S1288" i="1" s="1"/>
  <c r="S1289" i="1" s="1"/>
  <c r="S1290" i="1" s="1"/>
  <c r="S1291" i="1" s="1"/>
  <c r="S1292" i="1" s="1"/>
  <c r="S1293" i="1" s="1"/>
  <c r="S1294" i="1" s="1"/>
  <c r="S1295" i="1" s="1"/>
  <c r="S1296" i="1" s="1"/>
  <c r="S1297" i="1" s="1"/>
  <c r="S1298" i="1" s="1"/>
  <c r="S1299" i="1" s="1"/>
  <c r="S1300" i="1" s="1"/>
  <c r="S1301" i="1" s="1"/>
  <c r="S1302" i="1" s="1"/>
  <c r="S1303" i="1" s="1"/>
  <c r="S1304" i="1" s="1"/>
  <c r="S1305" i="1" s="1"/>
  <c r="S1306" i="1" s="1"/>
  <c r="S1307" i="1" s="1"/>
  <c r="S1308" i="1" s="1"/>
  <c r="S1309" i="1" s="1"/>
  <c r="S1310" i="1" s="1"/>
  <c r="S1311" i="1" s="1"/>
  <c r="S1312" i="1" s="1"/>
  <c r="S1313" i="1" s="1"/>
  <c r="S1314" i="1" s="1"/>
  <c r="S1315" i="1" s="1"/>
  <c r="S1316" i="1" s="1"/>
  <c r="S1317" i="1" s="1"/>
  <c r="S1318" i="1" s="1"/>
  <c r="S1319" i="1" s="1"/>
  <c r="S1320" i="1" s="1"/>
  <c r="S1321" i="1" s="1"/>
  <c r="S1322" i="1" s="1"/>
  <c r="S1323" i="1" s="1"/>
  <c r="S1324" i="1" s="1"/>
  <c r="S1325" i="1" s="1"/>
  <c r="S1326" i="1" s="1"/>
  <c r="S1327" i="1" s="1"/>
  <c r="S1328" i="1" s="1"/>
  <c r="S1329" i="1" s="1"/>
  <c r="S1330" i="1" s="1"/>
  <c r="S1331" i="1" s="1"/>
  <c r="S1332" i="1" s="1"/>
  <c r="S1333" i="1" s="1"/>
  <c r="S1334" i="1" s="1"/>
  <c r="S1335" i="1" s="1"/>
  <c r="S1336" i="1" s="1"/>
  <c r="S1337" i="1" s="1"/>
  <c r="S1338" i="1" s="1"/>
  <c r="S1339" i="1" s="1"/>
  <c r="S1340" i="1" s="1"/>
  <c r="S1341" i="1" s="1"/>
  <c r="S1342" i="1" s="1"/>
  <c r="S1343" i="1" s="1"/>
  <c r="S1344" i="1" s="1"/>
  <c r="S1345" i="1" s="1"/>
  <c r="S1346" i="1" s="1"/>
  <c r="S1347" i="1" s="1"/>
  <c r="S1348" i="1" s="1"/>
  <c r="S1349" i="1" s="1"/>
  <c r="S1350" i="1" s="1"/>
  <c r="S1351" i="1" s="1"/>
  <c r="S1352" i="1" s="1"/>
  <c r="S1353" i="1" s="1"/>
  <c r="S1354" i="1" s="1"/>
  <c r="S1355" i="1" s="1"/>
  <c r="S1356" i="1" s="1"/>
  <c r="S1357" i="1" s="1"/>
  <c r="S1358" i="1" s="1"/>
  <c r="S1359" i="1" s="1"/>
  <c r="S1360" i="1" s="1"/>
  <c r="S1361" i="1" s="1"/>
  <c r="S1362" i="1" s="1"/>
  <c r="S1363" i="1" s="1"/>
  <c r="S1364" i="1" s="1"/>
  <c r="S1365" i="1" s="1"/>
  <c r="S1366" i="1" s="1"/>
  <c r="S1367" i="1" s="1"/>
  <c r="S1368" i="1" s="1"/>
  <c r="S1369" i="1" s="1"/>
  <c r="S1370" i="1" s="1"/>
  <c r="S1371" i="1" s="1"/>
  <c r="S1372" i="1" s="1"/>
  <c r="S1373" i="1" s="1"/>
  <c r="S1374" i="1" s="1"/>
  <c r="S1375" i="1" s="1"/>
  <c r="S1376" i="1" s="1"/>
  <c r="S1377" i="1" s="1"/>
  <c r="S1378" i="1" s="1"/>
  <c r="S1379" i="1" s="1"/>
  <c r="S1380" i="1" s="1"/>
  <c r="S1381" i="1" s="1"/>
  <c r="S1382" i="1" s="1"/>
  <c r="S1383" i="1" s="1"/>
  <c r="S1384" i="1" s="1"/>
  <c r="S1385" i="1" s="1"/>
  <c r="S1386" i="1" s="1"/>
  <c r="S1387" i="1" s="1"/>
  <c r="S1388" i="1" s="1"/>
  <c r="S1389" i="1" s="1"/>
  <c r="S1390" i="1" s="1"/>
  <c r="S1391" i="1" s="1"/>
  <c r="S1392" i="1" s="1"/>
  <c r="S1393" i="1" s="1"/>
  <c r="S1394" i="1" s="1"/>
  <c r="S1395" i="1" s="1"/>
  <c r="S1396" i="1" s="1"/>
  <c r="S1397" i="1" s="1"/>
  <c r="S1398" i="1" s="1"/>
  <c r="S1399" i="1" s="1"/>
  <c r="S1400" i="1" s="1"/>
  <c r="S1401" i="1" s="1"/>
  <c r="S1402" i="1" s="1"/>
  <c r="S1403" i="1" s="1"/>
  <c r="S1404" i="1" s="1"/>
  <c r="S1405" i="1" s="1"/>
  <c r="S1406" i="1" s="1"/>
  <c r="S1407" i="1" s="1"/>
  <c r="S1408" i="1" s="1"/>
  <c r="S1409" i="1" s="1"/>
  <c r="S1410" i="1" s="1"/>
  <c r="S1411" i="1" s="1"/>
  <c r="S1412" i="1" s="1"/>
  <c r="S1413" i="1" s="1"/>
  <c r="S1414" i="1" s="1"/>
  <c r="S1415" i="1" s="1"/>
  <c r="S1416" i="1" s="1"/>
  <c r="S1417" i="1" s="1"/>
  <c r="S1418" i="1" s="1"/>
  <c r="S1419" i="1" s="1"/>
  <c r="S1420" i="1" s="1"/>
  <c r="S1421" i="1" s="1"/>
  <c r="S1422" i="1" s="1"/>
  <c r="S1423" i="1" s="1"/>
  <c r="S1424" i="1" s="1"/>
  <c r="S1425" i="1" s="1"/>
  <c r="S1426" i="1" s="1"/>
  <c r="S1427" i="1" s="1"/>
  <c r="S1428" i="1" s="1"/>
  <c r="S1429" i="1" s="1"/>
  <c r="S1430" i="1" s="1"/>
  <c r="S1431" i="1" s="1"/>
  <c r="S1432" i="1" s="1"/>
  <c r="S1433" i="1" s="1"/>
  <c r="S1434" i="1" s="1"/>
  <c r="S1435" i="1" s="1"/>
  <c r="S1436" i="1" s="1"/>
  <c r="S1437" i="1" s="1"/>
  <c r="S1438" i="1" s="1"/>
  <c r="S1439" i="1" s="1"/>
  <c r="S1440" i="1" s="1"/>
  <c r="S1441" i="1" s="1"/>
  <c r="S1442" i="1" s="1"/>
  <c r="S1443" i="1" s="1"/>
  <c r="S1444" i="1" s="1"/>
  <c r="S1445" i="1" s="1"/>
  <c r="S1446" i="1" s="1"/>
  <c r="S1447" i="1" s="1"/>
  <c r="S1448" i="1" s="1"/>
  <c r="S1449" i="1" s="1"/>
  <c r="S1450" i="1" s="1"/>
  <c r="S1451" i="1" s="1"/>
  <c r="S1452" i="1" s="1"/>
  <c r="S1453" i="1" s="1"/>
  <c r="S1454" i="1" s="1"/>
  <c r="S1455" i="1" s="1"/>
  <c r="S1456" i="1" s="1"/>
  <c r="S1457" i="1" s="1"/>
  <c r="S1458" i="1" s="1"/>
  <c r="S1459" i="1" s="1"/>
  <c r="S1460" i="1" s="1"/>
  <c r="S1461" i="1" s="1"/>
  <c r="S1462" i="1" s="1"/>
  <c r="S1463" i="1" s="1"/>
  <c r="S1464" i="1" s="1"/>
  <c r="S1465" i="1" s="1"/>
  <c r="S1466" i="1" s="1"/>
  <c r="S1467" i="1" s="1"/>
  <c r="S1468" i="1" s="1"/>
  <c r="S1469" i="1" s="1"/>
  <c r="S1470" i="1" s="1"/>
  <c r="S1471" i="1" s="1"/>
  <c r="S1472" i="1" s="1"/>
  <c r="S1473" i="1" s="1"/>
  <c r="S1474" i="1" s="1"/>
  <c r="S1475" i="1" s="1"/>
  <c r="S1476" i="1" s="1"/>
  <c r="S1477" i="1" s="1"/>
  <c r="S1478" i="1" s="1"/>
  <c r="S1479" i="1" s="1"/>
  <c r="S1480" i="1" s="1"/>
  <c r="S1481" i="1" s="1"/>
  <c r="S1482" i="1" s="1"/>
  <c r="S1483" i="1" s="1"/>
  <c r="S1484" i="1" s="1"/>
  <c r="S1485" i="1" s="1"/>
  <c r="S1486" i="1" s="1"/>
  <c r="S1487" i="1" s="1"/>
  <c r="S1488" i="1" s="1"/>
  <c r="S1489" i="1" s="1"/>
  <c r="S1490" i="1" s="1"/>
  <c r="S1491" i="1" s="1"/>
  <c r="S1492" i="1" s="1"/>
  <c r="S1493" i="1" s="1"/>
  <c r="S1494" i="1" s="1"/>
  <c r="S1495" i="1" s="1"/>
  <c r="S1496" i="1" s="1"/>
  <c r="S1497" i="1" s="1"/>
  <c r="S1498" i="1" s="1"/>
  <c r="S1499" i="1" s="1"/>
  <c r="S1500" i="1" s="1"/>
  <c r="S1501" i="1" s="1"/>
  <c r="S1502" i="1" s="1"/>
  <c r="S1503" i="1" s="1"/>
  <c r="S1504" i="1" s="1"/>
  <c r="S1505" i="1" s="1"/>
  <c r="S1506" i="1" s="1"/>
  <c r="S1507" i="1" s="1"/>
  <c r="S1508" i="1" s="1"/>
  <c r="S1509" i="1" s="1"/>
  <c r="S1510" i="1" s="1"/>
  <c r="S1511" i="1" s="1"/>
  <c r="S1512" i="1" s="1"/>
  <c r="S1513" i="1" s="1"/>
  <c r="S1514" i="1" s="1"/>
  <c r="S1515" i="1" s="1"/>
  <c r="S1516" i="1" s="1"/>
  <c r="S1517" i="1" s="1"/>
  <c r="S1518" i="1" s="1"/>
  <c r="S1519" i="1" s="1"/>
  <c r="S1520" i="1" s="1"/>
  <c r="S1521" i="1" s="1"/>
  <c r="S1522" i="1" s="1"/>
  <c r="S1523" i="1" s="1"/>
  <c r="S1524" i="1" s="1"/>
  <c r="S1525" i="1" s="1"/>
  <c r="S1526" i="1" s="1"/>
  <c r="S1527" i="1" s="1"/>
  <c r="S1528" i="1" s="1"/>
  <c r="S1529" i="1" s="1"/>
  <c r="S1530" i="1" s="1"/>
  <c r="S1531" i="1" s="1"/>
  <c r="S1532" i="1" s="1"/>
  <c r="S1533" i="1" s="1"/>
  <c r="S1534" i="1" s="1"/>
  <c r="S1535" i="1" s="1"/>
  <c r="S1536" i="1" s="1"/>
  <c r="S1537" i="1" s="1"/>
  <c r="S1538" i="1" s="1"/>
  <c r="S1539" i="1" s="1"/>
  <c r="S1540" i="1" s="1"/>
  <c r="S1541" i="1" s="1"/>
  <c r="S1542" i="1" s="1"/>
  <c r="S1543" i="1" s="1"/>
  <c r="S1544" i="1" s="1"/>
  <c r="S1545" i="1" s="1"/>
  <c r="S1546" i="1" s="1"/>
  <c r="S1547" i="1" s="1"/>
  <c r="S1548" i="1" s="1"/>
  <c r="S1549" i="1" s="1"/>
  <c r="S1550" i="1" s="1"/>
  <c r="S1551" i="1" s="1"/>
  <c r="S1552" i="1" s="1"/>
  <c r="S1553" i="1" s="1"/>
  <c r="S1554" i="1" s="1"/>
  <c r="S1555" i="1" s="1"/>
  <c r="S1556" i="1" s="1"/>
  <c r="S1557" i="1" s="1"/>
  <c r="S1558" i="1" s="1"/>
  <c r="S1559" i="1" s="1"/>
  <c r="S1560" i="1" s="1"/>
  <c r="S1561" i="1" s="1"/>
  <c r="S1562" i="1" s="1"/>
  <c r="S1563" i="1" s="1"/>
  <c r="S1564" i="1" s="1"/>
  <c r="S1565" i="1" s="1"/>
  <c r="S1566" i="1" s="1"/>
  <c r="S1567" i="1" s="1"/>
  <c r="S1568" i="1" s="1"/>
  <c r="S1569" i="1" s="1"/>
  <c r="S1570" i="1" s="1"/>
  <c r="S1571" i="1" s="1"/>
  <c r="S1572" i="1" s="1"/>
  <c r="S1573" i="1" s="1"/>
  <c r="S1574" i="1" s="1"/>
  <c r="S1575" i="1" s="1"/>
  <c r="S1576" i="1" s="1"/>
  <c r="S1577" i="1" s="1"/>
  <c r="S1578" i="1" s="1"/>
  <c r="S1579" i="1" s="1"/>
  <c r="S1580" i="1" s="1"/>
  <c r="S1581" i="1" s="1"/>
  <c r="S1582" i="1" s="1"/>
  <c r="S1583" i="1" s="1"/>
  <c r="S1584" i="1" s="1"/>
  <c r="S1585" i="1" s="1"/>
  <c r="S1586" i="1" s="1"/>
  <c r="S1587" i="1" s="1"/>
  <c r="S1588" i="1" s="1"/>
  <c r="S1589" i="1" s="1"/>
  <c r="S1590" i="1" s="1"/>
  <c r="S1591" i="1" s="1"/>
  <c r="S1592" i="1" s="1"/>
  <c r="S1593" i="1" s="1"/>
  <c r="S1594" i="1" s="1"/>
  <c r="S1595" i="1" s="1"/>
  <c r="S1596" i="1" s="1"/>
  <c r="S1597" i="1" s="1"/>
  <c r="S1598" i="1" s="1"/>
  <c r="S1599" i="1" s="1"/>
  <c r="S1600" i="1" s="1"/>
  <c r="S1601" i="1" s="1"/>
  <c r="S1602" i="1" s="1"/>
  <c r="S1603" i="1" s="1"/>
  <c r="S1604" i="1" s="1"/>
  <c r="S1605" i="1" s="1"/>
  <c r="S1606" i="1" s="1"/>
  <c r="S1607" i="1" s="1"/>
  <c r="S1608" i="1" s="1"/>
  <c r="S1609" i="1" s="1"/>
  <c r="S1610" i="1" s="1"/>
  <c r="S1611" i="1" s="1"/>
  <c r="S1612" i="1" s="1"/>
  <c r="S1613" i="1" s="1"/>
  <c r="S1614" i="1" s="1"/>
  <c r="S1615" i="1" s="1"/>
  <c r="S1616" i="1" s="1"/>
  <c r="S1617" i="1" s="1"/>
  <c r="S1618" i="1" s="1"/>
  <c r="S1619" i="1" s="1"/>
  <c r="S1620" i="1" s="1"/>
  <c r="S1621" i="1" s="1"/>
  <c r="S1622" i="1" s="1"/>
  <c r="S1623" i="1" s="1"/>
  <c r="S1624" i="1" s="1"/>
  <c r="S1625" i="1" s="1"/>
  <c r="S1626" i="1" s="1"/>
  <c r="S1627" i="1" s="1"/>
  <c r="S1628" i="1" s="1"/>
  <c r="S1629" i="1" s="1"/>
  <c r="S1630" i="1" s="1"/>
  <c r="S1631" i="1" s="1"/>
  <c r="S1632" i="1" s="1"/>
  <c r="S1633" i="1" s="1"/>
  <c r="S1634" i="1" s="1"/>
  <c r="S1635" i="1" s="1"/>
  <c r="S1636" i="1" s="1"/>
  <c r="S1637" i="1" s="1"/>
  <c r="S1638" i="1" s="1"/>
  <c r="S1639" i="1" s="1"/>
  <c r="S1640" i="1" s="1"/>
  <c r="S1641" i="1" s="1"/>
  <c r="S1642" i="1" s="1"/>
  <c r="S1643" i="1" s="1"/>
  <c r="S1644" i="1" s="1"/>
  <c r="S1645" i="1" s="1"/>
  <c r="S1646" i="1" s="1"/>
  <c r="S1647" i="1" s="1"/>
  <c r="S1648" i="1" s="1"/>
  <c r="S1649" i="1" s="1"/>
  <c r="S1650" i="1" s="1"/>
  <c r="S1651" i="1" s="1"/>
  <c r="S1652" i="1" s="1"/>
  <c r="S1653" i="1" s="1"/>
  <c r="S1654" i="1" s="1"/>
  <c r="S1655" i="1" s="1"/>
  <c r="S1656" i="1" s="1"/>
  <c r="S1657" i="1" s="1"/>
  <c r="S1658" i="1" s="1"/>
  <c r="S1659" i="1" s="1"/>
  <c r="S1660" i="1" s="1"/>
  <c r="S1661" i="1" s="1"/>
  <c r="S1662" i="1" s="1"/>
  <c r="S1663" i="1" s="1"/>
  <c r="S1664" i="1" s="1"/>
  <c r="S1665" i="1" s="1"/>
  <c r="S1666" i="1" s="1"/>
  <c r="S1667" i="1" s="1"/>
  <c r="S1668" i="1" s="1"/>
  <c r="S1669" i="1" s="1"/>
  <c r="S1670" i="1" s="1"/>
  <c r="S1671" i="1" s="1"/>
  <c r="S1672" i="1" s="1"/>
  <c r="S1673" i="1" s="1"/>
  <c r="S1674" i="1" s="1"/>
  <c r="S1675" i="1" s="1"/>
  <c r="S1676" i="1" s="1"/>
  <c r="S1677" i="1" s="1"/>
  <c r="S1678" i="1" s="1"/>
  <c r="S1679" i="1" s="1"/>
  <c r="S1680" i="1" s="1"/>
  <c r="S1681" i="1" s="1"/>
  <c r="S1682" i="1" s="1"/>
  <c r="S1683" i="1" s="1"/>
  <c r="S1684" i="1" s="1"/>
  <c r="S1685" i="1" s="1"/>
  <c r="S1686" i="1" s="1"/>
  <c r="S1687" i="1" s="1"/>
  <c r="S1688" i="1" s="1"/>
  <c r="S1689" i="1" s="1"/>
  <c r="S1690" i="1" s="1"/>
  <c r="S1691" i="1" s="1"/>
  <c r="S1692" i="1" s="1"/>
  <c r="S1693" i="1" s="1"/>
  <c r="S1694" i="1" s="1"/>
  <c r="S1695" i="1" s="1"/>
  <c r="S1696" i="1" s="1"/>
  <c r="S1697" i="1" s="1"/>
  <c r="S1698" i="1" s="1"/>
  <c r="S1699" i="1" s="1"/>
  <c r="S1700" i="1" s="1"/>
  <c r="S1701" i="1" s="1"/>
  <c r="S1702" i="1" s="1"/>
  <c r="S1703" i="1" s="1"/>
  <c r="S1704" i="1" s="1"/>
  <c r="S1705" i="1" s="1"/>
  <c r="S1706" i="1" s="1"/>
  <c r="S1707" i="1" s="1"/>
  <c r="S1708" i="1" s="1"/>
  <c r="S1709" i="1" s="1"/>
  <c r="S1710" i="1" s="1"/>
  <c r="S1711" i="1" s="1"/>
  <c r="S1712" i="1" s="1"/>
  <c r="S1713" i="1" s="1"/>
  <c r="S1714" i="1" s="1"/>
  <c r="S1715" i="1" s="1"/>
  <c r="S1716" i="1" s="1"/>
  <c r="S1717" i="1" s="1"/>
  <c r="S1718" i="1" s="1"/>
  <c r="S1719" i="1" s="1"/>
  <c r="S1720" i="1" s="1"/>
  <c r="S1721" i="1" s="1"/>
  <c r="S1722" i="1" s="1"/>
  <c r="S1723" i="1" s="1"/>
  <c r="S1724" i="1" s="1"/>
  <c r="S1725" i="1" s="1"/>
  <c r="S1726" i="1" s="1"/>
  <c r="S1727" i="1" s="1"/>
  <c r="S1728" i="1" s="1"/>
  <c r="S1729" i="1" s="1"/>
  <c r="S1730" i="1" s="1"/>
  <c r="S1731" i="1" s="1"/>
  <c r="S1732" i="1" s="1"/>
  <c r="S1733" i="1" s="1"/>
  <c r="S1734" i="1" s="1"/>
  <c r="S1735" i="1" s="1"/>
  <c r="S1736" i="1" s="1"/>
  <c r="S1737" i="1" s="1"/>
  <c r="S1738" i="1" s="1"/>
  <c r="S1739" i="1" s="1"/>
  <c r="S1740" i="1" s="1"/>
  <c r="S1741" i="1" s="1"/>
  <c r="S1742" i="1" s="1"/>
  <c r="S1743" i="1" s="1"/>
  <c r="S1744" i="1" s="1"/>
  <c r="S1745" i="1" s="1"/>
  <c r="S1746" i="1" s="1"/>
  <c r="S1747" i="1" s="1"/>
  <c r="S1748" i="1" s="1"/>
  <c r="S1749" i="1" s="1"/>
  <c r="S1750" i="1" s="1"/>
  <c r="S1751" i="1" s="1"/>
  <c r="S1752" i="1" s="1"/>
  <c r="S1753" i="1" s="1"/>
  <c r="S1754" i="1" s="1"/>
  <c r="S1755" i="1" s="1"/>
  <c r="S1756" i="1" s="1"/>
  <c r="S1757" i="1" s="1"/>
  <c r="S1758" i="1" s="1"/>
  <c r="S1759" i="1" s="1"/>
  <c r="S1760" i="1" s="1"/>
  <c r="S1761" i="1" s="1"/>
  <c r="S1762" i="1" s="1"/>
  <c r="S1763" i="1" s="1"/>
  <c r="S1764" i="1" s="1"/>
  <c r="S1765" i="1" s="1"/>
  <c r="S1766" i="1" s="1"/>
  <c r="S1767" i="1" s="1"/>
  <c r="S1768" i="1" s="1"/>
  <c r="S1769" i="1" s="1"/>
  <c r="S1770" i="1" s="1"/>
  <c r="S1771" i="1" s="1"/>
  <c r="S1772" i="1" s="1"/>
  <c r="S1773" i="1" s="1"/>
  <c r="S1774" i="1" s="1"/>
  <c r="S1775" i="1" s="1"/>
  <c r="S1776" i="1" s="1"/>
  <c r="S1777" i="1" s="1"/>
  <c r="S1778" i="1" s="1"/>
  <c r="S1779" i="1" s="1"/>
  <c r="S1780" i="1" s="1"/>
  <c r="S1781" i="1" s="1"/>
  <c r="S1782" i="1" s="1"/>
  <c r="S1783" i="1" s="1"/>
  <c r="S1784" i="1" s="1"/>
  <c r="S1785" i="1" s="1"/>
  <c r="S1786" i="1" s="1"/>
  <c r="S1787" i="1" s="1"/>
  <c r="S1788" i="1" s="1"/>
  <c r="S1789" i="1" s="1"/>
  <c r="S1790" i="1" s="1"/>
  <c r="S1791" i="1" s="1"/>
  <c r="S1792" i="1" s="1"/>
  <c r="S1793" i="1" s="1"/>
  <c r="S1794" i="1" s="1"/>
  <c r="S1795" i="1" s="1"/>
  <c r="S1796" i="1" s="1"/>
  <c r="S1797" i="1" s="1"/>
  <c r="S1798" i="1" s="1"/>
  <c r="S1799" i="1" s="1"/>
  <c r="S1800" i="1" s="1"/>
  <c r="S1801" i="1" s="1"/>
  <c r="S1802" i="1" s="1"/>
  <c r="S1803" i="1" s="1"/>
  <c r="S1804" i="1" s="1"/>
  <c r="S1805" i="1" s="1"/>
  <c r="S1806" i="1" s="1"/>
  <c r="S1807" i="1" s="1"/>
  <c r="S1808" i="1" s="1"/>
  <c r="S1809" i="1" s="1"/>
  <c r="S1810" i="1" s="1"/>
  <c r="S1811" i="1" s="1"/>
  <c r="S1812" i="1" s="1"/>
  <c r="S1813" i="1" s="1"/>
  <c r="S1814" i="1" s="1"/>
  <c r="S1815" i="1" s="1"/>
  <c r="S1816" i="1" s="1"/>
  <c r="S1817" i="1" s="1"/>
  <c r="S1818" i="1" s="1"/>
  <c r="S1819" i="1" s="1"/>
  <c r="S1820" i="1" s="1"/>
  <c r="S1821" i="1" s="1"/>
  <c r="S1822" i="1" s="1"/>
  <c r="S1823" i="1" s="1"/>
  <c r="S1824" i="1" s="1"/>
  <c r="S1825" i="1" s="1"/>
  <c r="S1826" i="1" s="1"/>
  <c r="S1827" i="1" s="1"/>
  <c r="S1828" i="1" s="1"/>
  <c r="S1829" i="1" s="1"/>
  <c r="S1830" i="1" s="1"/>
  <c r="S1831" i="1" s="1"/>
  <c r="S1832" i="1" s="1"/>
  <c r="S1833" i="1" s="1"/>
  <c r="S1834" i="1" s="1"/>
  <c r="S1835" i="1" s="1"/>
  <c r="S1836" i="1" s="1"/>
  <c r="S1837" i="1" s="1"/>
  <c r="S1838" i="1" s="1"/>
  <c r="S1839" i="1" s="1"/>
  <c r="S1840" i="1" s="1"/>
  <c r="S1841" i="1" s="1"/>
  <c r="S1842" i="1" s="1"/>
  <c r="S1843" i="1" s="1"/>
  <c r="S1844" i="1" s="1"/>
  <c r="S1845" i="1" s="1"/>
  <c r="S1846" i="1" s="1"/>
  <c r="S1847" i="1" s="1"/>
  <c r="S1848" i="1" s="1"/>
  <c r="S1849" i="1" s="1"/>
  <c r="S1850" i="1" s="1"/>
  <c r="S1851" i="1" s="1"/>
  <c r="S1852" i="1" s="1"/>
  <c r="S1853" i="1" s="1"/>
  <c r="S1854" i="1" s="1"/>
  <c r="S1855" i="1" s="1"/>
  <c r="S1856" i="1" s="1"/>
  <c r="S1857" i="1" s="1"/>
  <c r="S1858" i="1" s="1"/>
  <c r="S1859" i="1" s="1"/>
  <c r="S1860" i="1" s="1"/>
  <c r="S1861" i="1" s="1"/>
  <c r="S1862" i="1" s="1"/>
  <c r="S1863" i="1" s="1"/>
  <c r="S1864" i="1" s="1"/>
  <c r="S1865" i="1" s="1"/>
  <c r="S1866" i="1" s="1"/>
  <c r="S1867" i="1" s="1"/>
  <c r="S1868" i="1" s="1"/>
  <c r="S1869" i="1" s="1"/>
  <c r="S1870" i="1" s="1"/>
  <c r="S1871" i="1" s="1"/>
  <c r="S1872" i="1" s="1"/>
  <c r="S1873" i="1" s="1"/>
  <c r="S1874" i="1" s="1"/>
  <c r="S1875" i="1" s="1"/>
  <c r="S1876" i="1" s="1"/>
  <c r="S1877" i="1" s="1"/>
  <c r="S1878" i="1" s="1"/>
  <c r="S1879" i="1" s="1"/>
  <c r="S1880" i="1" s="1"/>
  <c r="S1881" i="1" s="1"/>
  <c r="S1882" i="1" s="1"/>
  <c r="S1883" i="1" s="1"/>
  <c r="S1884" i="1" s="1"/>
  <c r="S1885" i="1" s="1"/>
  <c r="S1886" i="1" s="1"/>
  <c r="S1887" i="1" s="1"/>
  <c r="S1888" i="1" s="1"/>
  <c r="S1889" i="1" s="1"/>
  <c r="S1890" i="1" s="1"/>
  <c r="S1891" i="1" s="1"/>
  <c r="S1892" i="1" s="1"/>
  <c r="S1893" i="1" s="1"/>
  <c r="S1894" i="1" s="1"/>
  <c r="S1895" i="1" s="1"/>
  <c r="S1896" i="1" s="1"/>
  <c r="S1897" i="1" s="1"/>
  <c r="S1898" i="1" s="1"/>
  <c r="S1899" i="1" s="1"/>
  <c r="S1900" i="1" s="1"/>
  <c r="S1901" i="1" s="1"/>
  <c r="S1902" i="1" s="1"/>
  <c r="S1903" i="1" s="1"/>
  <c r="S1904" i="1" s="1"/>
  <c r="S1905" i="1" s="1"/>
  <c r="S1906" i="1" s="1"/>
  <c r="S1907" i="1" s="1"/>
  <c r="S1908" i="1" s="1"/>
  <c r="S1909" i="1" s="1"/>
  <c r="S1910" i="1" s="1"/>
  <c r="S1911" i="1" s="1"/>
  <c r="S1912" i="1" s="1"/>
  <c r="S1913" i="1" s="1"/>
  <c r="S1914" i="1" s="1"/>
  <c r="S1915" i="1" s="1"/>
  <c r="S1916" i="1" s="1"/>
  <c r="S1917" i="1" s="1"/>
  <c r="S1918" i="1" s="1"/>
  <c r="S1919" i="1" s="1"/>
  <c r="S1920" i="1" s="1"/>
  <c r="S1921" i="1" s="1"/>
  <c r="S1922" i="1" s="1"/>
  <c r="S1923" i="1" s="1"/>
  <c r="S1924" i="1" s="1"/>
  <c r="S1925" i="1" s="1"/>
  <c r="S1926" i="1" s="1"/>
  <c r="S1927" i="1" s="1"/>
  <c r="S1928" i="1" s="1"/>
  <c r="S1929" i="1" s="1"/>
  <c r="S1930" i="1" s="1"/>
  <c r="S1931" i="1" s="1"/>
  <c r="S1932" i="1" s="1"/>
  <c r="S1933" i="1" s="1"/>
  <c r="S1934" i="1" s="1"/>
  <c r="S1935" i="1" s="1"/>
  <c r="S1936" i="1" s="1"/>
  <c r="S1937" i="1" s="1"/>
  <c r="S1938" i="1" s="1"/>
  <c r="S1939" i="1" s="1"/>
  <c r="S1940" i="1" s="1"/>
  <c r="S1941" i="1" s="1"/>
  <c r="S1942" i="1" s="1"/>
  <c r="S1943" i="1" s="1"/>
  <c r="S1944" i="1" s="1"/>
  <c r="S1945" i="1" s="1"/>
  <c r="S1946" i="1" s="1"/>
  <c r="S1947" i="1" s="1"/>
  <c r="S1948" i="1" s="1"/>
  <c r="S1949" i="1" s="1"/>
  <c r="S1950" i="1" s="1"/>
  <c r="S1951" i="1" s="1"/>
  <c r="S1952" i="1" s="1"/>
  <c r="S1953" i="1" s="1"/>
  <c r="S1954" i="1" s="1"/>
  <c r="S1955" i="1" s="1"/>
  <c r="S1956" i="1" s="1"/>
  <c r="S1957" i="1" s="1"/>
  <c r="S1958" i="1" s="1"/>
  <c r="S1959" i="1" s="1"/>
  <c r="S1960" i="1" s="1"/>
  <c r="S1961" i="1" s="1"/>
  <c r="S1962" i="1" s="1"/>
  <c r="S1963" i="1" s="1"/>
  <c r="S1964" i="1" s="1"/>
  <c r="S1965" i="1" s="1"/>
  <c r="S1966" i="1" s="1"/>
  <c r="S1967" i="1" s="1"/>
  <c r="S1968" i="1" s="1"/>
  <c r="S1969" i="1" s="1"/>
  <c r="S1970" i="1" s="1"/>
  <c r="S1971" i="1" s="1"/>
  <c r="S1972" i="1" s="1"/>
  <c r="S1973" i="1" s="1"/>
  <c r="S1974" i="1" s="1"/>
  <c r="S1975" i="1" s="1"/>
  <c r="S1976" i="1" s="1"/>
  <c r="S1977" i="1" s="1"/>
  <c r="S1978" i="1" s="1"/>
  <c r="S1979" i="1" s="1"/>
  <c r="S1980" i="1" s="1"/>
  <c r="S1981" i="1" s="1"/>
  <c r="S1982" i="1" s="1"/>
  <c r="S1983" i="1" s="1"/>
  <c r="S1984" i="1" s="1"/>
  <c r="S1985" i="1" s="1"/>
  <c r="S1986" i="1" s="1"/>
  <c r="S1987" i="1" s="1"/>
  <c r="S1988" i="1" s="1"/>
  <c r="S1989" i="1" s="1"/>
  <c r="S1990" i="1" s="1"/>
  <c r="S1991" i="1" s="1"/>
  <c r="S1992" i="1" s="1"/>
  <c r="S1993" i="1" s="1"/>
  <c r="S1994" i="1" s="1"/>
  <c r="S1995" i="1" s="1"/>
  <c r="S1996" i="1" s="1"/>
  <c r="S1997" i="1" s="1"/>
  <c r="S1998" i="1" s="1"/>
  <c r="S1999" i="1" s="1"/>
  <c r="S2000" i="1" s="1"/>
  <c r="S2001" i="1" s="1"/>
  <c r="S2002" i="1" s="1"/>
  <c r="S2003" i="1" s="1"/>
  <c r="S2004" i="1" s="1"/>
  <c r="S2005" i="1" s="1"/>
  <c r="S2006" i="1" s="1"/>
  <c r="S2007" i="1" s="1"/>
  <c r="S2008" i="1" s="1"/>
  <c r="S2009" i="1" s="1"/>
  <c r="S2010" i="1" s="1"/>
  <c r="S2011" i="1" s="1"/>
  <c r="S2012" i="1" s="1"/>
  <c r="S2013" i="1" s="1"/>
  <c r="S2014" i="1" s="1"/>
  <c r="S2015" i="1" s="1"/>
  <c r="S2016" i="1" s="1"/>
  <c r="S2017" i="1" s="1"/>
  <c r="S2018" i="1" s="1"/>
  <c r="S2019" i="1" s="1"/>
  <c r="S2020" i="1" s="1"/>
  <c r="S2021" i="1" s="1"/>
  <c r="S2022" i="1" s="1"/>
  <c r="S2023" i="1" s="1"/>
  <c r="S2024" i="1" s="1"/>
  <c r="S2025" i="1" s="1"/>
  <c r="S2026" i="1" s="1"/>
  <c r="S2027" i="1" s="1"/>
  <c r="S2028" i="1" s="1"/>
  <c r="S2029" i="1" s="1"/>
  <c r="S2030" i="1" s="1"/>
  <c r="S2031" i="1" s="1"/>
  <c r="S2032" i="1" s="1"/>
  <c r="S2033" i="1" s="1"/>
  <c r="S2034" i="1" s="1"/>
  <c r="S2035" i="1" s="1"/>
  <c r="S2036" i="1" s="1"/>
  <c r="S2037" i="1" s="1"/>
  <c r="S2038" i="1" s="1"/>
  <c r="S2039" i="1" s="1"/>
  <c r="S2040" i="1" s="1"/>
  <c r="S2041" i="1" s="1"/>
  <c r="S2042" i="1" s="1"/>
  <c r="S2043" i="1" s="1"/>
  <c r="S2044" i="1" s="1"/>
  <c r="S2045" i="1" s="1"/>
  <c r="S2046" i="1" s="1"/>
  <c r="S2047" i="1" s="1"/>
  <c r="S2048" i="1" s="1"/>
  <c r="S2049" i="1" s="1"/>
  <c r="S2050" i="1" s="1"/>
  <c r="S2051" i="1" s="1"/>
  <c r="S2052" i="1" s="1"/>
  <c r="S2053" i="1" s="1"/>
  <c r="S2054" i="1" s="1"/>
  <c r="S2055" i="1" s="1"/>
  <c r="S2056" i="1" s="1"/>
  <c r="S2057" i="1" s="1"/>
  <c r="S2058" i="1" s="1"/>
  <c r="S2059" i="1" s="1"/>
  <c r="S2060" i="1" s="1"/>
  <c r="S2061" i="1" s="1"/>
  <c r="S2062" i="1" s="1"/>
  <c r="S2063" i="1" s="1"/>
  <c r="S2064" i="1" s="1"/>
  <c r="S2065" i="1" s="1"/>
  <c r="S2066" i="1" s="1"/>
  <c r="S2067" i="1" s="1"/>
  <c r="S2068" i="1" s="1"/>
  <c r="S2069" i="1" s="1"/>
  <c r="S2070" i="1" s="1"/>
  <c r="S2071" i="1" s="1"/>
  <c r="S2072" i="1" s="1"/>
  <c r="S2073" i="1" s="1"/>
  <c r="S2074" i="1" s="1"/>
  <c r="S2075" i="1" s="1"/>
  <c r="S2076" i="1" s="1"/>
  <c r="S2077" i="1" s="1"/>
  <c r="S2078" i="1" s="1"/>
  <c r="S2079" i="1" s="1"/>
  <c r="S2080" i="1" s="1"/>
  <c r="S2081" i="1" s="1"/>
  <c r="S2082" i="1" s="1"/>
  <c r="S2083" i="1" s="1"/>
  <c r="S2084" i="1" s="1"/>
  <c r="S2085" i="1" s="1"/>
  <c r="S2086" i="1" s="1"/>
  <c r="S2087" i="1" s="1"/>
  <c r="S2088" i="1" s="1"/>
  <c r="S2089" i="1" s="1"/>
  <c r="S2090" i="1" s="1"/>
  <c r="S2091" i="1" s="1"/>
  <c r="S2092" i="1" s="1"/>
  <c r="S2093" i="1" s="1"/>
  <c r="S2094" i="1" s="1"/>
  <c r="S2095" i="1" s="1"/>
  <c r="S2096" i="1" s="1"/>
  <c r="S2097" i="1" s="1"/>
  <c r="S2098" i="1" s="1"/>
  <c r="S2099" i="1" s="1"/>
  <c r="S2100" i="1" s="1"/>
  <c r="S2101" i="1" s="1"/>
  <c r="S2102" i="1" s="1"/>
  <c r="S2103" i="1" s="1"/>
  <c r="S2104" i="1" s="1"/>
  <c r="S2105" i="1" s="1"/>
  <c r="S2106" i="1" s="1"/>
  <c r="S2107" i="1" s="1"/>
  <c r="S2108" i="1" s="1"/>
  <c r="S2109" i="1" s="1"/>
  <c r="S2110" i="1" s="1"/>
  <c r="S2111" i="1" s="1"/>
  <c r="S2112" i="1" s="1"/>
  <c r="S2113" i="1" s="1"/>
  <c r="S2114" i="1" s="1"/>
  <c r="S2115" i="1" s="1"/>
  <c r="S2116" i="1" s="1"/>
  <c r="S2117" i="1" s="1"/>
  <c r="S2118" i="1" s="1"/>
  <c r="S2119" i="1" s="1"/>
  <c r="S2120" i="1" s="1"/>
  <c r="S2121" i="1" s="1"/>
  <c r="S2122" i="1" s="1"/>
  <c r="S2123" i="1" s="1"/>
  <c r="S2124" i="1" s="1"/>
  <c r="S2125" i="1" s="1"/>
  <c r="S2126" i="1" s="1"/>
  <c r="S2127" i="1" s="1"/>
  <c r="S2128" i="1" s="1"/>
  <c r="S2129" i="1" s="1"/>
  <c r="S2130" i="1" s="1"/>
  <c r="S2131" i="1" s="1"/>
  <c r="S2132" i="1" s="1"/>
  <c r="S2133" i="1" s="1"/>
  <c r="S2134" i="1" s="1"/>
  <c r="S2135" i="1" s="1"/>
  <c r="S2136" i="1" s="1"/>
  <c r="S2137" i="1" s="1"/>
  <c r="S2138" i="1" s="1"/>
  <c r="S2139" i="1" s="1"/>
  <c r="S2140" i="1" s="1"/>
  <c r="S2141" i="1" s="1"/>
  <c r="S2142" i="1" s="1"/>
  <c r="S2143" i="1" s="1"/>
  <c r="S2144" i="1" s="1"/>
  <c r="S2145" i="1" s="1"/>
  <c r="S2146" i="1" s="1"/>
  <c r="S2147" i="1" s="1"/>
  <c r="S2148" i="1" s="1"/>
  <c r="S2149" i="1" s="1"/>
  <c r="S2150" i="1" s="1"/>
  <c r="S2151" i="1" s="1"/>
  <c r="S2152" i="1" s="1"/>
  <c r="S2153" i="1" s="1"/>
  <c r="S2154" i="1" s="1"/>
  <c r="S2155" i="1" s="1"/>
  <c r="S2156" i="1" s="1"/>
  <c r="S2157" i="1" s="1"/>
  <c r="S2158" i="1" s="1"/>
  <c r="S2159" i="1" s="1"/>
  <c r="S2160" i="1" s="1"/>
  <c r="S2161" i="1" s="1"/>
  <c r="S2162" i="1" s="1"/>
  <c r="S2163" i="1" s="1"/>
  <c r="S2164" i="1" s="1"/>
  <c r="S2165" i="1" s="1"/>
  <c r="S2166" i="1" s="1"/>
  <c r="S2167" i="1" s="1"/>
  <c r="S2168" i="1" s="1"/>
  <c r="S2169" i="1" s="1"/>
  <c r="S2170" i="1" s="1"/>
  <c r="S2171" i="1" s="1"/>
  <c r="S2172" i="1" s="1"/>
  <c r="S2173" i="1" s="1"/>
  <c r="S2174" i="1" s="1"/>
  <c r="S2175" i="1" s="1"/>
  <c r="S2176" i="1" s="1"/>
  <c r="S2177" i="1" s="1"/>
  <c r="S2178" i="1" s="1"/>
  <c r="S2179" i="1" s="1"/>
  <c r="S2180" i="1" s="1"/>
  <c r="S2181" i="1" s="1"/>
  <c r="S2182" i="1" s="1"/>
  <c r="S2183" i="1" s="1"/>
  <c r="S2184" i="1" s="1"/>
  <c r="S2185" i="1" s="1"/>
  <c r="S2186" i="1" s="1"/>
  <c r="S2187" i="1" s="1"/>
  <c r="S2188" i="1" s="1"/>
  <c r="S2189" i="1" s="1"/>
  <c r="S2190" i="1" s="1"/>
  <c r="S2191" i="1" s="1"/>
  <c r="S2192" i="1" s="1"/>
  <c r="S2193" i="1" s="1"/>
  <c r="S2194" i="1" s="1"/>
  <c r="S2195" i="1" s="1"/>
  <c r="S2196" i="1" s="1"/>
  <c r="S2197" i="1" s="1"/>
  <c r="S2198" i="1" s="1"/>
  <c r="S2199" i="1" s="1"/>
  <c r="S2200" i="1" s="1"/>
  <c r="S2201" i="1" s="1"/>
  <c r="S2202" i="1" s="1"/>
  <c r="S2203" i="1" s="1"/>
  <c r="S2204" i="1" s="1"/>
  <c r="S2205" i="1" s="1"/>
  <c r="S2206" i="1" s="1"/>
  <c r="S2207" i="1" s="1"/>
  <c r="S2208" i="1" s="1"/>
  <c r="S2209" i="1" s="1"/>
  <c r="S2210" i="1" s="1"/>
  <c r="S2211" i="1" s="1"/>
  <c r="S2212" i="1" s="1"/>
  <c r="S2213" i="1" s="1"/>
  <c r="S2214" i="1" s="1"/>
  <c r="S2215" i="1" s="1"/>
  <c r="S2216" i="1" s="1"/>
  <c r="S2217" i="1" s="1"/>
  <c r="S2218" i="1" s="1"/>
  <c r="S2219" i="1" s="1"/>
  <c r="S2220" i="1" s="1"/>
  <c r="S2221" i="1" s="1"/>
  <c r="S2222" i="1" s="1"/>
  <c r="S2223" i="1" s="1"/>
  <c r="S2224" i="1" s="1"/>
  <c r="S2225" i="1" s="1"/>
  <c r="S2226" i="1" s="1"/>
  <c r="S2227" i="1" s="1"/>
  <c r="S2228" i="1" s="1"/>
  <c r="S2229" i="1" s="1"/>
  <c r="S2230" i="1" s="1"/>
  <c r="S2231" i="1" s="1"/>
  <c r="S2232" i="1" s="1"/>
  <c r="S2233" i="1" s="1"/>
  <c r="S2234" i="1" s="1"/>
  <c r="S2235" i="1" s="1"/>
  <c r="S2236" i="1" s="1"/>
  <c r="S2237" i="1" s="1"/>
  <c r="S2238" i="1" s="1"/>
  <c r="S2239" i="1" s="1"/>
  <c r="S2240" i="1" s="1"/>
  <c r="S2241" i="1" s="1"/>
  <c r="S2242" i="1" s="1"/>
  <c r="S2243" i="1" s="1"/>
  <c r="S2244" i="1" s="1"/>
  <c r="S2245" i="1" s="1"/>
  <c r="S2246" i="1" s="1"/>
  <c r="S2247" i="1" s="1"/>
  <c r="S2248" i="1" s="1"/>
  <c r="S2249" i="1" s="1"/>
  <c r="S2250" i="1" s="1"/>
  <c r="S2251" i="1" s="1"/>
  <c r="S2252" i="1" s="1"/>
  <c r="S2253" i="1" s="1"/>
  <c r="S2254" i="1" s="1"/>
  <c r="S2255" i="1" s="1"/>
  <c r="S2256" i="1" s="1"/>
  <c r="S2257" i="1" s="1"/>
  <c r="S2258" i="1" s="1"/>
  <c r="S2259" i="1" s="1"/>
  <c r="S2260" i="1" s="1"/>
  <c r="S2261" i="1" s="1"/>
  <c r="S2262" i="1" s="1"/>
  <c r="S2263" i="1" s="1"/>
  <c r="S2264" i="1" s="1"/>
  <c r="S2265" i="1" s="1"/>
  <c r="S2266" i="1" s="1"/>
  <c r="S2267" i="1" s="1"/>
  <c r="S2268" i="1" s="1"/>
  <c r="S2269" i="1" s="1"/>
  <c r="S2270" i="1" s="1"/>
  <c r="S2271" i="1" s="1"/>
  <c r="S2272" i="1" s="1"/>
  <c r="S2273" i="1" s="1"/>
  <c r="S2274" i="1" s="1"/>
  <c r="S2275" i="1" s="1"/>
  <c r="S2276" i="1" s="1"/>
  <c r="S2277" i="1" s="1"/>
  <c r="S2278" i="1" s="1"/>
  <c r="S2279" i="1" s="1"/>
  <c r="S2280" i="1" s="1"/>
  <c r="S2281" i="1" s="1"/>
  <c r="S2282" i="1" s="1"/>
  <c r="S2283" i="1" s="1"/>
  <c r="S2284" i="1" s="1"/>
  <c r="S2285" i="1" s="1"/>
  <c r="S2286" i="1" s="1"/>
  <c r="S2287" i="1" s="1"/>
  <c r="S2288" i="1" s="1"/>
  <c r="S2289" i="1" s="1"/>
  <c r="S2290" i="1" s="1"/>
  <c r="S2291" i="1" s="1"/>
  <c r="S2292" i="1" s="1"/>
  <c r="S2293" i="1" s="1"/>
  <c r="S2294" i="1" s="1"/>
  <c r="S2295" i="1" s="1"/>
  <c r="S2296" i="1" s="1"/>
  <c r="S2297" i="1" s="1"/>
  <c r="S2298" i="1" s="1"/>
  <c r="S2299" i="1" s="1"/>
  <c r="S2300" i="1" s="1"/>
  <c r="S2301" i="1" s="1"/>
  <c r="S2302" i="1" s="1"/>
  <c r="S2303" i="1" s="1"/>
  <c r="S2304" i="1" s="1"/>
  <c r="S2305" i="1" s="1"/>
  <c r="S2306" i="1" s="1"/>
  <c r="S2307" i="1" s="1"/>
  <c r="S2308" i="1" s="1"/>
  <c r="S2309" i="1" s="1"/>
  <c r="S2310" i="1" s="1"/>
  <c r="S2311" i="1" s="1"/>
  <c r="S2312" i="1" s="1"/>
  <c r="S2313" i="1" s="1"/>
  <c r="S2314" i="1" s="1"/>
  <c r="S2315" i="1" s="1"/>
  <c r="S2316" i="1" s="1"/>
  <c r="S2317" i="1" s="1"/>
  <c r="S2318" i="1" s="1"/>
  <c r="S2319" i="1" s="1"/>
  <c r="S2320" i="1" s="1"/>
  <c r="S2321" i="1" s="1"/>
  <c r="S2322" i="1" s="1"/>
  <c r="S2323" i="1" s="1"/>
  <c r="S2324" i="1" s="1"/>
  <c r="S2325" i="1" s="1"/>
  <c r="S2326" i="1" s="1"/>
  <c r="S2327" i="1" s="1"/>
  <c r="S2328" i="1" s="1"/>
  <c r="S2329" i="1" s="1"/>
  <c r="S2330" i="1" s="1"/>
  <c r="S2331" i="1" s="1"/>
  <c r="S2332" i="1" s="1"/>
  <c r="S2333" i="1" s="1"/>
  <c r="S2334" i="1" s="1"/>
  <c r="S2335" i="1" s="1"/>
  <c r="S2336" i="1" s="1"/>
  <c r="S2337" i="1" s="1"/>
  <c r="S2338" i="1" s="1"/>
  <c r="S2339" i="1" s="1"/>
  <c r="S2340" i="1" s="1"/>
  <c r="S2341" i="1" s="1"/>
  <c r="S2342" i="1" s="1"/>
  <c r="S2343" i="1" s="1"/>
  <c r="S2344" i="1" s="1"/>
  <c r="S2345" i="1" s="1"/>
  <c r="S2346" i="1" s="1"/>
  <c r="S2347" i="1" s="1"/>
  <c r="S2348" i="1" s="1"/>
  <c r="S2349" i="1" s="1"/>
  <c r="S2350" i="1" s="1"/>
  <c r="S2351" i="1" s="1"/>
  <c r="S2352" i="1" s="1"/>
  <c r="S2353" i="1" s="1"/>
  <c r="S2354" i="1" s="1"/>
  <c r="S2355" i="1" s="1"/>
  <c r="S2356" i="1" s="1"/>
  <c r="S2357" i="1" s="1"/>
  <c r="S2358" i="1" s="1"/>
  <c r="S2359" i="1" s="1"/>
  <c r="S2360" i="1" s="1"/>
  <c r="S2361" i="1" s="1"/>
  <c r="S2362" i="1" s="1"/>
  <c r="S2363" i="1" s="1"/>
  <c r="S2364" i="1" s="1"/>
  <c r="S2365" i="1" s="1"/>
  <c r="S2366" i="1" s="1"/>
  <c r="S2367" i="1" s="1"/>
  <c r="S2368" i="1" s="1"/>
  <c r="S2369" i="1" s="1"/>
  <c r="S2370" i="1" s="1"/>
  <c r="S2371" i="1" s="1"/>
  <c r="S2372" i="1" s="1"/>
  <c r="S2373" i="1" s="1"/>
  <c r="S2374" i="1" s="1"/>
  <c r="S2375" i="1" s="1"/>
  <c r="S2376" i="1" s="1"/>
  <c r="S2377" i="1" s="1"/>
  <c r="S2378" i="1" s="1"/>
  <c r="S2379" i="1" s="1"/>
  <c r="S2380" i="1" s="1"/>
  <c r="S2381" i="1" s="1"/>
  <c r="S2382" i="1" s="1"/>
  <c r="S2383" i="1" s="1"/>
  <c r="S2384" i="1" s="1"/>
  <c r="S2385" i="1" s="1"/>
  <c r="S2386" i="1" s="1"/>
  <c r="S2387" i="1" s="1"/>
  <c r="S2388" i="1" s="1"/>
  <c r="S2389" i="1" s="1"/>
  <c r="S2390" i="1" s="1"/>
  <c r="S2391" i="1" s="1"/>
  <c r="S2392" i="1" s="1"/>
  <c r="S2393" i="1" s="1"/>
  <c r="S2394" i="1" s="1"/>
  <c r="S2395" i="1" s="1"/>
  <c r="S2396" i="1" s="1"/>
  <c r="S2397" i="1" s="1"/>
  <c r="S2398" i="1" s="1"/>
  <c r="S2399" i="1" s="1"/>
  <c r="S2400" i="1" s="1"/>
  <c r="S2401" i="1" s="1"/>
  <c r="S2402" i="1" s="1"/>
  <c r="S2403" i="1" s="1"/>
  <c r="S2404" i="1" s="1"/>
  <c r="S2405" i="1" s="1"/>
  <c r="S2406" i="1" s="1"/>
  <c r="S2407" i="1" s="1"/>
  <c r="S2408" i="1" s="1"/>
  <c r="S2409" i="1" s="1"/>
  <c r="S2410" i="1" s="1"/>
  <c r="S2411" i="1" s="1"/>
  <c r="S2412" i="1" s="1"/>
  <c r="S2413" i="1" s="1"/>
  <c r="S2414" i="1" s="1"/>
  <c r="S2415" i="1" s="1"/>
  <c r="S2416" i="1" s="1"/>
  <c r="S2417" i="1" s="1"/>
  <c r="S2418" i="1" s="1"/>
  <c r="S2419" i="1" s="1"/>
  <c r="S2420" i="1" s="1"/>
  <c r="S2421" i="1" s="1"/>
  <c r="S2422" i="1" s="1"/>
  <c r="S2423" i="1" s="1"/>
  <c r="S2424" i="1" s="1"/>
  <c r="S2425" i="1" s="1"/>
  <c r="S2426" i="1" s="1"/>
  <c r="S2427" i="1" s="1"/>
  <c r="S2428" i="1" s="1"/>
  <c r="S2429" i="1" s="1"/>
  <c r="S2430" i="1" s="1"/>
  <c r="S2431" i="1" s="1"/>
  <c r="S2432" i="1" s="1"/>
  <c r="S2433" i="1" s="1"/>
  <c r="S2434" i="1" s="1"/>
  <c r="S2435" i="1" s="1"/>
  <c r="S2436" i="1" s="1"/>
  <c r="S2437" i="1" s="1"/>
  <c r="S2438" i="1" s="1"/>
  <c r="S2439" i="1" s="1"/>
  <c r="S2440" i="1" s="1"/>
  <c r="S2441" i="1" s="1"/>
  <c r="S2442" i="1" s="1"/>
  <c r="S2443" i="1" s="1"/>
  <c r="S2444" i="1" s="1"/>
  <c r="S2445" i="1" s="1"/>
  <c r="S2446" i="1" s="1"/>
  <c r="S2447" i="1" s="1"/>
  <c r="S2448" i="1" s="1"/>
  <c r="S2449" i="1" s="1"/>
  <c r="S2450" i="1" s="1"/>
  <c r="S2451" i="1" s="1"/>
  <c r="S2452" i="1" s="1"/>
  <c r="S2453" i="1" s="1"/>
  <c r="S2454" i="1" s="1"/>
  <c r="S2455" i="1" s="1"/>
  <c r="S2456" i="1" s="1"/>
  <c r="S2457" i="1" s="1"/>
  <c r="S2458" i="1" s="1"/>
  <c r="S2459" i="1" s="1"/>
  <c r="S2460" i="1" s="1"/>
  <c r="S2461" i="1" s="1"/>
  <c r="S2462" i="1" s="1"/>
  <c r="S2463" i="1" s="1"/>
  <c r="S2464" i="1" s="1"/>
  <c r="S2465" i="1" s="1"/>
  <c r="S2466" i="1" s="1"/>
  <c r="S2467" i="1" s="1"/>
  <c r="S2468" i="1" s="1"/>
  <c r="S2469" i="1" s="1"/>
  <c r="S2470" i="1" s="1"/>
  <c r="S2471" i="1" s="1"/>
  <c r="S2472" i="1" s="1"/>
  <c r="S2473" i="1" s="1"/>
  <c r="S2474" i="1" s="1"/>
  <c r="S2475" i="1" s="1"/>
  <c r="S2476" i="1" s="1"/>
  <c r="S2477" i="1" s="1"/>
  <c r="S2478" i="1" s="1"/>
  <c r="S2479" i="1" s="1"/>
  <c r="S2480" i="1" s="1"/>
  <c r="S2481" i="1" s="1"/>
  <c r="S2482" i="1" s="1"/>
  <c r="S2483" i="1" s="1"/>
  <c r="S2484" i="1" s="1"/>
  <c r="S2485" i="1" s="1"/>
  <c r="S2486" i="1" s="1"/>
  <c r="S2487" i="1" s="1"/>
  <c r="S2488" i="1" s="1"/>
  <c r="S2489" i="1" s="1"/>
  <c r="S2490" i="1" s="1"/>
  <c r="S2491" i="1" s="1"/>
  <c r="S2492" i="1" s="1"/>
  <c r="S2493" i="1" s="1"/>
  <c r="S2494" i="1" s="1"/>
  <c r="S2495" i="1" s="1"/>
  <c r="S2496" i="1" s="1"/>
  <c r="S2497" i="1" s="1"/>
  <c r="S2498" i="1" s="1"/>
  <c r="S2499" i="1" s="1"/>
  <c r="S2500" i="1" s="1"/>
  <c r="S2501" i="1" s="1"/>
  <c r="S2502" i="1" s="1"/>
  <c r="S2503" i="1" s="1"/>
  <c r="S2504" i="1" s="1"/>
  <c r="S2505" i="1" s="1"/>
  <c r="S2506" i="1" s="1"/>
  <c r="S2507" i="1" s="1"/>
  <c r="S2508" i="1" s="1"/>
  <c r="S2509" i="1" s="1"/>
  <c r="S2510" i="1" s="1"/>
  <c r="S2511" i="1" s="1"/>
  <c r="S2512" i="1" s="1"/>
  <c r="S2513" i="1" s="1"/>
  <c r="S2514" i="1" s="1"/>
  <c r="S2515" i="1" s="1"/>
  <c r="S2516" i="1" s="1"/>
  <c r="S2517" i="1" s="1"/>
  <c r="S2518" i="1" s="1"/>
  <c r="S2519" i="1" s="1"/>
  <c r="S2520" i="1" s="1"/>
  <c r="S2521" i="1" s="1"/>
  <c r="S2522" i="1" s="1"/>
  <c r="S2523" i="1" s="1"/>
  <c r="S2524" i="1" s="1"/>
  <c r="S2525" i="1" s="1"/>
  <c r="S2526" i="1" s="1"/>
  <c r="S2527" i="1" s="1"/>
  <c r="S2528" i="1" s="1"/>
  <c r="S2529" i="1" s="1"/>
  <c r="S2530" i="1" s="1"/>
  <c r="S2531" i="1" s="1"/>
  <c r="S2532" i="1" s="1"/>
  <c r="S2533" i="1" s="1"/>
  <c r="S2534" i="1" s="1"/>
  <c r="S2535" i="1" s="1"/>
  <c r="S2536" i="1" s="1"/>
  <c r="S2537" i="1" s="1"/>
  <c r="S2538" i="1" s="1"/>
  <c r="S2539" i="1" s="1"/>
  <c r="S2540" i="1" s="1"/>
  <c r="S2541" i="1" s="1"/>
  <c r="S2542" i="1" s="1"/>
  <c r="S2543" i="1" s="1"/>
  <c r="S2544" i="1" s="1"/>
  <c r="S2545" i="1" s="1"/>
  <c r="S2546" i="1" s="1"/>
  <c r="S2547" i="1" s="1"/>
  <c r="S2548" i="1" s="1"/>
  <c r="S2549" i="1" s="1"/>
  <c r="S2550" i="1" s="1"/>
  <c r="S2551" i="1" s="1"/>
  <c r="S2552" i="1" s="1"/>
  <c r="S2553" i="1" s="1"/>
  <c r="S2554" i="1" s="1"/>
  <c r="S2555" i="1" s="1"/>
  <c r="S2556" i="1" s="1"/>
  <c r="S2557" i="1" s="1"/>
  <c r="S2558" i="1" s="1"/>
  <c r="S2559" i="1" s="1"/>
  <c r="S2560" i="1" s="1"/>
  <c r="S2561" i="1" s="1"/>
  <c r="S2562" i="1" s="1"/>
  <c r="S2563" i="1" s="1"/>
  <c r="S2564" i="1" s="1"/>
  <c r="S2565" i="1" s="1"/>
  <c r="S2566" i="1" s="1"/>
  <c r="S2567" i="1" s="1"/>
  <c r="S2568" i="1" s="1"/>
  <c r="S2569" i="1" s="1"/>
  <c r="S2570" i="1" s="1"/>
  <c r="S2571" i="1" s="1"/>
  <c r="S2572" i="1" s="1"/>
  <c r="S2573" i="1" s="1"/>
  <c r="S2574" i="1" s="1"/>
  <c r="S2575" i="1" s="1"/>
  <c r="S2576" i="1" s="1"/>
  <c r="S2577" i="1" s="1"/>
  <c r="S2578" i="1" s="1"/>
  <c r="S2579" i="1" s="1"/>
  <c r="S2580" i="1" s="1"/>
  <c r="S2581" i="1" s="1"/>
  <c r="S2582" i="1" s="1"/>
  <c r="S2583" i="1" s="1"/>
  <c r="S2584" i="1" s="1"/>
  <c r="S2585" i="1" s="1"/>
  <c r="S2586" i="1" s="1"/>
  <c r="S2587" i="1" s="1"/>
  <c r="S2588" i="1" s="1"/>
  <c r="S2589" i="1" s="1"/>
  <c r="S2590" i="1" s="1"/>
  <c r="S2591" i="1" s="1"/>
  <c r="S2592" i="1" s="1"/>
  <c r="S2593" i="1" s="1"/>
  <c r="S2594" i="1" s="1"/>
  <c r="S2595" i="1" s="1"/>
  <c r="S2596" i="1" s="1"/>
  <c r="S2597" i="1" s="1"/>
  <c r="S2598" i="1" s="1"/>
  <c r="S2599" i="1" s="1"/>
  <c r="S2600" i="1" s="1"/>
  <c r="S2601" i="1" s="1"/>
  <c r="S2602" i="1" s="1"/>
  <c r="S2603" i="1" s="1"/>
  <c r="S2604" i="1" s="1"/>
  <c r="S2605" i="1" s="1"/>
  <c r="S2606" i="1" s="1"/>
  <c r="S2607" i="1" s="1"/>
  <c r="S2608" i="1" s="1"/>
  <c r="S2609" i="1" s="1"/>
  <c r="S2610" i="1" s="1"/>
  <c r="S2611" i="1" s="1"/>
  <c r="S2612" i="1" s="1"/>
  <c r="S2613" i="1" s="1"/>
  <c r="S2614" i="1" s="1"/>
  <c r="S2615" i="1" s="1"/>
  <c r="S2616" i="1" s="1"/>
  <c r="S2617" i="1" s="1"/>
  <c r="S2618" i="1" s="1"/>
  <c r="S2619" i="1" s="1"/>
  <c r="S2620" i="1" s="1"/>
  <c r="S2621" i="1" s="1"/>
  <c r="S2622" i="1" s="1"/>
  <c r="S2623" i="1" s="1"/>
  <c r="S2624" i="1" s="1"/>
  <c r="S2625" i="1" s="1"/>
  <c r="S2626" i="1" s="1"/>
  <c r="S2627" i="1" s="1"/>
  <c r="S2628" i="1" s="1"/>
  <c r="S2629" i="1" s="1"/>
  <c r="S2630" i="1" s="1"/>
  <c r="S2631" i="1" s="1"/>
  <c r="S2632" i="1" s="1"/>
  <c r="S2633" i="1" s="1"/>
  <c r="S2634" i="1" s="1"/>
  <c r="S2635" i="1" s="1"/>
  <c r="S2636" i="1" s="1"/>
  <c r="S2637" i="1" s="1"/>
  <c r="S2638" i="1" s="1"/>
  <c r="S2639" i="1" s="1"/>
  <c r="S2640" i="1" s="1"/>
  <c r="S2641" i="1" s="1"/>
  <c r="S2642" i="1" s="1"/>
  <c r="S2643" i="1" s="1"/>
  <c r="S2644" i="1" s="1"/>
  <c r="S2645" i="1" s="1"/>
  <c r="S2646" i="1" s="1"/>
  <c r="S2647" i="1" s="1"/>
  <c r="S2648" i="1" s="1"/>
  <c r="S2649" i="1" s="1"/>
  <c r="S2650" i="1" s="1"/>
  <c r="S2651" i="1" s="1"/>
  <c r="S2652" i="1" s="1"/>
  <c r="S2653" i="1" s="1"/>
  <c r="S2654" i="1" s="1"/>
  <c r="S2655" i="1" s="1"/>
  <c r="S2656" i="1" s="1"/>
  <c r="S2657" i="1" s="1"/>
  <c r="S2658" i="1" s="1"/>
  <c r="S2659" i="1" s="1"/>
  <c r="S2660" i="1" s="1"/>
  <c r="S2661" i="1" s="1"/>
  <c r="S2662" i="1" s="1"/>
  <c r="S2663" i="1" s="1"/>
  <c r="S2664" i="1" s="1"/>
  <c r="S2665" i="1" s="1"/>
  <c r="S2666" i="1" s="1"/>
  <c r="S2667" i="1" s="1"/>
  <c r="S2668" i="1" s="1"/>
  <c r="S2669" i="1" s="1"/>
  <c r="S2670" i="1" s="1"/>
  <c r="S2671" i="1" s="1"/>
  <c r="S2672" i="1" s="1"/>
  <c r="S2673" i="1" s="1"/>
  <c r="S2674" i="1" s="1"/>
  <c r="S2675" i="1" s="1"/>
  <c r="S2676" i="1" s="1"/>
  <c r="S2677" i="1" s="1"/>
  <c r="S2678" i="1" s="1"/>
  <c r="S2679" i="1" s="1"/>
  <c r="S2680" i="1" s="1"/>
  <c r="S2681" i="1" s="1"/>
  <c r="S2682" i="1" s="1"/>
  <c r="S2683" i="1" s="1"/>
  <c r="S2684" i="1" s="1"/>
  <c r="S2685" i="1" s="1"/>
  <c r="S2686" i="1" s="1"/>
  <c r="S2687" i="1" s="1"/>
  <c r="S2688" i="1" s="1"/>
  <c r="S2689" i="1" s="1"/>
  <c r="S2690" i="1" s="1"/>
  <c r="S2691" i="1" s="1"/>
  <c r="S2692" i="1" s="1"/>
  <c r="S2693" i="1" s="1"/>
  <c r="S2694" i="1" s="1"/>
  <c r="S2695" i="1" s="1"/>
  <c r="S2696" i="1" s="1"/>
  <c r="S2697" i="1" s="1"/>
  <c r="S2698" i="1" s="1"/>
  <c r="S2699" i="1" s="1"/>
  <c r="S2700" i="1" s="1"/>
  <c r="S2701" i="1" s="1"/>
  <c r="S2702" i="1" s="1"/>
  <c r="S2703" i="1" s="1"/>
  <c r="S2704" i="1" s="1"/>
  <c r="S2705" i="1" s="1"/>
  <c r="S2706" i="1" s="1"/>
  <c r="S2707" i="1" s="1"/>
  <c r="S2708" i="1" s="1"/>
  <c r="S2709" i="1" s="1"/>
  <c r="S2710" i="1" s="1"/>
  <c r="S2711" i="1" s="1"/>
  <c r="S2712" i="1" s="1"/>
  <c r="S2713" i="1" s="1"/>
  <c r="S2714" i="1" s="1"/>
  <c r="S2715" i="1" s="1"/>
  <c r="S2716" i="1" s="1"/>
  <c r="S2717" i="1" s="1"/>
  <c r="S2718" i="1" s="1"/>
  <c r="S2719" i="1" s="1"/>
  <c r="S2720" i="1" s="1"/>
  <c r="S2721" i="1" s="1"/>
  <c r="S2722" i="1" s="1"/>
  <c r="S2723" i="1" s="1"/>
  <c r="S2724" i="1" s="1"/>
  <c r="S2725" i="1" s="1"/>
  <c r="S2726" i="1" s="1"/>
  <c r="S2727" i="1" s="1"/>
  <c r="S2728" i="1" s="1"/>
  <c r="S2729" i="1" s="1"/>
  <c r="S2730" i="1" s="1"/>
  <c r="S2731" i="1" s="1"/>
  <c r="S2732" i="1" s="1"/>
  <c r="S2733" i="1" s="1"/>
  <c r="S2734" i="1" s="1"/>
  <c r="S2735" i="1" s="1"/>
  <c r="S2736" i="1" s="1"/>
  <c r="S2737" i="1" s="1"/>
  <c r="S2738" i="1" s="1"/>
  <c r="S2739" i="1" s="1"/>
  <c r="S2740" i="1" s="1"/>
  <c r="S2741" i="1" s="1"/>
  <c r="S2742" i="1" s="1"/>
  <c r="S2743" i="1" s="1"/>
  <c r="S2744" i="1" s="1"/>
  <c r="S2745" i="1" s="1"/>
  <c r="S2746" i="1" s="1"/>
  <c r="S2747" i="1" s="1"/>
  <c r="S2748" i="1" s="1"/>
  <c r="S2749" i="1" s="1"/>
  <c r="S2750" i="1" s="1"/>
  <c r="S2751" i="1" s="1"/>
  <c r="S2752" i="1" s="1"/>
  <c r="S2753" i="1" s="1"/>
  <c r="S2754" i="1" s="1"/>
  <c r="S2755" i="1" s="1"/>
  <c r="S2756" i="1" s="1"/>
  <c r="S2757" i="1" s="1"/>
  <c r="S2758" i="1" s="1"/>
  <c r="S2759" i="1" s="1"/>
  <c r="S2760" i="1" s="1"/>
  <c r="S2761" i="1" s="1"/>
  <c r="S2762" i="1" s="1"/>
  <c r="S2763" i="1" s="1"/>
  <c r="S2764" i="1" s="1"/>
  <c r="S2765" i="1" s="1"/>
  <c r="S2766" i="1" s="1"/>
  <c r="S2767" i="1" s="1"/>
  <c r="S2768" i="1" s="1"/>
  <c r="S2769" i="1" s="1"/>
  <c r="S2770" i="1" s="1"/>
  <c r="S2771" i="1" s="1"/>
  <c r="S2772" i="1" s="1"/>
  <c r="S2773" i="1" s="1"/>
  <c r="S2774" i="1" s="1"/>
  <c r="S2775" i="1" s="1"/>
  <c r="S2776" i="1" s="1"/>
  <c r="S2777" i="1" s="1"/>
  <c r="S2778" i="1" s="1"/>
  <c r="S2779" i="1" s="1"/>
  <c r="S2780" i="1" s="1"/>
  <c r="S2781" i="1" s="1"/>
  <c r="S2782" i="1" s="1"/>
  <c r="S2783" i="1" s="1"/>
  <c r="S2784" i="1" s="1"/>
  <c r="S2785" i="1" s="1"/>
  <c r="S2786" i="1" s="1"/>
  <c r="S2787" i="1" s="1"/>
  <c r="S2788" i="1" s="1"/>
  <c r="S2789" i="1" s="1"/>
  <c r="S2790" i="1" s="1"/>
  <c r="S2791" i="1" s="1"/>
  <c r="S2792" i="1" s="1"/>
  <c r="S2793" i="1" s="1"/>
  <c r="S2794" i="1" s="1"/>
  <c r="S2795" i="1" s="1"/>
  <c r="S2796" i="1" s="1"/>
  <c r="S2797" i="1" s="1"/>
  <c r="S2798" i="1" s="1"/>
  <c r="S2799" i="1" s="1"/>
  <c r="S2800" i="1" s="1"/>
  <c r="S2801" i="1" s="1"/>
  <c r="S2802" i="1" s="1"/>
  <c r="S2803" i="1" s="1"/>
  <c r="S2804" i="1" s="1"/>
  <c r="S2805" i="1" s="1"/>
  <c r="S2806" i="1" s="1"/>
  <c r="S2807" i="1" s="1"/>
  <c r="S2808" i="1" s="1"/>
  <c r="S2809" i="1" s="1"/>
  <c r="S2810" i="1" s="1"/>
  <c r="S2811" i="1" s="1"/>
  <c r="S2812" i="1" s="1"/>
  <c r="S2813" i="1" s="1"/>
  <c r="S2814" i="1" s="1"/>
  <c r="S2815" i="1" s="1"/>
  <c r="S2816" i="1" s="1"/>
  <c r="S2817" i="1" s="1"/>
  <c r="S2818" i="1" s="1"/>
  <c r="S2819" i="1" s="1"/>
  <c r="S2820" i="1" s="1"/>
  <c r="S2821" i="1" s="1"/>
  <c r="S2822" i="1" s="1"/>
  <c r="S2823" i="1" s="1"/>
  <c r="S2824" i="1" s="1"/>
  <c r="S2825" i="1" s="1"/>
  <c r="S2826" i="1" s="1"/>
  <c r="S2827" i="1" s="1"/>
  <c r="S2828" i="1" s="1"/>
  <c r="S2829" i="1" s="1"/>
  <c r="S2830" i="1" s="1"/>
  <c r="S2831" i="1" s="1"/>
  <c r="S2832" i="1" s="1"/>
  <c r="S2833" i="1" s="1"/>
  <c r="S2834" i="1" s="1"/>
  <c r="S2835" i="1" s="1"/>
  <c r="S2836" i="1" s="1"/>
  <c r="S2837" i="1" s="1"/>
  <c r="S2838" i="1" s="1"/>
  <c r="S2839" i="1" s="1"/>
  <c r="S2840" i="1" s="1"/>
  <c r="S2841" i="1" s="1"/>
  <c r="S2842" i="1" s="1"/>
  <c r="S2843" i="1" s="1"/>
  <c r="S2844" i="1" s="1"/>
  <c r="S2845" i="1" s="1"/>
  <c r="S2846" i="1" s="1"/>
  <c r="S2847" i="1" s="1"/>
  <c r="S2848" i="1" s="1"/>
  <c r="S2849" i="1" s="1"/>
  <c r="S2850" i="1" s="1"/>
  <c r="S2851" i="1" s="1"/>
  <c r="S2852" i="1" s="1"/>
  <c r="S2853" i="1" s="1"/>
  <c r="S2854" i="1" s="1"/>
  <c r="S2855" i="1" s="1"/>
  <c r="S2856" i="1" s="1"/>
  <c r="S2857" i="1" s="1"/>
  <c r="S2858" i="1" s="1"/>
  <c r="S2859" i="1" s="1"/>
  <c r="S2860" i="1" s="1"/>
  <c r="S2861" i="1" s="1"/>
  <c r="S2862" i="1" s="1"/>
  <c r="S2863" i="1" s="1"/>
  <c r="S2864" i="1" s="1"/>
  <c r="S2865" i="1" s="1"/>
  <c r="S2866" i="1" s="1"/>
  <c r="S2867" i="1" s="1"/>
  <c r="S2868" i="1" s="1"/>
  <c r="S2869" i="1" s="1"/>
  <c r="S2870" i="1" s="1"/>
  <c r="S2871" i="1" s="1"/>
  <c r="S2872" i="1" s="1"/>
  <c r="S2873" i="1" s="1"/>
  <c r="S2874" i="1" s="1"/>
  <c r="S2875" i="1" s="1"/>
  <c r="S2876" i="1" s="1"/>
  <c r="S2877" i="1" s="1"/>
  <c r="S2878" i="1" s="1"/>
  <c r="S2879" i="1" s="1"/>
  <c r="S2880" i="1" s="1"/>
  <c r="S2881" i="1" s="1"/>
  <c r="S2882" i="1" s="1"/>
  <c r="S2883" i="1" s="1"/>
  <c r="S2884" i="1" s="1"/>
  <c r="S2885" i="1" s="1"/>
  <c r="S2886" i="1" s="1"/>
  <c r="S2887" i="1" s="1"/>
  <c r="S2888" i="1" s="1"/>
  <c r="S2889" i="1" s="1"/>
  <c r="S2890" i="1" s="1"/>
  <c r="S2891" i="1" s="1"/>
  <c r="S2892" i="1" s="1"/>
  <c r="S2893" i="1" s="1"/>
  <c r="S2894" i="1" s="1"/>
  <c r="S2895" i="1" s="1"/>
  <c r="S2896" i="1" s="1"/>
  <c r="S2897" i="1" s="1"/>
  <c r="S2898" i="1" s="1"/>
  <c r="S2899" i="1" s="1"/>
  <c r="S2900" i="1" s="1"/>
  <c r="S2901" i="1" s="1"/>
  <c r="S2902" i="1" s="1"/>
  <c r="S2903" i="1" s="1"/>
  <c r="S2904" i="1" s="1"/>
  <c r="S2905" i="1" s="1"/>
  <c r="S2906" i="1" s="1"/>
  <c r="S2907" i="1" s="1"/>
  <c r="S2908" i="1" s="1"/>
  <c r="S2909" i="1" s="1"/>
  <c r="S2910" i="1" s="1"/>
  <c r="S2911" i="1" s="1"/>
  <c r="S2912" i="1" s="1"/>
  <c r="S2913" i="1" s="1"/>
  <c r="S2914" i="1" s="1"/>
  <c r="S2915" i="1" s="1"/>
  <c r="S2916" i="1" s="1"/>
  <c r="S2917" i="1" s="1"/>
  <c r="S2918" i="1" s="1"/>
  <c r="S2919" i="1" s="1"/>
  <c r="S2920" i="1" s="1"/>
  <c r="S2921" i="1" s="1"/>
  <c r="S2922" i="1" s="1"/>
  <c r="S2923" i="1" s="1"/>
  <c r="S2924" i="1" s="1"/>
  <c r="S2925" i="1" s="1"/>
  <c r="S2926" i="1" s="1"/>
  <c r="S2927" i="1" s="1"/>
  <c r="S2928" i="1" s="1"/>
  <c r="S2929" i="1" s="1"/>
  <c r="S2930" i="1" s="1"/>
  <c r="S2931" i="1" s="1"/>
  <c r="S2932" i="1" s="1"/>
  <c r="S2933" i="1" s="1"/>
  <c r="S2934" i="1" s="1"/>
  <c r="S2935" i="1" s="1"/>
  <c r="S2936" i="1" s="1"/>
  <c r="S2937" i="1" s="1"/>
  <c r="S2938" i="1" s="1"/>
  <c r="S2939" i="1" s="1"/>
  <c r="S2940" i="1" s="1"/>
  <c r="S2941" i="1" s="1"/>
  <c r="S2942" i="1" s="1"/>
  <c r="S2943" i="1" s="1"/>
  <c r="S2944" i="1" s="1"/>
  <c r="S2945" i="1" s="1"/>
  <c r="S2946" i="1" s="1"/>
  <c r="S2947" i="1" s="1"/>
  <c r="S2948" i="1" s="1"/>
  <c r="S2949" i="1" s="1"/>
  <c r="S2950" i="1" s="1"/>
  <c r="S2951" i="1" s="1"/>
  <c r="S2952" i="1" s="1"/>
  <c r="S2953" i="1" s="1"/>
  <c r="S2954" i="1" s="1"/>
  <c r="S2955" i="1" s="1"/>
  <c r="S2956" i="1" s="1"/>
  <c r="S2957" i="1" s="1"/>
  <c r="S2958" i="1" s="1"/>
  <c r="S2959" i="1" s="1"/>
  <c r="S2960" i="1" s="1"/>
  <c r="S2961" i="1" s="1"/>
  <c r="S2962" i="1" s="1"/>
  <c r="S2963" i="1" s="1"/>
  <c r="S2964" i="1" s="1"/>
  <c r="S2965" i="1" s="1"/>
  <c r="S2966" i="1" s="1"/>
  <c r="S2967" i="1" s="1"/>
  <c r="S2968" i="1" s="1"/>
  <c r="S2969" i="1" s="1"/>
  <c r="S2970" i="1" s="1"/>
  <c r="S2971" i="1" s="1"/>
  <c r="S2972" i="1" s="1"/>
  <c r="S2973" i="1" s="1"/>
  <c r="S2974" i="1" s="1"/>
  <c r="S2975" i="1" s="1"/>
  <c r="S2976" i="1" s="1"/>
  <c r="S2977" i="1" s="1"/>
  <c r="S2978" i="1" s="1"/>
  <c r="S2979" i="1" s="1"/>
  <c r="S2980" i="1" s="1"/>
  <c r="S2981" i="1" s="1"/>
  <c r="S2982" i="1" s="1"/>
  <c r="S2983" i="1" s="1"/>
  <c r="S2984" i="1" s="1"/>
  <c r="S2985" i="1" s="1"/>
  <c r="S2986" i="1" s="1"/>
  <c r="S2987" i="1" s="1"/>
  <c r="S2988" i="1" s="1"/>
  <c r="S2989" i="1" s="1"/>
  <c r="S2990" i="1" s="1"/>
  <c r="S2991" i="1" s="1"/>
  <c r="S2992" i="1" s="1"/>
  <c r="S2993" i="1" s="1"/>
  <c r="S2994" i="1" s="1"/>
  <c r="S2995" i="1" s="1"/>
  <c r="S2996" i="1" s="1"/>
  <c r="S2997" i="1" s="1"/>
  <c r="S2998" i="1" s="1"/>
  <c r="S2999" i="1" s="1"/>
  <c r="S3000" i="1" s="1"/>
  <c r="S3001" i="1" s="1"/>
  <c r="S3002" i="1" s="1"/>
  <c r="S3003" i="1" s="1"/>
  <c r="S3004" i="1" s="1"/>
  <c r="S3005" i="1" s="1"/>
  <c r="S3006" i="1" s="1"/>
  <c r="S3007" i="1" s="1"/>
  <c r="S3008" i="1" s="1"/>
  <c r="S3009" i="1" s="1"/>
  <c r="S3010" i="1" s="1"/>
  <c r="S3011" i="1" s="1"/>
  <c r="S3012" i="1" s="1"/>
  <c r="S3013" i="1" s="1"/>
  <c r="S3014" i="1" s="1"/>
  <c r="S3015" i="1" s="1"/>
  <c r="S3016" i="1" s="1"/>
  <c r="S3017" i="1" s="1"/>
  <c r="S3018" i="1" s="1"/>
  <c r="S3019" i="1" s="1"/>
  <c r="S3020" i="1" s="1"/>
  <c r="S3021" i="1" s="1"/>
  <c r="S3022" i="1" s="1"/>
  <c r="S3023" i="1" s="1"/>
  <c r="S3024" i="1" s="1"/>
  <c r="S3025" i="1" s="1"/>
  <c r="S3026" i="1" s="1"/>
  <c r="S3027" i="1" s="1"/>
  <c r="S3028" i="1" s="1"/>
  <c r="S3029" i="1" s="1"/>
  <c r="S3030" i="1" s="1"/>
  <c r="S3031" i="1" s="1"/>
  <c r="S3032" i="1" s="1"/>
  <c r="S3033" i="1" s="1"/>
  <c r="S3034" i="1" s="1"/>
  <c r="S3035" i="1" s="1"/>
  <c r="S3036" i="1" s="1"/>
  <c r="S3037" i="1" s="1"/>
  <c r="S3038" i="1" s="1"/>
  <c r="S3039" i="1" s="1"/>
  <c r="S3040" i="1" s="1"/>
  <c r="S3041" i="1" s="1"/>
  <c r="S3042" i="1" s="1"/>
  <c r="S3043" i="1" s="1"/>
  <c r="S3044" i="1" s="1"/>
  <c r="S3045" i="1" s="1"/>
  <c r="S3046" i="1" s="1"/>
  <c r="S3047" i="1" s="1"/>
  <c r="S3048" i="1" s="1"/>
  <c r="S3049" i="1" s="1"/>
  <c r="S3050" i="1" s="1"/>
  <c r="S3051" i="1" s="1"/>
  <c r="S3052" i="1" s="1"/>
  <c r="S3053" i="1" s="1"/>
  <c r="S3054" i="1" s="1"/>
  <c r="S3055" i="1" s="1"/>
  <c r="S3056" i="1" s="1"/>
  <c r="S3057" i="1" s="1"/>
  <c r="S3058" i="1" s="1"/>
  <c r="S3059" i="1" s="1"/>
  <c r="S3060" i="1" s="1"/>
  <c r="S3061" i="1" s="1"/>
  <c r="S3062" i="1" s="1"/>
  <c r="S3063" i="1" s="1"/>
  <c r="S3064" i="1" s="1"/>
  <c r="S3065" i="1" s="1"/>
  <c r="S3066" i="1" s="1"/>
  <c r="S3067" i="1" s="1"/>
  <c r="S3068" i="1" s="1"/>
  <c r="S3069" i="1" s="1"/>
  <c r="S3070" i="1" s="1"/>
  <c r="S3071" i="1" s="1"/>
  <c r="S3072" i="1" s="1"/>
  <c r="S3073" i="1" s="1"/>
  <c r="S3074" i="1" s="1"/>
  <c r="S3075" i="1" s="1"/>
  <c r="S3076" i="1" s="1"/>
  <c r="S3077" i="1" s="1"/>
  <c r="S3078" i="1" s="1"/>
  <c r="S3079" i="1" s="1"/>
  <c r="S3080" i="1" s="1"/>
  <c r="S3081" i="1" s="1"/>
  <c r="S3082" i="1" s="1"/>
  <c r="S3083" i="1" s="1"/>
  <c r="S3084" i="1" s="1"/>
  <c r="S3085" i="1" s="1"/>
  <c r="S3086" i="1" s="1"/>
  <c r="S3087" i="1" s="1"/>
  <c r="S3088" i="1" s="1"/>
  <c r="S3089" i="1" s="1"/>
  <c r="S3090" i="1" s="1"/>
  <c r="S3091" i="1" s="1"/>
  <c r="S3092" i="1" s="1"/>
  <c r="S3093" i="1" s="1"/>
  <c r="S3094" i="1" s="1"/>
  <c r="S3095" i="1" s="1"/>
  <c r="S3096" i="1" s="1"/>
  <c r="S3097" i="1" s="1"/>
  <c r="S3098" i="1" s="1"/>
  <c r="S3099" i="1" s="1"/>
  <c r="S3100" i="1" s="1"/>
  <c r="S3101" i="1" s="1"/>
  <c r="S3102" i="1" s="1"/>
  <c r="S3103" i="1" s="1"/>
  <c r="S3104" i="1" s="1"/>
  <c r="S3105" i="1" s="1"/>
  <c r="S3106" i="1" s="1"/>
  <c r="S3107" i="1" s="1"/>
  <c r="S3108" i="1" s="1"/>
  <c r="S3109" i="1" s="1"/>
  <c r="S3110" i="1" s="1"/>
  <c r="S3111" i="1" s="1"/>
  <c r="S3112" i="1" s="1"/>
  <c r="S3113" i="1" s="1"/>
  <c r="S3114" i="1" s="1"/>
  <c r="S3115" i="1" s="1"/>
  <c r="S3116" i="1" s="1"/>
  <c r="S3117" i="1" s="1"/>
  <c r="S3118" i="1" s="1"/>
  <c r="S3119" i="1" s="1"/>
  <c r="S3120" i="1" s="1"/>
  <c r="S3121" i="1" s="1"/>
  <c r="S3122" i="1" s="1"/>
  <c r="S3123" i="1" s="1"/>
  <c r="S3124" i="1" s="1"/>
  <c r="S3125" i="1" s="1"/>
  <c r="S3126" i="1" s="1"/>
  <c r="S3127" i="1" s="1"/>
  <c r="S3128" i="1" s="1"/>
  <c r="S3129" i="1" s="1"/>
  <c r="S3130" i="1" s="1"/>
  <c r="S3131" i="1" s="1"/>
  <c r="S3132" i="1" s="1"/>
  <c r="S3133" i="1" s="1"/>
  <c r="S3134" i="1" s="1"/>
  <c r="S3135" i="1" s="1"/>
  <c r="S3136" i="1" s="1"/>
  <c r="S3137" i="1" s="1"/>
  <c r="S3138" i="1" s="1"/>
  <c r="S3139" i="1" s="1"/>
  <c r="S3140" i="1" s="1"/>
  <c r="S3141" i="1" s="1"/>
  <c r="S3142" i="1" s="1"/>
  <c r="S3143" i="1" s="1"/>
  <c r="S3144" i="1" s="1"/>
  <c r="S3145" i="1" s="1"/>
  <c r="S3146" i="1" s="1"/>
  <c r="S3147" i="1" s="1"/>
  <c r="S3148" i="1" s="1"/>
  <c r="S3149" i="1" s="1"/>
  <c r="S3150" i="1" s="1"/>
  <c r="S3151" i="1" s="1"/>
  <c r="S3152" i="1" s="1"/>
  <c r="S3153" i="1" s="1"/>
  <c r="S3154" i="1" s="1"/>
  <c r="S3155" i="1" s="1"/>
  <c r="S3156" i="1" s="1"/>
  <c r="S3157" i="1" s="1"/>
  <c r="S3158" i="1" s="1"/>
  <c r="S3159" i="1" s="1"/>
  <c r="S3160" i="1" s="1"/>
  <c r="S3161" i="1" s="1"/>
  <c r="S3162" i="1" s="1"/>
  <c r="S3163" i="1" s="1"/>
  <c r="S3164" i="1" s="1"/>
  <c r="S3165" i="1" s="1"/>
  <c r="S3166" i="1" s="1"/>
  <c r="S3167" i="1" s="1"/>
  <c r="S3168" i="1" s="1"/>
  <c r="S3169" i="1" s="1"/>
  <c r="S3170" i="1" s="1"/>
  <c r="S3171" i="1" s="1"/>
  <c r="S3172" i="1" s="1"/>
  <c r="S3173" i="1" s="1"/>
  <c r="S3174" i="1" s="1"/>
  <c r="S3175" i="1" s="1"/>
  <c r="S3176" i="1" s="1"/>
  <c r="S3177" i="1" s="1"/>
  <c r="S3178" i="1" s="1"/>
  <c r="S3179" i="1" s="1"/>
  <c r="S3180" i="1" s="1"/>
  <c r="S3181" i="1" s="1"/>
  <c r="S3182" i="1" s="1"/>
  <c r="S3183" i="1" s="1"/>
  <c r="S3184" i="1" s="1"/>
  <c r="S3185" i="1" s="1"/>
  <c r="S3186" i="1" s="1"/>
  <c r="S3187" i="1" s="1"/>
  <c r="S3188" i="1" s="1"/>
  <c r="S3189" i="1" s="1"/>
  <c r="S3190" i="1" s="1"/>
  <c r="S3191" i="1" s="1"/>
  <c r="S3192" i="1" s="1"/>
  <c r="S3193" i="1" s="1"/>
  <c r="S3194" i="1" s="1"/>
  <c r="S3195" i="1" s="1"/>
  <c r="S3196" i="1" s="1"/>
  <c r="S3197" i="1" s="1"/>
  <c r="S3198" i="1" s="1"/>
  <c r="S3199" i="1" s="1"/>
  <c r="S3200" i="1" s="1"/>
  <c r="S3201" i="1" s="1"/>
  <c r="S3202" i="1" s="1"/>
  <c r="S3203" i="1" s="1"/>
  <c r="S3204" i="1" s="1"/>
  <c r="S3205" i="1" s="1"/>
  <c r="S3206" i="1" s="1"/>
  <c r="S3207" i="1" s="1"/>
  <c r="S3208" i="1" s="1"/>
  <c r="S3209" i="1" s="1"/>
  <c r="S3210" i="1" s="1"/>
  <c r="S3211" i="1" s="1"/>
  <c r="S3212" i="1" s="1"/>
  <c r="S3213" i="1" s="1"/>
  <c r="S3214" i="1" s="1"/>
  <c r="S3215" i="1" s="1"/>
  <c r="S3216" i="1" s="1"/>
  <c r="S3217" i="1" s="1"/>
  <c r="S3218" i="1" s="1"/>
  <c r="S3219" i="1" s="1"/>
  <c r="S3220" i="1" s="1"/>
  <c r="S3221" i="1" s="1"/>
  <c r="S3222" i="1" s="1"/>
  <c r="S3223" i="1" s="1"/>
  <c r="S3224" i="1" s="1"/>
  <c r="S3225" i="1" s="1"/>
  <c r="S3226" i="1" s="1"/>
  <c r="S3227" i="1" s="1"/>
  <c r="S3228" i="1" s="1"/>
  <c r="S3229" i="1" s="1"/>
  <c r="S3230" i="1" s="1"/>
  <c r="S3231" i="1" s="1"/>
  <c r="S3232" i="1" s="1"/>
  <c r="S3233" i="1" s="1"/>
  <c r="S3234" i="1" s="1"/>
  <c r="S3235" i="1" s="1"/>
  <c r="S3236" i="1" s="1"/>
  <c r="S3237" i="1" s="1"/>
  <c r="S3238" i="1" s="1"/>
  <c r="S3239" i="1" s="1"/>
  <c r="S3240" i="1" s="1"/>
  <c r="S3241" i="1" s="1"/>
  <c r="S3242" i="1" s="1"/>
  <c r="S3243" i="1" s="1"/>
  <c r="S3244" i="1" s="1"/>
  <c r="S3245" i="1" s="1"/>
  <c r="S3246" i="1" s="1"/>
  <c r="S3247" i="1" s="1"/>
  <c r="S3248" i="1" s="1"/>
  <c r="S3249" i="1" s="1"/>
  <c r="S3250" i="1" s="1"/>
  <c r="S3251" i="1" s="1"/>
  <c r="S3252" i="1" s="1"/>
  <c r="S3253" i="1" s="1"/>
  <c r="S3254" i="1" s="1"/>
  <c r="S3255" i="1" s="1"/>
  <c r="S3256" i="1" s="1"/>
  <c r="S3257" i="1" s="1"/>
  <c r="S3258" i="1" s="1"/>
  <c r="S3259" i="1" s="1"/>
  <c r="S3260" i="1" s="1"/>
  <c r="S3261" i="1" s="1"/>
  <c r="S3262" i="1" s="1"/>
  <c r="S3263" i="1" s="1"/>
  <c r="S3264" i="1" s="1"/>
  <c r="S3265" i="1" s="1"/>
  <c r="S3266" i="1" s="1"/>
  <c r="S3267" i="1" s="1"/>
  <c r="S3268" i="1" s="1"/>
  <c r="S3269" i="1" s="1"/>
  <c r="S3270" i="1" s="1"/>
  <c r="S3271" i="1" s="1"/>
  <c r="S3272" i="1" s="1"/>
  <c r="S3273" i="1" s="1"/>
  <c r="S3274" i="1" s="1"/>
  <c r="S3275" i="1" s="1"/>
  <c r="S3276" i="1" s="1"/>
  <c r="S3277" i="1" s="1"/>
  <c r="S3278" i="1" s="1"/>
  <c r="S3279" i="1" s="1"/>
  <c r="S3280" i="1" s="1"/>
  <c r="S3281" i="1" s="1"/>
  <c r="S3282" i="1" s="1"/>
  <c r="S3283" i="1" s="1"/>
  <c r="S3284" i="1" s="1"/>
  <c r="S3285" i="1" s="1"/>
  <c r="S3286" i="1" s="1"/>
  <c r="S3287" i="1" s="1"/>
  <c r="S3288" i="1" s="1"/>
  <c r="S3289" i="1" s="1"/>
  <c r="S3290" i="1" s="1"/>
  <c r="S3291" i="1" s="1"/>
  <c r="S3292" i="1" s="1"/>
  <c r="S3293" i="1" s="1"/>
  <c r="S3294" i="1" s="1"/>
  <c r="S3295" i="1" s="1"/>
  <c r="S3296" i="1" s="1"/>
  <c r="S3297" i="1" s="1"/>
  <c r="S3298" i="1" s="1"/>
  <c r="S3299" i="1" s="1"/>
  <c r="S3300" i="1" s="1"/>
  <c r="S3301" i="1" s="1"/>
  <c r="S3302" i="1" s="1"/>
  <c r="S3303" i="1" s="1"/>
  <c r="S3304" i="1" s="1"/>
  <c r="S3305" i="1" s="1"/>
  <c r="S3306" i="1" s="1"/>
  <c r="S3307" i="1" s="1"/>
  <c r="S3308" i="1" s="1"/>
  <c r="S3309" i="1" s="1"/>
  <c r="S3310" i="1" s="1"/>
  <c r="S3311" i="1" s="1"/>
  <c r="S3312" i="1" s="1"/>
  <c r="S3313" i="1" s="1"/>
  <c r="S3314" i="1" s="1"/>
  <c r="S3315" i="1" s="1"/>
  <c r="S3316" i="1" s="1"/>
  <c r="S3317" i="1" s="1"/>
  <c r="S3318" i="1" s="1"/>
  <c r="S3319" i="1" s="1"/>
  <c r="S3320" i="1" s="1"/>
  <c r="S3321" i="1" s="1"/>
  <c r="S3322" i="1" s="1"/>
  <c r="S3323" i="1" s="1"/>
  <c r="S3324" i="1" s="1"/>
  <c r="S3325" i="1" s="1"/>
  <c r="S3326" i="1" s="1"/>
  <c r="S3327" i="1" s="1"/>
  <c r="S3328" i="1" s="1"/>
  <c r="S3329" i="1" s="1"/>
  <c r="S3330" i="1" s="1"/>
  <c r="S3331" i="1" s="1"/>
  <c r="S3332" i="1" s="1"/>
  <c r="S3333" i="1" s="1"/>
  <c r="S3334" i="1" s="1"/>
  <c r="S3335" i="1" s="1"/>
  <c r="S3336" i="1" s="1"/>
  <c r="S3337" i="1" s="1"/>
  <c r="S3338" i="1" s="1"/>
  <c r="S3339" i="1" s="1"/>
  <c r="S3340" i="1" s="1"/>
  <c r="S3341" i="1" s="1"/>
  <c r="S3342" i="1" s="1"/>
  <c r="S3343" i="1" s="1"/>
  <c r="S3344" i="1" s="1"/>
  <c r="S3345" i="1" s="1"/>
  <c r="S3346" i="1" s="1"/>
  <c r="S3347" i="1" s="1"/>
  <c r="S3348" i="1" s="1"/>
  <c r="S3349" i="1" s="1"/>
  <c r="S3350" i="1" s="1"/>
  <c r="S3351" i="1" s="1"/>
  <c r="S3352" i="1" s="1"/>
  <c r="S3353" i="1" s="1"/>
  <c r="S3354" i="1" s="1"/>
  <c r="S3355" i="1" s="1"/>
  <c r="S3356" i="1" s="1"/>
  <c r="S3357" i="1" s="1"/>
  <c r="S3358" i="1" s="1"/>
  <c r="S3359" i="1" s="1"/>
  <c r="S3360" i="1" s="1"/>
  <c r="S3361" i="1" s="1"/>
  <c r="S3362" i="1" s="1"/>
  <c r="S3363" i="1" s="1"/>
  <c r="S3364" i="1" s="1"/>
  <c r="S3365" i="1" s="1"/>
  <c r="S3366" i="1" s="1"/>
  <c r="S3367" i="1" s="1"/>
  <c r="S3368" i="1" s="1"/>
  <c r="S3369" i="1" s="1"/>
  <c r="S3370" i="1" s="1"/>
  <c r="S3371" i="1" s="1"/>
  <c r="S3372" i="1" s="1"/>
  <c r="S3373" i="1" s="1"/>
  <c r="S3374" i="1" s="1"/>
  <c r="S3375" i="1" s="1"/>
  <c r="S3376" i="1" s="1"/>
  <c r="S3377" i="1" s="1"/>
  <c r="S3378" i="1" s="1"/>
  <c r="S3379" i="1" s="1"/>
  <c r="S3380" i="1" s="1"/>
  <c r="S3381" i="1" s="1"/>
  <c r="S3382" i="1" s="1"/>
  <c r="S3383" i="1" s="1"/>
  <c r="S3384" i="1" s="1"/>
  <c r="S3385" i="1" s="1"/>
  <c r="S3386" i="1" s="1"/>
  <c r="S3387" i="1" s="1"/>
  <c r="S3388" i="1" s="1"/>
  <c r="S3389" i="1" s="1"/>
  <c r="S3390" i="1" s="1"/>
  <c r="S3391" i="1" s="1"/>
  <c r="S3392" i="1" s="1"/>
  <c r="S3393" i="1" s="1"/>
  <c r="S3394" i="1" s="1"/>
  <c r="S3395" i="1" s="1"/>
  <c r="S3396" i="1" s="1"/>
  <c r="S3397" i="1" s="1"/>
  <c r="S3398" i="1" s="1"/>
  <c r="S3399" i="1" s="1"/>
  <c r="S3400" i="1" s="1"/>
  <c r="S3401" i="1" s="1"/>
  <c r="S3402" i="1" s="1"/>
  <c r="S3403" i="1" s="1"/>
  <c r="S3404" i="1" s="1"/>
  <c r="S3405" i="1" s="1"/>
  <c r="S3406" i="1" s="1"/>
  <c r="S3407" i="1" s="1"/>
  <c r="S3408" i="1" s="1"/>
  <c r="S3409" i="1" s="1"/>
  <c r="S3410" i="1" s="1"/>
  <c r="S3411" i="1" s="1"/>
  <c r="S3412" i="1" s="1"/>
  <c r="S3413" i="1" s="1"/>
  <c r="S3414" i="1" s="1"/>
  <c r="S3415" i="1" s="1"/>
  <c r="S3416" i="1" s="1"/>
  <c r="S3417" i="1" s="1"/>
  <c r="S3418" i="1" s="1"/>
  <c r="S3419" i="1" s="1"/>
  <c r="S3420" i="1" s="1"/>
  <c r="S3421" i="1" s="1"/>
  <c r="S3422" i="1" s="1"/>
  <c r="S3423" i="1" s="1"/>
  <c r="S3424" i="1" s="1"/>
  <c r="S3425" i="1" s="1"/>
  <c r="S3426" i="1" s="1"/>
  <c r="S3427" i="1" s="1"/>
  <c r="S3428" i="1" s="1"/>
  <c r="S3429" i="1" s="1"/>
  <c r="S3430" i="1" s="1"/>
  <c r="S3431" i="1" s="1"/>
  <c r="S3432" i="1" s="1"/>
  <c r="S3433" i="1" s="1"/>
  <c r="S3434" i="1" s="1"/>
  <c r="S3435" i="1" s="1"/>
  <c r="S3436" i="1" s="1"/>
  <c r="S3437" i="1" s="1"/>
  <c r="S3438" i="1" s="1"/>
  <c r="S3439" i="1" s="1"/>
  <c r="S3440" i="1" s="1"/>
  <c r="S3441" i="1" s="1"/>
  <c r="S3442" i="1" s="1"/>
  <c r="S3443" i="1" s="1"/>
  <c r="S3444" i="1" s="1"/>
  <c r="S3445" i="1" s="1"/>
  <c r="S3446" i="1" s="1"/>
  <c r="S3447" i="1" s="1"/>
  <c r="S3448" i="1" s="1"/>
  <c r="S3449" i="1" s="1"/>
  <c r="S3450" i="1" s="1"/>
  <c r="S3451" i="1" s="1"/>
  <c r="S3452" i="1" s="1"/>
  <c r="S3453" i="1" s="1"/>
  <c r="S3454" i="1" s="1"/>
  <c r="S3455" i="1" s="1"/>
  <c r="S3456" i="1" s="1"/>
  <c r="S3457" i="1" s="1"/>
  <c r="S3458" i="1" s="1"/>
  <c r="S3459" i="1" s="1"/>
  <c r="S3460" i="1" s="1"/>
  <c r="S3461" i="1" s="1"/>
  <c r="S3462" i="1" s="1"/>
  <c r="S3463" i="1" s="1"/>
  <c r="S3464" i="1" s="1"/>
  <c r="S3465" i="1" s="1"/>
  <c r="S3466" i="1" s="1"/>
  <c r="S3467" i="1" s="1"/>
  <c r="S3468" i="1" s="1"/>
  <c r="S3469" i="1" s="1"/>
  <c r="S3470" i="1" s="1"/>
  <c r="S3471" i="1" s="1"/>
  <c r="S3472" i="1" s="1"/>
  <c r="S3473" i="1" s="1"/>
  <c r="S3474" i="1" s="1"/>
  <c r="S3475" i="1" s="1"/>
  <c r="S3476" i="1" s="1"/>
  <c r="S3477" i="1" s="1"/>
  <c r="S3478" i="1" s="1"/>
  <c r="S3479" i="1" s="1"/>
  <c r="S3480" i="1" s="1"/>
  <c r="S3481" i="1" s="1"/>
  <c r="S3482" i="1" s="1"/>
  <c r="S3483" i="1" s="1"/>
  <c r="S3484" i="1" s="1"/>
  <c r="S3485" i="1" s="1"/>
  <c r="S3486" i="1" s="1"/>
  <c r="S3487" i="1" s="1"/>
  <c r="S3488" i="1" s="1"/>
  <c r="S3489" i="1" s="1"/>
  <c r="S3490" i="1" s="1"/>
  <c r="S3491" i="1" s="1"/>
  <c r="S3492" i="1" s="1"/>
  <c r="S3493" i="1" s="1"/>
  <c r="S3494" i="1" s="1"/>
  <c r="S3495" i="1" s="1"/>
  <c r="S3496" i="1" s="1"/>
  <c r="S3497" i="1" s="1"/>
  <c r="S3498" i="1" s="1"/>
  <c r="S3499" i="1" s="1"/>
  <c r="S3500" i="1" s="1"/>
  <c r="S3501" i="1" s="1"/>
  <c r="S3502" i="1" s="1"/>
  <c r="S3503" i="1" s="1"/>
  <c r="S3504" i="1" s="1"/>
  <c r="S3505" i="1" s="1"/>
  <c r="S3506" i="1" s="1"/>
  <c r="S3507" i="1" s="1"/>
  <c r="S3508" i="1" s="1"/>
  <c r="S3509" i="1" s="1"/>
  <c r="S3510" i="1" s="1"/>
  <c r="S3511" i="1" s="1"/>
  <c r="S3512" i="1" s="1"/>
  <c r="S3513" i="1" s="1"/>
  <c r="S3514" i="1" s="1"/>
  <c r="S3515" i="1" s="1"/>
  <c r="S3516" i="1" s="1"/>
  <c r="S3517" i="1" s="1"/>
  <c r="S3518" i="1" s="1"/>
  <c r="S3519" i="1" s="1"/>
  <c r="S3520" i="1" s="1"/>
  <c r="S3521" i="1" s="1"/>
  <c r="S3522" i="1" s="1"/>
  <c r="S3523" i="1" s="1"/>
  <c r="S3524" i="1" s="1"/>
  <c r="S3525" i="1" s="1"/>
  <c r="S3526" i="1" s="1"/>
  <c r="S3527" i="1" s="1"/>
  <c r="S3528" i="1" s="1"/>
  <c r="S3529" i="1" s="1"/>
  <c r="S3530" i="1" s="1"/>
  <c r="S3531" i="1" s="1"/>
  <c r="S3532" i="1" s="1"/>
  <c r="S3533" i="1" s="1"/>
  <c r="S3534" i="1" s="1"/>
  <c r="S3535" i="1" s="1"/>
  <c r="S3536" i="1" s="1"/>
  <c r="S3537" i="1" s="1"/>
  <c r="S3538" i="1" s="1"/>
  <c r="S3539" i="1" s="1"/>
  <c r="S3540" i="1" s="1"/>
  <c r="S3541" i="1" s="1"/>
  <c r="S3542" i="1" s="1"/>
  <c r="S3543" i="1" s="1"/>
  <c r="S3544" i="1" s="1"/>
  <c r="S3545" i="1" s="1"/>
  <c r="S3546" i="1" s="1"/>
  <c r="S3547" i="1" s="1"/>
  <c r="S3548" i="1" s="1"/>
  <c r="S3549" i="1" s="1"/>
  <c r="S3550" i="1" s="1"/>
  <c r="S3551" i="1" s="1"/>
  <c r="S3552" i="1" s="1"/>
  <c r="S3553" i="1" s="1"/>
  <c r="S3554" i="1" s="1"/>
  <c r="S3555" i="1" s="1"/>
  <c r="S3556" i="1" s="1"/>
  <c r="S3557" i="1" s="1"/>
  <c r="S3558" i="1" s="1"/>
  <c r="S3559" i="1" s="1"/>
  <c r="S3560" i="1" s="1"/>
  <c r="S3561" i="1" s="1"/>
  <c r="S3562" i="1" s="1"/>
  <c r="S3563" i="1" s="1"/>
  <c r="S3564" i="1" s="1"/>
  <c r="S3565" i="1" s="1"/>
  <c r="S3566" i="1" s="1"/>
  <c r="S3567" i="1" s="1"/>
  <c r="S3568" i="1" s="1"/>
  <c r="S3569" i="1" s="1"/>
  <c r="S3570" i="1" s="1"/>
  <c r="S3571" i="1" s="1"/>
  <c r="S3572" i="1" s="1"/>
  <c r="S3573" i="1" s="1"/>
  <c r="S3574" i="1" s="1"/>
  <c r="S3575" i="1" s="1"/>
  <c r="S3576" i="1" s="1"/>
  <c r="S3577" i="1" s="1"/>
  <c r="S3578" i="1" s="1"/>
  <c r="S3579" i="1" s="1"/>
  <c r="S3580" i="1" s="1"/>
  <c r="S3581" i="1" s="1"/>
  <c r="S3582" i="1" s="1"/>
  <c r="S3583" i="1" s="1"/>
  <c r="S3584" i="1" s="1"/>
  <c r="S3585" i="1" s="1"/>
  <c r="S3586" i="1" s="1"/>
  <c r="S3587" i="1" s="1"/>
  <c r="S3588" i="1" s="1"/>
  <c r="S3589" i="1" s="1"/>
  <c r="S3590" i="1" s="1"/>
  <c r="S3591" i="1" s="1"/>
  <c r="S3592" i="1" s="1"/>
  <c r="S3593" i="1" s="1"/>
  <c r="S3594" i="1" s="1"/>
  <c r="S3595" i="1" s="1"/>
  <c r="S3596" i="1" s="1"/>
  <c r="S3597" i="1" s="1"/>
  <c r="S3598" i="1" s="1"/>
  <c r="S3599" i="1" s="1"/>
  <c r="S3600" i="1" s="1"/>
  <c r="S3601" i="1" s="1"/>
  <c r="S3602" i="1" s="1"/>
  <c r="S3603" i="1" s="1"/>
  <c r="S3604" i="1" s="1"/>
  <c r="S3605" i="1" s="1"/>
  <c r="S3606" i="1" s="1"/>
  <c r="S3607" i="1" s="1"/>
  <c r="S3608" i="1" s="1"/>
  <c r="S3609" i="1" s="1"/>
  <c r="S3610" i="1" s="1"/>
  <c r="S3611" i="1" s="1"/>
  <c r="S3612" i="1" s="1"/>
  <c r="S3613" i="1" s="1"/>
  <c r="S3614" i="1" s="1"/>
  <c r="S3615" i="1" s="1"/>
  <c r="S3616" i="1" s="1"/>
  <c r="S3617" i="1" s="1"/>
  <c r="S3618" i="1" s="1"/>
  <c r="S3619" i="1" s="1"/>
  <c r="S3620" i="1" s="1"/>
  <c r="S3621" i="1" s="1"/>
  <c r="S3622" i="1" s="1"/>
  <c r="S3623" i="1" s="1"/>
  <c r="S3624" i="1" s="1"/>
  <c r="S3625" i="1" s="1"/>
  <c r="S3626" i="1" s="1"/>
  <c r="S3627" i="1" s="1"/>
  <c r="S3628" i="1" s="1"/>
  <c r="S3629" i="1" s="1"/>
  <c r="S3630" i="1" s="1"/>
  <c r="S3631" i="1" s="1"/>
  <c r="S3632" i="1" s="1"/>
  <c r="S3633" i="1" s="1"/>
  <c r="S3634" i="1" s="1"/>
  <c r="S3635" i="1" s="1"/>
  <c r="S3636" i="1" s="1"/>
  <c r="S3637" i="1" s="1"/>
  <c r="S3638" i="1" s="1"/>
  <c r="S3639" i="1" s="1"/>
  <c r="S3640" i="1" s="1"/>
  <c r="S3641" i="1" s="1"/>
  <c r="S3642" i="1" s="1"/>
  <c r="S3643" i="1" s="1"/>
  <c r="S3644" i="1" s="1"/>
  <c r="S3645" i="1" s="1"/>
  <c r="S3646" i="1" s="1"/>
  <c r="S3647" i="1" s="1"/>
  <c r="S3648" i="1" s="1"/>
  <c r="S3649" i="1" s="1"/>
  <c r="S3650" i="1" s="1"/>
  <c r="S3651" i="1" s="1"/>
  <c r="S3652" i="1" s="1"/>
  <c r="S3653" i="1" s="1"/>
  <c r="S3654" i="1" s="1"/>
  <c r="S3655" i="1" s="1"/>
  <c r="S3656" i="1" s="1"/>
  <c r="S3657" i="1" s="1"/>
  <c r="S3658" i="1" s="1"/>
  <c r="S3659" i="1" s="1"/>
  <c r="S3660" i="1" s="1"/>
  <c r="S3661" i="1" s="1"/>
  <c r="S3662" i="1" s="1"/>
  <c r="S3663" i="1" s="1"/>
  <c r="S3664" i="1" s="1"/>
  <c r="S3665" i="1" s="1"/>
  <c r="S3666" i="1" s="1"/>
  <c r="S3667" i="1" s="1"/>
  <c r="S3668" i="1" s="1"/>
  <c r="S3669" i="1" s="1"/>
  <c r="S3670" i="1" s="1"/>
  <c r="S3671" i="1" s="1"/>
  <c r="S3672" i="1" s="1"/>
  <c r="S3673" i="1" s="1"/>
  <c r="S3674" i="1" s="1"/>
  <c r="S3675" i="1" s="1"/>
  <c r="S3676" i="1" s="1"/>
  <c r="S3677" i="1" s="1"/>
  <c r="S3678" i="1" s="1"/>
  <c r="S3679" i="1" s="1"/>
  <c r="S3680" i="1" s="1"/>
  <c r="S3681" i="1" s="1"/>
  <c r="S3682" i="1" s="1"/>
  <c r="S3683" i="1" s="1"/>
  <c r="S3684" i="1" s="1"/>
  <c r="S3685" i="1" s="1"/>
  <c r="S3686" i="1" s="1"/>
  <c r="S3687" i="1" s="1"/>
  <c r="S3688" i="1" s="1"/>
  <c r="S3689" i="1" s="1"/>
  <c r="S3690" i="1" s="1"/>
  <c r="S3691" i="1" s="1"/>
  <c r="S3692" i="1" s="1"/>
  <c r="S3693" i="1" s="1"/>
  <c r="S3694" i="1" s="1"/>
  <c r="S3695" i="1" s="1"/>
  <c r="S3696" i="1" s="1"/>
  <c r="S3697" i="1" s="1"/>
  <c r="S3698" i="1" s="1"/>
  <c r="S3699" i="1" s="1"/>
  <c r="S3700" i="1" s="1"/>
  <c r="S3701" i="1" s="1"/>
  <c r="S3702" i="1" s="1"/>
  <c r="S3703" i="1" s="1"/>
  <c r="S3704" i="1" s="1"/>
  <c r="S3705" i="1" s="1"/>
  <c r="S3706" i="1" s="1"/>
  <c r="S3707" i="1" s="1"/>
  <c r="S3708" i="1" s="1"/>
  <c r="S3709" i="1" s="1"/>
  <c r="S3710" i="1" s="1"/>
  <c r="S3711" i="1" s="1"/>
  <c r="S3712" i="1" s="1"/>
  <c r="S3713" i="1" s="1"/>
  <c r="S3714" i="1" s="1"/>
  <c r="S3715" i="1" s="1"/>
  <c r="S3716" i="1" s="1"/>
  <c r="S3717" i="1" s="1"/>
  <c r="S3718" i="1" s="1"/>
  <c r="S3719" i="1" s="1"/>
  <c r="S3720" i="1" s="1"/>
  <c r="S3721" i="1" s="1"/>
  <c r="S3722" i="1" s="1"/>
  <c r="S3723" i="1" s="1"/>
  <c r="S3724" i="1" s="1"/>
  <c r="S3725" i="1" s="1"/>
  <c r="S3726" i="1" s="1"/>
  <c r="S3727" i="1" s="1"/>
  <c r="S3728" i="1" s="1"/>
  <c r="S3729" i="1" s="1"/>
  <c r="S3730" i="1" s="1"/>
  <c r="S3731" i="1" s="1"/>
  <c r="S3732" i="1" s="1"/>
  <c r="S3733" i="1" s="1"/>
  <c r="S3734" i="1" s="1"/>
  <c r="S3735" i="1" s="1"/>
  <c r="S3736" i="1" s="1"/>
  <c r="S3737" i="1" s="1"/>
  <c r="S3738" i="1" s="1"/>
  <c r="S3739" i="1" s="1"/>
  <c r="S3740" i="1" s="1"/>
  <c r="S3741" i="1" s="1"/>
  <c r="S3742" i="1" s="1"/>
  <c r="S3743" i="1" s="1"/>
  <c r="S3744" i="1" s="1"/>
  <c r="S3745" i="1" s="1"/>
  <c r="S3746" i="1" s="1"/>
  <c r="S3747" i="1" s="1"/>
  <c r="S3748" i="1" s="1"/>
  <c r="S3749" i="1" s="1"/>
  <c r="S3750" i="1" s="1"/>
  <c r="S3751" i="1" s="1"/>
  <c r="S3752" i="1" s="1"/>
  <c r="S3753" i="1" s="1"/>
  <c r="S3754" i="1" s="1"/>
  <c r="S3755" i="1" s="1"/>
  <c r="S3756" i="1" s="1"/>
  <c r="S3757" i="1" s="1"/>
  <c r="S3758" i="1" s="1"/>
  <c r="S3759" i="1" s="1"/>
  <c r="S3760" i="1" s="1"/>
  <c r="S3761" i="1" s="1"/>
  <c r="S3762" i="1" s="1"/>
  <c r="S3763" i="1" s="1"/>
  <c r="S3764" i="1" s="1"/>
  <c r="S3765" i="1" s="1"/>
  <c r="S3766" i="1" s="1"/>
  <c r="S3767" i="1" s="1"/>
  <c r="S3768" i="1" s="1"/>
  <c r="S3769" i="1" s="1"/>
  <c r="S3770" i="1" s="1"/>
  <c r="S3771" i="1" s="1"/>
  <c r="S3772" i="1" s="1"/>
  <c r="S3773" i="1" s="1"/>
  <c r="S3774" i="1" s="1"/>
  <c r="S3775" i="1" s="1"/>
  <c r="S3776" i="1" s="1"/>
  <c r="S3777" i="1" s="1"/>
  <c r="S3778" i="1" s="1"/>
  <c r="S3779" i="1" s="1"/>
  <c r="S3780" i="1" s="1"/>
  <c r="S3781" i="1" s="1"/>
  <c r="S3782" i="1" s="1"/>
  <c r="S3783" i="1" s="1"/>
  <c r="S3784" i="1" s="1"/>
  <c r="S3785" i="1" s="1"/>
  <c r="S3786" i="1" s="1"/>
  <c r="S3787" i="1" s="1"/>
  <c r="S3788" i="1" s="1"/>
  <c r="S3789" i="1" s="1"/>
  <c r="S3790" i="1" s="1"/>
  <c r="S3791" i="1" s="1"/>
  <c r="S3792" i="1" s="1"/>
  <c r="S3793" i="1" s="1"/>
  <c r="S3794" i="1" s="1"/>
  <c r="S3795" i="1" s="1"/>
  <c r="S3796" i="1" s="1"/>
  <c r="S3797" i="1" s="1"/>
  <c r="S3798" i="1" s="1"/>
  <c r="S3799" i="1" s="1"/>
  <c r="S3800" i="1" s="1"/>
  <c r="S3801" i="1" s="1"/>
  <c r="S3802" i="1" s="1"/>
  <c r="S3803" i="1" s="1"/>
  <c r="S3804" i="1" s="1"/>
  <c r="S3805" i="1" s="1"/>
  <c r="S3806" i="1" s="1"/>
  <c r="S3807" i="1" s="1"/>
  <c r="S3808" i="1" s="1"/>
  <c r="S3809" i="1" s="1"/>
  <c r="S3810" i="1" s="1"/>
  <c r="S3811" i="1" s="1"/>
  <c r="S3812" i="1" s="1"/>
  <c r="S3813" i="1" s="1"/>
  <c r="S3814" i="1" s="1"/>
  <c r="S3815" i="1" s="1"/>
  <c r="S3816" i="1" s="1"/>
  <c r="S3817" i="1" s="1"/>
  <c r="S3818" i="1" s="1"/>
  <c r="S3819" i="1" s="1"/>
  <c r="S3820" i="1" s="1"/>
  <c r="S3821" i="1" s="1"/>
  <c r="S3822" i="1" s="1"/>
  <c r="S3823" i="1" s="1"/>
  <c r="S3824" i="1" s="1"/>
  <c r="S3825" i="1" s="1"/>
  <c r="S3826" i="1" s="1"/>
  <c r="S3827" i="1" s="1"/>
  <c r="S3828" i="1" s="1"/>
  <c r="S3829" i="1" s="1"/>
  <c r="S3830" i="1" s="1"/>
  <c r="S3831" i="1" s="1"/>
  <c r="S3832" i="1" s="1"/>
  <c r="S3833" i="1" s="1"/>
  <c r="S3834" i="1" s="1"/>
  <c r="S3835" i="1" s="1"/>
  <c r="S3836" i="1" s="1"/>
  <c r="S3837" i="1" s="1"/>
  <c r="S3838" i="1" s="1"/>
  <c r="S3839" i="1" s="1"/>
  <c r="S3840" i="1" s="1"/>
  <c r="S3841" i="1" s="1"/>
  <c r="S3842" i="1" s="1"/>
  <c r="S3843" i="1" s="1"/>
  <c r="S3844" i="1" s="1"/>
  <c r="S3845" i="1" s="1"/>
  <c r="S3846" i="1" s="1"/>
  <c r="S3847" i="1" s="1"/>
  <c r="S3848" i="1" s="1"/>
  <c r="S3849" i="1" s="1"/>
  <c r="S3850" i="1" s="1"/>
  <c r="S3851" i="1" s="1"/>
  <c r="S3852" i="1" s="1"/>
  <c r="S3853" i="1" s="1"/>
  <c r="S3854" i="1" s="1"/>
  <c r="S3855" i="1" s="1"/>
  <c r="S3856" i="1" s="1"/>
  <c r="S3857" i="1" s="1"/>
  <c r="S3858" i="1" s="1"/>
  <c r="S3859" i="1" s="1"/>
  <c r="S3860" i="1" s="1"/>
  <c r="S3861" i="1" s="1"/>
  <c r="S3862" i="1" s="1"/>
  <c r="S3863" i="1" s="1"/>
  <c r="S3864" i="1" s="1"/>
  <c r="S3865" i="1" s="1"/>
  <c r="S3866" i="1" s="1"/>
  <c r="S3867" i="1" s="1"/>
  <c r="S3868" i="1" s="1"/>
  <c r="S3869" i="1" s="1"/>
  <c r="S3870" i="1" s="1"/>
  <c r="S3871" i="1" s="1"/>
  <c r="S3872" i="1" s="1"/>
  <c r="S3873" i="1" s="1"/>
  <c r="S3874" i="1" s="1"/>
  <c r="S3875" i="1" s="1"/>
  <c r="S3876" i="1" s="1"/>
  <c r="S3877" i="1" s="1"/>
  <c r="S3878" i="1" s="1"/>
  <c r="S3879" i="1" s="1"/>
  <c r="S3880" i="1" s="1"/>
  <c r="S3881" i="1" s="1"/>
  <c r="S3882" i="1" s="1"/>
  <c r="S3883" i="1" s="1"/>
  <c r="S3884" i="1" s="1"/>
  <c r="S3885" i="1" s="1"/>
  <c r="S3886" i="1" s="1"/>
  <c r="S3887" i="1" s="1"/>
  <c r="S3888" i="1" s="1"/>
  <c r="S3889" i="1" s="1"/>
  <c r="S3890" i="1" s="1"/>
  <c r="S3891" i="1" s="1"/>
  <c r="S3892" i="1" s="1"/>
  <c r="S3893" i="1" s="1"/>
  <c r="S3894" i="1" s="1"/>
  <c r="S3895" i="1" s="1"/>
  <c r="S3896" i="1" s="1"/>
  <c r="S3897" i="1" s="1"/>
  <c r="S3898" i="1" s="1"/>
  <c r="S3899" i="1" s="1"/>
  <c r="S3900" i="1" s="1"/>
  <c r="S3901" i="1" s="1"/>
  <c r="S3902" i="1" s="1"/>
  <c r="S3903" i="1" s="1"/>
  <c r="S3904" i="1" s="1"/>
  <c r="S3905" i="1" s="1"/>
  <c r="S3906" i="1" s="1"/>
  <c r="S3907" i="1" s="1"/>
  <c r="S3908" i="1" s="1"/>
  <c r="S3909" i="1" s="1"/>
  <c r="S3910" i="1" s="1"/>
  <c r="S3911" i="1" s="1"/>
  <c r="S3912" i="1" s="1"/>
  <c r="S3913" i="1" s="1"/>
  <c r="S3914" i="1" s="1"/>
  <c r="S3915" i="1" s="1"/>
  <c r="S3916" i="1" s="1"/>
  <c r="S3917" i="1" s="1"/>
  <c r="S3918" i="1" s="1"/>
  <c r="S3919" i="1" s="1"/>
  <c r="S3920" i="1" s="1"/>
  <c r="S3921" i="1" s="1"/>
  <c r="S3922" i="1" s="1"/>
  <c r="S3923" i="1" s="1"/>
  <c r="S3924" i="1" s="1"/>
  <c r="S3925" i="1" s="1"/>
  <c r="S3926" i="1" s="1"/>
  <c r="S3927" i="1" s="1"/>
  <c r="S3928" i="1" s="1"/>
  <c r="S3929" i="1" s="1"/>
  <c r="S3930" i="1" s="1"/>
  <c r="S3931" i="1" s="1"/>
  <c r="S3932" i="1" s="1"/>
  <c r="S3933" i="1" s="1"/>
  <c r="S3934" i="1" s="1"/>
  <c r="S3935" i="1" s="1"/>
  <c r="S3936" i="1" s="1"/>
  <c r="S3937" i="1" s="1"/>
  <c r="S3938" i="1" s="1"/>
  <c r="S3939" i="1" s="1"/>
  <c r="S3940" i="1" s="1"/>
  <c r="S3941" i="1" s="1"/>
  <c r="S3942" i="1" s="1"/>
  <c r="S3943" i="1" s="1"/>
  <c r="S3944" i="1" s="1"/>
  <c r="S3945" i="1" s="1"/>
  <c r="S3946" i="1" s="1"/>
  <c r="S3947" i="1" s="1"/>
  <c r="S3948" i="1" s="1"/>
  <c r="S3949" i="1" s="1"/>
  <c r="S3950" i="1" s="1"/>
  <c r="S3951" i="1" s="1"/>
  <c r="S3952" i="1" s="1"/>
  <c r="S3953" i="1" s="1"/>
  <c r="S3954" i="1" s="1"/>
  <c r="S3955" i="1" s="1"/>
  <c r="S3956" i="1" s="1"/>
  <c r="S3957" i="1" s="1"/>
  <c r="S3958" i="1" s="1"/>
  <c r="S3959" i="1" s="1"/>
  <c r="S3960" i="1" s="1"/>
  <c r="S3961" i="1" s="1"/>
  <c r="S3962" i="1" s="1"/>
  <c r="S3963" i="1" s="1"/>
  <c r="S3964" i="1" s="1"/>
  <c r="S3965" i="1" s="1"/>
  <c r="S3966" i="1" s="1"/>
  <c r="S3967" i="1" s="1"/>
  <c r="S3968" i="1" s="1"/>
  <c r="S3969" i="1" s="1"/>
  <c r="S3970" i="1" s="1"/>
  <c r="S3971" i="1" s="1"/>
  <c r="S3972" i="1" s="1"/>
  <c r="S3973" i="1" s="1"/>
  <c r="S3974" i="1" s="1"/>
  <c r="S3975" i="1" s="1"/>
  <c r="S3976" i="1" s="1"/>
  <c r="S3977" i="1" s="1"/>
  <c r="S3978" i="1" s="1"/>
  <c r="S3979" i="1" s="1"/>
  <c r="S3980" i="1" s="1"/>
  <c r="S3981" i="1" s="1"/>
  <c r="S3982" i="1" s="1"/>
  <c r="S3983" i="1" s="1"/>
  <c r="S3984" i="1" s="1"/>
  <c r="S3985" i="1" s="1"/>
  <c r="S3986" i="1" s="1"/>
  <c r="S3987" i="1" s="1"/>
  <c r="S3988" i="1" s="1"/>
  <c r="S3989" i="1" s="1"/>
  <c r="S3990" i="1" s="1"/>
  <c r="S3991" i="1" s="1"/>
  <c r="S3992" i="1" s="1"/>
  <c r="S3993" i="1" s="1"/>
  <c r="S3994" i="1" s="1"/>
  <c r="S3995" i="1" s="1"/>
  <c r="S3996" i="1" s="1"/>
  <c r="S3997" i="1" s="1"/>
  <c r="S3998" i="1" s="1"/>
  <c r="S3999" i="1" s="1"/>
  <c r="S4000" i="1" s="1"/>
  <c r="S4001" i="1" s="1"/>
  <c r="S4002" i="1" s="1"/>
  <c r="S4003" i="1" s="1"/>
  <c r="S4004" i="1" s="1"/>
  <c r="S4005" i="1" s="1"/>
  <c r="S4006" i="1" s="1"/>
  <c r="S4007" i="1" s="1"/>
  <c r="S4008" i="1" s="1"/>
  <c r="S4009" i="1" s="1"/>
  <c r="S4010" i="1" s="1"/>
  <c r="S4011" i="1" s="1"/>
  <c r="S4012" i="1" s="1"/>
  <c r="S4013" i="1" s="1"/>
  <c r="S4014" i="1" s="1"/>
  <c r="S4015" i="1" s="1"/>
  <c r="S4016" i="1" s="1"/>
  <c r="S4017" i="1" s="1"/>
  <c r="S4018" i="1" s="1"/>
  <c r="S4019" i="1" s="1"/>
  <c r="S4020" i="1" s="1"/>
  <c r="S4021" i="1" s="1"/>
  <c r="S4022" i="1" s="1"/>
  <c r="S4023" i="1" s="1"/>
  <c r="S4024" i="1" s="1"/>
  <c r="S4025" i="1" s="1"/>
  <c r="S4026" i="1" s="1"/>
  <c r="S4027" i="1" s="1"/>
  <c r="S4028" i="1" s="1"/>
  <c r="S4029" i="1" s="1"/>
  <c r="S4030" i="1" s="1"/>
  <c r="S4031" i="1" s="1"/>
  <c r="S4032" i="1" s="1"/>
  <c r="S4033" i="1" s="1"/>
  <c r="S4034" i="1" s="1"/>
  <c r="S4035" i="1" s="1"/>
  <c r="S4036" i="1" s="1"/>
  <c r="S4037" i="1" s="1"/>
  <c r="S4038" i="1" s="1"/>
  <c r="S4039" i="1" s="1"/>
  <c r="S4040" i="1" s="1"/>
  <c r="S4041" i="1" s="1"/>
  <c r="S4042" i="1" s="1"/>
  <c r="S4043" i="1" s="1"/>
  <c r="S4044" i="1" s="1"/>
  <c r="S4045" i="1" s="1"/>
  <c r="S4046" i="1" s="1"/>
  <c r="S4047" i="1" s="1"/>
  <c r="S4048" i="1" s="1"/>
  <c r="S4049" i="1" s="1"/>
  <c r="S4050" i="1" s="1"/>
  <c r="S4051" i="1" s="1"/>
  <c r="S4052" i="1" s="1"/>
  <c r="S4053" i="1" s="1"/>
  <c r="S4054" i="1" s="1"/>
  <c r="S4055" i="1" s="1"/>
  <c r="S4056" i="1" s="1"/>
  <c r="S4057" i="1" s="1"/>
  <c r="S4058" i="1" s="1"/>
  <c r="S4059" i="1" s="1"/>
  <c r="S4060" i="1" s="1"/>
  <c r="S4061" i="1" s="1"/>
  <c r="S4062" i="1" s="1"/>
  <c r="S4063" i="1" s="1"/>
  <c r="S4064" i="1" s="1"/>
  <c r="S4065" i="1" s="1"/>
  <c r="S4066" i="1" s="1"/>
  <c r="S4067" i="1" s="1"/>
  <c r="S4068" i="1" s="1"/>
  <c r="S4069" i="1" s="1"/>
  <c r="S4070" i="1" s="1"/>
  <c r="S4071" i="1" s="1"/>
  <c r="S4072" i="1" s="1"/>
  <c r="S4073" i="1" s="1"/>
  <c r="S4074" i="1" s="1"/>
  <c r="S4075" i="1" s="1"/>
  <c r="S4076" i="1" s="1"/>
  <c r="S4077" i="1" s="1"/>
  <c r="S4078" i="1" s="1"/>
  <c r="S4079" i="1" s="1"/>
  <c r="S4080" i="1" s="1"/>
  <c r="S4081" i="1" s="1"/>
  <c r="S4082" i="1" s="1"/>
  <c r="S4083" i="1" s="1"/>
  <c r="S4084" i="1" s="1"/>
  <c r="S4085" i="1" s="1"/>
  <c r="S4086" i="1" s="1"/>
  <c r="S4087" i="1" s="1"/>
  <c r="S4088" i="1" s="1"/>
  <c r="S4089" i="1" s="1"/>
  <c r="S4090" i="1" s="1"/>
  <c r="S4091" i="1" s="1"/>
  <c r="S4092" i="1" s="1"/>
  <c r="S4093" i="1" s="1"/>
  <c r="S4094" i="1" s="1"/>
  <c r="S4095" i="1" s="1"/>
  <c r="S4096" i="1" s="1"/>
  <c r="S4097" i="1" s="1"/>
  <c r="S4098" i="1" s="1"/>
  <c r="S4099" i="1" s="1"/>
  <c r="S4100" i="1" s="1"/>
  <c r="S4101" i="1" s="1"/>
  <c r="S4102" i="1" s="1"/>
  <c r="S4103" i="1" s="1"/>
  <c r="S4104" i="1" s="1"/>
  <c r="S4105" i="1" s="1"/>
  <c r="S4106" i="1" s="1"/>
  <c r="S4107" i="1" s="1"/>
  <c r="S4108" i="1" s="1"/>
  <c r="S4109" i="1" s="1"/>
  <c r="S4110" i="1" s="1"/>
  <c r="S4111" i="1" s="1"/>
  <c r="S4112" i="1" s="1"/>
  <c r="S4113" i="1" s="1"/>
  <c r="S4114" i="1" s="1"/>
  <c r="S4115" i="1" s="1"/>
  <c r="S4116" i="1" s="1"/>
  <c r="S4117" i="1" s="1"/>
  <c r="S4118" i="1" s="1"/>
  <c r="S4119" i="1" s="1"/>
  <c r="S4120" i="1" s="1"/>
  <c r="S4121" i="1" s="1"/>
  <c r="S4122" i="1" s="1"/>
  <c r="S4123" i="1" s="1"/>
  <c r="S4124" i="1" s="1"/>
  <c r="S4125" i="1" s="1"/>
  <c r="S4126" i="1" s="1"/>
  <c r="S4127" i="1" s="1"/>
  <c r="S4128" i="1" s="1"/>
  <c r="S4129" i="1" s="1"/>
  <c r="S4130" i="1" s="1"/>
  <c r="S4131" i="1" s="1"/>
  <c r="S4132" i="1" s="1"/>
  <c r="S4133" i="1" s="1"/>
  <c r="S4134" i="1" s="1"/>
  <c r="S4135" i="1" s="1"/>
  <c r="S4136" i="1" s="1"/>
  <c r="S4137" i="1" s="1"/>
  <c r="S4138" i="1" s="1"/>
  <c r="S4139" i="1" s="1"/>
  <c r="S4140" i="1" s="1"/>
  <c r="S4141" i="1" s="1"/>
  <c r="S4142" i="1" s="1"/>
  <c r="S4143" i="1" s="1"/>
  <c r="S4144" i="1" s="1"/>
  <c r="S4145" i="1" s="1"/>
  <c r="S4146" i="1" s="1"/>
  <c r="S4147" i="1" s="1"/>
  <c r="S4148" i="1" s="1"/>
  <c r="S4149" i="1" s="1"/>
  <c r="S4150" i="1" s="1"/>
  <c r="S4151" i="1" s="1"/>
  <c r="S4152" i="1" s="1"/>
  <c r="S4153" i="1" s="1"/>
  <c r="S4154" i="1" s="1"/>
  <c r="S4155" i="1" s="1"/>
  <c r="S4156" i="1" s="1"/>
  <c r="S4157" i="1" s="1"/>
  <c r="S4158" i="1" s="1"/>
  <c r="S4159" i="1" s="1"/>
  <c r="S4160" i="1" s="1"/>
  <c r="S4161" i="1" s="1"/>
  <c r="S4162" i="1" s="1"/>
  <c r="S4163" i="1" s="1"/>
  <c r="S4164" i="1" s="1"/>
  <c r="S4165" i="1" s="1"/>
  <c r="S4166" i="1" s="1"/>
  <c r="S4167" i="1" s="1"/>
  <c r="S4168" i="1" s="1"/>
  <c r="S4169" i="1" s="1"/>
  <c r="S4170" i="1" s="1"/>
  <c r="S4171" i="1" s="1"/>
  <c r="S4172" i="1" s="1"/>
  <c r="S4173" i="1" s="1"/>
  <c r="S4174" i="1" s="1"/>
  <c r="S4175" i="1" s="1"/>
  <c r="S4176" i="1" s="1"/>
  <c r="S4177" i="1" s="1"/>
  <c r="S4178" i="1" s="1"/>
  <c r="S4179" i="1" s="1"/>
  <c r="S4180" i="1" s="1"/>
  <c r="S4181" i="1" s="1"/>
  <c r="S4182" i="1" s="1"/>
  <c r="S4183" i="1" s="1"/>
  <c r="S4184" i="1" s="1"/>
  <c r="S4185" i="1" s="1"/>
  <c r="S4186" i="1" s="1"/>
  <c r="S4187" i="1" s="1"/>
  <c r="S4188" i="1" s="1"/>
  <c r="S4189" i="1" s="1"/>
  <c r="S4190" i="1" s="1"/>
  <c r="S4191" i="1" s="1"/>
  <c r="S4192" i="1" s="1"/>
  <c r="S4193" i="1" s="1"/>
  <c r="S4194" i="1" s="1"/>
  <c r="S4195" i="1" s="1"/>
  <c r="S4196" i="1" s="1"/>
  <c r="S4197" i="1" s="1"/>
  <c r="S4198" i="1" s="1"/>
  <c r="S4199" i="1" s="1"/>
  <c r="S4200" i="1" s="1"/>
  <c r="S4201" i="1" s="1"/>
  <c r="S4202" i="1" s="1"/>
  <c r="S4203" i="1" s="1"/>
  <c r="S4204" i="1" s="1"/>
  <c r="S4205" i="1" s="1"/>
  <c r="S4206" i="1" s="1"/>
  <c r="S4207" i="1" s="1"/>
  <c r="S4208" i="1" s="1"/>
  <c r="S4209" i="1" s="1"/>
  <c r="S4210" i="1" s="1"/>
  <c r="S4211" i="1" s="1"/>
  <c r="S4212" i="1" s="1"/>
  <c r="S4213" i="1" s="1"/>
  <c r="S4214" i="1" s="1"/>
  <c r="S4215" i="1" s="1"/>
  <c r="S4216" i="1" s="1"/>
  <c r="S4217" i="1" s="1"/>
  <c r="S4218" i="1" s="1"/>
  <c r="S4219" i="1" s="1"/>
  <c r="S4220" i="1" s="1"/>
  <c r="S4221" i="1" s="1"/>
  <c r="S4222" i="1" s="1"/>
  <c r="S4223" i="1" s="1"/>
  <c r="S4224" i="1" s="1"/>
  <c r="S4225" i="1" s="1"/>
  <c r="S4226" i="1" s="1"/>
  <c r="S4227" i="1" s="1"/>
  <c r="S4228" i="1" s="1"/>
  <c r="S4229" i="1" s="1"/>
  <c r="S4230" i="1" s="1"/>
  <c r="S4231" i="1" s="1"/>
  <c r="S4232" i="1" s="1"/>
  <c r="S4233" i="1" s="1"/>
  <c r="S4234" i="1" s="1"/>
  <c r="S4235" i="1" s="1"/>
  <c r="S4236" i="1" s="1"/>
  <c r="S4237" i="1" s="1"/>
  <c r="S4238" i="1" s="1"/>
  <c r="S4239" i="1" s="1"/>
  <c r="S4240" i="1" s="1"/>
  <c r="S4241" i="1" s="1"/>
  <c r="S4242" i="1" s="1"/>
  <c r="S4243" i="1" s="1"/>
  <c r="S4244" i="1" s="1"/>
  <c r="S4245" i="1" s="1"/>
  <c r="S4246" i="1" s="1"/>
  <c r="S4247" i="1" s="1"/>
  <c r="S4248" i="1" s="1"/>
  <c r="S4249" i="1" s="1"/>
  <c r="S4250" i="1" s="1"/>
  <c r="S4251" i="1" s="1"/>
  <c r="S4252" i="1" s="1"/>
  <c r="S4253" i="1" s="1"/>
  <c r="S4254" i="1" s="1"/>
  <c r="S4255" i="1" s="1"/>
  <c r="S4256" i="1" s="1"/>
  <c r="S4257" i="1" s="1"/>
  <c r="S4258" i="1" s="1"/>
  <c r="S4259" i="1" s="1"/>
  <c r="S4260" i="1" s="1"/>
  <c r="S4261" i="1" s="1"/>
  <c r="S4262" i="1" s="1"/>
  <c r="S4263" i="1" s="1"/>
  <c r="S4264" i="1" s="1"/>
  <c r="S4265" i="1" s="1"/>
  <c r="S4266" i="1" s="1"/>
  <c r="S4267" i="1" s="1"/>
  <c r="S4268" i="1" s="1"/>
  <c r="S4269" i="1" s="1"/>
  <c r="S4270" i="1" s="1"/>
  <c r="S4271" i="1" s="1"/>
  <c r="S4272" i="1" s="1"/>
  <c r="S4273" i="1" s="1"/>
  <c r="S4274" i="1" s="1"/>
  <c r="S4275" i="1" s="1"/>
  <c r="S4276" i="1" s="1"/>
  <c r="S4277" i="1" s="1"/>
  <c r="S4278" i="1" s="1"/>
  <c r="S4279" i="1" s="1"/>
  <c r="S4280" i="1" s="1"/>
  <c r="S4281" i="1" s="1"/>
  <c r="S4282" i="1" s="1"/>
  <c r="S4283" i="1" s="1"/>
  <c r="S4284" i="1" s="1"/>
  <c r="S4285" i="1" s="1"/>
  <c r="S4286" i="1" s="1"/>
  <c r="S4287" i="1" s="1"/>
  <c r="S4288" i="1" s="1"/>
  <c r="S4289" i="1" s="1"/>
  <c r="S4290" i="1" s="1"/>
  <c r="S4291" i="1" s="1"/>
  <c r="S4292" i="1" s="1"/>
  <c r="S4293" i="1" s="1"/>
  <c r="S4294" i="1" s="1"/>
  <c r="S4295" i="1" s="1"/>
  <c r="S4296" i="1" s="1"/>
  <c r="S4297" i="1" s="1"/>
  <c r="S4298" i="1" s="1"/>
  <c r="S4299" i="1" s="1"/>
  <c r="S4300" i="1" s="1"/>
  <c r="S4301" i="1" s="1"/>
  <c r="S4302" i="1" s="1"/>
  <c r="S4303" i="1" s="1"/>
  <c r="S4304" i="1" s="1"/>
  <c r="S4305" i="1" s="1"/>
  <c r="S4306" i="1" s="1"/>
  <c r="S4307" i="1" s="1"/>
  <c r="S4308" i="1" s="1"/>
  <c r="S4309" i="1" s="1"/>
  <c r="S4310" i="1" s="1"/>
  <c r="S4311" i="1" s="1"/>
  <c r="S4312" i="1" s="1"/>
  <c r="S4313" i="1" s="1"/>
  <c r="S4314" i="1" s="1"/>
  <c r="S4315" i="1" s="1"/>
  <c r="S4316" i="1" s="1"/>
  <c r="S4317" i="1" s="1"/>
  <c r="S4318" i="1" s="1"/>
  <c r="S4319" i="1" s="1"/>
  <c r="S4320" i="1" s="1"/>
  <c r="S4321" i="1" s="1"/>
  <c r="S4322" i="1" s="1"/>
  <c r="S4323" i="1" s="1"/>
  <c r="S4324" i="1" s="1"/>
  <c r="S4325" i="1" s="1"/>
  <c r="S4326" i="1" s="1"/>
  <c r="S4327" i="1" s="1"/>
  <c r="S4328" i="1" s="1"/>
  <c r="S4329" i="1" s="1"/>
  <c r="S4330" i="1" s="1"/>
  <c r="S4331" i="1" s="1"/>
  <c r="S4332" i="1" s="1"/>
  <c r="S4333" i="1" s="1"/>
  <c r="S4334" i="1" s="1"/>
  <c r="S4335" i="1" s="1"/>
  <c r="S4336" i="1" s="1"/>
  <c r="S4337" i="1" s="1"/>
  <c r="S4338" i="1" s="1"/>
  <c r="S4339" i="1" s="1"/>
  <c r="S4340" i="1" s="1"/>
  <c r="S4341" i="1" s="1"/>
  <c r="S4342" i="1" s="1"/>
  <c r="S4343" i="1" s="1"/>
  <c r="S4344" i="1" s="1"/>
  <c r="S4345" i="1" s="1"/>
  <c r="S4346" i="1" s="1"/>
  <c r="S4347" i="1" s="1"/>
  <c r="S4348" i="1" s="1"/>
  <c r="S4349" i="1" s="1"/>
  <c r="S4350" i="1" s="1"/>
  <c r="S4351" i="1" s="1"/>
  <c r="S4352" i="1" s="1"/>
  <c r="S4353" i="1" s="1"/>
  <c r="S4354" i="1" s="1"/>
  <c r="S4355" i="1" s="1"/>
  <c r="S4356" i="1" s="1"/>
  <c r="S4357" i="1" s="1"/>
  <c r="S4358" i="1" s="1"/>
  <c r="S4359" i="1" s="1"/>
  <c r="S4360" i="1" s="1"/>
  <c r="S4361" i="1" s="1"/>
  <c r="S4362" i="1" s="1"/>
  <c r="S4363" i="1" s="1"/>
  <c r="S4364" i="1" s="1"/>
  <c r="S4365" i="1" s="1"/>
  <c r="S4366" i="1" s="1"/>
  <c r="S4367" i="1" s="1"/>
  <c r="S4368" i="1" s="1"/>
  <c r="S4369" i="1" s="1"/>
  <c r="S4370" i="1" s="1"/>
  <c r="S4371" i="1" s="1"/>
  <c r="S4372" i="1" s="1"/>
  <c r="S4374" i="1" s="1"/>
  <c r="S3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4374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4372" i="1"/>
  <c r="Q4374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V4324" i="1" s="1"/>
  <c r="P4325" i="1"/>
  <c r="V4325" i="1" s="1"/>
  <c r="P4326" i="1"/>
  <c r="V4326" i="1" s="1"/>
  <c r="P4327" i="1"/>
  <c r="V4327" i="1" s="1"/>
  <c r="P4328" i="1"/>
  <c r="V4328" i="1" s="1"/>
  <c r="P4329" i="1"/>
  <c r="V4329" i="1" s="1"/>
  <c r="P4330" i="1"/>
  <c r="V4330" i="1" s="1"/>
  <c r="P4331" i="1"/>
  <c r="V4331" i="1" s="1"/>
  <c r="P4332" i="1"/>
  <c r="V4332" i="1" s="1"/>
  <c r="P4333" i="1"/>
  <c r="V4333" i="1" s="1"/>
  <c r="P4334" i="1"/>
  <c r="V4334" i="1" s="1"/>
  <c r="P4335" i="1"/>
  <c r="V4335" i="1" s="1"/>
  <c r="P4336" i="1"/>
  <c r="V4336" i="1" s="1"/>
  <c r="P4337" i="1"/>
  <c r="V4337" i="1" s="1"/>
  <c r="P4338" i="1"/>
  <c r="V4338" i="1" s="1"/>
  <c r="P4339" i="1"/>
  <c r="V4339" i="1" s="1"/>
  <c r="P4340" i="1"/>
  <c r="V4340" i="1" s="1"/>
  <c r="P4341" i="1"/>
  <c r="V4341" i="1" s="1"/>
  <c r="P4342" i="1"/>
  <c r="V4342" i="1" s="1"/>
  <c r="P4343" i="1"/>
  <c r="V4343" i="1" s="1"/>
  <c r="P4344" i="1"/>
  <c r="V4344" i="1" s="1"/>
  <c r="P4345" i="1"/>
  <c r="V4345" i="1" s="1"/>
  <c r="P4346" i="1"/>
  <c r="V4346" i="1" s="1"/>
  <c r="P4347" i="1"/>
  <c r="V4347" i="1" s="1"/>
  <c r="P4348" i="1"/>
  <c r="V4348" i="1" s="1"/>
  <c r="P4349" i="1"/>
  <c r="V4349" i="1" s="1"/>
  <c r="P4350" i="1"/>
  <c r="V4350" i="1" s="1"/>
  <c r="P4351" i="1"/>
  <c r="V4351" i="1" s="1"/>
  <c r="P4352" i="1"/>
  <c r="V4352" i="1" s="1"/>
  <c r="P4353" i="1"/>
  <c r="V4353" i="1" s="1"/>
  <c r="P4354" i="1"/>
  <c r="V4354" i="1" s="1"/>
  <c r="P4355" i="1"/>
  <c r="V4355" i="1" s="1"/>
  <c r="P4356" i="1"/>
  <c r="V4356" i="1" s="1"/>
  <c r="P4357" i="1"/>
  <c r="V4357" i="1" s="1"/>
  <c r="P4358" i="1"/>
  <c r="V4358" i="1" s="1"/>
  <c r="P4359" i="1"/>
  <c r="V4359" i="1" s="1"/>
  <c r="P4360" i="1"/>
  <c r="V4360" i="1" s="1"/>
  <c r="P4361" i="1"/>
  <c r="V4361" i="1" s="1"/>
  <c r="P4362" i="1"/>
  <c r="V4362" i="1" s="1"/>
  <c r="P4363" i="1"/>
  <c r="V4363" i="1" s="1"/>
  <c r="P4364" i="1"/>
  <c r="V4364" i="1" s="1"/>
  <c r="P4365" i="1"/>
  <c r="V4365" i="1" s="1"/>
  <c r="P4366" i="1"/>
  <c r="V4366" i="1" s="1"/>
  <c r="P4367" i="1"/>
  <c r="V4367" i="1" s="1"/>
  <c r="P4368" i="1"/>
  <c r="V4368" i="1" s="1"/>
  <c r="P4369" i="1"/>
  <c r="V4369" i="1" s="1"/>
  <c r="P4370" i="1"/>
  <c r="V4370" i="1" s="1"/>
  <c r="P4371" i="1"/>
  <c r="V4371" i="1" s="1"/>
  <c r="P4372" i="1"/>
  <c r="V4372" i="1" s="1"/>
  <c r="P4374" i="1"/>
  <c r="P2" i="1"/>
  <c r="K35" i="5" l="1"/>
  <c r="H35" i="5"/>
  <c r="G35" i="5"/>
  <c r="K34" i="5"/>
  <c r="H34" i="5"/>
  <c r="G34" i="5"/>
  <c r="K33" i="5"/>
  <c r="H33" i="5"/>
  <c r="G33" i="5"/>
  <c r="K32" i="5"/>
  <c r="H32" i="5"/>
  <c r="G32" i="5"/>
  <c r="K31" i="5"/>
  <c r="H31" i="5"/>
  <c r="G31" i="5"/>
  <c r="K30" i="5"/>
  <c r="H30" i="5"/>
  <c r="G30" i="5"/>
  <c r="H8" i="5"/>
  <c r="H7" i="5"/>
  <c r="H6" i="5"/>
  <c r="H5" i="5"/>
  <c r="H4" i="5"/>
  <c r="H3" i="5"/>
  <c r="D8" i="5"/>
  <c r="M8" i="5" s="1"/>
  <c r="N8" i="5" s="1"/>
  <c r="G8" i="5"/>
  <c r="D7" i="5"/>
  <c r="M7" i="5" s="1"/>
  <c r="N7" i="5" s="1"/>
  <c r="G7" i="5"/>
  <c r="D6" i="5"/>
  <c r="M6" i="5" s="1"/>
  <c r="N6" i="5" s="1"/>
  <c r="G6" i="5"/>
  <c r="D5" i="5"/>
  <c r="M5" i="5" s="1"/>
  <c r="N5" i="5" s="1"/>
  <c r="G5" i="5"/>
  <c r="D4" i="5"/>
  <c r="M4" i="5" s="1"/>
  <c r="N4" i="5" s="1"/>
  <c r="G4" i="5"/>
  <c r="D3" i="5"/>
  <c r="M3" i="5" s="1"/>
  <c r="N3" i="5" s="1"/>
  <c r="G3" i="5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9" i="1"/>
  <c r="X4360" i="1"/>
  <c r="X4361" i="1"/>
  <c r="X4362" i="1"/>
  <c r="X4363" i="1"/>
  <c r="X4364" i="1"/>
  <c r="X4365" i="1"/>
  <c r="X4367" i="1"/>
  <c r="X4368" i="1"/>
  <c r="X4369" i="1"/>
  <c r="X4370" i="1"/>
  <c r="X4371" i="1"/>
  <c r="X437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<sst xmlns="http://schemas.openxmlformats.org/spreadsheetml/2006/main" count="14270" uniqueCount="890">
  <si>
    <t>wn_obs</t>
  </si>
  <si>
    <t>lambda_A</t>
  </si>
  <si>
    <t>block</t>
  </si>
  <si>
    <t>group</t>
  </si>
  <si>
    <t>char</t>
  </si>
  <si>
    <t>era</t>
  </si>
  <si>
    <t>low_id</t>
  </si>
  <si>
    <t>upp_id</t>
  </si>
  <si>
    <t>hfs_shift_cm1</t>
  </si>
  <si>
    <t>ritz_cm1</t>
  </si>
  <si>
    <t>d_lambda_A</t>
  </si>
  <si>
    <t>u_d_lambda_A</t>
  </si>
  <si>
    <t>u_line_cm1</t>
  </si>
  <si>
    <t>leverage</t>
  </si>
  <si>
    <t>u_eff_A</t>
  </si>
  <si>
    <t>822-828</t>
  </si>
  <si>
    <t>059003.000059</t>
  </si>
  <si>
    <t>059003.000538</t>
  </si>
  <si>
    <t>059003.000057</t>
  </si>
  <si>
    <t>059003.000533</t>
  </si>
  <si>
    <t>059003.000049</t>
  </si>
  <si>
    <t>059003.000528</t>
  </si>
  <si>
    <t>059003.000046</t>
  </si>
  <si>
    <t>059003.000522</t>
  </si>
  <si>
    <t>059003.000042</t>
  </si>
  <si>
    <t>059003.000517</t>
  </si>
  <si>
    <t>828-850</t>
  </si>
  <si>
    <t>059003.000041</t>
  </si>
  <si>
    <t>059003.000510</t>
  </si>
  <si>
    <t>059003.000509</t>
  </si>
  <si>
    <t>059003.000523</t>
  </si>
  <si>
    <t>059003.000530</t>
  </si>
  <si>
    <t>059003.000511</t>
  </si>
  <si>
    <t>059003.000064</t>
  </si>
  <si>
    <t>059003.000535</t>
  </si>
  <si>
    <t>059003.000534</t>
  </si>
  <si>
    <t>059003.000066</t>
  </si>
  <si>
    <t>059003.000537</t>
  </si>
  <si>
    <t>059003.000080</t>
  </si>
  <si>
    <t>059003.000682</t>
  </si>
  <si>
    <t>059003.000082</t>
  </si>
  <si>
    <t>059003.000045</t>
  </si>
  <si>
    <t>059003.000514</t>
  </si>
  <si>
    <t>059003.000512</t>
  </si>
  <si>
    <t>059003.000527</t>
  </si>
  <si>
    <t>h</t>
  </si>
  <si>
    <t>059003.000072</t>
  </si>
  <si>
    <t>059003.000536</t>
  </si>
  <si>
    <t>059003.000531</t>
  </si>
  <si>
    <t>059003.000069</t>
  </si>
  <si>
    <t>059003.000518</t>
  </si>
  <si>
    <t>059003.000070</t>
  </si>
  <si>
    <t>cl</t>
  </si>
  <si>
    <t>059003.000053</t>
  </si>
  <si>
    <t>059003.000520</t>
  </si>
  <si>
    <t>059003.000050</t>
  </si>
  <si>
    <t>059003.000062</t>
  </si>
  <si>
    <t>059003.000529</t>
  </si>
  <si>
    <t>059003.000524</t>
  </si>
  <si>
    <t>059003.000071</t>
  </si>
  <si>
    <t>059003.000532</t>
  </si>
  <si>
    <t>059003.000521</t>
  </si>
  <si>
    <t>059003.000079</t>
  </si>
  <si>
    <t>850-888</t>
  </si>
  <si>
    <t>059003.000055</t>
  </si>
  <si>
    <t>059003.000580</t>
  </si>
  <si>
    <t>bl</t>
  </si>
  <si>
    <t>059003.000424</t>
  </si>
  <si>
    <t>059003.000054</t>
  </si>
  <si>
    <t>059003.000063</t>
  </si>
  <si>
    <t>059003.000519</t>
  </si>
  <si>
    <t>059003.000105</t>
  </si>
  <si>
    <t>059003.000060</t>
  </si>
  <si>
    <t>059003.000108</t>
  </si>
  <si>
    <t>059003.000516</t>
  </si>
  <si>
    <t>059003.000500</t>
  </si>
  <si>
    <t>059003.000088</t>
  </si>
  <si>
    <t>059003.000083</t>
  </si>
  <si>
    <t>059003.000526</t>
  </si>
  <si>
    <t>059003.000067</t>
  </si>
  <si>
    <t>059003.000501</t>
  </si>
  <si>
    <t>059003.000085</t>
  </si>
  <si>
    <t>059003.000087</t>
  </si>
  <si>
    <t>059003.000106</t>
  </si>
  <si>
    <t>059003.000091</t>
  </si>
  <si>
    <t>059003.000113</t>
  </si>
  <si>
    <t>059003.000096</t>
  </si>
  <si>
    <t>888-966</t>
  </si>
  <si>
    <t>059003.000116</t>
  </si>
  <si>
    <t>059003.000621</t>
  </si>
  <si>
    <t>059003.000417</t>
  </si>
  <si>
    <t>059003.000502</t>
  </si>
  <si>
    <t>059003.000058</t>
  </si>
  <si>
    <t>059003.000570</t>
  </si>
  <si>
    <t>059003.000073</t>
  </si>
  <si>
    <t>059003.000418</t>
  </si>
  <si>
    <t>059003.000425</t>
  </si>
  <si>
    <t>059003.000415</t>
  </si>
  <si>
    <t>059003.000396</t>
  </si>
  <si>
    <t>059003.000406</t>
  </si>
  <si>
    <t>059003.000135</t>
  </si>
  <si>
    <t>059003.000416</t>
  </si>
  <si>
    <t>966-1000</t>
  </si>
  <si>
    <t>059003.000388</t>
  </si>
  <si>
    <t>059003.000413</t>
  </si>
  <si>
    <t>059003.000412</t>
  </si>
  <si>
    <t>059003.000482</t>
  </si>
  <si>
    <t>059003.000399</t>
  </si>
  <si>
    <t>059003.000132</t>
  </si>
  <si>
    <t>059003.000507</t>
  </si>
  <si>
    <t>059003.000394</t>
  </si>
  <si>
    <t>059003.000505</t>
  </si>
  <si>
    <t>059003.000393</t>
  </si>
  <si>
    <t>059003.000486</t>
  </si>
  <si>
    <t>059003.000410</t>
  </si>
  <si>
    <t>059003.000031</t>
  </si>
  <si>
    <t>059003.000327</t>
  </si>
  <si>
    <t>059003.000119</t>
  </si>
  <si>
    <t>059003.000047</t>
  </si>
  <si>
    <t>059003.000640</t>
  </si>
  <si>
    <t>059003.000033</t>
  </si>
  <si>
    <t>059003.000342</t>
  </si>
  <si>
    <t>059003.000385</t>
  </si>
  <si>
    <t>059003.000468</t>
  </si>
  <si>
    <t>059003.000370</t>
  </si>
  <si>
    <t>059003.000001</t>
  </si>
  <si>
    <t>059003.000317</t>
  </si>
  <si>
    <t>059003.000381</t>
  </si>
  <si>
    <t>059003.000382</t>
  </si>
  <si>
    <t>059003.000339</t>
  </si>
  <si>
    <t>059003.000378</t>
  </si>
  <si>
    <t>059003.000377</t>
  </si>
  <si>
    <t>059003.000405</t>
  </si>
  <si>
    <t>059003.000471</t>
  </si>
  <si>
    <t>059003.000166</t>
  </si>
  <si>
    <t>059003.000493</t>
  </si>
  <si>
    <t>059003.000404</t>
  </si>
  <si>
    <t>1000-1025</t>
  </si>
  <si>
    <t>059003.000154</t>
  </si>
  <si>
    <t>059003.000411</t>
  </si>
  <si>
    <t>059003.000084</t>
  </si>
  <si>
    <t>059003.000126</t>
  </si>
  <si>
    <t>059003.000488</t>
  </si>
  <si>
    <t>059003.000318</t>
  </si>
  <si>
    <t>059003.000483</t>
  </si>
  <si>
    <t>059003.000397</t>
  </si>
  <si>
    <t>059003.000398</t>
  </si>
  <si>
    <t>059003.000474</t>
  </si>
  <si>
    <t>059003.000480</t>
  </si>
  <si>
    <t>059003.000467</t>
  </si>
  <si>
    <t>059003.000375</t>
  </si>
  <si>
    <t>059003.000407</t>
  </si>
  <si>
    <t>059003.000359</t>
  </si>
  <si>
    <t>059003.000489</t>
  </si>
  <si>
    <t>059003.000390</t>
  </si>
  <si>
    <t>059003.000459</t>
  </si>
  <si>
    <t>059003.000392</t>
  </si>
  <si>
    <t>059003.000369</t>
  </si>
  <si>
    <t>059003.000367</t>
  </si>
  <si>
    <t>059003.000400</t>
  </si>
  <si>
    <t>059003.000458</t>
  </si>
  <si>
    <t>059003.000364</t>
  </si>
  <si>
    <t>059003.000383</t>
  </si>
  <si>
    <t>059003.000630</t>
  </si>
  <si>
    <t>059003.000464</t>
  </si>
  <si>
    <t>059003.000357</t>
  </si>
  <si>
    <t>059003.000097</t>
  </si>
  <si>
    <t>059003.000496</t>
  </si>
  <si>
    <t>059003.000481</t>
  </si>
  <si>
    <t>059003.000479</t>
  </si>
  <si>
    <t>059003.000476</t>
  </si>
  <si>
    <t>059003.000372</t>
  </si>
  <si>
    <t>059003.000144</t>
  </si>
  <si>
    <t>059003.000503</t>
  </si>
  <si>
    <t>059003.000379</t>
  </si>
  <si>
    <t>059003.000463</t>
  </si>
  <si>
    <t>059003.000401</t>
  </si>
  <si>
    <t>059003.000484</t>
  </si>
  <si>
    <t>059003.000466</t>
  </si>
  <si>
    <t>059003.000360</t>
  </si>
  <si>
    <t>059003.000095</t>
  </si>
  <si>
    <t>059003.000495</t>
  </si>
  <si>
    <t>059003.000074</t>
  </si>
  <si>
    <t>059003.000485</t>
  </si>
  <si>
    <t>059003.000352</t>
  </si>
  <si>
    <t>059003.000494</t>
  </si>
  <si>
    <t>059003.000469</t>
  </si>
  <si>
    <t>059003.000078</t>
  </si>
  <si>
    <t>059003.000491</t>
  </si>
  <si>
    <t>059003.000361</t>
  </si>
  <si>
    <t>059003.000628</t>
  </si>
  <si>
    <t>059003.000386</t>
  </si>
  <si>
    <t>059003.000380</t>
  </si>
  <si>
    <t>059003.000081</t>
  </si>
  <si>
    <t>059003.000093</t>
  </si>
  <si>
    <t>059003.000409</t>
  </si>
  <si>
    <t>1025-1050</t>
  </si>
  <si>
    <t>059003.000099</t>
  </si>
  <si>
    <t>059003.000368</t>
  </si>
  <si>
    <t>059003.000389</t>
  </si>
  <si>
    <t>059003.000349</t>
  </si>
  <si>
    <t>059003.000362</t>
  </si>
  <si>
    <t>059003.000366</t>
  </si>
  <si>
    <t>059003.000156</t>
  </si>
  <si>
    <t>059003.000102</t>
  </si>
  <si>
    <t>059003.000374</t>
  </si>
  <si>
    <t>059003.000351</t>
  </si>
  <si>
    <t>059003.000104</t>
  </si>
  <si>
    <t>059003.000402</t>
  </si>
  <si>
    <t>059003.000075</t>
  </si>
  <si>
    <t>059003.000408</t>
  </si>
  <si>
    <t>059003.000387</t>
  </si>
  <si>
    <t>059003.000153</t>
  </si>
  <si>
    <t>059003.000508</t>
  </si>
  <si>
    <t>059003.000462</t>
  </si>
  <si>
    <t>059003.000403</t>
  </si>
  <si>
    <t>059003.000111</t>
  </si>
  <si>
    <t>059003.000506</t>
  </si>
  <si>
    <t>059003.000634</t>
  </si>
  <si>
    <t>059003.000391</t>
  </si>
  <si>
    <t>059003.000138</t>
  </si>
  <si>
    <t>059003.000498</t>
  </si>
  <si>
    <t>059003.000358</t>
  </si>
  <si>
    <t>059003.000137</t>
  </si>
  <si>
    <t>059003.000414</t>
  </si>
  <si>
    <t>059003.000504</t>
  </si>
  <si>
    <t>059003.000353</t>
  </si>
  <si>
    <t>059003.000487</t>
  </si>
  <si>
    <t>059003.000354</t>
  </si>
  <si>
    <t>059003.000478</t>
  </si>
  <si>
    <t>059003.000539</t>
  </si>
  <si>
    <t>059003.000475</t>
  </si>
  <si>
    <t>059003.000356</t>
  </si>
  <si>
    <t>059003.000470</t>
  </si>
  <si>
    <t>059003.000350</t>
  </si>
  <si>
    <t>059003.000477</t>
  </si>
  <si>
    <t>**</t>
  </si>
  <si>
    <t>059003.000373</t>
  </si>
  <si>
    <t>059003.000115</t>
  </si>
  <si>
    <t>059003.000112</t>
  </si>
  <si>
    <t>059003.000473</t>
  </si>
  <si>
    <t>059003.000371</t>
  </si>
  <si>
    <t>059003.000363</t>
  </si>
  <si>
    <t>059003.000076</t>
  </si>
  <si>
    <t>059003.000086</t>
  </si>
  <si>
    <t>059003.000114</t>
  </si>
  <si>
    <t>059003.000376</t>
  </si>
  <si>
    <t>059003.000540</t>
  </si>
  <si>
    <t>1050-1075</t>
  </si>
  <si>
    <t>059003.000365</t>
  </si>
  <si>
    <t>059003.000172</t>
  </si>
  <si>
    <t>059003.000089</t>
  </si>
  <si>
    <t>059003.000098</t>
  </si>
  <si>
    <t>059003.000100</t>
  </si>
  <si>
    <t>059003.000490</t>
  </si>
  <si>
    <t>059003.000167</t>
  </si>
  <si>
    <t>059003.000160</t>
  </si>
  <si>
    <t>059003.000638</t>
  </si>
  <si>
    <t>059003.000384</t>
  </si>
  <si>
    <t>059003.000163</t>
  </si>
  <si>
    <t>059003.000637</t>
  </si>
  <si>
    <t>059003.000492</t>
  </si>
  <si>
    <t>059003.000164</t>
  </si>
  <si>
    <t>059003.000472</t>
  </si>
  <si>
    <t>059003.000623</t>
  </si>
  <si>
    <t>059003.000121</t>
  </si>
  <si>
    <t>059003.000624</t>
  </si>
  <si>
    <t>059003.000175</t>
  </si>
  <si>
    <t>059003.000120</t>
  </si>
  <si>
    <t>059003.000143</t>
  </si>
  <si>
    <t>059003.000395</t>
  </si>
  <si>
    <t>059003.000123</t>
  </si>
  <si>
    <t>059003.000171</t>
  </si>
  <si>
    <t>059003.000173</t>
  </si>
  <si>
    <t>059003.000422</t>
  </si>
  <si>
    <t>059003.000146</t>
  </si>
  <si>
    <t>059003.000148</t>
  </si>
  <si>
    <t>1075-1100</t>
  </si>
  <si>
    <t>059003.000177</t>
  </si>
  <si>
    <t>059003.000150</t>
  </si>
  <si>
    <t>059003.000152</t>
  </si>
  <si>
    <t>059003.000497</t>
  </si>
  <si>
    <t>059003.000151</t>
  </si>
  <si>
    <t>059003.000101</t>
  </si>
  <si>
    <t>059003.000178</t>
  </si>
  <si>
    <t>059003.000131</t>
  </si>
  <si>
    <t>059003.000499</t>
  </si>
  <si>
    <t>059003.000423</t>
  </si>
  <si>
    <t>059003.000129</t>
  </si>
  <si>
    <t>059003.000158</t>
  </si>
  <si>
    <t>059003.000128</t>
  </si>
  <si>
    <t>059003.000461</t>
  </si>
  <si>
    <t>059003.000460</t>
  </si>
  <si>
    <t>059003.000159</t>
  </si>
  <si>
    <t>cl**</t>
  </si>
  <si>
    <t>059003.000130</t>
  </si>
  <si>
    <t>1100-1125</t>
  </si>
  <si>
    <t>059003.000181</t>
  </si>
  <si>
    <t>059003.000525</t>
  </si>
  <si>
    <t>059003.000179</t>
  </si>
  <si>
    <t>059003.000465</t>
  </si>
  <si>
    <t>059003.000127</t>
  </si>
  <si>
    <t>059003.000180</t>
  </si>
  <si>
    <t>059003.000355</t>
  </si>
  <si>
    <t>059003.000184</t>
  </si>
  <si>
    <t>1125-1150</t>
  </si>
  <si>
    <t>059003.000340</t>
  </si>
  <si>
    <t>059003.000185</t>
  </si>
  <si>
    <t>059003.000061</t>
  </si>
  <si>
    <t>059003.000186</t>
  </si>
  <si>
    <t>059003.000052</t>
  </si>
  <si>
    <t>059003.000331</t>
  </si>
  <si>
    <t>1150-1164</t>
  </si>
  <si>
    <t>059003.000044</t>
  </si>
  <si>
    <t>059003.000319</t>
  </si>
  <si>
    <t>059003.000330</t>
  </si>
  <si>
    <t>1164-1175</t>
  </si>
  <si>
    <t>1175-1200</t>
  </si>
  <si>
    <t>059003.000320</t>
  </si>
  <si>
    <t>059003.000139</t>
  </si>
  <si>
    <t>059003.000103</t>
  </si>
  <si>
    <t>059003.000560</t>
  </si>
  <si>
    <t>059003.000347</t>
  </si>
  <si>
    <t>1200-1225</t>
  </si>
  <si>
    <t>059003.000110</t>
  </si>
  <si>
    <t>059003.000348</t>
  </si>
  <si>
    <t>059003.000133</t>
  </si>
  <si>
    <t>059003.000193</t>
  </si>
  <si>
    <t>059003.000677</t>
  </si>
  <si>
    <t>059003.000141</t>
  </si>
  <si>
    <t>1225-1250</t>
  </si>
  <si>
    <t>059003.000118</t>
  </si>
  <si>
    <t>059003.000625</t>
  </si>
  <si>
    <t>059003.000552</t>
  </si>
  <si>
    <t>059003.000155</t>
  </si>
  <si>
    <t>059003.000107</t>
  </si>
  <si>
    <t>059003.000341</t>
  </si>
  <si>
    <t>059003.000124</t>
  </si>
  <si>
    <t>059003.000312</t>
  </si>
  <si>
    <t>059003.000092</t>
  </si>
  <si>
    <t>059003.000329</t>
  </si>
  <si>
    <t>1250-1275</t>
  </si>
  <si>
    <t>059003.000162</t>
  </si>
  <si>
    <t>059003.000308</t>
  </si>
  <si>
    <t>059003.000333</t>
  </si>
  <si>
    <t>059003.000176</t>
  </si>
  <si>
    <t>059003.000122</t>
  </si>
  <si>
    <t>059003.000549</t>
  </si>
  <si>
    <t>059003.000090</t>
  </si>
  <si>
    <t>059003.000322</t>
  </si>
  <si>
    <t>059003.000168</t>
  </si>
  <si>
    <t>059003.000109</t>
  </si>
  <si>
    <t>059003.000310</t>
  </si>
  <si>
    <t>1275-1300</t>
  </si>
  <si>
    <t>059003.000145</t>
  </si>
  <si>
    <t>059003.000094</t>
  </si>
  <si>
    <t>059003.000542</t>
  </si>
  <si>
    <t>059003.000307</t>
  </si>
  <si>
    <t>1300-1325</t>
  </si>
  <si>
    <t>059003.000644</t>
  </si>
  <si>
    <t>059003.000309</t>
  </si>
  <si>
    <t>059003.000147</t>
  </si>
  <si>
    <t>059003.000430</t>
  </si>
  <si>
    <t>1325-1350</t>
  </si>
  <si>
    <t>059003.000659</t>
  </si>
  <si>
    <t>059003.000136</t>
  </si>
  <si>
    <t>059003.000548</t>
  </si>
  <si>
    <t>059003.000311</t>
  </si>
  <si>
    <t>1350-1375</t>
  </si>
  <si>
    <t>059003.000323</t>
  </si>
  <si>
    <t>059003.000334</t>
  </si>
  <si>
    <t>059003.000313</t>
  </si>
  <si>
    <t>1375-1400</t>
  </si>
  <si>
    <t>059003.000646</t>
  </si>
  <si>
    <t>059003.000656</t>
  </si>
  <si>
    <t>059003.000211</t>
  </si>
  <si>
    <t>059003.000626</t>
  </si>
  <si>
    <t>059003.000218</t>
  </si>
  <si>
    <t>059003.000661</t>
  </si>
  <si>
    <t>059003.000195</t>
  </si>
  <si>
    <t>059003.000574</t>
  </si>
  <si>
    <t>059003.000194</t>
  </si>
  <si>
    <t>059003.000652</t>
  </si>
  <si>
    <t>059003.000183</t>
  </si>
  <si>
    <t>059003.000197</t>
  </si>
  <si>
    <t>059003.000577</t>
  </si>
  <si>
    <t>059003.000196</t>
  </si>
  <si>
    <t>059003.000639</t>
  </si>
  <si>
    <t>059003.000573</t>
  </si>
  <si>
    <t>059003.000299</t>
  </si>
  <si>
    <t>059003.000648</t>
  </si>
  <si>
    <t>1400-1425</t>
  </si>
  <si>
    <t>059003.000576</t>
  </si>
  <si>
    <t>059003.000448</t>
  </si>
  <si>
    <t>059003.000649</t>
  </si>
  <si>
    <t>059003.000651</t>
  </si>
  <si>
    <t>059003.000206</t>
  </si>
  <si>
    <t>059003.000662</t>
  </si>
  <si>
    <t>059003.000203</t>
  </si>
  <si>
    <t>059003.000426</t>
  </si>
  <si>
    <t>059003.000421</t>
  </si>
  <si>
    <t>059003.000216</t>
  </si>
  <si>
    <t>059003.000428</t>
  </si>
  <si>
    <t>059003.000420</t>
  </si>
  <si>
    <t>059003.000572</t>
  </si>
  <si>
    <t>059003.000303</t>
  </si>
  <si>
    <t>059003.000419</t>
  </si>
  <si>
    <t>059003.000205</t>
  </si>
  <si>
    <t>059003.000427</t>
  </si>
  <si>
    <t>059003.000450</t>
  </si>
  <si>
    <t>059003.000220</t>
  </si>
  <si>
    <t>059003.000429</t>
  </si>
  <si>
    <t>059003.000305</t>
  </si>
  <si>
    <t>059003.000207</t>
  </si>
  <si>
    <t>059003.000636</t>
  </si>
  <si>
    <t>059003.000571</t>
  </si>
  <si>
    <t>059003.000221</t>
  </si>
  <si>
    <t>059003.000454</t>
  </si>
  <si>
    <t>059003.000304</t>
  </si>
  <si>
    <t>059003.000209</t>
  </si>
  <si>
    <t>059003.000627</t>
  </si>
  <si>
    <t>059003.000452</t>
  </si>
  <si>
    <t>059003.000455</t>
  </si>
  <si>
    <t>059003.000658</t>
  </si>
  <si>
    <t>1425-1450</t>
  </si>
  <si>
    <t>059003.000182</t>
  </si>
  <si>
    <t>059003.000676</t>
  </si>
  <si>
    <t>w</t>
  </si>
  <si>
    <t>059003.000219</t>
  </si>
  <si>
    <t>059003.000664</t>
  </si>
  <si>
    <t>059003.000457</t>
  </si>
  <si>
    <t>059003.000215</t>
  </si>
  <si>
    <t>059003.000445</t>
  </si>
  <si>
    <t>059003.000629</t>
  </si>
  <si>
    <t>1450-1475</t>
  </si>
  <si>
    <t>059003.000306</t>
  </si>
  <si>
    <t>059003.000297</t>
  </si>
  <si>
    <t>059003.000237</t>
  </si>
  <si>
    <t>059003.000223</t>
  </si>
  <si>
    <t>059003.000451</t>
  </si>
  <si>
    <t>059003.000296</t>
  </si>
  <si>
    <t>059003.000240</t>
  </si>
  <si>
    <t>059003.000602</t>
  </si>
  <si>
    <t>059003.000134</t>
  </si>
  <si>
    <t>059003.000456</t>
  </si>
  <si>
    <t>059003.000231</t>
  </si>
  <si>
    <t>059003.000199</t>
  </si>
  <si>
    <t>059003.000665</t>
  </si>
  <si>
    <t>059003.000210</t>
  </si>
  <si>
    <t>059003.000632</t>
  </si>
  <si>
    <t>059003.000200</t>
  </si>
  <si>
    <t>059003.000212</t>
  </si>
  <si>
    <t>059003.000239</t>
  </si>
  <si>
    <t>059003.000201</t>
  </si>
  <si>
    <t>059003.000236</t>
  </si>
  <si>
    <t>059003.000446</t>
  </si>
  <si>
    <t>059003.000657</t>
  </si>
  <si>
    <t>059003.000660</t>
  </si>
  <si>
    <t>059003.000213</t>
  </si>
  <si>
    <t>059003.000174</t>
  </si>
  <si>
    <t>1475-1500</t>
  </si>
  <si>
    <t>059003.000251</t>
  </si>
  <si>
    <t>059003.000227</t>
  </si>
  <si>
    <t>059003.000663</t>
  </si>
  <si>
    <t>059003.000202</t>
  </si>
  <si>
    <t>059003.000575</t>
  </si>
  <si>
    <t>059003.000214</t>
  </si>
  <si>
    <t>059003.000247</t>
  </si>
  <si>
    <t>059003.000229</t>
  </si>
  <si>
    <t>059003.000226</t>
  </si>
  <si>
    <t>059003.000246</t>
  </si>
  <si>
    <t>059003.000633</t>
  </si>
  <si>
    <t>059003.000255</t>
  </si>
  <si>
    <t>059003.000302</t>
  </si>
  <si>
    <t>059003.000289</t>
  </si>
  <si>
    <t>059003.000245</t>
  </si>
  <si>
    <t>059003.000235</t>
  </si>
  <si>
    <t>059003.000230</t>
  </si>
  <si>
    <t>1500-1523</t>
  </si>
  <si>
    <t>059003.000449</t>
  </si>
  <si>
    <t>059003.000125</t>
  </si>
  <si>
    <t>059003.000252</t>
  </si>
  <si>
    <t>059003.000290</t>
  </si>
  <si>
    <t>059003.000282</t>
  </si>
  <si>
    <t>1525-1664</t>
  </si>
  <si>
    <t>059003.000643</t>
  </si>
  <si>
    <t>059003.000291</t>
  </si>
  <si>
    <t>059003.000283</t>
  </si>
  <si>
    <t>1664-1700</t>
  </si>
  <si>
    <t>059003.000298</t>
  </si>
  <si>
    <t>059003.000443</t>
  </si>
  <si>
    <t>059003.000284</t>
  </si>
  <si>
    <t>059003.000149</t>
  </si>
  <si>
    <t>059003.000285</t>
  </si>
  <si>
    <t>059003.000679</t>
  </si>
  <si>
    <t>059003.000288</t>
  </si>
  <si>
    <t>059003.000654</t>
  </si>
  <si>
    <t>059003.000301</t>
  </si>
  <si>
    <t>059003.000293</t>
  </si>
  <si>
    <t>059003.000569</t>
  </si>
  <si>
    <t>1700-1725</t>
  </si>
  <si>
    <t>059003.000281</t>
  </si>
  <si>
    <t>059003.000294</t>
  </si>
  <si>
    <t>059003.000447</t>
  </si>
  <si>
    <t>059003.000161</t>
  </si>
  <si>
    <t>059003.000295</t>
  </si>
  <si>
    <t>1725-1750</t>
  </si>
  <si>
    <t>059003.000681</t>
  </si>
  <si>
    <t>059003.000286</t>
  </si>
  <si>
    <t>059003.000292</t>
  </si>
  <si>
    <t>059003.000258</t>
  </si>
  <si>
    <t>059003.000142</t>
  </si>
  <si>
    <t>059003.000655</t>
  </si>
  <si>
    <t>059003.000275</t>
  </si>
  <si>
    <t>1750-1775</t>
  </si>
  <si>
    <t>059003.000140</t>
  </si>
  <si>
    <t>059003.000225</t>
  </si>
  <si>
    <t>059003.000567</t>
  </si>
  <si>
    <t>059003.000204</t>
  </si>
  <si>
    <t>059003.000672</t>
  </si>
  <si>
    <t>059003.000263</t>
  </si>
  <si>
    <t>059003.000650</t>
  </si>
  <si>
    <t>059003.000242</t>
  </si>
  <si>
    <t>059003.000670</t>
  </si>
  <si>
    <t>059003.000647</t>
  </si>
  <si>
    <t>059003.000279</t>
  </si>
  <si>
    <t>059003.000437</t>
  </si>
  <si>
    <t>059003.000439</t>
  </si>
  <si>
    <t>059003.000257</t>
  </si>
  <si>
    <t>1775-1800</t>
  </si>
  <si>
    <t>059003.000566</t>
  </si>
  <si>
    <t>059003.000271</t>
  </si>
  <si>
    <t>059003.000675</t>
  </si>
  <si>
    <t>059003.000680</t>
  </si>
  <si>
    <t>059003.000165</t>
  </si>
  <si>
    <t>059003.000667</t>
  </si>
  <si>
    <t>059003.000248</t>
  </si>
  <si>
    <t>059003.000270</t>
  </si>
  <si>
    <t>059003.000277</t>
  </si>
  <si>
    <t>1800-1825</t>
  </si>
  <si>
    <t>059003.000244</t>
  </si>
  <si>
    <t>059003.000243</t>
  </si>
  <si>
    <t>059003.000272</t>
  </si>
  <si>
    <t>059003.000280</t>
  </si>
  <si>
    <t>059003.000256</t>
  </si>
  <si>
    <t>059003.000198</t>
  </si>
  <si>
    <t>059003.000564</t>
  </si>
  <si>
    <t>059003.000678</t>
  </si>
  <si>
    <t>059003.000259</t>
  </si>
  <si>
    <t>1825-1850</t>
  </si>
  <si>
    <t>059003.000266</t>
  </si>
  <si>
    <t>059003.000254</t>
  </si>
  <si>
    <t>059003.000234</t>
  </si>
  <si>
    <t>059003.000438</t>
  </si>
  <si>
    <t>059003.000276</t>
  </si>
  <si>
    <t>059003.000268</t>
  </si>
  <si>
    <t>059003.000442</t>
  </si>
  <si>
    <t>059003.000208</t>
  </si>
  <si>
    <t>059003.000565</t>
  </si>
  <si>
    <t>1850-1875</t>
  </si>
  <si>
    <t>059003.000269</t>
  </si>
  <si>
    <t>059003.000683</t>
  </si>
  <si>
    <t>059003.000265</t>
  </si>
  <si>
    <t>059003.000241</t>
  </si>
  <si>
    <t>1875-1900</t>
  </si>
  <si>
    <t>059003.000261</t>
  </si>
  <si>
    <t>059003.000260</t>
  </si>
  <si>
    <t>059003.000674</t>
  </si>
  <si>
    <t>059003.000436</t>
  </si>
  <si>
    <t>059003.000224</t>
  </si>
  <si>
    <t>059003.000253</t>
  </si>
  <si>
    <t>059003.000441</t>
  </si>
  <si>
    <t>059003.000278</t>
  </si>
  <si>
    <t>1900-1925</t>
  </si>
  <si>
    <t>059003.000645</t>
  </si>
  <si>
    <t>059003.000563</t>
  </si>
  <si>
    <t>059003.000249</t>
  </si>
  <si>
    <t>059003.000273</t>
  </si>
  <si>
    <t>059003.000262</t>
  </si>
  <si>
    <t>059003.000631</t>
  </si>
  <si>
    <t>059003.000264</t>
  </si>
  <si>
    <t>1925-1950</t>
  </si>
  <si>
    <t>059003.000233</t>
  </si>
  <si>
    <t>059003.000232</t>
  </si>
  <si>
    <t>059003.000267</t>
  </si>
  <si>
    <t>059003.000250</t>
  </si>
  <si>
    <t>1950-1975</t>
  </si>
  <si>
    <t>059003.000238</t>
  </si>
  <si>
    <t>059003.000641</t>
  </si>
  <si>
    <t>059003.000274</t>
  </si>
  <si>
    <t>059003.000440</t>
  </si>
  <si>
    <t>059003.000432</t>
  </si>
  <si>
    <t>1975-2000</t>
  </si>
  <si>
    <t>059003.000431</t>
  </si>
  <si>
    <t>2000-2025</t>
  </si>
  <si>
    <t>059003.000222</t>
  </si>
  <si>
    <t>2025-2050</t>
  </si>
  <si>
    <t>059003.000189</t>
  </si>
  <si>
    <t>2050-2075</t>
  </si>
  <si>
    <t>059003.000653</t>
  </si>
  <si>
    <t>059003.000217</t>
  </si>
  <si>
    <t>2075-2103</t>
  </si>
  <si>
    <t>059003.000157</t>
  </si>
  <si>
    <t>059003.000300</t>
  </si>
  <si>
    <t>2103-2150</t>
  </si>
  <si>
    <t>2150-2175</t>
  </si>
  <si>
    <t>2175-2191</t>
  </si>
  <si>
    <t>w**</t>
  </si>
  <si>
    <t>2191-2200</t>
  </si>
  <si>
    <t>2200-2225</t>
  </si>
  <si>
    <t>059003.000444</t>
  </si>
  <si>
    <t>059003.000170</t>
  </si>
  <si>
    <t>2225-2250</t>
  </si>
  <si>
    <t>059003.000434</t>
  </si>
  <si>
    <t>059003.000433</t>
  </si>
  <si>
    <t>059003.000287</t>
  </si>
  <si>
    <t>2250-2275</t>
  </si>
  <si>
    <t>059003.000435</t>
  </si>
  <si>
    <t>2275-2283</t>
  </si>
  <si>
    <t>2283-2300</t>
  </si>
  <si>
    <t>059003.000346</t>
  </si>
  <si>
    <t>059003.000228</t>
  </si>
  <si>
    <t>2300-2325</t>
  </si>
  <si>
    <t>059003.000554</t>
  </si>
  <si>
    <t>059003.000321</t>
  </si>
  <si>
    <t>059003.000673</t>
  </si>
  <si>
    <t>059003.000671</t>
  </si>
  <si>
    <t>2325-2343</t>
  </si>
  <si>
    <t>059003.000556</t>
  </si>
  <si>
    <t>059003.000558</t>
  </si>
  <si>
    <t>059003.000338</t>
  </si>
  <si>
    <t>059003.000669</t>
  </si>
  <si>
    <t>2343-2375</t>
  </si>
  <si>
    <t>059003.000328</t>
  </si>
  <si>
    <t>059003.000557</t>
  </si>
  <si>
    <t>059003.000555</t>
  </si>
  <si>
    <t>059003.000337</t>
  </si>
  <si>
    <t>059003.000325</t>
  </si>
  <si>
    <t>c</t>
  </si>
  <si>
    <t>059003.000315</t>
  </si>
  <si>
    <t>059003.000345</t>
  </si>
  <si>
    <t>059003.000326</t>
  </si>
  <si>
    <t>059003.000314</t>
  </si>
  <si>
    <t>059003.000336</t>
  </si>
  <si>
    <t>2375-2400</t>
  </si>
  <si>
    <t>059003.000541</t>
  </si>
  <si>
    <t>059003.000559</t>
  </si>
  <si>
    <t>059003.000453</t>
  </si>
  <si>
    <t>059003.000324</t>
  </si>
  <si>
    <t>059003.000547</t>
  </si>
  <si>
    <t>059003.000335</t>
  </si>
  <si>
    <t>2400-2425</t>
  </si>
  <si>
    <t>059003.000544</t>
  </si>
  <si>
    <t>059003.000343</t>
  </si>
  <si>
    <t>2425-2450</t>
  </si>
  <si>
    <t>059003.000550</t>
  </si>
  <si>
    <t>2450-2475</t>
  </si>
  <si>
    <t>2475-2498</t>
  </si>
  <si>
    <t>059003.000668</t>
  </si>
  <si>
    <t>2498-2525</t>
  </si>
  <si>
    <t>059003.000553</t>
  </si>
  <si>
    <t>d</t>
  </si>
  <si>
    <t>059003.000551</t>
  </si>
  <si>
    <t>2525-2543</t>
  </si>
  <si>
    <t>059003.000562</t>
  </si>
  <si>
    <t>2543-2575</t>
  </si>
  <si>
    <t>059003.000332</t>
  </si>
  <si>
    <t>2575-2600</t>
  </si>
  <si>
    <t>059003.000344</t>
  </si>
  <si>
    <t>059003.000038</t>
  </si>
  <si>
    <t>059003.000642</t>
  </si>
  <si>
    <t>059003.000543</t>
  </si>
  <si>
    <t>059003.000316</t>
  </si>
  <si>
    <t>2600-2632</t>
  </si>
  <si>
    <t>059003.000545</t>
  </si>
  <si>
    <t>2632-2650</t>
  </si>
  <si>
    <t>2650-2675</t>
  </si>
  <si>
    <t>2675-2700</t>
  </si>
  <si>
    <t>*v</t>
  </si>
  <si>
    <t>059003.000546</t>
  </si>
  <si>
    <t>2700-2725</t>
  </si>
  <si>
    <t>*r</t>
  </si>
  <si>
    <t>2725-2750</t>
  </si>
  <si>
    <t>2750-2781</t>
  </si>
  <si>
    <t>2781-2809</t>
  </si>
  <si>
    <t>2809-2850</t>
  </si>
  <si>
    <t>2850-2875</t>
  </si>
  <si>
    <t>059003.000192</t>
  </si>
  <si>
    <t>2875-2900</t>
  </si>
  <si>
    <t>2900-2925</t>
  </si>
  <si>
    <t>059003.000568</t>
  </si>
  <si>
    <t>059003.000187</t>
  </si>
  <si>
    <t>2925-2950</t>
  </si>
  <si>
    <t>059003.000191</t>
  </si>
  <si>
    <t>2950-2975</t>
  </si>
  <si>
    <t>059003.000188</t>
  </si>
  <si>
    <t>2975-3000</t>
  </si>
  <si>
    <t>059003.000190</t>
  </si>
  <si>
    <t>3000-3025</t>
  </si>
  <si>
    <t>3025-3050</t>
  </si>
  <si>
    <t>3050-3075</t>
  </si>
  <si>
    <t>3075-3100</t>
  </si>
  <si>
    <t>3100-3125</t>
  </si>
  <si>
    <t>3125-3175</t>
  </si>
  <si>
    <t>3175-3211</t>
  </si>
  <si>
    <t>3211-3250</t>
  </si>
  <si>
    <t>059003.000043</t>
  </si>
  <si>
    <t>3256-3275</t>
  </si>
  <si>
    <t>3275-3300</t>
  </si>
  <si>
    <t>3300-3325</t>
  </si>
  <si>
    <t>059003.000037</t>
  </si>
  <si>
    <t>3325-3350</t>
  </si>
  <si>
    <t>059003.000036</t>
  </si>
  <si>
    <t>3350-3375</t>
  </si>
  <si>
    <t>059003.000035</t>
  </si>
  <si>
    <t>059003.000034</t>
  </si>
  <si>
    <t>059003.000065</t>
  </si>
  <si>
    <t>3375-3400</t>
  </si>
  <si>
    <t>3400-3425</t>
  </si>
  <si>
    <t>059003.000039</t>
  </si>
  <si>
    <t>3425-3475</t>
  </si>
  <si>
    <t>3475-3525</t>
  </si>
  <si>
    <t>3525-3575</t>
  </si>
  <si>
    <t>3575-3625</t>
  </si>
  <si>
    <t>059003.000077</t>
  </si>
  <si>
    <t>059003.000056</t>
  </si>
  <si>
    <t>3625-3675</t>
  </si>
  <si>
    <t>3675-3700</t>
  </si>
  <si>
    <t>3700-3775</t>
  </si>
  <si>
    <t>059003.000040</t>
  </si>
  <si>
    <t>3775-3825</t>
  </si>
  <si>
    <t>3825-3900</t>
  </si>
  <si>
    <t>3900-4000</t>
  </si>
  <si>
    <t>059003.000594</t>
  </si>
  <si>
    <t>059003.000051</t>
  </si>
  <si>
    <t>4000-4100</t>
  </si>
  <si>
    <t>059003.000032</t>
  </si>
  <si>
    <t>4100-4150</t>
  </si>
  <si>
    <t>059003.000583</t>
  </si>
  <si>
    <t>059003.000578</t>
  </si>
  <si>
    <t>059003.000579</t>
  </si>
  <si>
    <t>059003.000615</t>
  </si>
  <si>
    <t>4150-4175</t>
  </si>
  <si>
    <t>059003.000582</t>
  </si>
  <si>
    <t>059003.000581</t>
  </si>
  <si>
    <t>059003.000610</t>
  </si>
  <si>
    <t>059003.000608</t>
  </si>
  <si>
    <t>059003.000614</t>
  </si>
  <si>
    <t>059003.000611</t>
  </si>
  <si>
    <t>059003.000609</t>
  </si>
  <si>
    <t>059003.000590</t>
  </si>
  <si>
    <t>059003.000601</t>
  </si>
  <si>
    <t>4175-4200</t>
  </si>
  <si>
    <t>059003.000596</t>
  </si>
  <si>
    <t>059003.000620</t>
  </si>
  <si>
    <t>059003.000592</t>
  </si>
  <si>
    <t>059003.000599</t>
  </si>
  <si>
    <t>4200-4250</t>
  </si>
  <si>
    <t>059003.000595</t>
  </si>
  <si>
    <t>059003.000606</t>
  </si>
  <si>
    <t>059003.000617</t>
  </si>
  <si>
    <t>059003.000598</t>
  </si>
  <si>
    <t>059003.000622</t>
  </si>
  <si>
    <t>059003.000605</t>
  </si>
  <si>
    <t>059003.000048</t>
  </si>
  <si>
    <t>059003.000607</t>
  </si>
  <si>
    <t>059003.000618</t>
  </si>
  <si>
    <t>4250-4275</t>
  </si>
  <si>
    <t>059003.000612</t>
  </si>
  <si>
    <t>059003.000619</t>
  </si>
  <si>
    <t>059003.000597</t>
  </si>
  <si>
    <t>059003.000593</t>
  </si>
  <si>
    <t>4275-4300</t>
  </si>
  <si>
    <t>059003.000603</t>
  </si>
  <si>
    <t>059003.000600</t>
  </si>
  <si>
    <t>059003.000584</t>
  </si>
  <si>
    <t>4300-4325</t>
  </si>
  <si>
    <t>059003.000587</t>
  </si>
  <si>
    <t>059003.000585</t>
  </si>
  <si>
    <t>059003.000604</t>
  </si>
  <si>
    <t>059003.000588</t>
  </si>
  <si>
    <t>4325-4375</t>
  </si>
  <si>
    <t>059003.000586</t>
  </si>
  <si>
    <t>059003.000666</t>
  </si>
  <si>
    <t>4375-4400</t>
  </si>
  <si>
    <t>4400-4425</t>
  </si>
  <si>
    <t>059003.000589</t>
  </si>
  <si>
    <t>4425-4450</t>
  </si>
  <si>
    <t>4450-4500</t>
  </si>
  <si>
    <t>059003.000616</t>
  </si>
  <si>
    <t>4500-4575</t>
  </si>
  <si>
    <t>059003.000068</t>
  </si>
  <si>
    <t>4575-4650</t>
  </si>
  <si>
    <t>4650-4725</t>
  </si>
  <si>
    <t>059003.000117</t>
  </si>
  <si>
    <t>4725-4800</t>
  </si>
  <si>
    <t>4800-4936</t>
  </si>
  <si>
    <t>4950-5050</t>
  </si>
  <si>
    <t>5075-5370</t>
  </si>
  <si>
    <t>059003.000169</t>
  </si>
  <si>
    <t>5400-5575</t>
  </si>
  <si>
    <t>5575-5650</t>
  </si>
  <si>
    <t>5650-5775</t>
  </si>
  <si>
    <t>5775-5900</t>
  </si>
  <si>
    <t>5900-6000</t>
  </si>
  <si>
    <t>059003.000635</t>
  </si>
  <si>
    <t>6000-6125</t>
  </si>
  <si>
    <t>6125-6200</t>
  </si>
  <si>
    <t>6200-6275</t>
  </si>
  <si>
    <t>6275-6425</t>
  </si>
  <si>
    <t>6425-6525</t>
  </si>
  <si>
    <t>6525-6725</t>
  </si>
  <si>
    <t>6725-6900</t>
  </si>
  <si>
    <t>6900-7025</t>
  </si>
  <si>
    <t>7025-7150</t>
  </si>
  <si>
    <t>7150-7385</t>
  </si>
  <si>
    <t>7385-7500</t>
  </si>
  <si>
    <t>7500-7600</t>
  </si>
  <si>
    <t>ch</t>
  </si>
  <si>
    <t>7600-7700</t>
  </si>
  <si>
    <t>7700-7800</t>
  </si>
  <si>
    <t>7800-7850</t>
  </si>
  <si>
    <t>7850-7950</t>
  </si>
  <si>
    <t>7950-8190</t>
  </si>
  <si>
    <t>8190-8375</t>
  </si>
  <si>
    <t>8375-8500</t>
  </si>
  <si>
    <t>8500-8625</t>
  </si>
  <si>
    <t>8625-8750</t>
  </si>
  <si>
    <t>8756-9025</t>
  </si>
  <si>
    <t>9033-9300</t>
  </si>
  <si>
    <t>9300-9450</t>
  </si>
  <si>
    <t>9450-9750</t>
  </si>
  <si>
    <t>9775-10350</t>
  </si>
  <si>
    <t>owl</t>
  </si>
  <si>
    <t>dwl</t>
  </si>
  <si>
    <t>group_no</t>
  </si>
  <si>
    <t>iden2_id1</t>
  </si>
  <si>
    <t>iden2_id2</t>
  </si>
  <si>
    <t>fit</t>
  </si>
  <si>
    <t>u_fit</t>
  </si>
  <si>
    <t>Ri</t>
  </si>
  <si>
    <t>u*</t>
  </si>
  <si>
    <t>blk</t>
  </si>
  <si>
    <t>n</t>
  </si>
  <si>
    <t>lam_lo</t>
  </si>
  <si>
    <t>lam_hi</t>
  </si>
  <si>
    <t>u_old_A</t>
  </si>
  <si>
    <t>rms_A</t>
  </si>
  <si>
    <t>ratio</t>
  </si>
  <si>
    <t>u_old_cm1</t>
  </si>
  <si>
    <t>rms_cm1</t>
  </si>
  <si>
    <t>both</t>
  </si>
  <si>
    <t>lam_mid</t>
  </si>
  <si>
    <t>u</t>
  </si>
  <si>
    <t>a_A</t>
  </si>
  <si>
    <t>b_cm1</t>
  </si>
  <si>
    <t>chi2_new</t>
  </si>
  <si>
    <t>chi2_old</t>
  </si>
  <si>
    <t>(plain)</t>
  </si>
  <si>
    <t>u_new_A</t>
  </si>
  <si>
    <t>char (plain)  era 1974  n 1617   a = 0.0017 A, b = 0.0291 cm-1</t>
  </si>
  <si>
    <t>mod_A</t>
  </si>
  <si>
    <t>mod_cm1</t>
  </si>
  <si>
    <t>chi2</t>
  </si>
  <si>
    <t>rms_A^2</t>
  </si>
  <si>
    <t>wn_mid</t>
  </si>
  <si>
    <t>b/nu^2*1e8</t>
  </si>
  <si>
    <t>wl</t>
  </si>
  <si>
    <t>rms_A/wl</t>
  </si>
  <si>
    <t>b*wl/nu</t>
  </si>
  <si>
    <t>a^2 + (b/nu*wl)^2</t>
  </si>
  <si>
    <t>b*wl^2*1e-8</t>
  </si>
  <si>
    <t>sqrt(a^2/wl^2+ (b*1e-8)^2)</t>
  </si>
  <si>
    <t>chk</t>
  </si>
  <si>
    <t>mod</t>
  </si>
  <si>
    <t>A-mod</t>
  </si>
  <si>
    <t>a^2 + b^2*wl^4*1e-16</t>
  </si>
  <si>
    <t>wn_term</t>
  </si>
  <si>
    <t>(A^2-a^2)^0.5</t>
  </si>
  <si>
    <t>char (plain)  era 1969  n 1759   a = 0.0026 A, b = 0.0918 cm-1</t>
  </si>
  <si>
    <t>char w  era 1974  n 423   a = 0.0028 A, b = 0.0282 cm-1</t>
  </si>
  <si>
    <t>lam_A</t>
  </si>
  <si>
    <t>res_cm1</t>
  </si>
  <si>
    <t>u_cm1</t>
  </si>
  <si>
    <t>z</t>
  </si>
  <si>
    <t>id1</t>
  </si>
  <si>
    <t>id2</t>
  </si>
  <si>
    <t>iden2_id1 iden2_id2</t>
  </si>
  <si>
    <t>new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</si>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</sst>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00"/>
    <numFmt numFmtId="169" formatCode="0.0000E+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33" borderId="0" xfId="0" applyFill="1"/>
    <xf numFmtId="165" fontId="0" fillId="33" borderId="0" xfId="0" applyNumberFormat="1" applyFill="1"/>
    <xf numFmtId="166" fontId="0" fillId="0" borderId="0" xfId="0" applyNumberFormat="1"/>
    <xf numFmtId="2" fontId="0" fillId="0" borderId="0" xfId="0" applyNumberFormat="1"/>
    <xf numFmtId="2" fontId="0" fillId="33" borderId="0" xfId="0" applyNumberFormat="1" applyFill="1"/>
    <xf numFmtId="1" fontId="0" fillId="0" borderId="0" xfId="0" applyNumberFormat="1"/>
    <xf numFmtId="0" fontId="0" fillId="0" borderId="0" xfId="0" applyFill="1"/>
    <xf numFmtId="11" fontId="0" fillId="0" borderId="0" xfId="0" applyNumberFormat="1"/>
    <xf numFmtId="169" fontId="0" fillId="0" borderId="0" xfId="0" applyNumberFormat="1"/>
    <xf numFmtId="11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pts!$R$2:$R$4374</c:f>
                <c:numCache>
                  <c:formatCode>General</c:formatCode>
                  <c:ptCount val="50"/>
                  <c:pt idx="0">
                    <c:v>3.7629999999999997E-2</c:v>
                  </c:pt>
                  <c:pt idx="1">
                    <c:v>3.7690000000000001E-2</c:v>
                  </c:pt>
                  <c:pt idx="2">
                    <c:v>3.7900000000000003E-2</c:v>
                  </c:pt>
                  <c:pt idx="3">
                    <c:v>3.8170000000000003E-2</c:v>
                  </c:pt>
                  <c:pt idx="4">
                    <c:v>3.8440000000000002E-2</c:v>
                  </c:pt>
                  <c:pt idx="5">
                    <c:v>3.8609999999999998E-2</c:v>
                  </c:pt>
                  <c:pt idx="6">
                    <c:v>3.882E-2</c:v>
                  </c:pt>
                  <c:pt idx="7">
                    <c:v>3.9199999999999999E-2</c:v>
                  </c:pt>
                  <c:pt idx="8">
                    <c:v>3.925E-2</c:v>
                  </c:pt>
                  <c:pt idx="9">
                    <c:v>3.9489999999999997E-2</c:v>
                  </c:pt>
                  <c:pt idx="10">
                    <c:v>4.1860000000000001E-2</c:v>
                  </c:pt>
                  <c:pt idx="11">
                    <c:v>3.9739999999999998E-2</c:v>
                  </c:pt>
                  <c:pt idx="12">
                    <c:v>3.9919999999999997E-2</c:v>
                  </c:pt>
                  <c:pt idx="13">
                    <c:v>4.002E-2</c:v>
                  </c:pt>
                  <c:pt idx="14">
                    <c:v>4.0039999999999999E-2</c:v>
                  </c:pt>
                  <c:pt idx="15">
                    <c:v>4.0160000000000001E-2</c:v>
                  </c:pt>
                  <c:pt idx="16">
                    <c:v>4.0340000000000001E-2</c:v>
                  </c:pt>
                  <c:pt idx="17">
                    <c:v>4.0419999999999998E-2</c:v>
                  </c:pt>
                  <c:pt idx="18">
                    <c:v>4.0529999999999997E-2</c:v>
                  </c:pt>
                  <c:pt idx="19">
                    <c:v>4.0559999999999999E-2</c:v>
                  </c:pt>
                  <c:pt idx="20">
                    <c:v>4.0590000000000001E-2</c:v>
                  </c:pt>
                  <c:pt idx="21">
                    <c:v>4.0629999999999999E-2</c:v>
                  </c:pt>
                  <c:pt idx="22">
                    <c:v>4.095E-2</c:v>
                  </c:pt>
                  <c:pt idx="23">
                    <c:v>4.1000000000000002E-2</c:v>
                  </c:pt>
                  <c:pt idx="24">
                    <c:v>4.113E-2</c:v>
                  </c:pt>
                  <c:pt idx="25">
                    <c:v>4.1200000000000001E-2</c:v>
                  </c:pt>
                  <c:pt idx="26">
                    <c:v>4.165E-2</c:v>
                  </c:pt>
                  <c:pt idx="27">
                    <c:v>4.1689999999999998E-2</c:v>
                  </c:pt>
                  <c:pt idx="28">
                    <c:v>4.1849999999999998E-2</c:v>
                  </c:pt>
                  <c:pt idx="29">
                    <c:v>4.2029999999999998E-2</c:v>
                  </c:pt>
                  <c:pt idx="30">
                    <c:v>4.2299999999999997E-2</c:v>
                  </c:pt>
                  <c:pt idx="31">
                    <c:v>4.283E-2</c:v>
                  </c:pt>
                  <c:pt idx="32">
                    <c:v>4.2950000000000002E-2</c:v>
                  </c:pt>
                  <c:pt idx="33">
                    <c:v>4.326E-2</c:v>
                  </c:pt>
                  <c:pt idx="34">
                    <c:v>4.589E-2</c:v>
                  </c:pt>
                  <c:pt idx="35">
                    <c:v>4.3619999999999999E-2</c:v>
                  </c:pt>
                  <c:pt idx="36">
                    <c:v>4.3639999999999998E-2</c:v>
                  </c:pt>
                  <c:pt idx="37">
                    <c:v>4.4089999999999997E-2</c:v>
                  </c:pt>
                  <c:pt idx="38">
                    <c:v>4.4290000000000003E-2</c:v>
                  </c:pt>
                  <c:pt idx="39">
                    <c:v>4.4319999999999998E-2</c:v>
                  </c:pt>
                  <c:pt idx="40">
                    <c:v>4.496E-2</c:v>
                  </c:pt>
                  <c:pt idx="41">
                    <c:v>4.5199999999999997E-2</c:v>
                  </c:pt>
                  <c:pt idx="42">
                    <c:v>4.5490000000000003E-2</c:v>
                  </c:pt>
                  <c:pt idx="43">
                    <c:v>4.5859999999999998E-2</c:v>
                  </c:pt>
                  <c:pt idx="44">
                    <c:v>4.8669999999999998E-2</c:v>
                  </c:pt>
                  <c:pt idx="45">
                    <c:v>4.6379999999999998E-2</c:v>
                  </c:pt>
                  <c:pt idx="46">
                    <c:v>4.7579999999999997E-2</c:v>
                  </c:pt>
                  <c:pt idx="47">
                    <c:v>4.8320000000000002E-2</c:v>
                  </c:pt>
                  <c:pt idx="48">
                    <c:v>4.8910000000000002E-2</c:v>
                  </c:pt>
                  <c:pt idx="49">
                    <c:v>4.913E-2</c:v>
                  </c:pt>
                </c:numCache>
              </c:numRef>
            </c:plus>
            <c:minus>
              <c:numRef>
                <c:f>pts!$R$2:$R$4374</c:f>
                <c:numCache>
                  <c:formatCode>General</c:formatCode>
                  <c:ptCount val="50"/>
                  <c:pt idx="0">
                    <c:v>3.7629999999999997E-2</c:v>
                  </c:pt>
                  <c:pt idx="1">
                    <c:v>3.7690000000000001E-2</c:v>
                  </c:pt>
                  <c:pt idx="2">
                    <c:v>3.7900000000000003E-2</c:v>
                  </c:pt>
                  <c:pt idx="3">
                    <c:v>3.8170000000000003E-2</c:v>
                  </c:pt>
                  <c:pt idx="4">
                    <c:v>3.8440000000000002E-2</c:v>
                  </c:pt>
                  <c:pt idx="5">
                    <c:v>3.8609999999999998E-2</c:v>
                  </c:pt>
                  <c:pt idx="6">
                    <c:v>3.882E-2</c:v>
                  </c:pt>
                  <c:pt idx="7">
                    <c:v>3.9199999999999999E-2</c:v>
                  </c:pt>
                  <c:pt idx="8">
                    <c:v>3.925E-2</c:v>
                  </c:pt>
                  <c:pt idx="9">
                    <c:v>3.9489999999999997E-2</c:v>
                  </c:pt>
                  <c:pt idx="10">
                    <c:v>4.1860000000000001E-2</c:v>
                  </c:pt>
                  <c:pt idx="11">
                    <c:v>3.9739999999999998E-2</c:v>
                  </c:pt>
                  <c:pt idx="12">
                    <c:v>3.9919999999999997E-2</c:v>
                  </c:pt>
                  <c:pt idx="13">
                    <c:v>4.002E-2</c:v>
                  </c:pt>
                  <c:pt idx="14">
                    <c:v>4.0039999999999999E-2</c:v>
                  </c:pt>
                  <c:pt idx="15">
                    <c:v>4.0160000000000001E-2</c:v>
                  </c:pt>
                  <c:pt idx="16">
                    <c:v>4.0340000000000001E-2</c:v>
                  </c:pt>
                  <c:pt idx="17">
                    <c:v>4.0419999999999998E-2</c:v>
                  </c:pt>
                  <c:pt idx="18">
                    <c:v>4.0529999999999997E-2</c:v>
                  </c:pt>
                  <c:pt idx="19">
                    <c:v>4.0559999999999999E-2</c:v>
                  </c:pt>
                  <c:pt idx="20">
                    <c:v>4.0590000000000001E-2</c:v>
                  </c:pt>
                  <c:pt idx="21">
                    <c:v>4.0629999999999999E-2</c:v>
                  </c:pt>
                  <c:pt idx="22">
                    <c:v>4.095E-2</c:v>
                  </c:pt>
                  <c:pt idx="23">
                    <c:v>4.1000000000000002E-2</c:v>
                  </c:pt>
                  <c:pt idx="24">
                    <c:v>4.113E-2</c:v>
                  </c:pt>
                  <c:pt idx="25">
                    <c:v>4.1200000000000001E-2</c:v>
                  </c:pt>
                  <c:pt idx="26">
                    <c:v>4.165E-2</c:v>
                  </c:pt>
                  <c:pt idx="27">
                    <c:v>4.1689999999999998E-2</c:v>
                  </c:pt>
                  <c:pt idx="28">
                    <c:v>4.1849999999999998E-2</c:v>
                  </c:pt>
                  <c:pt idx="29">
                    <c:v>4.2029999999999998E-2</c:v>
                  </c:pt>
                  <c:pt idx="30">
                    <c:v>4.2299999999999997E-2</c:v>
                  </c:pt>
                  <c:pt idx="31">
                    <c:v>4.283E-2</c:v>
                  </c:pt>
                  <c:pt idx="32">
                    <c:v>4.2950000000000002E-2</c:v>
                  </c:pt>
                  <c:pt idx="33">
                    <c:v>4.326E-2</c:v>
                  </c:pt>
                  <c:pt idx="34">
                    <c:v>4.589E-2</c:v>
                  </c:pt>
                  <c:pt idx="35">
                    <c:v>4.3619999999999999E-2</c:v>
                  </c:pt>
                  <c:pt idx="36">
                    <c:v>4.3639999999999998E-2</c:v>
                  </c:pt>
                  <c:pt idx="37">
                    <c:v>4.4089999999999997E-2</c:v>
                  </c:pt>
                  <c:pt idx="38">
                    <c:v>4.4290000000000003E-2</c:v>
                  </c:pt>
                  <c:pt idx="39">
                    <c:v>4.4319999999999998E-2</c:v>
                  </c:pt>
                  <c:pt idx="40">
                    <c:v>4.496E-2</c:v>
                  </c:pt>
                  <c:pt idx="41">
                    <c:v>4.5199999999999997E-2</c:v>
                  </c:pt>
                  <c:pt idx="42">
                    <c:v>4.5490000000000003E-2</c:v>
                  </c:pt>
                  <c:pt idx="43">
                    <c:v>4.5859999999999998E-2</c:v>
                  </c:pt>
                  <c:pt idx="44">
                    <c:v>4.8669999999999998E-2</c:v>
                  </c:pt>
                  <c:pt idx="45">
                    <c:v>4.6379999999999998E-2</c:v>
                  </c:pt>
                  <c:pt idx="46">
                    <c:v>4.7579999999999997E-2</c:v>
                  </c:pt>
                  <c:pt idx="47">
                    <c:v>4.8320000000000002E-2</c:v>
                  </c:pt>
                  <c:pt idx="48">
                    <c:v>4.8910000000000002E-2</c:v>
                  </c:pt>
                  <c:pt idx="49">
                    <c:v>4.913E-2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pts!$P$2:$P$4374</c:f>
              <c:numCache>
                <c:formatCode>0.00000</c:formatCode>
                <c:ptCount val="50"/>
                <c:pt idx="0">
                  <c:v>9038.1023347271148</c:v>
                </c:pt>
                <c:pt idx="1">
                  <c:v>9044.9230575530273</c:v>
                </c:pt>
                <c:pt idx="2">
                  <c:v>9070.0519293125144</c:v>
                </c:pt>
                <c:pt idx="3">
                  <c:v>9102.4818207963817</c:v>
                </c:pt>
                <c:pt idx="4">
                  <c:v>9134.4053855138791</c:v>
                </c:pt>
                <c:pt idx="5">
                  <c:v>9155.3920988471782</c:v>
                </c:pt>
                <c:pt idx="6">
                  <c:v>9179.9217009594431</c:v>
                </c:pt>
                <c:pt idx="7">
                  <c:v>9224.8509070371547</c:v>
                </c:pt>
                <c:pt idx="8">
                  <c:v>9230.0851820563221</c:v>
                </c:pt>
                <c:pt idx="9">
                  <c:v>9258.8540986623138</c:v>
                </c:pt>
                <c:pt idx="10">
                  <c:v>9268.1036045712444</c:v>
                </c:pt>
                <c:pt idx="11">
                  <c:v>9288.4801297117683</c:v>
                </c:pt>
                <c:pt idx="12">
                  <c:v>9309.4016792615257</c:v>
                </c:pt>
                <c:pt idx="13">
                  <c:v>9320.1786219689038</c:v>
                </c:pt>
                <c:pt idx="14">
                  <c:v>9323.0954433343068</c:v>
                </c:pt>
                <c:pt idx="15">
                  <c:v>9336.8931919268325</c:v>
                </c:pt>
                <c:pt idx="16">
                  <c:v>9357.5416929481016</c:v>
                </c:pt>
                <c:pt idx="17">
                  <c:v>9366.7112216141595</c:v>
                </c:pt>
                <c:pt idx="18">
                  <c:v>9380.0127667601755</c:v>
                </c:pt>
                <c:pt idx="19">
                  <c:v>9383.095705652664</c:v>
                </c:pt>
                <c:pt idx="20">
                  <c:v>9386.8427047612768</c:v>
                </c:pt>
                <c:pt idx="21">
                  <c:v>9391.1388481944741</c:v>
                </c:pt>
                <c:pt idx="22">
                  <c:v>9427.9548780342247</c:v>
                </c:pt>
                <c:pt idx="23">
                  <c:v>9434.1304764773631</c:v>
                </c:pt>
                <c:pt idx="24">
                  <c:v>9448.8294624707378</c:v>
                </c:pt>
                <c:pt idx="25">
                  <c:v>9457.4548496613188</c:v>
                </c:pt>
                <c:pt idx="26">
                  <c:v>9509.0517471850853</c:v>
                </c:pt>
                <c:pt idx="27">
                  <c:v>9512.9488166443425</c:v>
                </c:pt>
                <c:pt idx="28">
                  <c:v>9531.5368769204561</c:v>
                </c:pt>
                <c:pt idx="29">
                  <c:v>9552.386534340767</c:v>
                </c:pt>
                <c:pt idx="30">
                  <c:v>9582.3715946155844</c:v>
                </c:pt>
                <c:pt idx="31">
                  <c:v>9642.0237655251894</c:v>
                </c:pt>
                <c:pt idx="32">
                  <c:v>9655.4763815074912</c:v>
                </c:pt>
                <c:pt idx="33">
                  <c:v>9690.6249570281361</c:v>
                </c:pt>
                <c:pt idx="34">
                  <c:v>9704.0246287368773</c:v>
                </c:pt>
                <c:pt idx="35">
                  <c:v>9731.2509714829484</c:v>
                </c:pt>
                <c:pt idx="36">
                  <c:v>9733.3585362430367</c:v>
                </c:pt>
                <c:pt idx="37">
                  <c:v>9783.059003477847</c:v>
                </c:pt>
                <c:pt idx="38">
                  <c:v>9805.6650543276992</c:v>
                </c:pt>
                <c:pt idx="39">
                  <c:v>9809.0569946330434</c:v>
                </c:pt>
                <c:pt idx="40">
                  <c:v>9879.6061317182666</c:v>
                </c:pt>
                <c:pt idx="41">
                  <c:v>9905.237092002666</c:v>
                </c:pt>
                <c:pt idx="42">
                  <c:v>9937.079703140078</c:v>
                </c:pt>
                <c:pt idx="43">
                  <c:v>9977.8558451870995</c:v>
                </c:pt>
                <c:pt idx="44">
                  <c:v>9993.8951292213642</c:v>
                </c:pt>
                <c:pt idx="45">
                  <c:v>10033.847881427773</c:v>
                </c:pt>
                <c:pt idx="46">
                  <c:v>10163.118974216888</c:v>
                </c:pt>
                <c:pt idx="47">
                  <c:v>10241.432240538717</c:v>
                </c:pt>
                <c:pt idx="48">
                  <c:v>10304.40829593898</c:v>
                </c:pt>
                <c:pt idx="49">
                  <c:v>10327.420540826361</c:v>
                </c:pt>
              </c:numCache>
            </c:numRef>
          </c:xVal>
          <c:yVal>
            <c:numRef>
              <c:f>pts!$Q$2:$Q$4374</c:f>
              <c:numCache>
                <c:formatCode>0.00000</c:formatCode>
                <c:ptCount val="50"/>
                <c:pt idx="0">
                  <c:v>8.9855933874787297E-3</c:v>
                </c:pt>
                <c:pt idx="1">
                  <c:v>1.7916493163284031E-2</c:v>
                </c:pt>
                <c:pt idx="2">
                  <c:v>3.290632486823597E-3</c:v>
                </c:pt>
                <c:pt idx="3">
                  <c:v>-1.3256829988677055E-3</c:v>
                </c:pt>
                <c:pt idx="4">
                  <c:v>-6.7584313037514221E-3</c:v>
                </c:pt>
                <c:pt idx="5">
                  <c:v>-2.0536241165245883E-2</c:v>
                </c:pt>
                <c:pt idx="6">
                  <c:v>9.6911504497256828E-3</c:v>
                </c:pt>
                <c:pt idx="7">
                  <c:v>-9.2756776211899705E-3</c:v>
                </c:pt>
                <c:pt idx="8">
                  <c:v>-1.4227498833861318E-2</c:v>
                </c:pt>
                <c:pt idx="9">
                  <c:v>8.1439988643978722E-3</c:v>
                </c:pt>
                <c:pt idx="10">
                  <c:v>-1.4516741544866818E-2</c:v>
                </c:pt>
                <c:pt idx="11">
                  <c:v>1.725517231534468E-4</c:v>
                </c:pt>
                <c:pt idx="12">
                  <c:v>8.4931582932767924E-3</c:v>
                </c:pt>
                <c:pt idx="13">
                  <c:v>2.6059718038595747E-4</c:v>
                </c:pt>
                <c:pt idx="14">
                  <c:v>-1.7036372424627189E-2</c:v>
                </c:pt>
                <c:pt idx="15">
                  <c:v>5.1434740598779172E-3</c:v>
                </c:pt>
                <c:pt idx="16">
                  <c:v>2.3642162395844935E-3</c:v>
                </c:pt>
                <c:pt idx="17">
                  <c:v>-1.4388607874934678E-2</c:v>
                </c:pt>
                <c:pt idx="18">
                  <c:v>-4.8215830291155726E-2</c:v>
                </c:pt>
                <c:pt idx="19">
                  <c:v>1.4086776454860228E-2</c:v>
                </c:pt>
                <c:pt idx="20">
                  <c:v>9.2518365563591942E-3</c:v>
                </c:pt>
                <c:pt idx="21">
                  <c:v>3.7923184881947236E-3</c:v>
                </c:pt>
                <c:pt idx="22">
                  <c:v>1.3066272867945372E-2</c:v>
                </c:pt>
                <c:pt idx="23">
                  <c:v>-1.2727420122246258E-2</c:v>
                </c:pt>
                <c:pt idx="24">
                  <c:v>-7.9459603439318016E-3</c:v>
                </c:pt>
                <c:pt idx="25">
                  <c:v>-2.2897579208802199E-2</c:v>
                </c:pt>
                <c:pt idx="26">
                  <c:v>-4.0689946727070492E-3</c:v>
                </c:pt>
                <c:pt idx="27">
                  <c:v>-2.1085660215248936E-2</c:v>
                </c:pt>
                <c:pt idx="28">
                  <c:v>7.0863099608686753E-3</c:v>
                </c:pt>
                <c:pt idx="29">
                  <c:v>-3.1389445590320975E-2</c:v>
                </c:pt>
                <c:pt idx="30">
                  <c:v>-2.387368575000437E-3</c:v>
                </c:pt>
                <c:pt idx="31">
                  <c:v>-1.7199225803778972E-2</c:v>
                </c:pt>
                <c:pt idx="32">
                  <c:v>-1.8086309364662156E-2</c:v>
                </c:pt>
                <c:pt idx="33">
                  <c:v>1.3147147910785861E-3</c:v>
                </c:pt>
                <c:pt idx="34">
                  <c:v>4.1998788152341149E-2</c:v>
                </c:pt>
                <c:pt idx="35">
                  <c:v>-1.2594749947311357E-2</c:v>
                </c:pt>
                <c:pt idx="36">
                  <c:v>-4.2348190221673576E-2</c:v>
                </c:pt>
                <c:pt idx="37">
                  <c:v>-3.5125051465001889E-2</c:v>
                </c:pt>
                <c:pt idx="38">
                  <c:v>-3.5287568634885247E-2</c:v>
                </c:pt>
                <c:pt idx="39">
                  <c:v>-1.8666249750822317E-2</c:v>
                </c:pt>
                <c:pt idx="40">
                  <c:v>3.8066566085035447E-3</c:v>
                </c:pt>
                <c:pt idx="41">
                  <c:v>-9.026470635944861E-3</c:v>
                </c:pt>
                <c:pt idx="42">
                  <c:v>-5.4804084180432255E-2</c:v>
                </c:pt>
                <c:pt idx="43">
                  <c:v>-2.7378417124054977E-2</c:v>
                </c:pt>
                <c:pt idx="44">
                  <c:v>-7.4908511032845126E-3</c:v>
                </c:pt>
                <c:pt idx="45">
                  <c:v>4.530512604105752E-3</c:v>
                </c:pt>
                <c:pt idx="46">
                  <c:v>3.5427999137027655E-2</c:v>
                </c:pt>
                <c:pt idx="47">
                  <c:v>3.8283587924524909E-2</c:v>
                </c:pt>
                <c:pt idx="48">
                  <c:v>4.6719353522348683E-2</c:v>
                </c:pt>
                <c:pt idx="49">
                  <c:v>2.2184320272572222E-2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6-4B96-AA3A-548920921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04880"/>
        <c:axId val="458434480"/>
      </c:scatterChart>
      <c:valAx>
        <c:axId val="41040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34480"/>
        <c:crossesAt val="-1"/>
        <c:crossBetween val="midCat"/>
      </c:valAx>
      <c:valAx>
        <c:axId val="4584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Sheet1!$J$2:$J$31</c:f>
              <c:numCache>
                <c:formatCode>General</c:formatCode>
                <c:ptCount val="20"/>
                <c:pt idx="0">
                  <c:v>1.18</c:v>
                </c:pt>
                <c:pt idx="1">
                  <c:v>0.92</c:v>
                </c:pt>
                <c:pt idx="2">
                  <c:v>1.1499999999999999</c:v>
                </c:pt>
                <c:pt idx="3">
                  <c:v>0.93</c:v>
                </c:pt>
                <c:pt idx="4">
                  <c:v>0.89</c:v>
                </c:pt>
                <c:pt idx="5">
                  <c:v>0.94</c:v>
                </c:pt>
                <c:pt idx="6">
                  <c:v>0.96</c:v>
                </c:pt>
                <c:pt idx="7">
                  <c:v>1.05</c:v>
                </c:pt>
                <c:pt idx="8">
                  <c:v>1.1499999999999999</c:v>
                </c:pt>
                <c:pt idx="9">
                  <c:v>0.83</c:v>
                </c:pt>
                <c:pt idx="10">
                  <c:v>1.1000000000000001</c:v>
                </c:pt>
                <c:pt idx="11">
                  <c:v>0.61</c:v>
                </c:pt>
                <c:pt idx="12">
                  <c:v>1.07</c:v>
                </c:pt>
                <c:pt idx="13">
                  <c:v>0.3</c:v>
                </c:pt>
                <c:pt idx="14">
                  <c:v>0.54</c:v>
                </c:pt>
                <c:pt idx="15">
                  <c:v>0.51</c:v>
                </c:pt>
                <c:pt idx="16">
                  <c:v>0.65</c:v>
                </c:pt>
                <c:pt idx="17">
                  <c:v>0.69</c:v>
                </c:pt>
                <c:pt idx="18">
                  <c:v>0.81</c:v>
                </c:pt>
                <c:pt idx="19">
                  <c:v>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68-4281-B0D7-3C3FBF9E7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plus>
            <c:min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Sheet1!$L$2:$L$31</c:f>
              <c:numCache>
                <c:formatCode>General</c:formatCode>
                <c:ptCount val="20"/>
                <c:pt idx="0">
                  <c:v>5.8200000000000002E-2</c:v>
                </c:pt>
                <c:pt idx="1">
                  <c:v>4.2900000000000001E-2</c:v>
                </c:pt>
                <c:pt idx="2">
                  <c:v>5.3400000000000003E-2</c:v>
                </c:pt>
                <c:pt idx="3">
                  <c:v>4.2900000000000001E-2</c:v>
                </c:pt>
                <c:pt idx="4">
                  <c:v>4.1300000000000003E-2</c:v>
                </c:pt>
                <c:pt idx="5">
                  <c:v>4.3200000000000002E-2</c:v>
                </c:pt>
                <c:pt idx="6">
                  <c:v>4.4999999999999998E-2</c:v>
                </c:pt>
                <c:pt idx="7">
                  <c:v>5.0200000000000002E-2</c:v>
                </c:pt>
                <c:pt idx="8">
                  <c:v>6.6699999999999995E-2</c:v>
                </c:pt>
                <c:pt idx="9">
                  <c:v>4.1500000000000002E-2</c:v>
                </c:pt>
                <c:pt idx="10">
                  <c:v>7.3800000000000004E-2</c:v>
                </c:pt>
                <c:pt idx="11">
                  <c:v>3.8100000000000002E-2</c:v>
                </c:pt>
                <c:pt idx="12">
                  <c:v>6.5199999999999994E-2</c:v>
                </c:pt>
                <c:pt idx="13">
                  <c:v>1.4E-2</c:v>
                </c:pt>
                <c:pt idx="14">
                  <c:v>2.4299999999999999E-2</c:v>
                </c:pt>
                <c:pt idx="15">
                  <c:v>2.3400000000000001E-2</c:v>
                </c:pt>
                <c:pt idx="16">
                  <c:v>2.63E-2</c:v>
                </c:pt>
                <c:pt idx="17">
                  <c:v>3.2000000000000001E-2</c:v>
                </c:pt>
                <c:pt idx="18">
                  <c:v>3.8199999999999998E-2</c:v>
                </c:pt>
                <c:pt idx="19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5-405A-96C5-DB6788BBF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plus>
            <c:min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Sheet1!$H$2:$H$31</c:f>
              <c:numCache>
                <c:formatCode>General</c:formatCode>
                <c:ptCount val="20"/>
                <c:pt idx="0">
                  <c:v>2.7000000000000001E-3</c:v>
                </c:pt>
                <c:pt idx="1">
                  <c:v>2.0999999999999999E-3</c:v>
                </c:pt>
                <c:pt idx="2">
                  <c:v>2.7000000000000001E-3</c:v>
                </c:pt>
                <c:pt idx="3">
                  <c:v>2.2000000000000001E-3</c:v>
                </c:pt>
                <c:pt idx="4">
                  <c:v>2.2000000000000001E-3</c:v>
                </c:pt>
                <c:pt idx="5">
                  <c:v>2.5999999999999999E-3</c:v>
                </c:pt>
                <c:pt idx="6">
                  <c:v>2.8E-3</c:v>
                </c:pt>
                <c:pt idx="7">
                  <c:v>3.3999999999999998E-3</c:v>
                </c:pt>
                <c:pt idx="8">
                  <c:v>5.0000000000000001E-3</c:v>
                </c:pt>
                <c:pt idx="9">
                  <c:v>3.2000000000000002E-3</c:v>
                </c:pt>
                <c:pt idx="10">
                  <c:v>6.7999999999999996E-3</c:v>
                </c:pt>
                <c:pt idx="11">
                  <c:v>4.0000000000000001E-3</c:v>
                </c:pt>
                <c:pt idx="12">
                  <c:v>9.5999999999999992E-3</c:v>
                </c:pt>
                <c:pt idx="13">
                  <c:v>3.5000000000000001E-3</c:v>
                </c:pt>
                <c:pt idx="14">
                  <c:v>6.6E-3</c:v>
                </c:pt>
                <c:pt idx="15">
                  <c:v>9.5999999999999992E-3</c:v>
                </c:pt>
                <c:pt idx="16">
                  <c:v>1.5699999999999999E-2</c:v>
                </c:pt>
                <c:pt idx="17">
                  <c:v>2.3099999999999999E-2</c:v>
                </c:pt>
                <c:pt idx="18">
                  <c:v>2.9600000000000001E-2</c:v>
                </c:pt>
                <c:pt idx="19">
                  <c:v>2.4899999999999999E-2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F-4EAD-9386-CD6AF585F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Sheet3!$D$2:$D$16</c:f>
              <c:numCache>
                <c:formatCode>General</c:formatCode>
                <c:ptCount val="11"/>
                <c:pt idx="0">
                  <c:v>2.3E-3</c:v>
                </c:pt>
                <c:pt idx="1">
                  <c:v>2.5000000000000001E-3</c:v>
                </c:pt>
                <c:pt idx="2">
                  <c:v>2.7000000000000001E-3</c:v>
                </c:pt>
                <c:pt idx="3">
                  <c:v>3.2000000000000002E-3</c:v>
                </c:pt>
                <c:pt idx="4">
                  <c:v>4.3E-3</c:v>
                </c:pt>
                <c:pt idx="5">
                  <c:v>6.1999999999999998E-3</c:v>
                </c:pt>
                <c:pt idx="6">
                  <c:v>8.9999999999999993E-3</c:v>
                </c:pt>
                <c:pt idx="7">
                  <c:v>1.9E-2</c:v>
                </c:pt>
                <c:pt idx="8">
                  <c:v>2.41E-2</c:v>
                </c:pt>
                <c:pt idx="9">
                  <c:v>3.3500000000000002E-2</c:v>
                </c:pt>
                <c:pt idx="10">
                  <c:v>4.2200000000000001E-2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8-41F2-ACA5-EB765824B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Sheet3!$E$2:$E$16</c:f>
              <c:numCache>
                <c:formatCode>General</c:formatCode>
                <c:ptCount val="11"/>
                <c:pt idx="0">
                  <c:v>2.5000000000000001E-3</c:v>
                </c:pt>
                <c:pt idx="1">
                  <c:v>2.3999999999999998E-3</c:v>
                </c:pt>
                <c:pt idx="2">
                  <c:v>2.5999999999999999E-3</c:v>
                </c:pt>
                <c:pt idx="3">
                  <c:v>2.8999999999999998E-3</c:v>
                </c:pt>
                <c:pt idx="4">
                  <c:v>3.8999999999999998E-3</c:v>
                </c:pt>
                <c:pt idx="5">
                  <c:v>5.7999999999999996E-3</c:v>
                </c:pt>
                <c:pt idx="6">
                  <c:v>7.0000000000000001E-3</c:v>
                </c:pt>
                <c:pt idx="7">
                  <c:v>1.1900000000000001E-2</c:v>
                </c:pt>
                <c:pt idx="8">
                  <c:v>1.61E-2</c:v>
                </c:pt>
                <c:pt idx="9">
                  <c:v>2.1399999999999999E-2</c:v>
                </c:pt>
                <c:pt idx="10">
                  <c:v>2.6499999999999999E-2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F-40AE-AAF6-F53C60955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Sheet4!$C$3:$C$8</c:f>
              <c:numCache>
                <c:formatCode>0</c:formatCode>
                <c:ptCount val="6"/>
                <c:pt idx="0">
                  <c:v>2206.8500000000004</c:v>
                </c:pt>
                <c:pt idx="1">
                  <c:v>2381.25</c:v>
                </c:pt>
                <c:pt idx="2">
                  <c:v>2553.75</c:v>
                </c:pt>
                <c:pt idx="3">
                  <c:v>3167.35</c:v>
                </c:pt>
                <c:pt idx="4">
                  <c:v>4622.9500000000007</c:v>
                </c:pt>
                <c:pt idx="5">
                  <c:v>7903.75</c:v>
                </c:pt>
              </c:numCache>
            </c:numRef>
          </c:xVal>
          <c:yVal>
            <c:numRef>
              <c:f>Sheet4!$H$3:$H$8</c:f>
              <c:numCache>
                <c:formatCode>0.00E+00</c:formatCode>
                <c:ptCount val="6"/>
                <c:pt idx="0">
                  <c:v>1.0422094841063052E-6</c:v>
                </c:pt>
                <c:pt idx="1">
                  <c:v>8.818897637795275E-7</c:v>
                </c:pt>
                <c:pt idx="2">
                  <c:v>1.0572687224669604E-6</c:v>
                </c:pt>
                <c:pt idx="3">
                  <c:v>9.4716403302445266E-7</c:v>
                </c:pt>
                <c:pt idx="4">
                  <c:v>1.4925534561264991E-6</c:v>
                </c:pt>
                <c:pt idx="5">
                  <c:v>2.0117033053930099E-6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5-47FF-BD6B-1A5CBBD12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Sheet4!$J$3:$J$8</c:f>
              <c:numCache>
                <c:formatCode>0.0000E+00</c:formatCode>
                <c:ptCount val="6"/>
                <c:pt idx="0">
                  <c:v>1.2707193199129382E-3</c:v>
                </c:pt>
                <c:pt idx="1">
                  <c:v>8.5716252251250426E-4</c:v>
                </c:pt>
                <c:pt idx="2">
                  <c:v>1.9012436955845511E-3</c:v>
                </c:pt>
                <c:pt idx="3">
                  <c:v>2.307537126461891E-3</c:v>
                </c:pt>
                <c:pt idx="4">
                  <c:v>6.6283276616353236E-3</c:v>
                </c:pt>
                <c:pt idx="5">
                  <c:v>1.5784002267802674E-2</c:v>
                </c:pt>
              </c:numCache>
            </c:numRef>
          </c:xVal>
          <c:yVal>
            <c:numRef>
              <c:f>Sheet4!$K$3:$K$8</c:f>
              <c:numCache>
                <c:formatCode>0.00E+00</c:formatCode>
                <c:ptCount val="6"/>
                <c:pt idx="0">
                  <c:v>1.2624526917684594E-3</c:v>
                </c:pt>
                <c:pt idx="1">
                  <c:v>1.4698718359822077E-3</c:v>
                </c:pt>
                <c:pt idx="2">
                  <c:v>1.6905430777529782E-3</c:v>
                </c:pt>
                <c:pt idx="3">
                  <c:v>2.6005283685724269E-3</c:v>
                </c:pt>
                <c:pt idx="4">
                  <c:v>5.5399758952782742E-3</c:v>
                </c:pt>
                <c:pt idx="5">
                  <c:v>1.6193319029326803E-2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9F-4298-9267-57941D7CE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Sheet4!$C$30:$C$35</c:f>
              <c:numCache>
                <c:formatCode>0</c:formatCode>
                <c:ptCount val="6"/>
                <c:pt idx="0">
                  <c:v>932.85</c:v>
                </c:pt>
                <c:pt idx="1">
                  <c:v>1075.55</c:v>
                </c:pt>
                <c:pt idx="2">
                  <c:v>1220.25</c:v>
                </c:pt>
                <c:pt idx="3">
                  <c:v>1513.9</c:v>
                </c:pt>
                <c:pt idx="4">
                  <c:v>1823.45</c:v>
                </c:pt>
                <c:pt idx="5">
                  <c:v>2028.1</c:v>
                </c:pt>
              </c:numCache>
            </c:numRef>
          </c:xVal>
          <c:yVal>
            <c:numRef>
              <c:f>Sheet4!$H$30:$H$35</c:f>
              <c:numCache>
                <c:formatCode>0.00E+00</c:formatCode>
                <c:ptCount val="6"/>
                <c:pt idx="0">
                  <c:v>2.6799592646191779E-6</c:v>
                </c:pt>
                <c:pt idx="1">
                  <c:v>2.4173678583050534E-6</c:v>
                </c:pt>
                <c:pt idx="2">
                  <c:v>2.2946117598852693E-6</c:v>
                </c:pt>
                <c:pt idx="3">
                  <c:v>2.5100733205627849E-6</c:v>
                </c:pt>
                <c:pt idx="4">
                  <c:v>2.5226905042638951E-6</c:v>
                </c:pt>
                <c:pt idx="5">
                  <c:v>1.6764459346186086E-6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81-4514-8F28-CDAEC89D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Sheet4!$J$30:$J$34</c:f>
              <c:numCache>
                <c:formatCode>0.0000E+00</c:formatCode>
                <c:ptCount val="5"/>
                <c:pt idx="0">
                  <c:v>1.1874342087037917E-3</c:v>
                </c:pt>
                <c:pt idx="1">
                  <c:v>1.3856406460551016E-3</c:v>
                </c:pt>
                <c:pt idx="2">
                  <c:v>1.7320508075688772E-3</c:v>
                </c:pt>
                <c:pt idx="3">
                  <c:v>3.0983866769659332E-3</c:v>
                </c:pt>
                <c:pt idx="4">
                  <c:v>4.0398019753448309E-3</c:v>
                </c:pt>
              </c:numCache>
            </c:numRef>
          </c:xVal>
          <c:yVal>
            <c:numRef>
              <c:f>Sheet4!$K$30:$K$34</c:f>
              <c:numCache>
                <c:formatCode>0.00E+00</c:formatCode>
                <c:ptCount val="5"/>
                <c:pt idx="0">
                  <c:v>7.9885197445500003E-4</c:v>
                </c:pt>
                <c:pt idx="1">
                  <c:v>1.0619495626949999E-3</c:v>
                </c:pt>
                <c:pt idx="2">
                  <c:v>1.366911237375E-3</c:v>
                </c:pt>
                <c:pt idx="3">
                  <c:v>2.1039579667800003E-3</c:v>
                </c:pt>
                <c:pt idx="4">
                  <c:v>3.0523223704950002E-3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D5-4CDB-B539-7F29B83F5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Sheet4!$C$52:$C$57</c:f>
              <c:numCache>
                <c:formatCode>0</c:formatCode>
                <c:ptCount val="6"/>
                <c:pt idx="0">
                  <c:v>2234.5500000000002</c:v>
                </c:pt>
                <c:pt idx="1">
                  <c:v>2450.9</c:v>
                </c:pt>
                <c:pt idx="2">
                  <c:v>2726</c:v>
                </c:pt>
                <c:pt idx="3">
                  <c:v>3572.1</c:v>
                </c:pt>
                <c:pt idx="4">
                  <c:v>5249.9500000000007</c:v>
                </c:pt>
                <c:pt idx="5">
                  <c:v>7452.45</c:v>
                </c:pt>
              </c:numCache>
            </c:numRef>
          </c:xVal>
          <c:yVal>
            <c:numRef>
              <c:f>Sheet4!$H$52:$H$57</c:f>
              <c:numCache>
                <c:formatCode>0.00E+00</c:formatCode>
                <c:ptCount val="6"/>
                <c:pt idx="0">
                  <c:v>1.2082969725448077E-6</c:v>
                </c:pt>
                <c:pt idx="1">
                  <c:v>1.4688481782202456E-6</c:v>
                </c:pt>
                <c:pt idx="2">
                  <c:v>1.3206162876008803E-6</c:v>
                </c:pt>
                <c:pt idx="3">
                  <c:v>1.2037736905461773E-6</c:v>
                </c:pt>
                <c:pt idx="4">
                  <c:v>1.33334603186697E-6</c:v>
                </c:pt>
                <c:pt idx="5">
                  <c:v>1.4760246630302786E-6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0F-46F5-87D7-BA01BAB79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Sheet4!$J$52:$J$57</c:f>
              <c:numCache>
                <c:formatCode>0.0000E+00</c:formatCode>
                <c:ptCount val="6"/>
                <c:pt idx="0">
                  <c:v>0</c:v>
                </c:pt>
                <c:pt idx="1">
                  <c:v>2.3811761799581313E-3</c:v>
                </c:pt>
                <c:pt idx="2">
                  <c:v>2.3811761799581313E-3</c:v>
                </c:pt>
                <c:pt idx="3">
                  <c:v>3.3466401061363026E-3</c:v>
                </c:pt>
                <c:pt idx="4">
                  <c:v>6.4583279569870103E-3</c:v>
                </c:pt>
                <c:pt idx="5">
                  <c:v>1.0663489110042734E-2</c:v>
                </c:pt>
              </c:numCache>
            </c:numRef>
          </c:xVal>
          <c:yVal>
            <c:numRef>
              <c:f>Sheet4!$K$52:$K$57</c:f>
              <c:numCache>
                <c:formatCode>0.00E+00</c:formatCode>
                <c:ptCount val="6"/>
                <c:pt idx="0">
                  <c:v>9.8491140281812498E-4</c:v>
                </c:pt>
                <c:pt idx="1">
                  <c:v>1.1848631572725001E-3</c:v>
                </c:pt>
                <c:pt idx="2">
                  <c:v>1.465779741E-3</c:v>
                </c:pt>
                <c:pt idx="3">
                  <c:v>2.5168899613724999E-3</c:v>
                </c:pt>
                <c:pt idx="4">
                  <c:v>5.4365995692431269E-3</c:v>
                </c:pt>
                <c:pt idx="5">
                  <c:v>1.0955069920243124E-2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6-4A8E-B645-D6537888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414337</xdr:colOff>
      <xdr:row>4376</xdr:row>
      <xdr:rowOff>90487</xdr:rowOff>
    </xdr:from>
    <xdr:to>
      <xdr:col>14</xdr:col>
      <xdr:colOff>576262</xdr:colOff>
      <xdr:row>4390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A1B5A6-F5E0-F6B5-6873-E369E1DF9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166687</xdr:rowOff>
    </xdr:from>
    <xdr:to>
      <xdr:col>7</xdr:col>
      <xdr:colOff>314325</xdr:colOff>
      <xdr:row>49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D91B30-ECAF-F064-B70D-3983808B8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590550</xdr:colOff>
      <xdr:row>35</xdr:row>
      <xdr:rowOff>85725</xdr:rowOff>
    </xdr:from>
    <xdr:to>
      <xdr:col>26</xdr:col>
      <xdr:colOff>285750</xdr:colOff>
      <xdr:row>49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FDE2C2-3E0F-42AD-8809-2725C8A33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257175</xdr:colOff>
      <xdr:row>35</xdr:row>
      <xdr:rowOff>57150</xdr:rowOff>
    </xdr:from>
    <xdr:to>
      <xdr:col>15</xdr:col>
      <xdr:colOff>323850</xdr:colOff>
      <xdr:row>49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0F2D0B-E091-4896-BB6A-B8E346FA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252412</xdr:colOff>
      <xdr:row>20</xdr:row>
      <xdr:rowOff>157162</xdr:rowOff>
    </xdr:from>
    <xdr:to>
      <xdr:col>7</xdr:col>
      <xdr:colOff>519112</xdr:colOff>
      <xdr:row>35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25407D-D766-89A4-DEF3-E9652CEB7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21</xdr:row>
      <xdr:rowOff>0</xdr:rowOff>
    </xdr:from>
    <xdr:to>
      <xdr:col>15</xdr:col>
      <xdr:colOff>304800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EEC971-7B4D-4410-86A7-A05E91276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404812</xdr:colOff>
      <xdr:row>13</xdr:row>
      <xdr:rowOff>80962</xdr:rowOff>
    </xdr:from>
    <xdr:to>
      <xdr:col>29</xdr:col>
      <xdr:colOff>100012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E39DD1-554D-4ED0-4F60-867B82D224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13</xdr:row>
      <xdr:rowOff>0</xdr:rowOff>
    </xdr:from>
    <xdr:to>
      <xdr:col>18</xdr:col>
      <xdr:colOff>304800</xdr:colOff>
      <xdr:row>27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F901C0-6BEC-4CE0-ABDA-7C5EC5050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28</xdr:row>
      <xdr:rowOff>0</xdr:rowOff>
    </xdr:from>
    <xdr:to>
      <xdr:col>28</xdr:col>
      <xdr:colOff>304800</xdr:colOff>
      <xdr:row>42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57D5C4-A62E-4132-8DA9-FF3B9A433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35</xdr:row>
      <xdr:rowOff>0</xdr:rowOff>
    </xdr:from>
    <xdr:to>
      <xdr:col>18</xdr:col>
      <xdr:colOff>304800</xdr:colOff>
      <xdr:row>49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FE52E-53FE-477E-8D87-FD2C69E9F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50</xdr:row>
      <xdr:rowOff>0</xdr:rowOff>
    </xdr:from>
    <xdr:to>
      <xdr:col>28</xdr:col>
      <xdr:colOff>304800</xdr:colOff>
      <xdr:row>64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1804B6-B9B8-4F29-BEA7-FC18F64372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57</xdr:row>
      <xdr:rowOff>0</xdr:rowOff>
    </xdr:from>
    <xdr:to>
      <xdr:col>18</xdr:col>
      <xdr:colOff>304800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D1E08E3-9F9C-4F6A-9894-6AF28B745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2D216-FA37-45A6-A7F2-CE363EFCBFA4}">
  <sheetPr filterMode="1"/>
  <dimension ref="A1:X4374"/>
  <sheetViews>
    <sheetView workbookViewId="0">
      <pane ySplit="1" topLeftCell="A4350" activePane="bottomLeft" state="frozen"/>
      <selection pane="bottomLeft" activeCell="R4323" sqref="R4323"/>
    </sheetView>
  </sheetViews>
  <sheetFormatPr defaultRowHeight="15" x14ac:dyDescent="0.25"/>
  <cols>
    <col min="1" max="1" width="12" bestFit="1" customWidth="1"/>
    <col min="2" max="2" width="12.140625" bestFit="1" customWidth="1"/>
    <col min="3" max="3" width="8.140625" bestFit="1" customWidth="1"/>
    <col min="4" max="4" width="10.7109375" bestFit="1" customWidth="1"/>
    <col min="5" max="5" width="7.28515625" bestFit="1" customWidth="1"/>
    <col min="6" max="6" width="6.140625" bestFit="1" customWidth="1"/>
    <col min="7" max="8" width="13.7109375" bestFit="1" customWidth="1"/>
    <col min="9" max="9" width="15.42578125" bestFit="1" customWidth="1"/>
    <col min="10" max="10" width="12" bestFit="1" customWidth="1"/>
    <col min="11" max="11" width="14.140625" bestFit="1" customWidth="1"/>
    <col min="12" max="12" width="16.28515625" bestFit="1" customWidth="1"/>
    <col min="13" max="13" width="13.140625" bestFit="1" customWidth="1"/>
    <col min="14" max="14" width="10.5703125" bestFit="1" customWidth="1"/>
    <col min="15" max="15" width="9.42578125" bestFit="1" customWidth="1"/>
    <col min="16" max="16" width="11.570312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833</v>
      </c>
      <c r="Q1" t="s">
        <v>834</v>
      </c>
      <c r="R1" t="s">
        <v>841</v>
      </c>
      <c r="S1" t="s">
        <v>835</v>
      </c>
      <c r="T1" t="s">
        <v>836</v>
      </c>
      <c r="U1" t="s">
        <v>837</v>
      </c>
      <c r="V1" s="2" t="s">
        <v>838</v>
      </c>
      <c r="W1" s="2" t="s">
        <v>839</v>
      </c>
      <c r="X1" t="s">
        <v>840</v>
      </c>
    </row>
    <row r="2" spans="1:24" hidden="1" x14ac:dyDescent="0.25">
      <c r="A2">
        <v>121547.2991</v>
      </c>
      <c r="B2">
        <v>822.72500000000002</v>
      </c>
      <c r="C2">
        <v>1</v>
      </c>
      <c r="D2" t="s">
        <v>15</v>
      </c>
      <c r="F2">
        <v>1969</v>
      </c>
      <c r="G2" s="1" t="s">
        <v>16</v>
      </c>
      <c r="H2" s="1" t="s">
        <v>17</v>
      </c>
      <c r="I2">
        <v>0</v>
      </c>
      <c r="J2">
        <v>121546.8192</v>
      </c>
      <c r="K2">
        <v>-3.2499999999999999E-3</v>
      </c>
      <c r="L2">
        <v>1.66E-3</v>
      </c>
      <c r="M2">
        <v>0.245</v>
      </c>
      <c r="N2">
        <v>0.3049</v>
      </c>
      <c r="O2">
        <v>2.3900000000000002E-3</v>
      </c>
      <c r="P2" s="3">
        <f t="shared" ref="P2:P65" si="0">100000000/$A2</f>
        <v>822.72498640819242</v>
      </c>
      <c r="Q2" s="3">
        <f t="shared" ref="Q2:Q65" si="1">100000000/($A2)-100000000/$J2</f>
        <v>-3.2483426845146823E-3</v>
      </c>
      <c r="R2" s="3">
        <f>$L2</f>
        <v>1.66E-3</v>
      </c>
      <c r="S2">
        <v>1</v>
      </c>
      <c r="T2">
        <f>INDEX([1]IDEN_level_ids!$B:$B,MATCH(G2,[1]IDEN_level_ids!$A:$A,0),1)</f>
        <v>1223</v>
      </c>
      <c r="U2">
        <f>INDEX([1]IDEN_level_ids!$B:$B,MATCH(H2,[1]IDEN_level_ids!$A:$A,0),1)</f>
        <v>271</v>
      </c>
    </row>
    <row r="3" spans="1:24" hidden="1" x14ac:dyDescent="0.25">
      <c r="A3">
        <v>121229.7856</v>
      </c>
      <c r="B3">
        <v>824.87980000000005</v>
      </c>
      <c r="C3">
        <v>1</v>
      </c>
      <c r="D3" t="s">
        <v>15</v>
      </c>
      <c r="F3">
        <v>1969</v>
      </c>
      <c r="G3" s="1" t="s">
        <v>18</v>
      </c>
      <c r="H3" s="1" t="s">
        <v>19</v>
      </c>
      <c r="I3">
        <v>0</v>
      </c>
      <c r="J3">
        <v>121229.5435</v>
      </c>
      <c r="K3">
        <v>-1.65E-3</v>
      </c>
      <c r="L3">
        <v>1.67E-3</v>
      </c>
      <c r="M3">
        <v>0.245</v>
      </c>
      <c r="N3">
        <v>0.46260000000000001</v>
      </c>
      <c r="O3">
        <v>3.0999999999999999E-3</v>
      </c>
      <c r="P3" s="3">
        <f t="shared" si="0"/>
        <v>824.87978927845268</v>
      </c>
      <c r="Q3" s="3">
        <f t="shared" si="1"/>
        <v>-1.6473162500005856E-3</v>
      </c>
      <c r="R3" s="3">
        <f t="shared" ref="R3:R66" si="2">$L3</f>
        <v>1.67E-3</v>
      </c>
      <c r="S3">
        <f>IF(D3=D2,S2,S2+1)</f>
        <v>1</v>
      </c>
      <c r="T3">
        <f>INDEX([1]IDEN_level_ids!$B:$B,MATCH(G3,[1]IDEN_level_ids!$A:$A,0),1)</f>
        <v>1226</v>
      </c>
      <c r="U3">
        <f>INDEX([1]IDEN_level_ids!$B:$B,MATCH(H3,[1]IDEN_level_ids!$A:$A,0),1)</f>
        <v>306</v>
      </c>
    </row>
    <row r="4" spans="1:24" hidden="1" x14ac:dyDescent="0.25">
      <c r="A4">
        <v>121152.7978</v>
      </c>
      <c r="B4">
        <v>825.404</v>
      </c>
      <c r="C4">
        <v>1</v>
      </c>
      <c r="D4" t="s">
        <v>15</v>
      </c>
      <c r="F4">
        <v>1969</v>
      </c>
      <c r="G4" s="1" t="s">
        <v>20</v>
      </c>
      <c r="H4" s="1" t="s">
        <v>21</v>
      </c>
      <c r="I4">
        <v>0</v>
      </c>
      <c r="J4">
        <v>121152.6814</v>
      </c>
      <c r="K4">
        <v>-7.9000000000000001E-4</v>
      </c>
      <c r="L4">
        <v>1.67E-3</v>
      </c>
      <c r="M4">
        <v>0.245</v>
      </c>
      <c r="N4">
        <v>0.41610000000000003</v>
      </c>
      <c r="O4">
        <v>2.8600000000000001E-3</v>
      </c>
      <c r="P4" s="3">
        <f t="shared" si="0"/>
        <v>825.40396768286598</v>
      </c>
      <c r="Q4" s="3">
        <f t="shared" si="1"/>
        <v>-7.9302431220185099E-4</v>
      </c>
      <c r="R4" s="3">
        <f t="shared" si="2"/>
        <v>1.67E-3</v>
      </c>
      <c r="S4">
        <f t="shared" ref="S4:S67" si="3">IF(D4=D3,S3,S3+1)</f>
        <v>1</v>
      </c>
      <c r="T4">
        <f>INDEX([1]IDEN_level_ids!$B:$B,MATCH(G4,[1]IDEN_level_ids!$A:$A,0),1)</f>
        <v>1235</v>
      </c>
      <c r="U4">
        <f>INDEX([1]IDEN_level_ids!$B:$B,MATCH(H4,[1]IDEN_level_ids!$A:$A,0),1)</f>
        <v>341</v>
      </c>
    </row>
    <row r="5" spans="1:24" hidden="1" x14ac:dyDescent="0.25">
      <c r="A5">
        <v>121066.9961</v>
      </c>
      <c r="B5">
        <v>825.98889999999994</v>
      </c>
      <c r="C5">
        <v>1</v>
      </c>
      <c r="D5" t="s">
        <v>15</v>
      </c>
      <c r="F5">
        <v>1969</v>
      </c>
      <c r="G5" s="1" t="s">
        <v>22</v>
      </c>
      <c r="H5" s="1" t="s">
        <v>23</v>
      </c>
      <c r="I5">
        <v>0</v>
      </c>
      <c r="J5">
        <v>121066.9316</v>
      </c>
      <c r="K5">
        <v>-4.4000000000000002E-4</v>
      </c>
      <c r="L5">
        <v>1.67E-3</v>
      </c>
      <c r="M5">
        <v>0.245</v>
      </c>
      <c r="N5">
        <v>0.45450000000000002</v>
      </c>
      <c r="O5">
        <v>3.0599999999999998E-3</v>
      </c>
      <c r="P5" s="3">
        <f t="shared" si="0"/>
        <v>825.98894183680829</v>
      </c>
      <c r="Q5" s="3">
        <f t="shared" si="1"/>
        <v>-4.4005647168887663E-4</v>
      </c>
      <c r="R5" s="3">
        <f t="shared" si="2"/>
        <v>1.67E-3</v>
      </c>
      <c r="S5">
        <f t="shared" si="3"/>
        <v>1</v>
      </c>
      <c r="T5">
        <f>INDEX([1]IDEN_level_ids!$B:$B,MATCH(G5,[1]IDEN_level_ids!$A:$A,0),1)</f>
        <v>1236</v>
      </c>
      <c r="U5">
        <f>INDEX([1]IDEN_level_ids!$B:$B,MATCH(H5,[1]IDEN_level_ids!$A:$A,0),1)</f>
        <v>377</v>
      </c>
    </row>
    <row r="6" spans="1:24" hidden="1" x14ac:dyDescent="0.25">
      <c r="A6">
        <v>120868.5877</v>
      </c>
      <c r="B6">
        <v>827.34479999999996</v>
      </c>
      <c r="C6">
        <v>1</v>
      </c>
      <c r="D6" t="s">
        <v>15</v>
      </c>
      <c r="F6">
        <v>1969</v>
      </c>
      <c r="G6" s="1" t="s">
        <v>24</v>
      </c>
      <c r="H6" s="1" t="s">
        <v>25</v>
      </c>
      <c r="I6">
        <v>0</v>
      </c>
      <c r="J6">
        <v>120868.30250000001</v>
      </c>
      <c r="K6">
        <v>-1.9499999999999999E-3</v>
      </c>
      <c r="L6">
        <v>1.6800000000000001E-3</v>
      </c>
      <c r="M6">
        <v>0.245</v>
      </c>
      <c r="N6">
        <v>0.37530000000000002</v>
      </c>
      <c r="O6">
        <v>2.6800000000000001E-3</v>
      </c>
      <c r="P6" s="3">
        <f t="shared" si="0"/>
        <v>827.34482054347689</v>
      </c>
      <c r="Q6" s="3">
        <f t="shared" si="1"/>
        <v>-1.9521970436926495E-3</v>
      </c>
      <c r="R6" s="3">
        <f t="shared" si="2"/>
        <v>1.6800000000000001E-3</v>
      </c>
      <c r="S6">
        <f t="shared" si="3"/>
        <v>1</v>
      </c>
      <c r="T6">
        <f>INDEX([1]IDEN_level_ids!$B:$B,MATCH(G6,[1]IDEN_level_ids!$A:$A,0),1)</f>
        <v>1241</v>
      </c>
      <c r="U6">
        <f>INDEX([1]IDEN_level_ids!$B:$B,MATCH(H6,[1]IDEN_level_ids!$A:$A,0),1)</f>
        <v>437</v>
      </c>
    </row>
    <row r="7" spans="1:24" hidden="1" x14ac:dyDescent="0.25">
      <c r="A7">
        <v>120748.30039999999</v>
      </c>
      <c r="B7">
        <v>828.16899999999998</v>
      </c>
      <c r="C7">
        <v>2</v>
      </c>
      <c r="D7" t="s">
        <v>26</v>
      </c>
      <c r="F7">
        <v>1969</v>
      </c>
      <c r="G7" s="1" t="s">
        <v>27</v>
      </c>
      <c r="H7" s="1" t="s">
        <v>28</v>
      </c>
      <c r="I7">
        <v>0</v>
      </c>
      <c r="J7">
        <v>120748.151</v>
      </c>
      <c r="K7">
        <v>-1.0300000000000001E-3</v>
      </c>
      <c r="L7">
        <v>1.6800000000000001E-3</v>
      </c>
      <c r="M7">
        <v>0.245</v>
      </c>
      <c r="N7">
        <v>0.2661</v>
      </c>
      <c r="O7">
        <v>2.2899999999999999E-3</v>
      </c>
      <c r="P7" s="3">
        <f t="shared" si="0"/>
        <v>828.16900667531058</v>
      </c>
      <c r="Q7" s="3">
        <f t="shared" si="1"/>
        <v>-1.0246819397252693E-3</v>
      </c>
      <c r="R7" s="3">
        <f t="shared" si="2"/>
        <v>1.6800000000000001E-3</v>
      </c>
      <c r="S7">
        <f t="shared" si="3"/>
        <v>2</v>
      </c>
      <c r="T7">
        <f>INDEX([1]IDEN_level_ids!$B:$B,MATCH(G7,[1]IDEN_level_ids!$A:$A,0),1)</f>
        <v>1242</v>
      </c>
      <c r="U7">
        <f>INDEX([1]IDEN_level_ids!$B:$B,MATCH(H7,[1]IDEN_level_ids!$A:$A,0),1)</f>
        <v>458</v>
      </c>
    </row>
    <row r="8" spans="1:24" hidden="1" x14ac:dyDescent="0.25">
      <c r="A8">
        <v>120719.89260000001</v>
      </c>
      <c r="B8">
        <v>828.36389999999994</v>
      </c>
      <c r="C8">
        <v>2</v>
      </c>
      <c r="D8" t="s">
        <v>26</v>
      </c>
      <c r="F8">
        <v>1969</v>
      </c>
      <c r="G8" s="1" t="s">
        <v>27</v>
      </c>
      <c r="H8" s="1" t="s">
        <v>29</v>
      </c>
      <c r="I8">
        <v>0</v>
      </c>
      <c r="J8">
        <v>120719.8818</v>
      </c>
      <c r="K8">
        <v>-6.9999999999999994E-5</v>
      </c>
      <c r="L8">
        <v>1.6800000000000001E-3</v>
      </c>
      <c r="M8">
        <v>0.245</v>
      </c>
      <c r="N8">
        <v>0.3407</v>
      </c>
      <c r="O8">
        <v>2.5500000000000002E-3</v>
      </c>
      <c r="P8" s="3">
        <f t="shared" si="0"/>
        <v>828.36389137079129</v>
      </c>
      <c r="Q8" s="3">
        <f t="shared" si="1"/>
        <v>-7.4108174203502131E-5</v>
      </c>
      <c r="R8" s="3">
        <f t="shared" si="2"/>
        <v>1.6800000000000001E-3</v>
      </c>
      <c r="S8">
        <f t="shared" si="3"/>
        <v>2</v>
      </c>
      <c r="T8">
        <f>INDEX([1]IDEN_level_ids!$B:$B,MATCH(G8,[1]IDEN_level_ids!$A:$A,0),1)</f>
        <v>1242</v>
      </c>
      <c r="U8">
        <f>INDEX([1]IDEN_level_ids!$B:$B,MATCH(H8,[1]IDEN_level_ids!$A:$A,0),1)</f>
        <v>456</v>
      </c>
    </row>
    <row r="9" spans="1:24" hidden="1" x14ac:dyDescent="0.25">
      <c r="A9">
        <v>120579.9967</v>
      </c>
      <c r="B9">
        <v>829.32500000000005</v>
      </c>
      <c r="C9">
        <v>2</v>
      </c>
      <c r="D9" t="s">
        <v>26</v>
      </c>
      <c r="F9">
        <v>1969</v>
      </c>
      <c r="G9" s="1" t="s">
        <v>20</v>
      </c>
      <c r="H9" s="1" t="s">
        <v>30</v>
      </c>
      <c r="I9">
        <v>0</v>
      </c>
      <c r="J9">
        <v>120580.1008</v>
      </c>
      <c r="K9">
        <v>7.2000000000000005E-4</v>
      </c>
      <c r="L9">
        <v>1.6800000000000001E-3</v>
      </c>
      <c r="M9">
        <v>0.245</v>
      </c>
      <c r="N9">
        <v>0.1114</v>
      </c>
      <c r="O9">
        <v>1.9E-3</v>
      </c>
      <c r="P9" s="3">
        <f t="shared" si="0"/>
        <v>829.32495220411624</v>
      </c>
      <c r="Q9" s="3">
        <f t="shared" si="1"/>
        <v>7.1597823307456565E-4</v>
      </c>
      <c r="R9" s="3">
        <f t="shared" si="2"/>
        <v>1.6800000000000001E-3</v>
      </c>
      <c r="S9">
        <f t="shared" si="3"/>
        <v>2</v>
      </c>
      <c r="T9">
        <f>INDEX([1]IDEN_level_ids!$B:$B,MATCH(G9,[1]IDEN_level_ids!$A:$A,0),1)</f>
        <v>1235</v>
      </c>
      <c r="U9">
        <f>INDEX([1]IDEN_level_ids!$B:$B,MATCH(H9,[1]IDEN_level_ids!$A:$A,0),1)</f>
        <v>373</v>
      </c>
    </row>
    <row r="10" spans="1:24" hidden="1" x14ac:dyDescent="0.25">
      <c r="A10">
        <v>120473.09149999999</v>
      </c>
      <c r="B10">
        <v>830.06089999999995</v>
      </c>
      <c r="C10">
        <v>2</v>
      </c>
      <c r="D10" t="s">
        <v>26</v>
      </c>
      <c r="F10">
        <v>1969</v>
      </c>
      <c r="G10" s="1" t="s">
        <v>20</v>
      </c>
      <c r="H10" s="1" t="s">
        <v>23</v>
      </c>
      <c r="I10">
        <v>0</v>
      </c>
      <c r="J10">
        <v>120472.772</v>
      </c>
      <c r="K10">
        <v>-2.2000000000000001E-3</v>
      </c>
      <c r="L10">
        <v>1.6900000000000001E-3</v>
      </c>
      <c r="M10">
        <v>0.245</v>
      </c>
      <c r="N10">
        <v>0.4007</v>
      </c>
      <c r="O10">
        <v>2.82E-3</v>
      </c>
      <c r="P10" s="3">
        <f t="shared" si="0"/>
        <v>830.06087712126157</v>
      </c>
      <c r="Q10" s="3">
        <f t="shared" si="1"/>
        <v>-2.2013642239926412E-3</v>
      </c>
      <c r="R10" s="3">
        <f t="shared" si="2"/>
        <v>1.6900000000000001E-3</v>
      </c>
      <c r="S10">
        <f t="shared" si="3"/>
        <v>2</v>
      </c>
      <c r="T10">
        <f>INDEX([1]IDEN_level_ids!$B:$B,MATCH(G10,[1]IDEN_level_ids!$A:$A,0),1)</f>
        <v>1235</v>
      </c>
      <c r="U10">
        <f>INDEX([1]IDEN_level_ids!$B:$B,MATCH(H10,[1]IDEN_level_ids!$A:$A,0),1)</f>
        <v>377</v>
      </c>
    </row>
    <row r="11" spans="1:24" hidden="1" x14ac:dyDescent="0.25">
      <c r="A11">
        <v>120425.9072</v>
      </c>
      <c r="B11">
        <v>830.38610000000006</v>
      </c>
      <c r="C11">
        <v>2</v>
      </c>
      <c r="D11" t="s">
        <v>26</v>
      </c>
      <c r="F11">
        <v>1969</v>
      </c>
      <c r="G11" s="1" t="s">
        <v>16</v>
      </c>
      <c r="H11" s="1" t="s">
        <v>31</v>
      </c>
      <c r="I11">
        <v>0</v>
      </c>
      <c r="J11">
        <v>120425.95359999999</v>
      </c>
      <c r="K11">
        <v>3.2000000000000003E-4</v>
      </c>
      <c r="L11">
        <v>1.6900000000000001E-3</v>
      </c>
      <c r="M11">
        <v>0.245</v>
      </c>
      <c r="N11">
        <v>0.1119</v>
      </c>
      <c r="O11">
        <v>1.9E-3</v>
      </c>
      <c r="P11" s="3">
        <f t="shared" si="0"/>
        <v>830.38610482645379</v>
      </c>
      <c r="Q11" s="3">
        <f t="shared" si="1"/>
        <v>3.199469391574894E-4</v>
      </c>
      <c r="R11" s="3">
        <f t="shared" si="2"/>
        <v>1.6900000000000001E-3</v>
      </c>
      <c r="S11">
        <f t="shared" si="3"/>
        <v>2</v>
      </c>
      <c r="T11">
        <f>INDEX([1]IDEN_level_ids!$B:$B,MATCH(G11,[1]IDEN_level_ids!$A:$A,0),1)</f>
        <v>1223</v>
      </c>
      <c r="U11">
        <f>INDEX([1]IDEN_level_ids!$B:$B,MATCH(H11,[1]IDEN_level_ids!$A:$A,0),1)</f>
        <v>311</v>
      </c>
    </row>
    <row r="12" spans="1:24" hidden="1" x14ac:dyDescent="0.25">
      <c r="A12">
        <v>120298.4118</v>
      </c>
      <c r="B12">
        <v>831.26620000000003</v>
      </c>
      <c r="C12">
        <v>2</v>
      </c>
      <c r="D12" t="s">
        <v>26</v>
      </c>
      <c r="F12">
        <v>1969</v>
      </c>
      <c r="G12" s="1" t="s">
        <v>24</v>
      </c>
      <c r="H12" s="1" t="s">
        <v>32</v>
      </c>
      <c r="I12">
        <v>0</v>
      </c>
      <c r="J12">
        <v>120298.2325</v>
      </c>
      <c r="K12">
        <v>-1.24E-3</v>
      </c>
      <c r="L12">
        <v>1.6900000000000001E-3</v>
      </c>
      <c r="M12">
        <v>0.245</v>
      </c>
      <c r="N12">
        <v>0.12330000000000001</v>
      </c>
      <c r="O12">
        <v>1.9300000000000001E-3</v>
      </c>
      <c r="P12" s="3">
        <f t="shared" si="0"/>
        <v>831.26616971679755</v>
      </c>
      <c r="Q12" s="3">
        <f t="shared" si="1"/>
        <v>-1.238971023326485E-3</v>
      </c>
      <c r="R12" s="3">
        <f t="shared" si="2"/>
        <v>1.6900000000000001E-3</v>
      </c>
      <c r="S12">
        <f t="shared" si="3"/>
        <v>2</v>
      </c>
      <c r="T12">
        <f>INDEX([1]IDEN_level_ids!$B:$B,MATCH(G12,[1]IDEN_level_ids!$A:$A,0),1)</f>
        <v>1241</v>
      </c>
      <c r="U12">
        <f>INDEX([1]IDEN_level_ids!$B:$B,MATCH(H12,[1]IDEN_level_ids!$A:$A,0),1)</f>
        <v>454</v>
      </c>
    </row>
    <row r="13" spans="1:24" hidden="1" x14ac:dyDescent="0.25">
      <c r="A13">
        <v>120214.5867</v>
      </c>
      <c r="B13">
        <v>831.84580000000005</v>
      </c>
      <c r="C13">
        <v>2</v>
      </c>
      <c r="D13" t="s">
        <v>26</v>
      </c>
      <c r="F13">
        <v>1969</v>
      </c>
      <c r="G13" s="1" t="s">
        <v>24</v>
      </c>
      <c r="H13" s="1" t="s">
        <v>29</v>
      </c>
      <c r="I13">
        <v>0</v>
      </c>
      <c r="J13">
        <v>120214.46709999999</v>
      </c>
      <c r="K13">
        <v>-8.3000000000000001E-4</v>
      </c>
      <c r="L13">
        <v>1.6999999999999999E-3</v>
      </c>
      <c r="M13">
        <v>0.245</v>
      </c>
      <c r="N13">
        <v>0.3412</v>
      </c>
      <c r="O13">
        <v>2.5699999999999998E-3</v>
      </c>
      <c r="P13" s="3">
        <f t="shared" si="0"/>
        <v>831.84580794303895</v>
      </c>
      <c r="Q13" s="3">
        <f t="shared" si="1"/>
        <v>-8.2759389135844685E-4</v>
      </c>
      <c r="R13" s="3">
        <f t="shared" si="2"/>
        <v>1.6999999999999999E-3</v>
      </c>
      <c r="S13">
        <f t="shared" si="3"/>
        <v>2</v>
      </c>
      <c r="T13">
        <f>INDEX([1]IDEN_level_ids!$B:$B,MATCH(G13,[1]IDEN_level_ids!$A:$A,0),1)</f>
        <v>1241</v>
      </c>
      <c r="U13">
        <f>INDEX([1]IDEN_level_ids!$B:$B,MATCH(H13,[1]IDEN_level_ids!$A:$A,0),1)</f>
        <v>456</v>
      </c>
    </row>
    <row r="14" spans="1:24" hidden="1" x14ac:dyDescent="0.25">
      <c r="A14">
        <v>120204.0033</v>
      </c>
      <c r="B14">
        <v>831.91899999999998</v>
      </c>
      <c r="C14">
        <v>2</v>
      </c>
      <c r="D14" t="s">
        <v>26</v>
      </c>
      <c r="F14">
        <v>1969</v>
      </c>
      <c r="G14" s="1" t="s">
        <v>33</v>
      </c>
      <c r="H14" s="1" t="s">
        <v>34</v>
      </c>
      <c r="I14">
        <v>0</v>
      </c>
      <c r="J14">
        <v>120204.0465</v>
      </c>
      <c r="K14">
        <v>2.9999999999999997E-4</v>
      </c>
      <c r="L14">
        <v>1.6999999999999999E-3</v>
      </c>
      <c r="M14">
        <v>0.245</v>
      </c>
      <c r="N14">
        <v>0.38790000000000002</v>
      </c>
      <c r="O14">
        <v>2.7699999999999999E-3</v>
      </c>
      <c r="P14" s="3">
        <f t="shared" si="0"/>
        <v>831.91904807383401</v>
      </c>
      <c r="Q14" s="3">
        <f t="shared" si="1"/>
        <v>2.9898247123583133E-4</v>
      </c>
      <c r="R14" s="3">
        <f t="shared" si="2"/>
        <v>1.6999999999999999E-3</v>
      </c>
      <c r="S14">
        <f t="shared" si="3"/>
        <v>2</v>
      </c>
      <c r="T14">
        <f>INDEX([1]IDEN_level_ids!$B:$B,MATCH(G14,[1]IDEN_level_ids!$A:$A,0),1)</f>
        <v>1220</v>
      </c>
      <c r="U14">
        <f>INDEX([1]IDEN_level_ids!$B:$B,MATCH(H14,[1]IDEN_level_ids!$A:$A,0),1)</f>
        <v>303</v>
      </c>
    </row>
    <row r="15" spans="1:24" hidden="1" x14ac:dyDescent="0.25">
      <c r="A15">
        <v>120168.6067</v>
      </c>
      <c r="B15">
        <v>832.16409999999996</v>
      </c>
      <c r="C15">
        <v>2</v>
      </c>
      <c r="D15" t="s">
        <v>26</v>
      </c>
      <c r="F15">
        <v>1969</v>
      </c>
      <c r="G15" s="1" t="s">
        <v>33</v>
      </c>
      <c r="H15" s="1" t="s">
        <v>35</v>
      </c>
      <c r="I15">
        <v>0</v>
      </c>
      <c r="J15">
        <v>120169.2396</v>
      </c>
      <c r="K15">
        <v>4.3800000000000002E-3</v>
      </c>
      <c r="L15">
        <v>1.6999999999999999E-3</v>
      </c>
      <c r="M15">
        <v>0.245</v>
      </c>
      <c r="N15">
        <v>0.26450000000000001</v>
      </c>
      <c r="O15">
        <v>2.31E-3</v>
      </c>
      <c r="P15" s="3">
        <f t="shared" si="0"/>
        <v>832.1640963155146</v>
      </c>
      <c r="Q15" s="3">
        <f t="shared" si="1"/>
        <v>4.3827909563560752E-3</v>
      </c>
      <c r="R15" s="3">
        <f t="shared" si="2"/>
        <v>1.6999999999999999E-3</v>
      </c>
      <c r="S15">
        <f t="shared" si="3"/>
        <v>2</v>
      </c>
      <c r="T15">
        <f>INDEX([1]IDEN_level_ids!$B:$B,MATCH(G15,[1]IDEN_level_ids!$A:$A,0),1)</f>
        <v>1220</v>
      </c>
      <c r="U15">
        <f>INDEX([1]IDEN_level_ids!$B:$B,MATCH(H15,[1]IDEN_level_ids!$A:$A,0),1)</f>
        <v>304</v>
      </c>
    </row>
    <row r="16" spans="1:24" hidden="1" x14ac:dyDescent="0.25">
      <c r="A16">
        <v>120101.2069</v>
      </c>
      <c r="B16">
        <v>832.63109999999995</v>
      </c>
      <c r="C16">
        <v>2</v>
      </c>
      <c r="D16" t="s">
        <v>26</v>
      </c>
      <c r="F16">
        <v>1969</v>
      </c>
      <c r="G16" s="1" t="s">
        <v>33</v>
      </c>
      <c r="H16" s="1" t="s">
        <v>19</v>
      </c>
      <c r="I16">
        <v>0</v>
      </c>
      <c r="J16">
        <v>120101.1839</v>
      </c>
      <c r="K16">
        <v>-1.6000000000000001E-4</v>
      </c>
      <c r="L16">
        <v>1.6999999999999999E-3</v>
      </c>
      <c r="M16">
        <v>0.245</v>
      </c>
      <c r="N16">
        <v>0.37169999999999997</v>
      </c>
      <c r="O16">
        <v>2.7000000000000001E-3</v>
      </c>
      <c r="P16" s="3">
        <f t="shared" si="0"/>
        <v>832.6310998961327</v>
      </c>
      <c r="Q16" s="3">
        <f t="shared" si="1"/>
        <v>-1.5945317670684744E-4</v>
      </c>
      <c r="R16" s="3">
        <f t="shared" si="2"/>
        <v>1.6999999999999999E-3</v>
      </c>
      <c r="S16">
        <f t="shared" si="3"/>
        <v>2</v>
      </c>
      <c r="T16">
        <f>INDEX([1]IDEN_level_ids!$B:$B,MATCH(G16,[1]IDEN_level_ids!$A:$A,0),1)</f>
        <v>1220</v>
      </c>
      <c r="U16">
        <f>INDEX([1]IDEN_level_ids!$B:$B,MATCH(H16,[1]IDEN_level_ids!$A:$A,0),1)</f>
        <v>306</v>
      </c>
    </row>
    <row r="17" spans="1:21" hidden="1" x14ac:dyDescent="0.25">
      <c r="A17">
        <v>119979.1908</v>
      </c>
      <c r="B17">
        <v>833.47789999999998</v>
      </c>
      <c r="C17">
        <v>2</v>
      </c>
      <c r="D17" t="s">
        <v>26</v>
      </c>
      <c r="F17">
        <v>1969</v>
      </c>
      <c r="G17" s="1" t="s">
        <v>36</v>
      </c>
      <c r="H17" s="1" t="s">
        <v>37</v>
      </c>
      <c r="I17">
        <v>0</v>
      </c>
      <c r="J17">
        <v>119979.2745</v>
      </c>
      <c r="K17">
        <v>5.8E-4</v>
      </c>
      <c r="L17">
        <v>1.6999999999999999E-3</v>
      </c>
      <c r="M17">
        <v>0.245</v>
      </c>
      <c r="N17">
        <v>0.3745</v>
      </c>
      <c r="O17">
        <v>2.7200000000000002E-3</v>
      </c>
      <c r="P17" s="3">
        <f t="shared" si="0"/>
        <v>833.477866730203</v>
      </c>
      <c r="Q17" s="3">
        <f t="shared" si="1"/>
        <v>5.8145123591657466E-4</v>
      </c>
      <c r="R17" s="3">
        <f t="shared" si="2"/>
        <v>1.6999999999999999E-3</v>
      </c>
      <c r="S17">
        <f t="shared" si="3"/>
        <v>2</v>
      </c>
      <c r="T17">
        <f>INDEX([1]IDEN_level_ids!$B:$B,MATCH(G17,[1]IDEN_level_ids!$A:$A,0),1)</f>
        <v>1217</v>
      </c>
      <c r="U17">
        <f>INDEX([1]IDEN_level_ids!$B:$B,MATCH(H17,[1]IDEN_level_ids!$A:$A,0),1)</f>
        <v>287</v>
      </c>
    </row>
    <row r="18" spans="1:21" hidden="1" x14ac:dyDescent="0.25">
      <c r="A18">
        <v>119815.41190000001</v>
      </c>
      <c r="B18">
        <v>834.61720000000003</v>
      </c>
      <c r="C18">
        <v>2</v>
      </c>
      <c r="D18" t="s">
        <v>26</v>
      </c>
      <c r="F18">
        <v>1969</v>
      </c>
      <c r="G18" s="1" t="s">
        <v>38</v>
      </c>
      <c r="H18" s="1" t="s">
        <v>39</v>
      </c>
      <c r="I18">
        <v>0</v>
      </c>
      <c r="J18">
        <v>119815.4379</v>
      </c>
      <c r="K18">
        <v>1.8000000000000001E-4</v>
      </c>
      <c r="L18">
        <v>1.7099999999999999E-3</v>
      </c>
      <c r="M18">
        <v>0.245</v>
      </c>
      <c r="N18">
        <v>0.26440000000000002</v>
      </c>
      <c r="O18">
        <v>2.32E-3</v>
      </c>
      <c r="P18" s="3">
        <f t="shared" si="0"/>
        <v>834.61716998028362</v>
      </c>
      <c r="Q18" s="3">
        <f t="shared" si="1"/>
        <v>1.8111227404915553E-4</v>
      </c>
      <c r="R18" s="3">
        <f t="shared" si="2"/>
        <v>1.7099999999999999E-3</v>
      </c>
      <c r="S18">
        <f t="shared" si="3"/>
        <v>2</v>
      </c>
      <c r="T18">
        <f>INDEX([1]IDEN_level_ids!$B:$B,MATCH(G18,[1]IDEN_level_ids!$A:$A,0),1)</f>
        <v>1201</v>
      </c>
      <c r="U18">
        <f>INDEX([1]IDEN_level_ids!$B:$B,MATCH(H18,[1]IDEN_level_ids!$A:$A,0),1)</f>
        <v>206</v>
      </c>
    </row>
    <row r="19" spans="1:21" hidden="1" x14ac:dyDescent="0.25">
      <c r="A19">
        <v>119575.01</v>
      </c>
      <c r="B19">
        <v>836.29510000000005</v>
      </c>
      <c r="C19">
        <v>2</v>
      </c>
      <c r="D19" t="s">
        <v>26</v>
      </c>
      <c r="F19">
        <v>1969</v>
      </c>
      <c r="G19" s="1" t="s">
        <v>40</v>
      </c>
      <c r="H19" s="1" t="s">
        <v>39</v>
      </c>
      <c r="I19">
        <v>0</v>
      </c>
      <c r="J19">
        <v>119575.1758</v>
      </c>
      <c r="K19">
        <v>1.16E-3</v>
      </c>
      <c r="L19">
        <v>1.7099999999999999E-3</v>
      </c>
      <c r="M19">
        <v>0.245</v>
      </c>
      <c r="N19">
        <v>0.26069999999999999</v>
      </c>
      <c r="O19">
        <v>2.32E-3</v>
      </c>
      <c r="P19" s="3">
        <f t="shared" si="0"/>
        <v>836.29514227094774</v>
      </c>
      <c r="Q19" s="3">
        <f t="shared" si="1"/>
        <v>1.1595862908961863E-3</v>
      </c>
      <c r="R19" s="3">
        <f t="shared" si="2"/>
        <v>1.7099999999999999E-3</v>
      </c>
      <c r="S19">
        <f t="shared" si="3"/>
        <v>2</v>
      </c>
      <c r="T19">
        <f>INDEX([1]IDEN_level_ids!$B:$B,MATCH(G19,[1]IDEN_level_ids!$A:$A,0),1)</f>
        <v>1199</v>
      </c>
      <c r="U19">
        <f>INDEX([1]IDEN_level_ids!$B:$B,MATCH(H19,[1]IDEN_level_ids!$A:$A,0),1)</f>
        <v>206</v>
      </c>
    </row>
    <row r="20" spans="1:21" hidden="1" x14ac:dyDescent="0.25">
      <c r="A20">
        <v>119510.8888</v>
      </c>
      <c r="B20">
        <v>836.74379999999996</v>
      </c>
      <c r="C20">
        <v>2</v>
      </c>
      <c r="D20" t="s">
        <v>26</v>
      </c>
      <c r="F20">
        <v>1969</v>
      </c>
      <c r="G20" s="1" t="s">
        <v>41</v>
      </c>
      <c r="H20" s="1" t="s">
        <v>42</v>
      </c>
      <c r="I20">
        <v>0</v>
      </c>
      <c r="J20">
        <v>119510.85340000001</v>
      </c>
      <c r="K20">
        <v>-2.5000000000000001E-4</v>
      </c>
      <c r="L20">
        <v>1.72E-3</v>
      </c>
      <c r="M20">
        <v>0.245</v>
      </c>
      <c r="N20">
        <v>0.29330000000000001</v>
      </c>
      <c r="O20">
        <v>2.4299999999999999E-3</v>
      </c>
      <c r="P20" s="3">
        <f t="shared" si="0"/>
        <v>836.7438398634016</v>
      </c>
      <c r="Q20" s="3">
        <f t="shared" si="1"/>
        <v>-2.478497231095389E-4</v>
      </c>
      <c r="R20" s="3">
        <f t="shared" si="2"/>
        <v>1.72E-3</v>
      </c>
      <c r="S20">
        <f t="shared" si="3"/>
        <v>2</v>
      </c>
      <c r="T20">
        <f>INDEX([1]IDEN_level_ids!$B:$B,MATCH(G20,[1]IDEN_level_ids!$A:$A,0),1)</f>
        <v>1238</v>
      </c>
      <c r="U20">
        <f>INDEX([1]IDEN_level_ids!$B:$B,MATCH(H20,[1]IDEN_level_ids!$A:$A,0),1)</f>
        <v>444</v>
      </c>
    </row>
    <row r="21" spans="1:21" hidden="1" x14ac:dyDescent="0.25">
      <c r="A21">
        <v>119442.49679999999</v>
      </c>
      <c r="B21">
        <v>837.22299999999996</v>
      </c>
      <c r="C21">
        <v>2</v>
      </c>
      <c r="D21" t="s">
        <v>26</v>
      </c>
      <c r="F21">
        <v>1969</v>
      </c>
      <c r="G21" s="1" t="s">
        <v>41</v>
      </c>
      <c r="H21" s="1" t="s">
        <v>43</v>
      </c>
      <c r="I21">
        <v>0</v>
      </c>
      <c r="J21">
        <v>119442.61470000001</v>
      </c>
      <c r="K21">
        <v>8.3000000000000001E-4</v>
      </c>
      <c r="L21">
        <v>1.72E-3</v>
      </c>
      <c r="M21">
        <v>0.245</v>
      </c>
      <c r="N21">
        <v>0.28120000000000001</v>
      </c>
      <c r="O21">
        <v>2.3900000000000002E-3</v>
      </c>
      <c r="P21" s="3">
        <f t="shared" si="0"/>
        <v>837.22295396624702</v>
      </c>
      <c r="Q21" s="3">
        <f t="shared" si="1"/>
        <v>8.2641012613748899E-4</v>
      </c>
      <c r="R21" s="3">
        <f t="shared" si="2"/>
        <v>1.72E-3</v>
      </c>
      <c r="S21">
        <f t="shared" si="3"/>
        <v>2</v>
      </c>
      <c r="T21">
        <f>INDEX([1]IDEN_level_ids!$B:$B,MATCH(G21,[1]IDEN_level_ids!$A:$A,0),1)</f>
        <v>1238</v>
      </c>
      <c r="U21">
        <f>INDEX([1]IDEN_level_ids!$B:$B,MATCH(H21,[1]IDEN_level_ids!$A:$A,0),1)</f>
        <v>448</v>
      </c>
    </row>
    <row r="22" spans="1:21" hidden="1" x14ac:dyDescent="0.25">
      <c r="A22">
        <v>119372.78939999999</v>
      </c>
      <c r="B22">
        <v>837.71180000000004</v>
      </c>
      <c r="C22">
        <v>2</v>
      </c>
      <c r="D22" t="s">
        <v>26</v>
      </c>
      <c r="F22">
        <v>1969</v>
      </c>
      <c r="G22" s="1" t="s">
        <v>18</v>
      </c>
      <c r="H22" s="1" t="s">
        <v>44</v>
      </c>
      <c r="I22">
        <v>0</v>
      </c>
      <c r="J22">
        <v>119372.2087</v>
      </c>
      <c r="K22">
        <v>-4.0699999999999998E-3</v>
      </c>
      <c r="L22">
        <v>1.72E-3</v>
      </c>
      <c r="M22">
        <v>0.245</v>
      </c>
      <c r="N22">
        <v>0.2271</v>
      </c>
      <c r="O22">
        <v>2.2200000000000002E-3</v>
      </c>
      <c r="P22" s="3">
        <f t="shared" si="0"/>
        <v>837.71184792302427</v>
      </c>
      <c r="Q22" s="3">
        <f t="shared" si="1"/>
        <v>-4.075146764762394E-3</v>
      </c>
      <c r="R22" s="3">
        <f t="shared" si="2"/>
        <v>1.72E-3</v>
      </c>
      <c r="S22">
        <f t="shared" si="3"/>
        <v>2</v>
      </c>
      <c r="T22">
        <f>INDEX([1]IDEN_level_ids!$B:$B,MATCH(G22,[1]IDEN_level_ids!$A:$A,0),1)</f>
        <v>1226</v>
      </c>
      <c r="U22">
        <f>INDEX([1]IDEN_level_ids!$B:$B,MATCH(H22,[1]IDEN_level_ids!$A:$A,0),1)</f>
        <v>358</v>
      </c>
    </row>
    <row r="23" spans="1:21" hidden="1" x14ac:dyDescent="0.25">
      <c r="A23">
        <v>119138.6917</v>
      </c>
      <c r="B23">
        <v>839.35789999999997</v>
      </c>
      <c r="C23">
        <v>2</v>
      </c>
      <c r="D23" t="s">
        <v>26</v>
      </c>
      <c r="E23" t="s">
        <v>45</v>
      </c>
      <c r="F23">
        <v>1969</v>
      </c>
      <c r="G23" s="1" t="s">
        <v>46</v>
      </c>
      <c r="H23" s="1" t="s">
        <v>47</v>
      </c>
      <c r="I23">
        <v>0</v>
      </c>
      <c r="J23">
        <v>119139.1495</v>
      </c>
      <c r="K23">
        <v>3.2299999999999998E-3</v>
      </c>
      <c r="L23">
        <v>3.3999999999999998E-3</v>
      </c>
      <c r="M23">
        <v>0.48199999999999998</v>
      </c>
      <c r="N23">
        <v>0.20810000000000001</v>
      </c>
      <c r="O23">
        <v>4.2900000000000004E-3</v>
      </c>
      <c r="P23" s="3">
        <f t="shared" si="0"/>
        <v>839.35788259121875</v>
      </c>
      <c r="Q23" s="3">
        <f t="shared" si="1"/>
        <v>3.2252877435894334E-3</v>
      </c>
      <c r="R23" s="3">
        <f t="shared" si="2"/>
        <v>3.3999999999999998E-3</v>
      </c>
      <c r="S23">
        <f t="shared" si="3"/>
        <v>2</v>
      </c>
      <c r="T23">
        <f>INDEX([1]IDEN_level_ids!$B:$B,MATCH(G23,[1]IDEN_level_ids!$A:$A,0),1)</f>
        <v>1212</v>
      </c>
      <c r="U23">
        <f>INDEX([1]IDEN_level_ids!$B:$B,MATCH(H23,[1]IDEN_level_ids!$A:$A,0),1)</f>
        <v>295</v>
      </c>
    </row>
    <row r="24" spans="1:21" hidden="1" x14ac:dyDescent="0.25">
      <c r="A24">
        <v>119114.40270000001</v>
      </c>
      <c r="B24">
        <v>839.529</v>
      </c>
      <c r="C24">
        <v>2</v>
      </c>
      <c r="D24" t="s">
        <v>26</v>
      </c>
      <c r="F24">
        <v>1969</v>
      </c>
      <c r="G24" s="1" t="s">
        <v>36</v>
      </c>
      <c r="H24" s="1" t="s">
        <v>48</v>
      </c>
      <c r="I24">
        <v>0</v>
      </c>
      <c r="J24">
        <v>119114.0073</v>
      </c>
      <c r="K24">
        <v>-2.7899999999999999E-3</v>
      </c>
      <c r="L24">
        <v>1.73E-3</v>
      </c>
      <c r="M24">
        <v>0.245</v>
      </c>
      <c r="N24">
        <v>0.34160000000000001</v>
      </c>
      <c r="O24">
        <v>2.6199999999999999E-3</v>
      </c>
      <c r="P24" s="3">
        <f t="shared" si="0"/>
        <v>839.5290387499042</v>
      </c>
      <c r="Q24" s="3">
        <f t="shared" si="1"/>
        <v>-2.786824064173743E-3</v>
      </c>
      <c r="R24" s="3">
        <f t="shared" si="2"/>
        <v>1.73E-3</v>
      </c>
      <c r="S24">
        <f t="shared" si="3"/>
        <v>2</v>
      </c>
      <c r="T24">
        <f>INDEX([1]IDEN_level_ids!$B:$B,MATCH(G24,[1]IDEN_level_ids!$A:$A,0),1)</f>
        <v>1217</v>
      </c>
      <c r="U24">
        <f>INDEX([1]IDEN_level_ids!$B:$B,MATCH(H24,[1]IDEN_level_ids!$A:$A,0),1)</f>
        <v>310</v>
      </c>
    </row>
    <row r="25" spans="1:21" hidden="1" x14ac:dyDescent="0.25">
      <c r="A25">
        <v>119101.6133</v>
      </c>
      <c r="B25">
        <v>839.61919999999998</v>
      </c>
      <c r="C25">
        <v>2</v>
      </c>
      <c r="D25" t="s">
        <v>26</v>
      </c>
      <c r="F25">
        <v>1969</v>
      </c>
      <c r="G25" s="1" t="s">
        <v>49</v>
      </c>
      <c r="H25" s="1" t="s">
        <v>35</v>
      </c>
      <c r="I25">
        <v>0</v>
      </c>
      <c r="J25">
        <v>119101.8468</v>
      </c>
      <c r="K25">
        <v>1.65E-3</v>
      </c>
      <c r="L25">
        <v>1.73E-3</v>
      </c>
      <c r="M25">
        <v>0.245</v>
      </c>
      <c r="N25">
        <v>0.254</v>
      </c>
      <c r="O25">
        <v>2.31E-3</v>
      </c>
      <c r="P25" s="3">
        <f t="shared" si="0"/>
        <v>839.61918927256045</v>
      </c>
      <c r="Q25" s="3">
        <f t="shared" si="1"/>
        <v>1.6460792671750824E-3</v>
      </c>
      <c r="R25" s="3">
        <f t="shared" si="2"/>
        <v>1.73E-3</v>
      </c>
      <c r="S25">
        <f t="shared" si="3"/>
        <v>2</v>
      </c>
      <c r="T25">
        <f>INDEX([1]IDEN_level_ids!$B:$B,MATCH(G25,[1]IDEN_level_ids!$A:$A,0),1)</f>
        <v>1214</v>
      </c>
      <c r="U25">
        <f>INDEX([1]IDEN_level_ids!$B:$B,MATCH(H25,[1]IDEN_level_ids!$A:$A,0),1)</f>
        <v>304</v>
      </c>
    </row>
    <row r="26" spans="1:21" hidden="1" x14ac:dyDescent="0.25">
      <c r="A26">
        <v>119048.3092</v>
      </c>
      <c r="B26">
        <v>839.99509999999998</v>
      </c>
      <c r="C26">
        <v>2</v>
      </c>
      <c r="D26" t="s">
        <v>26</v>
      </c>
      <c r="F26">
        <v>1969</v>
      </c>
      <c r="G26" s="1" t="s">
        <v>20</v>
      </c>
      <c r="H26" s="1" t="s">
        <v>50</v>
      </c>
      <c r="I26">
        <v>0</v>
      </c>
      <c r="J26">
        <v>119048.4161</v>
      </c>
      <c r="K26">
        <v>7.5000000000000002E-4</v>
      </c>
      <c r="L26">
        <v>1.73E-3</v>
      </c>
      <c r="M26">
        <v>0.245</v>
      </c>
      <c r="N26">
        <v>0.3236</v>
      </c>
      <c r="O26">
        <v>2.5600000000000002E-3</v>
      </c>
      <c r="P26" s="3">
        <f t="shared" si="0"/>
        <v>839.99513031303093</v>
      </c>
      <c r="Q26" s="3">
        <f t="shared" si="1"/>
        <v>7.5427697720442666E-4</v>
      </c>
      <c r="R26" s="3">
        <f t="shared" si="2"/>
        <v>1.73E-3</v>
      </c>
      <c r="S26">
        <f t="shared" si="3"/>
        <v>2</v>
      </c>
      <c r="T26">
        <f>INDEX([1]IDEN_level_ids!$B:$B,MATCH(G26,[1]IDEN_level_ids!$A:$A,0),1)</f>
        <v>1235</v>
      </c>
      <c r="U26">
        <f>INDEX([1]IDEN_level_ids!$B:$B,MATCH(H26,[1]IDEN_level_ids!$A:$A,0),1)</f>
        <v>409</v>
      </c>
    </row>
    <row r="27" spans="1:21" hidden="1" x14ac:dyDescent="0.25">
      <c r="A27">
        <v>119039.5138</v>
      </c>
      <c r="B27">
        <v>840.05719999999997</v>
      </c>
      <c r="C27">
        <v>2</v>
      </c>
      <c r="D27" t="s">
        <v>26</v>
      </c>
      <c r="F27">
        <v>1969</v>
      </c>
      <c r="G27" s="1" t="s">
        <v>36</v>
      </c>
      <c r="H27" s="1" t="s">
        <v>31</v>
      </c>
      <c r="I27">
        <v>0</v>
      </c>
      <c r="J27">
        <v>119039.4721</v>
      </c>
      <c r="K27">
        <v>-2.9E-4</v>
      </c>
      <c r="L27">
        <v>1.73E-3</v>
      </c>
      <c r="M27">
        <v>0.245</v>
      </c>
      <c r="N27">
        <v>8.9399999999999993E-2</v>
      </c>
      <c r="O27">
        <v>1.9E-3</v>
      </c>
      <c r="P27" s="3">
        <f t="shared" si="0"/>
        <v>840.0571945212364</v>
      </c>
      <c r="Q27" s="3">
        <f t="shared" si="1"/>
        <v>-2.9427537265291903E-4</v>
      </c>
      <c r="R27" s="3">
        <f t="shared" si="2"/>
        <v>1.73E-3</v>
      </c>
      <c r="S27">
        <f t="shared" si="3"/>
        <v>2</v>
      </c>
      <c r="T27">
        <f>INDEX([1]IDEN_level_ids!$B:$B,MATCH(G27,[1]IDEN_level_ids!$A:$A,0),1)</f>
        <v>1217</v>
      </c>
      <c r="U27">
        <f>INDEX([1]IDEN_level_ids!$B:$B,MATCH(H27,[1]IDEN_level_ids!$A:$A,0),1)</f>
        <v>311</v>
      </c>
    </row>
    <row r="28" spans="1:21" hidden="1" x14ac:dyDescent="0.25">
      <c r="A28">
        <v>119007.6888</v>
      </c>
      <c r="B28">
        <v>840.28179999999998</v>
      </c>
      <c r="C28">
        <v>2</v>
      </c>
      <c r="D28" t="s">
        <v>26</v>
      </c>
      <c r="F28">
        <v>1969</v>
      </c>
      <c r="G28" s="1" t="s">
        <v>41</v>
      </c>
      <c r="H28" s="1" t="s">
        <v>29</v>
      </c>
      <c r="I28">
        <v>0</v>
      </c>
      <c r="J28">
        <v>119007.7501</v>
      </c>
      <c r="K28">
        <v>4.2999999999999999E-4</v>
      </c>
      <c r="L28">
        <v>1.73E-3</v>
      </c>
      <c r="M28">
        <v>0.245</v>
      </c>
      <c r="N28">
        <v>0.3417</v>
      </c>
      <c r="O28">
        <v>2.63E-3</v>
      </c>
      <c r="P28" s="3">
        <f t="shared" si="0"/>
        <v>840.28184236109621</v>
      </c>
      <c r="Q28" s="3">
        <f t="shared" si="1"/>
        <v>4.3282287822421495E-4</v>
      </c>
      <c r="R28" s="3">
        <f t="shared" si="2"/>
        <v>1.73E-3</v>
      </c>
      <c r="S28">
        <f t="shared" si="3"/>
        <v>2</v>
      </c>
      <c r="T28">
        <f>INDEX([1]IDEN_level_ids!$B:$B,MATCH(G28,[1]IDEN_level_ids!$A:$A,0),1)</f>
        <v>1238</v>
      </c>
      <c r="U28">
        <f>INDEX([1]IDEN_level_ids!$B:$B,MATCH(H28,[1]IDEN_level_ids!$A:$A,0),1)</f>
        <v>456</v>
      </c>
    </row>
    <row r="29" spans="1:21" hidden="1" x14ac:dyDescent="0.25">
      <c r="A29">
        <v>118982.6012</v>
      </c>
      <c r="B29">
        <v>840.45899999999995</v>
      </c>
      <c r="C29">
        <v>2</v>
      </c>
      <c r="D29" t="s">
        <v>26</v>
      </c>
      <c r="F29">
        <v>1969</v>
      </c>
      <c r="G29" s="1" t="s">
        <v>51</v>
      </c>
      <c r="H29" s="1" t="s">
        <v>19</v>
      </c>
      <c r="I29">
        <v>0</v>
      </c>
      <c r="J29">
        <v>118982.6349</v>
      </c>
      <c r="K29">
        <v>2.4000000000000001E-4</v>
      </c>
      <c r="L29">
        <v>1.73E-3</v>
      </c>
      <c r="M29">
        <v>0.245</v>
      </c>
      <c r="N29">
        <v>0.36530000000000001</v>
      </c>
      <c r="O29">
        <v>2.7299999999999998E-3</v>
      </c>
      <c r="P29" s="3">
        <f t="shared" si="0"/>
        <v>840.45901662469282</v>
      </c>
      <c r="Q29" s="3">
        <f t="shared" si="1"/>
        <v>2.3804708041552658E-4</v>
      </c>
      <c r="R29" s="3">
        <f t="shared" si="2"/>
        <v>1.73E-3</v>
      </c>
      <c r="S29">
        <f t="shared" si="3"/>
        <v>2</v>
      </c>
      <c r="T29">
        <f>INDEX([1]IDEN_level_ids!$B:$B,MATCH(G29,[1]IDEN_level_ids!$A:$A,0),1)</f>
        <v>1213</v>
      </c>
      <c r="U29">
        <f>INDEX([1]IDEN_level_ids!$B:$B,MATCH(H29,[1]IDEN_level_ids!$A:$A,0),1)</f>
        <v>306</v>
      </c>
    </row>
    <row r="30" spans="1:21" hidden="1" x14ac:dyDescent="0.25">
      <c r="A30">
        <v>118921.6063</v>
      </c>
      <c r="B30">
        <v>840.89009999999996</v>
      </c>
      <c r="C30">
        <v>2</v>
      </c>
      <c r="D30" t="s">
        <v>26</v>
      </c>
      <c r="E30" t="s">
        <v>52</v>
      </c>
      <c r="F30">
        <v>1969</v>
      </c>
      <c r="G30" s="1" t="s">
        <v>18</v>
      </c>
      <c r="H30" s="1" t="s">
        <v>30</v>
      </c>
      <c r="I30">
        <v>0</v>
      </c>
      <c r="J30">
        <v>118921.08930000001</v>
      </c>
      <c r="K30">
        <v>-3.6600000000000001E-3</v>
      </c>
      <c r="L30">
        <v>1.9499999999999999E-3</v>
      </c>
      <c r="M30">
        <v>0.27600000000000002</v>
      </c>
      <c r="N30">
        <v>6.54E-2</v>
      </c>
      <c r="O30">
        <v>2.0899999999999998E-3</v>
      </c>
      <c r="P30" s="3">
        <f t="shared" si="0"/>
        <v>840.89008811176814</v>
      </c>
      <c r="Q30" s="3">
        <f t="shared" si="1"/>
        <v>-3.6557029379764572E-3</v>
      </c>
      <c r="R30" s="3">
        <f t="shared" si="2"/>
        <v>1.9499999999999999E-3</v>
      </c>
      <c r="S30">
        <f t="shared" si="3"/>
        <v>2</v>
      </c>
      <c r="T30">
        <f>INDEX([1]IDEN_level_ids!$B:$B,MATCH(G30,[1]IDEN_level_ids!$A:$A,0),1)</f>
        <v>1226</v>
      </c>
      <c r="U30">
        <f>INDEX([1]IDEN_level_ids!$B:$B,MATCH(H30,[1]IDEN_level_ids!$A:$A,0),1)</f>
        <v>373</v>
      </c>
    </row>
    <row r="31" spans="1:21" hidden="1" x14ac:dyDescent="0.25">
      <c r="A31">
        <v>118796.00870000001</v>
      </c>
      <c r="B31">
        <v>841.77909999999997</v>
      </c>
      <c r="C31">
        <v>2</v>
      </c>
      <c r="D31" t="s">
        <v>26</v>
      </c>
      <c r="F31">
        <v>1969</v>
      </c>
      <c r="G31" s="1" t="s">
        <v>53</v>
      </c>
      <c r="H31" s="1" t="s">
        <v>54</v>
      </c>
      <c r="I31">
        <v>0</v>
      </c>
      <c r="J31">
        <v>118796.23699999999</v>
      </c>
      <c r="K31">
        <v>1.6199999999999999E-3</v>
      </c>
      <c r="L31">
        <v>1.74E-3</v>
      </c>
      <c r="M31">
        <v>0.245</v>
      </c>
      <c r="N31">
        <v>0.2427</v>
      </c>
      <c r="O31">
        <v>2.2899999999999999E-3</v>
      </c>
      <c r="P31" s="3">
        <f t="shared" si="0"/>
        <v>841.77912283680951</v>
      </c>
      <c r="Q31" s="3">
        <f t="shared" si="1"/>
        <v>1.6177126361753835E-3</v>
      </c>
      <c r="R31" s="3">
        <f t="shared" si="2"/>
        <v>1.74E-3</v>
      </c>
      <c r="S31">
        <f t="shared" si="3"/>
        <v>2</v>
      </c>
      <c r="T31">
        <f>INDEX([1]IDEN_level_ids!$B:$B,MATCH(G31,[1]IDEN_level_ids!$A:$A,0),1)</f>
        <v>1231</v>
      </c>
      <c r="U31">
        <f>INDEX([1]IDEN_level_ids!$B:$B,MATCH(H31,[1]IDEN_level_ids!$A:$A,0),1)</f>
        <v>394</v>
      </c>
    </row>
    <row r="32" spans="1:21" hidden="1" x14ac:dyDescent="0.25">
      <c r="A32">
        <v>118766.2188</v>
      </c>
      <c r="B32">
        <v>841.99030000000005</v>
      </c>
      <c r="C32">
        <v>2</v>
      </c>
      <c r="D32" t="s">
        <v>26</v>
      </c>
      <c r="F32">
        <v>1969</v>
      </c>
      <c r="G32" s="1" t="s">
        <v>20</v>
      </c>
      <c r="H32" s="1" t="s">
        <v>25</v>
      </c>
      <c r="I32">
        <v>0</v>
      </c>
      <c r="J32">
        <v>118766.2221</v>
      </c>
      <c r="K32">
        <v>2.0000000000000002E-5</v>
      </c>
      <c r="L32">
        <v>1.74E-3</v>
      </c>
      <c r="M32">
        <v>0.245</v>
      </c>
      <c r="N32">
        <v>0.22720000000000001</v>
      </c>
      <c r="O32">
        <v>2.2499999999999998E-3</v>
      </c>
      <c r="P32" s="3">
        <f t="shared" si="0"/>
        <v>841.99026465933082</v>
      </c>
      <c r="Q32" s="3">
        <f t="shared" si="1"/>
        <v>2.3395270318360417E-5</v>
      </c>
      <c r="R32" s="3">
        <f t="shared" si="2"/>
        <v>1.74E-3</v>
      </c>
      <c r="S32">
        <f t="shared" si="3"/>
        <v>2</v>
      </c>
      <c r="T32">
        <f>INDEX([1]IDEN_level_ids!$B:$B,MATCH(G32,[1]IDEN_level_ids!$A:$A,0),1)</f>
        <v>1235</v>
      </c>
      <c r="U32">
        <f>INDEX([1]IDEN_level_ids!$B:$B,MATCH(H32,[1]IDEN_level_ids!$A:$A,0),1)</f>
        <v>437</v>
      </c>
    </row>
    <row r="33" spans="1:21" hidden="1" x14ac:dyDescent="0.25">
      <c r="A33">
        <v>118710.7023</v>
      </c>
      <c r="B33">
        <v>842.38400000000001</v>
      </c>
      <c r="C33">
        <v>2</v>
      </c>
      <c r="D33" t="s">
        <v>26</v>
      </c>
      <c r="F33">
        <v>1969</v>
      </c>
      <c r="G33" s="1" t="s">
        <v>46</v>
      </c>
      <c r="H33" s="1" t="s">
        <v>35</v>
      </c>
      <c r="I33">
        <v>0</v>
      </c>
      <c r="J33">
        <v>118709.8855</v>
      </c>
      <c r="K33">
        <v>-5.7999999999999996E-3</v>
      </c>
      <c r="L33">
        <v>1.74E-3</v>
      </c>
      <c r="M33">
        <v>0.245</v>
      </c>
      <c r="N33">
        <v>0.25240000000000001</v>
      </c>
      <c r="O33">
        <v>2.33E-3</v>
      </c>
      <c r="P33" s="3">
        <f t="shared" si="0"/>
        <v>842.38403162071086</v>
      </c>
      <c r="Q33" s="3">
        <f t="shared" si="1"/>
        <v>-5.7961413587008792E-3</v>
      </c>
      <c r="R33" s="3">
        <f t="shared" si="2"/>
        <v>1.74E-3</v>
      </c>
      <c r="S33">
        <f t="shared" si="3"/>
        <v>2</v>
      </c>
      <c r="T33">
        <f>INDEX([1]IDEN_level_ids!$B:$B,MATCH(G33,[1]IDEN_level_ids!$A:$A,0),1)</f>
        <v>1212</v>
      </c>
      <c r="U33">
        <f>INDEX([1]IDEN_level_ids!$B:$B,MATCH(H33,[1]IDEN_level_ids!$A:$A,0),1)</f>
        <v>304</v>
      </c>
    </row>
    <row r="34" spans="1:21" hidden="1" x14ac:dyDescent="0.25">
      <c r="A34">
        <v>118694.79489999999</v>
      </c>
      <c r="B34">
        <v>842.49689999999998</v>
      </c>
      <c r="C34">
        <v>2</v>
      </c>
      <c r="D34" t="s">
        <v>26</v>
      </c>
      <c r="F34">
        <v>1969</v>
      </c>
      <c r="G34" s="1" t="s">
        <v>55</v>
      </c>
      <c r="H34" s="1" t="s">
        <v>25</v>
      </c>
      <c r="I34">
        <v>0</v>
      </c>
      <c r="J34">
        <v>118694.8805</v>
      </c>
      <c r="K34">
        <v>6.0999999999999997E-4</v>
      </c>
      <c r="L34">
        <v>1.74E-3</v>
      </c>
      <c r="M34">
        <v>0.245</v>
      </c>
      <c r="N34">
        <v>0.22520000000000001</v>
      </c>
      <c r="O34">
        <v>2.2399999999999998E-3</v>
      </c>
      <c r="P34" s="3">
        <f t="shared" si="0"/>
        <v>842.49692738632473</v>
      </c>
      <c r="Q34" s="3">
        <f t="shared" si="1"/>
        <v>6.0758928009363444E-4</v>
      </c>
      <c r="R34" s="3">
        <f t="shared" si="2"/>
        <v>1.74E-3</v>
      </c>
      <c r="S34">
        <f t="shared" si="3"/>
        <v>2</v>
      </c>
      <c r="T34">
        <f>INDEX([1]IDEN_level_ids!$B:$B,MATCH(G34,[1]IDEN_level_ids!$A:$A,0),1)</f>
        <v>1233</v>
      </c>
      <c r="U34">
        <f>INDEX([1]IDEN_level_ids!$B:$B,MATCH(H34,[1]IDEN_level_ids!$A:$A,0),1)</f>
        <v>437</v>
      </c>
    </row>
    <row r="35" spans="1:21" hidden="1" x14ac:dyDescent="0.25">
      <c r="A35">
        <v>118580.09149999999</v>
      </c>
      <c r="B35">
        <v>843.31190000000004</v>
      </c>
      <c r="C35">
        <v>2</v>
      </c>
      <c r="D35" t="s">
        <v>26</v>
      </c>
      <c r="E35" t="s">
        <v>52</v>
      </c>
      <c r="F35">
        <v>1969</v>
      </c>
      <c r="G35" s="1" t="s">
        <v>56</v>
      </c>
      <c r="H35" s="1" t="s">
        <v>57</v>
      </c>
      <c r="I35">
        <v>0</v>
      </c>
      <c r="J35">
        <v>118580.1859</v>
      </c>
      <c r="K35">
        <v>6.7000000000000002E-4</v>
      </c>
      <c r="L35">
        <v>1.9599999999999999E-3</v>
      </c>
      <c r="M35">
        <v>0.27600000000000002</v>
      </c>
      <c r="N35">
        <v>0.46039999999999998</v>
      </c>
      <c r="O35">
        <v>3.64E-3</v>
      </c>
      <c r="P35" s="3">
        <f t="shared" si="0"/>
        <v>843.31188089865827</v>
      </c>
      <c r="Q35" s="3">
        <f t="shared" si="1"/>
        <v>6.7134859796169621E-4</v>
      </c>
      <c r="R35" s="3">
        <f t="shared" si="2"/>
        <v>1.9599999999999999E-3</v>
      </c>
      <c r="S35">
        <f t="shared" si="3"/>
        <v>2</v>
      </c>
      <c r="T35">
        <f>INDEX([1]IDEN_level_ids!$B:$B,MATCH(G35,[1]IDEN_level_ids!$A:$A,0),1)</f>
        <v>1221</v>
      </c>
      <c r="U35">
        <f>INDEX([1]IDEN_level_ids!$B:$B,MATCH(H35,[1]IDEN_level_ids!$A:$A,0),1)</f>
        <v>343</v>
      </c>
    </row>
    <row r="36" spans="1:21" hidden="1" x14ac:dyDescent="0.25">
      <c r="A36">
        <v>118576.40640000001</v>
      </c>
      <c r="B36">
        <v>843.33810000000005</v>
      </c>
      <c r="C36">
        <v>2</v>
      </c>
      <c r="D36" t="s">
        <v>26</v>
      </c>
      <c r="F36">
        <v>1969</v>
      </c>
      <c r="G36" s="1" t="s">
        <v>16</v>
      </c>
      <c r="H36" s="1" t="s">
        <v>58</v>
      </c>
      <c r="I36">
        <v>0</v>
      </c>
      <c r="J36">
        <v>118576.3459</v>
      </c>
      <c r="K36">
        <v>-4.2999999999999999E-4</v>
      </c>
      <c r="L36">
        <v>1.74E-3</v>
      </c>
      <c r="M36">
        <v>0.245</v>
      </c>
      <c r="N36">
        <v>0.50580000000000003</v>
      </c>
      <c r="O36">
        <v>3.5300000000000002E-3</v>
      </c>
      <c r="P36" s="3">
        <f t="shared" si="0"/>
        <v>843.3380892204201</v>
      </c>
      <c r="Q36" s="3">
        <f t="shared" si="1"/>
        <v>-4.3028779487030988E-4</v>
      </c>
      <c r="R36" s="3">
        <f t="shared" si="2"/>
        <v>1.74E-3</v>
      </c>
      <c r="S36">
        <f t="shared" si="3"/>
        <v>2</v>
      </c>
      <c r="T36">
        <f>INDEX([1]IDEN_level_ids!$B:$B,MATCH(G36,[1]IDEN_level_ids!$A:$A,0),1)</f>
        <v>1223</v>
      </c>
      <c r="U36">
        <f>INDEX([1]IDEN_level_ids!$B:$B,MATCH(H36,[1]IDEN_level_ids!$A:$A,0),1)</f>
        <v>370</v>
      </c>
    </row>
    <row r="37" spans="1:21" hidden="1" x14ac:dyDescent="0.25">
      <c r="A37">
        <v>118499.2925</v>
      </c>
      <c r="B37">
        <v>843.88689999999997</v>
      </c>
      <c r="C37">
        <v>2</v>
      </c>
      <c r="D37" t="s">
        <v>26</v>
      </c>
      <c r="F37">
        <v>1969</v>
      </c>
      <c r="G37" s="1" t="s">
        <v>16</v>
      </c>
      <c r="H37" s="1" t="s">
        <v>30</v>
      </c>
      <c r="I37">
        <v>0</v>
      </c>
      <c r="J37">
        <v>118499.5074</v>
      </c>
      <c r="K37">
        <v>1.5299999999999999E-3</v>
      </c>
      <c r="L37">
        <v>1.74E-3</v>
      </c>
      <c r="M37">
        <v>0.245</v>
      </c>
      <c r="N37">
        <v>8.2000000000000003E-2</v>
      </c>
      <c r="O37">
        <v>1.9E-3</v>
      </c>
      <c r="P37" s="3">
        <f t="shared" si="0"/>
        <v>843.88689493652464</v>
      </c>
      <c r="Q37" s="3">
        <f t="shared" si="1"/>
        <v>1.5303970261584254E-3</v>
      </c>
      <c r="R37" s="3">
        <f t="shared" si="2"/>
        <v>1.74E-3</v>
      </c>
      <c r="S37">
        <f t="shared" si="3"/>
        <v>2</v>
      </c>
      <c r="T37">
        <f>INDEX([1]IDEN_level_ids!$B:$B,MATCH(G37,[1]IDEN_level_ids!$A:$A,0),1)</f>
        <v>1223</v>
      </c>
      <c r="U37">
        <f>INDEX([1]IDEN_level_ids!$B:$B,MATCH(H37,[1]IDEN_level_ids!$A:$A,0),1)</f>
        <v>373</v>
      </c>
    </row>
    <row r="38" spans="1:21" hidden="1" x14ac:dyDescent="0.25">
      <c r="A38">
        <v>118427.99559999999</v>
      </c>
      <c r="B38">
        <v>844.39490000000001</v>
      </c>
      <c r="C38">
        <v>2</v>
      </c>
      <c r="D38" t="s">
        <v>26</v>
      </c>
      <c r="F38">
        <v>1969</v>
      </c>
      <c r="G38" s="1" t="s">
        <v>59</v>
      </c>
      <c r="H38" s="1" t="s">
        <v>60</v>
      </c>
      <c r="I38">
        <v>0</v>
      </c>
      <c r="J38">
        <v>118428.2733</v>
      </c>
      <c r="K38">
        <v>1.98E-3</v>
      </c>
      <c r="L38">
        <v>1.75E-3</v>
      </c>
      <c r="M38">
        <v>0.245</v>
      </c>
      <c r="N38">
        <v>0.1182</v>
      </c>
      <c r="O38">
        <v>1.98E-3</v>
      </c>
      <c r="P38" s="3">
        <f t="shared" si="0"/>
        <v>844.39493798204592</v>
      </c>
      <c r="Q38" s="3">
        <f t="shared" si="1"/>
        <v>1.9800041641246935E-3</v>
      </c>
      <c r="R38" s="3">
        <f t="shared" si="2"/>
        <v>1.75E-3</v>
      </c>
      <c r="S38">
        <f t="shared" si="3"/>
        <v>2</v>
      </c>
      <c r="T38">
        <f>INDEX([1]IDEN_level_ids!$B:$B,MATCH(G38,[1]IDEN_level_ids!$A:$A,0),1)</f>
        <v>1211</v>
      </c>
      <c r="U38">
        <f>INDEX([1]IDEN_level_ids!$B:$B,MATCH(H38,[1]IDEN_level_ids!$A:$A,0),1)</f>
        <v>309</v>
      </c>
    </row>
    <row r="39" spans="1:21" hidden="1" x14ac:dyDescent="0.25">
      <c r="A39">
        <v>118333.984</v>
      </c>
      <c r="B39">
        <v>845.06579999999997</v>
      </c>
      <c r="C39">
        <v>2</v>
      </c>
      <c r="D39" t="s">
        <v>26</v>
      </c>
      <c r="F39">
        <v>1969</v>
      </c>
      <c r="G39" s="1" t="s">
        <v>46</v>
      </c>
      <c r="H39" s="1" t="s">
        <v>48</v>
      </c>
      <c r="I39">
        <v>0</v>
      </c>
      <c r="J39">
        <v>118334.357</v>
      </c>
      <c r="K39">
        <v>2.66E-3</v>
      </c>
      <c r="L39">
        <v>1.75E-3</v>
      </c>
      <c r="M39">
        <v>0.245</v>
      </c>
      <c r="N39">
        <v>0.33629999999999999</v>
      </c>
      <c r="O39">
        <v>2.64E-3</v>
      </c>
      <c r="P39" s="3">
        <f t="shared" si="0"/>
        <v>845.06577586367757</v>
      </c>
      <c r="Q39" s="3">
        <f t="shared" si="1"/>
        <v>2.6637195012426673E-3</v>
      </c>
      <c r="R39" s="3">
        <f t="shared" si="2"/>
        <v>1.75E-3</v>
      </c>
      <c r="S39">
        <f t="shared" si="3"/>
        <v>2</v>
      </c>
      <c r="T39">
        <f>INDEX([1]IDEN_level_ids!$B:$B,MATCH(G39,[1]IDEN_level_ids!$A:$A,0),1)</f>
        <v>1212</v>
      </c>
      <c r="U39">
        <f>INDEX([1]IDEN_level_ids!$B:$B,MATCH(H39,[1]IDEN_level_ids!$A:$A,0),1)</f>
        <v>310</v>
      </c>
    </row>
    <row r="40" spans="1:21" hidden="1" x14ac:dyDescent="0.25">
      <c r="A40">
        <v>118310.8177</v>
      </c>
      <c r="B40">
        <v>845.23119999999994</v>
      </c>
      <c r="C40">
        <v>2</v>
      </c>
      <c r="D40" t="s">
        <v>26</v>
      </c>
      <c r="F40">
        <v>1969</v>
      </c>
      <c r="G40" s="1" t="s">
        <v>59</v>
      </c>
      <c r="H40" s="1" t="s">
        <v>31</v>
      </c>
      <c r="I40">
        <v>0</v>
      </c>
      <c r="J40">
        <v>118311.03320000001</v>
      </c>
      <c r="K40">
        <v>1.5399999999999999E-3</v>
      </c>
      <c r="L40">
        <v>1.75E-3</v>
      </c>
      <c r="M40">
        <v>0.245</v>
      </c>
      <c r="N40">
        <v>9.1899999999999996E-2</v>
      </c>
      <c r="O40">
        <v>1.9300000000000001E-3</v>
      </c>
      <c r="P40" s="3">
        <f t="shared" si="0"/>
        <v>845.2312471845928</v>
      </c>
      <c r="Q40" s="3">
        <f t="shared" si="1"/>
        <v>1.5395633766956962E-3</v>
      </c>
      <c r="R40" s="3">
        <f t="shared" si="2"/>
        <v>1.75E-3</v>
      </c>
      <c r="S40">
        <f t="shared" si="3"/>
        <v>2</v>
      </c>
      <c r="T40">
        <f>INDEX([1]IDEN_level_ids!$B:$B,MATCH(G40,[1]IDEN_level_ids!$A:$A,0),1)</f>
        <v>1211</v>
      </c>
      <c r="U40">
        <f>INDEX([1]IDEN_level_ids!$B:$B,MATCH(H40,[1]IDEN_level_ids!$A:$A,0),1)</f>
        <v>311</v>
      </c>
    </row>
    <row r="41" spans="1:21" hidden="1" x14ac:dyDescent="0.25">
      <c r="A41">
        <v>118243.8144</v>
      </c>
      <c r="B41">
        <v>845.71019999999999</v>
      </c>
      <c r="C41">
        <v>2</v>
      </c>
      <c r="D41" t="s">
        <v>26</v>
      </c>
      <c r="F41">
        <v>1969</v>
      </c>
      <c r="G41" s="1" t="s">
        <v>33</v>
      </c>
      <c r="H41" s="1" t="s">
        <v>44</v>
      </c>
      <c r="I41">
        <v>0</v>
      </c>
      <c r="J41">
        <v>118243.8492</v>
      </c>
      <c r="K41">
        <v>2.5000000000000001E-4</v>
      </c>
      <c r="L41">
        <v>1.75E-3</v>
      </c>
      <c r="M41">
        <v>0.245</v>
      </c>
      <c r="N41">
        <v>0.20910000000000001</v>
      </c>
      <c r="O41">
        <v>2.2200000000000002E-3</v>
      </c>
      <c r="P41" s="3">
        <f t="shared" si="0"/>
        <v>845.71020063439357</v>
      </c>
      <c r="Q41" s="3">
        <f t="shared" si="1"/>
        <v>2.4889848543807602E-4</v>
      </c>
      <c r="R41" s="3">
        <f t="shared" si="2"/>
        <v>1.75E-3</v>
      </c>
      <c r="S41">
        <f t="shared" si="3"/>
        <v>2</v>
      </c>
      <c r="T41">
        <f>INDEX([1]IDEN_level_ids!$B:$B,MATCH(G41,[1]IDEN_level_ids!$A:$A,0),1)</f>
        <v>1220</v>
      </c>
      <c r="U41">
        <f>INDEX([1]IDEN_level_ids!$B:$B,MATCH(H41,[1]IDEN_level_ids!$A:$A,0),1)</f>
        <v>358</v>
      </c>
    </row>
    <row r="42" spans="1:21" hidden="1" x14ac:dyDescent="0.25">
      <c r="A42">
        <v>118124.4069</v>
      </c>
      <c r="B42">
        <v>846.56510000000003</v>
      </c>
      <c r="C42">
        <v>2</v>
      </c>
      <c r="D42" t="s">
        <v>26</v>
      </c>
      <c r="F42">
        <v>1969</v>
      </c>
      <c r="G42" s="1" t="s">
        <v>55</v>
      </c>
      <c r="H42" s="1" t="s">
        <v>32</v>
      </c>
      <c r="I42">
        <v>0</v>
      </c>
      <c r="J42">
        <v>118124.8104</v>
      </c>
      <c r="K42">
        <v>2.8900000000000002E-3</v>
      </c>
      <c r="L42">
        <v>1.7600000000000001E-3</v>
      </c>
      <c r="M42">
        <v>0.245</v>
      </c>
      <c r="N42">
        <v>8.7400000000000005E-2</v>
      </c>
      <c r="O42">
        <v>1.92E-3</v>
      </c>
      <c r="P42" s="3">
        <f t="shared" si="0"/>
        <v>846.56509712388663</v>
      </c>
      <c r="Q42" s="3">
        <f t="shared" si="1"/>
        <v>2.8917635130483177E-3</v>
      </c>
      <c r="R42" s="3">
        <f t="shared" si="2"/>
        <v>1.7600000000000001E-3</v>
      </c>
      <c r="S42">
        <f t="shared" si="3"/>
        <v>2</v>
      </c>
      <c r="T42">
        <f>INDEX([1]IDEN_level_ids!$B:$B,MATCH(G42,[1]IDEN_level_ids!$A:$A,0),1)</f>
        <v>1233</v>
      </c>
      <c r="U42">
        <f>INDEX([1]IDEN_level_ids!$B:$B,MATCH(H42,[1]IDEN_level_ids!$A:$A,0),1)</f>
        <v>454</v>
      </c>
    </row>
    <row r="43" spans="1:21" hidden="1" x14ac:dyDescent="0.25">
      <c r="A43">
        <v>117833.2121</v>
      </c>
      <c r="B43">
        <v>848.65719999999999</v>
      </c>
      <c r="C43">
        <v>2</v>
      </c>
      <c r="D43" t="s">
        <v>26</v>
      </c>
      <c r="F43">
        <v>1969</v>
      </c>
      <c r="G43" s="1" t="s">
        <v>56</v>
      </c>
      <c r="H43" s="1" t="s">
        <v>61</v>
      </c>
      <c r="I43">
        <v>0</v>
      </c>
      <c r="J43">
        <v>117833.424</v>
      </c>
      <c r="K43">
        <v>1.5299999999999999E-3</v>
      </c>
      <c r="L43">
        <v>1.7600000000000001E-3</v>
      </c>
      <c r="M43">
        <v>0.245</v>
      </c>
      <c r="N43">
        <v>0.50309999999999999</v>
      </c>
      <c r="O43">
        <v>3.5500000000000002E-3</v>
      </c>
      <c r="P43" s="3">
        <f t="shared" si="0"/>
        <v>848.65716734543639</v>
      </c>
      <c r="Q43" s="3">
        <f t="shared" si="1"/>
        <v>1.5261412904692406E-3</v>
      </c>
      <c r="R43" s="3">
        <f t="shared" si="2"/>
        <v>1.7600000000000001E-3</v>
      </c>
      <c r="S43">
        <f t="shared" si="3"/>
        <v>2</v>
      </c>
      <c r="T43">
        <f>INDEX([1]IDEN_level_ids!$B:$B,MATCH(G43,[1]IDEN_level_ids!$A:$A,0),1)</f>
        <v>1221</v>
      </c>
      <c r="U43">
        <f>INDEX([1]IDEN_level_ids!$B:$B,MATCH(H43,[1]IDEN_level_ids!$A:$A,0),1)</f>
        <v>378</v>
      </c>
    </row>
    <row r="44" spans="1:21" hidden="1" x14ac:dyDescent="0.25">
      <c r="A44">
        <v>117661.5978</v>
      </c>
      <c r="B44">
        <v>849.89499999999998</v>
      </c>
      <c r="C44">
        <v>2</v>
      </c>
      <c r="D44" t="s">
        <v>26</v>
      </c>
      <c r="F44">
        <v>1969</v>
      </c>
      <c r="G44" s="1" t="s">
        <v>62</v>
      </c>
      <c r="H44" s="1" t="s">
        <v>37</v>
      </c>
      <c r="I44">
        <v>0</v>
      </c>
      <c r="J44">
        <v>117661.7686</v>
      </c>
      <c r="K44">
        <v>1.23E-3</v>
      </c>
      <c r="L44">
        <v>1.7700000000000001E-3</v>
      </c>
      <c r="M44">
        <v>0.245</v>
      </c>
      <c r="N44">
        <v>0.33929999999999999</v>
      </c>
      <c r="O44">
        <v>2.6800000000000001E-3</v>
      </c>
      <c r="P44" s="3">
        <f t="shared" si="0"/>
        <v>849.89496887488292</v>
      </c>
      <c r="Q44" s="3">
        <f t="shared" si="1"/>
        <v>1.2337232594745728E-3</v>
      </c>
      <c r="R44" s="3">
        <f t="shared" si="2"/>
        <v>1.7700000000000001E-3</v>
      </c>
      <c r="S44">
        <f t="shared" si="3"/>
        <v>2</v>
      </c>
      <c r="T44">
        <f>INDEX([1]IDEN_level_ids!$B:$B,MATCH(G44,[1]IDEN_level_ids!$A:$A,0),1)</f>
        <v>1203</v>
      </c>
      <c r="U44">
        <f>INDEX([1]IDEN_level_ids!$B:$B,MATCH(H44,[1]IDEN_level_ids!$A:$A,0),1)</f>
        <v>287</v>
      </c>
    </row>
    <row r="45" spans="1:21" hidden="1" x14ac:dyDescent="0.25">
      <c r="A45">
        <v>117638.6057</v>
      </c>
      <c r="B45">
        <v>850.06110000000001</v>
      </c>
      <c r="C45">
        <v>2</v>
      </c>
      <c r="D45" t="s">
        <v>63</v>
      </c>
      <c r="F45">
        <v>1969</v>
      </c>
      <c r="G45" s="1" t="s">
        <v>64</v>
      </c>
      <c r="H45" s="1" t="s">
        <v>65</v>
      </c>
      <c r="I45">
        <v>0</v>
      </c>
      <c r="J45">
        <v>117639.1155</v>
      </c>
      <c r="K45">
        <v>3.6800000000000001E-3</v>
      </c>
      <c r="L45">
        <v>1.7700000000000001E-3</v>
      </c>
      <c r="M45">
        <v>0.245</v>
      </c>
      <c r="N45">
        <v>9.2299999999999993E-2</v>
      </c>
      <c r="O45">
        <v>1.9499999999999999E-3</v>
      </c>
      <c r="P45" s="3">
        <f t="shared" si="0"/>
        <v>850.06107820606383</v>
      </c>
      <c r="Q45" s="3">
        <f t="shared" si="1"/>
        <v>3.6838183951886094E-3</v>
      </c>
      <c r="R45" s="3">
        <f t="shared" si="2"/>
        <v>1.7700000000000001E-3</v>
      </c>
      <c r="S45">
        <f t="shared" si="3"/>
        <v>3</v>
      </c>
      <c r="T45">
        <f>INDEX([1]IDEN_level_ids!$B:$B,MATCH(G45,[1]IDEN_level_ids!$A:$A,0),1)</f>
        <v>1228</v>
      </c>
      <c r="U45">
        <f>INDEX([1]IDEN_level_ids!$B:$B,MATCH(H45,[1]IDEN_level_ids!$A:$A,0),1)</f>
        <v>427</v>
      </c>
    </row>
    <row r="46" spans="1:21" hidden="1" x14ac:dyDescent="0.25">
      <c r="A46">
        <v>117625.4901</v>
      </c>
      <c r="B46">
        <v>850.15589999999997</v>
      </c>
      <c r="C46">
        <v>2</v>
      </c>
      <c r="D46" t="s">
        <v>63</v>
      </c>
      <c r="E46" t="s">
        <v>66</v>
      </c>
      <c r="F46">
        <v>1969</v>
      </c>
      <c r="G46" s="1" t="s">
        <v>20</v>
      </c>
      <c r="H46" s="1" t="s">
        <v>67</v>
      </c>
      <c r="I46">
        <v>0</v>
      </c>
      <c r="J46">
        <v>117624.1008</v>
      </c>
      <c r="K46">
        <v>-1.004E-2</v>
      </c>
      <c r="L46">
        <v>4.64E-3</v>
      </c>
      <c r="M46">
        <v>0.64200000000000002</v>
      </c>
      <c r="N46">
        <v>4.7800000000000002E-2</v>
      </c>
      <c r="O46">
        <v>4.8700000000000002E-3</v>
      </c>
      <c r="P46" s="3">
        <f t="shared" si="0"/>
        <v>850.15586260243776</v>
      </c>
      <c r="Q46" s="3">
        <f t="shared" si="1"/>
        <v>-1.0041492618256598E-2</v>
      </c>
      <c r="R46" s="3">
        <f t="shared" si="2"/>
        <v>4.64E-3</v>
      </c>
      <c r="S46">
        <f t="shared" si="3"/>
        <v>3</v>
      </c>
      <c r="T46">
        <f>INDEX([1]IDEN_level_ids!$B:$B,MATCH(G46,[1]IDEN_level_ids!$A:$A,0),1)</f>
        <v>1235</v>
      </c>
      <c r="U46">
        <f>INDEX([1]IDEN_level_ids!$B:$B,MATCH(H46,[1]IDEN_level_ids!$A:$A,0),1)</f>
        <v>475</v>
      </c>
    </row>
    <row r="47" spans="1:21" hidden="1" x14ac:dyDescent="0.25">
      <c r="A47">
        <v>117601.28750000001</v>
      </c>
      <c r="B47">
        <v>850.33079999999995</v>
      </c>
      <c r="C47">
        <v>2</v>
      </c>
      <c r="D47" t="s">
        <v>63</v>
      </c>
      <c r="F47">
        <v>1969</v>
      </c>
      <c r="G47" s="1" t="s">
        <v>62</v>
      </c>
      <c r="H47" s="1" t="s">
        <v>47</v>
      </c>
      <c r="I47">
        <v>0</v>
      </c>
      <c r="J47">
        <v>117601.2938</v>
      </c>
      <c r="K47">
        <v>5.0000000000000002E-5</v>
      </c>
      <c r="L47">
        <v>1.7700000000000001E-3</v>
      </c>
      <c r="M47">
        <v>0.245</v>
      </c>
      <c r="N47">
        <v>0.7954</v>
      </c>
      <c r="O47">
        <v>8.6599999999999993E-3</v>
      </c>
      <c r="P47" s="3">
        <f t="shared" si="0"/>
        <v>850.33082652262624</v>
      </c>
      <c r="Q47" s="3">
        <f t="shared" si="1"/>
        <v>4.5552935944215278E-5</v>
      </c>
      <c r="R47" s="3">
        <f t="shared" si="2"/>
        <v>1.7700000000000001E-3</v>
      </c>
      <c r="S47">
        <f t="shared" si="3"/>
        <v>3</v>
      </c>
      <c r="T47">
        <f>INDEX([1]IDEN_level_ids!$B:$B,MATCH(G47,[1]IDEN_level_ids!$A:$A,0),1)</f>
        <v>1203</v>
      </c>
      <c r="U47">
        <f>INDEX([1]IDEN_level_ids!$B:$B,MATCH(H47,[1]IDEN_level_ids!$A:$A,0),1)</f>
        <v>295</v>
      </c>
    </row>
    <row r="48" spans="1:21" hidden="1" x14ac:dyDescent="0.25">
      <c r="A48">
        <v>117485.60679999999</v>
      </c>
      <c r="B48">
        <v>851.16809999999998</v>
      </c>
      <c r="C48">
        <v>2</v>
      </c>
      <c r="D48" t="s">
        <v>63</v>
      </c>
      <c r="F48">
        <v>1969</v>
      </c>
      <c r="G48" s="1" t="s">
        <v>68</v>
      </c>
      <c r="H48" s="1" t="s">
        <v>43</v>
      </c>
      <c r="I48">
        <v>0</v>
      </c>
      <c r="J48">
        <v>117485.25320000001</v>
      </c>
      <c r="K48">
        <v>-2.5600000000000002E-3</v>
      </c>
      <c r="L48">
        <v>1.7700000000000001E-3</v>
      </c>
      <c r="M48">
        <v>0.245</v>
      </c>
      <c r="N48">
        <v>0.26939999999999997</v>
      </c>
      <c r="O48">
        <v>2.4299999999999999E-3</v>
      </c>
      <c r="P48" s="3">
        <f t="shared" si="0"/>
        <v>851.16809389454511</v>
      </c>
      <c r="Q48" s="3">
        <f t="shared" si="1"/>
        <v>-2.561794180905963E-3</v>
      </c>
      <c r="R48" s="3">
        <f t="shared" si="2"/>
        <v>1.7700000000000001E-3</v>
      </c>
      <c r="S48">
        <f t="shared" si="3"/>
        <v>3</v>
      </c>
      <c r="T48">
        <f>INDEX([1]IDEN_level_ids!$B:$B,MATCH(G48,[1]IDEN_level_ids!$A:$A,0),1)</f>
        <v>1229</v>
      </c>
      <c r="U48">
        <f>INDEX([1]IDEN_level_ids!$B:$B,MATCH(H48,[1]IDEN_level_ids!$A:$A,0),1)</f>
        <v>448</v>
      </c>
    </row>
    <row r="49" spans="1:21" hidden="1" x14ac:dyDescent="0.25">
      <c r="A49">
        <v>117389.2058</v>
      </c>
      <c r="B49">
        <v>851.86710000000005</v>
      </c>
      <c r="C49">
        <v>2</v>
      </c>
      <c r="D49" t="s">
        <v>63</v>
      </c>
      <c r="F49">
        <v>1969</v>
      </c>
      <c r="G49" s="1" t="s">
        <v>18</v>
      </c>
      <c r="H49" s="1" t="s">
        <v>50</v>
      </c>
      <c r="I49">
        <v>0</v>
      </c>
      <c r="J49">
        <v>117389.4047</v>
      </c>
      <c r="K49">
        <v>1.4400000000000001E-3</v>
      </c>
      <c r="L49">
        <v>1.7799999999999999E-3</v>
      </c>
      <c r="M49">
        <v>0.245</v>
      </c>
      <c r="N49">
        <v>0.31040000000000001</v>
      </c>
      <c r="O49">
        <v>2.5799999999999998E-3</v>
      </c>
      <c r="P49" s="3">
        <f t="shared" si="0"/>
        <v>851.86708026948759</v>
      </c>
      <c r="Q49" s="3">
        <f t="shared" si="1"/>
        <v>1.4433701464895421E-3</v>
      </c>
      <c r="R49" s="3">
        <f t="shared" si="2"/>
        <v>1.7799999999999999E-3</v>
      </c>
      <c r="S49">
        <f t="shared" si="3"/>
        <v>3</v>
      </c>
      <c r="T49">
        <f>INDEX([1]IDEN_level_ids!$B:$B,MATCH(G49,[1]IDEN_level_ids!$A:$A,0),1)</f>
        <v>1226</v>
      </c>
      <c r="U49">
        <f>INDEX([1]IDEN_level_ids!$B:$B,MATCH(H49,[1]IDEN_level_ids!$A:$A,0),1)</f>
        <v>409</v>
      </c>
    </row>
    <row r="50" spans="1:21" hidden="1" x14ac:dyDescent="0.25">
      <c r="A50">
        <v>117189.602</v>
      </c>
      <c r="B50">
        <v>853.31799999999998</v>
      </c>
      <c r="C50">
        <v>2</v>
      </c>
      <c r="D50" t="s">
        <v>63</v>
      </c>
      <c r="F50">
        <v>1969</v>
      </c>
      <c r="G50" s="1" t="s">
        <v>36</v>
      </c>
      <c r="H50" s="1" t="s">
        <v>58</v>
      </c>
      <c r="I50">
        <v>0</v>
      </c>
      <c r="J50">
        <v>117189.86440000001</v>
      </c>
      <c r="K50">
        <v>1.91E-3</v>
      </c>
      <c r="L50">
        <v>1.7799999999999999E-3</v>
      </c>
      <c r="M50">
        <v>0.245</v>
      </c>
      <c r="N50">
        <v>0.50580000000000003</v>
      </c>
      <c r="O50">
        <v>3.6099999999999999E-3</v>
      </c>
      <c r="P50" s="3">
        <f t="shared" si="0"/>
        <v>853.31802731098958</v>
      </c>
      <c r="Q50" s="3">
        <f t="shared" si="1"/>
        <v>1.9106656665144328E-3</v>
      </c>
      <c r="R50" s="3">
        <f t="shared" si="2"/>
        <v>1.7799999999999999E-3</v>
      </c>
      <c r="S50">
        <f t="shared" si="3"/>
        <v>3</v>
      </c>
      <c r="T50">
        <f>INDEX([1]IDEN_level_ids!$B:$B,MATCH(G50,[1]IDEN_level_ids!$A:$A,0),1)</f>
        <v>1217</v>
      </c>
      <c r="U50">
        <f>INDEX([1]IDEN_level_ids!$B:$B,MATCH(H50,[1]IDEN_level_ids!$A:$A,0),1)</f>
        <v>370</v>
      </c>
    </row>
    <row r="51" spans="1:21" hidden="1" x14ac:dyDescent="0.25">
      <c r="A51">
        <v>117176.5863</v>
      </c>
      <c r="B51">
        <v>853.41279999999995</v>
      </c>
      <c r="C51">
        <v>2</v>
      </c>
      <c r="D51" t="s">
        <v>63</v>
      </c>
      <c r="F51">
        <v>1969</v>
      </c>
      <c r="G51" s="1" t="s">
        <v>49</v>
      </c>
      <c r="H51" s="1" t="s">
        <v>44</v>
      </c>
      <c r="I51">
        <v>0</v>
      </c>
      <c r="J51">
        <v>117176.45630000001</v>
      </c>
      <c r="K51">
        <v>-9.5E-4</v>
      </c>
      <c r="L51">
        <v>1.7799999999999999E-3</v>
      </c>
      <c r="M51">
        <v>0.245</v>
      </c>
      <c r="N51">
        <v>0.2026</v>
      </c>
      <c r="O51">
        <v>2.2399999999999998E-3</v>
      </c>
      <c r="P51" s="3">
        <f t="shared" si="0"/>
        <v>853.4128118733222</v>
      </c>
      <c r="Q51" s="3">
        <f t="shared" si="1"/>
        <v>-9.4680850611439382E-4</v>
      </c>
      <c r="R51" s="3">
        <f t="shared" si="2"/>
        <v>1.7799999999999999E-3</v>
      </c>
      <c r="S51">
        <f t="shared" si="3"/>
        <v>3</v>
      </c>
      <c r="T51">
        <f>INDEX([1]IDEN_level_ids!$B:$B,MATCH(G51,[1]IDEN_level_ids!$A:$A,0),1)</f>
        <v>1214</v>
      </c>
      <c r="U51">
        <f>INDEX([1]IDEN_level_ids!$B:$B,MATCH(H51,[1]IDEN_level_ids!$A:$A,0),1)</f>
        <v>358</v>
      </c>
    </row>
    <row r="52" spans="1:21" hidden="1" x14ac:dyDescent="0.25">
      <c r="A52">
        <v>116796.2114</v>
      </c>
      <c r="B52">
        <v>856.19219999999996</v>
      </c>
      <c r="C52">
        <v>2</v>
      </c>
      <c r="D52" t="s">
        <v>63</v>
      </c>
      <c r="F52">
        <v>1969</v>
      </c>
      <c r="G52" s="1" t="s">
        <v>62</v>
      </c>
      <c r="H52" s="1" t="s">
        <v>48</v>
      </c>
      <c r="I52">
        <v>0</v>
      </c>
      <c r="J52">
        <v>116796.50139999999</v>
      </c>
      <c r="K52">
        <v>2.1299999999999999E-3</v>
      </c>
      <c r="L52">
        <v>1.8E-3</v>
      </c>
      <c r="M52">
        <v>0.245</v>
      </c>
      <c r="N52">
        <v>0.34300000000000003</v>
      </c>
      <c r="O52">
        <v>2.7299999999999998E-3</v>
      </c>
      <c r="P52" s="3">
        <f t="shared" si="0"/>
        <v>856.19215556164863</v>
      </c>
      <c r="Q52" s="3">
        <f t="shared" si="1"/>
        <v>2.1258832424564389E-3</v>
      </c>
      <c r="R52" s="3">
        <f t="shared" si="2"/>
        <v>1.8E-3</v>
      </c>
      <c r="S52">
        <f t="shared" si="3"/>
        <v>3</v>
      </c>
      <c r="T52">
        <f>INDEX([1]IDEN_level_ids!$B:$B,MATCH(G52,[1]IDEN_level_ids!$A:$A,0),1)</f>
        <v>1203</v>
      </c>
      <c r="U52">
        <f>INDEX([1]IDEN_level_ids!$B:$B,MATCH(H52,[1]IDEN_level_ids!$A:$A,0),1)</f>
        <v>310</v>
      </c>
    </row>
    <row r="53" spans="1:21" hidden="1" x14ac:dyDescent="0.25">
      <c r="A53">
        <v>116783.5166</v>
      </c>
      <c r="B53">
        <v>856.28520000000003</v>
      </c>
      <c r="C53">
        <v>2</v>
      </c>
      <c r="D53" t="s">
        <v>63</v>
      </c>
      <c r="F53">
        <v>1969</v>
      </c>
      <c r="G53" s="1" t="s">
        <v>46</v>
      </c>
      <c r="H53" s="1" t="s">
        <v>44</v>
      </c>
      <c r="I53">
        <v>0</v>
      </c>
      <c r="J53">
        <v>116784.495</v>
      </c>
      <c r="K53">
        <v>7.1700000000000002E-3</v>
      </c>
      <c r="L53">
        <v>1.8E-3</v>
      </c>
      <c r="M53">
        <v>0.245</v>
      </c>
      <c r="N53">
        <v>0.20230000000000001</v>
      </c>
      <c r="O53">
        <v>2.2499999999999998E-3</v>
      </c>
      <c r="P53" s="3">
        <f t="shared" si="0"/>
        <v>856.28522681427796</v>
      </c>
      <c r="Q53" s="3">
        <f t="shared" si="1"/>
        <v>7.1738073269216329E-3</v>
      </c>
      <c r="R53" s="3">
        <f t="shared" si="2"/>
        <v>1.8E-3</v>
      </c>
      <c r="S53">
        <f t="shared" si="3"/>
        <v>3</v>
      </c>
      <c r="T53">
        <f>INDEX([1]IDEN_level_ids!$B:$B,MATCH(G53,[1]IDEN_level_ids!$A:$A,0),1)</f>
        <v>1212</v>
      </c>
      <c r="U53">
        <f>INDEX([1]IDEN_level_ids!$B:$B,MATCH(H53,[1]IDEN_level_ids!$A:$A,0),1)</f>
        <v>358</v>
      </c>
    </row>
    <row r="54" spans="1:21" hidden="1" x14ac:dyDescent="0.25">
      <c r="A54">
        <v>116673.7089</v>
      </c>
      <c r="B54">
        <v>857.09109999999998</v>
      </c>
      <c r="C54">
        <v>2</v>
      </c>
      <c r="D54" t="s">
        <v>63</v>
      </c>
      <c r="F54">
        <v>1969</v>
      </c>
      <c r="G54" s="1" t="s">
        <v>51</v>
      </c>
      <c r="H54" s="1" t="s">
        <v>30</v>
      </c>
      <c r="I54">
        <v>0</v>
      </c>
      <c r="J54">
        <v>116674.1807</v>
      </c>
      <c r="K54">
        <v>3.47E-3</v>
      </c>
      <c r="L54">
        <v>1.8E-3</v>
      </c>
      <c r="M54">
        <v>0.245</v>
      </c>
      <c r="N54">
        <v>8.0699999999999994E-2</v>
      </c>
      <c r="O54">
        <v>1.9599999999999999E-3</v>
      </c>
      <c r="P54" s="3">
        <f t="shared" si="0"/>
        <v>857.09112140858667</v>
      </c>
      <c r="Q54" s="3">
        <f t="shared" si="1"/>
        <v>3.4658532731555169E-3</v>
      </c>
      <c r="R54" s="3">
        <f t="shared" si="2"/>
        <v>1.8E-3</v>
      </c>
      <c r="S54">
        <f t="shared" si="3"/>
        <v>3</v>
      </c>
      <c r="T54">
        <f>INDEX([1]IDEN_level_ids!$B:$B,MATCH(G54,[1]IDEN_level_ids!$A:$A,0),1)</f>
        <v>1213</v>
      </c>
      <c r="U54">
        <f>INDEX([1]IDEN_level_ids!$B:$B,MATCH(H54,[1]IDEN_level_ids!$A:$A,0),1)</f>
        <v>373</v>
      </c>
    </row>
    <row r="55" spans="1:21" hidden="1" x14ac:dyDescent="0.25">
      <c r="A55">
        <v>116657.51</v>
      </c>
      <c r="B55">
        <v>857.21010000000001</v>
      </c>
      <c r="C55">
        <v>2</v>
      </c>
      <c r="D55" t="s">
        <v>63</v>
      </c>
      <c r="F55">
        <v>1969</v>
      </c>
      <c r="G55" s="1" t="s">
        <v>69</v>
      </c>
      <c r="H55" s="1" t="s">
        <v>70</v>
      </c>
      <c r="I55">
        <v>0</v>
      </c>
      <c r="J55">
        <v>116656.9477</v>
      </c>
      <c r="K55">
        <v>-4.13E-3</v>
      </c>
      <c r="L55">
        <v>1.8E-3</v>
      </c>
      <c r="M55">
        <v>0.245</v>
      </c>
      <c r="N55">
        <v>0.28610000000000002</v>
      </c>
      <c r="O55">
        <v>2.5200000000000001E-3</v>
      </c>
      <c r="P55" s="3">
        <f t="shared" si="0"/>
        <v>857.21013589266568</v>
      </c>
      <c r="Q55" s="3">
        <f t="shared" si="1"/>
        <v>-4.1318521434732247E-3</v>
      </c>
      <c r="R55" s="3">
        <f t="shared" si="2"/>
        <v>1.8E-3</v>
      </c>
      <c r="S55">
        <f t="shared" si="3"/>
        <v>3</v>
      </c>
      <c r="T55">
        <f>INDEX([1]IDEN_level_ids!$B:$B,MATCH(G55,[1]IDEN_level_ids!$A:$A,0),1)</f>
        <v>1218</v>
      </c>
      <c r="U55">
        <f>INDEX([1]IDEN_level_ids!$B:$B,MATCH(H55,[1]IDEN_level_ids!$A:$A,0),1)</f>
        <v>399</v>
      </c>
    </row>
    <row r="56" spans="1:21" hidden="1" x14ac:dyDescent="0.25">
      <c r="A56">
        <v>116638.78290000001</v>
      </c>
      <c r="B56">
        <v>857.34780000000001</v>
      </c>
      <c r="C56">
        <v>2</v>
      </c>
      <c r="D56" t="s">
        <v>63</v>
      </c>
      <c r="F56">
        <v>1969</v>
      </c>
      <c r="G56" s="1" t="s">
        <v>71</v>
      </c>
      <c r="H56" s="1" t="s">
        <v>39</v>
      </c>
      <c r="I56">
        <v>0</v>
      </c>
      <c r="J56">
        <v>116639.4212</v>
      </c>
      <c r="K56">
        <v>4.6899999999999997E-3</v>
      </c>
      <c r="L56">
        <v>1.8E-3</v>
      </c>
      <c r="M56">
        <v>0.245</v>
      </c>
      <c r="N56">
        <v>0.2591</v>
      </c>
      <c r="O56">
        <v>2.4299999999999999E-3</v>
      </c>
      <c r="P56" s="3">
        <f t="shared" si="0"/>
        <v>857.34776644347164</v>
      </c>
      <c r="Q56" s="3">
        <f t="shared" si="1"/>
        <v>4.6917677890405685E-3</v>
      </c>
      <c r="R56" s="3">
        <f t="shared" si="2"/>
        <v>1.8E-3</v>
      </c>
      <c r="S56">
        <f t="shared" si="3"/>
        <v>3</v>
      </c>
      <c r="T56">
        <f>INDEX([1]IDEN_level_ids!$B:$B,MATCH(G56,[1]IDEN_level_ids!$A:$A,0),1)</f>
        <v>1179</v>
      </c>
      <c r="U56">
        <f>INDEX([1]IDEN_level_ids!$B:$B,MATCH(H56,[1]IDEN_level_ids!$A:$A,0),1)</f>
        <v>206</v>
      </c>
    </row>
    <row r="57" spans="1:21" hidden="1" x14ac:dyDescent="0.25">
      <c r="A57">
        <v>116587.7846</v>
      </c>
      <c r="B57">
        <v>857.72280000000001</v>
      </c>
      <c r="C57">
        <v>2</v>
      </c>
      <c r="D57" t="s">
        <v>63</v>
      </c>
      <c r="F57">
        <v>1969</v>
      </c>
      <c r="G57" s="1" t="s">
        <v>49</v>
      </c>
      <c r="H57" s="1" t="s">
        <v>61</v>
      </c>
      <c r="I57">
        <v>0</v>
      </c>
      <c r="J57">
        <v>116587.8523</v>
      </c>
      <c r="K57">
        <v>5.0000000000000001E-4</v>
      </c>
      <c r="L57">
        <v>1.8E-3</v>
      </c>
      <c r="M57">
        <v>0.245</v>
      </c>
      <c r="N57">
        <v>0.50309999999999999</v>
      </c>
      <c r="O57">
        <v>3.63E-3</v>
      </c>
      <c r="P57" s="3">
        <f t="shared" si="0"/>
        <v>857.72279096896057</v>
      </c>
      <c r="Q57" s="3">
        <f t="shared" si="1"/>
        <v>4.9806074821390212E-4</v>
      </c>
      <c r="R57" s="3">
        <f t="shared" si="2"/>
        <v>1.8E-3</v>
      </c>
      <c r="S57">
        <f t="shared" si="3"/>
        <v>3</v>
      </c>
      <c r="T57">
        <f>INDEX([1]IDEN_level_ids!$B:$B,MATCH(G57,[1]IDEN_level_ids!$A:$A,0),1)</f>
        <v>1214</v>
      </c>
      <c r="U57">
        <f>INDEX([1]IDEN_level_ids!$B:$B,MATCH(H57,[1]IDEN_level_ids!$A:$A,0),1)</f>
        <v>378</v>
      </c>
    </row>
    <row r="58" spans="1:21" hidden="1" x14ac:dyDescent="0.25">
      <c r="A58">
        <v>116373.9099</v>
      </c>
      <c r="B58">
        <v>859.29909999999995</v>
      </c>
      <c r="C58">
        <v>2</v>
      </c>
      <c r="D58" t="s">
        <v>63</v>
      </c>
      <c r="F58">
        <v>1969</v>
      </c>
      <c r="G58" s="1" t="s">
        <v>72</v>
      </c>
      <c r="H58" s="1" t="s">
        <v>43</v>
      </c>
      <c r="I58">
        <v>0</v>
      </c>
      <c r="J58">
        <v>116374.41559999999</v>
      </c>
      <c r="K58">
        <v>3.7299999999999998E-3</v>
      </c>
      <c r="L58">
        <v>1.81E-3</v>
      </c>
      <c r="M58">
        <v>0.245</v>
      </c>
      <c r="N58">
        <v>0.27610000000000001</v>
      </c>
      <c r="O58">
        <v>2.5000000000000001E-3</v>
      </c>
      <c r="P58" s="3">
        <f t="shared" si="0"/>
        <v>859.29913402351019</v>
      </c>
      <c r="Q58" s="3">
        <f t="shared" si="1"/>
        <v>3.7340472974847216E-3</v>
      </c>
      <c r="R58" s="3">
        <f t="shared" si="2"/>
        <v>1.81E-3</v>
      </c>
      <c r="S58">
        <f t="shared" si="3"/>
        <v>3</v>
      </c>
      <c r="T58">
        <f>INDEX([1]IDEN_level_ids!$B:$B,MATCH(G58,[1]IDEN_level_ids!$A:$A,0),1)</f>
        <v>1225</v>
      </c>
      <c r="U58">
        <f>INDEX([1]IDEN_level_ids!$B:$B,MATCH(H58,[1]IDEN_level_ids!$A:$A,0),1)</f>
        <v>448</v>
      </c>
    </row>
    <row r="59" spans="1:21" hidden="1" x14ac:dyDescent="0.25">
      <c r="A59">
        <v>116076.89290000001</v>
      </c>
      <c r="B59">
        <v>861.49789999999996</v>
      </c>
      <c r="C59">
        <v>2</v>
      </c>
      <c r="D59" t="s">
        <v>63</v>
      </c>
      <c r="F59">
        <v>1969</v>
      </c>
      <c r="G59" s="1" t="s">
        <v>73</v>
      </c>
      <c r="H59" s="1" t="s">
        <v>39</v>
      </c>
      <c r="I59">
        <v>0</v>
      </c>
      <c r="J59">
        <v>116076.4284</v>
      </c>
      <c r="K59">
        <v>-3.4499999999999999E-3</v>
      </c>
      <c r="L59">
        <v>1.82E-3</v>
      </c>
      <c r="M59">
        <v>0.245</v>
      </c>
      <c r="N59">
        <v>0.26619999999999999</v>
      </c>
      <c r="O59">
        <v>2.48E-3</v>
      </c>
      <c r="P59" s="3">
        <f t="shared" si="0"/>
        <v>861.49790454978654</v>
      </c>
      <c r="Q59" s="3">
        <f t="shared" si="1"/>
        <v>-3.4474335761842667E-3</v>
      </c>
      <c r="R59" s="3">
        <f t="shared" si="2"/>
        <v>1.82E-3</v>
      </c>
      <c r="S59">
        <f t="shared" si="3"/>
        <v>3</v>
      </c>
      <c r="T59">
        <f>INDEX([1]IDEN_level_ids!$B:$B,MATCH(G59,[1]IDEN_level_ids!$A:$A,0),1)</f>
        <v>1173</v>
      </c>
      <c r="U59">
        <f>INDEX([1]IDEN_level_ids!$B:$B,MATCH(H59,[1]IDEN_level_ids!$A:$A,0),1)</f>
        <v>206</v>
      </c>
    </row>
    <row r="60" spans="1:21" hidden="1" x14ac:dyDescent="0.25">
      <c r="A60">
        <v>115978.7138</v>
      </c>
      <c r="B60">
        <v>862.22720000000004</v>
      </c>
      <c r="C60">
        <v>2</v>
      </c>
      <c r="D60" t="s">
        <v>63</v>
      </c>
      <c r="F60">
        <v>1969</v>
      </c>
      <c r="G60" s="1" t="s">
        <v>33</v>
      </c>
      <c r="H60" s="1" t="s">
        <v>25</v>
      </c>
      <c r="I60">
        <v>0</v>
      </c>
      <c r="J60">
        <v>115978.851</v>
      </c>
      <c r="K60">
        <v>1.0200000000000001E-3</v>
      </c>
      <c r="L60">
        <v>1.82E-3</v>
      </c>
      <c r="M60">
        <v>0.245</v>
      </c>
      <c r="N60">
        <v>0.2316</v>
      </c>
      <c r="O60">
        <v>2.3700000000000001E-3</v>
      </c>
      <c r="P60" s="3">
        <f t="shared" si="0"/>
        <v>862.22718569241454</v>
      </c>
      <c r="Q60" s="3">
        <f t="shared" si="1"/>
        <v>1.0199926008453986E-3</v>
      </c>
      <c r="R60" s="3">
        <f t="shared" si="2"/>
        <v>1.82E-3</v>
      </c>
      <c r="S60">
        <f t="shared" si="3"/>
        <v>3</v>
      </c>
      <c r="T60">
        <f>INDEX([1]IDEN_level_ids!$B:$B,MATCH(G60,[1]IDEN_level_ids!$A:$A,0),1)</f>
        <v>1220</v>
      </c>
      <c r="U60">
        <f>INDEX([1]IDEN_level_ids!$B:$B,MATCH(H60,[1]IDEN_level_ids!$A:$A,0),1)</f>
        <v>437</v>
      </c>
    </row>
    <row r="61" spans="1:21" hidden="1" x14ac:dyDescent="0.25">
      <c r="A61">
        <v>115951.8153</v>
      </c>
      <c r="B61">
        <v>862.42719999999997</v>
      </c>
      <c r="C61">
        <v>2</v>
      </c>
      <c r="D61" t="s">
        <v>63</v>
      </c>
      <c r="F61">
        <v>1969</v>
      </c>
      <c r="G61" s="1" t="s">
        <v>69</v>
      </c>
      <c r="H61" s="1" t="s">
        <v>74</v>
      </c>
      <c r="I61">
        <v>0</v>
      </c>
      <c r="J61">
        <v>115951.6488</v>
      </c>
      <c r="K61">
        <v>-1.24E-3</v>
      </c>
      <c r="L61">
        <v>1.82E-3</v>
      </c>
      <c r="M61">
        <v>0.245</v>
      </c>
      <c r="N61">
        <v>0.51759999999999995</v>
      </c>
      <c r="O61">
        <v>3.7799999999999999E-3</v>
      </c>
      <c r="P61" s="3">
        <f t="shared" si="0"/>
        <v>862.42720513923678</v>
      </c>
      <c r="Q61" s="3">
        <f t="shared" si="1"/>
        <v>-1.2383966175093519E-3</v>
      </c>
      <c r="R61" s="3">
        <f t="shared" si="2"/>
        <v>1.82E-3</v>
      </c>
      <c r="S61">
        <f t="shared" si="3"/>
        <v>3</v>
      </c>
      <c r="T61">
        <f>INDEX([1]IDEN_level_ids!$B:$B,MATCH(G61,[1]IDEN_level_ids!$A:$A,0),1)</f>
        <v>1218</v>
      </c>
      <c r="U61">
        <f>INDEX([1]IDEN_level_ids!$B:$B,MATCH(H61,[1]IDEN_level_ids!$A:$A,0),1)</f>
        <v>431</v>
      </c>
    </row>
    <row r="62" spans="1:21" hidden="1" x14ac:dyDescent="0.25">
      <c r="A62">
        <v>115898.60920000001</v>
      </c>
      <c r="B62">
        <v>862.82309999999995</v>
      </c>
      <c r="C62">
        <v>2</v>
      </c>
      <c r="D62" t="s">
        <v>63</v>
      </c>
      <c r="F62">
        <v>1969</v>
      </c>
      <c r="G62" s="1" t="s">
        <v>68</v>
      </c>
      <c r="H62" s="1" t="s">
        <v>75</v>
      </c>
      <c r="I62">
        <v>0</v>
      </c>
      <c r="J62">
        <v>115899.2638</v>
      </c>
      <c r="K62">
        <v>4.8700000000000002E-3</v>
      </c>
      <c r="L62">
        <v>1.82E-3</v>
      </c>
      <c r="M62">
        <v>0.245</v>
      </c>
      <c r="N62">
        <v>0.28799999999999998</v>
      </c>
      <c r="O62">
        <v>2.5600000000000002E-3</v>
      </c>
      <c r="P62" s="3">
        <f t="shared" si="0"/>
        <v>862.82312350647248</v>
      </c>
      <c r="Q62" s="3">
        <f t="shared" si="1"/>
        <v>4.8732321338320617E-3</v>
      </c>
      <c r="R62" s="3">
        <f t="shared" si="2"/>
        <v>1.82E-3</v>
      </c>
      <c r="S62">
        <f t="shared" si="3"/>
        <v>3</v>
      </c>
      <c r="T62">
        <f>INDEX([1]IDEN_level_ids!$B:$B,MATCH(G62,[1]IDEN_level_ids!$A:$A,0),1)</f>
        <v>1229</v>
      </c>
      <c r="U62">
        <f>INDEX([1]IDEN_level_ids!$B:$B,MATCH(H62,[1]IDEN_level_ids!$A:$A,0),1)</f>
        <v>487</v>
      </c>
    </row>
    <row r="63" spans="1:21" hidden="1" x14ac:dyDescent="0.25">
      <c r="A63">
        <v>115828.005</v>
      </c>
      <c r="B63">
        <v>863.34910000000002</v>
      </c>
      <c r="C63">
        <v>2</v>
      </c>
      <c r="D63" t="s">
        <v>63</v>
      </c>
      <c r="F63">
        <v>1969</v>
      </c>
      <c r="G63" s="1" t="s">
        <v>33</v>
      </c>
      <c r="H63" s="1" t="s">
        <v>42</v>
      </c>
      <c r="I63">
        <v>0</v>
      </c>
      <c r="J63">
        <v>115828.1189</v>
      </c>
      <c r="K63">
        <v>8.4999999999999995E-4</v>
      </c>
      <c r="L63">
        <v>1.83E-3</v>
      </c>
      <c r="M63">
        <v>0.245</v>
      </c>
      <c r="N63">
        <v>0.29070000000000001</v>
      </c>
      <c r="O63">
        <v>2.5699999999999998E-3</v>
      </c>
      <c r="P63" s="3">
        <f t="shared" si="0"/>
        <v>863.34906657504803</v>
      </c>
      <c r="Q63" s="3">
        <f t="shared" si="1"/>
        <v>8.489774297686381E-4</v>
      </c>
      <c r="R63" s="3">
        <f t="shared" si="2"/>
        <v>1.83E-3</v>
      </c>
      <c r="S63">
        <f t="shared" si="3"/>
        <v>3</v>
      </c>
      <c r="T63">
        <f>INDEX([1]IDEN_level_ids!$B:$B,MATCH(G63,[1]IDEN_level_ids!$A:$A,0),1)</f>
        <v>1220</v>
      </c>
      <c r="U63">
        <f>INDEX([1]IDEN_level_ids!$B:$B,MATCH(H63,[1]IDEN_level_ids!$A:$A,0),1)</f>
        <v>444</v>
      </c>
    </row>
    <row r="64" spans="1:21" hidden="1" x14ac:dyDescent="0.25">
      <c r="A64">
        <v>115697.89629999999</v>
      </c>
      <c r="B64">
        <v>864.32</v>
      </c>
      <c r="C64">
        <v>2</v>
      </c>
      <c r="D64" t="s">
        <v>63</v>
      </c>
      <c r="F64">
        <v>1969</v>
      </c>
      <c r="G64" s="1" t="s">
        <v>76</v>
      </c>
      <c r="H64" s="1" t="s">
        <v>34</v>
      </c>
      <c r="I64">
        <v>0</v>
      </c>
      <c r="J64">
        <v>115697.8438</v>
      </c>
      <c r="K64">
        <v>-3.8999999999999999E-4</v>
      </c>
      <c r="L64">
        <v>1.83E-3</v>
      </c>
      <c r="M64">
        <v>0.245</v>
      </c>
      <c r="N64">
        <v>0.33779999999999999</v>
      </c>
      <c r="O64">
        <v>2.7599999999999999E-3</v>
      </c>
      <c r="P64" s="3">
        <f t="shared" si="0"/>
        <v>864.31995047432861</v>
      </c>
      <c r="Q64" s="3">
        <f t="shared" si="1"/>
        <v>-3.9220089070113318E-4</v>
      </c>
      <c r="R64" s="3">
        <f t="shared" si="2"/>
        <v>1.83E-3</v>
      </c>
      <c r="S64">
        <f t="shared" si="3"/>
        <v>3</v>
      </c>
      <c r="T64">
        <f>INDEX([1]IDEN_level_ids!$B:$B,MATCH(G64,[1]IDEN_level_ids!$A:$A,0),1)</f>
        <v>1194</v>
      </c>
      <c r="U64">
        <f>INDEX([1]IDEN_level_ids!$B:$B,MATCH(H64,[1]IDEN_level_ids!$A:$A,0),1)</f>
        <v>303</v>
      </c>
    </row>
    <row r="65" spans="1:21" hidden="1" x14ac:dyDescent="0.25">
      <c r="A65">
        <v>115662.8104</v>
      </c>
      <c r="B65">
        <v>864.58209999999997</v>
      </c>
      <c r="C65">
        <v>2</v>
      </c>
      <c r="D65" t="s">
        <v>63</v>
      </c>
      <c r="F65">
        <v>1969</v>
      </c>
      <c r="G65" s="1" t="s">
        <v>76</v>
      </c>
      <c r="H65" s="1" t="s">
        <v>35</v>
      </c>
      <c r="I65">
        <v>0</v>
      </c>
      <c r="J65">
        <v>115663.03690000001</v>
      </c>
      <c r="K65">
        <v>1.6900000000000001E-3</v>
      </c>
      <c r="L65">
        <v>1.83E-3</v>
      </c>
      <c r="M65">
        <v>0.245</v>
      </c>
      <c r="N65">
        <v>0.28139999999999998</v>
      </c>
      <c r="O65">
        <v>2.5500000000000002E-3</v>
      </c>
      <c r="P65" s="3">
        <f t="shared" si="0"/>
        <v>864.58213884105999</v>
      </c>
      <c r="Q65" s="3">
        <f t="shared" si="1"/>
        <v>1.6930893368680699E-3</v>
      </c>
      <c r="R65" s="3">
        <f t="shared" si="2"/>
        <v>1.83E-3</v>
      </c>
      <c r="S65">
        <f t="shared" si="3"/>
        <v>3</v>
      </c>
      <c r="T65">
        <f>INDEX([1]IDEN_level_ids!$B:$B,MATCH(G65,[1]IDEN_level_ids!$A:$A,0),1)</f>
        <v>1194</v>
      </c>
      <c r="U65">
        <f>INDEX([1]IDEN_level_ids!$B:$B,MATCH(H65,[1]IDEN_level_ids!$A:$A,0),1)</f>
        <v>304</v>
      </c>
    </row>
    <row r="66" spans="1:21" hidden="1" x14ac:dyDescent="0.25">
      <c r="A66">
        <v>115142.3904</v>
      </c>
      <c r="B66">
        <v>868.48990000000003</v>
      </c>
      <c r="C66">
        <v>2</v>
      </c>
      <c r="D66" t="s">
        <v>63</v>
      </c>
      <c r="F66">
        <v>1969</v>
      </c>
      <c r="G66" s="1" t="s">
        <v>51</v>
      </c>
      <c r="H66" s="1" t="s">
        <v>50</v>
      </c>
      <c r="I66">
        <v>0</v>
      </c>
      <c r="J66">
        <v>115142.496</v>
      </c>
      <c r="K66">
        <v>8.0000000000000004E-4</v>
      </c>
      <c r="L66">
        <v>1.8500000000000001E-3</v>
      </c>
      <c r="M66">
        <v>0.245</v>
      </c>
      <c r="N66">
        <v>0.32600000000000001</v>
      </c>
      <c r="O66">
        <v>2.7399999999999998E-3</v>
      </c>
      <c r="P66" s="3">
        <f t="shared" ref="P66:P129" si="4">100000000/$A66</f>
        <v>868.48987286614465</v>
      </c>
      <c r="Q66" s="3">
        <f t="shared" ref="Q66:Q129" si="5">100000000/($A66)-100000000/$J66</f>
        <v>7.9651330963770306E-4</v>
      </c>
      <c r="R66" s="3">
        <f t="shared" si="2"/>
        <v>1.8500000000000001E-3</v>
      </c>
      <c r="S66">
        <f t="shared" si="3"/>
        <v>3</v>
      </c>
      <c r="T66">
        <f>INDEX([1]IDEN_level_ids!$B:$B,MATCH(G66,[1]IDEN_level_ids!$A:$A,0),1)</f>
        <v>1213</v>
      </c>
      <c r="U66">
        <f>INDEX([1]IDEN_level_ids!$B:$B,MATCH(H66,[1]IDEN_level_ids!$A:$A,0),1)</f>
        <v>409</v>
      </c>
    </row>
    <row r="67" spans="1:21" hidden="1" x14ac:dyDescent="0.25">
      <c r="A67">
        <v>114824.6885</v>
      </c>
      <c r="B67">
        <v>870.89279999999997</v>
      </c>
      <c r="C67">
        <v>2</v>
      </c>
      <c r="D67" t="s">
        <v>63</v>
      </c>
      <c r="F67">
        <v>1969</v>
      </c>
      <c r="G67" s="1" t="s">
        <v>77</v>
      </c>
      <c r="H67" s="1" t="s">
        <v>78</v>
      </c>
      <c r="I67">
        <v>0</v>
      </c>
      <c r="J67">
        <v>114824.1085</v>
      </c>
      <c r="K67">
        <v>-4.4000000000000003E-3</v>
      </c>
      <c r="L67">
        <v>1.8600000000000001E-3</v>
      </c>
      <c r="M67">
        <v>0.245</v>
      </c>
      <c r="N67">
        <v>0.2722</v>
      </c>
      <c r="O67">
        <v>2.5500000000000002E-3</v>
      </c>
      <c r="P67" s="3">
        <f t="shared" si="4"/>
        <v>870.89284810034553</v>
      </c>
      <c r="Q67" s="3">
        <f t="shared" si="5"/>
        <v>-4.3990574671397553E-3</v>
      </c>
      <c r="R67" s="3">
        <f t="shared" ref="R67:R130" si="6">$L67</f>
        <v>1.8600000000000001E-3</v>
      </c>
      <c r="S67">
        <f t="shared" si="3"/>
        <v>3</v>
      </c>
      <c r="T67">
        <f>INDEX([1]IDEN_level_ids!$B:$B,MATCH(G67,[1]IDEN_level_ids!$A:$A,0),1)</f>
        <v>1197</v>
      </c>
      <c r="U67">
        <f>INDEX([1]IDEN_level_ids!$B:$B,MATCH(H67,[1]IDEN_level_ids!$A:$A,0),1)</f>
        <v>323</v>
      </c>
    </row>
    <row r="68" spans="1:21" hidden="1" x14ac:dyDescent="0.25">
      <c r="A68">
        <v>114687.8156</v>
      </c>
      <c r="B68">
        <v>871.93219999999997</v>
      </c>
      <c r="C68">
        <v>2</v>
      </c>
      <c r="D68" t="s">
        <v>63</v>
      </c>
      <c r="F68">
        <v>1969</v>
      </c>
      <c r="G68" s="1" t="s">
        <v>62</v>
      </c>
      <c r="H68" s="1" t="s">
        <v>23</v>
      </c>
      <c r="I68">
        <v>0</v>
      </c>
      <c r="J68">
        <v>114688.1912</v>
      </c>
      <c r="K68">
        <v>2.8600000000000001E-3</v>
      </c>
      <c r="L68">
        <v>1.8600000000000001E-3</v>
      </c>
      <c r="M68">
        <v>0.245</v>
      </c>
      <c r="N68">
        <v>0.39650000000000002</v>
      </c>
      <c r="O68">
        <v>3.0899999999999999E-3</v>
      </c>
      <c r="P68" s="3">
        <f t="shared" si="4"/>
        <v>871.93220549925616</v>
      </c>
      <c r="Q68" s="3">
        <f t="shared" si="5"/>
        <v>2.855548883985648E-3</v>
      </c>
      <c r="R68" s="3">
        <f t="shared" si="6"/>
        <v>1.8600000000000001E-3</v>
      </c>
      <c r="S68">
        <f t="shared" ref="S68:S131" si="7">IF(D68=D67,S67,S67+1)</f>
        <v>3</v>
      </c>
      <c r="T68">
        <f>INDEX([1]IDEN_level_ids!$B:$B,MATCH(G68,[1]IDEN_level_ids!$A:$A,0),1)</f>
        <v>1203</v>
      </c>
      <c r="U68">
        <f>INDEX([1]IDEN_level_ids!$B:$B,MATCH(H68,[1]IDEN_level_ids!$A:$A,0),1)</f>
        <v>377</v>
      </c>
    </row>
    <row r="69" spans="1:21" hidden="1" x14ac:dyDescent="0.25">
      <c r="A69">
        <v>114604.1063</v>
      </c>
      <c r="B69">
        <v>872.56910000000005</v>
      </c>
      <c r="C69">
        <v>2</v>
      </c>
      <c r="D69" t="s">
        <v>63</v>
      </c>
      <c r="F69">
        <v>1969</v>
      </c>
      <c r="G69" s="1" t="s">
        <v>79</v>
      </c>
      <c r="H69" s="1" t="s">
        <v>28</v>
      </c>
      <c r="I69">
        <v>0</v>
      </c>
      <c r="J69">
        <v>114604.72</v>
      </c>
      <c r="K69">
        <v>4.6699999999999997E-3</v>
      </c>
      <c r="L69">
        <v>1.8699999999999999E-3</v>
      </c>
      <c r="M69">
        <v>0.245</v>
      </c>
      <c r="N69">
        <v>0.25890000000000002</v>
      </c>
      <c r="O69">
        <v>2.5200000000000001E-3</v>
      </c>
      <c r="P69" s="3">
        <f t="shared" si="4"/>
        <v>872.5690835041222</v>
      </c>
      <c r="Q69" s="3">
        <f t="shared" si="5"/>
        <v>4.6725444340154354E-3</v>
      </c>
      <c r="R69" s="3">
        <f t="shared" si="6"/>
        <v>1.8699999999999999E-3</v>
      </c>
      <c r="S69">
        <f t="shared" si="7"/>
        <v>3</v>
      </c>
      <c r="T69">
        <f>INDEX([1]IDEN_level_ids!$B:$B,MATCH(G69,[1]IDEN_level_ids!$A:$A,0),1)</f>
        <v>1216</v>
      </c>
      <c r="U69">
        <f>INDEX([1]IDEN_level_ids!$B:$B,MATCH(H69,[1]IDEN_level_ids!$A:$A,0),1)</f>
        <v>458</v>
      </c>
    </row>
    <row r="70" spans="1:21" hidden="1" x14ac:dyDescent="0.25">
      <c r="A70">
        <v>114409.8</v>
      </c>
      <c r="B70">
        <v>874.05100000000004</v>
      </c>
      <c r="C70">
        <v>2</v>
      </c>
      <c r="D70" t="s">
        <v>63</v>
      </c>
      <c r="F70">
        <v>1969</v>
      </c>
      <c r="G70" s="1" t="s">
        <v>33</v>
      </c>
      <c r="H70" s="1" t="s">
        <v>80</v>
      </c>
      <c r="I70">
        <v>0</v>
      </c>
      <c r="J70">
        <v>114410.2307</v>
      </c>
      <c r="K70">
        <v>3.29E-3</v>
      </c>
      <c r="L70">
        <v>1.8699999999999999E-3</v>
      </c>
      <c r="M70">
        <v>0.245</v>
      </c>
      <c r="N70">
        <v>0.52410000000000001</v>
      </c>
      <c r="O70">
        <v>3.9300000000000003E-3</v>
      </c>
      <c r="P70" s="3">
        <f t="shared" si="4"/>
        <v>874.05099912769708</v>
      </c>
      <c r="Q70" s="3">
        <f t="shared" si="5"/>
        <v>3.2903855102404123E-3</v>
      </c>
      <c r="R70" s="3">
        <f t="shared" si="6"/>
        <v>1.8699999999999999E-3</v>
      </c>
      <c r="S70">
        <f t="shared" si="7"/>
        <v>3</v>
      </c>
      <c r="T70">
        <f>INDEX([1]IDEN_level_ids!$B:$B,MATCH(G70,[1]IDEN_level_ids!$A:$A,0),1)</f>
        <v>1220</v>
      </c>
      <c r="U70">
        <f>INDEX([1]IDEN_level_ids!$B:$B,MATCH(H70,[1]IDEN_level_ids!$A:$A,0),1)</f>
        <v>486</v>
      </c>
    </row>
    <row r="71" spans="1:21" hidden="1" x14ac:dyDescent="0.25">
      <c r="A71">
        <v>114353.5156</v>
      </c>
      <c r="B71">
        <v>874.48119999999994</v>
      </c>
      <c r="C71">
        <v>2</v>
      </c>
      <c r="D71" t="s">
        <v>63</v>
      </c>
      <c r="F71">
        <v>1969</v>
      </c>
      <c r="G71" s="1" t="s">
        <v>81</v>
      </c>
      <c r="H71" s="1" t="s">
        <v>78</v>
      </c>
      <c r="I71">
        <v>0</v>
      </c>
      <c r="J71">
        <v>114354.33590000001</v>
      </c>
      <c r="K71">
        <v>6.2700000000000004E-3</v>
      </c>
      <c r="L71">
        <v>1.8699999999999999E-3</v>
      </c>
      <c r="M71">
        <v>0.245</v>
      </c>
      <c r="N71">
        <v>0.27679999999999999</v>
      </c>
      <c r="O71">
        <v>2.5899999999999999E-3</v>
      </c>
      <c r="P71" s="3">
        <f t="shared" si="4"/>
        <v>874.48120396921138</v>
      </c>
      <c r="Q71" s="3">
        <f t="shared" si="5"/>
        <v>6.2729316380227829E-3</v>
      </c>
      <c r="R71" s="3">
        <f t="shared" si="6"/>
        <v>1.8699999999999999E-3</v>
      </c>
      <c r="S71">
        <f t="shared" si="7"/>
        <v>3</v>
      </c>
      <c r="T71">
        <f>INDEX([1]IDEN_level_ids!$B:$B,MATCH(G71,[1]IDEN_level_ids!$A:$A,0),1)</f>
        <v>1196</v>
      </c>
      <c r="U71">
        <f>INDEX([1]IDEN_level_ids!$B:$B,MATCH(H71,[1]IDEN_level_ids!$A:$A,0),1)</f>
        <v>323</v>
      </c>
    </row>
    <row r="72" spans="1:21" hidden="1" x14ac:dyDescent="0.25">
      <c r="A72">
        <v>114115.5071</v>
      </c>
      <c r="B72">
        <v>876.30510000000004</v>
      </c>
      <c r="C72">
        <v>2</v>
      </c>
      <c r="D72" t="s">
        <v>63</v>
      </c>
      <c r="F72">
        <v>1969</v>
      </c>
      <c r="G72" s="1" t="s">
        <v>82</v>
      </c>
      <c r="H72" s="1" t="s">
        <v>57</v>
      </c>
      <c r="I72">
        <v>0</v>
      </c>
      <c r="J72">
        <v>114115.7933</v>
      </c>
      <c r="K72">
        <v>2.2000000000000001E-3</v>
      </c>
      <c r="L72">
        <v>1.8799999999999999E-3</v>
      </c>
      <c r="M72">
        <v>0.245</v>
      </c>
      <c r="N72">
        <v>0.57499999999999996</v>
      </c>
      <c r="O72">
        <v>4.4299999999999999E-3</v>
      </c>
      <c r="P72" s="3">
        <f t="shared" si="4"/>
        <v>876.3050924566237</v>
      </c>
      <c r="Q72" s="3">
        <f t="shared" si="5"/>
        <v>2.1977546683729088E-3</v>
      </c>
      <c r="R72" s="3">
        <f t="shared" si="6"/>
        <v>1.8799999999999999E-3</v>
      </c>
      <c r="S72">
        <f t="shared" si="7"/>
        <v>3</v>
      </c>
      <c r="T72">
        <f>INDEX([1]IDEN_level_ids!$B:$B,MATCH(G72,[1]IDEN_level_ids!$A:$A,0),1)</f>
        <v>1193</v>
      </c>
      <c r="U72">
        <f>INDEX([1]IDEN_level_ids!$B:$B,MATCH(H72,[1]IDEN_level_ids!$A:$A,0),1)</f>
        <v>343</v>
      </c>
    </row>
    <row r="73" spans="1:21" hidden="1" x14ac:dyDescent="0.25">
      <c r="A73">
        <v>113657.0107</v>
      </c>
      <c r="B73">
        <v>879.84010000000001</v>
      </c>
      <c r="C73">
        <v>2</v>
      </c>
      <c r="D73" t="s">
        <v>63</v>
      </c>
      <c r="F73">
        <v>1969</v>
      </c>
      <c r="G73" s="1" t="s">
        <v>83</v>
      </c>
      <c r="H73" s="1" t="s">
        <v>34</v>
      </c>
      <c r="I73">
        <v>0</v>
      </c>
      <c r="J73">
        <v>113657.5471</v>
      </c>
      <c r="K73">
        <v>4.15E-3</v>
      </c>
      <c r="L73">
        <v>1.9E-3</v>
      </c>
      <c r="M73">
        <v>0.245</v>
      </c>
      <c r="N73">
        <v>0.36570000000000003</v>
      </c>
      <c r="O73">
        <v>2.99E-3</v>
      </c>
      <c r="P73" s="3">
        <f t="shared" si="4"/>
        <v>879.84013818515814</v>
      </c>
      <c r="Q73" s="3">
        <f t="shared" si="5"/>
        <v>4.1523529423557193E-3</v>
      </c>
      <c r="R73" s="3">
        <f t="shared" si="6"/>
        <v>1.9E-3</v>
      </c>
      <c r="S73">
        <f t="shared" si="7"/>
        <v>3</v>
      </c>
      <c r="T73">
        <f>INDEX([1]IDEN_level_ids!$B:$B,MATCH(G73,[1]IDEN_level_ids!$A:$A,0),1)</f>
        <v>1175</v>
      </c>
      <c r="U73">
        <f>INDEX([1]IDEN_level_ids!$B:$B,MATCH(H73,[1]IDEN_level_ids!$A:$A,0),1)</f>
        <v>303</v>
      </c>
    </row>
    <row r="74" spans="1:21" hidden="1" x14ac:dyDescent="0.25">
      <c r="A74">
        <v>113431.2944</v>
      </c>
      <c r="B74">
        <v>881.59090000000003</v>
      </c>
      <c r="C74">
        <v>2</v>
      </c>
      <c r="D74" t="s">
        <v>63</v>
      </c>
      <c r="F74">
        <v>1969</v>
      </c>
      <c r="G74" s="1" t="s">
        <v>84</v>
      </c>
      <c r="H74" s="1" t="s">
        <v>21</v>
      </c>
      <c r="I74">
        <v>0</v>
      </c>
      <c r="J74">
        <v>113431.76459999999</v>
      </c>
      <c r="K74">
        <v>3.65E-3</v>
      </c>
      <c r="L74">
        <v>1.9E-3</v>
      </c>
      <c r="M74">
        <v>0.245</v>
      </c>
      <c r="N74">
        <v>0.2883</v>
      </c>
      <c r="O74">
        <v>2.6800000000000001E-3</v>
      </c>
      <c r="P74" s="3">
        <f t="shared" si="4"/>
        <v>881.59092716833175</v>
      </c>
      <c r="Q74" s="3">
        <f t="shared" si="5"/>
        <v>3.6543913022342167E-3</v>
      </c>
      <c r="R74" s="3">
        <f t="shared" si="6"/>
        <v>1.9E-3</v>
      </c>
      <c r="S74">
        <f t="shared" si="7"/>
        <v>3</v>
      </c>
      <c r="T74">
        <f>INDEX([1]IDEN_level_ids!$B:$B,MATCH(G74,[1]IDEN_level_ids!$A:$A,0),1)</f>
        <v>1191</v>
      </c>
      <c r="U74">
        <f>INDEX([1]IDEN_level_ids!$B:$B,MATCH(H74,[1]IDEN_level_ids!$A:$A,0),1)</f>
        <v>341</v>
      </c>
    </row>
    <row r="75" spans="1:21" hidden="1" x14ac:dyDescent="0.25">
      <c r="A75">
        <v>113101.98360000001</v>
      </c>
      <c r="B75">
        <v>884.15779999999995</v>
      </c>
      <c r="C75">
        <v>2</v>
      </c>
      <c r="D75" t="s">
        <v>63</v>
      </c>
      <c r="F75">
        <v>1969</v>
      </c>
      <c r="G75" s="1" t="s">
        <v>85</v>
      </c>
      <c r="H75" s="1" t="s">
        <v>17</v>
      </c>
      <c r="I75">
        <v>0</v>
      </c>
      <c r="J75">
        <v>113102.2708</v>
      </c>
      <c r="K75">
        <v>2.2399999999999998E-3</v>
      </c>
      <c r="L75">
        <v>1.92E-3</v>
      </c>
      <c r="M75">
        <v>0.245</v>
      </c>
      <c r="N75">
        <v>0.155</v>
      </c>
      <c r="O75">
        <v>2.2699999999999999E-3</v>
      </c>
      <c r="P75" s="3">
        <f t="shared" si="4"/>
        <v>884.1577911989865</v>
      </c>
      <c r="Q75" s="3">
        <f t="shared" si="5"/>
        <v>2.2451372180967155E-3</v>
      </c>
      <c r="R75" s="3">
        <f t="shared" si="6"/>
        <v>1.92E-3</v>
      </c>
      <c r="S75">
        <f t="shared" si="7"/>
        <v>3</v>
      </c>
      <c r="T75">
        <f>INDEX([1]IDEN_level_ids!$B:$B,MATCH(G75,[1]IDEN_level_ids!$A:$A,0),1)</f>
        <v>1168</v>
      </c>
      <c r="U75">
        <f>INDEX([1]IDEN_level_ids!$B:$B,MATCH(H75,[1]IDEN_level_ids!$A:$A,0),1)</f>
        <v>271</v>
      </c>
    </row>
    <row r="76" spans="1:21" hidden="1" x14ac:dyDescent="0.25">
      <c r="A76">
        <v>112958.7151</v>
      </c>
      <c r="B76">
        <v>885.27919999999995</v>
      </c>
      <c r="C76">
        <v>2</v>
      </c>
      <c r="D76" t="s">
        <v>63</v>
      </c>
      <c r="F76">
        <v>1969</v>
      </c>
      <c r="G76" s="1" t="s">
        <v>86</v>
      </c>
      <c r="H76" s="1" t="s">
        <v>21</v>
      </c>
      <c r="I76">
        <v>0</v>
      </c>
      <c r="J76">
        <v>112959.05680000001</v>
      </c>
      <c r="K76">
        <v>2.6800000000000001E-3</v>
      </c>
      <c r="L76">
        <v>1.92E-3</v>
      </c>
      <c r="M76">
        <v>0.245</v>
      </c>
      <c r="N76">
        <v>0.29480000000000001</v>
      </c>
      <c r="O76">
        <v>2.7200000000000002E-3</v>
      </c>
      <c r="P76" s="3">
        <f t="shared" si="4"/>
        <v>885.2791917070947</v>
      </c>
      <c r="Q76" s="3">
        <f t="shared" si="5"/>
        <v>2.6779605670981255E-3</v>
      </c>
      <c r="R76" s="3">
        <f t="shared" si="6"/>
        <v>1.92E-3</v>
      </c>
      <c r="S76">
        <f t="shared" si="7"/>
        <v>3</v>
      </c>
      <c r="T76">
        <f>INDEX([1]IDEN_level_ids!$B:$B,MATCH(G76,[1]IDEN_level_ids!$A:$A,0),1)</f>
        <v>1183</v>
      </c>
      <c r="U76">
        <f>INDEX([1]IDEN_level_ids!$B:$B,MATCH(H76,[1]IDEN_level_ids!$A:$A,0),1)</f>
        <v>341</v>
      </c>
    </row>
    <row r="77" spans="1:21" hidden="1" x14ac:dyDescent="0.25">
      <c r="A77">
        <v>112920.99370000001</v>
      </c>
      <c r="B77">
        <v>885.57489999999996</v>
      </c>
      <c r="C77">
        <v>2</v>
      </c>
      <c r="D77" t="s">
        <v>63</v>
      </c>
      <c r="F77">
        <v>1969</v>
      </c>
      <c r="G77" s="1" t="s">
        <v>85</v>
      </c>
      <c r="H77" s="1" t="s">
        <v>37</v>
      </c>
      <c r="I77">
        <v>0</v>
      </c>
      <c r="J77">
        <v>112921.2075</v>
      </c>
      <c r="K77">
        <v>1.6800000000000001E-3</v>
      </c>
      <c r="L77">
        <v>1.92E-3</v>
      </c>
      <c r="M77">
        <v>0.245</v>
      </c>
      <c r="N77">
        <v>0.39410000000000001</v>
      </c>
      <c r="O77">
        <v>3.1700000000000001E-3</v>
      </c>
      <c r="P77" s="3">
        <f t="shared" si="4"/>
        <v>885.5749203347649</v>
      </c>
      <c r="Q77" s="3">
        <f t="shared" si="5"/>
        <v>1.6767082299793401E-3</v>
      </c>
      <c r="R77" s="3">
        <f t="shared" si="6"/>
        <v>1.92E-3</v>
      </c>
      <c r="S77">
        <f t="shared" si="7"/>
        <v>3</v>
      </c>
      <c r="T77">
        <f>INDEX([1]IDEN_level_ids!$B:$B,MATCH(G77,[1]IDEN_level_ids!$A:$A,0),1)</f>
        <v>1168</v>
      </c>
      <c r="U77">
        <f>INDEX([1]IDEN_level_ids!$B:$B,MATCH(H77,[1]IDEN_level_ids!$A:$A,0),1)</f>
        <v>287</v>
      </c>
    </row>
    <row r="78" spans="1:21" hidden="1" x14ac:dyDescent="0.25">
      <c r="A78">
        <v>112837.1165</v>
      </c>
      <c r="B78">
        <v>886.23320000000001</v>
      </c>
      <c r="C78">
        <v>2</v>
      </c>
      <c r="D78" t="s">
        <v>63</v>
      </c>
      <c r="F78">
        <v>1969</v>
      </c>
      <c r="G78" s="1" t="s">
        <v>86</v>
      </c>
      <c r="H78" s="1" t="s">
        <v>44</v>
      </c>
      <c r="I78">
        <v>0</v>
      </c>
      <c r="J78">
        <v>112837.5956</v>
      </c>
      <c r="K78">
        <v>3.7599999999999999E-3</v>
      </c>
      <c r="L78">
        <v>1.92E-3</v>
      </c>
      <c r="M78">
        <v>0.245</v>
      </c>
      <c r="N78">
        <v>0.2616</v>
      </c>
      <c r="O78">
        <v>2.6099999999999999E-3</v>
      </c>
      <c r="P78" s="3">
        <f t="shared" si="4"/>
        <v>886.23321032844717</v>
      </c>
      <c r="Q78" s="3">
        <f t="shared" si="5"/>
        <v>3.76287999415581E-3</v>
      </c>
      <c r="R78" s="3">
        <f t="shared" si="6"/>
        <v>1.92E-3</v>
      </c>
      <c r="S78">
        <f t="shared" si="7"/>
        <v>3</v>
      </c>
      <c r="T78">
        <f>INDEX([1]IDEN_level_ids!$B:$B,MATCH(G78,[1]IDEN_level_ids!$A:$A,0),1)</f>
        <v>1183</v>
      </c>
      <c r="U78">
        <f>INDEX([1]IDEN_level_ids!$B:$B,MATCH(H78,[1]IDEN_level_ids!$A:$A,0),1)</f>
        <v>358</v>
      </c>
    </row>
    <row r="79" spans="1:21" hidden="1" x14ac:dyDescent="0.25">
      <c r="A79">
        <v>112448.49950000001</v>
      </c>
      <c r="B79">
        <v>889.29600000000005</v>
      </c>
      <c r="C79">
        <v>3</v>
      </c>
      <c r="D79" t="s">
        <v>87</v>
      </c>
      <c r="F79">
        <v>1969</v>
      </c>
      <c r="G79" s="1" t="s">
        <v>88</v>
      </c>
      <c r="H79" s="1" t="s">
        <v>89</v>
      </c>
      <c r="I79">
        <v>0</v>
      </c>
      <c r="J79">
        <v>112447.9939</v>
      </c>
      <c r="K79">
        <v>-4.0000000000000001E-3</v>
      </c>
      <c r="L79">
        <v>1.9400000000000001E-3</v>
      </c>
      <c r="M79">
        <v>0.245</v>
      </c>
      <c r="N79">
        <v>0.1464</v>
      </c>
      <c r="O79">
        <v>2.2699999999999999E-3</v>
      </c>
      <c r="P79" s="3">
        <f t="shared" si="4"/>
        <v>889.29599278467913</v>
      </c>
      <c r="Q79" s="3">
        <f t="shared" si="5"/>
        <v>-3.9985422448580721E-3</v>
      </c>
      <c r="R79" s="3">
        <f t="shared" si="6"/>
        <v>1.9400000000000001E-3</v>
      </c>
      <c r="S79">
        <f t="shared" si="7"/>
        <v>4</v>
      </c>
      <c r="T79">
        <f>INDEX([1]IDEN_level_ids!$B:$B,MATCH(G79,[1]IDEN_level_ids!$A:$A,0),1)</f>
        <v>1166</v>
      </c>
      <c r="U79">
        <f>INDEX([1]IDEN_level_ids!$B:$B,MATCH(H79,[1]IDEN_level_ids!$A:$A,0),1)</f>
        <v>278</v>
      </c>
    </row>
    <row r="80" spans="1:21" hidden="1" x14ac:dyDescent="0.25">
      <c r="A80">
        <v>110572.22229999999</v>
      </c>
      <c r="B80">
        <v>904.38630000000001</v>
      </c>
      <c r="C80">
        <v>3</v>
      </c>
      <c r="D80" t="s">
        <v>87</v>
      </c>
      <c r="F80">
        <v>1969</v>
      </c>
      <c r="G80" s="1" t="s">
        <v>86</v>
      </c>
      <c r="H80" s="1" t="s">
        <v>25</v>
      </c>
      <c r="I80">
        <v>0</v>
      </c>
      <c r="J80">
        <v>110572.5974</v>
      </c>
      <c r="K80">
        <v>3.0699999999999998E-3</v>
      </c>
      <c r="L80">
        <v>2E-3</v>
      </c>
      <c r="M80">
        <v>0.245</v>
      </c>
      <c r="N80">
        <v>0.29360000000000003</v>
      </c>
      <c r="O80">
        <v>2.8400000000000001E-3</v>
      </c>
      <c r="P80" s="3">
        <f t="shared" si="4"/>
        <v>904.38627278996091</v>
      </c>
      <c r="Q80" s="3">
        <f t="shared" si="5"/>
        <v>3.0679869959158168E-3</v>
      </c>
      <c r="R80" s="3">
        <f t="shared" si="6"/>
        <v>2E-3</v>
      </c>
      <c r="S80">
        <f t="shared" si="7"/>
        <v>4</v>
      </c>
      <c r="T80">
        <f>INDEX([1]IDEN_level_ids!$B:$B,MATCH(G80,[1]IDEN_level_ids!$A:$A,0),1)</f>
        <v>1183</v>
      </c>
      <c r="U80">
        <f>INDEX([1]IDEN_level_ids!$B:$B,MATCH(H80,[1]IDEN_level_ids!$A:$A,0),1)</f>
        <v>437</v>
      </c>
    </row>
    <row r="81" spans="1:21" hidden="1" x14ac:dyDescent="0.25">
      <c r="A81">
        <v>110241.0855</v>
      </c>
      <c r="B81">
        <v>907.1028</v>
      </c>
      <c r="C81">
        <v>3</v>
      </c>
      <c r="D81" t="s">
        <v>87</v>
      </c>
      <c r="F81">
        <v>1969</v>
      </c>
      <c r="G81" s="1" t="s">
        <v>69</v>
      </c>
      <c r="H81" s="1" t="s">
        <v>90</v>
      </c>
      <c r="I81">
        <v>0</v>
      </c>
      <c r="J81">
        <v>110241.49770000001</v>
      </c>
      <c r="K81">
        <v>3.3899999999999998E-3</v>
      </c>
      <c r="L81">
        <v>2.0200000000000001E-3</v>
      </c>
      <c r="M81">
        <v>0.245</v>
      </c>
      <c r="N81">
        <v>0.26379999999999998</v>
      </c>
      <c r="O81">
        <v>2.7399999999999998E-3</v>
      </c>
      <c r="P81" s="3">
        <f t="shared" si="4"/>
        <v>907.10282420069234</v>
      </c>
      <c r="Q81" s="3">
        <f t="shared" si="5"/>
        <v>3.3917153879201578E-3</v>
      </c>
      <c r="R81" s="3">
        <f t="shared" si="6"/>
        <v>2.0200000000000001E-3</v>
      </c>
      <c r="S81">
        <f t="shared" si="7"/>
        <v>4</v>
      </c>
      <c r="T81">
        <f>INDEX([1]IDEN_level_ids!$B:$B,MATCH(G81,[1]IDEN_level_ids!$A:$A,0),1)</f>
        <v>1218</v>
      </c>
      <c r="U81">
        <f>INDEX([1]IDEN_level_ids!$B:$B,MATCH(H81,[1]IDEN_level_ids!$A:$A,0),1)</f>
        <v>540</v>
      </c>
    </row>
    <row r="82" spans="1:21" hidden="1" x14ac:dyDescent="0.25">
      <c r="A82">
        <v>109902.9048</v>
      </c>
      <c r="B82">
        <v>909.89409999999998</v>
      </c>
      <c r="C82">
        <v>3</v>
      </c>
      <c r="D82" t="s">
        <v>87</v>
      </c>
      <c r="F82">
        <v>1969</v>
      </c>
      <c r="G82" s="1" t="s">
        <v>84</v>
      </c>
      <c r="H82" s="1" t="s">
        <v>67</v>
      </c>
      <c r="I82">
        <v>0</v>
      </c>
      <c r="J82">
        <v>109903.18399999999</v>
      </c>
      <c r="K82">
        <v>2.31E-3</v>
      </c>
      <c r="L82">
        <v>2.0300000000000001E-3</v>
      </c>
      <c r="M82">
        <v>0.245</v>
      </c>
      <c r="N82">
        <v>0.27950000000000003</v>
      </c>
      <c r="O82">
        <v>2.82E-3</v>
      </c>
      <c r="P82" s="3">
        <f t="shared" si="4"/>
        <v>909.89405768645338</v>
      </c>
      <c r="Q82" s="3">
        <f t="shared" si="5"/>
        <v>2.3115110194567023E-3</v>
      </c>
      <c r="R82" s="3">
        <f t="shared" si="6"/>
        <v>2.0300000000000001E-3</v>
      </c>
      <c r="S82">
        <f t="shared" si="7"/>
        <v>4</v>
      </c>
      <c r="T82">
        <f>INDEX([1]IDEN_level_ids!$B:$B,MATCH(G82,[1]IDEN_level_ids!$A:$A,0),1)</f>
        <v>1191</v>
      </c>
      <c r="U82">
        <f>INDEX([1]IDEN_level_ids!$B:$B,MATCH(H82,[1]IDEN_level_ids!$A:$A,0),1)</f>
        <v>475</v>
      </c>
    </row>
    <row r="83" spans="1:21" hidden="1" x14ac:dyDescent="0.25">
      <c r="A83">
        <v>109608.2837</v>
      </c>
      <c r="B83">
        <v>912.33979999999997</v>
      </c>
      <c r="C83">
        <v>3</v>
      </c>
      <c r="D83" t="s">
        <v>87</v>
      </c>
      <c r="F83">
        <v>1969</v>
      </c>
      <c r="G83" s="1" t="s">
        <v>84</v>
      </c>
      <c r="H83" s="1" t="s">
        <v>91</v>
      </c>
      <c r="I83">
        <v>0</v>
      </c>
      <c r="J83">
        <v>109608.23699999999</v>
      </c>
      <c r="K83">
        <v>-3.8999999999999999E-4</v>
      </c>
      <c r="L83">
        <v>2.0400000000000001E-3</v>
      </c>
      <c r="M83">
        <v>0.245</v>
      </c>
      <c r="N83">
        <v>0.2772</v>
      </c>
      <c r="O83">
        <v>2.82E-3</v>
      </c>
      <c r="P83" s="3">
        <f t="shared" si="4"/>
        <v>912.33980338294452</v>
      </c>
      <c r="Q83" s="3">
        <f t="shared" si="5"/>
        <v>-3.8871411481977702E-4</v>
      </c>
      <c r="R83" s="3">
        <f t="shared" si="6"/>
        <v>2.0400000000000001E-3</v>
      </c>
      <c r="S83">
        <f t="shared" si="7"/>
        <v>4</v>
      </c>
      <c r="T83">
        <f>INDEX([1]IDEN_level_ids!$B:$B,MATCH(G83,[1]IDEN_level_ids!$A:$A,0),1)</f>
        <v>1191</v>
      </c>
      <c r="U83">
        <f>INDEX([1]IDEN_level_ids!$B:$B,MATCH(H83,[1]IDEN_level_ids!$A:$A,0),1)</f>
        <v>485</v>
      </c>
    </row>
    <row r="84" spans="1:21" hidden="1" x14ac:dyDescent="0.25">
      <c r="A84">
        <v>109430.11749999999</v>
      </c>
      <c r="B84">
        <v>913.8252</v>
      </c>
      <c r="C84">
        <v>3</v>
      </c>
      <c r="D84" t="s">
        <v>87</v>
      </c>
      <c r="F84">
        <v>1969</v>
      </c>
      <c r="G84" s="1" t="s">
        <v>86</v>
      </c>
      <c r="H84" s="1" t="s">
        <v>67</v>
      </c>
      <c r="I84">
        <v>0</v>
      </c>
      <c r="J84">
        <v>109430.4761</v>
      </c>
      <c r="K84">
        <v>3.0000000000000001E-3</v>
      </c>
      <c r="L84">
        <v>2.0500000000000002E-3</v>
      </c>
      <c r="M84">
        <v>0.245</v>
      </c>
      <c r="N84">
        <v>0.27829999999999999</v>
      </c>
      <c r="O84">
        <v>2.8300000000000001E-3</v>
      </c>
      <c r="P84" s="3">
        <f t="shared" si="4"/>
        <v>913.82520904265687</v>
      </c>
      <c r="Q84" s="3">
        <f t="shared" si="5"/>
        <v>2.9945745613986219E-3</v>
      </c>
      <c r="R84" s="3">
        <f t="shared" si="6"/>
        <v>2.0500000000000002E-3</v>
      </c>
      <c r="S84">
        <f t="shared" si="7"/>
        <v>4</v>
      </c>
      <c r="T84">
        <f>INDEX([1]IDEN_level_ids!$B:$B,MATCH(G84,[1]IDEN_level_ids!$A:$A,0),1)</f>
        <v>1183</v>
      </c>
      <c r="U84">
        <f>INDEX([1]IDEN_level_ids!$B:$B,MATCH(H84,[1]IDEN_level_ids!$A:$A,0),1)</f>
        <v>475</v>
      </c>
    </row>
    <row r="85" spans="1:21" hidden="1" x14ac:dyDescent="0.25">
      <c r="A85">
        <v>109333.2129</v>
      </c>
      <c r="B85">
        <v>914.63520000000005</v>
      </c>
      <c r="C85">
        <v>3</v>
      </c>
      <c r="D85" t="s">
        <v>87</v>
      </c>
      <c r="F85">
        <v>1969</v>
      </c>
      <c r="G85" s="1" t="s">
        <v>92</v>
      </c>
      <c r="H85" s="1" t="s">
        <v>93</v>
      </c>
      <c r="I85">
        <v>0</v>
      </c>
      <c r="J85">
        <v>109333.68550000001</v>
      </c>
      <c r="K85">
        <v>3.9500000000000004E-3</v>
      </c>
      <c r="L85">
        <v>2.0500000000000002E-3</v>
      </c>
      <c r="M85">
        <v>0.245</v>
      </c>
      <c r="N85">
        <v>0.2445</v>
      </c>
      <c r="O85">
        <v>2.7100000000000002E-3</v>
      </c>
      <c r="P85" s="3">
        <f t="shared" si="4"/>
        <v>914.63515383439358</v>
      </c>
      <c r="Q85" s="3">
        <f t="shared" si="5"/>
        <v>3.95355348848625E-3</v>
      </c>
      <c r="R85" s="3">
        <f t="shared" si="6"/>
        <v>2.0500000000000002E-3</v>
      </c>
      <c r="S85">
        <f t="shared" si="7"/>
        <v>4</v>
      </c>
      <c r="T85">
        <f>INDEX([1]IDEN_level_ids!$B:$B,MATCH(G85,[1]IDEN_level_ids!$A:$A,0),1)</f>
        <v>1224</v>
      </c>
      <c r="U85">
        <f>INDEX([1]IDEN_level_ids!$B:$B,MATCH(H85,[1]IDEN_level_ids!$A:$A,0),1)</f>
        <v>554</v>
      </c>
    </row>
    <row r="86" spans="1:21" hidden="1" x14ac:dyDescent="0.25">
      <c r="A86">
        <v>108695.2991</v>
      </c>
      <c r="B86">
        <v>920.00300000000004</v>
      </c>
      <c r="C86">
        <v>3</v>
      </c>
      <c r="D86" t="s">
        <v>87</v>
      </c>
      <c r="F86">
        <v>1969</v>
      </c>
      <c r="G86" s="1" t="s">
        <v>94</v>
      </c>
      <c r="H86" s="1" t="s">
        <v>95</v>
      </c>
      <c r="I86">
        <v>0</v>
      </c>
      <c r="J86">
        <v>108696.08990000001</v>
      </c>
      <c r="K86">
        <v>6.6899999999999998E-3</v>
      </c>
      <c r="L86">
        <v>2.0699999999999998E-3</v>
      </c>
      <c r="M86">
        <v>0.245</v>
      </c>
      <c r="N86">
        <v>0.18129999999999999</v>
      </c>
      <c r="O86">
        <v>2.5300000000000001E-3</v>
      </c>
      <c r="P86" s="3">
        <f t="shared" si="4"/>
        <v>920.00298842730717</v>
      </c>
      <c r="Q86" s="3">
        <f t="shared" si="5"/>
        <v>6.693325987271237E-3</v>
      </c>
      <c r="R86" s="3">
        <f t="shared" si="6"/>
        <v>2.0699999999999998E-3</v>
      </c>
      <c r="S86">
        <f t="shared" si="7"/>
        <v>4</v>
      </c>
      <c r="T86">
        <f>INDEX([1]IDEN_level_ids!$B:$B,MATCH(G86,[1]IDEN_level_ids!$A:$A,0),1)</f>
        <v>1207</v>
      </c>
      <c r="U86">
        <f>INDEX([1]IDEN_level_ids!$B:$B,MATCH(H86,[1]IDEN_level_ids!$A:$A,0),1)</f>
        <v>538</v>
      </c>
    </row>
    <row r="87" spans="1:21" hidden="1" x14ac:dyDescent="0.25">
      <c r="A87">
        <v>107393.7157</v>
      </c>
      <c r="B87">
        <v>931.15319999999997</v>
      </c>
      <c r="C87">
        <v>3</v>
      </c>
      <c r="D87" t="s">
        <v>87</v>
      </c>
      <c r="F87">
        <v>1969</v>
      </c>
      <c r="G87" s="1" t="s">
        <v>85</v>
      </c>
      <c r="H87" s="1" t="s">
        <v>96</v>
      </c>
      <c r="I87">
        <v>0</v>
      </c>
      <c r="J87">
        <v>107393.86320000001</v>
      </c>
      <c r="K87">
        <v>1.2800000000000001E-3</v>
      </c>
      <c r="L87">
        <v>2.1199999999999999E-3</v>
      </c>
      <c r="M87">
        <v>0.245</v>
      </c>
      <c r="N87">
        <v>0.1239</v>
      </c>
      <c r="O87">
        <v>2.4199999999999998E-3</v>
      </c>
      <c r="P87" s="3">
        <f t="shared" si="4"/>
        <v>931.15318106085419</v>
      </c>
      <c r="Q87" s="3">
        <f t="shared" si="5"/>
        <v>1.2788914573320653E-3</v>
      </c>
      <c r="R87" s="3">
        <f t="shared" si="6"/>
        <v>2.1199999999999999E-3</v>
      </c>
      <c r="S87">
        <f t="shared" si="7"/>
        <v>4</v>
      </c>
      <c r="T87">
        <f>INDEX([1]IDEN_level_ids!$B:$B,MATCH(G87,[1]IDEN_level_ids!$A:$A,0),1)</f>
        <v>1168</v>
      </c>
      <c r="U87">
        <f>INDEX([1]IDEN_level_ids!$B:$B,MATCH(H87,[1]IDEN_level_ids!$A:$A,0),1)</f>
        <v>466</v>
      </c>
    </row>
    <row r="88" spans="1:21" hidden="1" x14ac:dyDescent="0.25">
      <c r="A88">
        <v>107273.5904</v>
      </c>
      <c r="B88">
        <v>932.19590000000005</v>
      </c>
      <c r="C88">
        <v>3</v>
      </c>
      <c r="D88" t="s">
        <v>87</v>
      </c>
      <c r="F88">
        <v>1969</v>
      </c>
      <c r="G88" s="1" t="s">
        <v>38</v>
      </c>
      <c r="H88" s="1" t="s">
        <v>95</v>
      </c>
      <c r="I88">
        <v>0</v>
      </c>
      <c r="J88">
        <v>107273.6501</v>
      </c>
      <c r="K88">
        <v>5.1999999999999995E-4</v>
      </c>
      <c r="L88">
        <v>2.1299999999999999E-3</v>
      </c>
      <c r="M88">
        <v>0.245</v>
      </c>
      <c r="N88">
        <v>0.17799999999999999</v>
      </c>
      <c r="O88">
        <v>2.5899999999999999E-3</v>
      </c>
      <c r="P88" s="3">
        <f t="shared" si="4"/>
        <v>932.19588928758367</v>
      </c>
      <c r="Q88" s="3">
        <f t="shared" si="5"/>
        <v>5.1878624935852713E-4</v>
      </c>
      <c r="R88" s="3">
        <f t="shared" si="6"/>
        <v>2.1299999999999999E-3</v>
      </c>
      <c r="S88">
        <f t="shared" si="7"/>
        <v>4</v>
      </c>
      <c r="T88">
        <f>INDEX([1]IDEN_level_ids!$B:$B,MATCH(G88,[1]IDEN_level_ids!$A:$A,0),1)</f>
        <v>1201</v>
      </c>
      <c r="U88">
        <f>INDEX([1]IDEN_level_ids!$B:$B,MATCH(H88,[1]IDEN_level_ids!$A:$A,0),1)</f>
        <v>538</v>
      </c>
    </row>
    <row r="89" spans="1:21" hidden="1" x14ac:dyDescent="0.25">
      <c r="A89">
        <v>107057.8996</v>
      </c>
      <c r="B89">
        <v>934.07399999999996</v>
      </c>
      <c r="C89">
        <v>3</v>
      </c>
      <c r="D89" t="s">
        <v>87</v>
      </c>
      <c r="F89">
        <v>1969</v>
      </c>
      <c r="G89" s="1" t="s">
        <v>38</v>
      </c>
      <c r="H89" s="1" t="s">
        <v>97</v>
      </c>
      <c r="I89">
        <v>0</v>
      </c>
      <c r="J89">
        <v>107058.0425</v>
      </c>
      <c r="K89">
        <v>1.25E-3</v>
      </c>
      <c r="L89">
        <v>2.14E-3</v>
      </c>
      <c r="M89">
        <v>0.245</v>
      </c>
      <c r="N89">
        <v>0.52249999999999996</v>
      </c>
      <c r="O89">
        <v>4.4799999999999996E-3</v>
      </c>
      <c r="P89" s="3">
        <f t="shared" si="4"/>
        <v>934.07399522715832</v>
      </c>
      <c r="Q89" s="3">
        <f t="shared" si="5"/>
        <v>1.2467925882901909E-3</v>
      </c>
      <c r="R89" s="3">
        <f t="shared" si="6"/>
        <v>2.14E-3</v>
      </c>
      <c r="S89">
        <f t="shared" si="7"/>
        <v>4</v>
      </c>
      <c r="T89">
        <f>INDEX([1]IDEN_level_ids!$B:$B,MATCH(G89,[1]IDEN_level_ids!$A:$A,0),1)</f>
        <v>1201</v>
      </c>
      <c r="U89">
        <f>INDEX([1]IDEN_level_ids!$B:$B,MATCH(H89,[1]IDEN_level_ids!$A:$A,0),1)</f>
        <v>543</v>
      </c>
    </row>
    <row r="90" spans="1:21" hidden="1" x14ac:dyDescent="0.25">
      <c r="A90">
        <v>106803.81359999999</v>
      </c>
      <c r="B90">
        <v>936.2962</v>
      </c>
      <c r="C90">
        <v>3</v>
      </c>
      <c r="D90" t="s">
        <v>87</v>
      </c>
      <c r="F90">
        <v>1969</v>
      </c>
      <c r="G90" s="1" t="s">
        <v>85</v>
      </c>
      <c r="H90" s="1" t="s">
        <v>91</v>
      </c>
      <c r="I90">
        <v>0</v>
      </c>
      <c r="J90">
        <v>106804.0119</v>
      </c>
      <c r="K90">
        <v>1.74E-3</v>
      </c>
      <c r="L90">
        <v>2.15E-3</v>
      </c>
      <c r="M90">
        <v>0.245</v>
      </c>
      <c r="N90">
        <v>0.27389999999999998</v>
      </c>
      <c r="O90">
        <v>2.96E-3</v>
      </c>
      <c r="P90" s="3">
        <f t="shared" si="4"/>
        <v>936.29615487812509</v>
      </c>
      <c r="Q90" s="3">
        <f t="shared" si="5"/>
        <v>1.7383946933478001E-3</v>
      </c>
      <c r="R90" s="3">
        <f t="shared" si="6"/>
        <v>2.15E-3</v>
      </c>
      <c r="S90">
        <f t="shared" si="7"/>
        <v>4</v>
      </c>
      <c r="T90">
        <f>INDEX([1]IDEN_level_ids!$B:$B,MATCH(G90,[1]IDEN_level_ids!$A:$A,0),1)</f>
        <v>1168</v>
      </c>
      <c r="U90">
        <f>INDEX([1]IDEN_level_ids!$B:$B,MATCH(H90,[1]IDEN_level_ids!$A:$A,0),1)</f>
        <v>485</v>
      </c>
    </row>
    <row r="91" spans="1:21" hidden="1" x14ac:dyDescent="0.25">
      <c r="A91">
        <v>104727.7107</v>
      </c>
      <c r="B91">
        <v>954.85709999999995</v>
      </c>
      <c r="C91">
        <v>3</v>
      </c>
      <c r="D91" t="s">
        <v>87</v>
      </c>
      <c r="F91">
        <v>1969</v>
      </c>
      <c r="G91" s="1" t="s">
        <v>27</v>
      </c>
      <c r="H91" s="1" t="s">
        <v>98</v>
      </c>
      <c r="I91">
        <v>0</v>
      </c>
      <c r="J91">
        <v>104727.89539999999</v>
      </c>
      <c r="K91">
        <v>1.6800000000000001E-3</v>
      </c>
      <c r="L91">
        <v>2.2300000000000002E-3</v>
      </c>
      <c r="M91">
        <v>0.245</v>
      </c>
      <c r="N91">
        <v>0.17860000000000001</v>
      </c>
      <c r="O91">
        <v>2.7200000000000002E-3</v>
      </c>
      <c r="P91" s="3">
        <f t="shared" si="4"/>
        <v>954.85711786880495</v>
      </c>
      <c r="Q91" s="3">
        <f t="shared" si="5"/>
        <v>1.6840031875062778E-3</v>
      </c>
      <c r="R91" s="3">
        <f t="shared" si="6"/>
        <v>2.2300000000000002E-3</v>
      </c>
      <c r="S91">
        <f t="shared" si="7"/>
        <v>4</v>
      </c>
      <c r="T91">
        <f>INDEX([1]IDEN_level_ids!$B:$B,MATCH(G91,[1]IDEN_level_ids!$A:$A,0),1)</f>
        <v>1242</v>
      </c>
      <c r="U91">
        <f>INDEX([1]IDEN_level_ids!$B:$B,MATCH(H91,[1]IDEN_level_ids!$A:$A,0),1)</f>
        <v>722</v>
      </c>
    </row>
    <row r="92" spans="1:21" hidden="1" x14ac:dyDescent="0.25">
      <c r="A92">
        <v>103750.69590000001</v>
      </c>
      <c r="B92">
        <v>963.84900000000005</v>
      </c>
      <c r="C92">
        <v>3</v>
      </c>
      <c r="D92" t="s">
        <v>87</v>
      </c>
      <c r="F92">
        <v>1969</v>
      </c>
      <c r="G92" s="1" t="s">
        <v>22</v>
      </c>
      <c r="H92" s="1" t="s">
        <v>99</v>
      </c>
      <c r="I92">
        <v>0</v>
      </c>
      <c r="J92">
        <v>103750.9474</v>
      </c>
      <c r="K92">
        <v>2.3400000000000001E-3</v>
      </c>
      <c r="L92">
        <v>2.2799999999999999E-3</v>
      </c>
      <c r="M92">
        <v>0.245</v>
      </c>
      <c r="N92">
        <v>9.74E-2</v>
      </c>
      <c r="O92">
        <v>2.5200000000000001E-3</v>
      </c>
      <c r="P92" s="3">
        <f t="shared" si="4"/>
        <v>963.84895669890147</v>
      </c>
      <c r="Q92" s="3">
        <f t="shared" si="5"/>
        <v>2.3364414367961217E-3</v>
      </c>
      <c r="R92" s="3">
        <f t="shared" si="6"/>
        <v>2.2799999999999999E-3</v>
      </c>
      <c r="S92">
        <f t="shared" si="7"/>
        <v>4</v>
      </c>
      <c r="T92">
        <f>INDEX([1]IDEN_level_ids!$B:$B,MATCH(G92,[1]IDEN_level_ids!$A:$A,0),1)</f>
        <v>1236</v>
      </c>
      <c r="U92">
        <f>INDEX([1]IDEN_level_ids!$B:$B,MATCH(H92,[1]IDEN_level_ids!$A:$A,0),1)</f>
        <v>689</v>
      </c>
    </row>
    <row r="93" spans="1:21" hidden="1" x14ac:dyDescent="0.25">
      <c r="A93">
        <v>103677.31449999999</v>
      </c>
      <c r="B93">
        <v>964.53120000000001</v>
      </c>
      <c r="C93">
        <v>3</v>
      </c>
      <c r="D93" t="s">
        <v>87</v>
      </c>
      <c r="F93">
        <v>1969</v>
      </c>
      <c r="G93" s="1" t="s">
        <v>100</v>
      </c>
      <c r="H93" s="1" t="s">
        <v>54</v>
      </c>
      <c r="I93">
        <v>0</v>
      </c>
      <c r="J93">
        <v>103677.4532</v>
      </c>
      <c r="K93">
        <v>1.2899999999999999E-3</v>
      </c>
      <c r="L93">
        <v>2.2799999999999999E-3</v>
      </c>
      <c r="M93">
        <v>0.245</v>
      </c>
      <c r="N93">
        <v>0.25080000000000002</v>
      </c>
      <c r="O93">
        <v>3.0400000000000002E-3</v>
      </c>
      <c r="P93" s="3">
        <f t="shared" si="4"/>
        <v>964.53115594540213</v>
      </c>
      <c r="Q93" s="3">
        <f t="shared" si="5"/>
        <v>1.2903526003356092E-3</v>
      </c>
      <c r="R93" s="3">
        <f t="shared" si="6"/>
        <v>2.2799999999999999E-3</v>
      </c>
      <c r="S93">
        <f t="shared" si="7"/>
        <v>4</v>
      </c>
      <c r="T93">
        <f>INDEX([1]IDEN_level_ids!$B:$B,MATCH(G93,[1]IDEN_level_ids!$A:$A,0),1)</f>
        <v>1146</v>
      </c>
      <c r="U93">
        <f>INDEX([1]IDEN_level_ids!$B:$B,MATCH(H93,[1]IDEN_level_ids!$A:$A,0),1)</f>
        <v>394</v>
      </c>
    </row>
    <row r="94" spans="1:21" hidden="1" x14ac:dyDescent="0.25">
      <c r="A94">
        <v>103593.3196</v>
      </c>
      <c r="B94">
        <v>965.31320000000005</v>
      </c>
      <c r="C94">
        <v>3</v>
      </c>
      <c r="D94" t="s">
        <v>87</v>
      </c>
      <c r="F94">
        <v>1969</v>
      </c>
      <c r="G94" s="1" t="s">
        <v>83</v>
      </c>
      <c r="H94" s="1" t="s">
        <v>101</v>
      </c>
      <c r="I94">
        <v>0</v>
      </c>
      <c r="J94">
        <v>103593.7534</v>
      </c>
      <c r="K94">
        <v>4.0400000000000002E-3</v>
      </c>
      <c r="L94">
        <v>2.2799999999999999E-3</v>
      </c>
      <c r="M94">
        <v>0.245</v>
      </c>
      <c r="N94">
        <v>0.36799999999999999</v>
      </c>
      <c r="O94">
        <v>3.6099999999999999E-3</v>
      </c>
      <c r="P94" s="3">
        <f t="shared" si="4"/>
        <v>965.31321118123526</v>
      </c>
      <c r="Q94" s="3">
        <f t="shared" si="5"/>
        <v>4.0422598590339476E-3</v>
      </c>
      <c r="R94" s="3">
        <f t="shared" si="6"/>
        <v>2.2799999999999999E-3</v>
      </c>
      <c r="S94">
        <f t="shared" si="7"/>
        <v>4</v>
      </c>
      <c r="T94">
        <f>INDEX([1]IDEN_level_ids!$B:$B,MATCH(G94,[1]IDEN_level_ids!$A:$A,0),1)</f>
        <v>1175</v>
      </c>
      <c r="U94">
        <f>INDEX([1]IDEN_level_ids!$B:$B,MATCH(H94,[1]IDEN_level_ids!$A:$A,0),1)</f>
        <v>539</v>
      </c>
    </row>
    <row r="95" spans="1:21" hidden="1" x14ac:dyDescent="0.25">
      <c r="A95">
        <v>103462.79829999999</v>
      </c>
      <c r="B95">
        <v>966.53099999999995</v>
      </c>
      <c r="C95">
        <v>4</v>
      </c>
      <c r="D95" t="s">
        <v>102</v>
      </c>
      <c r="F95">
        <v>1969</v>
      </c>
      <c r="G95" s="1" t="s">
        <v>27</v>
      </c>
      <c r="H95" s="1" t="s">
        <v>103</v>
      </c>
      <c r="I95">
        <v>0</v>
      </c>
      <c r="J95">
        <v>103462.55379999999</v>
      </c>
      <c r="K95">
        <v>-2.2799999999999999E-3</v>
      </c>
      <c r="L95">
        <v>2.2899999999999999E-3</v>
      </c>
      <c r="M95">
        <v>0.245</v>
      </c>
      <c r="N95">
        <v>0.14419999999999999</v>
      </c>
      <c r="O95">
        <v>2.6700000000000001E-3</v>
      </c>
      <c r="P95" s="3">
        <f t="shared" si="4"/>
        <v>966.53098160017589</v>
      </c>
      <c r="Q95" s="3">
        <f t="shared" si="5"/>
        <v>-2.2840807259854046E-3</v>
      </c>
      <c r="R95" s="3">
        <f t="shared" si="6"/>
        <v>2.2899999999999999E-3</v>
      </c>
      <c r="S95">
        <f t="shared" si="7"/>
        <v>5</v>
      </c>
      <c r="T95">
        <f>INDEX([1]IDEN_level_ids!$B:$B,MATCH(G95,[1]IDEN_level_ids!$A:$A,0),1)</f>
        <v>1242</v>
      </c>
      <c r="U95">
        <f>INDEX([1]IDEN_level_ids!$B:$B,MATCH(H95,[1]IDEN_level_ids!$A:$A,0),1)</f>
        <v>745</v>
      </c>
    </row>
    <row r="96" spans="1:21" hidden="1" x14ac:dyDescent="0.25">
      <c r="A96">
        <v>103290.8217</v>
      </c>
      <c r="B96">
        <v>968.14020000000005</v>
      </c>
      <c r="C96">
        <v>4</v>
      </c>
      <c r="D96" t="s">
        <v>102</v>
      </c>
      <c r="F96">
        <v>1969</v>
      </c>
      <c r="G96" s="1" t="s">
        <v>33</v>
      </c>
      <c r="H96" s="1" t="s">
        <v>104</v>
      </c>
      <c r="I96">
        <v>0</v>
      </c>
      <c r="J96">
        <v>103291.20299999999</v>
      </c>
      <c r="K96">
        <v>3.5699999999999998E-3</v>
      </c>
      <c r="L96">
        <v>2.3E-3</v>
      </c>
      <c r="M96">
        <v>0.245</v>
      </c>
      <c r="N96">
        <v>0.13400000000000001</v>
      </c>
      <c r="O96">
        <v>2.65E-3</v>
      </c>
      <c r="P96" s="3">
        <f t="shared" si="4"/>
        <v>968.14023118571049</v>
      </c>
      <c r="Q96" s="3">
        <f t="shared" si="5"/>
        <v>3.5738945759931084E-3</v>
      </c>
      <c r="R96" s="3">
        <f t="shared" si="6"/>
        <v>2.3E-3</v>
      </c>
      <c r="S96">
        <f t="shared" si="7"/>
        <v>5</v>
      </c>
      <c r="T96">
        <f>INDEX([1]IDEN_level_ids!$B:$B,MATCH(G96,[1]IDEN_level_ids!$A:$A,0),1)</f>
        <v>1220</v>
      </c>
      <c r="U96">
        <f>INDEX([1]IDEN_level_ids!$B:$B,MATCH(H96,[1]IDEN_level_ids!$A:$A,0),1)</f>
        <v>636</v>
      </c>
    </row>
    <row r="97" spans="1:21" hidden="1" x14ac:dyDescent="0.25">
      <c r="A97">
        <v>103189.59540000001</v>
      </c>
      <c r="B97">
        <v>969.09</v>
      </c>
      <c r="C97">
        <v>4</v>
      </c>
      <c r="D97" t="s">
        <v>102</v>
      </c>
      <c r="F97">
        <v>1969</v>
      </c>
      <c r="G97" s="1" t="s">
        <v>33</v>
      </c>
      <c r="H97" s="1" t="s">
        <v>105</v>
      </c>
      <c r="I97">
        <v>0</v>
      </c>
      <c r="J97">
        <v>103189.6768</v>
      </c>
      <c r="K97">
        <v>7.6000000000000004E-4</v>
      </c>
      <c r="L97">
        <v>2.3E-3</v>
      </c>
      <c r="M97">
        <v>0.245</v>
      </c>
      <c r="N97">
        <v>0.19919999999999999</v>
      </c>
      <c r="O97">
        <v>2.8700000000000002E-3</v>
      </c>
      <c r="P97" s="3">
        <f t="shared" si="4"/>
        <v>969.08995148555448</v>
      </c>
      <c r="Q97" s="3">
        <f t="shared" si="5"/>
        <v>7.6445555885129579E-4</v>
      </c>
      <c r="R97" s="3">
        <f t="shared" si="6"/>
        <v>2.3E-3</v>
      </c>
      <c r="S97">
        <f t="shared" si="7"/>
        <v>5</v>
      </c>
      <c r="T97">
        <f>INDEX([1]IDEN_level_ids!$B:$B,MATCH(G97,[1]IDEN_level_ids!$A:$A,0),1)</f>
        <v>1220</v>
      </c>
      <c r="U97">
        <f>INDEX([1]IDEN_level_ids!$B:$B,MATCH(H97,[1]IDEN_level_ids!$A:$A,0),1)</f>
        <v>640</v>
      </c>
    </row>
    <row r="98" spans="1:21" hidden="1" x14ac:dyDescent="0.25">
      <c r="A98">
        <v>103085.88860000001</v>
      </c>
      <c r="B98">
        <v>970.06489999999997</v>
      </c>
      <c r="C98">
        <v>4</v>
      </c>
      <c r="D98" t="s">
        <v>102</v>
      </c>
      <c r="F98">
        <v>1969</v>
      </c>
      <c r="G98" s="1" t="s">
        <v>55</v>
      </c>
      <c r="H98" s="1" t="s">
        <v>99</v>
      </c>
      <c r="I98">
        <v>0</v>
      </c>
      <c r="J98">
        <v>103085.44620000001</v>
      </c>
      <c r="K98">
        <v>-4.1599999999999996E-3</v>
      </c>
      <c r="L98">
        <v>2.31E-3</v>
      </c>
      <c r="M98">
        <v>0.245</v>
      </c>
      <c r="N98">
        <v>0.10539999999999999</v>
      </c>
      <c r="O98">
        <v>2.5799999999999998E-3</v>
      </c>
      <c r="P98" s="3">
        <f t="shared" si="4"/>
        <v>970.06487850171175</v>
      </c>
      <c r="Q98" s="3">
        <f t="shared" si="5"/>
        <v>-4.1631163085185108E-3</v>
      </c>
      <c r="R98" s="3">
        <f t="shared" si="6"/>
        <v>2.31E-3</v>
      </c>
      <c r="S98">
        <f t="shared" si="7"/>
        <v>5</v>
      </c>
      <c r="T98">
        <f>INDEX([1]IDEN_level_ids!$B:$B,MATCH(G98,[1]IDEN_level_ids!$A:$A,0),1)</f>
        <v>1233</v>
      </c>
      <c r="U98">
        <f>INDEX([1]IDEN_level_ids!$B:$B,MATCH(H98,[1]IDEN_level_ids!$A:$A,0),1)</f>
        <v>689</v>
      </c>
    </row>
    <row r="99" spans="1:21" hidden="1" x14ac:dyDescent="0.25">
      <c r="A99">
        <v>103015.5882</v>
      </c>
      <c r="B99">
        <v>970.7269</v>
      </c>
      <c r="C99">
        <v>4</v>
      </c>
      <c r="D99" t="s">
        <v>102</v>
      </c>
      <c r="F99">
        <v>1969</v>
      </c>
      <c r="G99" s="1" t="s">
        <v>41</v>
      </c>
      <c r="H99" s="1" t="s">
        <v>98</v>
      </c>
      <c r="I99">
        <v>0</v>
      </c>
      <c r="J99">
        <v>103015.7637</v>
      </c>
      <c r="K99">
        <v>1.65E-3</v>
      </c>
      <c r="L99">
        <v>2.31E-3</v>
      </c>
      <c r="M99">
        <v>0.245</v>
      </c>
      <c r="N99">
        <v>0.17699999999999999</v>
      </c>
      <c r="O99">
        <v>2.8E-3</v>
      </c>
      <c r="P99" s="3">
        <f t="shared" si="4"/>
        <v>970.72687490610281</v>
      </c>
      <c r="Q99" s="3">
        <f t="shared" si="5"/>
        <v>1.6537524007844695E-3</v>
      </c>
      <c r="R99" s="3">
        <f t="shared" si="6"/>
        <v>2.31E-3</v>
      </c>
      <c r="S99">
        <f t="shared" si="7"/>
        <v>5</v>
      </c>
      <c r="T99">
        <f>INDEX([1]IDEN_level_ids!$B:$B,MATCH(G99,[1]IDEN_level_ids!$A:$A,0),1)</f>
        <v>1238</v>
      </c>
      <c r="U99">
        <f>INDEX([1]IDEN_level_ids!$B:$B,MATCH(H99,[1]IDEN_level_ids!$A:$A,0),1)</f>
        <v>722</v>
      </c>
    </row>
    <row r="100" spans="1:21" hidden="1" x14ac:dyDescent="0.25">
      <c r="A100">
        <v>102948.62609999999</v>
      </c>
      <c r="B100">
        <v>971.35829999999999</v>
      </c>
      <c r="C100">
        <v>4</v>
      </c>
      <c r="D100" t="s">
        <v>102</v>
      </c>
      <c r="F100">
        <v>1969</v>
      </c>
      <c r="G100" s="1" t="s">
        <v>41</v>
      </c>
      <c r="H100" s="1" t="s">
        <v>106</v>
      </c>
      <c r="I100">
        <v>0</v>
      </c>
      <c r="J100">
        <v>102949.2018</v>
      </c>
      <c r="K100">
        <v>5.4299999999999999E-3</v>
      </c>
      <c r="L100">
        <v>2.31E-3</v>
      </c>
      <c r="M100">
        <v>0.245</v>
      </c>
      <c r="N100">
        <v>0.156</v>
      </c>
      <c r="O100">
        <v>2.7399999999999998E-3</v>
      </c>
      <c r="P100" s="3">
        <f t="shared" si="4"/>
        <v>971.35827633934787</v>
      </c>
      <c r="Q100" s="3">
        <f t="shared" si="5"/>
        <v>5.4319115632779358E-3</v>
      </c>
      <c r="R100" s="3">
        <f t="shared" si="6"/>
        <v>2.31E-3</v>
      </c>
      <c r="S100">
        <f t="shared" si="7"/>
        <v>5</v>
      </c>
      <c r="T100">
        <f>INDEX([1]IDEN_level_ids!$B:$B,MATCH(G100,[1]IDEN_level_ids!$A:$A,0),1)</f>
        <v>1238</v>
      </c>
      <c r="U100">
        <f>INDEX([1]IDEN_level_ids!$B:$B,MATCH(H100,[1]IDEN_level_ids!$A:$A,0),1)</f>
        <v>726</v>
      </c>
    </row>
    <row r="101" spans="1:21" hidden="1" x14ac:dyDescent="0.25">
      <c r="A101">
        <v>102915.0855</v>
      </c>
      <c r="B101">
        <v>971.6748</v>
      </c>
      <c r="C101">
        <v>4</v>
      </c>
      <c r="D101" t="s">
        <v>102</v>
      </c>
      <c r="F101">
        <v>1969</v>
      </c>
      <c r="G101" s="1" t="s">
        <v>22</v>
      </c>
      <c r="H101" s="1" t="s">
        <v>107</v>
      </c>
      <c r="I101">
        <v>0</v>
      </c>
      <c r="J101">
        <v>102915.24159999999</v>
      </c>
      <c r="K101">
        <v>1.47E-3</v>
      </c>
      <c r="L101">
        <v>2.31E-3</v>
      </c>
      <c r="M101">
        <v>0.245</v>
      </c>
      <c r="N101">
        <v>8.6599999999999996E-2</v>
      </c>
      <c r="O101">
        <v>2.5300000000000001E-3</v>
      </c>
      <c r="P101" s="3">
        <f t="shared" si="4"/>
        <v>971.67484741583394</v>
      </c>
      <c r="Q101" s="3">
        <f t="shared" si="5"/>
        <v>1.4738190507159743E-3</v>
      </c>
      <c r="R101" s="3">
        <f t="shared" si="6"/>
        <v>2.31E-3</v>
      </c>
      <c r="S101">
        <f t="shared" si="7"/>
        <v>5</v>
      </c>
      <c r="T101">
        <f>INDEX([1]IDEN_level_ids!$B:$B,MATCH(G101,[1]IDEN_level_ids!$A:$A,0),1)</f>
        <v>1236</v>
      </c>
      <c r="U101">
        <f>INDEX([1]IDEN_level_ids!$B:$B,MATCH(H101,[1]IDEN_level_ids!$A:$A,0),1)</f>
        <v>714</v>
      </c>
    </row>
    <row r="102" spans="1:21" hidden="1" x14ac:dyDescent="0.25">
      <c r="A102">
        <v>102864.99800000001</v>
      </c>
      <c r="B102">
        <v>972.14800000000002</v>
      </c>
      <c r="C102">
        <v>4</v>
      </c>
      <c r="D102" t="s">
        <v>102</v>
      </c>
      <c r="F102">
        <v>1969</v>
      </c>
      <c r="G102" s="1" t="s">
        <v>108</v>
      </c>
      <c r="H102" s="1" t="s">
        <v>109</v>
      </c>
      <c r="I102">
        <v>0</v>
      </c>
      <c r="J102">
        <v>102864.7807</v>
      </c>
      <c r="K102">
        <v>-2.0500000000000002E-3</v>
      </c>
      <c r="L102">
        <v>2.32E-3</v>
      </c>
      <c r="M102">
        <v>0.245</v>
      </c>
      <c r="N102">
        <v>0.24590000000000001</v>
      </c>
      <c r="O102">
        <v>3.0699999999999998E-3</v>
      </c>
      <c r="P102" s="3">
        <f t="shared" si="4"/>
        <v>972.14797982108541</v>
      </c>
      <c r="Q102" s="3">
        <f t="shared" si="5"/>
        <v>-2.0536451308998949E-3</v>
      </c>
      <c r="R102" s="3">
        <f t="shared" si="6"/>
        <v>2.32E-3</v>
      </c>
      <c r="S102">
        <f t="shared" si="7"/>
        <v>5</v>
      </c>
      <c r="T102">
        <f>INDEX([1]IDEN_level_ids!$B:$B,MATCH(G102,[1]IDEN_level_ids!$A:$A,0),1)</f>
        <v>1149</v>
      </c>
      <c r="U102">
        <f>INDEX([1]IDEN_level_ids!$B:$B,MATCH(H102,[1]IDEN_level_ids!$A:$A,0),1)</f>
        <v>468</v>
      </c>
    </row>
    <row r="103" spans="1:21" hidden="1" x14ac:dyDescent="0.25">
      <c r="A103">
        <v>102764.3817</v>
      </c>
      <c r="B103">
        <v>973.09979999999996</v>
      </c>
      <c r="C103">
        <v>4</v>
      </c>
      <c r="D103" t="s">
        <v>102</v>
      </c>
      <c r="F103">
        <v>1969</v>
      </c>
      <c r="G103" s="1" t="s">
        <v>41</v>
      </c>
      <c r="H103" s="1" t="s">
        <v>110</v>
      </c>
      <c r="I103">
        <v>0</v>
      </c>
      <c r="J103">
        <v>102764.2499</v>
      </c>
      <c r="K103">
        <v>-1.25E-3</v>
      </c>
      <c r="L103">
        <v>2.32E-3</v>
      </c>
      <c r="M103">
        <v>0.245</v>
      </c>
      <c r="N103">
        <v>0.1855</v>
      </c>
      <c r="O103">
        <v>2.8500000000000001E-3</v>
      </c>
      <c r="P103" s="3">
        <f t="shared" si="4"/>
        <v>973.09980701221889</v>
      </c>
      <c r="Q103" s="3">
        <f t="shared" si="5"/>
        <v>-1.2480464237114575E-3</v>
      </c>
      <c r="R103" s="3">
        <f t="shared" si="6"/>
        <v>2.32E-3</v>
      </c>
      <c r="S103">
        <f t="shared" si="7"/>
        <v>5</v>
      </c>
      <c r="T103">
        <f>INDEX([1]IDEN_level_ids!$B:$B,MATCH(G103,[1]IDEN_level_ids!$A:$A,0),1)</f>
        <v>1238</v>
      </c>
      <c r="U103">
        <f>INDEX([1]IDEN_level_ids!$B:$B,MATCH(H103,[1]IDEN_level_ids!$A:$A,0),1)</f>
        <v>730</v>
      </c>
    </row>
    <row r="104" spans="1:21" hidden="1" x14ac:dyDescent="0.25">
      <c r="A104">
        <v>102645.08130000001</v>
      </c>
      <c r="B104">
        <v>974.23080000000004</v>
      </c>
      <c r="C104">
        <v>4</v>
      </c>
      <c r="D104" t="s">
        <v>102</v>
      </c>
      <c r="F104">
        <v>1969</v>
      </c>
      <c r="G104" s="1" t="s">
        <v>108</v>
      </c>
      <c r="H104" s="1" t="s">
        <v>111</v>
      </c>
      <c r="I104">
        <v>0</v>
      </c>
      <c r="J104">
        <v>102645.2518</v>
      </c>
      <c r="K104">
        <v>1.6199999999999999E-3</v>
      </c>
      <c r="L104">
        <v>2.33E-3</v>
      </c>
      <c r="M104">
        <v>0.245</v>
      </c>
      <c r="N104">
        <v>0.57230000000000003</v>
      </c>
      <c r="O104">
        <v>5.4400000000000004E-3</v>
      </c>
      <c r="P104" s="3">
        <f t="shared" si="4"/>
        <v>974.2308032055696</v>
      </c>
      <c r="Q104" s="3">
        <f t="shared" si="5"/>
        <v>1.6182565585722841E-3</v>
      </c>
      <c r="R104" s="3">
        <f t="shared" si="6"/>
        <v>2.33E-3</v>
      </c>
      <c r="S104">
        <f t="shared" si="7"/>
        <v>5</v>
      </c>
      <c r="T104">
        <f>INDEX([1]IDEN_level_ids!$B:$B,MATCH(G104,[1]IDEN_level_ids!$A:$A,0),1)</f>
        <v>1149</v>
      </c>
      <c r="U104">
        <f>INDEX([1]IDEN_level_ids!$B:$B,MATCH(H104,[1]IDEN_level_ids!$A:$A,0),1)</f>
        <v>473</v>
      </c>
    </row>
    <row r="105" spans="1:21" hidden="1" x14ac:dyDescent="0.25">
      <c r="A105">
        <v>102388.1</v>
      </c>
      <c r="B105">
        <v>976.67600000000004</v>
      </c>
      <c r="C105">
        <v>4</v>
      </c>
      <c r="D105" t="s">
        <v>102</v>
      </c>
      <c r="F105">
        <v>1969</v>
      </c>
      <c r="G105" s="1" t="s">
        <v>22</v>
      </c>
      <c r="H105" s="1" t="s">
        <v>112</v>
      </c>
      <c r="I105">
        <v>0</v>
      </c>
      <c r="J105">
        <v>102388.06759999999</v>
      </c>
      <c r="K105">
        <v>-3.1E-4</v>
      </c>
      <c r="L105">
        <v>2.3400000000000001E-3</v>
      </c>
      <c r="M105">
        <v>0.245</v>
      </c>
      <c r="N105">
        <v>7.85E-2</v>
      </c>
      <c r="O105">
        <v>2.5400000000000002E-3</v>
      </c>
      <c r="P105" s="3">
        <f t="shared" si="4"/>
        <v>976.67600043364405</v>
      </c>
      <c r="Q105" s="3">
        <f t="shared" si="5"/>
        <v>-3.0906240510830685E-4</v>
      </c>
      <c r="R105" s="3">
        <f t="shared" si="6"/>
        <v>2.3400000000000001E-3</v>
      </c>
      <c r="S105">
        <f t="shared" si="7"/>
        <v>5</v>
      </c>
      <c r="T105">
        <f>INDEX([1]IDEN_level_ids!$B:$B,MATCH(G105,[1]IDEN_level_ids!$A:$A,0),1)</f>
        <v>1236</v>
      </c>
      <c r="U105">
        <f>INDEX([1]IDEN_level_ids!$B:$B,MATCH(H105,[1]IDEN_level_ids!$A:$A,0),1)</f>
        <v>732</v>
      </c>
    </row>
    <row r="106" spans="1:21" hidden="1" x14ac:dyDescent="0.25">
      <c r="A106">
        <v>102249.3925</v>
      </c>
      <c r="B106">
        <v>978.0009</v>
      </c>
      <c r="C106">
        <v>4</v>
      </c>
      <c r="D106" t="s">
        <v>102</v>
      </c>
      <c r="F106">
        <v>1969</v>
      </c>
      <c r="G106" s="1" t="s">
        <v>55</v>
      </c>
      <c r="H106" s="1" t="s">
        <v>107</v>
      </c>
      <c r="I106">
        <v>0</v>
      </c>
      <c r="J106">
        <v>102249.7404</v>
      </c>
      <c r="K106">
        <v>3.3300000000000001E-3</v>
      </c>
      <c r="L106">
        <v>2.3400000000000001E-3</v>
      </c>
      <c r="M106">
        <v>0.245</v>
      </c>
      <c r="N106">
        <v>5.3600000000000002E-2</v>
      </c>
      <c r="O106">
        <v>2.48E-3</v>
      </c>
      <c r="P106" s="3">
        <f t="shared" si="4"/>
        <v>978.00092064116666</v>
      </c>
      <c r="Q106" s="3">
        <f t="shared" si="5"/>
        <v>3.3276027787678686E-3</v>
      </c>
      <c r="R106" s="3">
        <f t="shared" si="6"/>
        <v>2.3400000000000001E-3</v>
      </c>
      <c r="S106">
        <f t="shared" si="7"/>
        <v>5</v>
      </c>
      <c r="T106">
        <f>INDEX([1]IDEN_level_ids!$B:$B,MATCH(G106,[1]IDEN_level_ids!$A:$A,0),1)</f>
        <v>1233</v>
      </c>
      <c r="U106">
        <f>INDEX([1]IDEN_level_ids!$B:$B,MATCH(H106,[1]IDEN_level_ids!$A:$A,0),1)</f>
        <v>714</v>
      </c>
    </row>
    <row r="107" spans="1:21" hidden="1" x14ac:dyDescent="0.25">
      <c r="A107">
        <v>102072.6942</v>
      </c>
      <c r="B107">
        <v>979.69389999999999</v>
      </c>
      <c r="C107">
        <v>4</v>
      </c>
      <c r="D107" t="s">
        <v>102</v>
      </c>
      <c r="F107">
        <v>1969</v>
      </c>
      <c r="G107" s="1" t="s">
        <v>68</v>
      </c>
      <c r="H107" s="1" t="s">
        <v>113</v>
      </c>
      <c r="I107">
        <v>0</v>
      </c>
      <c r="J107">
        <v>102072.6652</v>
      </c>
      <c r="K107">
        <v>-2.7999999999999998E-4</v>
      </c>
      <c r="L107">
        <v>2.3500000000000001E-3</v>
      </c>
      <c r="M107">
        <v>0.245</v>
      </c>
      <c r="N107">
        <v>0.27189999999999998</v>
      </c>
      <c r="O107">
        <v>3.2299999999999998E-3</v>
      </c>
      <c r="P107" s="3">
        <f t="shared" si="4"/>
        <v>979.6939405171496</v>
      </c>
      <c r="Q107" s="3">
        <f t="shared" si="5"/>
        <v>-2.7834214199629059E-4</v>
      </c>
      <c r="R107" s="3">
        <f t="shared" si="6"/>
        <v>2.3500000000000001E-3</v>
      </c>
      <c r="S107">
        <f t="shared" si="7"/>
        <v>5</v>
      </c>
      <c r="T107">
        <f>INDEX([1]IDEN_level_ids!$B:$B,MATCH(G107,[1]IDEN_level_ids!$A:$A,0),1)</f>
        <v>1229</v>
      </c>
      <c r="U107">
        <f>INDEX([1]IDEN_level_ids!$B:$B,MATCH(H107,[1]IDEN_level_ids!$A:$A,0),1)</f>
        <v>694</v>
      </c>
    </row>
    <row r="108" spans="1:21" hidden="1" x14ac:dyDescent="0.25">
      <c r="A108">
        <v>101797.77499999999</v>
      </c>
      <c r="B108">
        <v>982.33969999999999</v>
      </c>
      <c r="C108">
        <v>4</v>
      </c>
      <c r="D108" t="s">
        <v>102</v>
      </c>
      <c r="F108">
        <v>1969</v>
      </c>
      <c r="G108" s="1" t="s">
        <v>55</v>
      </c>
      <c r="H108" s="1" t="s">
        <v>110</v>
      </c>
      <c r="I108">
        <v>0</v>
      </c>
      <c r="J108">
        <v>101797.54489999999</v>
      </c>
      <c r="K108">
        <v>-2.2200000000000002E-3</v>
      </c>
      <c r="L108">
        <v>2.3600000000000001E-3</v>
      </c>
      <c r="M108">
        <v>0.245</v>
      </c>
      <c r="N108">
        <v>0.15770000000000001</v>
      </c>
      <c r="O108">
        <v>2.81E-3</v>
      </c>
      <c r="P108" s="3">
        <f t="shared" si="4"/>
        <v>982.33974170850001</v>
      </c>
      <c r="Q108" s="3">
        <f t="shared" si="5"/>
        <v>-2.2204501572105073E-3</v>
      </c>
      <c r="R108" s="3">
        <f t="shared" si="6"/>
        <v>2.3600000000000001E-3</v>
      </c>
      <c r="S108">
        <f t="shared" si="7"/>
        <v>5</v>
      </c>
      <c r="T108">
        <f>INDEX([1]IDEN_level_ids!$B:$B,MATCH(G108,[1]IDEN_level_ids!$A:$A,0),1)</f>
        <v>1233</v>
      </c>
      <c r="U108">
        <f>INDEX([1]IDEN_level_ids!$B:$B,MATCH(H108,[1]IDEN_level_ids!$A:$A,0),1)</f>
        <v>730</v>
      </c>
    </row>
    <row r="109" spans="1:21" hidden="1" x14ac:dyDescent="0.25">
      <c r="A109">
        <v>101759.51149999999</v>
      </c>
      <c r="B109">
        <v>982.70910000000003</v>
      </c>
      <c r="C109">
        <v>4</v>
      </c>
      <c r="D109" t="s">
        <v>102</v>
      </c>
      <c r="F109">
        <v>1969</v>
      </c>
      <c r="G109" s="1" t="s">
        <v>51</v>
      </c>
      <c r="H109" s="1" t="s">
        <v>114</v>
      </c>
      <c r="I109">
        <v>0</v>
      </c>
      <c r="J109">
        <v>101759.29090000001</v>
      </c>
      <c r="K109">
        <v>-2.1299999999999999E-3</v>
      </c>
      <c r="L109">
        <v>2.3700000000000001E-3</v>
      </c>
      <c r="M109">
        <v>0.245</v>
      </c>
      <c r="N109">
        <v>5.8900000000000001E-2</v>
      </c>
      <c r="O109">
        <v>2.5100000000000001E-3</v>
      </c>
      <c r="P109" s="3">
        <f t="shared" si="4"/>
        <v>982.70912002166995</v>
      </c>
      <c r="Q109" s="3">
        <f t="shared" si="5"/>
        <v>-2.1303767936160511E-3</v>
      </c>
      <c r="R109" s="3">
        <f t="shared" si="6"/>
        <v>2.3700000000000001E-3</v>
      </c>
      <c r="S109">
        <f t="shared" si="7"/>
        <v>5</v>
      </c>
      <c r="T109">
        <f>INDEX([1]IDEN_level_ids!$B:$B,MATCH(G109,[1]IDEN_level_ids!$A:$A,0),1)</f>
        <v>1213</v>
      </c>
      <c r="U109">
        <f>INDEX([1]IDEN_level_ids!$B:$B,MATCH(H109,[1]IDEN_level_ids!$A:$A,0),1)</f>
        <v>645</v>
      </c>
    </row>
    <row r="110" spans="1:21" hidden="1" x14ac:dyDescent="0.25">
      <c r="A110">
        <v>101750.5077</v>
      </c>
      <c r="B110">
        <v>982.79610000000002</v>
      </c>
      <c r="C110">
        <v>4</v>
      </c>
      <c r="D110" t="s">
        <v>102</v>
      </c>
      <c r="F110">
        <v>1969</v>
      </c>
      <c r="G110" s="1" t="s">
        <v>41</v>
      </c>
      <c r="H110" s="1" t="s">
        <v>103</v>
      </c>
      <c r="I110">
        <v>0</v>
      </c>
      <c r="J110">
        <v>101750.4221</v>
      </c>
      <c r="K110">
        <v>-8.3000000000000001E-4</v>
      </c>
      <c r="L110">
        <v>2.3700000000000001E-3</v>
      </c>
      <c r="M110">
        <v>0.245</v>
      </c>
      <c r="N110">
        <v>4.4200000000000003E-2</v>
      </c>
      <c r="O110">
        <v>2.48E-3</v>
      </c>
      <c r="P110" s="3">
        <f t="shared" si="4"/>
        <v>982.79607896246398</v>
      </c>
      <c r="Q110" s="3">
        <f t="shared" si="5"/>
        <v>-8.2680093726139603E-4</v>
      </c>
      <c r="R110" s="3">
        <f t="shared" si="6"/>
        <v>2.3700000000000001E-3</v>
      </c>
      <c r="S110">
        <f t="shared" si="7"/>
        <v>5</v>
      </c>
      <c r="T110">
        <f>INDEX([1]IDEN_level_ids!$B:$B,MATCH(G110,[1]IDEN_level_ids!$A:$A,0),1)</f>
        <v>1238</v>
      </c>
      <c r="U110">
        <f>INDEX([1]IDEN_level_ids!$B:$B,MATCH(H110,[1]IDEN_level_ids!$A:$A,0),1)</f>
        <v>745</v>
      </c>
    </row>
    <row r="111" spans="1:21" hidden="1" x14ac:dyDescent="0.25">
      <c r="A111">
        <v>101432.21120000001</v>
      </c>
      <c r="B111">
        <v>985.88009999999997</v>
      </c>
      <c r="C111">
        <v>4</v>
      </c>
      <c r="D111" t="s">
        <v>102</v>
      </c>
      <c r="F111">
        <v>1969</v>
      </c>
      <c r="G111" s="1" t="s">
        <v>115</v>
      </c>
      <c r="H111" s="1" t="s">
        <v>116</v>
      </c>
      <c r="I111">
        <v>0</v>
      </c>
      <c r="J111">
        <v>101432.11109999999</v>
      </c>
      <c r="K111">
        <v>-9.7000000000000005E-4</v>
      </c>
      <c r="L111">
        <v>2.3800000000000002E-3</v>
      </c>
      <c r="M111">
        <v>0.245</v>
      </c>
      <c r="N111">
        <v>2.7799999999999998E-2</v>
      </c>
      <c r="O111">
        <v>2.4499999999999999E-3</v>
      </c>
      <c r="P111" s="3">
        <f t="shared" si="4"/>
        <v>985.88011458040648</v>
      </c>
      <c r="Q111" s="3">
        <f t="shared" si="5"/>
        <v>-9.7293252019881038E-4</v>
      </c>
      <c r="R111" s="3">
        <f t="shared" si="6"/>
        <v>2.3800000000000002E-3</v>
      </c>
      <c r="S111">
        <f t="shared" si="7"/>
        <v>5</v>
      </c>
      <c r="T111">
        <f>INDEX([1]IDEN_level_ids!$B:$B,MATCH(G111,[1]IDEN_level_ids!$A:$A,0),1)</f>
        <v>1252</v>
      </c>
      <c r="U111">
        <f>INDEX([1]IDEN_level_ids!$B:$B,MATCH(H111,[1]IDEN_level_ids!$A:$A,0),1)</f>
        <v>879</v>
      </c>
    </row>
    <row r="112" spans="1:21" hidden="1" x14ac:dyDescent="0.25">
      <c r="A112">
        <v>101314.7813</v>
      </c>
      <c r="B112">
        <v>987.02279999999996</v>
      </c>
      <c r="C112">
        <v>4</v>
      </c>
      <c r="D112" t="s">
        <v>102</v>
      </c>
      <c r="F112">
        <v>1969</v>
      </c>
      <c r="G112" s="1" t="s">
        <v>117</v>
      </c>
      <c r="H112" s="1" t="s">
        <v>90</v>
      </c>
      <c r="I112">
        <v>0</v>
      </c>
      <c r="J112">
        <v>101314.7075</v>
      </c>
      <c r="K112">
        <v>-7.2000000000000005E-4</v>
      </c>
      <c r="L112">
        <v>2.3900000000000002E-3</v>
      </c>
      <c r="M112">
        <v>0.245</v>
      </c>
      <c r="N112">
        <v>0.2195</v>
      </c>
      <c r="O112">
        <v>3.0599999999999998E-3</v>
      </c>
      <c r="P112" s="3">
        <f t="shared" si="4"/>
        <v>987.02280868467903</v>
      </c>
      <c r="Q112" s="3">
        <f t="shared" si="5"/>
        <v>-7.1897047405400372E-4</v>
      </c>
      <c r="R112" s="3">
        <f t="shared" si="6"/>
        <v>2.3900000000000002E-3</v>
      </c>
      <c r="S112">
        <f t="shared" si="7"/>
        <v>5</v>
      </c>
      <c r="T112">
        <f>INDEX([1]IDEN_level_ids!$B:$B,MATCH(G112,[1]IDEN_level_ids!$A:$A,0),1)</f>
        <v>1162</v>
      </c>
      <c r="U112">
        <f>INDEX([1]IDEN_level_ids!$B:$B,MATCH(H112,[1]IDEN_level_ids!$A:$A,0),1)</f>
        <v>540</v>
      </c>
    </row>
    <row r="113" spans="1:21" hidden="1" x14ac:dyDescent="0.25">
      <c r="A113">
        <v>101281.81110000001</v>
      </c>
      <c r="B113">
        <v>987.34410000000003</v>
      </c>
      <c r="C113">
        <v>4</v>
      </c>
      <c r="D113" t="s">
        <v>102</v>
      </c>
      <c r="F113">
        <v>1969</v>
      </c>
      <c r="G113" s="1" t="s">
        <v>118</v>
      </c>
      <c r="H113" s="1" t="s">
        <v>119</v>
      </c>
      <c r="I113">
        <v>0</v>
      </c>
      <c r="J113">
        <v>101281.63129999999</v>
      </c>
      <c r="K113">
        <v>-1.75E-3</v>
      </c>
      <c r="L113">
        <v>2.3900000000000002E-3</v>
      </c>
      <c r="M113">
        <v>0.245</v>
      </c>
      <c r="N113">
        <v>0.15090000000000001</v>
      </c>
      <c r="O113">
        <v>2.81E-3</v>
      </c>
      <c r="P113" s="3">
        <f t="shared" si="4"/>
        <v>987.34411355722682</v>
      </c>
      <c r="Q113" s="3">
        <f t="shared" si="5"/>
        <v>-1.7527805323425127E-3</v>
      </c>
      <c r="R113" s="3">
        <f t="shared" si="6"/>
        <v>2.3900000000000002E-3</v>
      </c>
      <c r="S113">
        <f t="shared" si="7"/>
        <v>5</v>
      </c>
      <c r="T113">
        <f>INDEX([1]IDEN_level_ids!$B:$B,MATCH(G113,[1]IDEN_level_ids!$A:$A,0),1)</f>
        <v>1237</v>
      </c>
      <c r="U113">
        <f>INDEX([1]IDEN_level_ids!$B:$B,MATCH(H113,[1]IDEN_level_ids!$A:$A,0),1)</f>
        <v>741</v>
      </c>
    </row>
    <row r="114" spans="1:21" hidden="1" x14ac:dyDescent="0.25">
      <c r="A114">
        <v>101178.4123</v>
      </c>
      <c r="B114">
        <v>988.35310000000004</v>
      </c>
      <c r="C114">
        <v>4</v>
      </c>
      <c r="D114" t="s">
        <v>102</v>
      </c>
      <c r="F114">
        <v>1969</v>
      </c>
      <c r="G114" s="1" t="s">
        <v>120</v>
      </c>
      <c r="H114" s="1" t="s">
        <v>121</v>
      </c>
      <c r="I114">
        <v>0</v>
      </c>
      <c r="J114">
        <v>101178.3863</v>
      </c>
      <c r="K114">
        <v>-2.5000000000000001E-4</v>
      </c>
      <c r="L114">
        <v>2.3900000000000002E-3</v>
      </c>
      <c r="M114">
        <v>0.245</v>
      </c>
      <c r="N114">
        <v>2.6100000000000002E-2</v>
      </c>
      <c r="O114">
        <v>2.4599999999999999E-3</v>
      </c>
      <c r="P114" s="3">
        <f t="shared" si="4"/>
        <v>988.35312520514822</v>
      </c>
      <c r="Q114" s="3">
        <f t="shared" si="5"/>
        <v>-2.5397895922196767E-4</v>
      </c>
      <c r="R114" s="3">
        <f t="shared" si="6"/>
        <v>2.3900000000000002E-3</v>
      </c>
      <c r="S114">
        <f t="shared" si="7"/>
        <v>5</v>
      </c>
      <c r="T114">
        <f>INDEX([1]IDEN_level_ids!$B:$B,MATCH(G114,[1]IDEN_level_ids!$A:$A,0),1)</f>
        <v>1250</v>
      </c>
      <c r="U114">
        <f>INDEX([1]IDEN_level_ids!$B:$B,MATCH(H114,[1]IDEN_level_ids!$A:$A,0),1)</f>
        <v>860</v>
      </c>
    </row>
    <row r="115" spans="1:21" hidden="1" x14ac:dyDescent="0.25">
      <c r="A115">
        <v>101073.2987</v>
      </c>
      <c r="B115">
        <v>989.38099999999997</v>
      </c>
      <c r="C115">
        <v>4</v>
      </c>
      <c r="D115" t="s">
        <v>102</v>
      </c>
      <c r="F115">
        <v>1969</v>
      </c>
      <c r="G115" s="1" t="s">
        <v>22</v>
      </c>
      <c r="H115" s="1" t="s">
        <v>122</v>
      </c>
      <c r="I115">
        <v>0</v>
      </c>
      <c r="J115">
        <v>101073.18979999999</v>
      </c>
      <c r="K115">
        <v>-1.07E-3</v>
      </c>
      <c r="L115">
        <v>2.3999999999999998E-3</v>
      </c>
      <c r="M115">
        <v>0.245</v>
      </c>
      <c r="N115">
        <v>3.32E-2</v>
      </c>
      <c r="O115">
        <v>2.48E-3</v>
      </c>
      <c r="P115" s="3">
        <f t="shared" si="4"/>
        <v>989.38098673136506</v>
      </c>
      <c r="Q115" s="3">
        <f t="shared" si="5"/>
        <v>-1.0659957371217388E-3</v>
      </c>
      <c r="R115" s="3">
        <f t="shared" si="6"/>
        <v>2.3999999999999998E-3</v>
      </c>
      <c r="S115">
        <f t="shared" si="7"/>
        <v>5</v>
      </c>
      <c r="T115">
        <f>INDEX([1]IDEN_level_ids!$B:$B,MATCH(G115,[1]IDEN_level_ids!$A:$A,0),1)</f>
        <v>1236</v>
      </c>
      <c r="U115">
        <f>INDEX([1]IDEN_level_ids!$B:$B,MATCH(H115,[1]IDEN_level_ids!$A:$A,0),1)</f>
        <v>750</v>
      </c>
    </row>
    <row r="116" spans="1:21" hidden="1" x14ac:dyDescent="0.25">
      <c r="A116">
        <v>101048.1866</v>
      </c>
      <c r="B116">
        <v>989.62689999999998</v>
      </c>
      <c r="C116">
        <v>4</v>
      </c>
      <c r="D116" t="s">
        <v>102</v>
      </c>
      <c r="F116">
        <v>1969</v>
      </c>
      <c r="G116" s="1" t="s">
        <v>27</v>
      </c>
      <c r="H116" s="1" t="s">
        <v>123</v>
      </c>
      <c r="I116">
        <v>0</v>
      </c>
      <c r="J116">
        <v>101048.0754</v>
      </c>
      <c r="K116">
        <v>-1.09E-3</v>
      </c>
      <c r="L116">
        <v>2.3999999999999998E-3</v>
      </c>
      <c r="M116">
        <v>0.245</v>
      </c>
      <c r="N116">
        <v>3.32E-2</v>
      </c>
      <c r="O116">
        <v>2.48E-3</v>
      </c>
      <c r="P116" s="3">
        <f t="shared" si="4"/>
        <v>989.6268638234028</v>
      </c>
      <c r="Q116" s="3">
        <f t="shared" si="5"/>
        <v>-1.0890509970522544E-3</v>
      </c>
      <c r="R116" s="3">
        <f t="shared" si="6"/>
        <v>2.3999999999999998E-3</v>
      </c>
      <c r="S116">
        <f t="shared" si="7"/>
        <v>5</v>
      </c>
      <c r="T116">
        <f>INDEX([1]IDEN_level_ids!$B:$B,MATCH(G116,[1]IDEN_level_ids!$A:$A,0),1)</f>
        <v>1242</v>
      </c>
      <c r="U116">
        <f>INDEX([1]IDEN_level_ids!$B:$B,MATCH(H116,[1]IDEN_level_ids!$A:$A,0),1)</f>
        <v>775</v>
      </c>
    </row>
    <row r="117" spans="1:21" hidden="1" x14ac:dyDescent="0.25">
      <c r="A117">
        <v>100933.6177</v>
      </c>
      <c r="B117">
        <v>990.75019999999995</v>
      </c>
      <c r="C117">
        <v>4</v>
      </c>
      <c r="D117" t="s">
        <v>102</v>
      </c>
      <c r="F117">
        <v>1969</v>
      </c>
      <c r="G117" s="1" t="s">
        <v>27</v>
      </c>
      <c r="H117" s="1" t="s">
        <v>124</v>
      </c>
      <c r="I117">
        <v>0</v>
      </c>
      <c r="J117">
        <v>100933.68979999999</v>
      </c>
      <c r="K117">
        <v>7.1000000000000002E-4</v>
      </c>
      <c r="L117">
        <v>2.3999999999999998E-3</v>
      </c>
      <c r="M117">
        <v>0.245</v>
      </c>
      <c r="N117">
        <v>3.0300000000000001E-2</v>
      </c>
      <c r="O117">
        <v>2.48E-3</v>
      </c>
      <c r="P117" s="3">
        <f t="shared" si="4"/>
        <v>990.75018094788845</v>
      </c>
      <c r="Q117" s="3">
        <f t="shared" si="5"/>
        <v>7.0772294338894426E-4</v>
      </c>
      <c r="R117" s="3">
        <f t="shared" si="6"/>
        <v>2.3999999999999998E-3</v>
      </c>
      <c r="S117">
        <f t="shared" si="7"/>
        <v>5</v>
      </c>
      <c r="T117">
        <f>INDEX([1]IDEN_level_ids!$B:$B,MATCH(G117,[1]IDEN_level_ids!$A:$A,0),1)</f>
        <v>1242</v>
      </c>
      <c r="U117">
        <f>INDEX([1]IDEN_level_ids!$B:$B,MATCH(H117,[1]IDEN_level_ids!$A:$A,0),1)</f>
        <v>776</v>
      </c>
    </row>
    <row r="118" spans="1:21" hidden="1" x14ac:dyDescent="0.25">
      <c r="A118">
        <v>100789.29059999999</v>
      </c>
      <c r="B118">
        <v>992.16890000000001</v>
      </c>
      <c r="C118">
        <v>4</v>
      </c>
      <c r="D118" t="s">
        <v>102</v>
      </c>
      <c r="F118">
        <v>1969</v>
      </c>
      <c r="G118" s="1" t="s">
        <v>125</v>
      </c>
      <c r="H118" s="1" t="s">
        <v>126</v>
      </c>
      <c r="I118">
        <v>0</v>
      </c>
      <c r="J118">
        <v>100788.9871</v>
      </c>
      <c r="K118">
        <v>-2.99E-3</v>
      </c>
      <c r="L118">
        <v>2.4099999999999998E-3</v>
      </c>
      <c r="M118">
        <v>0.245</v>
      </c>
      <c r="N118">
        <v>2.35E-2</v>
      </c>
      <c r="O118">
        <v>2.47E-3</v>
      </c>
      <c r="P118" s="3">
        <f t="shared" si="4"/>
        <v>992.16890410378585</v>
      </c>
      <c r="Q118" s="3">
        <f t="shared" si="5"/>
        <v>-2.987660369058176E-3</v>
      </c>
      <c r="R118" s="3">
        <f t="shared" si="6"/>
        <v>2.4099999999999998E-3</v>
      </c>
      <c r="S118">
        <f t="shared" si="7"/>
        <v>5</v>
      </c>
      <c r="T118">
        <f>INDEX([1]IDEN_level_ids!$B:$B,MATCH(G118,[1]IDEN_level_ids!$A:$A,0),1)</f>
        <v>1253</v>
      </c>
      <c r="U118">
        <f>INDEX([1]IDEN_level_ids!$B:$B,MATCH(H118,[1]IDEN_level_ids!$A:$A,0),1)</f>
        <v>892</v>
      </c>
    </row>
    <row r="119" spans="1:21" hidden="1" x14ac:dyDescent="0.25">
      <c r="A119">
        <v>100662.1781</v>
      </c>
      <c r="B119">
        <v>993.42179999999996</v>
      </c>
      <c r="C119">
        <v>4</v>
      </c>
      <c r="D119" t="s">
        <v>102</v>
      </c>
      <c r="F119">
        <v>1969</v>
      </c>
      <c r="G119" s="1" t="s">
        <v>18</v>
      </c>
      <c r="H119" s="1" t="s">
        <v>107</v>
      </c>
      <c r="I119">
        <v>0</v>
      </c>
      <c r="J119">
        <v>100662.0705</v>
      </c>
      <c r="K119">
        <v>-1.06E-3</v>
      </c>
      <c r="L119">
        <v>2.4199999999999998E-3</v>
      </c>
      <c r="M119">
        <v>0.245</v>
      </c>
      <c r="N119">
        <v>3.3000000000000002E-2</v>
      </c>
      <c r="O119">
        <v>2.5000000000000001E-3</v>
      </c>
      <c r="P119" s="3">
        <f t="shared" si="4"/>
        <v>993.42177854186525</v>
      </c>
      <c r="Q119" s="3">
        <f t="shared" si="5"/>
        <v>-1.0618913642019834E-3</v>
      </c>
      <c r="R119" s="3">
        <f t="shared" si="6"/>
        <v>2.4199999999999998E-3</v>
      </c>
      <c r="S119">
        <f t="shared" si="7"/>
        <v>5</v>
      </c>
      <c r="T119">
        <f>INDEX([1]IDEN_level_ids!$B:$B,MATCH(G119,[1]IDEN_level_ids!$A:$A,0),1)</f>
        <v>1226</v>
      </c>
      <c r="U119">
        <f>INDEX([1]IDEN_level_ids!$B:$B,MATCH(H119,[1]IDEN_level_ids!$A:$A,0),1)</f>
        <v>714</v>
      </c>
    </row>
    <row r="120" spans="1:21" hidden="1" x14ac:dyDescent="0.25">
      <c r="A120">
        <v>100639.88430000001</v>
      </c>
      <c r="B120">
        <v>993.64179999999999</v>
      </c>
      <c r="C120">
        <v>4</v>
      </c>
      <c r="D120" t="s">
        <v>102</v>
      </c>
      <c r="F120">
        <v>1969</v>
      </c>
      <c r="G120" s="1" t="s">
        <v>22</v>
      </c>
      <c r="H120" s="1" t="s">
        <v>127</v>
      </c>
      <c r="I120">
        <v>0</v>
      </c>
      <c r="J120">
        <v>100639.6624</v>
      </c>
      <c r="K120">
        <v>-2.1900000000000001E-3</v>
      </c>
      <c r="L120">
        <v>2.4199999999999998E-3</v>
      </c>
      <c r="M120">
        <v>0.245</v>
      </c>
      <c r="N120">
        <v>3.7600000000000001E-2</v>
      </c>
      <c r="O120">
        <v>2.5100000000000001E-3</v>
      </c>
      <c r="P120" s="3">
        <f t="shared" si="4"/>
        <v>993.64184185573424</v>
      </c>
      <c r="Q120" s="3">
        <f t="shared" si="5"/>
        <v>-2.1908770305572034E-3</v>
      </c>
      <c r="R120" s="3">
        <f t="shared" si="6"/>
        <v>2.4199999999999998E-3</v>
      </c>
      <c r="S120">
        <f t="shared" si="7"/>
        <v>5</v>
      </c>
      <c r="T120">
        <f>INDEX([1]IDEN_level_ids!$B:$B,MATCH(G120,[1]IDEN_level_ids!$A:$A,0),1)</f>
        <v>1236</v>
      </c>
      <c r="U120">
        <f>INDEX([1]IDEN_level_ids!$B:$B,MATCH(H120,[1]IDEN_level_ids!$A:$A,0),1)</f>
        <v>760</v>
      </c>
    </row>
    <row r="121" spans="1:21" hidden="1" x14ac:dyDescent="0.25">
      <c r="A121">
        <v>100624.3873</v>
      </c>
      <c r="B121">
        <v>993.79489999999998</v>
      </c>
      <c r="C121">
        <v>4</v>
      </c>
      <c r="D121" t="s">
        <v>102</v>
      </c>
      <c r="F121">
        <v>1969</v>
      </c>
      <c r="G121" s="1" t="s">
        <v>118</v>
      </c>
      <c r="H121" s="1" t="s">
        <v>128</v>
      </c>
      <c r="I121">
        <v>0</v>
      </c>
      <c r="J121">
        <v>100624.2309</v>
      </c>
      <c r="K121">
        <v>-1.5399999999999999E-3</v>
      </c>
      <c r="L121">
        <v>2.4199999999999998E-3</v>
      </c>
      <c r="M121">
        <v>0.245</v>
      </c>
      <c r="N121">
        <v>6.1800000000000001E-2</v>
      </c>
      <c r="O121">
        <v>2.5799999999999998E-3</v>
      </c>
      <c r="P121" s="3">
        <f t="shared" si="4"/>
        <v>993.79487103719237</v>
      </c>
      <c r="Q121" s="3">
        <f t="shared" si="5"/>
        <v>-1.5446529771452333E-3</v>
      </c>
      <c r="R121" s="3">
        <f t="shared" si="6"/>
        <v>2.4199999999999998E-3</v>
      </c>
      <c r="S121">
        <f t="shared" si="7"/>
        <v>5</v>
      </c>
      <c r="T121">
        <f>INDEX([1]IDEN_level_ids!$B:$B,MATCH(G121,[1]IDEN_level_ids!$A:$A,0),1)</f>
        <v>1237</v>
      </c>
      <c r="U121">
        <f>INDEX([1]IDEN_level_ids!$B:$B,MATCH(H121,[1]IDEN_level_ids!$A:$A,0),1)</f>
        <v>756</v>
      </c>
    </row>
    <row r="122" spans="1:21" hidden="1" x14ac:dyDescent="0.25">
      <c r="A122">
        <v>100596.0156</v>
      </c>
      <c r="B122">
        <v>994.0752</v>
      </c>
      <c r="C122">
        <v>4</v>
      </c>
      <c r="D122" t="s">
        <v>102</v>
      </c>
      <c r="F122">
        <v>1969</v>
      </c>
      <c r="G122" s="1" t="s">
        <v>120</v>
      </c>
      <c r="H122" s="1" t="s">
        <v>129</v>
      </c>
      <c r="I122">
        <v>0</v>
      </c>
      <c r="J122">
        <v>100595.97139999999</v>
      </c>
      <c r="K122">
        <v>-4.4000000000000002E-4</v>
      </c>
      <c r="L122">
        <v>2.4199999999999998E-3</v>
      </c>
      <c r="M122">
        <v>0.245</v>
      </c>
      <c r="N122">
        <v>2.3400000000000001E-2</v>
      </c>
      <c r="O122">
        <v>2.48E-3</v>
      </c>
      <c r="P122" s="3">
        <f t="shared" si="4"/>
        <v>994.07515698862335</v>
      </c>
      <c r="Q122" s="3">
        <f t="shared" si="5"/>
        <v>-4.3677814653619862E-4</v>
      </c>
      <c r="R122" s="3">
        <f t="shared" si="6"/>
        <v>2.4199999999999998E-3</v>
      </c>
      <c r="S122">
        <f t="shared" si="7"/>
        <v>5</v>
      </c>
      <c r="T122">
        <f>INDEX([1]IDEN_level_ids!$B:$B,MATCH(G122,[1]IDEN_level_ids!$A:$A,0),1)</f>
        <v>1250</v>
      </c>
      <c r="U122">
        <f>INDEX([1]IDEN_level_ids!$B:$B,MATCH(H122,[1]IDEN_level_ids!$A:$A,0),1)</f>
        <v>866</v>
      </c>
    </row>
    <row r="123" spans="1:21" hidden="1" x14ac:dyDescent="0.25">
      <c r="A123">
        <v>100543.1168</v>
      </c>
      <c r="B123">
        <v>994.59820000000002</v>
      </c>
      <c r="C123">
        <v>4</v>
      </c>
      <c r="D123" t="s">
        <v>102</v>
      </c>
      <c r="F123">
        <v>1969</v>
      </c>
      <c r="G123" s="1" t="s">
        <v>22</v>
      </c>
      <c r="H123" s="1" t="s">
        <v>130</v>
      </c>
      <c r="I123">
        <v>0</v>
      </c>
      <c r="J123">
        <v>100543.20209999999</v>
      </c>
      <c r="K123">
        <v>8.4000000000000003E-4</v>
      </c>
      <c r="L123">
        <v>2.4199999999999998E-3</v>
      </c>
      <c r="M123">
        <v>0.245</v>
      </c>
      <c r="N123">
        <v>4.4299999999999999E-2</v>
      </c>
      <c r="O123">
        <v>2.5400000000000002E-3</v>
      </c>
      <c r="P123" s="3">
        <f t="shared" si="4"/>
        <v>994.59817024490724</v>
      </c>
      <c r="Q123" s="3">
        <f t="shared" si="5"/>
        <v>8.4380865280309081E-4</v>
      </c>
      <c r="R123" s="3">
        <f t="shared" si="6"/>
        <v>2.4199999999999998E-3</v>
      </c>
      <c r="S123">
        <f t="shared" si="7"/>
        <v>5</v>
      </c>
      <c r="T123">
        <f>INDEX([1]IDEN_level_ids!$B:$B,MATCH(G123,[1]IDEN_level_ids!$A:$A,0),1)</f>
        <v>1236</v>
      </c>
      <c r="U123">
        <f>INDEX([1]IDEN_level_ids!$B:$B,MATCH(H123,[1]IDEN_level_ids!$A:$A,0),1)</f>
        <v>761</v>
      </c>
    </row>
    <row r="124" spans="1:21" hidden="1" x14ac:dyDescent="0.25">
      <c r="A124">
        <v>100464.4234</v>
      </c>
      <c r="B124">
        <v>995.37720000000002</v>
      </c>
      <c r="C124">
        <v>4</v>
      </c>
      <c r="D124" t="s">
        <v>102</v>
      </c>
      <c r="F124">
        <v>1969</v>
      </c>
      <c r="G124" s="1" t="s">
        <v>22</v>
      </c>
      <c r="H124" s="1" t="s">
        <v>131</v>
      </c>
      <c r="I124">
        <v>0</v>
      </c>
      <c r="J124">
        <v>100464.4627</v>
      </c>
      <c r="K124">
        <v>3.8999999999999999E-4</v>
      </c>
      <c r="L124">
        <v>2.4299999999999999E-3</v>
      </c>
      <c r="M124">
        <v>0.245</v>
      </c>
      <c r="N124">
        <v>3.7100000000000001E-2</v>
      </c>
      <c r="O124">
        <v>2.5200000000000001E-3</v>
      </c>
      <c r="P124" s="3">
        <f t="shared" si="4"/>
        <v>995.37723520145141</v>
      </c>
      <c r="Q124" s="3">
        <f t="shared" si="5"/>
        <v>3.8937475301281665E-4</v>
      </c>
      <c r="R124" s="3">
        <f t="shared" si="6"/>
        <v>2.4299999999999999E-3</v>
      </c>
      <c r="S124">
        <f t="shared" si="7"/>
        <v>5</v>
      </c>
      <c r="T124">
        <f>INDEX([1]IDEN_level_ids!$B:$B,MATCH(G124,[1]IDEN_level_ids!$A:$A,0),1)</f>
        <v>1236</v>
      </c>
      <c r="U124">
        <f>INDEX([1]IDEN_level_ids!$B:$B,MATCH(H124,[1]IDEN_level_ids!$A:$A,0),1)</f>
        <v>764</v>
      </c>
    </row>
    <row r="125" spans="1:21" hidden="1" x14ac:dyDescent="0.25">
      <c r="A125">
        <v>100405.9204</v>
      </c>
      <c r="B125">
        <v>995.95719999999994</v>
      </c>
      <c r="C125">
        <v>4</v>
      </c>
      <c r="D125" t="s">
        <v>102</v>
      </c>
      <c r="F125">
        <v>1969</v>
      </c>
      <c r="G125" s="1" t="s">
        <v>56</v>
      </c>
      <c r="H125" s="1" t="s">
        <v>132</v>
      </c>
      <c r="I125">
        <v>0</v>
      </c>
      <c r="J125">
        <v>100405.5619</v>
      </c>
      <c r="K125">
        <v>-3.5599999999999998E-3</v>
      </c>
      <c r="L125">
        <v>2.4299999999999999E-3</v>
      </c>
      <c r="M125">
        <v>0.245</v>
      </c>
      <c r="N125">
        <v>9.8400000000000001E-2</v>
      </c>
      <c r="O125">
        <v>2.7000000000000001E-3</v>
      </c>
      <c r="P125" s="3">
        <f t="shared" si="4"/>
        <v>995.95720652345119</v>
      </c>
      <c r="Q125" s="3">
        <f t="shared" si="5"/>
        <v>-3.5560844617066323E-3</v>
      </c>
      <c r="R125" s="3">
        <f t="shared" si="6"/>
        <v>2.4299999999999999E-3</v>
      </c>
      <c r="S125">
        <f t="shared" si="7"/>
        <v>5</v>
      </c>
      <c r="T125">
        <f>INDEX([1]IDEN_level_ids!$B:$B,MATCH(G125,[1]IDEN_level_ids!$A:$A,0),1)</f>
        <v>1221</v>
      </c>
      <c r="U125">
        <f>INDEX([1]IDEN_level_ids!$B:$B,MATCH(H125,[1]IDEN_level_ids!$A:$A,0),1)</f>
        <v>696</v>
      </c>
    </row>
    <row r="126" spans="1:21" hidden="1" x14ac:dyDescent="0.25">
      <c r="A126">
        <v>100369.2794</v>
      </c>
      <c r="B126">
        <v>996.32079999999996</v>
      </c>
      <c r="C126">
        <v>4</v>
      </c>
      <c r="D126" t="s">
        <v>102</v>
      </c>
      <c r="F126">
        <v>1969</v>
      </c>
      <c r="G126" s="1" t="s">
        <v>33</v>
      </c>
      <c r="H126" s="1" t="s">
        <v>99</v>
      </c>
      <c r="I126">
        <v>0</v>
      </c>
      <c r="J126">
        <v>100369.4167</v>
      </c>
      <c r="K126">
        <v>1.3600000000000001E-3</v>
      </c>
      <c r="L126">
        <v>2.4299999999999999E-3</v>
      </c>
      <c r="M126">
        <v>0.245</v>
      </c>
      <c r="N126">
        <v>3.61E-2</v>
      </c>
      <c r="O126">
        <v>2.5200000000000001E-3</v>
      </c>
      <c r="P126" s="3">
        <f t="shared" si="4"/>
        <v>996.32079255517704</v>
      </c>
      <c r="Q126" s="3">
        <f t="shared" si="5"/>
        <v>1.3629136177542023E-3</v>
      </c>
      <c r="R126" s="3">
        <f t="shared" si="6"/>
        <v>2.4299999999999999E-3</v>
      </c>
      <c r="S126">
        <f t="shared" si="7"/>
        <v>5</v>
      </c>
      <c r="T126">
        <f>INDEX([1]IDEN_level_ids!$B:$B,MATCH(G126,[1]IDEN_level_ids!$A:$A,0),1)</f>
        <v>1220</v>
      </c>
      <c r="U126">
        <f>INDEX([1]IDEN_level_ids!$B:$B,MATCH(H126,[1]IDEN_level_ids!$A:$A,0),1)</f>
        <v>689</v>
      </c>
    </row>
    <row r="127" spans="1:21" hidden="1" x14ac:dyDescent="0.25">
      <c r="A127">
        <v>100358.7914</v>
      </c>
      <c r="B127">
        <v>996.42489999999998</v>
      </c>
      <c r="C127">
        <v>4</v>
      </c>
      <c r="D127" t="s">
        <v>102</v>
      </c>
      <c r="F127">
        <v>1969</v>
      </c>
      <c r="G127" s="1" t="s">
        <v>22</v>
      </c>
      <c r="H127" s="1" t="s">
        <v>133</v>
      </c>
      <c r="I127">
        <v>0</v>
      </c>
      <c r="J127">
        <v>100358.7028</v>
      </c>
      <c r="K127">
        <v>-8.8000000000000003E-4</v>
      </c>
      <c r="L127">
        <v>2.4299999999999999E-3</v>
      </c>
      <c r="M127">
        <v>0.245</v>
      </c>
      <c r="N127">
        <v>2.07E-2</v>
      </c>
      <c r="O127">
        <v>2.48E-3</v>
      </c>
      <c r="P127" s="3">
        <f t="shared" si="4"/>
        <v>996.42491310432422</v>
      </c>
      <c r="Q127" s="3">
        <f t="shared" si="5"/>
        <v>-8.7967704678248992E-4</v>
      </c>
      <c r="R127" s="3">
        <f t="shared" si="6"/>
        <v>2.4299999999999999E-3</v>
      </c>
      <c r="S127">
        <f t="shared" si="7"/>
        <v>5</v>
      </c>
      <c r="T127">
        <f>INDEX([1]IDEN_level_ids!$B:$B,MATCH(G127,[1]IDEN_level_ids!$A:$A,0),1)</f>
        <v>1236</v>
      </c>
      <c r="U127">
        <f>INDEX([1]IDEN_level_ids!$B:$B,MATCH(H127,[1]IDEN_level_ids!$A:$A,0),1)</f>
        <v>765</v>
      </c>
    </row>
    <row r="128" spans="1:21" hidden="1" x14ac:dyDescent="0.25">
      <c r="A128">
        <v>100296.0871</v>
      </c>
      <c r="B128">
        <v>997.04790000000003</v>
      </c>
      <c r="C128">
        <v>4</v>
      </c>
      <c r="D128" t="s">
        <v>102</v>
      </c>
      <c r="F128">
        <v>1969</v>
      </c>
      <c r="G128" s="1" t="s">
        <v>134</v>
      </c>
      <c r="H128" s="1" t="s">
        <v>17</v>
      </c>
      <c r="I128">
        <v>0</v>
      </c>
      <c r="J128">
        <v>100295.77559999999</v>
      </c>
      <c r="K128">
        <v>-3.0999999999999999E-3</v>
      </c>
      <c r="L128">
        <v>2.4399999999999999E-3</v>
      </c>
      <c r="M128">
        <v>0.245</v>
      </c>
      <c r="N128">
        <v>5.57E-2</v>
      </c>
      <c r="O128">
        <v>2.5799999999999998E-3</v>
      </c>
      <c r="P128" s="3">
        <f t="shared" si="4"/>
        <v>997.04786987647094</v>
      </c>
      <c r="Q128" s="3">
        <f t="shared" si="5"/>
        <v>-3.096644994457165E-3</v>
      </c>
      <c r="R128" s="3">
        <f t="shared" si="6"/>
        <v>2.4399999999999999E-3</v>
      </c>
      <c r="S128">
        <f t="shared" si="7"/>
        <v>5</v>
      </c>
      <c r="T128">
        <f>INDEX([1]IDEN_level_ids!$B:$B,MATCH(G128,[1]IDEN_level_ids!$A:$A,0),1)</f>
        <v>1114</v>
      </c>
      <c r="U128">
        <f>INDEX([1]IDEN_level_ids!$B:$B,MATCH(H128,[1]IDEN_level_ids!$A:$A,0),1)</f>
        <v>271</v>
      </c>
    </row>
    <row r="129" spans="1:21" hidden="1" x14ac:dyDescent="0.25">
      <c r="A129">
        <v>100117.4188</v>
      </c>
      <c r="B129">
        <v>998.82719999999995</v>
      </c>
      <c r="C129">
        <v>4</v>
      </c>
      <c r="D129" t="s">
        <v>102</v>
      </c>
      <c r="F129">
        <v>1969</v>
      </c>
      <c r="G129" s="1" t="s">
        <v>38</v>
      </c>
      <c r="H129" s="1" t="s">
        <v>135</v>
      </c>
      <c r="I129">
        <v>0</v>
      </c>
      <c r="J129">
        <v>100118.1866</v>
      </c>
      <c r="K129">
        <v>7.6600000000000001E-3</v>
      </c>
      <c r="L129">
        <v>2.4399999999999999E-3</v>
      </c>
      <c r="M129">
        <v>0.245</v>
      </c>
      <c r="N129">
        <v>0.27129999999999999</v>
      </c>
      <c r="O129">
        <v>3.3500000000000001E-3</v>
      </c>
      <c r="P129" s="3">
        <f t="shared" si="4"/>
        <v>998.82718910048447</v>
      </c>
      <c r="Q129" s="3">
        <f t="shared" si="5"/>
        <v>7.6599421327046002E-3</v>
      </c>
      <c r="R129" s="3">
        <f t="shared" si="6"/>
        <v>2.4399999999999999E-3</v>
      </c>
      <c r="S129">
        <f t="shared" si="7"/>
        <v>5</v>
      </c>
      <c r="T129">
        <f>INDEX([1]IDEN_level_ids!$B:$B,MATCH(G129,[1]IDEN_level_ids!$A:$A,0),1)</f>
        <v>1201</v>
      </c>
      <c r="U129">
        <f>INDEX([1]IDEN_level_ids!$B:$B,MATCH(H129,[1]IDEN_level_ids!$A:$A,0),1)</f>
        <v>644</v>
      </c>
    </row>
    <row r="130" spans="1:21" hidden="1" x14ac:dyDescent="0.25">
      <c r="A130">
        <v>100107.00719999999</v>
      </c>
      <c r="B130">
        <v>998.93110000000001</v>
      </c>
      <c r="C130">
        <v>4</v>
      </c>
      <c r="D130" t="s">
        <v>102</v>
      </c>
      <c r="F130">
        <v>1969</v>
      </c>
      <c r="G130" s="1" t="s">
        <v>69</v>
      </c>
      <c r="H130" s="1" t="s">
        <v>136</v>
      </c>
      <c r="I130">
        <v>0</v>
      </c>
      <c r="J130">
        <v>100106.8248</v>
      </c>
      <c r="K130">
        <v>-1.82E-3</v>
      </c>
      <c r="L130">
        <v>2.4399999999999999E-3</v>
      </c>
      <c r="M130">
        <v>0.245</v>
      </c>
      <c r="N130">
        <v>0.1053</v>
      </c>
      <c r="O130">
        <v>2.7299999999999998E-3</v>
      </c>
      <c r="P130" s="3">
        <f t="shared" ref="P130:P193" si="8">100000000/$A130</f>
        <v>998.93107183010466</v>
      </c>
      <c r="Q130" s="3">
        <f t="shared" ref="Q130:Q193" si="9">100000000/($A130)-100000000/$J130</f>
        <v>-1.8201059504008299E-3</v>
      </c>
      <c r="R130" s="3">
        <f t="shared" si="6"/>
        <v>2.4399999999999999E-3</v>
      </c>
      <c r="S130">
        <f t="shared" si="7"/>
        <v>5</v>
      </c>
      <c r="T130">
        <f>INDEX([1]IDEN_level_ids!$B:$B,MATCH(G130,[1]IDEN_level_ids!$A:$A,0),1)</f>
        <v>1218</v>
      </c>
      <c r="U130">
        <f>INDEX([1]IDEN_level_ids!$B:$B,MATCH(H130,[1]IDEN_level_ids!$A:$A,0),1)</f>
        <v>700</v>
      </c>
    </row>
    <row r="131" spans="1:21" hidden="1" x14ac:dyDescent="0.25">
      <c r="A131">
        <v>99997.7</v>
      </c>
      <c r="B131">
        <v>1000.023</v>
      </c>
      <c r="C131">
        <v>4</v>
      </c>
      <c r="D131" t="s">
        <v>137</v>
      </c>
      <c r="F131">
        <v>1969</v>
      </c>
      <c r="G131" s="1" t="s">
        <v>40</v>
      </c>
      <c r="H131" s="1" t="s">
        <v>104</v>
      </c>
      <c r="I131">
        <v>0</v>
      </c>
      <c r="J131">
        <v>99997.557400000005</v>
      </c>
      <c r="K131">
        <v>-1.4300000000000001E-3</v>
      </c>
      <c r="L131">
        <v>2.4499999999999999E-3</v>
      </c>
      <c r="M131">
        <v>0.245</v>
      </c>
      <c r="N131">
        <v>4.4900000000000002E-2</v>
      </c>
      <c r="O131">
        <v>2.5699999999999998E-3</v>
      </c>
      <c r="P131" s="3">
        <f t="shared" si="8"/>
        <v>1000.0230005290122</v>
      </c>
      <c r="Q131" s="3">
        <f t="shared" si="9"/>
        <v>-1.4260676318826881E-3</v>
      </c>
      <c r="R131" s="3">
        <f t="shared" ref="R131:R194" si="10">$L131</f>
        <v>2.4499999999999999E-3</v>
      </c>
      <c r="S131">
        <f t="shared" si="7"/>
        <v>6</v>
      </c>
      <c r="T131">
        <f>INDEX([1]IDEN_level_ids!$B:$B,MATCH(G131,[1]IDEN_level_ids!$A:$A,0),1)</f>
        <v>1199</v>
      </c>
      <c r="U131">
        <f>INDEX([1]IDEN_level_ids!$B:$B,MATCH(H131,[1]IDEN_level_ids!$A:$A,0),1)</f>
        <v>636</v>
      </c>
    </row>
    <row r="132" spans="1:21" hidden="1" x14ac:dyDescent="0.25">
      <c r="A132">
        <v>99964.906199999998</v>
      </c>
      <c r="B132">
        <v>1000.3511</v>
      </c>
      <c r="C132">
        <v>4</v>
      </c>
      <c r="D132" t="s">
        <v>137</v>
      </c>
      <c r="F132">
        <v>1969</v>
      </c>
      <c r="G132" s="1" t="s">
        <v>138</v>
      </c>
      <c r="H132" s="1" t="s">
        <v>21</v>
      </c>
      <c r="I132">
        <v>0</v>
      </c>
      <c r="J132">
        <v>99964.706699999995</v>
      </c>
      <c r="K132">
        <v>-2E-3</v>
      </c>
      <c r="L132">
        <v>2.4499999999999999E-3</v>
      </c>
      <c r="M132">
        <v>0.245</v>
      </c>
      <c r="N132">
        <v>0.31369999999999998</v>
      </c>
      <c r="O132">
        <v>3.5699999999999998E-3</v>
      </c>
      <c r="P132" s="3">
        <f t="shared" si="8"/>
        <v>1000.3510612007157</v>
      </c>
      <c r="Q132" s="3">
        <f t="shared" si="9"/>
        <v>-1.9964049643022008E-3</v>
      </c>
      <c r="R132" s="3">
        <f t="shared" si="10"/>
        <v>2.4499999999999999E-3</v>
      </c>
      <c r="S132">
        <f t="shared" ref="S132:S195" si="11">IF(D132=D131,S131,S131+1)</f>
        <v>6</v>
      </c>
      <c r="T132">
        <f>INDEX([1]IDEN_level_ids!$B:$B,MATCH(G132,[1]IDEN_level_ids!$A:$A,0),1)</f>
        <v>1126</v>
      </c>
      <c r="U132">
        <f>INDEX([1]IDEN_level_ids!$B:$B,MATCH(H132,[1]IDEN_level_ids!$A:$A,0),1)</f>
        <v>341</v>
      </c>
    </row>
    <row r="133" spans="1:21" hidden="1" x14ac:dyDescent="0.25">
      <c r="A133">
        <v>99947.513800000001</v>
      </c>
      <c r="B133">
        <v>1000.5251</v>
      </c>
      <c r="C133">
        <v>4</v>
      </c>
      <c r="D133" t="s">
        <v>137</v>
      </c>
      <c r="F133">
        <v>1969</v>
      </c>
      <c r="G133" s="1" t="s">
        <v>72</v>
      </c>
      <c r="H133" s="1" t="s">
        <v>98</v>
      </c>
      <c r="I133">
        <v>0</v>
      </c>
      <c r="J133">
        <v>99947.564599999998</v>
      </c>
      <c r="K133">
        <v>5.1000000000000004E-4</v>
      </c>
      <c r="L133">
        <v>2.4499999999999999E-3</v>
      </c>
      <c r="M133">
        <v>0.245</v>
      </c>
      <c r="N133">
        <v>0.1225</v>
      </c>
      <c r="O133">
        <v>2.7899999999999999E-3</v>
      </c>
      <c r="P133" s="3">
        <f t="shared" si="8"/>
        <v>1000.5251376247841</v>
      </c>
      <c r="Q133" s="3">
        <f t="shared" si="9"/>
        <v>5.0853342145273928E-4</v>
      </c>
      <c r="R133" s="3">
        <f t="shared" si="10"/>
        <v>2.4499999999999999E-3</v>
      </c>
      <c r="S133">
        <f t="shared" si="11"/>
        <v>6</v>
      </c>
      <c r="T133">
        <f>INDEX([1]IDEN_level_ids!$B:$B,MATCH(G133,[1]IDEN_level_ids!$A:$A,0),1)</f>
        <v>1225</v>
      </c>
      <c r="U133">
        <f>INDEX([1]IDEN_level_ids!$B:$B,MATCH(H133,[1]IDEN_level_ids!$A:$A,0),1)</f>
        <v>722</v>
      </c>
    </row>
    <row r="134" spans="1:21" hidden="1" x14ac:dyDescent="0.25">
      <c r="A134">
        <v>99880.421600000001</v>
      </c>
      <c r="B134">
        <v>1001.1972</v>
      </c>
      <c r="C134">
        <v>4</v>
      </c>
      <c r="D134" t="s">
        <v>137</v>
      </c>
      <c r="E134" t="s">
        <v>52</v>
      </c>
      <c r="F134">
        <v>1969</v>
      </c>
      <c r="G134" s="1" t="s">
        <v>62</v>
      </c>
      <c r="H134" s="1" t="s">
        <v>114</v>
      </c>
      <c r="I134">
        <v>0</v>
      </c>
      <c r="J134">
        <v>99880.6302</v>
      </c>
      <c r="K134">
        <v>2.0899999999999998E-3</v>
      </c>
      <c r="L134">
        <v>2.7699999999999999E-3</v>
      </c>
      <c r="M134">
        <v>0.27600000000000002</v>
      </c>
      <c r="N134">
        <v>3.7600000000000001E-2</v>
      </c>
      <c r="O134">
        <v>2.8800000000000002E-3</v>
      </c>
      <c r="P134" s="3">
        <f t="shared" si="8"/>
        <v>1001.1972156112724</v>
      </c>
      <c r="Q134" s="3">
        <f t="shared" si="9"/>
        <v>2.0909934063411129E-3</v>
      </c>
      <c r="R134" s="3">
        <f t="shared" si="10"/>
        <v>2.7699999999999999E-3</v>
      </c>
      <c r="S134">
        <f t="shared" si="11"/>
        <v>6</v>
      </c>
      <c r="T134">
        <f>INDEX([1]IDEN_level_ids!$B:$B,MATCH(G134,[1]IDEN_level_ids!$A:$A,0),1)</f>
        <v>1203</v>
      </c>
      <c r="U134">
        <f>INDEX([1]IDEN_level_ids!$B:$B,MATCH(H134,[1]IDEN_level_ids!$A:$A,0),1)</f>
        <v>645</v>
      </c>
    </row>
    <row r="135" spans="1:21" hidden="1" x14ac:dyDescent="0.25">
      <c r="A135">
        <v>99877.724900000001</v>
      </c>
      <c r="B135">
        <v>1001.2242</v>
      </c>
      <c r="C135">
        <v>4</v>
      </c>
      <c r="D135" t="s">
        <v>137</v>
      </c>
      <c r="E135" t="s">
        <v>52</v>
      </c>
      <c r="F135">
        <v>1969</v>
      </c>
      <c r="G135" s="1" t="s">
        <v>55</v>
      </c>
      <c r="H135" s="1" t="s">
        <v>130</v>
      </c>
      <c r="I135">
        <v>0</v>
      </c>
      <c r="J135">
        <v>99877.700899999996</v>
      </c>
      <c r="K135">
        <v>-2.4000000000000001E-4</v>
      </c>
      <c r="L135">
        <v>2.7699999999999999E-3</v>
      </c>
      <c r="M135">
        <v>0.27600000000000002</v>
      </c>
      <c r="N135">
        <v>3.3599999999999998E-2</v>
      </c>
      <c r="O135">
        <v>2.8600000000000001E-3</v>
      </c>
      <c r="P135" s="3">
        <f t="shared" si="8"/>
        <v>1001.2242479504056</v>
      </c>
      <c r="Q135" s="3">
        <f t="shared" si="9"/>
        <v>-2.4058805661297811E-4</v>
      </c>
      <c r="R135" s="3">
        <f t="shared" si="10"/>
        <v>2.7699999999999999E-3</v>
      </c>
      <c r="S135">
        <f t="shared" si="11"/>
        <v>6</v>
      </c>
      <c r="T135">
        <f>INDEX([1]IDEN_level_ids!$B:$B,MATCH(G135,[1]IDEN_level_ids!$A:$A,0),1)</f>
        <v>1233</v>
      </c>
      <c r="U135">
        <f>INDEX([1]IDEN_level_ids!$B:$B,MATCH(H135,[1]IDEN_level_ids!$A:$A,0),1)</f>
        <v>761</v>
      </c>
    </row>
    <row r="136" spans="1:21" hidden="1" x14ac:dyDescent="0.25">
      <c r="A136">
        <v>99847.416599999997</v>
      </c>
      <c r="B136">
        <v>1001.5282</v>
      </c>
      <c r="C136">
        <v>4</v>
      </c>
      <c r="D136" t="s">
        <v>137</v>
      </c>
      <c r="F136">
        <v>1969</v>
      </c>
      <c r="G136" s="1" t="s">
        <v>40</v>
      </c>
      <c r="H136" s="1" t="s">
        <v>139</v>
      </c>
      <c r="I136">
        <v>0</v>
      </c>
      <c r="J136">
        <v>99847.419299999994</v>
      </c>
      <c r="K136">
        <v>3.0000000000000001E-5</v>
      </c>
      <c r="L136">
        <v>2.4599999999999999E-3</v>
      </c>
      <c r="M136">
        <v>0.245</v>
      </c>
      <c r="N136">
        <v>0.1164</v>
      </c>
      <c r="O136">
        <v>2.7799999999999999E-3</v>
      </c>
      <c r="P136" s="3">
        <f t="shared" si="8"/>
        <v>1001.5281657272243</v>
      </c>
      <c r="Q136" s="3">
        <f t="shared" si="9"/>
        <v>2.708258330130775E-5</v>
      </c>
      <c r="R136" s="3">
        <f t="shared" si="10"/>
        <v>2.4599999999999999E-3</v>
      </c>
      <c r="S136">
        <f t="shared" si="11"/>
        <v>6</v>
      </c>
      <c r="T136">
        <f>INDEX([1]IDEN_level_ids!$B:$B,MATCH(G136,[1]IDEN_level_ids!$A:$A,0),1)</f>
        <v>1199</v>
      </c>
      <c r="U136">
        <f>INDEX([1]IDEN_level_ids!$B:$B,MATCH(H136,[1]IDEN_level_ids!$A:$A,0),1)</f>
        <v>642</v>
      </c>
    </row>
    <row r="137" spans="1:21" hidden="1" x14ac:dyDescent="0.25">
      <c r="A137">
        <v>99713.212499999994</v>
      </c>
      <c r="B137">
        <v>1002.8761</v>
      </c>
      <c r="C137">
        <v>4</v>
      </c>
      <c r="D137" t="s">
        <v>137</v>
      </c>
      <c r="F137">
        <v>1969</v>
      </c>
      <c r="G137" s="1" t="s">
        <v>16</v>
      </c>
      <c r="H137" s="1" t="s">
        <v>112</v>
      </c>
      <c r="I137">
        <v>0</v>
      </c>
      <c r="J137">
        <v>99713.314499999993</v>
      </c>
      <c r="K137">
        <v>1.0300000000000001E-3</v>
      </c>
      <c r="L137">
        <v>2.4599999999999999E-3</v>
      </c>
      <c r="M137">
        <v>0.245</v>
      </c>
      <c r="N137">
        <v>5.16E-2</v>
      </c>
      <c r="O137">
        <v>2.5999999999999999E-3</v>
      </c>
      <c r="P137" s="3">
        <f t="shared" si="8"/>
        <v>1002.8761233622877</v>
      </c>
      <c r="Q137" s="3">
        <f t="shared" si="9"/>
        <v>1.0258746797262575E-3</v>
      </c>
      <c r="R137" s="3">
        <f t="shared" si="10"/>
        <v>2.4599999999999999E-3</v>
      </c>
      <c r="S137">
        <f t="shared" si="11"/>
        <v>6</v>
      </c>
      <c r="T137">
        <f>INDEX([1]IDEN_level_ids!$B:$B,MATCH(G137,[1]IDEN_level_ids!$A:$A,0),1)</f>
        <v>1223</v>
      </c>
      <c r="U137">
        <f>INDEX([1]IDEN_level_ids!$B:$B,MATCH(H137,[1]IDEN_level_ids!$A:$A,0),1)</f>
        <v>732</v>
      </c>
    </row>
    <row r="138" spans="1:21" hidden="1" x14ac:dyDescent="0.25">
      <c r="A138">
        <v>99675.229200000002</v>
      </c>
      <c r="B138">
        <v>1003.2583</v>
      </c>
      <c r="C138">
        <v>4</v>
      </c>
      <c r="D138" t="s">
        <v>137</v>
      </c>
      <c r="F138">
        <v>1969</v>
      </c>
      <c r="G138" s="1" t="s">
        <v>140</v>
      </c>
      <c r="H138" s="1" t="s">
        <v>105</v>
      </c>
      <c r="I138">
        <v>0</v>
      </c>
      <c r="J138">
        <v>99675.358300000007</v>
      </c>
      <c r="K138">
        <v>1.2999999999999999E-3</v>
      </c>
      <c r="L138">
        <v>2.47E-3</v>
      </c>
      <c r="M138">
        <v>0.245</v>
      </c>
      <c r="N138">
        <v>0.1386</v>
      </c>
      <c r="O138">
        <v>2.8600000000000001E-3</v>
      </c>
      <c r="P138" s="3">
        <f t="shared" si="8"/>
        <v>1003.2582899744162</v>
      </c>
      <c r="Q138" s="3">
        <f t="shared" si="9"/>
        <v>1.2994249276516712E-3</v>
      </c>
      <c r="R138" s="3">
        <f t="shared" si="10"/>
        <v>2.47E-3</v>
      </c>
      <c r="S138">
        <f t="shared" si="11"/>
        <v>6</v>
      </c>
      <c r="T138">
        <f>INDEX([1]IDEN_level_ids!$B:$B,MATCH(G138,[1]IDEN_level_ids!$A:$A,0),1)</f>
        <v>1198</v>
      </c>
      <c r="U138">
        <f>INDEX([1]IDEN_level_ids!$B:$B,MATCH(H138,[1]IDEN_level_ids!$A:$A,0),1)</f>
        <v>640</v>
      </c>
    </row>
    <row r="139" spans="1:21" hidden="1" x14ac:dyDescent="0.25">
      <c r="A139">
        <v>99661.225900000005</v>
      </c>
      <c r="B139">
        <v>1003.3993</v>
      </c>
      <c r="C139">
        <v>4</v>
      </c>
      <c r="D139" t="s">
        <v>137</v>
      </c>
      <c r="F139">
        <v>1969</v>
      </c>
      <c r="G139" s="1" t="s">
        <v>141</v>
      </c>
      <c r="H139" s="1" t="s">
        <v>101</v>
      </c>
      <c r="I139">
        <v>0</v>
      </c>
      <c r="J139">
        <v>99661.066800000001</v>
      </c>
      <c r="K139">
        <v>-1.6000000000000001E-3</v>
      </c>
      <c r="L139">
        <v>2.47E-3</v>
      </c>
      <c r="M139">
        <v>0.245</v>
      </c>
      <c r="N139">
        <v>0.34839999999999999</v>
      </c>
      <c r="O139">
        <v>3.79E-3</v>
      </c>
      <c r="P139" s="3">
        <f t="shared" si="8"/>
        <v>1003.3992568016364</v>
      </c>
      <c r="Q139" s="3">
        <f t="shared" si="9"/>
        <v>-1.6018373762562987E-3</v>
      </c>
      <c r="R139" s="3">
        <f t="shared" si="10"/>
        <v>2.47E-3</v>
      </c>
      <c r="S139">
        <f t="shared" si="11"/>
        <v>6</v>
      </c>
      <c r="T139">
        <f>INDEX([1]IDEN_level_ids!$B:$B,MATCH(G139,[1]IDEN_level_ids!$A:$A,0),1)</f>
        <v>1155</v>
      </c>
      <c r="U139">
        <f>INDEX([1]IDEN_level_ids!$B:$B,MATCH(H139,[1]IDEN_level_ids!$A:$A,0),1)</f>
        <v>539</v>
      </c>
    </row>
    <row r="140" spans="1:21" hidden="1" x14ac:dyDescent="0.25">
      <c r="A140">
        <v>99575.903099999996</v>
      </c>
      <c r="B140">
        <v>1004.259</v>
      </c>
      <c r="C140">
        <v>4</v>
      </c>
      <c r="D140" t="s">
        <v>137</v>
      </c>
      <c r="F140">
        <v>1969</v>
      </c>
      <c r="G140" s="1" t="s">
        <v>49</v>
      </c>
      <c r="H140" s="1" t="s">
        <v>142</v>
      </c>
      <c r="I140">
        <v>0</v>
      </c>
      <c r="J140">
        <v>99576.045100000003</v>
      </c>
      <c r="K140">
        <v>1.4300000000000001E-3</v>
      </c>
      <c r="L140">
        <v>2.47E-3</v>
      </c>
      <c r="M140">
        <v>0.245</v>
      </c>
      <c r="N140">
        <v>2.9399999999999999E-2</v>
      </c>
      <c r="O140">
        <v>2.5500000000000002E-3</v>
      </c>
      <c r="P140" s="3">
        <f t="shared" si="8"/>
        <v>1004.2590314202232</v>
      </c>
      <c r="Q140" s="3">
        <f t="shared" si="9"/>
        <v>1.4321193648356711E-3</v>
      </c>
      <c r="R140" s="3">
        <f t="shared" si="10"/>
        <v>2.47E-3</v>
      </c>
      <c r="S140">
        <f t="shared" si="11"/>
        <v>6</v>
      </c>
      <c r="T140">
        <f>INDEX([1]IDEN_level_ids!$B:$B,MATCH(G140,[1]IDEN_level_ids!$A:$A,0),1)</f>
        <v>1214</v>
      </c>
      <c r="U140">
        <f>INDEX([1]IDEN_level_ids!$B:$B,MATCH(H140,[1]IDEN_level_ids!$A:$A,0),1)</f>
        <v>682</v>
      </c>
    </row>
    <row r="141" spans="1:21" hidden="1" x14ac:dyDescent="0.25">
      <c r="A141">
        <v>99548.772500000006</v>
      </c>
      <c r="B141">
        <v>1004.5327</v>
      </c>
      <c r="C141">
        <v>4</v>
      </c>
      <c r="D141" t="s">
        <v>137</v>
      </c>
      <c r="F141">
        <v>1969</v>
      </c>
      <c r="G141" s="1" t="s">
        <v>115</v>
      </c>
      <c r="H141" s="1" t="s">
        <v>143</v>
      </c>
      <c r="I141">
        <v>0</v>
      </c>
      <c r="J141">
        <v>99548.837400000004</v>
      </c>
      <c r="K141">
        <v>6.6E-4</v>
      </c>
      <c r="L141">
        <v>2.47E-3</v>
      </c>
      <c r="M141">
        <v>0.245</v>
      </c>
      <c r="N141">
        <v>2.1399999999999999E-2</v>
      </c>
      <c r="O141">
        <v>2.5300000000000001E-3</v>
      </c>
      <c r="P141" s="3">
        <f t="shared" si="8"/>
        <v>1004.5327279148519</v>
      </c>
      <c r="Q141" s="3">
        <f t="shared" si="9"/>
        <v>6.5489638791405014E-4</v>
      </c>
      <c r="R141" s="3">
        <f t="shared" si="10"/>
        <v>2.47E-3</v>
      </c>
      <c r="S141">
        <f t="shared" si="11"/>
        <v>6</v>
      </c>
      <c r="T141">
        <f>INDEX([1]IDEN_level_ids!$B:$B,MATCH(G141,[1]IDEN_level_ids!$A:$A,0),1)</f>
        <v>1252</v>
      </c>
      <c r="U141">
        <f>INDEX([1]IDEN_level_ids!$B:$B,MATCH(H141,[1]IDEN_level_ids!$A:$A,0),1)</f>
        <v>890</v>
      </c>
    </row>
    <row r="142" spans="1:21" hidden="1" x14ac:dyDescent="0.25">
      <c r="A142">
        <v>99511.200500000006</v>
      </c>
      <c r="B142">
        <v>1004.912</v>
      </c>
      <c r="C142">
        <v>4</v>
      </c>
      <c r="D142" t="s">
        <v>137</v>
      </c>
      <c r="F142">
        <v>1969</v>
      </c>
      <c r="G142" s="1" t="s">
        <v>56</v>
      </c>
      <c r="H142" s="1" t="s">
        <v>98</v>
      </c>
      <c r="I142">
        <v>0</v>
      </c>
      <c r="J142">
        <v>99511.208100000003</v>
      </c>
      <c r="K142">
        <v>8.0000000000000007E-5</v>
      </c>
      <c r="L142">
        <v>2.47E-3</v>
      </c>
      <c r="M142">
        <v>0.245</v>
      </c>
      <c r="N142">
        <v>0.12230000000000001</v>
      </c>
      <c r="O142">
        <v>2.82E-3</v>
      </c>
      <c r="P142" s="3">
        <f t="shared" si="8"/>
        <v>1004.912004855172</v>
      </c>
      <c r="Q142" s="3">
        <f t="shared" si="9"/>
        <v>7.6748452556785196E-5</v>
      </c>
      <c r="R142" s="3">
        <f t="shared" si="10"/>
        <v>2.47E-3</v>
      </c>
      <c r="S142">
        <f t="shared" si="11"/>
        <v>6</v>
      </c>
      <c r="T142">
        <f>INDEX([1]IDEN_level_ids!$B:$B,MATCH(G142,[1]IDEN_level_ids!$A:$A,0),1)</f>
        <v>1221</v>
      </c>
      <c r="U142">
        <f>INDEX([1]IDEN_level_ids!$B:$B,MATCH(H142,[1]IDEN_level_ids!$A:$A,0),1)</f>
        <v>722</v>
      </c>
    </row>
    <row r="143" spans="1:21" hidden="1" x14ac:dyDescent="0.25">
      <c r="A143">
        <v>99474.786500000002</v>
      </c>
      <c r="B143">
        <v>1005.2799</v>
      </c>
      <c r="C143">
        <v>4</v>
      </c>
      <c r="D143" t="s">
        <v>137</v>
      </c>
      <c r="F143">
        <v>1969</v>
      </c>
      <c r="G143" s="1" t="s">
        <v>69</v>
      </c>
      <c r="H143" s="1" t="s">
        <v>144</v>
      </c>
      <c r="I143">
        <v>0</v>
      </c>
      <c r="J143">
        <v>99474.761599999998</v>
      </c>
      <c r="K143">
        <v>-2.5000000000000001E-4</v>
      </c>
      <c r="L143">
        <v>2.48E-3</v>
      </c>
      <c r="M143">
        <v>0.245</v>
      </c>
      <c r="N143">
        <v>0.1542</v>
      </c>
      <c r="O143">
        <v>2.9299999999999999E-3</v>
      </c>
      <c r="P143" s="3">
        <f t="shared" si="8"/>
        <v>1005.2798655667383</v>
      </c>
      <c r="Q143" s="3">
        <f t="shared" si="9"/>
        <v>-2.5163637747027678E-4</v>
      </c>
      <c r="R143" s="3">
        <f t="shared" si="10"/>
        <v>2.48E-3</v>
      </c>
      <c r="S143">
        <f t="shared" si="11"/>
        <v>6</v>
      </c>
      <c r="T143">
        <f>INDEX([1]IDEN_level_ids!$B:$B,MATCH(G143,[1]IDEN_level_ids!$A:$A,0),1)</f>
        <v>1218</v>
      </c>
      <c r="U143">
        <f>INDEX([1]IDEN_level_ids!$B:$B,MATCH(H143,[1]IDEN_level_ids!$A:$A,0),1)</f>
        <v>721</v>
      </c>
    </row>
    <row r="144" spans="1:21" hidden="1" x14ac:dyDescent="0.25">
      <c r="A144">
        <v>99444.700400000002</v>
      </c>
      <c r="B144">
        <v>1005.5839999999999</v>
      </c>
      <c r="C144">
        <v>4</v>
      </c>
      <c r="D144" t="s">
        <v>137</v>
      </c>
      <c r="F144">
        <v>1969</v>
      </c>
      <c r="G144" s="1" t="s">
        <v>56</v>
      </c>
      <c r="H144" s="1" t="s">
        <v>106</v>
      </c>
      <c r="I144">
        <v>0</v>
      </c>
      <c r="J144">
        <v>99444.646200000003</v>
      </c>
      <c r="K144">
        <v>-5.5000000000000003E-4</v>
      </c>
      <c r="L144">
        <v>2.48E-3</v>
      </c>
      <c r="M144">
        <v>0.245</v>
      </c>
      <c r="N144">
        <v>0.1011</v>
      </c>
      <c r="O144">
        <v>2.7599999999999999E-3</v>
      </c>
      <c r="P144" s="3">
        <f t="shared" si="8"/>
        <v>1005.5840039516072</v>
      </c>
      <c r="Q144" s="3">
        <f t="shared" si="9"/>
        <v>-5.4807025912850804E-4</v>
      </c>
      <c r="R144" s="3">
        <f t="shared" si="10"/>
        <v>2.48E-3</v>
      </c>
      <c r="S144">
        <f t="shared" si="11"/>
        <v>6</v>
      </c>
      <c r="T144">
        <f>INDEX([1]IDEN_level_ids!$B:$B,MATCH(G144,[1]IDEN_level_ids!$A:$A,0),1)</f>
        <v>1221</v>
      </c>
      <c r="U144">
        <f>INDEX([1]IDEN_level_ids!$B:$B,MATCH(H144,[1]IDEN_level_ids!$A:$A,0),1)</f>
        <v>726</v>
      </c>
    </row>
    <row r="145" spans="1:21" hidden="1" x14ac:dyDescent="0.25">
      <c r="A145">
        <v>99435.601800000004</v>
      </c>
      <c r="B145">
        <v>1005.676</v>
      </c>
      <c r="C145">
        <v>4</v>
      </c>
      <c r="D145" t="s">
        <v>137</v>
      </c>
      <c r="F145">
        <v>1969</v>
      </c>
      <c r="G145" s="1" t="s">
        <v>69</v>
      </c>
      <c r="H145" s="1" t="s">
        <v>145</v>
      </c>
      <c r="I145">
        <v>0</v>
      </c>
      <c r="J145">
        <v>99435.523499999996</v>
      </c>
      <c r="K145">
        <v>-7.9000000000000001E-4</v>
      </c>
      <c r="L145">
        <v>2.48E-3</v>
      </c>
      <c r="M145">
        <v>0.245</v>
      </c>
      <c r="N145">
        <v>0.12939999999999999</v>
      </c>
      <c r="O145">
        <v>2.8500000000000001E-3</v>
      </c>
      <c r="P145" s="3">
        <f t="shared" si="8"/>
        <v>1005.6760173396968</v>
      </c>
      <c r="Q145" s="3">
        <f t="shared" si="9"/>
        <v>-7.9191449287918658E-4</v>
      </c>
      <c r="R145" s="3">
        <f t="shared" si="10"/>
        <v>2.48E-3</v>
      </c>
      <c r="S145">
        <f t="shared" si="11"/>
        <v>6</v>
      </c>
      <c r="T145">
        <f>INDEX([1]IDEN_level_ids!$B:$B,MATCH(G145,[1]IDEN_level_ids!$A:$A,0),1)</f>
        <v>1218</v>
      </c>
      <c r="U145">
        <f>INDEX([1]IDEN_level_ids!$B:$B,MATCH(H145,[1]IDEN_level_ids!$A:$A,0),1)</f>
        <v>720</v>
      </c>
    </row>
    <row r="146" spans="1:21" hidden="1" x14ac:dyDescent="0.25">
      <c r="A146">
        <v>99381.723400000003</v>
      </c>
      <c r="B146">
        <v>1006.2212</v>
      </c>
      <c r="C146">
        <v>4</v>
      </c>
      <c r="D146" t="s">
        <v>137</v>
      </c>
      <c r="F146">
        <v>1969</v>
      </c>
      <c r="G146" s="1" t="s">
        <v>69</v>
      </c>
      <c r="H146" s="1" t="s">
        <v>146</v>
      </c>
      <c r="I146">
        <v>0</v>
      </c>
      <c r="J146">
        <v>99381.449600000007</v>
      </c>
      <c r="K146">
        <v>-2.7699999999999999E-3</v>
      </c>
      <c r="L146">
        <v>2.48E-3</v>
      </c>
      <c r="M146">
        <v>0.245</v>
      </c>
      <c r="N146">
        <v>0.1782</v>
      </c>
      <c r="O146">
        <v>3.0200000000000001E-3</v>
      </c>
      <c r="P146" s="3">
        <f t="shared" si="8"/>
        <v>1006.2212304118686</v>
      </c>
      <c r="Q146" s="3">
        <f t="shared" si="9"/>
        <v>-2.7721810658931645E-3</v>
      </c>
      <c r="R146" s="3">
        <f t="shared" si="10"/>
        <v>2.48E-3</v>
      </c>
      <c r="S146">
        <f t="shared" si="11"/>
        <v>6</v>
      </c>
      <c r="T146">
        <f>INDEX([1]IDEN_level_ids!$B:$B,MATCH(G146,[1]IDEN_level_ids!$A:$A,0),1)</f>
        <v>1218</v>
      </c>
      <c r="U146">
        <f>INDEX([1]IDEN_level_ids!$B:$B,MATCH(H146,[1]IDEN_level_ids!$A:$A,0),1)</f>
        <v>723</v>
      </c>
    </row>
    <row r="147" spans="1:21" hidden="1" x14ac:dyDescent="0.25">
      <c r="A147">
        <v>99365.724499999997</v>
      </c>
      <c r="B147">
        <v>1006.3832</v>
      </c>
      <c r="C147">
        <v>4</v>
      </c>
      <c r="D147" t="s">
        <v>137</v>
      </c>
      <c r="F147">
        <v>1969</v>
      </c>
      <c r="G147" s="1" t="s">
        <v>68</v>
      </c>
      <c r="H147" s="1" t="s">
        <v>147</v>
      </c>
      <c r="I147">
        <v>0</v>
      </c>
      <c r="J147">
        <v>99365.72</v>
      </c>
      <c r="K147">
        <v>-5.0000000000000002E-5</v>
      </c>
      <c r="L147">
        <v>2.48E-3</v>
      </c>
      <c r="M147">
        <v>0.245</v>
      </c>
      <c r="N147">
        <v>0.27</v>
      </c>
      <c r="O147">
        <v>3.3999999999999998E-3</v>
      </c>
      <c r="P147" s="3">
        <f t="shared" si="8"/>
        <v>1006.3832423422828</v>
      </c>
      <c r="Q147" s="3">
        <f t="shared" si="9"/>
        <v>-4.5576327352137014E-5</v>
      </c>
      <c r="R147" s="3">
        <f t="shared" si="10"/>
        <v>2.48E-3</v>
      </c>
      <c r="S147">
        <f t="shared" si="11"/>
        <v>6</v>
      </c>
      <c r="T147">
        <f>INDEX([1]IDEN_level_ids!$B:$B,MATCH(G147,[1]IDEN_level_ids!$A:$A,0),1)</f>
        <v>1229</v>
      </c>
      <c r="U147">
        <f>INDEX([1]IDEN_level_ids!$B:$B,MATCH(H147,[1]IDEN_level_ids!$A:$A,0),1)</f>
        <v>752</v>
      </c>
    </row>
    <row r="148" spans="1:21" hidden="1" x14ac:dyDescent="0.25">
      <c r="A148">
        <v>99336.317200000005</v>
      </c>
      <c r="B148">
        <v>1006.6812</v>
      </c>
      <c r="C148">
        <v>4</v>
      </c>
      <c r="D148" t="s">
        <v>137</v>
      </c>
      <c r="F148">
        <v>1969</v>
      </c>
      <c r="G148" s="1" t="s">
        <v>41</v>
      </c>
      <c r="H148" s="1" t="s">
        <v>123</v>
      </c>
      <c r="I148">
        <v>0</v>
      </c>
      <c r="J148">
        <v>99335.943599999999</v>
      </c>
      <c r="K148">
        <v>-3.79E-3</v>
      </c>
      <c r="L148">
        <v>2.48E-3</v>
      </c>
      <c r="M148">
        <v>0.245</v>
      </c>
      <c r="N148">
        <v>2.5000000000000001E-2</v>
      </c>
      <c r="O148">
        <v>2.5500000000000002E-3</v>
      </c>
      <c r="P148" s="3">
        <f t="shared" si="8"/>
        <v>1006.681169774633</v>
      </c>
      <c r="Q148" s="3">
        <f t="shared" si="9"/>
        <v>-3.7861027077497056E-3</v>
      </c>
      <c r="R148" s="3">
        <f t="shared" si="10"/>
        <v>2.48E-3</v>
      </c>
      <c r="S148">
        <f t="shared" si="11"/>
        <v>6</v>
      </c>
      <c r="T148">
        <f>INDEX([1]IDEN_level_ids!$B:$B,MATCH(G148,[1]IDEN_level_ids!$A:$A,0),1)</f>
        <v>1238</v>
      </c>
      <c r="U148">
        <f>INDEX([1]IDEN_level_ids!$B:$B,MATCH(H148,[1]IDEN_level_ids!$A:$A,0),1)</f>
        <v>775</v>
      </c>
    </row>
    <row r="149" spans="1:21" hidden="1" x14ac:dyDescent="0.25">
      <c r="A149">
        <v>99321.716199999995</v>
      </c>
      <c r="B149">
        <v>1006.8292</v>
      </c>
      <c r="C149">
        <v>4</v>
      </c>
      <c r="D149" t="s">
        <v>137</v>
      </c>
      <c r="F149">
        <v>1969</v>
      </c>
      <c r="G149" s="1" t="s">
        <v>56</v>
      </c>
      <c r="H149" s="1" t="s">
        <v>148</v>
      </c>
      <c r="I149">
        <v>0</v>
      </c>
      <c r="J149">
        <v>99321.749800000005</v>
      </c>
      <c r="K149">
        <v>3.4000000000000002E-4</v>
      </c>
      <c r="L149">
        <v>2.48E-3</v>
      </c>
      <c r="M149">
        <v>0.245</v>
      </c>
      <c r="N149">
        <v>1.77E-2</v>
      </c>
      <c r="O149">
        <v>2.5300000000000001E-3</v>
      </c>
      <c r="P149" s="3">
        <f t="shared" si="8"/>
        <v>1006.829159079714</v>
      </c>
      <c r="Q149" s="3">
        <f t="shared" si="9"/>
        <v>3.4060475002206658E-4</v>
      </c>
      <c r="R149" s="3">
        <f t="shared" si="10"/>
        <v>2.48E-3</v>
      </c>
      <c r="S149">
        <f t="shared" si="11"/>
        <v>6</v>
      </c>
      <c r="T149">
        <f>INDEX([1]IDEN_level_ids!$B:$B,MATCH(G149,[1]IDEN_level_ids!$A:$A,0),1)</f>
        <v>1221</v>
      </c>
      <c r="U149">
        <f>INDEX([1]IDEN_level_ids!$B:$B,MATCH(H149,[1]IDEN_level_ids!$A:$A,0),1)</f>
        <v>728</v>
      </c>
    </row>
    <row r="150" spans="1:21" hidden="1" x14ac:dyDescent="0.25">
      <c r="A150">
        <v>99296.194199999998</v>
      </c>
      <c r="B150">
        <v>1007.0879</v>
      </c>
      <c r="C150">
        <v>4</v>
      </c>
      <c r="D150" t="s">
        <v>137</v>
      </c>
      <c r="F150">
        <v>1969</v>
      </c>
      <c r="G150" s="1" t="s">
        <v>41</v>
      </c>
      <c r="H150" s="1" t="s">
        <v>149</v>
      </c>
      <c r="I150">
        <v>0</v>
      </c>
      <c r="J150">
        <v>99296.069099999993</v>
      </c>
      <c r="K150">
        <v>-1.2700000000000001E-3</v>
      </c>
      <c r="L150">
        <v>2.48E-3</v>
      </c>
      <c r="M150">
        <v>0.245</v>
      </c>
      <c r="N150">
        <v>2.18E-2</v>
      </c>
      <c r="O150">
        <v>2.5400000000000002E-3</v>
      </c>
      <c r="P150" s="3">
        <f t="shared" si="8"/>
        <v>1007.0879433564434</v>
      </c>
      <c r="Q150" s="3">
        <f t="shared" si="9"/>
        <v>-1.2687984817603137E-3</v>
      </c>
      <c r="R150" s="3">
        <f t="shared" si="10"/>
        <v>2.48E-3</v>
      </c>
      <c r="S150">
        <f t="shared" si="11"/>
        <v>6</v>
      </c>
      <c r="T150">
        <f>INDEX([1]IDEN_level_ids!$B:$B,MATCH(G150,[1]IDEN_level_ids!$A:$A,0),1)</f>
        <v>1238</v>
      </c>
      <c r="U150">
        <f>INDEX([1]IDEN_level_ids!$B:$B,MATCH(H150,[1]IDEN_level_ids!$A:$A,0),1)</f>
        <v>772</v>
      </c>
    </row>
    <row r="151" spans="1:21" hidden="1" x14ac:dyDescent="0.25">
      <c r="A151">
        <v>99271.721600000004</v>
      </c>
      <c r="B151">
        <v>1007.3362</v>
      </c>
      <c r="C151">
        <v>4</v>
      </c>
      <c r="D151" t="s">
        <v>137</v>
      </c>
      <c r="F151">
        <v>1969</v>
      </c>
      <c r="G151" s="1" t="s">
        <v>55</v>
      </c>
      <c r="H151" s="1" t="s">
        <v>150</v>
      </c>
      <c r="I151">
        <v>0</v>
      </c>
      <c r="J151">
        <v>99271.642099999997</v>
      </c>
      <c r="K151">
        <v>-8.0999999999999996E-4</v>
      </c>
      <c r="L151">
        <v>2.49E-3</v>
      </c>
      <c r="M151">
        <v>0.245</v>
      </c>
      <c r="N151">
        <v>2.35E-2</v>
      </c>
      <c r="O151">
        <v>2.5500000000000002E-3</v>
      </c>
      <c r="P151" s="3">
        <f t="shared" si="8"/>
        <v>1007.3362120477217</v>
      </c>
      <c r="Q151" s="3">
        <f t="shared" si="9"/>
        <v>-8.0670801014548488E-4</v>
      </c>
      <c r="R151" s="3">
        <f t="shared" si="10"/>
        <v>2.49E-3</v>
      </c>
      <c r="S151">
        <f t="shared" si="11"/>
        <v>6</v>
      </c>
      <c r="T151">
        <f>INDEX([1]IDEN_level_ids!$B:$B,MATCH(G151,[1]IDEN_level_ids!$A:$A,0),1)</f>
        <v>1233</v>
      </c>
      <c r="U151">
        <f>INDEX([1]IDEN_level_ids!$B:$B,MATCH(H151,[1]IDEN_level_ids!$A:$A,0),1)</f>
        <v>769</v>
      </c>
    </row>
    <row r="152" spans="1:21" hidden="1" x14ac:dyDescent="0.25">
      <c r="A152">
        <v>99266.212199999994</v>
      </c>
      <c r="B152">
        <v>1007.3921</v>
      </c>
      <c r="C152">
        <v>4</v>
      </c>
      <c r="D152" t="s">
        <v>137</v>
      </c>
      <c r="F152">
        <v>1969</v>
      </c>
      <c r="G152" s="1" t="s">
        <v>33</v>
      </c>
      <c r="H152" s="1" t="s">
        <v>106</v>
      </c>
      <c r="I152">
        <v>0</v>
      </c>
      <c r="J152">
        <v>99266.467300000004</v>
      </c>
      <c r="K152">
        <v>2.5899999999999999E-3</v>
      </c>
      <c r="L152">
        <v>2.49E-3</v>
      </c>
      <c r="M152">
        <v>0.245</v>
      </c>
      <c r="N152">
        <v>0.10059999999999999</v>
      </c>
      <c r="O152">
        <v>2.7599999999999999E-3</v>
      </c>
      <c r="P152" s="3">
        <f t="shared" si="8"/>
        <v>1007.3921204782306</v>
      </c>
      <c r="Q152" s="3">
        <f t="shared" si="9"/>
        <v>2.5888473412578605E-3</v>
      </c>
      <c r="R152" s="3">
        <f t="shared" si="10"/>
        <v>2.49E-3</v>
      </c>
      <c r="S152">
        <f t="shared" si="11"/>
        <v>6</v>
      </c>
      <c r="T152">
        <f>INDEX([1]IDEN_level_ids!$B:$B,MATCH(G152,[1]IDEN_level_ids!$A:$A,0),1)</f>
        <v>1220</v>
      </c>
      <c r="U152">
        <f>INDEX([1]IDEN_level_ids!$B:$B,MATCH(H152,[1]IDEN_level_ids!$A:$A,0),1)</f>
        <v>726</v>
      </c>
    </row>
    <row r="153" spans="1:21" hidden="1" x14ac:dyDescent="0.25">
      <c r="A153">
        <v>99221.404899999994</v>
      </c>
      <c r="B153">
        <v>1007.847</v>
      </c>
      <c r="C153">
        <v>4</v>
      </c>
      <c r="D153" t="s">
        <v>137</v>
      </c>
      <c r="F153">
        <v>1969</v>
      </c>
      <c r="G153" s="1" t="s">
        <v>41</v>
      </c>
      <c r="H153" s="1" t="s">
        <v>124</v>
      </c>
      <c r="I153">
        <v>0</v>
      </c>
      <c r="J153">
        <v>99221.558099999995</v>
      </c>
      <c r="K153">
        <v>1.56E-3</v>
      </c>
      <c r="L153">
        <v>2.49E-3</v>
      </c>
      <c r="M153">
        <v>0.245</v>
      </c>
      <c r="N153">
        <v>2.2599999999999999E-2</v>
      </c>
      <c r="O153">
        <v>2.5500000000000002E-3</v>
      </c>
      <c r="P153" s="3">
        <f t="shared" si="8"/>
        <v>1007.8470477291136</v>
      </c>
      <c r="Q153" s="3">
        <f t="shared" si="9"/>
        <v>1.5561352861368505E-3</v>
      </c>
      <c r="R153" s="3">
        <f t="shared" si="10"/>
        <v>2.49E-3</v>
      </c>
      <c r="S153">
        <f t="shared" si="11"/>
        <v>6</v>
      </c>
      <c r="T153">
        <f>INDEX([1]IDEN_level_ids!$B:$B,MATCH(G153,[1]IDEN_level_ids!$A:$A,0),1)</f>
        <v>1238</v>
      </c>
      <c r="U153">
        <f>INDEX([1]IDEN_level_ids!$B:$B,MATCH(H153,[1]IDEN_level_ids!$A:$A,0),1)</f>
        <v>776</v>
      </c>
    </row>
    <row r="154" spans="1:21" hidden="1" x14ac:dyDescent="0.25">
      <c r="A154">
        <v>99178.303899999999</v>
      </c>
      <c r="B154">
        <v>1008.285</v>
      </c>
      <c r="C154">
        <v>4</v>
      </c>
      <c r="D154" t="s">
        <v>137</v>
      </c>
      <c r="F154">
        <v>1969</v>
      </c>
      <c r="G154" s="1" t="s">
        <v>46</v>
      </c>
      <c r="H154" s="1" t="s">
        <v>151</v>
      </c>
      <c r="I154">
        <v>0</v>
      </c>
      <c r="J154">
        <v>99178.205400000006</v>
      </c>
      <c r="K154">
        <v>-1E-3</v>
      </c>
      <c r="L154">
        <v>2.49E-3</v>
      </c>
      <c r="M154">
        <v>0.245</v>
      </c>
      <c r="N154">
        <v>4.6100000000000002E-2</v>
      </c>
      <c r="O154">
        <v>2.6099999999999999E-3</v>
      </c>
      <c r="P154" s="3">
        <f t="shared" si="8"/>
        <v>1008.2850388410403</v>
      </c>
      <c r="Q154" s="3">
        <f t="shared" si="9"/>
        <v>-1.0013901331831221E-3</v>
      </c>
      <c r="R154" s="3">
        <f t="shared" si="10"/>
        <v>2.49E-3</v>
      </c>
      <c r="S154">
        <f t="shared" si="11"/>
        <v>6</v>
      </c>
      <c r="T154">
        <f>INDEX([1]IDEN_level_ids!$B:$B,MATCH(G154,[1]IDEN_level_ids!$A:$A,0),1)</f>
        <v>1212</v>
      </c>
      <c r="U154">
        <f>INDEX([1]IDEN_level_ids!$B:$B,MATCH(H154,[1]IDEN_level_ids!$A:$A,0),1)</f>
        <v>685</v>
      </c>
    </row>
    <row r="155" spans="1:21" hidden="1" x14ac:dyDescent="0.25">
      <c r="A155">
        <v>99153.612500000003</v>
      </c>
      <c r="B155">
        <v>1008.5361</v>
      </c>
      <c r="C155">
        <v>4</v>
      </c>
      <c r="D155" t="s">
        <v>137</v>
      </c>
      <c r="F155">
        <v>1969</v>
      </c>
      <c r="G155" s="1" t="s">
        <v>68</v>
      </c>
      <c r="H155" s="1" t="s">
        <v>128</v>
      </c>
      <c r="I155">
        <v>0</v>
      </c>
      <c r="J155">
        <v>99153.9231</v>
      </c>
      <c r="K155">
        <v>3.16E-3</v>
      </c>
      <c r="L155">
        <v>2.49E-3</v>
      </c>
      <c r="M155">
        <v>0.245</v>
      </c>
      <c r="N155">
        <v>5.1299999999999998E-2</v>
      </c>
      <c r="O155">
        <v>2.63E-3</v>
      </c>
      <c r="P155" s="3">
        <f t="shared" si="8"/>
        <v>1008.5361236838446</v>
      </c>
      <c r="Q155" s="3">
        <f t="shared" si="9"/>
        <v>3.1592428239264336E-3</v>
      </c>
      <c r="R155" s="3">
        <f t="shared" si="10"/>
        <v>2.49E-3</v>
      </c>
      <c r="S155">
        <f t="shared" si="11"/>
        <v>6</v>
      </c>
      <c r="T155">
        <f>INDEX([1]IDEN_level_ids!$B:$B,MATCH(G155,[1]IDEN_level_ids!$A:$A,0),1)</f>
        <v>1229</v>
      </c>
      <c r="U155">
        <f>INDEX([1]IDEN_level_ids!$B:$B,MATCH(H155,[1]IDEN_level_ids!$A:$A,0),1)</f>
        <v>756</v>
      </c>
    </row>
    <row r="156" spans="1:21" hidden="1" x14ac:dyDescent="0.25">
      <c r="A156">
        <v>99146.176300000006</v>
      </c>
      <c r="B156">
        <v>1008.6118</v>
      </c>
      <c r="C156">
        <v>4</v>
      </c>
      <c r="D156" t="s">
        <v>137</v>
      </c>
      <c r="F156">
        <v>1969</v>
      </c>
      <c r="G156" s="1" t="s">
        <v>27</v>
      </c>
      <c r="H156" s="1" t="s">
        <v>152</v>
      </c>
      <c r="I156">
        <v>0</v>
      </c>
      <c r="J156">
        <v>99146.371199999994</v>
      </c>
      <c r="K156">
        <v>1.98E-3</v>
      </c>
      <c r="L156">
        <v>2.49E-3</v>
      </c>
      <c r="M156">
        <v>0.245</v>
      </c>
      <c r="N156">
        <v>2.0899999999999998E-2</v>
      </c>
      <c r="O156">
        <v>2.5500000000000002E-3</v>
      </c>
      <c r="P156" s="3">
        <f t="shared" si="8"/>
        <v>1008.6117663016722</v>
      </c>
      <c r="Q156" s="3">
        <f t="shared" si="9"/>
        <v>1.9827093100275306E-3</v>
      </c>
      <c r="R156" s="3">
        <f t="shared" si="10"/>
        <v>2.49E-3</v>
      </c>
      <c r="S156">
        <f t="shared" si="11"/>
        <v>6</v>
      </c>
      <c r="T156">
        <f>INDEX([1]IDEN_level_ids!$B:$B,MATCH(G156,[1]IDEN_level_ids!$A:$A,0),1)</f>
        <v>1242</v>
      </c>
      <c r="U156">
        <f>INDEX([1]IDEN_level_ids!$B:$B,MATCH(H156,[1]IDEN_level_ids!$A:$A,0),1)</f>
        <v>793</v>
      </c>
    </row>
    <row r="157" spans="1:21" hidden="1" x14ac:dyDescent="0.25">
      <c r="A157">
        <v>99114.109200000006</v>
      </c>
      <c r="B157">
        <v>1008.9381</v>
      </c>
      <c r="C157">
        <v>4</v>
      </c>
      <c r="D157" t="s">
        <v>137</v>
      </c>
      <c r="F157">
        <v>1969</v>
      </c>
      <c r="G157" s="1" t="s">
        <v>94</v>
      </c>
      <c r="H157" s="1" t="s">
        <v>153</v>
      </c>
      <c r="I157">
        <v>0</v>
      </c>
      <c r="J157">
        <v>99114.750199999995</v>
      </c>
      <c r="K157">
        <v>6.5300000000000002E-3</v>
      </c>
      <c r="L157">
        <v>2.49E-3</v>
      </c>
      <c r="M157">
        <v>0.245</v>
      </c>
      <c r="N157">
        <v>0.15740000000000001</v>
      </c>
      <c r="O157">
        <v>2.96E-3</v>
      </c>
      <c r="P157" s="3">
        <f t="shared" si="8"/>
        <v>1008.9380897144762</v>
      </c>
      <c r="Q157" s="3">
        <f t="shared" si="9"/>
        <v>6.5250562018945857E-3</v>
      </c>
      <c r="R157" s="3">
        <f t="shared" si="10"/>
        <v>2.49E-3</v>
      </c>
      <c r="S157">
        <f t="shared" si="11"/>
        <v>6</v>
      </c>
      <c r="T157">
        <f>INDEX([1]IDEN_level_ids!$B:$B,MATCH(G157,[1]IDEN_level_ids!$A:$A,0),1)</f>
        <v>1207</v>
      </c>
      <c r="U157">
        <f>INDEX([1]IDEN_level_ids!$B:$B,MATCH(H157,[1]IDEN_level_ids!$A:$A,0),1)</f>
        <v>681</v>
      </c>
    </row>
    <row r="158" spans="1:21" hidden="1" x14ac:dyDescent="0.25">
      <c r="A158">
        <v>99034.407399999996</v>
      </c>
      <c r="B158">
        <v>1009.7501</v>
      </c>
      <c r="C158">
        <v>4</v>
      </c>
      <c r="D158" t="s">
        <v>137</v>
      </c>
      <c r="F158">
        <v>1969</v>
      </c>
      <c r="G158" s="1" t="s">
        <v>22</v>
      </c>
      <c r="H158" s="1" t="s">
        <v>123</v>
      </c>
      <c r="I158">
        <v>0</v>
      </c>
      <c r="J158">
        <v>99034.739799999996</v>
      </c>
      <c r="K158">
        <v>3.3899999999999998E-3</v>
      </c>
      <c r="L158">
        <v>2.5000000000000001E-3</v>
      </c>
      <c r="M158">
        <v>0.245</v>
      </c>
      <c r="N158">
        <v>2.3699999999999999E-2</v>
      </c>
      <c r="O158">
        <v>2.5600000000000002E-3</v>
      </c>
      <c r="P158" s="3">
        <f t="shared" si="8"/>
        <v>1009.7500719734705</v>
      </c>
      <c r="Q158" s="3">
        <f t="shared" si="9"/>
        <v>3.3891230956442087E-3</v>
      </c>
      <c r="R158" s="3">
        <f t="shared" si="10"/>
        <v>2.5000000000000001E-3</v>
      </c>
      <c r="S158">
        <f t="shared" si="11"/>
        <v>6</v>
      </c>
      <c r="T158">
        <f>INDEX([1]IDEN_level_ids!$B:$B,MATCH(G158,[1]IDEN_level_ids!$A:$A,0),1)</f>
        <v>1236</v>
      </c>
      <c r="U158">
        <f>INDEX([1]IDEN_level_ids!$B:$B,MATCH(H158,[1]IDEN_level_ids!$A:$A,0),1)</f>
        <v>775</v>
      </c>
    </row>
    <row r="159" spans="1:21" hidden="1" x14ac:dyDescent="0.25">
      <c r="A159">
        <v>99006.583700000003</v>
      </c>
      <c r="B159">
        <v>1010.0338</v>
      </c>
      <c r="C159">
        <v>4</v>
      </c>
      <c r="D159" t="s">
        <v>137</v>
      </c>
      <c r="F159">
        <v>1969</v>
      </c>
      <c r="G159" s="1" t="s">
        <v>33</v>
      </c>
      <c r="H159" s="1" t="s">
        <v>112</v>
      </c>
      <c r="I159">
        <v>0</v>
      </c>
      <c r="J159">
        <v>99006.536900000006</v>
      </c>
      <c r="K159">
        <v>-4.8000000000000001E-4</v>
      </c>
      <c r="L159">
        <v>2.5000000000000001E-3</v>
      </c>
      <c r="M159">
        <v>0.245</v>
      </c>
      <c r="N159">
        <v>4.48E-2</v>
      </c>
      <c r="O159">
        <v>2.6199999999999999E-3</v>
      </c>
      <c r="P159" s="3">
        <f t="shared" si="8"/>
        <v>1010.0338408101238</v>
      </c>
      <c r="Q159" s="3">
        <f t="shared" si="9"/>
        <v>-4.7743901791363896E-4</v>
      </c>
      <c r="R159" s="3">
        <f t="shared" si="10"/>
        <v>2.5000000000000001E-3</v>
      </c>
      <c r="S159">
        <f t="shared" si="11"/>
        <v>6</v>
      </c>
      <c r="T159">
        <f>INDEX([1]IDEN_level_ids!$B:$B,MATCH(G159,[1]IDEN_level_ids!$A:$A,0),1)</f>
        <v>1220</v>
      </c>
      <c r="U159">
        <f>INDEX([1]IDEN_level_ids!$B:$B,MATCH(H159,[1]IDEN_level_ids!$A:$A,0),1)</f>
        <v>732</v>
      </c>
    </row>
    <row r="160" spans="1:21" hidden="1" x14ac:dyDescent="0.25">
      <c r="A160">
        <v>98994.902400000006</v>
      </c>
      <c r="B160">
        <v>1010.153</v>
      </c>
      <c r="C160">
        <v>4</v>
      </c>
      <c r="D160" t="s">
        <v>137</v>
      </c>
      <c r="F160">
        <v>1969</v>
      </c>
      <c r="G160" s="1" t="s">
        <v>22</v>
      </c>
      <c r="H160" s="1" t="s">
        <v>149</v>
      </c>
      <c r="I160">
        <v>0</v>
      </c>
      <c r="J160">
        <v>98994.8652</v>
      </c>
      <c r="K160">
        <v>-3.8000000000000002E-4</v>
      </c>
      <c r="L160">
        <v>2.5000000000000001E-3</v>
      </c>
      <c r="M160">
        <v>0.245</v>
      </c>
      <c r="N160">
        <v>2.0299999999999999E-2</v>
      </c>
      <c r="O160">
        <v>2.5500000000000002E-3</v>
      </c>
      <c r="P160" s="3">
        <f t="shared" si="8"/>
        <v>1010.1530237985263</v>
      </c>
      <c r="Q160" s="3">
        <f t="shared" si="9"/>
        <v>-3.7959233964102168E-4</v>
      </c>
      <c r="R160" s="3">
        <f t="shared" si="10"/>
        <v>2.5000000000000001E-3</v>
      </c>
      <c r="S160">
        <f t="shared" si="11"/>
        <v>6</v>
      </c>
      <c r="T160">
        <f>INDEX([1]IDEN_level_ids!$B:$B,MATCH(G160,[1]IDEN_level_ids!$A:$A,0),1)</f>
        <v>1236</v>
      </c>
      <c r="U160">
        <f>INDEX([1]IDEN_level_ids!$B:$B,MATCH(H160,[1]IDEN_level_ids!$A:$A,0),1)</f>
        <v>772</v>
      </c>
    </row>
    <row r="161" spans="1:21" hidden="1" x14ac:dyDescent="0.25">
      <c r="A161">
        <v>98955.017800000001</v>
      </c>
      <c r="B161">
        <v>1010.5602</v>
      </c>
      <c r="C161">
        <v>4</v>
      </c>
      <c r="D161" t="s">
        <v>137</v>
      </c>
      <c r="F161">
        <v>1969</v>
      </c>
      <c r="G161" s="1" t="s">
        <v>16</v>
      </c>
      <c r="H161" s="1" t="s">
        <v>154</v>
      </c>
      <c r="I161">
        <v>0</v>
      </c>
      <c r="J161">
        <v>98955.039799999999</v>
      </c>
      <c r="K161">
        <v>2.3000000000000001E-4</v>
      </c>
      <c r="L161">
        <v>2.5000000000000001E-3</v>
      </c>
      <c r="M161">
        <v>0.245</v>
      </c>
      <c r="N161">
        <v>4.48E-2</v>
      </c>
      <c r="O161">
        <v>2.6199999999999999E-3</v>
      </c>
      <c r="P161" s="3">
        <f t="shared" si="8"/>
        <v>1010.5601739379405</v>
      </c>
      <c r="Q161" s="3">
        <f t="shared" si="9"/>
        <v>2.2467096027867228E-4</v>
      </c>
      <c r="R161" s="3">
        <f t="shared" si="10"/>
        <v>2.5000000000000001E-3</v>
      </c>
      <c r="S161">
        <f t="shared" si="11"/>
        <v>6</v>
      </c>
      <c r="T161">
        <f>INDEX([1]IDEN_level_ids!$B:$B,MATCH(G161,[1]IDEN_level_ids!$A:$A,0),1)</f>
        <v>1223</v>
      </c>
      <c r="U161">
        <f>INDEX([1]IDEN_level_ids!$B:$B,MATCH(H161,[1]IDEN_level_ids!$A:$A,0),1)</f>
        <v>739</v>
      </c>
    </row>
    <row r="162" spans="1:21" hidden="1" x14ac:dyDescent="0.25">
      <c r="A162">
        <v>98920.391300000003</v>
      </c>
      <c r="B162">
        <v>1010.9139</v>
      </c>
      <c r="C162">
        <v>4</v>
      </c>
      <c r="D162" t="s">
        <v>137</v>
      </c>
      <c r="F162">
        <v>1969</v>
      </c>
      <c r="G162" s="1" t="s">
        <v>22</v>
      </c>
      <c r="H162" s="1" t="s">
        <v>124</v>
      </c>
      <c r="I162">
        <v>0</v>
      </c>
      <c r="J162">
        <v>98920.354300000006</v>
      </c>
      <c r="K162">
        <v>-3.8000000000000002E-4</v>
      </c>
      <c r="L162">
        <v>2.5000000000000001E-3</v>
      </c>
      <c r="M162">
        <v>0.245</v>
      </c>
      <c r="N162">
        <v>2.12E-2</v>
      </c>
      <c r="O162">
        <v>2.5600000000000002E-3</v>
      </c>
      <c r="P162" s="3">
        <f t="shared" si="8"/>
        <v>1010.9139145712214</v>
      </c>
      <c r="Q162" s="3">
        <f t="shared" si="9"/>
        <v>-3.7812051016317128E-4</v>
      </c>
      <c r="R162" s="3">
        <f t="shared" si="10"/>
        <v>2.5000000000000001E-3</v>
      </c>
      <c r="S162">
        <f t="shared" si="11"/>
        <v>6</v>
      </c>
      <c r="T162">
        <f>INDEX([1]IDEN_level_ids!$B:$B,MATCH(G162,[1]IDEN_level_ids!$A:$A,0),1)</f>
        <v>1236</v>
      </c>
      <c r="U162">
        <f>INDEX([1]IDEN_level_ids!$B:$B,MATCH(H162,[1]IDEN_level_ids!$A:$A,0),1)</f>
        <v>776</v>
      </c>
    </row>
    <row r="163" spans="1:21" hidden="1" x14ac:dyDescent="0.25">
      <c r="A163">
        <v>98881.921400000007</v>
      </c>
      <c r="B163">
        <v>1011.3072</v>
      </c>
      <c r="C163">
        <v>4</v>
      </c>
      <c r="D163" t="s">
        <v>137</v>
      </c>
      <c r="F163">
        <v>1969</v>
      </c>
      <c r="G163" s="1" t="s">
        <v>27</v>
      </c>
      <c r="H163" s="1" t="s">
        <v>155</v>
      </c>
      <c r="I163">
        <v>0</v>
      </c>
      <c r="J163">
        <v>98882.254100000006</v>
      </c>
      <c r="K163">
        <v>3.3999999999999998E-3</v>
      </c>
      <c r="L163">
        <v>2.5100000000000001E-3</v>
      </c>
      <c r="M163">
        <v>0.245</v>
      </c>
      <c r="N163">
        <v>2.9499999999999998E-2</v>
      </c>
      <c r="O163">
        <v>2.5799999999999998E-3</v>
      </c>
      <c r="P163" s="3">
        <f t="shared" si="8"/>
        <v>1011.3072094895599</v>
      </c>
      <c r="Q163" s="3">
        <f t="shared" si="9"/>
        <v>3.4026520902443735E-3</v>
      </c>
      <c r="R163" s="3">
        <f t="shared" si="10"/>
        <v>2.5100000000000001E-3</v>
      </c>
      <c r="S163">
        <f t="shared" si="11"/>
        <v>6</v>
      </c>
      <c r="T163">
        <f>INDEX([1]IDEN_level_ids!$B:$B,MATCH(G163,[1]IDEN_level_ids!$A:$A,0),1)</f>
        <v>1242</v>
      </c>
      <c r="U163">
        <f>INDEX([1]IDEN_level_ids!$B:$B,MATCH(H163,[1]IDEN_level_ids!$A:$A,0),1)</f>
        <v>797</v>
      </c>
    </row>
    <row r="164" spans="1:21" hidden="1" x14ac:dyDescent="0.25">
      <c r="A164">
        <v>98832.891000000003</v>
      </c>
      <c r="B164">
        <v>1011.8089</v>
      </c>
      <c r="C164">
        <v>4</v>
      </c>
      <c r="D164" t="s">
        <v>137</v>
      </c>
      <c r="F164">
        <v>1969</v>
      </c>
      <c r="G164" s="1" t="s">
        <v>69</v>
      </c>
      <c r="H164" s="1" t="s">
        <v>156</v>
      </c>
      <c r="I164">
        <v>0</v>
      </c>
      <c r="J164">
        <v>98832.835999999996</v>
      </c>
      <c r="K164">
        <v>-5.5999999999999995E-4</v>
      </c>
      <c r="L164">
        <v>2.5100000000000001E-3</v>
      </c>
      <c r="M164">
        <v>0.245</v>
      </c>
      <c r="N164">
        <v>0.10290000000000001</v>
      </c>
      <c r="O164">
        <v>2.8E-3</v>
      </c>
      <c r="P164" s="3">
        <f t="shared" si="8"/>
        <v>1011.8089128850839</v>
      </c>
      <c r="Q164" s="3">
        <f t="shared" si="9"/>
        <v>-5.6306681528894842E-4</v>
      </c>
      <c r="R164" s="3">
        <f t="shared" si="10"/>
        <v>2.5100000000000001E-3</v>
      </c>
      <c r="S164">
        <f t="shared" si="11"/>
        <v>6</v>
      </c>
      <c r="T164">
        <f>INDEX([1]IDEN_level_ids!$B:$B,MATCH(G164,[1]IDEN_level_ids!$A:$A,0),1)</f>
        <v>1218</v>
      </c>
      <c r="U164">
        <f>INDEX([1]IDEN_level_ids!$B:$B,MATCH(H164,[1]IDEN_level_ids!$A:$A,0),1)</f>
        <v>734</v>
      </c>
    </row>
    <row r="165" spans="1:21" hidden="1" x14ac:dyDescent="0.25">
      <c r="A165">
        <v>98804.383799999996</v>
      </c>
      <c r="B165">
        <v>1012.1008</v>
      </c>
      <c r="C165">
        <v>4</v>
      </c>
      <c r="D165" t="s">
        <v>137</v>
      </c>
      <c r="F165">
        <v>1969</v>
      </c>
      <c r="G165" s="1" t="s">
        <v>22</v>
      </c>
      <c r="H165" s="1" t="s">
        <v>157</v>
      </c>
      <c r="I165">
        <v>0</v>
      </c>
      <c r="J165">
        <v>98804.578899999993</v>
      </c>
      <c r="K165">
        <v>2E-3</v>
      </c>
      <c r="L165">
        <v>2.5100000000000001E-3</v>
      </c>
      <c r="M165">
        <v>0.245</v>
      </c>
      <c r="N165">
        <v>2.0199999999999999E-2</v>
      </c>
      <c r="O165">
        <v>2.5600000000000002E-3</v>
      </c>
      <c r="P165" s="3">
        <f t="shared" si="8"/>
        <v>1012.1008416227784</v>
      </c>
      <c r="Q165" s="3">
        <f t="shared" si="9"/>
        <v>1.9984992234185484E-3</v>
      </c>
      <c r="R165" s="3">
        <f t="shared" si="10"/>
        <v>2.5100000000000001E-3</v>
      </c>
      <c r="S165">
        <f t="shared" si="11"/>
        <v>6</v>
      </c>
      <c r="T165">
        <f>INDEX([1]IDEN_level_ids!$B:$B,MATCH(G165,[1]IDEN_level_ids!$A:$A,0),1)</f>
        <v>1236</v>
      </c>
      <c r="U165">
        <f>INDEX([1]IDEN_level_ids!$B:$B,MATCH(H165,[1]IDEN_level_ids!$A:$A,0),1)</f>
        <v>778</v>
      </c>
    </row>
    <row r="166" spans="1:21" hidden="1" x14ac:dyDescent="0.25">
      <c r="A166">
        <v>98784.9231</v>
      </c>
      <c r="B166">
        <v>1012.3002</v>
      </c>
      <c r="C166">
        <v>4</v>
      </c>
      <c r="D166" t="s">
        <v>137</v>
      </c>
      <c r="F166">
        <v>1969</v>
      </c>
      <c r="G166" s="1" t="s">
        <v>76</v>
      </c>
      <c r="H166" s="1" t="s">
        <v>104</v>
      </c>
      <c r="I166">
        <v>0</v>
      </c>
      <c r="J166">
        <v>98785.0003</v>
      </c>
      <c r="K166">
        <v>7.9000000000000001E-4</v>
      </c>
      <c r="L166">
        <v>2.5100000000000001E-3</v>
      </c>
      <c r="M166">
        <v>0.245</v>
      </c>
      <c r="N166">
        <v>4.3200000000000002E-2</v>
      </c>
      <c r="O166">
        <v>2.6199999999999999E-3</v>
      </c>
      <c r="P166" s="3">
        <f t="shared" si="8"/>
        <v>1012.3002262072926</v>
      </c>
      <c r="Q166" s="3">
        <f t="shared" si="9"/>
        <v>7.9110773117463395E-4</v>
      </c>
      <c r="R166" s="3">
        <f t="shared" si="10"/>
        <v>2.5100000000000001E-3</v>
      </c>
      <c r="S166">
        <f t="shared" si="11"/>
        <v>6</v>
      </c>
      <c r="T166">
        <f>INDEX([1]IDEN_level_ids!$B:$B,MATCH(G166,[1]IDEN_level_ids!$A:$A,0),1)</f>
        <v>1194</v>
      </c>
      <c r="U166">
        <f>INDEX([1]IDEN_level_ids!$B:$B,MATCH(H166,[1]IDEN_level_ids!$A:$A,0),1)</f>
        <v>636</v>
      </c>
    </row>
    <row r="167" spans="1:21" hidden="1" x14ac:dyDescent="0.25">
      <c r="A167">
        <v>98740.088000000003</v>
      </c>
      <c r="B167">
        <v>1012.7599</v>
      </c>
      <c r="C167">
        <v>4</v>
      </c>
      <c r="D167" t="s">
        <v>137</v>
      </c>
      <c r="F167">
        <v>1969</v>
      </c>
      <c r="G167" s="1" t="s">
        <v>22</v>
      </c>
      <c r="H167" s="1" t="s">
        <v>158</v>
      </c>
      <c r="I167">
        <v>0</v>
      </c>
      <c r="J167">
        <v>98740.223299999998</v>
      </c>
      <c r="K167">
        <v>1.39E-3</v>
      </c>
      <c r="L167">
        <v>2.5100000000000001E-3</v>
      </c>
      <c r="M167">
        <v>0.245</v>
      </c>
      <c r="N167">
        <v>2.46E-2</v>
      </c>
      <c r="O167">
        <v>2.5799999999999998E-3</v>
      </c>
      <c r="P167" s="3">
        <f t="shared" si="8"/>
        <v>1012.7598833008939</v>
      </c>
      <c r="Q167" s="3">
        <f t="shared" si="9"/>
        <v>1.3877466307121722E-3</v>
      </c>
      <c r="R167" s="3">
        <f t="shared" si="10"/>
        <v>2.5100000000000001E-3</v>
      </c>
      <c r="S167">
        <f t="shared" si="11"/>
        <v>6</v>
      </c>
      <c r="T167">
        <f>INDEX([1]IDEN_level_ids!$B:$B,MATCH(G167,[1]IDEN_level_ids!$A:$A,0),1)</f>
        <v>1236</v>
      </c>
      <c r="U167">
        <f>INDEX([1]IDEN_level_ids!$B:$B,MATCH(H167,[1]IDEN_level_ids!$A:$A,0),1)</f>
        <v>779</v>
      </c>
    </row>
    <row r="168" spans="1:21" hidden="1" x14ac:dyDescent="0.25">
      <c r="A168">
        <v>98702.824200000003</v>
      </c>
      <c r="B168">
        <v>1013.1422</v>
      </c>
      <c r="C168">
        <v>4</v>
      </c>
      <c r="D168" t="s">
        <v>137</v>
      </c>
      <c r="F168">
        <v>1969</v>
      </c>
      <c r="G168" s="1" t="s">
        <v>51</v>
      </c>
      <c r="H168" s="1" t="s">
        <v>159</v>
      </c>
      <c r="I168">
        <v>0</v>
      </c>
      <c r="J168">
        <v>98703.104600000006</v>
      </c>
      <c r="K168">
        <v>2.8800000000000002E-3</v>
      </c>
      <c r="L168">
        <v>2.5100000000000001E-3</v>
      </c>
      <c r="M168">
        <v>0.245</v>
      </c>
      <c r="N168">
        <v>2.6599999999999999E-2</v>
      </c>
      <c r="O168">
        <v>2.5799999999999998E-3</v>
      </c>
      <c r="P168" s="3">
        <f t="shared" si="8"/>
        <v>1013.1422359037219</v>
      </c>
      <c r="Q168" s="3">
        <f t="shared" si="9"/>
        <v>2.8781777847370904E-3</v>
      </c>
      <c r="R168" s="3">
        <f t="shared" si="10"/>
        <v>2.5100000000000001E-3</v>
      </c>
      <c r="S168">
        <f t="shared" si="11"/>
        <v>6</v>
      </c>
      <c r="T168">
        <f>INDEX([1]IDEN_level_ids!$B:$B,MATCH(G168,[1]IDEN_level_ids!$A:$A,0),1)</f>
        <v>1213</v>
      </c>
      <c r="U168">
        <f>INDEX([1]IDEN_level_ids!$B:$B,MATCH(H168,[1]IDEN_level_ids!$A:$A,0),1)</f>
        <v>702</v>
      </c>
    </row>
    <row r="169" spans="1:21" hidden="1" x14ac:dyDescent="0.25">
      <c r="A169">
        <v>98682.198900000003</v>
      </c>
      <c r="B169">
        <v>1013.354</v>
      </c>
      <c r="C169">
        <v>4</v>
      </c>
      <c r="D169" t="s">
        <v>137</v>
      </c>
      <c r="F169">
        <v>1969</v>
      </c>
      <c r="G169" s="1" t="s">
        <v>72</v>
      </c>
      <c r="H169" s="1" t="s">
        <v>103</v>
      </c>
      <c r="I169">
        <v>0</v>
      </c>
      <c r="J169">
        <v>98682.222899999993</v>
      </c>
      <c r="K169">
        <v>2.5000000000000001E-4</v>
      </c>
      <c r="L169">
        <v>2.5200000000000001E-3</v>
      </c>
      <c r="M169">
        <v>0.245</v>
      </c>
      <c r="N169">
        <v>2.9100000000000001E-2</v>
      </c>
      <c r="O169">
        <v>2.5899999999999999E-3</v>
      </c>
      <c r="P169" s="3">
        <f t="shared" si="8"/>
        <v>1013.3539900274759</v>
      </c>
      <c r="Q169" s="3">
        <f t="shared" si="9"/>
        <v>2.4645265409617423E-4</v>
      </c>
      <c r="R169" s="3">
        <f t="shared" si="10"/>
        <v>2.5200000000000001E-3</v>
      </c>
      <c r="S169">
        <f t="shared" si="11"/>
        <v>6</v>
      </c>
      <c r="T169">
        <f>INDEX([1]IDEN_level_ids!$B:$B,MATCH(G169,[1]IDEN_level_ids!$A:$A,0),1)</f>
        <v>1225</v>
      </c>
      <c r="U169">
        <f>INDEX([1]IDEN_level_ids!$B:$B,MATCH(H169,[1]IDEN_level_ids!$A:$A,0),1)</f>
        <v>745</v>
      </c>
    </row>
    <row r="170" spans="1:21" hidden="1" x14ac:dyDescent="0.25">
      <c r="A170">
        <v>98671.690700000006</v>
      </c>
      <c r="B170">
        <v>1013.4619</v>
      </c>
      <c r="C170">
        <v>4</v>
      </c>
      <c r="D170" t="s">
        <v>137</v>
      </c>
      <c r="F170">
        <v>1969</v>
      </c>
      <c r="G170" s="1" t="s">
        <v>27</v>
      </c>
      <c r="H170" s="1" t="s">
        <v>160</v>
      </c>
      <c r="I170">
        <v>0</v>
      </c>
      <c r="J170">
        <v>98671.7353</v>
      </c>
      <c r="K170">
        <v>4.6000000000000001E-4</v>
      </c>
      <c r="L170">
        <v>2.5200000000000001E-3</v>
      </c>
      <c r="M170">
        <v>0.245</v>
      </c>
      <c r="N170">
        <v>2.3300000000000001E-2</v>
      </c>
      <c r="O170">
        <v>2.5799999999999998E-3</v>
      </c>
      <c r="P170" s="3">
        <f t="shared" si="8"/>
        <v>1013.4619087863667</v>
      </c>
      <c r="Q170" s="3">
        <f t="shared" si="9"/>
        <v>4.5808864092578006E-4</v>
      </c>
      <c r="R170" s="3">
        <f t="shared" si="10"/>
        <v>2.5200000000000001E-3</v>
      </c>
      <c r="S170">
        <f t="shared" si="11"/>
        <v>6</v>
      </c>
      <c r="T170">
        <f>INDEX([1]IDEN_level_ids!$B:$B,MATCH(G170,[1]IDEN_level_ids!$A:$A,0),1)</f>
        <v>1242</v>
      </c>
      <c r="U170">
        <f>INDEX([1]IDEN_level_ids!$B:$B,MATCH(H170,[1]IDEN_level_ids!$A:$A,0),1)</f>
        <v>798</v>
      </c>
    </row>
    <row r="171" spans="1:21" hidden="1" x14ac:dyDescent="0.25">
      <c r="A171">
        <v>98640.715800000005</v>
      </c>
      <c r="B171">
        <v>1013.7802</v>
      </c>
      <c r="C171">
        <v>4</v>
      </c>
      <c r="D171" t="s">
        <v>137</v>
      </c>
      <c r="F171">
        <v>1969</v>
      </c>
      <c r="G171" s="1" t="s">
        <v>24</v>
      </c>
      <c r="H171" s="1" t="s">
        <v>152</v>
      </c>
      <c r="I171">
        <v>0</v>
      </c>
      <c r="J171">
        <v>98640.9565</v>
      </c>
      <c r="K171">
        <v>2.47E-3</v>
      </c>
      <c r="L171">
        <v>2.5200000000000001E-3</v>
      </c>
      <c r="M171">
        <v>0.245</v>
      </c>
      <c r="N171">
        <v>2.8000000000000001E-2</v>
      </c>
      <c r="O171">
        <v>2.5899999999999999E-3</v>
      </c>
      <c r="P171" s="3">
        <f t="shared" si="8"/>
        <v>1013.780153448562</v>
      </c>
      <c r="Q171" s="3">
        <f t="shared" si="9"/>
        <v>2.4737886938055453E-3</v>
      </c>
      <c r="R171" s="3">
        <f t="shared" si="10"/>
        <v>2.5200000000000001E-3</v>
      </c>
      <c r="S171">
        <f t="shared" si="11"/>
        <v>6</v>
      </c>
      <c r="T171">
        <f>INDEX([1]IDEN_level_ids!$B:$B,MATCH(G171,[1]IDEN_level_ids!$A:$A,0),1)</f>
        <v>1241</v>
      </c>
      <c r="U171">
        <f>INDEX([1]IDEN_level_ids!$B:$B,MATCH(H171,[1]IDEN_level_ids!$A:$A,0),1)</f>
        <v>793</v>
      </c>
    </row>
    <row r="172" spans="1:21" hidden="1" x14ac:dyDescent="0.25">
      <c r="A172">
        <v>98634.7978</v>
      </c>
      <c r="B172">
        <v>1013.841</v>
      </c>
      <c r="C172">
        <v>4</v>
      </c>
      <c r="D172" t="s">
        <v>137</v>
      </c>
      <c r="F172">
        <v>1969</v>
      </c>
      <c r="G172" s="1" t="s">
        <v>76</v>
      </c>
      <c r="H172" s="1" t="s">
        <v>139</v>
      </c>
      <c r="I172">
        <v>0</v>
      </c>
      <c r="J172">
        <v>98634.862200000003</v>
      </c>
      <c r="K172">
        <v>6.6E-4</v>
      </c>
      <c r="L172">
        <v>2.5200000000000001E-3</v>
      </c>
      <c r="M172">
        <v>0.245</v>
      </c>
      <c r="N172">
        <v>0.1135</v>
      </c>
      <c r="O172">
        <v>2.8400000000000001E-3</v>
      </c>
      <c r="P172" s="3">
        <f t="shared" si="8"/>
        <v>1013.8409793546513</v>
      </c>
      <c r="Q172" s="3">
        <f t="shared" si="9"/>
        <v>6.619501220939128E-4</v>
      </c>
      <c r="R172" s="3">
        <f t="shared" si="10"/>
        <v>2.5200000000000001E-3</v>
      </c>
      <c r="S172">
        <f t="shared" si="11"/>
        <v>6</v>
      </c>
      <c r="T172">
        <f>INDEX([1]IDEN_level_ids!$B:$B,MATCH(G172,[1]IDEN_level_ids!$A:$A,0),1)</f>
        <v>1194</v>
      </c>
      <c r="U172">
        <f>INDEX([1]IDEN_level_ids!$B:$B,MATCH(H172,[1]IDEN_level_ids!$A:$A,0),1)</f>
        <v>642</v>
      </c>
    </row>
    <row r="173" spans="1:21" hidden="1" x14ac:dyDescent="0.25">
      <c r="A173">
        <v>98599.693400000004</v>
      </c>
      <c r="B173">
        <v>1014.2019</v>
      </c>
      <c r="C173">
        <v>4</v>
      </c>
      <c r="D173" t="s">
        <v>137</v>
      </c>
      <c r="F173">
        <v>1969</v>
      </c>
      <c r="G173" s="1" t="s">
        <v>41</v>
      </c>
      <c r="H173" s="1" t="s">
        <v>161</v>
      </c>
      <c r="I173">
        <v>0</v>
      </c>
      <c r="J173">
        <v>98599.805200000003</v>
      </c>
      <c r="K173">
        <v>1.15E-3</v>
      </c>
      <c r="L173">
        <v>2.5200000000000001E-3</v>
      </c>
      <c r="M173">
        <v>0.245</v>
      </c>
      <c r="N173">
        <v>2.0299999999999999E-2</v>
      </c>
      <c r="O173">
        <v>2.5699999999999998E-3</v>
      </c>
      <c r="P173" s="3">
        <f t="shared" si="8"/>
        <v>1014.2019366563263</v>
      </c>
      <c r="Q173" s="3">
        <f t="shared" si="9"/>
        <v>1.149979721390082E-3</v>
      </c>
      <c r="R173" s="3">
        <f t="shared" si="10"/>
        <v>2.5200000000000001E-3</v>
      </c>
      <c r="S173">
        <f t="shared" si="11"/>
        <v>6</v>
      </c>
      <c r="T173">
        <f>INDEX([1]IDEN_level_ids!$B:$B,MATCH(G173,[1]IDEN_level_ids!$A:$A,0),1)</f>
        <v>1238</v>
      </c>
      <c r="U173">
        <f>INDEX([1]IDEN_level_ids!$B:$B,MATCH(H173,[1]IDEN_level_ids!$A:$A,0),1)</f>
        <v>785</v>
      </c>
    </row>
    <row r="174" spans="1:21" hidden="1" x14ac:dyDescent="0.25">
      <c r="A174">
        <v>98596.883499999996</v>
      </c>
      <c r="B174">
        <v>1014.2308</v>
      </c>
      <c r="C174">
        <v>4</v>
      </c>
      <c r="D174" t="s">
        <v>137</v>
      </c>
      <c r="E174" t="s">
        <v>52</v>
      </c>
      <c r="F174">
        <v>1969</v>
      </c>
      <c r="G174" s="1" t="s">
        <v>94</v>
      </c>
      <c r="H174" s="1" t="s">
        <v>132</v>
      </c>
      <c r="I174">
        <v>0</v>
      </c>
      <c r="J174">
        <v>98596.439199999993</v>
      </c>
      <c r="K174">
        <v>-4.5700000000000003E-3</v>
      </c>
      <c r="L174">
        <v>2.8400000000000001E-3</v>
      </c>
      <c r="M174">
        <v>0.27600000000000002</v>
      </c>
      <c r="N174">
        <v>7.3099999999999998E-2</v>
      </c>
      <c r="O174">
        <v>3.0599999999999998E-3</v>
      </c>
      <c r="P174" s="3">
        <f t="shared" si="8"/>
        <v>1014.2308402678874</v>
      </c>
      <c r="Q174" s="3">
        <f t="shared" si="9"/>
        <v>-4.5703756239845461E-3</v>
      </c>
      <c r="R174" s="3">
        <f t="shared" si="10"/>
        <v>2.8400000000000001E-3</v>
      </c>
      <c r="S174">
        <f t="shared" si="11"/>
        <v>6</v>
      </c>
      <c r="T174">
        <f>INDEX([1]IDEN_level_ids!$B:$B,MATCH(G174,[1]IDEN_level_ids!$A:$A,0),1)</f>
        <v>1207</v>
      </c>
      <c r="U174">
        <f>INDEX([1]IDEN_level_ids!$B:$B,MATCH(H174,[1]IDEN_level_ids!$A:$A,0),1)</f>
        <v>696</v>
      </c>
    </row>
    <row r="175" spans="1:21" hidden="1" x14ac:dyDescent="0.25">
      <c r="A175">
        <v>98558.885699999999</v>
      </c>
      <c r="B175">
        <v>1014.6219</v>
      </c>
      <c r="C175">
        <v>4</v>
      </c>
      <c r="D175" t="s">
        <v>137</v>
      </c>
      <c r="F175">
        <v>1969</v>
      </c>
      <c r="G175" s="1" t="s">
        <v>18</v>
      </c>
      <c r="H175" s="1" t="s">
        <v>162</v>
      </c>
      <c r="I175">
        <v>0</v>
      </c>
      <c r="J175">
        <v>98559.124800000005</v>
      </c>
      <c r="K175">
        <v>2.4599999999999999E-3</v>
      </c>
      <c r="L175">
        <v>2.5200000000000001E-3</v>
      </c>
      <c r="M175">
        <v>0.245</v>
      </c>
      <c r="N175">
        <v>2.2100000000000002E-2</v>
      </c>
      <c r="O175">
        <v>2.5799999999999998E-3</v>
      </c>
      <c r="P175" s="3">
        <f t="shared" si="8"/>
        <v>1014.6218607258463</v>
      </c>
      <c r="Q175" s="3">
        <f t="shared" si="9"/>
        <v>2.4614269597122984E-3</v>
      </c>
      <c r="R175" s="3">
        <f t="shared" si="10"/>
        <v>2.5200000000000001E-3</v>
      </c>
      <c r="S175">
        <f t="shared" si="11"/>
        <v>6</v>
      </c>
      <c r="T175">
        <f>INDEX([1]IDEN_level_ids!$B:$B,MATCH(G175,[1]IDEN_level_ids!$A:$A,0),1)</f>
        <v>1226</v>
      </c>
      <c r="U175">
        <f>INDEX([1]IDEN_level_ids!$B:$B,MATCH(H175,[1]IDEN_level_ids!$A:$A,0),1)</f>
        <v>754</v>
      </c>
    </row>
    <row r="176" spans="1:21" hidden="1" x14ac:dyDescent="0.25">
      <c r="A176">
        <v>98540.114400000006</v>
      </c>
      <c r="B176">
        <v>1014.8151</v>
      </c>
      <c r="C176">
        <v>4</v>
      </c>
      <c r="D176" t="s">
        <v>137</v>
      </c>
      <c r="F176">
        <v>1969</v>
      </c>
      <c r="G176" s="1" t="s">
        <v>16</v>
      </c>
      <c r="H176" s="1" t="s">
        <v>163</v>
      </c>
      <c r="I176">
        <v>0</v>
      </c>
      <c r="J176">
        <v>98540.270999999993</v>
      </c>
      <c r="K176">
        <v>1.6100000000000001E-3</v>
      </c>
      <c r="L176">
        <v>2.5200000000000001E-3</v>
      </c>
      <c r="M176">
        <v>0.245</v>
      </c>
      <c r="N176">
        <v>2.2100000000000002E-2</v>
      </c>
      <c r="O176">
        <v>2.5799999999999998E-3</v>
      </c>
      <c r="P176" s="3">
        <f t="shared" si="8"/>
        <v>1014.8151400968943</v>
      </c>
      <c r="Q176" s="3">
        <f t="shared" si="9"/>
        <v>1.612742174415871E-3</v>
      </c>
      <c r="R176" s="3">
        <f t="shared" si="10"/>
        <v>2.5200000000000001E-3</v>
      </c>
      <c r="S176">
        <f t="shared" si="11"/>
        <v>6</v>
      </c>
      <c r="T176">
        <f>INDEX([1]IDEN_level_ids!$B:$B,MATCH(G176,[1]IDEN_level_ids!$A:$A,0),1)</f>
        <v>1223</v>
      </c>
      <c r="U176">
        <f>INDEX([1]IDEN_level_ids!$B:$B,MATCH(H176,[1]IDEN_level_ids!$A:$A,0),1)</f>
        <v>747</v>
      </c>
    </row>
    <row r="177" spans="1:21" hidden="1" x14ac:dyDescent="0.25">
      <c r="A177">
        <v>98505.683999999994</v>
      </c>
      <c r="B177">
        <v>1015.1698</v>
      </c>
      <c r="C177">
        <v>4</v>
      </c>
      <c r="D177" t="s">
        <v>137</v>
      </c>
      <c r="F177">
        <v>1969</v>
      </c>
      <c r="G177" s="1" t="s">
        <v>41</v>
      </c>
      <c r="H177" s="1" t="s">
        <v>164</v>
      </c>
      <c r="I177">
        <v>0</v>
      </c>
      <c r="J177">
        <v>98505.917600000001</v>
      </c>
      <c r="K177">
        <v>2.4099999999999998E-3</v>
      </c>
      <c r="L177">
        <v>2.5200000000000001E-3</v>
      </c>
      <c r="M177">
        <v>0.245</v>
      </c>
      <c r="N177">
        <v>1.6400000000000001E-2</v>
      </c>
      <c r="O177">
        <v>2.5699999999999998E-3</v>
      </c>
      <c r="P177" s="3">
        <f t="shared" si="8"/>
        <v>1015.1698454273969</v>
      </c>
      <c r="Q177" s="3">
        <f t="shared" si="9"/>
        <v>2.4074053790172911E-3</v>
      </c>
      <c r="R177" s="3">
        <f t="shared" si="10"/>
        <v>2.5200000000000001E-3</v>
      </c>
      <c r="S177">
        <f t="shared" si="11"/>
        <v>6</v>
      </c>
      <c r="T177">
        <f>INDEX([1]IDEN_level_ids!$B:$B,MATCH(G177,[1]IDEN_level_ids!$A:$A,0),1)</f>
        <v>1238</v>
      </c>
      <c r="U177">
        <f>INDEX([1]IDEN_level_ids!$B:$B,MATCH(H177,[1]IDEN_level_ids!$A:$A,0),1)</f>
        <v>787</v>
      </c>
    </row>
    <row r="178" spans="1:21" hidden="1" x14ac:dyDescent="0.25">
      <c r="A178">
        <v>98495.588900000002</v>
      </c>
      <c r="B178">
        <v>1015.2739</v>
      </c>
      <c r="C178">
        <v>4</v>
      </c>
      <c r="D178" t="s">
        <v>137</v>
      </c>
      <c r="F178">
        <v>1969</v>
      </c>
      <c r="G178" s="1" t="s">
        <v>27</v>
      </c>
      <c r="H178" s="1" t="s">
        <v>165</v>
      </c>
      <c r="I178">
        <v>0</v>
      </c>
      <c r="J178">
        <v>98495.834300000002</v>
      </c>
      <c r="K178">
        <v>2.5300000000000001E-3</v>
      </c>
      <c r="L178">
        <v>2.5300000000000001E-3</v>
      </c>
      <c r="M178">
        <v>0.245</v>
      </c>
      <c r="N178">
        <v>3.3799999999999997E-2</v>
      </c>
      <c r="O178">
        <v>2.6099999999999999E-3</v>
      </c>
      <c r="P178" s="3">
        <f t="shared" si="8"/>
        <v>1015.2738931438583</v>
      </c>
      <c r="Q178" s="3">
        <f t="shared" si="9"/>
        <v>2.5295304634482818E-3</v>
      </c>
      <c r="R178" s="3">
        <f t="shared" si="10"/>
        <v>2.5300000000000001E-3</v>
      </c>
      <c r="S178">
        <f t="shared" si="11"/>
        <v>6</v>
      </c>
      <c r="T178">
        <f>INDEX([1]IDEN_level_ids!$B:$B,MATCH(G178,[1]IDEN_level_ids!$A:$A,0),1)</f>
        <v>1242</v>
      </c>
      <c r="U178">
        <f>INDEX([1]IDEN_level_ids!$B:$B,MATCH(H178,[1]IDEN_level_ids!$A:$A,0),1)</f>
        <v>802</v>
      </c>
    </row>
    <row r="179" spans="1:21" hidden="1" x14ac:dyDescent="0.25">
      <c r="A179">
        <v>98489.187699999995</v>
      </c>
      <c r="B179">
        <v>1015.3398999999999</v>
      </c>
      <c r="C179">
        <v>4</v>
      </c>
      <c r="D179" t="s">
        <v>137</v>
      </c>
      <c r="F179">
        <v>1969</v>
      </c>
      <c r="G179" s="1" t="s">
        <v>166</v>
      </c>
      <c r="H179" s="1" t="s">
        <v>167</v>
      </c>
      <c r="I179">
        <v>0</v>
      </c>
      <c r="J179">
        <v>98489.714300000007</v>
      </c>
      <c r="K179">
        <v>5.4299999999999999E-3</v>
      </c>
      <c r="L179">
        <v>2.5300000000000001E-3</v>
      </c>
      <c r="M179">
        <v>0.245</v>
      </c>
      <c r="N179">
        <v>0.16489999999999999</v>
      </c>
      <c r="O179">
        <v>3.0200000000000001E-3</v>
      </c>
      <c r="P179" s="3">
        <f t="shared" si="8"/>
        <v>1015.3398797906829</v>
      </c>
      <c r="Q179" s="3">
        <f t="shared" si="9"/>
        <v>5.4287697400923207E-3</v>
      </c>
      <c r="R179" s="3">
        <f t="shared" si="10"/>
        <v>2.5300000000000001E-3</v>
      </c>
      <c r="S179">
        <f t="shared" si="11"/>
        <v>6</v>
      </c>
      <c r="T179">
        <f>INDEX([1]IDEN_level_ids!$B:$B,MATCH(G179,[1]IDEN_level_ids!$A:$A,0),1)</f>
        <v>1186</v>
      </c>
      <c r="U179">
        <f>INDEX([1]IDEN_level_ids!$B:$B,MATCH(H179,[1]IDEN_level_ids!$A:$A,0),1)</f>
        <v>628</v>
      </c>
    </row>
    <row r="180" spans="1:21" hidden="1" x14ac:dyDescent="0.25">
      <c r="A180">
        <v>98476.681700000001</v>
      </c>
      <c r="B180">
        <v>1015.4688</v>
      </c>
      <c r="C180">
        <v>4</v>
      </c>
      <c r="D180" t="s">
        <v>137</v>
      </c>
      <c r="F180">
        <v>1969</v>
      </c>
      <c r="G180" s="1" t="s">
        <v>36</v>
      </c>
      <c r="H180" s="1" t="s">
        <v>168</v>
      </c>
      <c r="I180">
        <v>0</v>
      </c>
      <c r="J180">
        <v>98476.522200000007</v>
      </c>
      <c r="K180">
        <v>-1.64E-3</v>
      </c>
      <c r="L180">
        <v>2.5300000000000001E-3</v>
      </c>
      <c r="M180">
        <v>0.245</v>
      </c>
      <c r="N180">
        <v>2.1000000000000001E-2</v>
      </c>
      <c r="O180">
        <v>2.5799999999999998E-3</v>
      </c>
      <c r="P180" s="3">
        <f t="shared" si="8"/>
        <v>1015.468822402451</v>
      </c>
      <c r="Q180" s="3">
        <f t="shared" si="9"/>
        <v>-1.6447298660295928E-3</v>
      </c>
      <c r="R180" s="3">
        <f t="shared" si="10"/>
        <v>2.5300000000000001E-3</v>
      </c>
      <c r="S180">
        <f t="shared" si="11"/>
        <v>6</v>
      </c>
      <c r="T180">
        <f>INDEX([1]IDEN_level_ids!$B:$B,MATCH(G180,[1]IDEN_level_ids!$A:$A,0),1)</f>
        <v>1217</v>
      </c>
      <c r="U180">
        <f>INDEX([1]IDEN_level_ids!$B:$B,MATCH(H180,[1]IDEN_level_ids!$A:$A,0),1)</f>
        <v>729</v>
      </c>
    </row>
    <row r="181" spans="1:21" hidden="1" x14ac:dyDescent="0.25">
      <c r="A181">
        <v>98454.381899999993</v>
      </c>
      <c r="B181">
        <v>1015.6988</v>
      </c>
      <c r="C181">
        <v>4</v>
      </c>
      <c r="D181" t="s">
        <v>137</v>
      </c>
      <c r="F181">
        <v>1969</v>
      </c>
      <c r="G181" s="1" t="s">
        <v>36</v>
      </c>
      <c r="H181" s="1" t="s">
        <v>169</v>
      </c>
      <c r="I181">
        <v>0</v>
      </c>
      <c r="J181">
        <v>98454.711200000005</v>
      </c>
      <c r="K181">
        <v>3.3999999999999998E-3</v>
      </c>
      <c r="L181">
        <v>2.5300000000000001E-3</v>
      </c>
      <c r="M181">
        <v>0.245</v>
      </c>
      <c r="N181">
        <v>2.1600000000000001E-2</v>
      </c>
      <c r="O181">
        <v>2.5799999999999998E-3</v>
      </c>
      <c r="P181" s="3">
        <f t="shared" si="8"/>
        <v>1015.6988248788143</v>
      </c>
      <c r="Q181" s="3">
        <f t="shared" si="9"/>
        <v>3.3971926682170306E-3</v>
      </c>
      <c r="R181" s="3">
        <f t="shared" si="10"/>
        <v>2.5300000000000001E-3</v>
      </c>
      <c r="S181">
        <f t="shared" si="11"/>
        <v>6</v>
      </c>
      <c r="T181">
        <f>INDEX([1]IDEN_level_ids!$B:$B,MATCH(G181,[1]IDEN_level_ids!$A:$A,0),1)</f>
        <v>1217</v>
      </c>
      <c r="U181">
        <f>INDEX([1]IDEN_level_ids!$B:$B,MATCH(H181,[1]IDEN_level_ids!$A:$A,0),1)</f>
        <v>727</v>
      </c>
    </row>
    <row r="182" spans="1:21" hidden="1" x14ac:dyDescent="0.25">
      <c r="A182">
        <v>98451.379400000005</v>
      </c>
      <c r="B182">
        <v>1015.7298</v>
      </c>
      <c r="C182">
        <v>4</v>
      </c>
      <c r="D182" t="s">
        <v>137</v>
      </c>
      <c r="F182">
        <v>1969</v>
      </c>
      <c r="G182" s="1" t="s">
        <v>72</v>
      </c>
      <c r="H182" s="1" t="s">
        <v>170</v>
      </c>
      <c r="I182">
        <v>0</v>
      </c>
      <c r="J182">
        <v>98451.626900000003</v>
      </c>
      <c r="K182">
        <v>2.5500000000000002E-3</v>
      </c>
      <c r="L182">
        <v>2.5300000000000001E-3</v>
      </c>
      <c r="M182">
        <v>0.245</v>
      </c>
      <c r="N182">
        <v>2.2100000000000002E-2</v>
      </c>
      <c r="O182">
        <v>2.5799999999999998E-3</v>
      </c>
      <c r="P182" s="3">
        <f t="shared" si="8"/>
        <v>1015.7298009376595</v>
      </c>
      <c r="Q182" s="3">
        <f t="shared" si="9"/>
        <v>2.5534684763215409E-3</v>
      </c>
      <c r="R182" s="3">
        <f t="shared" si="10"/>
        <v>2.5300000000000001E-3</v>
      </c>
      <c r="S182">
        <f t="shared" si="11"/>
        <v>6</v>
      </c>
      <c r="T182">
        <f>INDEX([1]IDEN_level_ids!$B:$B,MATCH(G182,[1]IDEN_level_ids!$A:$A,0),1)</f>
        <v>1225</v>
      </c>
      <c r="U182">
        <f>INDEX([1]IDEN_level_ids!$B:$B,MATCH(H182,[1]IDEN_level_ids!$A:$A,0),1)</f>
        <v>746</v>
      </c>
    </row>
    <row r="183" spans="1:21" hidden="1" x14ac:dyDescent="0.25">
      <c r="A183">
        <v>98446.015199999994</v>
      </c>
      <c r="B183">
        <v>1015.7851000000001</v>
      </c>
      <c r="C183">
        <v>4</v>
      </c>
      <c r="D183" t="s">
        <v>137</v>
      </c>
      <c r="F183">
        <v>1969</v>
      </c>
      <c r="G183" s="1" t="s">
        <v>94</v>
      </c>
      <c r="H183" s="1" t="s">
        <v>136</v>
      </c>
      <c r="I183">
        <v>0</v>
      </c>
      <c r="J183">
        <v>98446.133000000002</v>
      </c>
      <c r="K183">
        <v>1.2199999999999999E-3</v>
      </c>
      <c r="L183">
        <v>2.5300000000000001E-3</v>
      </c>
      <c r="M183">
        <v>0.245</v>
      </c>
      <c r="N183">
        <v>0.1003</v>
      </c>
      <c r="O183">
        <v>2.81E-3</v>
      </c>
      <c r="P183" s="3">
        <f t="shared" si="8"/>
        <v>1015.7851467816445</v>
      </c>
      <c r="Q183" s="3">
        <f t="shared" si="9"/>
        <v>1.2154818747376339E-3</v>
      </c>
      <c r="R183" s="3">
        <f t="shared" si="10"/>
        <v>2.5300000000000001E-3</v>
      </c>
      <c r="S183">
        <f t="shared" si="11"/>
        <v>6</v>
      </c>
      <c r="T183">
        <f>INDEX([1]IDEN_level_ids!$B:$B,MATCH(G183,[1]IDEN_level_ids!$A:$A,0),1)</f>
        <v>1207</v>
      </c>
      <c r="U183">
        <f>INDEX([1]IDEN_level_ids!$B:$B,MATCH(H183,[1]IDEN_level_ids!$A:$A,0),1)</f>
        <v>700</v>
      </c>
    </row>
    <row r="184" spans="1:21" hidden="1" x14ac:dyDescent="0.25">
      <c r="A184">
        <v>98379.594700000001</v>
      </c>
      <c r="B184">
        <v>1016.4709</v>
      </c>
      <c r="C184">
        <v>4</v>
      </c>
      <c r="D184" t="s">
        <v>137</v>
      </c>
      <c r="F184">
        <v>1969</v>
      </c>
      <c r="G184" s="1" t="s">
        <v>20</v>
      </c>
      <c r="H184" s="1" t="s">
        <v>171</v>
      </c>
      <c r="I184">
        <v>0</v>
      </c>
      <c r="J184">
        <v>98379.7212</v>
      </c>
      <c r="K184">
        <v>1.31E-3</v>
      </c>
      <c r="L184">
        <v>2.5300000000000001E-3</v>
      </c>
      <c r="M184">
        <v>0.245</v>
      </c>
      <c r="N184">
        <v>0.1028</v>
      </c>
      <c r="O184">
        <v>2.82E-3</v>
      </c>
      <c r="P184" s="3">
        <f t="shared" si="8"/>
        <v>1016.4709491327067</v>
      </c>
      <c r="Q184" s="3">
        <f t="shared" si="9"/>
        <v>1.3070130053165485E-3</v>
      </c>
      <c r="R184" s="3">
        <f t="shared" si="10"/>
        <v>2.5300000000000001E-3</v>
      </c>
      <c r="S184">
        <f t="shared" si="11"/>
        <v>6</v>
      </c>
      <c r="T184">
        <f>INDEX([1]IDEN_level_ids!$B:$B,MATCH(G184,[1]IDEN_level_ids!$A:$A,0),1)</f>
        <v>1235</v>
      </c>
      <c r="U184">
        <f>INDEX([1]IDEN_level_ids!$B:$B,MATCH(H184,[1]IDEN_level_ids!$A:$A,0),1)</f>
        <v>774</v>
      </c>
    </row>
    <row r="185" spans="1:21" hidden="1" x14ac:dyDescent="0.25">
      <c r="A185">
        <v>98356.087899999999</v>
      </c>
      <c r="B185">
        <v>1016.7139</v>
      </c>
      <c r="C185">
        <v>4</v>
      </c>
      <c r="D185" t="s">
        <v>137</v>
      </c>
      <c r="F185">
        <v>1969</v>
      </c>
      <c r="G185" s="1" t="s">
        <v>172</v>
      </c>
      <c r="H185" s="1" t="s">
        <v>173</v>
      </c>
      <c r="I185">
        <v>0</v>
      </c>
      <c r="J185">
        <v>98356.145499999999</v>
      </c>
      <c r="K185">
        <v>5.9999999999999995E-4</v>
      </c>
      <c r="L185">
        <v>2.5300000000000001E-3</v>
      </c>
      <c r="M185">
        <v>0.245</v>
      </c>
      <c r="N185">
        <v>0.1699</v>
      </c>
      <c r="O185">
        <v>3.0500000000000002E-3</v>
      </c>
      <c r="P185" s="3">
        <f t="shared" si="8"/>
        <v>1016.7138825374124</v>
      </c>
      <c r="Q185" s="3">
        <f t="shared" si="9"/>
        <v>5.954149518174745E-4</v>
      </c>
      <c r="R185" s="3">
        <f t="shared" si="10"/>
        <v>2.5300000000000001E-3</v>
      </c>
      <c r="S185">
        <f t="shared" si="11"/>
        <v>6</v>
      </c>
      <c r="T185">
        <f>INDEX([1]IDEN_level_ids!$B:$B,MATCH(G185,[1]IDEN_level_ids!$A:$A,0),1)</f>
        <v>1136</v>
      </c>
      <c r="U185">
        <f>INDEX([1]IDEN_level_ids!$B:$B,MATCH(H185,[1]IDEN_level_ids!$A:$A,0),1)</f>
        <v>483</v>
      </c>
    </row>
    <row r="186" spans="1:21" hidden="1" x14ac:dyDescent="0.25">
      <c r="A186">
        <v>98329.293300000005</v>
      </c>
      <c r="B186">
        <v>1016.9909</v>
      </c>
      <c r="C186">
        <v>4</v>
      </c>
      <c r="D186" t="s">
        <v>137</v>
      </c>
      <c r="F186">
        <v>1969</v>
      </c>
      <c r="G186" s="1" t="s">
        <v>55</v>
      </c>
      <c r="H186" s="1" t="s">
        <v>149</v>
      </c>
      <c r="I186">
        <v>0</v>
      </c>
      <c r="J186">
        <v>98329.364000000001</v>
      </c>
      <c r="K186">
        <v>7.2999999999999996E-4</v>
      </c>
      <c r="L186">
        <v>2.5300000000000001E-3</v>
      </c>
      <c r="M186">
        <v>0.245</v>
      </c>
      <c r="N186">
        <v>1.9099999999999999E-2</v>
      </c>
      <c r="O186">
        <v>2.5799999999999998E-3</v>
      </c>
      <c r="P186" s="3">
        <f t="shared" si="8"/>
        <v>1016.9909357011518</v>
      </c>
      <c r="Q186" s="3">
        <f t="shared" si="9"/>
        <v>7.3122876244724466E-4</v>
      </c>
      <c r="R186" s="3">
        <f t="shared" si="10"/>
        <v>2.5300000000000001E-3</v>
      </c>
      <c r="S186">
        <f t="shared" si="11"/>
        <v>6</v>
      </c>
      <c r="T186">
        <f>INDEX([1]IDEN_level_ids!$B:$B,MATCH(G186,[1]IDEN_level_ids!$A:$A,0),1)</f>
        <v>1233</v>
      </c>
      <c r="U186">
        <f>INDEX([1]IDEN_level_ids!$B:$B,MATCH(H186,[1]IDEN_level_ids!$A:$A,0),1)</f>
        <v>772</v>
      </c>
    </row>
    <row r="187" spans="1:21" hidden="1" x14ac:dyDescent="0.25">
      <c r="A187">
        <v>98306.093699999998</v>
      </c>
      <c r="B187">
        <v>1017.2309</v>
      </c>
      <c r="C187">
        <v>4</v>
      </c>
      <c r="D187" t="s">
        <v>137</v>
      </c>
      <c r="F187">
        <v>1969</v>
      </c>
      <c r="G187" s="1" t="s">
        <v>72</v>
      </c>
      <c r="H187" s="1" t="s">
        <v>122</v>
      </c>
      <c r="I187">
        <v>0</v>
      </c>
      <c r="J187">
        <v>98306.194499999998</v>
      </c>
      <c r="K187">
        <v>1.0399999999999999E-3</v>
      </c>
      <c r="L187">
        <v>2.5400000000000002E-3</v>
      </c>
      <c r="M187">
        <v>0.245</v>
      </c>
      <c r="N187">
        <v>2.4299999999999999E-2</v>
      </c>
      <c r="O187">
        <v>2.5999999999999999E-3</v>
      </c>
      <c r="P187" s="3">
        <f t="shared" si="8"/>
        <v>1017.2309389606029</v>
      </c>
      <c r="Q187" s="3">
        <f t="shared" si="9"/>
        <v>1.0430357840505167E-3</v>
      </c>
      <c r="R187" s="3">
        <f t="shared" si="10"/>
        <v>2.5400000000000002E-3</v>
      </c>
      <c r="S187">
        <f t="shared" si="11"/>
        <v>6</v>
      </c>
      <c r="T187">
        <f>INDEX([1]IDEN_level_ids!$B:$B,MATCH(G187,[1]IDEN_level_ids!$A:$A,0),1)</f>
        <v>1225</v>
      </c>
      <c r="U187">
        <f>INDEX([1]IDEN_level_ids!$B:$B,MATCH(H187,[1]IDEN_level_ids!$A:$A,0),1)</f>
        <v>750</v>
      </c>
    </row>
    <row r="188" spans="1:21" hidden="1" x14ac:dyDescent="0.25">
      <c r="A188">
        <v>98298.427800000005</v>
      </c>
      <c r="B188">
        <v>1017.3103</v>
      </c>
      <c r="C188">
        <v>4</v>
      </c>
      <c r="D188" t="s">
        <v>137</v>
      </c>
      <c r="E188" t="s">
        <v>52</v>
      </c>
      <c r="F188">
        <v>1969</v>
      </c>
      <c r="G188" s="1" t="s">
        <v>22</v>
      </c>
      <c r="H188" s="1" t="s">
        <v>161</v>
      </c>
      <c r="I188">
        <v>0</v>
      </c>
      <c r="J188">
        <v>98298.601299999995</v>
      </c>
      <c r="K188">
        <v>1.8E-3</v>
      </c>
      <c r="L188">
        <v>2.8600000000000001E-3</v>
      </c>
      <c r="M188">
        <v>0.27600000000000002</v>
      </c>
      <c r="N188">
        <v>1.4999999999999999E-2</v>
      </c>
      <c r="O188">
        <v>2.8999999999999998E-3</v>
      </c>
      <c r="P188" s="3">
        <f t="shared" si="8"/>
        <v>1017.3102687202897</v>
      </c>
      <c r="Q188" s="3">
        <f t="shared" si="9"/>
        <v>1.7955833478708882E-3</v>
      </c>
      <c r="R188" s="3">
        <f t="shared" si="10"/>
        <v>2.8600000000000001E-3</v>
      </c>
      <c r="S188">
        <f t="shared" si="11"/>
        <v>6</v>
      </c>
      <c r="T188">
        <f>INDEX([1]IDEN_level_ids!$B:$B,MATCH(G188,[1]IDEN_level_ids!$A:$A,0),1)</f>
        <v>1236</v>
      </c>
      <c r="U188">
        <f>INDEX([1]IDEN_level_ids!$B:$B,MATCH(H188,[1]IDEN_level_ids!$A:$A,0),1)</f>
        <v>785</v>
      </c>
    </row>
    <row r="189" spans="1:21" hidden="1" x14ac:dyDescent="0.25">
      <c r="A189">
        <v>98295.085500000001</v>
      </c>
      <c r="B189">
        <v>1017.3449000000001</v>
      </c>
      <c r="C189">
        <v>4</v>
      </c>
      <c r="D189" t="s">
        <v>137</v>
      </c>
      <c r="E189" t="s">
        <v>52</v>
      </c>
      <c r="F189">
        <v>1969</v>
      </c>
      <c r="G189" s="1" t="s">
        <v>18</v>
      </c>
      <c r="H189" s="1" t="s">
        <v>174</v>
      </c>
      <c r="I189">
        <v>0</v>
      </c>
      <c r="J189">
        <v>98295.270799999998</v>
      </c>
      <c r="K189">
        <v>1.92E-3</v>
      </c>
      <c r="L189">
        <v>2.8600000000000001E-3</v>
      </c>
      <c r="M189">
        <v>0.27600000000000002</v>
      </c>
      <c r="N189">
        <v>1.2200000000000001E-2</v>
      </c>
      <c r="O189">
        <v>2.8900000000000002E-3</v>
      </c>
      <c r="P189" s="3">
        <f t="shared" si="8"/>
        <v>1017.3448600337196</v>
      </c>
      <c r="Q189" s="3">
        <f t="shared" si="9"/>
        <v>1.9178339000518463E-3</v>
      </c>
      <c r="R189" s="3">
        <f t="shared" si="10"/>
        <v>2.8600000000000001E-3</v>
      </c>
      <c r="S189">
        <f t="shared" si="11"/>
        <v>6</v>
      </c>
      <c r="T189">
        <f>INDEX([1]IDEN_level_ids!$B:$B,MATCH(G189,[1]IDEN_level_ids!$A:$A,0),1)</f>
        <v>1226</v>
      </c>
      <c r="U189">
        <f>INDEX([1]IDEN_level_ids!$B:$B,MATCH(H189,[1]IDEN_level_ids!$A:$A,0),1)</f>
        <v>758</v>
      </c>
    </row>
    <row r="190" spans="1:21" hidden="1" x14ac:dyDescent="0.25">
      <c r="A190">
        <v>98278.575599999996</v>
      </c>
      <c r="B190">
        <v>1017.5158</v>
      </c>
      <c r="C190">
        <v>4</v>
      </c>
      <c r="D190" t="s">
        <v>137</v>
      </c>
      <c r="F190">
        <v>1969</v>
      </c>
      <c r="G190" s="1" t="s">
        <v>41</v>
      </c>
      <c r="H190" s="1" t="s">
        <v>175</v>
      </c>
      <c r="I190">
        <v>0</v>
      </c>
      <c r="J190">
        <v>98278.661399999997</v>
      </c>
      <c r="K190">
        <v>8.8999999999999995E-4</v>
      </c>
      <c r="L190">
        <v>2.5400000000000002E-3</v>
      </c>
      <c r="M190">
        <v>0.245</v>
      </c>
      <c r="N190">
        <v>1.4999999999999999E-2</v>
      </c>
      <c r="O190">
        <v>2.5799999999999998E-3</v>
      </c>
      <c r="P190" s="3">
        <f t="shared" si="8"/>
        <v>1017.515764646471</v>
      </c>
      <c r="Q190" s="3">
        <f t="shared" si="9"/>
        <v>8.8831951279644272E-4</v>
      </c>
      <c r="R190" s="3">
        <f t="shared" si="10"/>
        <v>2.5400000000000002E-3</v>
      </c>
      <c r="S190">
        <f t="shared" si="11"/>
        <v>6</v>
      </c>
      <c r="T190">
        <f>INDEX([1]IDEN_level_ids!$B:$B,MATCH(G190,[1]IDEN_level_ids!$A:$A,0),1)</f>
        <v>1238</v>
      </c>
      <c r="U190">
        <f>INDEX([1]IDEN_level_ids!$B:$B,MATCH(H190,[1]IDEN_level_ids!$A:$A,0),1)</f>
        <v>790</v>
      </c>
    </row>
    <row r="191" spans="1:21" hidden="1" x14ac:dyDescent="0.25">
      <c r="A191">
        <v>98208.490099999995</v>
      </c>
      <c r="B191">
        <v>1018.2419</v>
      </c>
      <c r="C191">
        <v>4</v>
      </c>
      <c r="D191" t="s">
        <v>137</v>
      </c>
      <c r="F191">
        <v>1969</v>
      </c>
      <c r="G191" s="1" t="s">
        <v>94</v>
      </c>
      <c r="H191" s="1" t="s">
        <v>176</v>
      </c>
      <c r="I191">
        <v>0</v>
      </c>
      <c r="J191">
        <v>98208.555399999997</v>
      </c>
      <c r="K191">
        <v>6.8000000000000005E-4</v>
      </c>
      <c r="L191">
        <v>2.5400000000000002E-3</v>
      </c>
      <c r="M191">
        <v>0.245</v>
      </c>
      <c r="N191">
        <v>0.11169999999999999</v>
      </c>
      <c r="O191">
        <v>2.8600000000000001E-3</v>
      </c>
      <c r="P191" s="3">
        <f t="shared" si="8"/>
        <v>1018.2419045255233</v>
      </c>
      <c r="Q191" s="3">
        <f t="shared" si="9"/>
        <v>6.7704077400776441E-4</v>
      </c>
      <c r="R191" s="3">
        <f t="shared" si="10"/>
        <v>2.5400000000000002E-3</v>
      </c>
      <c r="S191">
        <f t="shared" si="11"/>
        <v>6</v>
      </c>
      <c r="T191">
        <f>INDEX([1]IDEN_level_ids!$B:$B,MATCH(G191,[1]IDEN_level_ids!$A:$A,0),1)</f>
        <v>1207</v>
      </c>
      <c r="U191">
        <f>INDEX([1]IDEN_level_ids!$B:$B,MATCH(H191,[1]IDEN_level_ids!$A:$A,0),1)</f>
        <v>708</v>
      </c>
    </row>
    <row r="192" spans="1:21" hidden="1" x14ac:dyDescent="0.25">
      <c r="A192">
        <v>98195.824699999997</v>
      </c>
      <c r="B192">
        <v>1018.3732</v>
      </c>
      <c r="C192">
        <v>4</v>
      </c>
      <c r="D192" t="s">
        <v>137</v>
      </c>
      <c r="F192">
        <v>1969</v>
      </c>
      <c r="G192" s="1" t="s">
        <v>94</v>
      </c>
      <c r="H192" s="1" t="s">
        <v>177</v>
      </c>
      <c r="I192">
        <v>0</v>
      </c>
      <c r="J192">
        <v>98196.681200000006</v>
      </c>
      <c r="K192">
        <v>8.8800000000000007E-3</v>
      </c>
      <c r="L192">
        <v>2.5400000000000002E-3</v>
      </c>
      <c r="M192">
        <v>0.245</v>
      </c>
      <c r="N192">
        <v>0.2576</v>
      </c>
      <c r="O192">
        <v>3.4199999999999999E-3</v>
      </c>
      <c r="P192" s="3">
        <f t="shared" si="8"/>
        <v>1018.3732384295562</v>
      </c>
      <c r="Q192" s="3">
        <f t="shared" si="9"/>
        <v>8.8825474350642253E-3</v>
      </c>
      <c r="R192" s="3">
        <f t="shared" si="10"/>
        <v>2.5400000000000002E-3</v>
      </c>
      <c r="S192">
        <f t="shared" si="11"/>
        <v>6</v>
      </c>
      <c r="T192">
        <f>INDEX([1]IDEN_level_ids!$B:$B,MATCH(G192,[1]IDEN_level_ids!$A:$A,0),1)</f>
        <v>1207</v>
      </c>
      <c r="U192">
        <f>INDEX([1]IDEN_level_ids!$B:$B,MATCH(H192,[1]IDEN_level_ids!$A:$A,0),1)</f>
        <v>709</v>
      </c>
    </row>
    <row r="193" spans="1:21" hidden="1" x14ac:dyDescent="0.25">
      <c r="A193">
        <v>98179.380300000004</v>
      </c>
      <c r="B193">
        <v>1018.5438</v>
      </c>
      <c r="C193">
        <v>4</v>
      </c>
      <c r="D193" t="s">
        <v>137</v>
      </c>
      <c r="F193">
        <v>1969</v>
      </c>
      <c r="G193" s="1" t="s">
        <v>118</v>
      </c>
      <c r="H193" s="1" t="s">
        <v>178</v>
      </c>
      <c r="I193">
        <v>0</v>
      </c>
      <c r="J193">
        <v>98179.848899999997</v>
      </c>
      <c r="K193">
        <v>4.8599999999999997E-3</v>
      </c>
      <c r="L193">
        <v>2.5400000000000002E-3</v>
      </c>
      <c r="M193">
        <v>0.245</v>
      </c>
      <c r="N193">
        <v>2.35E-2</v>
      </c>
      <c r="O193">
        <v>2.5999999999999999E-3</v>
      </c>
      <c r="P193" s="3">
        <f t="shared" si="8"/>
        <v>1018.5438092442308</v>
      </c>
      <c r="Q193" s="3">
        <f t="shared" si="9"/>
        <v>4.8613807655328856E-3</v>
      </c>
      <c r="R193" s="3">
        <f t="shared" si="10"/>
        <v>2.5400000000000002E-3</v>
      </c>
      <c r="S193">
        <f t="shared" si="11"/>
        <v>6</v>
      </c>
      <c r="T193">
        <f>INDEX([1]IDEN_level_ids!$B:$B,MATCH(G193,[1]IDEN_level_ids!$A:$A,0),1)</f>
        <v>1237</v>
      </c>
      <c r="U193">
        <f>INDEX([1]IDEN_level_ids!$B:$B,MATCH(H193,[1]IDEN_level_ids!$A:$A,0),1)</f>
        <v>782</v>
      </c>
    </row>
    <row r="194" spans="1:21" hidden="1" x14ac:dyDescent="0.25">
      <c r="A194">
        <v>98146.011199999994</v>
      </c>
      <c r="B194">
        <v>1018.8901</v>
      </c>
      <c r="C194">
        <v>4</v>
      </c>
      <c r="D194" t="s">
        <v>137</v>
      </c>
      <c r="F194">
        <v>1969</v>
      </c>
      <c r="G194" s="1" t="s">
        <v>20</v>
      </c>
      <c r="H194" s="1" t="s">
        <v>158</v>
      </c>
      <c r="I194">
        <v>0</v>
      </c>
      <c r="J194">
        <v>98146.063599999994</v>
      </c>
      <c r="K194">
        <v>5.4000000000000001E-4</v>
      </c>
      <c r="L194">
        <v>2.5400000000000002E-3</v>
      </c>
      <c r="M194">
        <v>0.245</v>
      </c>
      <c r="N194">
        <v>2.6599999999999999E-2</v>
      </c>
      <c r="O194">
        <v>2.6099999999999999E-3</v>
      </c>
      <c r="P194" s="3">
        <f t="shared" ref="P194:P257" si="12">100000000/$A194</f>
        <v>1018.8901084958204</v>
      </c>
      <c r="Q194" s="3">
        <f t="shared" ref="Q194:Q257" si="13">100000000/($A194)-100000000/$J194</f>
        <v>5.4398352540374617E-4</v>
      </c>
      <c r="R194" s="3">
        <f t="shared" si="10"/>
        <v>2.5400000000000002E-3</v>
      </c>
      <c r="S194">
        <f t="shared" si="11"/>
        <v>6</v>
      </c>
      <c r="T194">
        <f>INDEX([1]IDEN_level_ids!$B:$B,MATCH(G194,[1]IDEN_level_ids!$A:$A,0),1)</f>
        <v>1235</v>
      </c>
      <c r="U194">
        <f>INDEX([1]IDEN_level_ids!$B:$B,MATCH(H194,[1]IDEN_level_ids!$A:$A,0),1)</f>
        <v>779</v>
      </c>
    </row>
    <row r="195" spans="1:21" hidden="1" x14ac:dyDescent="0.25">
      <c r="A195">
        <v>98138.504499999995</v>
      </c>
      <c r="B195">
        <v>1018.968</v>
      </c>
      <c r="C195">
        <v>4</v>
      </c>
      <c r="D195" t="s">
        <v>137</v>
      </c>
      <c r="F195">
        <v>1969</v>
      </c>
      <c r="G195" s="1" t="s">
        <v>55</v>
      </c>
      <c r="H195" s="1" t="s">
        <v>157</v>
      </c>
      <c r="I195">
        <v>0</v>
      </c>
      <c r="J195">
        <v>98139.077699999994</v>
      </c>
      <c r="K195">
        <v>5.9500000000000004E-3</v>
      </c>
      <c r="L195">
        <v>2.5400000000000002E-3</v>
      </c>
      <c r="M195">
        <v>0.245</v>
      </c>
      <c r="N195">
        <v>1.8800000000000001E-2</v>
      </c>
      <c r="O195">
        <v>2.5899999999999999E-3</v>
      </c>
      <c r="P195" s="3">
        <f t="shared" si="12"/>
        <v>1018.9680442909134</v>
      </c>
      <c r="Q195" s="3">
        <f t="shared" si="13"/>
        <v>5.9514771962767554E-3</v>
      </c>
      <c r="R195" s="3">
        <f t="shared" ref="R195:R258" si="14">$L195</f>
        <v>2.5400000000000002E-3</v>
      </c>
      <c r="S195">
        <f t="shared" si="11"/>
        <v>6</v>
      </c>
      <c r="T195">
        <f>INDEX([1]IDEN_level_ids!$B:$B,MATCH(G195,[1]IDEN_level_ids!$A:$A,0),1)</f>
        <v>1233</v>
      </c>
      <c r="U195">
        <f>INDEX([1]IDEN_level_ids!$B:$B,MATCH(H195,[1]IDEN_level_ids!$A:$A,0),1)</f>
        <v>778</v>
      </c>
    </row>
    <row r="196" spans="1:21" hidden="1" x14ac:dyDescent="0.25">
      <c r="A196">
        <v>98115.497799999997</v>
      </c>
      <c r="B196">
        <v>1019.207</v>
      </c>
      <c r="C196">
        <v>4</v>
      </c>
      <c r="D196" t="s">
        <v>137</v>
      </c>
      <c r="F196">
        <v>1969</v>
      </c>
      <c r="G196" s="1" t="s">
        <v>69</v>
      </c>
      <c r="H196" s="1" t="s">
        <v>119</v>
      </c>
      <c r="I196">
        <v>0</v>
      </c>
      <c r="J196">
        <v>98115.698600000003</v>
      </c>
      <c r="K196">
        <v>2.0899999999999998E-3</v>
      </c>
      <c r="L196">
        <v>2.5400000000000002E-3</v>
      </c>
      <c r="M196">
        <v>0.245</v>
      </c>
      <c r="N196">
        <v>0.1363</v>
      </c>
      <c r="O196">
        <v>2.9499999999999999E-3</v>
      </c>
      <c r="P196" s="3">
        <f t="shared" si="12"/>
        <v>1019.2069779214839</v>
      </c>
      <c r="Q196" s="3">
        <f t="shared" si="13"/>
        <v>2.085871721874355E-3</v>
      </c>
      <c r="R196" s="3">
        <f t="shared" si="14"/>
        <v>2.5400000000000002E-3</v>
      </c>
      <c r="S196">
        <f t="shared" ref="S196:S259" si="15">IF(D196=D195,S195,S195+1)</f>
        <v>6</v>
      </c>
      <c r="T196">
        <f>INDEX([1]IDEN_level_ids!$B:$B,MATCH(G196,[1]IDEN_level_ids!$A:$A,0),1)</f>
        <v>1218</v>
      </c>
      <c r="U196">
        <f>INDEX([1]IDEN_level_ids!$B:$B,MATCH(H196,[1]IDEN_level_ids!$A:$A,0),1)</f>
        <v>741</v>
      </c>
    </row>
    <row r="197" spans="1:21" hidden="1" x14ac:dyDescent="0.25">
      <c r="A197">
        <v>98105.492199999993</v>
      </c>
      <c r="B197">
        <v>1019.3108999999999</v>
      </c>
      <c r="C197">
        <v>4</v>
      </c>
      <c r="D197" t="s">
        <v>137</v>
      </c>
      <c r="F197">
        <v>1969</v>
      </c>
      <c r="G197" s="1" t="s">
        <v>18</v>
      </c>
      <c r="H197" s="1" t="s">
        <v>133</v>
      </c>
      <c r="I197">
        <v>0</v>
      </c>
      <c r="J197">
        <v>98105.531600000002</v>
      </c>
      <c r="K197">
        <v>4.0999999999999999E-4</v>
      </c>
      <c r="L197">
        <v>2.5500000000000002E-3</v>
      </c>
      <c r="M197">
        <v>0.245</v>
      </c>
      <c r="N197">
        <v>1.5900000000000001E-2</v>
      </c>
      <c r="O197">
        <v>2.5899999999999999E-3</v>
      </c>
      <c r="P197" s="3">
        <f t="shared" si="12"/>
        <v>1019.3109249799983</v>
      </c>
      <c r="Q197" s="3">
        <f t="shared" si="13"/>
        <v>4.0936377183697914E-4</v>
      </c>
      <c r="R197" s="3">
        <f t="shared" si="14"/>
        <v>2.5500000000000002E-3</v>
      </c>
      <c r="S197">
        <f t="shared" si="15"/>
        <v>6</v>
      </c>
      <c r="T197">
        <f>INDEX([1]IDEN_level_ids!$B:$B,MATCH(G197,[1]IDEN_level_ids!$A:$A,0),1)</f>
        <v>1226</v>
      </c>
      <c r="U197">
        <f>INDEX([1]IDEN_level_ids!$B:$B,MATCH(H197,[1]IDEN_level_ids!$A:$A,0),1)</f>
        <v>765</v>
      </c>
    </row>
    <row r="198" spans="1:21" hidden="1" x14ac:dyDescent="0.25">
      <c r="A198">
        <v>98084.013800000001</v>
      </c>
      <c r="B198">
        <v>1019.5341</v>
      </c>
      <c r="C198">
        <v>4</v>
      </c>
      <c r="D198" t="s">
        <v>137</v>
      </c>
      <c r="F198">
        <v>1969</v>
      </c>
      <c r="G198" s="1" t="s">
        <v>41</v>
      </c>
      <c r="H198" s="1" t="s">
        <v>179</v>
      </c>
      <c r="I198">
        <v>0</v>
      </c>
      <c r="J198">
        <v>98084.377399999998</v>
      </c>
      <c r="K198">
        <v>3.7799999999999999E-3</v>
      </c>
      <c r="L198">
        <v>2.5500000000000002E-3</v>
      </c>
      <c r="M198">
        <v>0.245</v>
      </c>
      <c r="N198">
        <v>2.41E-2</v>
      </c>
      <c r="O198">
        <v>2.6099999999999999E-3</v>
      </c>
      <c r="P198" s="3">
        <f t="shared" si="12"/>
        <v>1019.5341332982847</v>
      </c>
      <c r="Q198" s="3">
        <f t="shared" si="13"/>
        <v>3.7794256403458348E-3</v>
      </c>
      <c r="R198" s="3">
        <f t="shared" si="14"/>
        <v>2.5500000000000002E-3</v>
      </c>
      <c r="S198">
        <f t="shared" si="15"/>
        <v>6</v>
      </c>
      <c r="T198">
        <f>INDEX([1]IDEN_level_ids!$B:$B,MATCH(G198,[1]IDEN_level_ids!$A:$A,0),1)</f>
        <v>1238</v>
      </c>
      <c r="U198">
        <f>INDEX([1]IDEN_level_ids!$B:$B,MATCH(H198,[1]IDEN_level_ids!$A:$A,0),1)</f>
        <v>791</v>
      </c>
    </row>
    <row r="199" spans="1:21" hidden="1" x14ac:dyDescent="0.25">
      <c r="A199">
        <v>98068.176800000001</v>
      </c>
      <c r="B199">
        <v>1019.6988</v>
      </c>
      <c r="C199">
        <v>4</v>
      </c>
      <c r="D199" t="s">
        <v>137</v>
      </c>
      <c r="F199">
        <v>1969</v>
      </c>
      <c r="G199" s="1" t="s">
        <v>33</v>
      </c>
      <c r="H199" s="1" t="s">
        <v>103</v>
      </c>
      <c r="I199">
        <v>0</v>
      </c>
      <c r="J199">
        <v>98067.687600000005</v>
      </c>
      <c r="K199">
        <v>-5.0899999999999999E-3</v>
      </c>
      <c r="L199">
        <v>2.5500000000000002E-3</v>
      </c>
      <c r="M199">
        <v>0.245</v>
      </c>
      <c r="N199">
        <v>2.7099999999999999E-2</v>
      </c>
      <c r="O199">
        <v>2.6199999999999999E-3</v>
      </c>
      <c r="P199" s="3">
        <f t="shared" si="12"/>
        <v>1019.6987775549223</v>
      </c>
      <c r="Q199" s="3">
        <f t="shared" si="13"/>
        <v>-5.0866565143223852E-3</v>
      </c>
      <c r="R199" s="3">
        <f t="shared" si="14"/>
        <v>2.5500000000000002E-3</v>
      </c>
      <c r="S199">
        <f t="shared" si="15"/>
        <v>6</v>
      </c>
      <c r="T199">
        <f>INDEX([1]IDEN_level_ids!$B:$B,MATCH(G199,[1]IDEN_level_ids!$A:$A,0),1)</f>
        <v>1220</v>
      </c>
      <c r="U199">
        <f>INDEX([1]IDEN_level_ids!$B:$B,MATCH(H199,[1]IDEN_level_ids!$A:$A,0),1)</f>
        <v>745</v>
      </c>
    </row>
    <row r="200" spans="1:21" hidden="1" x14ac:dyDescent="0.25">
      <c r="A200">
        <v>98049.794599999994</v>
      </c>
      <c r="B200">
        <v>1019.8899</v>
      </c>
      <c r="C200">
        <v>4</v>
      </c>
      <c r="D200" t="s">
        <v>137</v>
      </c>
      <c r="F200">
        <v>1969</v>
      </c>
      <c r="G200" s="1" t="s">
        <v>180</v>
      </c>
      <c r="H200" s="1" t="s">
        <v>181</v>
      </c>
      <c r="I200">
        <v>0</v>
      </c>
      <c r="J200">
        <v>98050.167700000005</v>
      </c>
      <c r="K200">
        <v>3.8800000000000002E-3</v>
      </c>
      <c r="L200">
        <v>2.5500000000000002E-3</v>
      </c>
      <c r="M200">
        <v>0.245</v>
      </c>
      <c r="N200">
        <v>0.25700000000000001</v>
      </c>
      <c r="O200">
        <v>3.4299999999999999E-3</v>
      </c>
      <c r="P200" s="3">
        <f t="shared" si="12"/>
        <v>1019.8899488566599</v>
      </c>
      <c r="Q200" s="3">
        <f t="shared" si="13"/>
        <v>3.8808800520655495E-3</v>
      </c>
      <c r="R200" s="3">
        <f t="shared" si="14"/>
        <v>2.5500000000000002E-3</v>
      </c>
      <c r="S200">
        <f t="shared" si="15"/>
        <v>6</v>
      </c>
      <c r="T200">
        <f>INDEX([1]IDEN_level_ids!$B:$B,MATCH(G200,[1]IDEN_level_ids!$A:$A,0),1)</f>
        <v>1184</v>
      </c>
      <c r="U200">
        <f>INDEX([1]IDEN_level_ids!$B:$B,MATCH(H200,[1]IDEN_level_ids!$A:$A,0),1)</f>
        <v>639</v>
      </c>
    </row>
    <row r="201" spans="1:21" hidden="1" x14ac:dyDescent="0.25">
      <c r="A201">
        <v>98040.923800000004</v>
      </c>
      <c r="B201">
        <v>1019.9822</v>
      </c>
      <c r="C201">
        <v>4</v>
      </c>
      <c r="D201" t="s">
        <v>137</v>
      </c>
      <c r="F201">
        <v>1969</v>
      </c>
      <c r="G201" s="1" t="s">
        <v>182</v>
      </c>
      <c r="H201" s="1" t="s">
        <v>183</v>
      </c>
      <c r="I201">
        <v>0</v>
      </c>
      <c r="J201">
        <v>98041.237999999998</v>
      </c>
      <c r="K201">
        <v>3.2699999999999999E-3</v>
      </c>
      <c r="L201">
        <v>2.5500000000000002E-3</v>
      </c>
      <c r="M201">
        <v>0.245</v>
      </c>
      <c r="N201">
        <v>0.21909999999999999</v>
      </c>
      <c r="O201">
        <v>3.2599999999999999E-3</v>
      </c>
      <c r="P201" s="3">
        <f t="shared" si="12"/>
        <v>1019.9822290944181</v>
      </c>
      <c r="Q201" s="3">
        <f t="shared" si="13"/>
        <v>3.2688124192645773E-3</v>
      </c>
      <c r="R201" s="3">
        <f t="shared" si="14"/>
        <v>2.5500000000000002E-3</v>
      </c>
      <c r="S201">
        <f t="shared" si="15"/>
        <v>6</v>
      </c>
      <c r="T201">
        <f>INDEX([1]IDEN_level_ids!$B:$B,MATCH(G201,[1]IDEN_level_ids!$A:$A,0),1)</f>
        <v>1210</v>
      </c>
      <c r="U201">
        <f>INDEX([1]IDEN_level_ids!$B:$B,MATCH(H201,[1]IDEN_level_ids!$A:$A,0),1)</f>
        <v>707</v>
      </c>
    </row>
    <row r="202" spans="1:21" hidden="1" x14ac:dyDescent="0.25">
      <c r="A202">
        <v>98034.209300000002</v>
      </c>
      <c r="B202">
        <v>1020.0521</v>
      </c>
      <c r="C202">
        <v>4</v>
      </c>
      <c r="D202" t="s">
        <v>137</v>
      </c>
      <c r="F202">
        <v>1969</v>
      </c>
      <c r="G202" s="1" t="s">
        <v>27</v>
      </c>
      <c r="H202" s="1" t="s">
        <v>184</v>
      </c>
      <c r="I202">
        <v>0</v>
      </c>
      <c r="J202">
        <v>98034.4427</v>
      </c>
      <c r="K202">
        <v>2.4299999999999999E-3</v>
      </c>
      <c r="L202">
        <v>2.5500000000000002E-3</v>
      </c>
      <c r="M202">
        <v>0.245</v>
      </c>
      <c r="N202">
        <v>3.6900000000000002E-2</v>
      </c>
      <c r="O202">
        <v>2.65E-3</v>
      </c>
      <c r="P202" s="3">
        <f t="shared" si="12"/>
        <v>1020.0520891027373</v>
      </c>
      <c r="Q202" s="3">
        <f t="shared" si="13"/>
        <v>2.4285358394990908E-3</v>
      </c>
      <c r="R202" s="3">
        <f t="shared" si="14"/>
        <v>2.5500000000000002E-3</v>
      </c>
      <c r="S202">
        <f t="shared" si="15"/>
        <v>6</v>
      </c>
      <c r="T202">
        <f>INDEX([1]IDEN_level_ids!$B:$B,MATCH(G202,[1]IDEN_level_ids!$A:$A,0),1)</f>
        <v>1242</v>
      </c>
      <c r="U202">
        <f>INDEX([1]IDEN_level_ids!$B:$B,MATCH(H202,[1]IDEN_level_ids!$A:$A,0),1)</f>
        <v>810</v>
      </c>
    </row>
    <row r="203" spans="1:21" hidden="1" x14ac:dyDescent="0.25">
      <c r="A203">
        <v>98021.027499999997</v>
      </c>
      <c r="B203">
        <v>1020.1893</v>
      </c>
      <c r="C203">
        <v>4</v>
      </c>
      <c r="D203" t="s">
        <v>137</v>
      </c>
      <c r="F203">
        <v>1969</v>
      </c>
      <c r="G203" s="1" t="s">
        <v>166</v>
      </c>
      <c r="H203" s="1" t="s">
        <v>185</v>
      </c>
      <c r="I203">
        <v>0</v>
      </c>
      <c r="J203">
        <v>98021.325299999997</v>
      </c>
      <c r="K203">
        <v>3.0999999999999999E-3</v>
      </c>
      <c r="L203">
        <v>2.5500000000000002E-3</v>
      </c>
      <c r="M203">
        <v>0.245</v>
      </c>
      <c r="N203">
        <v>0.23960000000000001</v>
      </c>
      <c r="O203">
        <v>3.3500000000000001E-3</v>
      </c>
      <c r="P203" s="3">
        <f t="shared" si="12"/>
        <v>1020.1892650023486</v>
      </c>
      <c r="Q203" s="3">
        <f t="shared" si="13"/>
        <v>3.0994516977216335E-3</v>
      </c>
      <c r="R203" s="3">
        <f t="shared" si="14"/>
        <v>2.5500000000000002E-3</v>
      </c>
      <c r="S203">
        <f t="shared" si="15"/>
        <v>6</v>
      </c>
      <c r="T203">
        <f>INDEX([1]IDEN_level_ids!$B:$B,MATCH(G203,[1]IDEN_level_ids!$A:$A,0),1)</f>
        <v>1186</v>
      </c>
      <c r="U203">
        <f>INDEX([1]IDEN_level_ids!$B:$B,MATCH(H203,[1]IDEN_level_ids!$A:$A,0),1)</f>
        <v>633</v>
      </c>
    </row>
    <row r="204" spans="1:21" hidden="1" x14ac:dyDescent="0.25">
      <c r="A204">
        <v>97980.707999999999</v>
      </c>
      <c r="B204">
        <v>1020.6091</v>
      </c>
      <c r="C204">
        <v>4</v>
      </c>
      <c r="D204" t="s">
        <v>137</v>
      </c>
      <c r="F204">
        <v>1969</v>
      </c>
      <c r="G204" s="1" t="s">
        <v>18</v>
      </c>
      <c r="H204" s="1" t="s">
        <v>186</v>
      </c>
      <c r="I204">
        <v>0</v>
      </c>
      <c r="J204">
        <v>97980.896599999993</v>
      </c>
      <c r="K204">
        <v>1.9599999999999999E-3</v>
      </c>
      <c r="L204">
        <v>2.5500000000000002E-3</v>
      </c>
      <c r="M204">
        <v>0.245</v>
      </c>
      <c r="N204">
        <v>1.61E-2</v>
      </c>
      <c r="O204">
        <v>2.5899999999999999E-3</v>
      </c>
      <c r="P204" s="3">
        <f t="shared" si="12"/>
        <v>1020.6090774522675</v>
      </c>
      <c r="Q204" s="3">
        <f t="shared" si="13"/>
        <v>1.9645347070991193E-3</v>
      </c>
      <c r="R204" s="3">
        <f t="shared" si="14"/>
        <v>2.5500000000000002E-3</v>
      </c>
      <c r="S204">
        <f t="shared" si="15"/>
        <v>6</v>
      </c>
      <c r="T204">
        <f>INDEX([1]IDEN_level_ids!$B:$B,MATCH(G204,[1]IDEN_level_ids!$A:$A,0),1)</f>
        <v>1226</v>
      </c>
      <c r="U204">
        <f>INDEX([1]IDEN_level_ids!$B:$B,MATCH(H204,[1]IDEN_level_ids!$A:$A,0),1)</f>
        <v>768</v>
      </c>
    </row>
    <row r="205" spans="1:21" hidden="1" x14ac:dyDescent="0.25">
      <c r="A205">
        <v>97944.175099999993</v>
      </c>
      <c r="B205">
        <v>1020.9897999999999</v>
      </c>
      <c r="C205">
        <v>4</v>
      </c>
      <c r="D205" t="s">
        <v>137</v>
      </c>
      <c r="F205">
        <v>1969</v>
      </c>
      <c r="G205" s="1" t="s">
        <v>84</v>
      </c>
      <c r="H205" s="1" t="s">
        <v>114</v>
      </c>
      <c r="I205">
        <v>0</v>
      </c>
      <c r="J205">
        <v>97944.294200000004</v>
      </c>
      <c r="K205">
        <v>1.24E-3</v>
      </c>
      <c r="L205">
        <v>2.5500000000000002E-3</v>
      </c>
      <c r="M205">
        <v>0.245</v>
      </c>
      <c r="N205">
        <v>4.2099999999999999E-2</v>
      </c>
      <c r="O205">
        <v>2.6700000000000001E-3</v>
      </c>
      <c r="P205" s="3">
        <f t="shared" si="12"/>
        <v>1020.9897617484759</v>
      </c>
      <c r="Q205" s="3">
        <f t="shared" si="13"/>
        <v>1.2415208218499174E-3</v>
      </c>
      <c r="R205" s="3">
        <f t="shared" si="14"/>
        <v>2.5500000000000002E-3</v>
      </c>
      <c r="S205">
        <f t="shared" si="15"/>
        <v>6</v>
      </c>
      <c r="T205">
        <f>INDEX([1]IDEN_level_ids!$B:$B,MATCH(G205,[1]IDEN_level_ids!$A:$A,0),1)</f>
        <v>1191</v>
      </c>
      <c r="U205">
        <f>INDEX([1]IDEN_level_ids!$B:$B,MATCH(H205,[1]IDEN_level_ids!$A:$A,0),1)</f>
        <v>645</v>
      </c>
    </row>
    <row r="206" spans="1:21" hidden="1" x14ac:dyDescent="0.25">
      <c r="A206">
        <v>97939.426999999996</v>
      </c>
      <c r="B206">
        <v>1021.0393</v>
      </c>
      <c r="C206">
        <v>4</v>
      </c>
      <c r="D206" t="s">
        <v>137</v>
      </c>
      <c r="F206">
        <v>1969</v>
      </c>
      <c r="G206" s="1" t="s">
        <v>49</v>
      </c>
      <c r="H206" s="1" t="s">
        <v>112</v>
      </c>
      <c r="I206">
        <v>0</v>
      </c>
      <c r="J206">
        <v>97939.144100000005</v>
      </c>
      <c r="K206">
        <v>-2.9499999999999999E-3</v>
      </c>
      <c r="L206">
        <v>2.5500000000000002E-3</v>
      </c>
      <c r="M206">
        <v>0.245</v>
      </c>
      <c r="N206">
        <v>4.3099999999999999E-2</v>
      </c>
      <c r="O206">
        <v>2.6700000000000001E-3</v>
      </c>
      <c r="P206" s="3">
        <f t="shared" si="12"/>
        <v>1021.039259296463</v>
      </c>
      <c r="Q206" s="3">
        <f t="shared" si="13"/>
        <v>-2.9493009061525299E-3</v>
      </c>
      <c r="R206" s="3">
        <f t="shared" si="14"/>
        <v>2.5500000000000002E-3</v>
      </c>
      <c r="S206">
        <f t="shared" si="15"/>
        <v>6</v>
      </c>
      <c r="T206">
        <f>INDEX([1]IDEN_level_ids!$B:$B,MATCH(G206,[1]IDEN_level_ids!$A:$A,0),1)</f>
        <v>1214</v>
      </c>
      <c r="U206">
        <f>INDEX([1]IDEN_level_ids!$B:$B,MATCH(H206,[1]IDEN_level_ids!$A:$A,0),1)</f>
        <v>732</v>
      </c>
    </row>
    <row r="207" spans="1:21" hidden="1" x14ac:dyDescent="0.25">
      <c r="A207">
        <v>97928.803</v>
      </c>
      <c r="B207">
        <v>1021.15</v>
      </c>
      <c r="C207">
        <v>4</v>
      </c>
      <c r="D207" t="s">
        <v>137</v>
      </c>
      <c r="F207">
        <v>1969</v>
      </c>
      <c r="G207" s="1" t="s">
        <v>187</v>
      </c>
      <c r="H207" s="1" t="s">
        <v>188</v>
      </c>
      <c r="I207">
        <v>0</v>
      </c>
      <c r="J207">
        <v>97929.099000000002</v>
      </c>
      <c r="K207">
        <v>3.0899999999999999E-3</v>
      </c>
      <c r="L207">
        <v>2.5500000000000002E-3</v>
      </c>
      <c r="M207">
        <v>0.245</v>
      </c>
      <c r="N207">
        <v>0.26829999999999998</v>
      </c>
      <c r="O207">
        <v>3.49E-3</v>
      </c>
      <c r="P207" s="3">
        <f t="shared" si="12"/>
        <v>1021.1500287612012</v>
      </c>
      <c r="Q207" s="3">
        <f t="shared" si="13"/>
        <v>3.0865229191476828E-3</v>
      </c>
      <c r="R207" s="3">
        <f t="shared" si="14"/>
        <v>2.5500000000000002E-3</v>
      </c>
      <c r="S207">
        <f t="shared" si="15"/>
        <v>6</v>
      </c>
      <c r="T207">
        <f>INDEX([1]IDEN_level_ids!$B:$B,MATCH(G207,[1]IDEN_level_ids!$A:$A,0),1)</f>
        <v>1204</v>
      </c>
      <c r="U207">
        <f>INDEX([1]IDEN_level_ids!$B:$B,MATCH(H207,[1]IDEN_level_ids!$A:$A,0),1)</f>
        <v>679</v>
      </c>
    </row>
    <row r="208" spans="1:21" hidden="1" x14ac:dyDescent="0.25">
      <c r="A208">
        <v>97909.419599999994</v>
      </c>
      <c r="B208">
        <v>1021.3522</v>
      </c>
      <c r="C208">
        <v>4</v>
      </c>
      <c r="D208" t="s">
        <v>137</v>
      </c>
      <c r="F208">
        <v>1969</v>
      </c>
      <c r="G208" s="1" t="s">
        <v>22</v>
      </c>
      <c r="H208" s="1" t="s">
        <v>189</v>
      </c>
      <c r="I208">
        <v>0</v>
      </c>
      <c r="J208">
        <v>97909.769100000005</v>
      </c>
      <c r="K208">
        <v>3.65E-3</v>
      </c>
      <c r="L208">
        <v>2.5600000000000002E-3</v>
      </c>
      <c r="M208">
        <v>0.245</v>
      </c>
      <c r="N208">
        <v>2.3199999999999998E-2</v>
      </c>
      <c r="O208">
        <v>2.6199999999999999E-3</v>
      </c>
      <c r="P208" s="3">
        <f t="shared" si="12"/>
        <v>1021.352188671334</v>
      </c>
      <c r="Q208" s="3">
        <f t="shared" si="13"/>
        <v>3.6458322109638175E-3</v>
      </c>
      <c r="R208" s="3">
        <f t="shared" si="14"/>
        <v>2.5600000000000002E-3</v>
      </c>
      <c r="S208">
        <f t="shared" si="15"/>
        <v>6</v>
      </c>
      <c r="T208">
        <f>INDEX([1]IDEN_level_ids!$B:$B,MATCH(G208,[1]IDEN_level_ids!$A:$A,0),1)</f>
        <v>1236</v>
      </c>
      <c r="U208">
        <f>INDEX([1]IDEN_level_ids!$B:$B,MATCH(H208,[1]IDEN_level_ids!$A:$A,0),1)</f>
        <v>789</v>
      </c>
    </row>
    <row r="209" spans="1:21" hidden="1" x14ac:dyDescent="0.25">
      <c r="A209">
        <v>97887.7883</v>
      </c>
      <c r="B209">
        <v>1021.5779</v>
      </c>
      <c r="C209">
        <v>4</v>
      </c>
      <c r="D209" t="s">
        <v>137</v>
      </c>
      <c r="F209">
        <v>1969</v>
      </c>
      <c r="G209" s="1" t="s">
        <v>51</v>
      </c>
      <c r="H209" s="1" t="s">
        <v>112</v>
      </c>
      <c r="I209">
        <v>0</v>
      </c>
      <c r="J209">
        <v>97887.987800000003</v>
      </c>
      <c r="K209">
        <v>2.0799999999999998E-3</v>
      </c>
      <c r="L209">
        <v>2.5600000000000002E-3</v>
      </c>
      <c r="M209">
        <v>0.245</v>
      </c>
      <c r="N209">
        <v>4.3400000000000001E-2</v>
      </c>
      <c r="O209">
        <v>2.6700000000000001E-3</v>
      </c>
      <c r="P209" s="3">
        <f t="shared" si="12"/>
        <v>1021.577887667935</v>
      </c>
      <c r="Q209" s="3">
        <f t="shared" si="13"/>
        <v>2.0820204109668339E-3</v>
      </c>
      <c r="R209" s="3">
        <f t="shared" si="14"/>
        <v>2.5600000000000002E-3</v>
      </c>
      <c r="S209">
        <f t="shared" si="15"/>
        <v>6</v>
      </c>
      <c r="T209">
        <f>INDEX([1]IDEN_level_ids!$B:$B,MATCH(G209,[1]IDEN_level_ids!$A:$A,0),1)</f>
        <v>1213</v>
      </c>
      <c r="U209">
        <f>INDEX([1]IDEN_level_ids!$B:$B,MATCH(H209,[1]IDEN_level_ids!$A:$A,0),1)</f>
        <v>732</v>
      </c>
    </row>
    <row r="210" spans="1:21" hidden="1" x14ac:dyDescent="0.25">
      <c r="A210">
        <v>97860.292100000006</v>
      </c>
      <c r="B210">
        <v>1021.8649</v>
      </c>
      <c r="C210">
        <v>4</v>
      </c>
      <c r="D210" t="s">
        <v>137</v>
      </c>
      <c r="E210" t="s">
        <v>45</v>
      </c>
      <c r="F210">
        <v>1969</v>
      </c>
      <c r="G210" s="1" t="s">
        <v>138</v>
      </c>
      <c r="H210" s="1" t="s">
        <v>50</v>
      </c>
      <c r="I210">
        <v>0</v>
      </c>
      <c r="J210">
        <v>97860.441399999996</v>
      </c>
      <c r="K210">
        <v>1.56E-3</v>
      </c>
      <c r="L210">
        <v>5.0299999999999997E-3</v>
      </c>
      <c r="M210">
        <v>0.48199999999999998</v>
      </c>
      <c r="N210">
        <v>9.2299999999999993E-2</v>
      </c>
      <c r="O210">
        <v>5.5500000000000002E-3</v>
      </c>
      <c r="P210" s="3">
        <f t="shared" si="12"/>
        <v>1021.864924517224</v>
      </c>
      <c r="Q210" s="3">
        <f t="shared" si="13"/>
        <v>1.5590000518841407E-3</v>
      </c>
      <c r="R210" s="3">
        <f t="shared" si="14"/>
        <v>5.0299999999999997E-3</v>
      </c>
      <c r="S210">
        <f t="shared" si="15"/>
        <v>6</v>
      </c>
      <c r="T210">
        <f>INDEX([1]IDEN_level_ids!$B:$B,MATCH(G210,[1]IDEN_level_ids!$A:$A,0),1)</f>
        <v>1126</v>
      </c>
      <c r="U210">
        <f>INDEX([1]IDEN_level_ids!$B:$B,MATCH(H210,[1]IDEN_level_ids!$A:$A,0),1)</f>
        <v>409</v>
      </c>
    </row>
    <row r="211" spans="1:21" hidden="1" x14ac:dyDescent="0.25">
      <c r="A211">
        <v>97839.993000000002</v>
      </c>
      <c r="B211">
        <v>1022.0769</v>
      </c>
      <c r="C211">
        <v>4</v>
      </c>
      <c r="D211" t="s">
        <v>137</v>
      </c>
      <c r="F211">
        <v>1969</v>
      </c>
      <c r="G211" s="1" t="s">
        <v>94</v>
      </c>
      <c r="H211" s="1" t="s">
        <v>190</v>
      </c>
      <c r="I211">
        <v>0</v>
      </c>
      <c r="J211">
        <v>97840.217900000003</v>
      </c>
      <c r="K211">
        <v>2.3500000000000001E-3</v>
      </c>
      <c r="L211">
        <v>2.5600000000000002E-3</v>
      </c>
      <c r="M211">
        <v>0.245</v>
      </c>
      <c r="N211">
        <v>1.5299999999999999E-2</v>
      </c>
      <c r="O211">
        <v>2.5999999999999999E-3</v>
      </c>
      <c r="P211" s="3">
        <f t="shared" si="12"/>
        <v>1022.0769333047683</v>
      </c>
      <c r="Q211" s="3">
        <f t="shared" si="13"/>
        <v>2.349392787891702E-3</v>
      </c>
      <c r="R211" s="3">
        <f t="shared" si="14"/>
        <v>2.5600000000000002E-3</v>
      </c>
      <c r="S211">
        <f t="shared" si="15"/>
        <v>6</v>
      </c>
      <c r="T211">
        <f>INDEX([1]IDEN_level_ids!$B:$B,MATCH(G211,[1]IDEN_level_ids!$A:$A,0),1)</f>
        <v>1207</v>
      </c>
      <c r="U211">
        <f>INDEX([1]IDEN_level_ids!$B:$B,MATCH(H211,[1]IDEN_level_ids!$A:$A,0),1)</f>
        <v>719</v>
      </c>
    </row>
    <row r="212" spans="1:21" hidden="1" x14ac:dyDescent="0.25">
      <c r="A212">
        <v>97833.390599999999</v>
      </c>
      <c r="B212">
        <v>1022.1459</v>
      </c>
      <c r="C212">
        <v>4</v>
      </c>
      <c r="D212" t="s">
        <v>137</v>
      </c>
      <c r="F212">
        <v>1969</v>
      </c>
      <c r="G212" s="1" t="s">
        <v>33</v>
      </c>
      <c r="H212" s="1" t="s">
        <v>163</v>
      </c>
      <c r="I212">
        <v>0</v>
      </c>
      <c r="J212">
        <v>97833.493400000007</v>
      </c>
      <c r="K212">
        <v>1.07E-3</v>
      </c>
      <c r="L212">
        <v>2.5600000000000002E-3</v>
      </c>
      <c r="M212">
        <v>0.245</v>
      </c>
      <c r="N212">
        <v>1.52E-2</v>
      </c>
      <c r="O212">
        <v>2.5999999999999999E-3</v>
      </c>
      <c r="P212" s="3">
        <f t="shared" si="12"/>
        <v>1022.1459093537744</v>
      </c>
      <c r="Q212" s="3">
        <f t="shared" si="13"/>
        <v>1.0740350348896754E-3</v>
      </c>
      <c r="R212" s="3">
        <f t="shared" si="14"/>
        <v>2.5600000000000002E-3</v>
      </c>
      <c r="S212">
        <f t="shared" si="15"/>
        <v>6</v>
      </c>
      <c r="T212">
        <f>INDEX([1]IDEN_level_ids!$B:$B,MATCH(G212,[1]IDEN_level_ids!$A:$A,0),1)</f>
        <v>1220</v>
      </c>
      <c r="U212">
        <f>INDEX([1]IDEN_level_ids!$B:$B,MATCH(H212,[1]IDEN_level_ids!$A:$A,0),1)</f>
        <v>747</v>
      </c>
    </row>
    <row r="213" spans="1:21" hidden="1" x14ac:dyDescent="0.25">
      <c r="A213">
        <v>97818.525299999994</v>
      </c>
      <c r="B213">
        <v>1022.3012</v>
      </c>
      <c r="C213">
        <v>4</v>
      </c>
      <c r="D213" t="s">
        <v>137</v>
      </c>
      <c r="F213">
        <v>1969</v>
      </c>
      <c r="G213" s="1" t="s">
        <v>56</v>
      </c>
      <c r="H213" s="1" t="s">
        <v>147</v>
      </c>
      <c r="I213">
        <v>0</v>
      </c>
      <c r="J213">
        <v>97818.525999999998</v>
      </c>
      <c r="K213">
        <v>1.0000000000000001E-5</v>
      </c>
      <c r="L213">
        <v>2.5600000000000002E-3</v>
      </c>
      <c r="M213">
        <v>0.245</v>
      </c>
      <c r="N213">
        <v>0.26690000000000003</v>
      </c>
      <c r="O213">
        <v>3.49E-3</v>
      </c>
      <c r="P213" s="3">
        <f t="shared" si="12"/>
        <v>1022.301242973247</v>
      </c>
      <c r="Q213" s="3">
        <f t="shared" si="13"/>
        <v>7.3156987809852581E-6</v>
      </c>
      <c r="R213" s="3">
        <f t="shared" si="14"/>
        <v>2.5600000000000002E-3</v>
      </c>
      <c r="S213">
        <f t="shared" si="15"/>
        <v>6</v>
      </c>
      <c r="T213">
        <f>INDEX([1]IDEN_level_ids!$B:$B,MATCH(G213,[1]IDEN_level_ids!$A:$A,0),1)</f>
        <v>1221</v>
      </c>
      <c r="U213">
        <f>INDEX([1]IDEN_level_ids!$B:$B,MATCH(H213,[1]IDEN_level_ids!$A:$A,0),1)</f>
        <v>752</v>
      </c>
    </row>
    <row r="214" spans="1:21" hidden="1" x14ac:dyDescent="0.25">
      <c r="A214">
        <v>97809.576499999996</v>
      </c>
      <c r="B214">
        <v>1022.3948</v>
      </c>
      <c r="C214">
        <v>4</v>
      </c>
      <c r="D214" t="s">
        <v>137</v>
      </c>
      <c r="F214">
        <v>1969</v>
      </c>
      <c r="G214" s="1" t="s">
        <v>69</v>
      </c>
      <c r="H214" s="1" t="s">
        <v>191</v>
      </c>
      <c r="I214">
        <v>0</v>
      </c>
      <c r="J214">
        <v>97809.991200000004</v>
      </c>
      <c r="K214">
        <v>4.3299999999999996E-3</v>
      </c>
      <c r="L214">
        <v>2.5600000000000002E-3</v>
      </c>
      <c r="M214">
        <v>0.245</v>
      </c>
      <c r="N214">
        <v>4.5600000000000002E-2</v>
      </c>
      <c r="O214">
        <v>2.6800000000000001E-3</v>
      </c>
      <c r="P214" s="3">
        <f t="shared" si="12"/>
        <v>1022.3947754236519</v>
      </c>
      <c r="Q214" s="3">
        <f t="shared" si="13"/>
        <v>4.3348037165742426E-3</v>
      </c>
      <c r="R214" s="3">
        <f t="shared" si="14"/>
        <v>2.5600000000000002E-3</v>
      </c>
      <c r="S214">
        <f t="shared" si="15"/>
        <v>6</v>
      </c>
      <c r="T214">
        <f>INDEX([1]IDEN_level_ids!$B:$B,MATCH(G214,[1]IDEN_level_ids!$A:$A,0),1)</f>
        <v>1218</v>
      </c>
      <c r="U214">
        <f>INDEX([1]IDEN_level_ids!$B:$B,MATCH(H214,[1]IDEN_level_ids!$A:$A,0),1)</f>
        <v>749</v>
      </c>
    </row>
    <row r="215" spans="1:21" hidden="1" x14ac:dyDescent="0.25">
      <c r="A215">
        <v>97793.785600000003</v>
      </c>
      <c r="B215">
        <v>1022.5599</v>
      </c>
      <c r="C215">
        <v>4</v>
      </c>
      <c r="D215" t="s">
        <v>137</v>
      </c>
      <c r="F215">
        <v>1969</v>
      </c>
      <c r="G215" s="1" t="s">
        <v>72</v>
      </c>
      <c r="H215" s="1" t="s">
        <v>192</v>
      </c>
      <c r="I215">
        <v>0</v>
      </c>
      <c r="J215">
        <v>97793.882899999997</v>
      </c>
      <c r="K215">
        <v>1.0200000000000001E-3</v>
      </c>
      <c r="L215">
        <v>2.5600000000000002E-3</v>
      </c>
      <c r="M215">
        <v>0.245</v>
      </c>
      <c r="N215">
        <v>2.5100000000000001E-2</v>
      </c>
      <c r="O215">
        <v>2.63E-3</v>
      </c>
      <c r="P215" s="3">
        <f t="shared" si="12"/>
        <v>1022.5598629449108</v>
      </c>
      <c r="Q215" s="3">
        <f t="shared" si="13"/>
        <v>1.0173956867447487E-3</v>
      </c>
      <c r="R215" s="3">
        <f t="shared" si="14"/>
        <v>2.5600000000000002E-3</v>
      </c>
      <c r="S215">
        <f t="shared" si="15"/>
        <v>6</v>
      </c>
      <c r="T215">
        <f>INDEX([1]IDEN_level_ids!$B:$B,MATCH(G215,[1]IDEN_level_ids!$A:$A,0),1)</f>
        <v>1225</v>
      </c>
      <c r="U215">
        <f>INDEX([1]IDEN_level_ids!$B:$B,MATCH(H215,[1]IDEN_level_ids!$A:$A,0),1)</f>
        <v>762</v>
      </c>
    </row>
    <row r="216" spans="1:21" hidden="1" x14ac:dyDescent="0.25">
      <c r="A216">
        <v>97775.016399999993</v>
      </c>
      <c r="B216">
        <v>1022.7562</v>
      </c>
      <c r="C216">
        <v>4</v>
      </c>
      <c r="D216" t="s">
        <v>137</v>
      </c>
      <c r="F216">
        <v>1969</v>
      </c>
      <c r="G216" s="1" t="s">
        <v>94</v>
      </c>
      <c r="H216" s="1" t="s">
        <v>145</v>
      </c>
      <c r="I216">
        <v>0</v>
      </c>
      <c r="J216">
        <v>97774.831699999995</v>
      </c>
      <c r="K216">
        <v>-1.9300000000000001E-3</v>
      </c>
      <c r="L216">
        <v>2.5600000000000002E-3</v>
      </c>
      <c r="M216">
        <v>0.245</v>
      </c>
      <c r="N216">
        <v>0.1241</v>
      </c>
      <c r="O216">
        <v>2.9299999999999999E-3</v>
      </c>
      <c r="P216" s="3">
        <f t="shared" si="12"/>
        <v>1022.7561567558071</v>
      </c>
      <c r="Q216" s="3">
        <f t="shared" si="13"/>
        <v>-1.9320213481250903E-3</v>
      </c>
      <c r="R216" s="3">
        <f t="shared" si="14"/>
        <v>2.5600000000000002E-3</v>
      </c>
      <c r="S216">
        <f t="shared" si="15"/>
        <v>6</v>
      </c>
      <c r="T216">
        <f>INDEX([1]IDEN_level_ids!$B:$B,MATCH(G216,[1]IDEN_level_ids!$A:$A,0),1)</f>
        <v>1207</v>
      </c>
      <c r="U216">
        <f>INDEX([1]IDEN_level_ids!$B:$B,MATCH(H216,[1]IDEN_level_ids!$A:$A,0),1)</f>
        <v>720</v>
      </c>
    </row>
    <row r="217" spans="1:21" hidden="1" x14ac:dyDescent="0.25">
      <c r="A217">
        <v>97761.282699999996</v>
      </c>
      <c r="B217">
        <v>1022.8998</v>
      </c>
      <c r="C217">
        <v>4</v>
      </c>
      <c r="D217" t="s">
        <v>137</v>
      </c>
      <c r="E217" t="s">
        <v>52</v>
      </c>
      <c r="F217">
        <v>1969</v>
      </c>
      <c r="G217" s="1" t="s">
        <v>166</v>
      </c>
      <c r="H217" s="1" t="s">
        <v>135</v>
      </c>
      <c r="I217">
        <v>0</v>
      </c>
      <c r="J217">
        <v>97761.186700000006</v>
      </c>
      <c r="K217">
        <v>-1.01E-3</v>
      </c>
      <c r="L217">
        <v>2.8900000000000002E-3</v>
      </c>
      <c r="M217">
        <v>0.27600000000000002</v>
      </c>
      <c r="N217">
        <v>0.2094</v>
      </c>
      <c r="O217">
        <v>3.65E-3</v>
      </c>
      <c r="P217" s="3">
        <f t="shared" si="12"/>
        <v>1022.8998355808194</v>
      </c>
      <c r="Q217" s="3">
        <f t="shared" si="13"/>
        <v>-1.0044720969517584E-3</v>
      </c>
      <c r="R217" s="3">
        <f t="shared" si="14"/>
        <v>2.8900000000000002E-3</v>
      </c>
      <c r="S217">
        <f t="shared" si="15"/>
        <v>6</v>
      </c>
      <c r="T217">
        <f>INDEX([1]IDEN_level_ids!$B:$B,MATCH(G217,[1]IDEN_level_ids!$A:$A,0),1)</f>
        <v>1186</v>
      </c>
      <c r="U217">
        <f>INDEX([1]IDEN_level_ids!$B:$B,MATCH(H217,[1]IDEN_level_ids!$A:$A,0),1)</f>
        <v>644</v>
      </c>
    </row>
    <row r="218" spans="1:21" hidden="1" x14ac:dyDescent="0.25">
      <c r="A218">
        <v>97730.4035</v>
      </c>
      <c r="B218">
        <v>1023.223</v>
      </c>
      <c r="C218">
        <v>4</v>
      </c>
      <c r="D218" t="s">
        <v>137</v>
      </c>
      <c r="F218">
        <v>1969</v>
      </c>
      <c r="G218" s="1" t="s">
        <v>166</v>
      </c>
      <c r="H218" s="1" t="s">
        <v>139</v>
      </c>
      <c r="I218">
        <v>0</v>
      </c>
      <c r="J218">
        <v>97730.681400000001</v>
      </c>
      <c r="K218">
        <v>2.9099999999999998E-3</v>
      </c>
      <c r="L218">
        <v>2.5600000000000002E-3</v>
      </c>
      <c r="M218">
        <v>0.245</v>
      </c>
      <c r="N218">
        <v>0.1111</v>
      </c>
      <c r="O218">
        <v>2.8900000000000002E-3</v>
      </c>
      <c r="P218" s="3">
        <f t="shared" si="12"/>
        <v>1023.2230341707327</v>
      </c>
      <c r="Q218" s="3">
        <f t="shared" si="13"/>
        <v>2.9095640910554721E-3</v>
      </c>
      <c r="R218" s="3">
        <f t="shared" si="14"/>
        <v>2.5600000000000002E-3</v>
      </c>
      <c r="S218">
        <f t="shared" si="15"/>
        <v>6</v>
      </c>
      <c r="T218">
        <f>INDEX([1]IDEN_level_ids!$B:$B,MATCH(G218,[1]IDEN_level_ids!$A:$A,0),1)</f>
        <v>1186</v>
      </c>
      <c r="U218">
        <f>INDEX([1]IDEN_level_ids!$B:$B,MATCH(H218,[1]IDEN_level_ids!$A:$A,0),1)</f>
        <v>642</v>
      </c>
    </row>
    <row r="219" spans="1:21" hidden="1" x14ac:dyDescent="0.25">
      <c r="A219">
        <v>97726.104699999996</v>
      </c>
      <c r="B219">
        <v>1023.268</v>
      </c>
      <c r="C219">
        <v>4</v>
      </c>
      <c r="D219" t="s">
        <v>137</v>
      </c>
      <c r="F219">
        <v>1969</v>
      </c>
      <c r="G219" s="1" t="s">
        <v>59</v>
      </c>
      <c r="H219" s="1" t="s">
        <v>169</v>
      </c>
      <c r="I219">
        <v>0</v>
      </c>
      <c r="J219">
        <v>97726.272299999997</v>
      </c>
      <c r="K219">
        <v>1.7600000000000001E-3</v>
      </c>
      <c r="L219">
        <v>2.5699999999999998E-3</v>
      </c>
      <c r="M219">
        <v>0.245</v>
      </c>
      <c r="N219">
        <v>3.0800000000000001E-2</v>
      </c>
      <c r="O219">
        <v>2.65E-3</v>
      </c>
      <c r="P219" s="3">
        <f t="shared" si="12"/>
        <v>1023.268043957962</v>
      </c>
      <c r="Q219" s="3">
        <f t="shared" si="13"/>
        <v>1.7548988631688189E-3</v>
      </c>
      <c r="R219" s="3">
        <f t="shared" si="14"/>
        <v>2.5699999999999998E-3</v>
      </c>
      <c r="S219">
        <f t="shared" si="15"/>
        <v>6</v>
      </c>
      <c r="T219">
        <f>INDEX([1]IDEN_level_ids!$B:$B,MATCH(G219,[1]IDEN_level_ids!$A:$A,0),1)</f>
        <v>1211</v>
      </c>
      <c r="U219">
        <f>INDEX([1]IDEN_level_ids!$B:$B,MATCH(H219,[1]IDEN_level_ids!$A:$A,0),1)</f>
        <v>727</v>
      </c>
    </row>
    <row r="220" spans="1:21" hidden="1" x14ac:dyDescent="0.25">
      <c r="A220">
        <v>97658.520399999994</v>
      </c>
      <c r="B220">
        <v>1023.9761999999999</v>
      </c>
      <c r="C220">
        <v>4</v>
      </c>
      <c r="D220" t="s">
        <v>137</v>
      </c>
      <c r="F220">
        <v>1969</v>
      </c>
      <c r="G220" s="1" t="s">
        <v>193</v>
      </c>
      <c r="H220" s="1" t="s">
        <v>188</v>
      </c>
      <c r="I220">
        <v>0</v>
      </c>
      <c r="J220">
        <v>97658.695000000007</v>
      </c>
      <c r="K220">
        <v>1.83E-3</v>
      </c>
      <c r="L220">
        <v>2.5699999999999998E-3</v>
      </c>
      <c r="M220">
        <v>0.245</v>
      </c>
      <c r="N220">
        <v>0.26790000000000003</v>
      </c>
      <c r="O220">
        <v>3.5100000000000001E-3</v>
      </c>
      <c r="P220" s="3">
        <f t="shared" si="12"/>
        <v>1023.9761936839666</v>
      </c>
      <c r="Q220" s="3">
        <f t="shared" si="13"/>
        <v>1.830725297168101E-3</v>
      </c>
      <c r="R220" s="3">
        <f t="shared" si="14"/>
        <v>2.5699999999999998E-3</v>
      </c>
      <c r="S220">
        <f t="shared" si="15"/>
        <v>6</v>
      </c>
      <c r="T220">
        <f>INDEX([1]IDEN_level_ids!$B:$B,MATCH(G220,[1]IDEN_level_ids!$A:$A,0),1)</f>
        <v>1202</v>
      </c>
      <c r="U220">
        <f>INDEX([1]IDEN_level_ids!$B:$B,MATCH(H220,[1]IDEN_level_ids!$A:$A,0),1)</f>
        <v>679</v>
      </c>
    </row>
    <row r="221" spans="1:21" hidden="1" x14ac:dyDescent="0.25">
      <c r="A221">
        <v>97652.808799999999</v>
      </c>
      <c r="B221">
        <v>1024.0361</v>
      </c>
      <c r="C221">
        <v>4</v>
      </c>
      <c r="D221" t="s">
        <v>137</v>
      </c>
      <c r="F221">
        <v>1969</v>
      </c>
      <c r="G221" s="1" t="s">
        <v>194</v>
      </c>
      <c r="H221" s="1" t="s">
        <v>195</v>
      </c>
      <c r="I221">
        <v>0</v>
      </c>
      <c r="J221">
        <v>97653.066999999995</v>
      </c>
      <c r="K221">
        <v>2.7100000000000002E-3</v>
      </c>
      <c r="L221">
        <v>2.5699999999999998E-3</v>
      </c>
      <c r="M221">
        <v>0.245</v>
      </c>
      <c r="N221">
        <v>0.20649999999999999</v>
      </c>
      <c r="O221">
        <v>3.2399999999999998E-3</v>
      </c>
      <c r="P221" s="3">
        <f t="shared" si="12"/>
        <v>1024.0360848688665</v>
      </c>
      <c r="Q221" s="3">
        <f t="shared" si="13"/>
        <v>2.7076068906808359E-3</v>
      </c>
      <c r="R221" s="3">
        <f t="shared" si="14"/>
        <v>2.5699999999999998E-3</v>
      </c>
      <c r="S221">
        <f t="shared" si="15"/>
        <v>6</v>
      </c>
      <c r="T221">
        <f>INDEX([1]IDEN_level_ids!$B:$B,MATCH(G221,[1]IDEN_level_ids!$A:$A,0),1)</f>
        <v>1187</v>
      </c>
      <c r="U221">
        <f>INDEX([1]IDEN_level_ids!$B:$B,MATCH(H221,[1]IDEN_level_ids!$A:$A,0),1)</f>
        <v>646</v>
      </c>
    </row>
    <row r="222" spans="1:21" hidden="1" x14ac:dyDescent="0.25">
      <c r="A222">
        <v>97644.511100000003</v>
      </c>
      <c r="B222">
        <v>1024.1231</v>
      </c>
      <c r="C222">
        <v>4</v>
      </c>
      <c r="D222" t="s">
        <v>137</v>
      </c>
      <c r="F222">
        <v>1969</v>
      </c>
      <c r="G222" s="1" t="s">
        <v>53</v>
      </c>
      <c r="H222" s="1" t="s">
        <v>124</v>
      </c>
      <c r="I222">
        <v>0</v>
      </c>
      <c r="J222">
        <v>97644.401800000007</v>
      </c>
      <c r="K222">
        <v>-1.15E-3</v>
      </c>
      <c r="L222">
        <v>2.5699999999999998E-3</v>
      </c>
      <c r="M222">
        <v>0.245</v>
      </c>
      <c r="N222">
        <v>2.07E-2</v>
      </c>
      <c r="O222">
        <v>2.6199999999999999E-3</v>
      </c>
      <c r="P222" s="3">
        <f t="shared" si="12"/>
        <v>1024.1231060861955</v>
      </c>
      <c r="Q222" s="3">
        <f t="shared" si="13"/>
        <v>-1.1463704363450233E-3</v>
      </c>
      <c r="R222" s="3">
        <f t="shared" si="14"/>
        <v>2.5699999999999998E-3</v>
      </c>
      <c r="S222">
        <f t="shared" si="15"/>
        <v>6</v>
      </c>
      <c r="T222">
        <f>INDEX([1]IDEN_level_ids!$B:$B,MATCH(G222,[1]IDEN_level_ids!$A:$A,0),1)</f>
        <v>1231</v>
      </c>
      <c r="U222">
        <f>INDEX([1]IDEN_level_ids!$B:$B,MATCH(H222,[1]IDEN_level_ids!$A:$A,0),1)</f>
        <v>776</v>
      </c>
    </row>
    <row r="223" spans="1:21" hidden="1" x14ac:dyDescent="0.25">
      <c r="A223">
        <v>97636.214099999997</v>
      </c>
      <c r="B223">
        <v>1024.2101</v>
      </c>
      <c r="C223">
        <v>4</v>
      </c>
      <c r="D223" t="s">
        <v>137</v>
      </c>
      <c r="F223">
        <v>1969</v>
      </c>
      <c r="G223" s="1" t="s">
        <v>94</v>
      </c>
      <c r="H223" s="1" t="s">
        <v>106</v>
      </c>
      <c r="I223">
        <v>0</v>
      </c>
      <c r="J223">
        <v>97635.5236</v>
      </c>
      <c r="K223">
        <v>-7.2399999999999999E-3</v>
      </c>
      <c r="L223">
        <v>2.5699999999999998E-3</v>
      </c>
      <c r="M223">
        <v>0.245</v>
      </c>
      <c r="N223">
        <v>9.7699999999999995E-2</v>
      </c>
      <c r="O223">
        <v>2.8500000000000001E-3</v>
      </c>
      <c r="P223" s="3">
        <f t="shared" si="12"/>
        <v>1024.21013475163</v>
      </c>
      <c r="Q223" s="3">
        <f t="shared" si="13"/>
        <v>-7.2434404198702396E-3</v>
      </c>
      <c r="R223" s="3">
        <f t="shared" si="14"/>
        <v>2.5699999999999998E-3</v>
      </c>
      <c r="S223">
        <f t="shared" si="15"/>
        <v>6</v>
      </c>
      <c r="T223">
        <f>INDEX([1]IDEN_level_ids!$B:$B,MATCH(G223,[1]IDEN_level_ids!$A:$A,0),1)</f>
        <v>1207</v>
      </c>
      <c r="U223">
        <f>INDEX([1]IDEN_level_ids!$B:$B,MATCH(H223,[1]IDEN_level_ids!$A:$A,0),1)</f>
        <v>726</v>
      </c>
    </row>
    <row r="224" spans="1:21" hidden="1" x14ac:dyDescent="0.25">
      <c r="A224">
        <v>97622.110700000005</v>
      </c>
      <c r="B224">
        <v>1024.3580999999999</v>
      </c>
      <c r="C224">
        <v>4</v>
      </c>
      <c r="D224" t="s">
        <v>137</v>
      </c>
      <c r="F224">
        <v>1969</v>
      </c>
      <c r="G224" s="1" t="s">
        <v>46</v>
      </c>
      <c r="H224" s="1" t="s">
        <v>110</v>
      </c>
      <c r="I224">
        <v>0</v>
      </c>
      <c r="J224">
        <v>97622.161300000007</v>
      </c>
      <c r="K224">
        <v>5.2999999999999998E-4</v>
      </c>
      <c r="L224">
        <v>2.5699999999999998E-3</v>
      </c>
      <c r="M224">
        <v>0.245</v>
      </c>
      <c r="N224">
        <v>0.15090000000000001</v>
      </c>
      <c r="O224">
        <v>3.0300000000000001E-3</v>
      </c>
      <c r="P224" s="3">
        <f t="shared" si="12"/>
        <v>1024.3581016938615</v>
      </c>
      <c r="Q224" s="3">
        <f t="shared" si="13"/>
        <v>5.3095034218131332E-4</v>
      </c>
      <c r="R224" s="3">
        <f t="shared" si="14"/>
        <v>2.5699999999999998E-3</v>
      </c>
      <c r="S224">
        <f t="shared" si="15"/>
        <v>6</v>
      </c>
      <c r="T224">
        <f>INDEX([1]IDEN_level_ids!$B:$B,MATCH(G224,[1]IDEN_level_ids!$A:$A,0),1)</f>
        <v>1212</v>
      </c>
      <c r="U224">
        <f>INDEX([1]IDEN_level_ids!$B:$B,MATCH(H224,[1]IDEN_level_ids!$A:$A,0),1)</f>
        <v>730</v>
      </c>
    </row>
    <row r="225" spans="1:21" hidden="1" x14ac:dyDescent="0.25">
      <c r="A225">
        <v>97547.285000000003</v>
      </c>
      <c r="B225">
        <v>1025.1439</v>
      </c>
      <c r="C225">
        <v>4</v>
      </c>
      <c r="D225" t="s">
        <v>196</v>
      </c>
      <c r="F225">
        <v>1969</v>
      </c>
      <c r="G225" s="1" t="s">
        <v>46</v>
      </c>
      <c r="H225" s="1" t="s">
        <v>112</v>
      </c>
      <c r="I225">
        <v>0</v>
      </c>
      <c r="J225">
        <v>97547.182799999995</v>
      </c>
      <c r="K225">
        <v>-1.07E-3</v>
      </c>
      <c r="L225">
        <v>2.5699999999999998E-3</v>
      </c>
      <c r="M225">
        <v>0.245</v>
      </c>
      <c r="N225">
        <v>4.24E-2</v>
      </c>
      <c r="O225">
        <v>2.6900000000000001E-3</v>
      </c>
      <c r="P225" s="3">
        <f t="shared" si="12"/>
        <v>1025.1438571560448</v>
      </c>
      <c r="Q225" s="3">
        <f t="shared" si="13"/>
        <v>-1.0740412917584763E-3</v>
      </c>
      <c r="R225" s="3">
        <f t="shared" si="14"/>
        <v>2.5699999999999998E-3</v>
      </c>
      <c r="S225">
        <f t="shared" si="15"/>
        <v>7</v>
      </c>
      <c r="T225">
        <f>INDEX([1]IDEN_level_ids!$B:$B,MATCH(G225,[1]IDEN_level_ids!$A:$A,0),1)</f>
        <v>1212</v>
      </c>
      <c r="U225">
        <f>INDEX([1]IDEN_level_ids!$B:$B,MATCH(H225,[1]IDEN_level_ids!$A:$A,0),1)</f>
        <v>732</v>
      </c>
    </row>
    <row r="226" spans="1:21" hidden="1" x14ac:dyDescent="0.25">
      <c r="A226">
        <v>97537.827300000004</v>
      </c>
      <c r="B226">
        <v>1025.2433000000001</v>
      </c>
      <c r="C226">
        <v>4</v>
      </c>
      <c r="D226" t="s">
        <v>196</v>
      </c>
      <c r="F226">
        <v>1969</v>
      </c>
      <c r="G226" s="1" t="s">
        <v>197</v>
      </c>
      <c r="H226" s="1" t="s">
        <v>139</v>
      </c>
      <c r="I226">
        <v>0</v>
      </c>
      <c r="J226">
        <v>97537.980500000005</v>
      </c>
      <c r="K226">
        <v>1.6100000000000001E-3</v>
      </c>
      <c r="L226">
        <v>2.5799999999999998E-3</v>
      </c>
      <c r="M226">
        <v>0.245</v>
      </c>
      <c r="N226">
        <v>0.111</v>
      </c>
      <c r="O226">
        <v>2.8999999999999998E-3</v>
      </c>
      <c r="P226" s="3">
        <f t="shared" si="12"/>
        <v>1025.2432596476342</v>
      </c>
      <c r="Q226" s="3">
        <f t="shared" si="13"/>
        <v>1.6103190428111702E-3</v>
      </c>
      <c r="R226" s="3">
        <f t="shared" si="14"/>
        <v>2.5799999999999998E-3</v>
      </c>
      <c r="S226">
        <f t="shared" si="15"/>
        <v>7</v>
      </c>
      <c r="T226">
        <f>INDEX([1]IDEN_level_ids!$B:$B,MATCH(G226,[1]IDEN_level_ids!$A:$A,0),1)</f>
        <v>1182</v>
      </c>
      <c r="U226">
        <f>INDEX([1]IDEN_level_ids!$B:$B,MATCH(H226,[1]IDEN_level_ids!$A:$A,0),1)</f>
        <v>642</v>
      </c>
    </row>
    <row r="227" spans="1:21" hidden="1" x14ac:dyDescent="0.25">
      <c r="A227">
        <v>97494.981299999999</v>
      </c>
      <c r="B227">
        <v>1025.6938</v>
      </c>
      <c r="C227">
        <v>4</v>
      </c>
      <c r="D227" t="s">
        <v>196</v>
      </c>
      <c r="E227" t="s">
        <v>45</v>
      </c>
      <c r="F227">
        <v>1969</v>
      </c>
      <c r="G227" s="1" t="s">
        <v>53</v>
      </c>
      <c r="H227" s="1" t="s">
        <v>198</v>
      </c>
      <c r="I227">
        <v>0</v>
      </c>
      <c r="J227">
        <v>97494.989100000006</v>
      </c>
      <c r="K227">
        <v>8.0000000000000007E-5</v>
      </c>
      <c r="L227">
        <v>5.0699999999999999E-3</v>
      </c>
      <c r="M227">
        <v>0.48199999999999998</v>
      </c>
      <c r="N227">
        <v>6.1999999999999998E-3</v>
      </c>
      <c r="O227">
        <v>5.1000000000000004E-3</v>
      </c>
      <c r="P227" s="3">
        <f t="shared" si="12"/>
        <v>1025.6938220470226</v>
      </c>
      <c r="Q227" s="3">
        <f t="shared" si="13"/>
        <v>8.2059723126803874E-5</v>
      </c>
      <c r="R227" s="3">
        <f t="shared" si="14"/>
        <v>5.0699999999999999E-3</v>
      </c>
      <c r="S227">
        <f t="shared" si="15"/>
        <v>7</v>
      </c>
      <c r="T227">
        <f>INDEX([1]IDEN_level_ids!$B:$B,MATCH(G227,[1]IDEN_level_ids!$A:$A,0),1)</f>
        <v>1231</v>
      </c>
      <c r="U227">
        <f>INDEX([1]IDEN_level_ids!$B:$B,MATCH(H227,[1]IDEN_level_ids!$A:$A,0),1)</f>
        <v>780</v>
      </c>
    </row>
    <row r="228" spans="1:21" hidden="1" x14ac:dyDescent="0.25">
      <c r="A228">
        <v>97465.9905</v>
      </c>
      <c r="B228">
        <v>1025.9989</v>
      </c>
      <c r="C228">
        <v>4</v>
      </c>
      <c r="D228" t="s">
        <v>196</v>
      </c>
      <c r="E228" t="s">
        <v>52</v>
      </c>
      <c r="F228">
        <v>1969</v>
      </c>
      <c r="G228" s="1" t="s">
        <v>77</v>
      </c>
      <c r="H228" s="1" t="s">
        <v>188</v>
      </c>
      <c r="I228">
        <v>0</v>
      </c>
      <c r="J228">
        <v>97466.337199999994</v>
      </c>
      <c r="K228">
        <v>3.65E-3</v>
      </c>
      <c r="L228">
        <v>2.9099999999999998E-3</v>
      </c>
      <c r="M228">
        <v>0.27600000000000002</v>
      </c>
      <c r="N228">
        <v>0.21099999999999999</v>
      </c>
      <c r="O228">
        <v>3.6800000000000001E-3</v>
      </c>
      <c r="P228" s="3">
        <f t="shared" si="12"/>
        <v>1025.9989098453784</v>
      </c>
      <c r="Q228" s="3">
        <f t="shared" si="13"/>
        <v>3.6496069542408804E-3</v>
      </c>
      <c r="R228" s="3">
        <f t="shared" si="14"/>
        <v>2.9099999999999998E-3</v>
      </c>
      <c r="S228">
        <f t="shared" si="15"/>
        <v>7</v>
      </c>
      <c r="T228">
        <f>INDEX([1]IDEN_level_ids!$B:$B,MATCH(G228,[1]IDEN_level_ids!$A:$A,0),1)</f>
        <v>1197</v>
      </c>
      <c r="U228">
        <f>INDEX([1]IDEN_level_ids!$B:$B,MATCH(H228,[1]IDEN_level_ids!$A:$A,0),1)</f>
        <v>679</v>
      </c>
    </row>
    <row r="229" spans="1:21" hidden="1" x14ac:dyDescent="0.25">
      <c r="A229">
        <v>97463.019499999995</v>
      </c>
      <c r="B229">
        <v>1026.0301999999999</v>
      </c>
      <c r="C229">
        <v>4</v>
      </c>
      <c r="D229" t="s">
        <v>196</v>
      </c>
      <c r="E229" t="s">
        <v>52</v>
      </c>
      <c r="F229">
        <v>1969</v>
      </c>
      <c r="G229" s="1" t="s">
        <v>79</v>
      </c>
      <c r="H229" s="1" t="s">
        <v>199</v>
      </c>
      <c r="I229">
        <v>0</v>
      </c>
      <c r="J229">
        <v>97463.2791</v>
      </c>
      <c r="K229">
        <v>2.7299999999999998E-3</v>
      </c>
      <c r="L229">
        <v>2.9099999999999998E-3</v>
      </c>
      <c r="M229">
        <v>0.27600000000000002</v>
      </c>
      <c r="N229">
        <v>9.3799999999999994E-2</v>
      </c>
      <c r="O229">
        <v>3.2100000000000002E-3</v>
      </c>
      <c r="P229" s="3">
        <f t="shared" si="12"/>
        <v>1026.0301857362424</v>
      </c>
      <c r="Q229" s="3">
        <f t="shared" si="13"/>
        <v>2.7329004183229699E-3</v>
      </c>
      <c r="R229" s="3">
        <f t="shared" si="14"/>
        <v>2.9099999999999998E-3</v>
      </c>
      <c r="S229">
        <f t="shared" si="15"/>
        <v>7</v>
      </c>
      <c r="T229">
        <f>INDEX([1]IDEN_level_ids!$B:$B,MATCH(G229,[1]IDEN_level_ids!$A:$A,0),1)</f>
        <v>1216</v>
      </c>
      <c r="U229">
        <f>INDEX([1]IDEN_level_ids!$B:$B,MATCH(H229,[1]IDEN_level_ids!$A:$A,0),1)</f>
        <v>743</v>
      </c>
    </row>
    <row r="230" spans="1:21" hidden="1" x14ac:dyDescent="0.25">
      <c r="A230">
        <v>97448.502999999997</v>
      </c>
      <c r="B230">
        <v>1026.183</v>
      </c>
      <c r="C230">
        <v>4</v>
      </c>
      <c r="D230" t="s">
        <v>196</v>
      </c>
      <c r="F230">
        <v>1969</v>
      </c>
      <c r="G230" s="1" t="s">
        <v>27</v>
      </c>
      <c r="H230" s="1" t="s">
        <v>200</v>
      </c>
      <c r="I230">
        <v>0</v>
      </c>
      <c r="J230">
        <v>97448.757199999993</v>
      </c>
      <c r="K230">
        <v>2.6800000000000001E-3</v>
      </c>
      <c r="L230">
        <v>2.5799999999999998E-3</v>
      </c>
      <c r="M230">
        <v>0.245</v>
      </c>
      <c r="N230">
        <v>3.1E-2</v>
      </c>
      <c r="O230">
        <v>2.66E-3</v>
      </c>
      <c r="P230" s="3">
        <f t="shared" si="12"/>
        <v>1026.1830292046661</v>
      </c>
      <c r="Q230" s="3">
        <f t="shared" si="13"/>
        <v>2.6768502082177292E-3</v>
      </c>
      <c r="R230" s="3">
        <f t="shared" si="14"/>
        <v>2.5799999999999998E-3</v>
      </c>
      <c r="S230">
        <f t="shared" si="15"/>
        <v>7</v>
      </c>
      <c r="T230">
        <f>INDEX([1]IDEN_level_ids!$B:$B,MATCH(G230,[1]IDEN_level_ids!$A:$A,0),1)</f>
        <v>1242</v>
      </c>
      <c r="U230">
        <f>INDEX([1]IDEN_level_ids!$B:$B,MATCH(H230,[1]IDEN_level_ids!$A:$A,0),1)</f>
        <v>817</v>
      </c>
    </row>
    <row r="231" spans="1:21" hidden="1" x14ac:dyDescent="0.25">
      <c r="A231">
        <v>97442.025699999998</v>
      </c>
      <c r="B231">
        <v>1026.2511999999999</v>
      </c>
      <c r="C231">
        <v>4</v>
      </c>
      <c r="D231" t="s">
        <v>196</v>
      </c>
      <c r="F231">
        <v>1969</v>
      </c>
      <c r="G231" s="1" t="s">
        <v>20</v>
      </c>
      <c r="H231" s="1" t="s">
        <v>201</v>
      </c>
      <c r="I231">
        <v>0</v>
      </c>
      <c r="J231">
        <v>97442.138999999996</v>
      </c>
      <c r="K231">
        <v>1.1900000000000001E-3</v>
      </c>
      <c r="L231">
        <v>2.5799999999999998E-3</v>
      </c>
      <c r="M231">
        <v>0.245</v>
      </c>
      <c r="N231">
        <v>7.7200000000000005E-2</v>
      </c>
      <c r="O231">
        <v>2.8E-3</v>
      </c>
      <c r="P231" s="3">
        <f t="shared" si="12"/>
        <v>1026.2512430506665</v>
      </c>
      <c r="Q231" s="3">
        <f t="shared" si="13"/>
        <v>1.1932647109915706E-3</v>
      </c>
      <c r="R231" s="3">
        <f t="shared" si="14"/>
        <v>2.5799999999999998E-3</v>
      </c>
      <c r="S231">
        <f t="shared" si="15"/>
        <v>7</v>
      </c>
      <c r="T231">
        <f>INDEX([1]IDEN_level_ids!$B:$B,MATCH(G231,[1]IDEN_level_ids!$A:$A,0),1)</f>
        <v>1235</v>
      </c>
      <c r="U231">
        <f>INDEX([1]IDEN_level_ids!$B:$B,MATCH(H231,[1]IDEN_level_ids!$A:$A,0),1)</f>
        <v>788</v>
      </c>
    </row>
    <row r="232" spans="1:21" hidden="1" x14ac:dyDescent="0.25">
      <c r="A232">
        <v>97434.280799999993</v>
      </c>
      <c r="B232">
        <v>1026.3327999999999</v>
      </c>
      <c r="C232">
        <v>4</v>
      </c>
      <c r="D232" t="s">
        <v>196</v>
      </c>
      <c r="F232">
        <v>1969</v>
      </c>
      <c r="G232" s="1" t="s">
        <v>41</v>
      </c>
      <c r="H232" s="1" t="s">
        <v>152</v>
      </c>
      <c r="I232">
        <v>0</v>
      </c>
      <c r="J232">
        <v>97434.239400000006</v>
      </c>
      <c r="K232">
        <v>-4.4000000000000002E-4</v>
      </c>
      <c r="L232">
        <v>2.5799999999999998E-3</v>
      </c>
      <c r="M232">
        <v>0.245</v>
      </c>
      <c r="N232">
        <v>1.5599999999999999E-2</v>
      </c>
      <c r="O232">
        <v>2.6199999999999999E-3</v>
      </c>
      <c r="P232" s="3">
        <f t="shared" si="12"/>
        <v>1026.3328181717334</v>
      </c>
      <c r="Q232" s="3">
        <f t="shared" si="13"/>
        <v>-4.3609083331830334E-4</v>
      </c>
      <c r="R232" s="3">
        <f t="shared" si="14"/>
        <v>2.5799999999999998E-3</v>
      </c>
      <c r="S232">
        <f t="shared" si="15"/>
        <v>7</v>
      </c>
      <c r="T232">
        <f>INDEX([1]IDEN_level_ids!$B:$B,MATCH(G232,[1]IDEN_level_ids!$A:$A,0),1)</f>
        <v>1238</v>
      </c>
      <c r="U232">
        <f>INDEX([1]IDEN_level_ids!$B:$B,MATCH(H232,[1]IDEN_level_ids!$A:$A,0),1)</f>
        <v>793</v>
      </c>
    </row>
    <row r="233" spans="1:21" hidden="1" x14ac:dyDescent="0.25">
      <c r="A233">
        <v>97420.597299999994</v>
      </c>
      <c r="B233">
        <v>1026.4770000000001</v>
      </c>
      <c r="C233">
        <v>4</v>
      </c>
      <c r="D233" t="s">
        <v>196</v>
      </c>
      <c r="F233">
        <v>1969</v>
      </c>
      <c r="G233" s="1" t="s">
        <v>53</v>
      </c>
      <c r="H233" s="1" t="s">
        <v>202</v>
      </c>
      <c r="I233">
        <v>0</v>
      </c>
      <c r="J233">
        <v>97420.864199999996</v>
      </c>
      <c r="K233">
        <v>2.81E-3</v>
      </c>
      <c r="L233">
        <v>2.5799999999999998E-3</v>
      </c>
      <c r="M233">
        <v>0.245</v>
      </c>
      <c r="N233">
        <v>4.41E-2</v>
      </c>
      <c r="O233">
        <v>2.7000000000000001E-3</v>
      </c>
      <c r="P233" s="3">
        <f t="shared" si="12"/>
        <v>1026.4769748029455</v>
      </c>
      <c r="Q233" s="3">
        <f t="shared" si="13"/>
        <v>2.8121974364694324E-3</v>
      </c>
      <c r="R233" s="3">
        <f t="shared" si="14"/>
        <v>2.5799999999999998E-3</v>
      </c>
      <c r="S233">
        <f t="shared" si="15"/>
        <v>7</v>
      </c>
      <c r="T233">
        <f>INDEX([1]IDEN_level_ids!$B:$B,MATCH(G233,[1]IDEN_level_ids!$A:$A,0),1)</f>
        <v>1231</v>
      </c>
      <c r="U233">
        <f>INDEX([1]IDEN_level_ids!$B:$B,MATCH(H233,[1]IDEN_level_ids!$A:$A,0),1)</f>
        <v>781</v>
      </c>
    </row>
    <row r="234" spans="1:21" hidden="1" x14ac:dyDescent="0.25">
      <c r="A234">
        <v>97398.881999999998</v>
      </c>
      <c r="B234">
        <v>1026.7058</v>
      </c>
      <c r="C234">
        <v>4</v>
      </c>
      <c r="D234" t="s">
        <v>196</v>
      </c>
      <c r="F234">
        <v>1969</v>
      </c>
      <c r="G234" s="1" t="s">
        <v>203</v>
      </c>
      <c r="H234" s="1" t="s">
        <v>42</v>
      </c>
      <c r="I234">
        <v>0</v>
      </c>
      <c r="J234">
        <v>97399.058300000004</v>
      </c>
      <c r="K234">
        <v>1.8600000000000001E-3</v>
      </c>
      <c r="L234">
        <v>2.5799999999999998E-3</v>
      </c>
      <c r="M234">
        <v>0.245</v>
      </c>
      <c r="N234">
        <v>0.28210000000000002</v>
      </c>
      <c r="O234">
        <v>3.5999999999999999E-3</v>
      </c>
      <c r="P234" s="3">
        <f t="shared" si="12"/>
        <v>1026.7058301552167</v>
      </c>
      <c r="Q234" s="3">
        <f t="shared" si="13"/>
        <v>1.8584187673695851E-3</v>
      </c>
      <c r="R234" s="3">
        <f t="shared" si="14"/>
        <v>2.5799999999999998E-3</v>
      </c>
      <c r="S234">
        <f t="shared" si="15"/>
        <v>7</v>
      </c>
      <c r="T234">
        <f>INDEX([1]IDEN_level_ids!$B:$B,MATCH(G234,[1]IDEN_level_ids!$A:$A,0),1)</f>
        <v>1127</v>
      </c>
      <c r="U234">
        <f>INDEX([1]IDEN_level_ids!$B:$B,MATCH(H234,[1]IDEN_level_ids!$A:$A,0),1)</f>
        <v>444</v>
      </c>
    </row>
    <row r="235" spans="1:21" hidden="1" x14ac:dyDescent="0.25">
      <c r="A235">
        <v>97378.3891</v>
      </c>
      <c r="B235">
        <v>1026.9219000000001</v>
      </c>
      <c r="C235">
        <v>4</v>
      </c>
      <c r="D235" t="s">
        <v>196</v>
      </c>
      <c r="F235">
        <v>1969</v>
      </c>
      <c r="G235" s="1" t="s">
        <v>68</v>
      </c>
      <c r="H235" s="1" t="s">
        <v>123</v>
      </c>
      <c r="I235">
        <v>0</v>
      </c>
      <c r="J235">
        <v>97378.5821</v>
      </c>
      <c r="K235">
        <v>2.0400000000000001E-3</v>
      </c>
      <c r="L235">
        <v>2.5799999999999998E-3</v>
      </c>
      <c r="M235">
        <v>0.245</v>
      </c>
      <c r="N235">
        <v>2.0899999999999998E-2</v>
      </c>
      <c r="O235">
        <v>2.64E-3</v>
      </c>
      <c r="P235" s="3">
        <f t="shared" si="12"/>
        <v>1026.9218963697151</v>
      </c>
      <c r="Q235" s="3">
        <f t="shared" si="13"/>
        <v>2.0353133279513713E-3</v>
      </c>
      <c r="R235" s="3">
        <f t="shared" si="14"/>
        <v>2.5799999999999998E-3</v>
      </c>
      <c r="S235">
        <f t="shared" si="15"/>
        <v>7</v>
      </c>
      <c r="T235">
        <f>INDEX([1]IDEN_level_ids!$B:$B,MATCH(G235,[1]IDEN_level_ids!$A:$A,0),1)</f>
        <v>1229</v>
      </c>
      <c r="U235">
        <f>INDEX([1]IDEN_level_ids!$B:$B,MATCH(H235,[1]IDEN_level_ids!$A:$A,0),1)</f>
        <v>775</v>
      </c>
    </row>
    <row r="236" spans="1:21" hidden="1" x14ac:dyDescent="0.25">
      <c r="A236">
        <v>97357.122600000002</v>
      </c>
      <c r="B236">
        <v>1027.1461999999999</v>
      </c>
      <c r="C236">
        <v>4</v>
      </c>
      <c r="D236" t="s">
        <v>196</v>
      </c>
      <c r="F236">
        <v>1969</v>
      </c>
      <c r="G236" s="1" t="s">
        <v>56</v>
      </c>
      <c r="H236" s="1" t="s">
        <v>192</v>
      </c>
      <c r="I236">
        <v>0</v>
      </c>
      <c r="J236">
        <v>97357.526500000007</v>
      </c>
      <c r="K236">
        <v>4.2599999999999999E-3</v>
      </c>
      <c r="L236">
        <v>2.5799999999999998E-3</v>
      </c>
      <c r="M236">
        <v>0.245</v>
      </c>
      <c r="N236">
        <v>2.41E-2</v>
      </c>
      <c r="O236">
        <v>2.65E-3</v>
      </c>
      <c r="P236" s="3">
        <f t="shared" si="12"/>
        <v>1027.146215186109</v>
      </c>
      <c r="Q236" s="3">
        <f t="shared" si="13"/>
        <v>4.2612458555595367E-3</v>
      </c>
      <c r="R236" s="3">
        <f t="shared" si="14"/>
        <v>2.5799999999999998E-3</v>
      </c>
      <c r="S236">
        <f t="shared" si="15"/>
        <v>7</v>
      </c>
      <c r="T236">
        <f>INDEX([1]IDEN_level_ids!$B:$B,MATCH(G236,[1]IDEN_level_ids!$A:$A,0),1)</f>
        <v>1221</v>
      </c>
      <c r="U236">
        <f>INDEX([1]IDEN_level_ids!$B:$B,MATCH(H236,[1]IDEN_level_ids!$A:$A,0),1)</f>
        <v>762</v>
      </c>
    </row>
    <row r="237" spans="1:21" hidden="1" x14ac:dyDescent="0.25">
      <c r="A237">
        <v>97349.579400000002</v>
      </c>
      <c r="B237">
        <v>1027.2257999999999</v>
      </c>
      <c r="C237">
        <v>4</v>
      </c>
      <c r="D237" t="s">
        <v>196</v>
      </c>
      <c r="F237">
        <v>1969</v>
      </c>
      <c r="G237" s="1" t="s">
        <v>40</v>
      </c>
      <c r="H237" s="1" t="s">
        <v>142</v>
      </c>
      <c r="I237">
        <v>0</v>
      </c>
      <c r="J237">
        <v>97349.792300000001</v>
      </c>
      <c r="K237">
        <v>2.2499999999999998E-3</v>
      </c>
      <c r="L237">
        <v>2.5899999999999999E-3</v>
      </c>
      <c r="M237">
        <v>0.245</v>
      </c>
      <c r="N237">
        <v>2.3199999999999998E-2</v>
      </c>
      <c r="O237">
        <v>2.65E-3</v>
      </c>
      <c r="P237" s="3">
        <f t="shared" si="12"/>
        <v>1027.2258043263821</v>
      </c>
      <c r="Q237" s="3">
        <f t="shared" si="13"/>
        <v>2.2465006711627211E-3</v>
      </c>
      <c r="R237" s="3">
        <f t="shared" si="14"/>
        <v>2.5899999999999999E-3</v>
      </c>
      <c r="S237">
        <f t="shared" si="15"/>
        <v>7</v>
      </c>
      <c r="T237">
        <f>INDEX([1]IDEN_level_ids!$B:$B,MATCH(G237,[1]IDEN_level_ids!$A:$A,0),1)</f>
        <v>1199</v>
      </c>
      <c r="U237">
        <f>INDEX([1]IDEN_level_ids!$B:$B,MATCH(H237,[1]IDEN_level_ids!$A:$A,0),1)</f>
        <v>682</v>
      </c>
    </row>
    <row r="238" spans="1:21" hidden="1" x14ac:dyDescent="0.25">
      <c r="A238">
        <v>97273.510800000004</v>
      </c>
      <c r="B238">
        <v>1028.0291</v>
      </c>
      <c r="C238">
        <v>4</v>
      </c>
      <c r="D238" t="s">
        <v>196</v>
      </c>
      <c r="F238">
        <v>1969</v>
      </c>
      <c r="G238" s="1" t="s">
        <v>204</v>
      </c>
      <c r="H238" s="1" t="s">
        <v>181</v>
      </c>
      <c r="I238">
        <v>0</v>
      </c>
      <c r="J238">
        <v>97273.821100000001</v>
      </c>
      <c r="K238">
        <v>3.2799999999999999E-3</v>
      </c>
      <c r="L238">
        <v>2.5899999999999999E-3</v>
      </c>
      <c r="M238">
        <v>0.245</v>
      </c>
      <c r="N238">
        <v>0.25629999999999997</v>
      </c>
      <c r="O238">
        <v>3.48E-3</v>
      </c>
      <c r="P238" s="3">
        <f t="shared" si="12"/>
        <v>1028.0291024511885</v>
      </c>
      <c r="Q238" s="3">
        <f t="shared" si="13"/>
        <v>3.2793759603464423E-3</v>
      </c>
      <c r="R238" s="3">
        <f t="shared" si="14"/>
        <v>2.5899999999999999E-3</v>
      </c>
      <c r="S238">
        <f t="shared" si="15"/>
        <v>7</v>
      </c>
      <c r="T238">
        <f>INDEX([1]IDEN_level_ids!$B:$B,MATCH(G238,[1]IDEN_level_ids!$A:$A,0),1)</f>
        <v>1176</v>
      </c>
      <c r="U238">
        <f>INDEX([1]IDEN_level_ids!$B:$B,MATCH(H238,[1]IDEN_level_ids!$A:$A,0),1)</f>
        <v>639</v>
      </c>
    </row>
    <row r="239" spans="1:21" hidden="1" x14ac:dyDescent="0.25">
      <c r="A239">
        <v>97260.772700000001</v>
      </c>
      <c r="B239">
        <v>1028.1637000000001</v>
      </c>
      <c r="C239">
        <v>4</v>
      </c>
      <c r="D239" t="s">
        <v>196</v>
      </c>
      <c r="E239" t="s">
        <v>52</v>
      </c>
      <c r="F239">
        <v>1969</v>
      </c>
      <c r="G239" s="1" t="s">
        <v>56</v>
      </c>
      <c r="H239" s="1" t="s">
        <v>131</v>
      </c>
      <c r="I239">
        <v>0</v>
      </c>
      <c r="J239">
        <v>97261.1109</v>
      </c>
      <c r="K239">
        <v>3.5699999999999998E-3</v>
      </c>
      <c r="L239">
        <v>2.9199999999999999E-3</v>
      </c>
      <c r="M239">
        <v>0.27600000000000002</v>
      </c>
      <c r="N239">
        <v>2.3300000000000001E-2</v>
      </c>
      <c r="O239">
        <v>2.99E-3</v>
      </c>
      <c r="P239" s="3">
        <f t="shared" si="12"/>
        <v>1028.1637419070187</v>
      </c>
      <c r="Q239" s="3">
        <f t="shared" si="13"/>
        <v>3.5751697087107459E-3</v>
      </c>
      <c r="R239" s="3">
        <f t="shared" si="14"/>
        <v>2.9199999999999999E-3</v>
      </c>
      <c r="S239">
        <f t="shared" si="15"/>
        <v>7</v>
      </c>
      <c r="T239">
        <f>INDEX([1]IDEN_level_ids!$B:$B,MATCH(G239,[1]IDEN_level_ids!$A:$A,0),1)</f>
        <v>1221</v>
      </c>
      <c r="U239">
        <f>INDEX([1]IDEN_level_ids!$B:$B,MATCH(H239,[1]IDEN_level_ids!$A:$A,0),1)</f>
        <v>764</v>
      </c>
    </row>
    <row r="240" spans="1:21" hidden="1" x14ac:dyDescent="0.25">
      <c r="A240">
        <v>97209.016600000003</v>
      </c>
      <c r="B240">
        <v>1028.7112</v>
      </c>
      <c r="C240">
        <v>4</v>
      </c>
      <c r="D240" t="s">
        <v>196</v>
      </c>
      <c r="E240" t="s">
        <v>45</v>
      </c>
      <c r="F240">
        <v>1969</v>
      </c>
      <c r="G240" s="1" t="s">
        <v>69</v>
      </c>
      <c r="H240" s="1" t="s">
        <v>192</v>
      </c>
      <c r="I240">
        <v>0</v>
      </c>
      <c r="J240">
        <v>97209.095600000001</v>
      </c>
      <c r="K240">
        <v>8.4000000000000003E-4</v>
      </c>
      <c r="L240">
        <v>5.1000000000000004E-3</v>
      </c>
      <c r="M240">
        <v>0.48199999999999998</v>
      </c>
      <c r="N240">
        <v>6.4000000000000003E-3</v>
      </c>
      <c r="O240">
        <v>5.13E-3</v>
      </c>
      <c r="P240" s="3">
        <f t="shared" si="12"/>
        <v>1028.7111576437858</v>
      </c>
      <c r="Q240" s="3">
        <f t="shared" si="13"/>
        <v>8.3601417077261431E-4</v>
      </c>
      <c r="R240" s="3">
        <f t="shared" si="14"/>
        <v>5.1000000000000004E-3</v>
      </c>
      <c r="S240">
        <f t="shared" si="15"/>
        <v>7</v>
      </c>
      <c r="T240">
        <f>INDEX([1]IDEN_level_ids!$B:$B,MATCH(G240,[1]IDEN_level_ids!$A:$A,0),1)</f>
        <v>1218</v>
      </c>
      <c r="U240">
        <f>INDEX([1]IDEN_level_ids!$B:$B,MATCH(H240,[1]IDEN_level_ids!$A:$A,0),1)</f>
        <v>762</v>
      </c>
    </row>
    <row r="241" spans="1:21" hidden="1" x14ac:dyDescent="0.25">
      <c r="A241">
        <v>97191.089699999997</v>
      </c>
      <c r="B241">
        <v>1028.9009000000001</v>
      </c>
      <c r="C241">
        <v>4</v>
      </c>
      <c r="D241" t="s">
        <v>196</v>
      </c>
      <c r="F241">
        <v>1969</v>
      </c>
      <c r="G241" s="1" t="s">
        <v>16</v>
      </c>
      <c r="H241" s="1" t="s">
        <v>205</v>
      </c>
      <c r="I241">
        <v>0</v>
      </c>
      <c r="J241">
        <v>97190.941000000006</v>
      </c>
      <c r="K241">
        <v>-1.57E-3</v>
      </c>
      <c r="L241">
        <v>2.5899999999999999E-3</v>
      </c>
      <c r="M241">
        <v>0.245</v>
      </c>
      <c r="N241">
        <v>3.4299999999999997E-2</v>
      </c>
      <c r="O241">
        <v>2.6900000000000001E-3</v>
      </c>
      <c r="P241" s="3">
        <f t="shared" si="12"/>
        <v>1028.9009034539099</v>
      </c>
      <c r="Q241" s="3">
        <f t="shared" si="13"/>
        <v>-1.57419573019979E-3</v>
      </c>
      <c r="R241" s="3">
        <f t="shared" si="14"/>
        <v>2.5899999999999999E-3</v>
      </c>
      <c r="S241">
        <f t="shared" si="15"/>
        <v>7</v>
      </c>
      <c r="T241">
        <f>INDEX([1]IDEN_level_ids!$B:$B,MATCH(G241,[1]IDEN_level_ids!$A:$A,0),1)</f>
        <v>1223</v>
      </c>
      <c r="U241">
        <f>INDEX([1]IDEN_level_ids!$B:$B,MATCH(H241,[1]IDEN_level_ids!$A:$A,0),1)</f>
        <v>770</v>
      </c>
    </row>
    <row r="242" spans="1:21" hidden="1" x14ac:dyDescent="0.25">
      <c r="A242">
        <v>97178.704100000003</v>
      </c>
      <c r="B242">
        <v>1029.0319999999999</v>
      </c>
      <c r="C242">
        <v>4</v>
      </c>
      <c r="D242" t="s">
        <v>196</v>
      </c>
      <c r="F242">
        <v>1969</v>
      </c>
      <c r="G242" s="1" t="s">
        <v>24</v>
      </c>
      <c r="H242" s="1" t="s">
        <v>206</v>
      </c>
      <c r="I242">
        <v>0</v>
      </c>
      <c r="J242">
        <v>97179.080600000001</v>
      </c>
      <c r="K242">
        <v>3.9899999999999996E-3</v>
      </c>
      <c r="L242">
        <v>2.5899999999999999E-3</v>
      </c>
      <c r="M242">
        <v>0.245</v>
      </c>
      <c r="N242">
        <v>7.1999999999999995E-2</v>
      </c>
      <c r="O242">
        <v>2.8E-3</v>
      </c>
      <c r="P242" s="3">
        <f t="shared" si="12"/>
        <v>1029.0320387180384</v>
      </c>
      <c r="Q242" s="3">
        <f t="shared" si="13"/>
        <v>3.9867691707513586E-3</v>
      </c>
      <c r="R242" s="3">
        <f t="shared" si="14"/>
        <v>2.5899999999999999E-3</v>
      </c>
      <c r="S242">
        <f t="shared" si="15"/>
        <v>7</v>
      </c>
      <c r="T242">
        <f>INDEX([1]IDEN_level_ids!$B:$B,MATCH(G242,[1]IDEN_level_ids!$A:$A,0),1)</f>
        <v>1241</v>
      </c>
      <c r="U242">
        <f>INDEX([1]IDEN_level_ids!$B:$B,MATCH(H242,[1]IDEN_level_ids!$A:$A,0),1)</f>
        <v>816</v>
      </c>
    </row>
    <row r="243" spans="1:21" hidden="1" x14ac:dyDescent="0.25">
      <c r="A243">
        <v>97166.805399999997</v>
      </c>
      <c r="B243">
        <v>1029.1581000000001</v>
      </c>
      <c r="C243">
        <v>4</v>
      </c>
      <c r="D243" t="s">
        <v>196</v>
      </c>
      <c r="F243">
        <v>1969</v>
      </c>
      <c r="G243" s="1" t="s">
        <v>33</v>
      </c>
      <c r="H243" s="1" t="s">
        <v>174</v>
      </c>
      <c r="I243">
        <v>0</v>
      </c>
      <c r="J243">
        <v>97166.911200000002</v>
      </c>
      <c r="K243">
        <v>1.1199999999999999E-3</v>
      </c>
      <c r="L243">
        <v>2.5899999999999999E-3</v>
      </c>
      <c r="M243">
        <v>0.245</v>
      </c>
      <c r="N243">
        <v>1.2200000000000001E-2</v>
      </c>
      <c r="O243">
        <v>2.63E-3</v>
      </c>
      <c r="P243" s="3">
        <f t="shared" si="12"/>
        <v>1029.1580503067564</v>
      </c>
      <c r="Q243" s="3">
        <f t="shared" si="13"/>
        <v>1.1205967175555998E-3</v>
      </c>
      <c r="R243" s="3">
        <f t="shared" si="14"/>
        <v>2.5899999999999999E-3</v>
      </c>
      <c r="S243">
        <f t="shared" si="15"/>
        <v>7</v>
      </c>
      <c r="T243">
        <f>INDEX([1]IDEN_level_ids!$B:$B,MATCH(G243,[1]IDEN_level_ids!$A:$A,0),1)</f>
        <v>1220</v>
      </c>
      <c r="U243">
        <f>INDEX([1]IDEN_level_ids!$B:$B,MATCH(H243,[1]IDEN_level_ids!$A:$A,0),1)</f>
        <v>758</v>
      </c>
    </row>
    <row r="244" spans="1:21" hidden="1" x14ac:dyDescent="0.25">
      <c r="A244">
        <v>97161.706399999995</v>
      </c>
      <c r="B244">
        <v>1029.2121</v>
      </c>
      <c r="C244">
        <v>4</v>
      </c>
      <c r="D244" t="s">
        <v>196</v>
      </c>
      <c r="F244">
        <v>1969</v>
      </c>
      <c r="G244" s="1" t="s">
        <v>33</v>
      </c>
      <c r="H244" s="1" t="s">
        <v>130</v>
      </c>
      <c r="I244">
        <v>0</v>
      </c>
      <c r="J244">
        <v>97161.671400000007</v>
      </c>
      <c r="K244">
        <v>-3.6999999999999999E-4</v>
      </c>
      <c r="L244">
        <v>2.5999999999999999E-3</v>
      </c>
      <c r="M244">
        <v>0.245</v>
      </c>
      <c r="N244">
        <v>3.5299999999999998E-2</v>
      </c>
      <c r="O244">
        <v>2.6900000000000001E-3</v>
      </c>
      <c r="P244" s="3">
        <f t="shared" si="12"/>
        <v>1029.2120600302674</v>
      </c>
      <c r="Q244" s="3">
        <f t="shared" si="13"/>
        <v>-3.70747245824532E-4</v>
      </c>
      <c r="R244" s="3">
        <f t="shared" si="14"/>
        <v>2.5999999999999999E-3</v>
      </c>
      <c r="S244">
        <f t="shared" si="15"/>
        <v>7</v>
      </c>
      <c r="T244">
        <f>INDEX([1]IDEN_level_ids!$B:$B,MATCH(G244,[1]IDEN_level_ids!$A:$A,0),1)</f>
        <v>1220</v>
      </c>
      <c r="U244">
        <f>INDEX([1]IDEN_level_ids!$B:$B,MATCH(H244,[1]IDEN_level_ids!$A:$A,0),1)</f>
        <v>761</v>
      </c>
    </row>
    <row r="245" spans="1:21" hidden="1" x14ac:dyDescent="0.25">
      <c r="A245">
        <v>97144.614799999996</v>
      </c>
      <c r="B245">
        <v>1029.3931</v>
      </c>
      <c r="C245">
        <v>4</v>
      </c>
      <c r="D245" t="s">
        <v>196</v>
      </c>
      <c r="F245">
        <v>1969</v>
      </c>
      <c r="G245" s="1" t="s">
        <v>49</v>
      </c>
      <c r="H245" s="1" t="s">
        <v>199</v>
      </c>
      <c r="I245">
        <v>0</v>
      </c>
      <c r="J245">
        <v>97144.451000000001</v>
      </c>
      <c r="K245">
        <v>-1.74E-3</v>
      </c>
      <c r="L245">
        <v>2.5999999999999999E-3</v>
      </c>
      <c r="M245">
        <v>0.245</v>
      </c>
      <c r="N245">
        <v>0.1174</v>
      </c>
      <c r="O245">
        <v>2.9399999999999999E-3</v>
      </c>
      <c r="P245" s="3">
        <f t="shared" si="12"/>
        <v>1029.3931393508392</v>
      </c>
      <c r="Q245" s="3">
        <f t="shared" si="13"/>
        <v>-1.7357100120989344E-3</v>
      </c>
      <c r="R245" s="3">
        <f t="shared" si="14"/>
        <v>2.5999999999999999E-3</v>
      </c>
      <c r="S245">
        <f t="shared" si="15"/>
        <v>7</v>
      </c>
      <c r="T245">
        <f>INDEX([1]IDEN_level_ids!$B:$B,MATCH(G245,[1]IDEN_level_ids!$A:$A,0),1)</f>
        <v>1214</v>
      </c>
      <c r="U245">
        <f>INDEX([1]IDEN_level_ids!$B:$B,MATCH(H245,[1]IDEN_level_ids!$A:$A,0),1)</f>
        <v>743</v>
      </c>
    </row>
    <row r="246" spans="1:21" hidden="1" x14ac:dyDescent="0.25">
      <c r="A246">
        <v>97122.185700000002</v>
      </c>
      <c r="B246">
        <v>1029.6309000000001</v>
      </c>
      <c r="C246">
        <v>4</v>
      </c>
      <c r="D246" t="s">
        <v>196</v>
      </c>
      <c r="F246">
        <v>1969</v>
      </c>
      <c r="G246" s="1" t="s">
        <v>207</v>
      </c>
      <c r="H246" s="1" t="s">
        <v>181</v>
      </c>
      <c r="I246">
        <v>0</v>
      </c>
      <c r="J246">
        <v>97121.784700000004</v>
      </c>
      <c r="K246">
        <v>-4.2500000000000003E-3</v>
      </c>
      <c r="L246">
        <v>2.5999999999999999E-3</v>
      </c>
      <c r="M246">
        <v>0.245</v>
      </c>
      <c r="N246">
        <v>0.25569999999999998</v>
      </c>
      <c r="O246">
        <v>3.49E-3</v>
      </c>
      <c r="P246" s="3">
        <f t="shared" si="12"/>
        <v>1029.6308642485585</v>
      </c>
      <c r="Q246" s="3">
        <f t="shared" si="13"/>
        <v>-4.251177816058771E-3</v>
      </c>
      <c r="R246" s="3">
        <f t="shared" si="14"/>
        <v>2.5999999999999999E-3</v>
      </c>
      <c r="S246">
        <f t="shared" si="15"/>
        <v>7</v>
      </c>
      <c r="T246">
        <f>INDEX([1]IDEN_level_ids!$B:$B,MATCH(G246,[1]IDEN_level_ids!$A:$A,0),1)</f>
        <v>1177</v>
      </c>
      <c r="U246">
        <f>INDEX([1]IDEN_level_ids!$B:$B,MATCH(H246,[1]IDEN_level_ids!$A:$A,0),1)</f>
        <v>639</v>
      </c>
    </row>
    <row r="247" spans="1:21" hidden="1" x14ac:dyDescent="0.25">
      <c r="A247">
        <v>97114.614499999996</v>
      </c>
      <c r="B247">
        <v>1029.7111</v>
      </c>
      <c r="C247">
        <v>4</v>
      </c>
      <c r="D247" t="s">
        <v>196</v>
      </c>
      <c r="F247">
        <v>1969</v>
      </c>
      <c r="G247" s="1" t="s">
        <v>68</v>
      </c>
      <c r="H247" s="1" t="s">
        <v>198</v>
      </c>
      <c r="I247">
        <v>0</v>
      </c>
      <c r="J247">
        <v>97114.783800000005</v>
      </c>
      <c r="K247">
        <v>1.8E-3</v>
      </c>
      <c r="L247">
        <v>2.5999999999999999E-3</v>
      </c>
      <c r="M247">
        <v>0.245</v>
      </c>
      <c r="N247">
        <v>2.1700000000000001E-2</v>
      </c>
      <c r="O247">
        <v>2.66E-3</v>
      </c>
      <c r="P247" s="3">
        <f t="shared" si="12"/>
        <v>1029.7111358043851</v>
      </c>
      <c r="Q247" s="3">
        <f t="shared" si="13"/>
        <v>1.7950932749499771E-3</v>
      </c>
      <c r="R247" s="3">
        <f t="shared" si="14"/>
        <v>2.5999999999999999E-3</v>
      </c>
      <c r="S247">
        <f t="shared" si="15"/>
        <v>7</v>
      </c>
      <c r="T247">
        <f>INDEX([1]IDEN_level_ids!$B:$B,MATCH(G247,[1]IDEN_level_ids!$A:$A,0),1)</f>
        <v>1229</v>
      </c>
      <c r="U247">
        <f>INDEX([1]IDEN_level_ids!$B:$B,MATCH(H247,[1]IDEN_level_ids!$A:$A,0),1)</f>
        <v>780</v>
      </c>
    </row>
    <row r="248" spans="1:21" hidden="1" x14ac:dyDescent="0.25">
      <c r="A248">
        <v>97107.625799999994</v>
      </c>
      <c r="B248">
        <v>1029.7852</v>
      </c>
      <c r="C248">
        <v>4</v>
      </c>
      <c r="D248" t="s">
        <v>196</v>
      </c>
      <c r="F248">
        <v>1969</v>
      </c>
      <c r="G248" s="1" t="s">
        <v>73</v>
      </c>
      <c r="H248" s="1" t="s">
        <v>167</v>
      </c>
      <c r="I248">
        <v>0</v>
      </c>
      <c r="J248">
        <v>97107.704700000002</v>
      </c>
      <c r="K248">
        <v>8.4000000000000003E-4</v>
      </c>
      <c r="L248">
        <v>2.5999999999999999E-3</v>
      </c>
      <c r="M248">
        <v>0.245</v>
      </c>
      <c r="N248">
        <v>0.16209999999999999</v>
      </c>
      <c r="O248">
        <v>3.0999999999999999E-3</v>
      </c>
      <c r="P248" s="3">
        <f t="shared" si="12"/>
        <v>1029.7852426745255</v>
      </c>
      <c r="Q248" s="3">
        <f t="shared" si="13"/>
        <v>8.3670040316974337E-4</v>
      </c>
      <c r="R248" s="3">
        <f t="shared" si="14"/>
        <v>2.5999999999999999E-3</v>
      </c>
      <c r="S248">
        <f t="shared" si="15"/>
        <v>7</v>
      </c>
      <c r="T248">
        <f>INDEX([1]IDEN_level_ids!$B:$B,MATCH(G248,[1]IDEN_level_ids!$A:$A,0),1)</f>
        <v>1173</v>
      </c>
      <c r="U248">
        <f>INDEX([1]IDEN_level_ids!$B:$B,MATCH(H248,[1]IDEN_level_ids!$A:$A,0),1)</f>
        <v>628</v>
      </c>
    </row>
    <row r="249" spans="1:21" hidden="1" x14ac:dyDescent="0.25">
      <c r="A249">
        <v>97082.925799999997</v>
      </c>
      <c r="B249">
        <v>1030.0472</v>
      </c>
      <c r="C249">
        <v>4</v>
      </c>
      <c r="D249" t="s">
        <v>196</v>
      </c>
      <c r="F249">
        <v>1969</v>
      </c>
      <c r="G249" s="1" t="s">
        <v>33</v>
      </c>
      <c r="H249" s="1" t="s">
        <v>131</v>
      </c>
      <c r="I249">
        <v>0</v>
      </c>
      <c r="J249">
        <v>97082.932000000001</v>
      </c>
      <c r="K249">
        <v>6.9999999999999994E-5</v>
      </c>
      <c r="L249">
        <v>2.5999999999999999E-3</v>
      </c>
      <c r="M249">
        <v>0.245</v>
      </c>
      <c r="N249">
        <v>2.8899999999999999E-2</v>
      </c>
      <c r="O249">
        <v>2.6800000000000001E-3</v>
      </c>
      <c r="P249" s="3">
        <f t="shared" si="12"/>
        <v>1030.0472423545357</v>
      </c>
      <c r="Q249" s="3">
        <f t="shared" si="13"/>
        <v>6.5781829789557378E-5</v>
      </c>
      <c r="R249" s="3">
        <f t="shared" si="14"/>
        <v>2.5999999999999999E-3</v>
      </c>
      <c r="S249">
        <f t="shared" si="15"/>
        <v>7</v>
      </c>
      <c r="T249">
        <f>INDEX([1]IDEN_level_ids!$B:$B,MATCH(G249,[1]IDEN_level_ids!$A:$A,0),1)</f>
        <v>1220</v>
      </c>
      <c r="U249">
        <f>INDEX([1]IDEN_level_ids!$B:$B,MATCH(H249,[1]IDEN_level_ids!$A:$A,0),1)</f>
        <v>764</v>
      </c>
    </row>
    <row r="250" spans="1:21" hidden="1" x14ac:dyDescent="0.25">
      <c r="A250">
        <v>97075.598700000002</v>
      </c>
      <c r="B250">
        <v>1030.125</v>
      </c>
      <c r="C250">
        <v>4</v>
      </c>
      <c r="D250" t="s">
        <v>196</v>
      </c>
      <c r="F250">
        <v>1969</v>
      </c>
      <c r="G250" s="1" t="s">
        <v>187</v>
      </c>
      <c r="H250" s="1" t="s">
        <v>208</v>
      </c>
      <c r="I250">
        <v>0</v>
      </c>
      <c r="J250">
        <v>97075.8511</v>
      </c>
      <c r="K250">
        <v>2.6800000000000001E-3</v>
      </c>
      <c r="L250">
        <v>2.5999999999999999E-3</v>
      </c>
      <c r="M250">
        <v>0.245</v>
      </c>
      <c r="N250">
        <v>0.25590000000000002</v>
      </c>
      <c r="O250">
        <v>3.49E-3</v>
      </c>
      <c r="P250" s="3">
        <f t="shared" si="12"/>
        <v>1030.1249885569853</v>
      </c>
      <c r="Q250" s="3">
        <f t="shared" si="13"/>
        <v>2.6783545461057656E-3</v>
      </c>
      <c r="R250" s="3">
        <f t="shared" si="14"/>
        <v>2.5999999999999999E-3</v>
      </c>
      <c r="S250">
        <f t="shared" si="15"/>
        <v>7</v>
      </c>
      <c r="T250">
        <f>INDEX([1]IDEN_level_ids!$B:$B,MATCH(G250,[1]IDEN_level_ids!$A:$A,0),1)</f>
        <v>1204</v>
      </c>
      <c r="U250">
        <f>INDEX([1]IDEN_level_ids!$B:$B,MATCH(H250,[1]IDEN_level_ids!$A:$A,0),1)</f>
        <v>703</v>
      </c>
    </row>
    <row r="251" spans="1:21" hidden="1" x14ac:dyDescent="0.25">
      <c r="A251">
        <v>97069.194699999993</v>
      </c>
      <c r="B251">
        <v>1030.1929</v>
      </c>
      <c r="C251">
        <v>4</v>
      </c>
      <c r="D251" t="s">
        <v>196</v>
      </c>
      <c r="F251">
        <v>1969</v>
      </c>
      <c r="G251" s="1" t="s">
        <v>209</v>
      </c>
      <c r="H251" s="1" t="s">
        <v>148</v>
      </c>
      <c r="I251">
        <v>0</v>
      </c>
      <c r="J251">
        <v>97069.4614</v>
      </c>
      <c r="K251">
        <v>2.8300000000000001E-3</v>
      </c>
      <c r="L251">
        <v>2.5999999999999999E-3</v>
      </c>
      <c r="M251">
        <v>0.245</v>
      </c>
      <c r="N251">
        <v>1.2999999999999999E-2</v>
      </c>
      <c r="O251">
        <v>2.63E-3</v>
      </c>
      <c r="P251" s="3">
        <f t="shared" si="12"/>
        <v>1030.19294956611</v>
      </c>
      <c r="Q251" s="3">
        <f t="shared" si="13"/>
        <v>2.8304726913574996E-3</v>
      </c>
      <c r="R251" s="3">
        <f t="shared" si="14"/>
        <v>2.5999999999999999E-3</v>
      </c>
      <c r="S251">
        <f t="shared" si="15"/>
        <v>7</v>
      </c>
      <c r="T251">
        <f>INDEX([1]IDEN_level_ids!$B:$B,MATCH(G251,[1]IDEN_level_ids!$A:$A,0),1)</f>
        <v>1209</v>
      </c>
      <c r="U251">
        <f>INDEX([1]IDEN_level_ids!$B:$B,MATCH(H251,[1]IDEN_level_ids!$A:$A,0),1)</f>
        <v>728</v>
      </c>
    </row>
    <row r="252" spans="1:21" hidden="1" x14ac:dyDescent="0.25">
      <c r="A252">
        <v>97056.387900000002</v>
      </c>
      <c r="B252">
        <v>1030.3289</v>
      </c>
      <c r="C252">
        <v>4</v>
      </c>
      <c r="D252" t="s">
        <v>196</v>
      </c>
      <c r="F252">
        <v>1969</v>
      </c>
      <c r="G252" s="1" t="s">
        <v>194</v>
      </c>
      <c r="H252" s="1" t="s">
        <v>210</v>
      </c>
      <c r="I252">
        <v>0</v>
      </c>
      <c r="J252">
        <v>97056.647800000006</v>
      </c>
      <c r="K252">
        <v>2.7599999999999999E-3</v>
      </c>
      <c r="L252">
        <v>2.5999999999999999E-3</v>
      </c>
      <c r="M252">
        <v>0.245</v>
      </c>
      <c r="N252">
        <v>0.36199999999999999</v>
      </c>
      <c r="O252">
        <v>4.0800000000000003E-3</v>
      </c>
      <c r="P252" s="3">
        <f t="shared" si="12"/>
        <v>1030.3288857507544</v>
      </c>
      <c r="Q252" s="3">
        <f t="shared" si="13"/>
        <v>2.7590328274982312E-3</v>
      </c>
      <c r="R252" s="3">
        <f t="shared" si="14"/>
        <v>2.5999999999999999E-3</v>
      </c>
      <c r="S252">
        <f t="shared" si="15"/>
        <v>7</v>
      </c>
      <c r="T252">
        <f>INDEX([1]IDEN_level_ids!$B:$B,MATCH(G252,[1]IDEN_level_ids!$A:$A,0),1)</f>
        <v>1187</v>
      </c>
      <c r="U252">
        <f>INDEX([1]IDEN_level_ids!$B:$B,MATCH(H252,[1]IDEN_level_ids!$A:$A,0),1)</f>
        <v>655</v>
      </c>
    </row>
    <row r="253" spans="1:21" hidden="1" x14ac:dyDescent="0.25">
      <c r="A253">
        <v>97040.285000000003</v>
      </c>
      <c r="B253">
        <v>1030.4999</v>
      </c>
      <c r="C253">
        <v>4</v>
      </c>
      <c r="D253" t="s">
        <v>196</v>
      </c>
      <c r="F253">
        <v>1969</v>
      </c>
      <c r="G253" s="1" t="s">
        <v>68</v>
      </c>
      <c r="H253" s="1" t="s">
        <v>202</v>
      </c>
      <c r="I253">
        <v>0</v>
      </c>
      <c r="J253">
        <v>97040.658899999995</v>
      </c>
      <c r="K253">
        <v>3.9699999999999996E-3</v>
      </c>
      <c r="L253">
        <v>2.5999999999999999E-3</v>
      </c>
      <c r="M253">
        <v>0.245</v>
      </c>
      <c r="N253">
        <v>4.2200000000000001E-2</v>
      </c>
      <c r="O253">
        <v>2.7200000000000002E-3</v>
      </c>
      <c r="P253" s="3">
        <f t="shared" si="12"/>
        <v>1030.4998588988067</v>
      </c>
      <c r="Q253" s="3">
        <f t="shared" si="13"/>
        <v>3.9705408185000124E-3</v>
      </c>
      <c r="R253" s="3">
        <f t="shared" si="14"/>
        <v>2.5999999999999999E-3</v>
      </c>
      <c r="S253">
        <f t="shared" si="15"/>
        <v>7</v>
      </c>
      <c r="T253">
        <f>INDEX([1]IDEN_level_ids!$B:$B,MATCH(G253,[1]IDEN_level_ids!$A:$A,0),1)</f>
        <v>1229</v>
      </c>
      <c r="U253">
        <f>INDEX([1]IDEN_level_ids!$B:$B,MATCH(H253,[1]IDEN_level_ids!$A:$A,0),1)</f>
        <v>781</v>
      </c>
    </row>
    <row r="254" spans="1:21" hidden="1" x14ac:dyDescent="0.25">
      <c r="A254">
        <v>97022.681700000001</v>
      </c>
      <c r="B254">
        <v>1030.6867999999999</v>
      </c>
      <c r="C254">
        <v>4</v>
      </c>
      <c r="D254" t="s">
        <v>196</v>
      </c>
      <c r="F254">
        <v>1969</v>
      </c>
      <c r="G254" s="1" t="s">
        <v>53</v>
      </c>
      <c r="H254" s="1" t="s">
        <v>161</v>
      </c>
      <c r="I254">
        <v>0</v>
      </c>
      <c r="J254">
        <v>97022.6489</v>
      </c>
      <c r="K254">
        <v>-3.5E-4</v>
      </c>
      <c r="L254">
        <v>2.5999999999999999E-3</v>
      </c>
      <c r="M254">
        <v>0.245</v>
      </c>
      <c r="N254">
        <v>1.9099999999999999E-2</v>
      </c>
      <c r="O254">
        <v>2.65E-3</v>
      </c>
      <c r="P254" s="3">
        <f t="shared" si="12"/>
        <v>1030.6868275317936</v>
      </c>
      <c r="Q254" s="3">
        <f t="shared" si="13"/>
        <v>-3.4843954813368327E-4</v>
      </c>
      <c r="R254" s="3">
        <f t="shared" si="14"/>
        <v>2.5999999999999999E-3</v>
      </c>
      <c r="S254">
        <f t="shared" si="15"/>
        <v>7</v>
      </c>
      <c r="T254">
        <f>INDEX([1]IDEN_level_ids!$B:$B,MATCH(G254,[1]IDEN_level_ids!$A:$A,0),1)</f>
        <v>1231</v>
      </c>
      <c r="U254">
        <f>INDEX([1]IDEN_level_ids!$B:$B,MATCH(H254,[1]IDEN_level_ids!$A:$A,0),1)</f>
        <v>785</v>
      </c>
    </row>
    <row r="255" spans="1:21" hidden="1" x14ac:dyDescent="0.25">
      <c r="A255">
        <v>97007.215899999996</v>
      </c>
      <c r="B255">
        <v>1030.8511000000001</v>
      </c>
      <c r="C255">
        <v>4</v>
      </c>
      <c r="D255" t="s">
        <v>196</v>
      </c>
      <c r="F255">
        <v>1969</v>
      </c>
      <c r="G255" s="1" t="s">
        <v>209</v>
      </c>
      <c r="H255" s="1" t="s">
        <v>110</v>
      </c>
      <c r="I255">
        <v>0</v>
      </c>
      <c r="J255">
        <v>97007.406000000003</v>
      </c>
      <c r="K255">
        <v>2.0200000000000001E-3</v>
      </c>
      <c r="L255">
        <v>2.5999999999999999E-3</v>
      </c>
      <c r="M255">
        <v>0.245</v>
      </c>
      <c r="N255">
        <v>0.15049999999999999</v>
      </c>
      <c r="O255">
        <v>3.0599999999999998E-3</v>
      </c>
      <c r="P255" s="3">
        <f t="shared" si="12"/>
        <v>1030.8511492906375</v>
      </c>
      <c r="Q255" s="3">
        <f t="shared" si="13"/>
        <v>2.0201014701797249E-3</v>
      </c>
      <c r="R255" s="3">
        <f t="shared" si="14"/>
        <v>2.5999999999999999E-3</v>
      </c>
      <c r="S255">
        <f t="shared" si="15"/>
        <v>7</v>
      </c>
      <c r="T255">
        <f>INDEX([1]IDEN_level_ids!$B:$B,MATCH(G255,[1]IDEN_level_ids!$A:$A,0),1)</f>
        <v>1209</v>
      </c>
      <c r="U255">
        <f>INDEX([1]IDEN_level_ids!$B:$B,MATCH(H255,[1]IDEN_level_ids!$A:$A,0),1)</f>
        <v>730</v>
      </c>
    </row>
    <row r="256" spans="1:21" hidden="1" x14ac:dyDescent="0.25">
      <c r="A256">
        <v>96959.375899999999</v>
      </c>
      <c r="B256">
        <v>1031.3598</v>
      </c>
      <c r="C256">
        <v>4</v>
      </c>
      <c r="D256" t="s">
        <v>196</v>
      </c>
      <c r="F256">
        <v>1969</v>
      </c>
      <c r="G256" s="1" t="s">
        <v>41</v>
      </c>
      <c r="H256" s="1" t="s">
        <v>160</v>
      </c>
      <c r="I256">
        <v>0</v>
      </c>
      <c r="J256">
        <v>96959.603600000002</v>
      </c>
      <c r="K256">
        <v>2.4199999999999998E-3</v>
      </c>
      <c r="L256">
        <v>2.6099999999999999E-3</v>
      </c>
      <c r="M256">
        <v>0.245</v>
      </c>
      <c r="N256">
        <v>1.89E-2</v>
      </c>
      <c r="O256">
        <v>2.66E-3</v>
      </c>
      <c r="P256" s="3">
        <f t="shared" si="12"/>
        <v>1031.3597738411186</v>
      </c>
      <c r="Q256" s="3">
        <f t="shared" si="13"/>
        <v>2.4220460045398795E-3</v>
      </c>
      <c r="R256" s="3">
        <f t="shared" si="14"/>
        <v>2.6099999999999999E-3</v>
      </c>
      <c r="S256">
        <f t="shared" si="15"/>
        <v>7</v>
      </c>
      <c r="T256">
        <f>INDEX([1]IDEN_level_ids!$B:$B,MATCH(G256,[1]IDEN_level_ids!$A:$A,0),1)</f>
        <v>1238</v>
      </c>
      <c r="U256">
        <f>INDEX([1]IDEN_level_ids!$B:$B,MATCH(H256,[1]IDEN_level_ids!$A:$A,0),1)</f>
        <v>798</v>
      </c>
    </row>
    <row r="257" spans="1:21" hidden="1" x14ac:dyDescent="0.25">
      <c r="A257">
        <v>96952.302299999996</v>
      </c>
      <c r="B257">
        <v>1031.4349999999999</v>
      </c>
      <c r="C257">
        <v>4</v>
      </c>
      <c r="D257" t="s">
        <v>196</v>
      </c>
      <c r="F257">
        <v>1969</v>
      </c>
      <c r="G257" s="1" t="s">
        <v>207</v>
      </c>
      <c r="H257" s="1" t="s">
        <v>135</v>
      </c>
      <c r="I257">
        <v>0</v>
      </c>
      <c r="J257">
        <v>96951.838799999998</v>
      </c>
      <c r="K257">
        <v>-4.9300000000000004E-3</v>
      </c>
      <c r="L257">
        <v>2.6099999999999999E-3</v>
      </c>
      <c r="M257">
        <v>0.245</v>
      </c>
      <c r="N257">
        <v>0.26590000000000003</v>
      </c>
      <c r="O257">
        <v>3.5500000000000002E-3</v>
      </c>
      <c r="P257" s="3">
        <f t="shared" si="12"/>
        <v>1031.4350214249632</v>
      </c>
      <c r="Q257" s="3">
        <f t="shared" si="13"/>
        <v>-4.9310063463963161E-3</v>
      </c>
      <c r="R257" s="3">
        <f t="shared" si="14"/>
        <v>2.6099999999999999E-3</v>
      </c>
      <c r="S257">
        <f t="shared" si="15"/>
        <v>7</v>
      </c>
      <c r="T257">
        <f>INDEX([1]IDEN_level_ids!$B:$B,MATCH(G257,[1]IDEN_level_ids!$A:$A,0),1)</f>
        <v>1177</v>
      </c>
      <c r="U257">
        <f>INDEX([1]IDEN_level_ids!$B:$B,MATCH(H257,[1]IDEN_level_ids!$A:$A,0),1)</f>
        <v>644</v>
      </c>
    </row>
    <row r="258" spans="1:21" hidden="1" x14ac:dyDescent="0.25">
      <c r="A258">
        <v>96942.806100000002</v>
      </c>
      <c r="B258">
        <v>1031.5361</v>
      </c>
      <c r="C258">
        <v>4</v>
      </c>
      <c r="D258" t="s">
        <v>196</v>
      </c>
      <c r="F258">
        <v>1969</v>
      </c>
      <c r="G258" s="1" t="s">
        <v>24</v>
      </c>
      <c r="H258" s="1" t="s">
        <v>200</v>
      </c>
      <c r="I258">
        <v>0</v>
      </c>
      <c r="J258">
        <v>96943.342499999999</v>
      </c>
      <c r="K258">
        <v>5.7099999999999998E-3</v>
      </c>
      <c r="L258">
        <v>2.6099999999999999E-3</v>
      </c>
      <c r="M258">
        <v>0.245</v>
      </c>
      <c r="N258">
        <v>3.8300000000000001E-2</v>
      </c>
      <c r="O258">
        <v>2.7100000000000002E-3</v>
      </c>
      <c r="P258" s="3">
        <f t="shared" ref="P258:P321" si="16">100000000/$A258</f>
        <v>1031.5360574238628</v>
      </c>
      <c r="Q258" s="3">
        <f t="shared" ref="Q258:Q321" si="17">100000000/($A258)-100000000/$J258</f>
        <v>5.7076218636211706E-3</v>
      </c>
      <c r="R258" s="3">
        <f t="shared" si="14"/>
        <v>2.6099999999999999E-3</v>
      </c>
      <c r="S258">
        <f t="shared" si="15"/>
        <v>7</v>
      </c>
      <c r="T258">
        <f>INDEX([1]IDEN_level_ids!$B:$B,MATCH(G258,[1]IDEN_level_ids!$A:$A,0),1)</f>
        <v>1241</v>
      </c>
      <c r="U258">
        <f>INDEX([1]IDEN_level_ids!$B:$B,MATCH(H258,[1]IDEN_level_ids!$A:$A,0),1)</f>
        <v>817</v>
      </c>
    </row>
    <row r="259" spans="1:21" hidden="1" x14ac:dyDescent="0.25">
      <c r="A259">
        <v>96911.417300000001</v>
      </c>
      <c r="B259">
        <v>1031.8702000000001</v>
      </c>
      <c r="C259">
        <v>4</v>
      </c>
      <c r="D259" t="s">
        <v>196</v>
      </c>
      <c r="F259">
        <v>1969</v>
      </c>
      <c r="G259" s="1" t="s">
        <v>71</v>
      </c>
      <c r="H259" s="1" t="s">
        <v>139</v>
      </c>
      <c r="I259">
        <v>0</v>
      </c>
      <c r="J259">
        <v>96911.664699999994</v>
      </c>
      <c r="K259">
        <v>2.63E-3</v>
      </c>
      <c r="L259">
        <v>2.6099999999999999E-3</v>
      </c>
      <c r="M259">
        <v>0.245</v>
      </c>
      <c r="N259">
        <v>0.111</v>
      </c>
      <c r="O259">
        <v>2.9299999999999999E-3</v>
      </c>
      <c r="P259" s="3">
        <f t="shared" si="16"/>
        <v>1031.8701633517437</v>
      </c>
      <c r="Q259" s="3">
        <f t="shared" si="17"/>
        <v>2.634199703379636E-3</v>
      </c>
      <c r="R259" s="3">
        <f t="shared" ref="R259:R322" si="18">$L259</f>
        <v>2.6099999999999999E-3</v>
      </c>
      <c r="S259">
        <f t="shared" si="15"/>
        <v>7</v>
      </c>
      <c r="T259">
        <f>INDEX([1]IDEN_level_ids!$B:$B,MATCH(G259,[1]IDEN_level_ids!$A:$A,0),1)</f>
        <v>1179</v>
      </c>
      <c r="U259">
        <f>INDEX([1]IDEN_level_ids!$B:$B,MATCH(H259,[1]IDEN_level_ids!$A:$A,0),1)</f>
        <v>642</v>
      </c>
    </row>
    <row r="260" spans="1:21" hidden="1" x14ac:dyDescent="0.25">
      <c r="A260">
        <v>96891.417100000006</v>
      </c>
      <c r="B260">
        <v>1032.0832</v>
      </c>
      <c r="C260">
        <v>4</v>
      </c>
      <c r="D260" t="s">
        <v>196</v>
      </c>
      <c r="F260">
        <v>1969</v>
      </c>
      <c r="G260" s="1" t="s">
        <v>79</v>
      </c>
      <c r="H260" s="1" t="s">
        <v>147</v>
      </c>
      <c r="I260">
        <v>0</v>
      </c>
      <c r="J260">
        <v>96891.782300000006</v>
      </c>
      <c r="K260">
        <v>3.8899999999999998E-3</v>
      </c>
      <c r="L260">
        <v>2.6099999999999999E-3</v>
      </c>
      <c r="M260">
        <v>0.245</v>
      </c>
      <c r="N260">
        <v>0.2671</v>
      </c>
      <c r="O260">
        <v>3.5599999999999998E-3</v>
      </c>
      <c r="P260" s="3">
        <f t="shared" si="16"/>
        <v>1032.0831606456088</v>
      </c>
      <c r="Q260" s="3">
        <f t="shared" si="17"/>
        <v>3.8900798531358305E-3</v>
      </c>
      <c r="R260" s="3">
        <f t="shared" si="18"/>
        <v>2.6099999999999999E-3</v>
      </c>
      <c r="S260">
        <f t="shared" ref="S260:S323" si="19">IF(D260=D259,S259,S259+1)</f>
        <v>7</v>
      </c>
      <c r="T260">
        <f>INDEX([1]IDEN_level_ids!$B:$B,MATCH(G260,[1]IDEN_level_ids!$A:$A,0),1)</f>
        <v>1216</v>
      </c>
      <c r="U260">
        <f>INDEX([1]IDEN_level_ids!$B:$B,MATCH(H260,[1]IDEN_level_ids!$A:$A,0),1)</f>
        <v>752</v>
      </c>
    </row>
    <row r="261" spans="1:21" hidden="1" x14ac:dyDescent="0.25">
      <c r="A261">
        <v>96885.412899999996</v>
      </c>
      <c r="B261">
        <v>1032.1470999999999</v>
      </c>
      <c r="C261">
        <v>4</v>
      </c>
      <c r="D261" t="s">
        <v>196</v>
      </c>
      <c r="F261">
        <v>1969</v>
      </c>
      <c r="G261" s="1" t="s">
        <v>83</v>
      </c>
      <c r="H261" s="1" t="s">
        <v>185</v>
      </c>
      <c r="I261">
        <v>0</v>
      </c>
      <c r="J261">
        <v>96885.209300000002</v>
      </c>
      <c r="K261">
        <v>-2.1700000000000001E-3</v>
      </c>
      <c r="L261">
        <v>2.6099999999999999E-3</v>
      </c>
      <c r="M261">
        <v>0.245</v>
      </c>
      <c r="N261">
        <v>0.23860000000000001</v>
      </c>
      <c r="O261">
        <v>3.4299999999999999E-3</v>
      </c>
      <c r="P261" s="3">
        <f t="shared" si="16"/>
        <v>1032.1471210863776</v>
      </c>
      <c r="Q261" s="3">
        <f t="shared" si="17"/>
        <v>-2.1690117137040943E-3</v>
      </c>
      <c r="R261" s="3">
        <f t="shared" si="18"/>
        <v>2.6099999999999999E-3</v>
      </c>
      <c r="S261">
        <f t="shared" si="19"/>
        <v>7</v>
      </c>
      <c r="T261">
        <f>INDEX([1]IDEN_level_ids!$B:$B,MATCH(G261,[1]IDEN_level_ids!$A:$A,0),1)</f>
        <v>1175</v>
      </c>
      <c r="U261">
        <f>INDEX([1]IDEN_level_ids!$B:$B,MATCH(H261,[1]IDEN_level_ids!$A:$A,0),1)</f>
        <v>633</v>
      </c>
    </row>
    <row r="262" spans="1:21" hidden="1" x14ac:dyDescent="0.25">
      <c r="A262">
        <v>96878.488599999997</v>
      </c>
      <c r="B262">
        <v>1032.2209</v>
      </c>
      <c r="C262">
        <v>4</v>
      </c>
      <c r="D262" t="s">
        <v>196</v>
      </c>
      <c r="F262">
        <v>1969</v>
      </c>
      <c r="G262" s="1" t="s">
        <v>51</v>
      </c>
      <c r="H262" s="1" t="s">
        <v>211</v>
      </c>
      <c r="I262">
        <v>0</v>
      </c>
      <c r="J262">
        <v>96878.828800000003</v>
      </c>
      <c r="K262">
        <v>3.63E-3</v>
      </c>
      <c r="L262">
        <v>2.6099999999999999E-3</v>
      </c>
      <c r="M262">
        <v>0.245</v>
      </c>
      <c r="N262">
        <v>2.4E-2</v>
      </c>
      <c r="O262">
        <v>2.6700000000000001E-3</v>
      </c>
      <c r="P262" s="3">
        <f t="shared" si="16"/>
        <v>1032.2208928432849</v>
      </c>
      <c r="Q262" s="3">
        <f t="shared" si="17"/>
        <v>3.6247501348043443E-3</v>
      </c>
      <c r="R262" s="3">
        <f t="shared" si="18"/>
        <v>2.6099999999999999E-3</v>
      </c>
      <c r="S262">
        <f t="shared" si="19"/>
        <v>7</v>
      </c>
      <c r="T262">
        <f>INDEX([1]IDEN_level_ids!$B:$B,MATCH(G262,[1]IDEN_level_ids!$A:$A,0),1)</f>
        <v>1213</v>
      </c>
      <c r="U262">
        <f>INDEX([1]IDEN_level_ids!$B:$B,MATCH(H262,[1]IDEN_level_ids!$A:$A,0),1)</f>
        <v>744</v>
      </c>
    </row>
    <row r="263" spans="1:21" hidden="1" x14ac:dyDescent="0.25">
      <c r="A263">
        <v>96871.177899999995</v>
      </c>
      <c r="B263">
        <v>1032.2988</v>
      </c>
      <c r="C263">
        <v>4</v>
      </c>
      <c r="D263" t="s">
        <v>196</v>
      </c>
      <c r="F263">
        <v>1969</v>
      </c>
      <c r="G263" s="1" t="s">
        <v>212</v>
      </c>
      <c r="H263" s="1" t="s">
        <v>213</v>
      </c>
      <c r="I263">
        <v>0</v>
      </c>
      <c r="J263">
        <v>96871.096300000005</v>
      </c>
      <c r="K263">
        <v>-8.7000000000000001E-4</v>
      </c>
      <c r="L263">
        <v>2.6099999999999999E-3</v>
      </c>
      <c r="M263">
        <v>0.245</v>
      </c>
      <c r="N263">
        <v>0.50439999999999996</v>
      </c>
      <c r="O263">
        <v>5.2700000000000004E-3</v>
      </c>
      <c r="P263" s="3">
        <f t="shared" si="16"/>
        <v>1032.298792766099</v>
      </c>
      <c r="Q263" s="3">
        <f t="shared" si="17"/>
        <v>-8.6956362315504521E-4</v>
      </c>
      <c r="R263" s="3">
        <f t="shared" si="18"/>
        <v>2.6099999999999999E-3</v>
      </c>
      <c r="S263">
        <f t="shared" si="19"/>
        <v>7</v>
      </c>
      <c r="T263">
        <f>INDEX([1]IDEN_level_ids!$B:$B,MATCH(G263,[1]IDEN_level_ids!$A:$A,0),1)</f>
        <v>1123</v>
      </c>
      <c r="U263">
        <f>INDEX([1]IDEN_level_ids!$B:$B,MATCH(H263,[1]IDEN_level_ids!$A:$A,0),1)</f>
        <v>464</v>
      </c>
    </row>
    <row r="264" spans="1:21" hidden="1" x14ac:dyDescent="0.25">
      <c r="A264">
        <v>96856.994999999995</v>
      </c>
      <c r="B264">
        <v>1032.45</v>
      </c>
      <c r="C264">
        <v>4</v>
      </c>
      <c r="D264" t="s">
        <v>196</v>
      </c>
      <c r="F264">
        <v>1969</v>
      </c>
      <c r="G264" s="1" t="s">
        <v>118</v>
      </c>
      <c r="H264" s="1" t="s">
        <v>214</v>
      </c>
      <c r="I264">
        <v>0</v>
      </c>
      <c r="J264">
        <v>96857.132700000002</v>
      </c>
      <c r="K264">
        <v>1.47E-3</v>
      </c>
      <c r="L264">
        <v>2.6099999999999999E-3</v>
      </c>
      <c r="M264">
        <v>0.245</v>
      </c>
      <c r="N264">
        <v>5.5199999999999999E-2</v>
      </c>
      <c r="O264">
        <v>2.7599999999999999E-3</v>
      </c>
      <c r="P264" s="3">
        <f t="shared" si="16"/>
        <v>1032.4499536662272</v>
      </c>
      <c r="Q264" s="3">
        <f t="shared" si="17"/>
        <v>1.4678150660074607E-3</v>
      </c>
      <c r="R264" s="3">
        <f t="shared" si="18"/>
        <v>2.6099999999999999E-3</v>
      </c>
      <c r="S264">
        <f t="shared" si="19"/>
        <v>7</v>
      </c>
      <c r="T264">
        <f>INDEX([1]IDEN_level_ids!$B:$B,MATCH(G264,[1]IDEN_level_ids!$A:$A,0),1)</f>
        <v>1237</v>
      </c>
      <c r="U264">
        <f>INDEX([1]IDEN_level_ids!$B:$B,MATCH(H264,[1]IDEN_level_ids!$A:$A,0),1)</f>
        <v>794</v>
      </c>
    </row>
    <row r="265" spans="1:21" hidden="1" x14ac:dyDescent="0.25">
      <c r="A265">
        <v>96852.686900000001</v>
      </c>
      <c r="B265">
        <v>1032.4958999999999</v>
      </c>
      <c r="C265">
        <v>4</v>
      </c>
      <c r="D265" t="s">
        <v>196</v>
      </c>
      <c r="F265">
        <v>1969</v>
      </c>
      <c r="G265" s="1" t="s">
        <v>33</v>
      </c>
      <c r="H265" s="1" t="s">
        <v>186</v>
      </c>
      <c r="I265">
        <v>0</v>
      </c>
      <c r="J265">
        <v>96852.537100000001</v>
      </c>
      <c r="K265">
        <v>-1.6000000000000001E-3</v>
      </c>
      <c r="L265">
        <v>2.6099999999999999E-3</v>
      </c>
      <c r="M265">
        <v>0.245</v>
      </c>
      <c r="N265">
        <v>1.3299999999999999E-2</v>
      </c>
      <c r="O265">
        <v>2.65E-3</v>
      </c>
      <c r="P265" s="3">
        <f t="shared" si="16"/>
        <v>1032.4958780260747</v>
      </c>
      <c r="Q265" s="3">
        <f t="shared" si="17"/>
        <v>-1.5969419816883601E-3</v>
      </c>
      <c r="R265" s="3">
        <f t="shared" si="18"/>
        <v>2.6099999999999999E-3</v>
      </c>
      <c r="S265">
        <f t="shared" si="19"/>
        <v>7</v>
      </c>
      <c r="T265">
        <f>INDEX([1]IDEN_level_ids!$B:$B,MATCH(G265,[1]IDEN_level_ids!$A:$A,0),1)</f>
        <v>1220</v>
      </c>
      <c r="U265">
        <f>INDEX([1]IDEN_level_ids!$B:$B,MATCH(H265,[1]IDEN_level_ids!$A:$A,0),1)</f>
        <v>768</v>
      </c>
    </row>
    <row r="266" spans="1:21" hidden="1" x14ac:dyDescent="0.25">
      <c r="A266">
        <v>96824.375899999999</v>
      </c>
      <c r="B266">
        <v>1032.7978000000001</v>
      </c>
      <c r="C266">
        <v>4</v>
      </c>
      <c r="D266" t="s">
        <v>196</v>
      </c>
      <c r="F266">
        <v>1969</v>
      </c>
      <c r="G266" s="1" t="s">
        <v>62</v>
      </c>
      <c r="H266" s="1" t="s">
        <v>159</v>
      </c>
      <c r="I266">
        <v>0</v>
      </c>
      <c r="J266">
        <v>96824.443899999998</v>
      </c>
      <c r="K266">
        <v>7.2000000000000005E-4</v>
      </c>
      <c r="L266">
        <v>2.6099999999999999E-3</v>
      </c>
      <c r="M266">
        <v>0.245</v>
      </c>
      <c r="N266">
        <v>2.4899999999999999E-2</v>
      </c>
      <c r="O266">
        <v>2.6800000000000001E-3</v>
      </c>
      <c r="P266" s="3">
        <f t="shared" si="16"/>
        <v>1032.7977750487107</v>
      </c>
      <c r="Q266" s="3">
        <f t="shared" si="17"/>
        <v>7.2533593674961594E-4</v>
      </c>
      <c r="R266" s="3">
        <f t="shared" si="18"/>
        <v>2.6099999999999999E-3</v>
      </c>
      <c r="S266">
        <f t="shared" si="19"/>
        <v>7</v>
      </c>
      <c r="T266">
        <f>INDEX([1]IDEN_level_ids!$B:$B,MATCH(G266,[1]IDEN_level_ids!$A:$A,0),1)</f>
        <v>1203</v>
      </c>
      <c r="U266">
        <f>INDEX([1]IDEN_level_ids!$B:$B,MATCH(H266,[1]IDEN_level_ids!$A:$A,0),1)</f>
        <v>702</v>
      </c>
    </row>
    <row r="267" spans="1:21" hidden="1" x14ac:dyDescent="0.25">
      <c r="A267">
        <v>96786.0141</v>
      </c>
      <c r="B267">
        <v>1033.2071000000001</v>
      </c>
      <c r="C267">
        <v>4</v>
      </c>
      <c r="D267" t="s">
        <v>196</v>
      </c>
      <c r="E267" t="s">
        <v>52</v>
      </c>
      <c r="F267">
        <v>1969</v>
      </c>
      <c r="G267" s="1" t="s">
        <v>38</v>
      </c>
      <c r="H267" s="1" t="s">
        <v>176</v>
      </c>
      <c r="I267">
        <v>0</v>
      </c>
      <c r="J267">
        <v>96786.115600000005</v>
      </c>
      <c r="K267">
        <v>1.08E-3</v>
      </c>
      <c r="L267">
        <v>2.9499999999999999E-3</v>
      </c>
      <c r="M267">
        <v>0.27600000000000002</v>
      </c>
      <c r="N267">
        <v>8.5599999999999996E-2</v>
      </c>
      <c r="O267">
        <v>3.2200000000000002E-3</v>
      </c>
      <c r="P267" s="3">
        <f t="shared" si="16"/>
        <v>1033.2071315250082</v>
      </c>
      <c r="Q267" s="3">
        <f t="shared" si="17"/>
        <v>1.0835285950179241E-3</v>
      </c>
      <c r="R267" s="3">
        <f t="shared" si="18"/>
        <v>2.9499999999999999E-3</v>
      </c>
      <c r="S267">
        <f t="shared" si="19"/>
        <v>7</v>
      </c>
      <c r="T267">
        <f>INDEX([1]IDEN_level_ids!$B:$B,MATCH(G267,[1]IDEN_level_ids!$A:$A,0),1)</f>
        <v>1201</v>
      </c>
      <c r="U267">
        <f>INDEX([1]IDEN_level_ids!$B:$B,MATCH(H267,[1]IDEN_level_ids!$A:$A,0),1)</f>
        <v>708</v>
      </c>
    </row>
    <row r="268" spans="1:21" hidden="1" x14ac:dyDescent="0.25">
      <c r="A268">
        <v>96765.701700000005</v>
      </c>
      <c r="B268">
        <v>1033.424</v>
      </c>
      <c r="C268">
        <v>4</v>
      </c>
      <c r="D268" t="s">
        <v>196</v>
      </c>
      <c r="F268">
        <v>1969</v>
      </c>
      <c r="G268" s="1" t="s">
        <v>49</v>
      </c>
      <c r="H268" s="1" t="s">
        <v>163</v>
      </c>
      <c r="I268">
        <v>0</v>
      </c>
      <c r="J268">
        <v>96766.1005</v>
      </c>
      <c r="K268">
        <v>4.2599999999999999E-3</v>
      </c>
      <c r="L268">
        <v>2.6199999999999999E-3</v>
      </c>
      <c r="M268">
        <v>0.245</v>
      </c>
      <c r="N268">
        <v>1.41E-2</v>
      </c>
      <c r="O268">
        <v>2.65E-3</v>
      </c>
      <c r="P268" s="3">
        <f t="shared" si="16"/>
        <v>1033.4240153605995</v>
      </c>
      <c r="Q268" s="3">
        <f t="shared" si="17"/>
        <v>4.2590276468672528E-3</v>
      </c>
      <c r="R268" s="3">
        <f t="shared" si="18"/>
        <v>2.6199999999999999E-3</v>
      </c>
      <c r="S268">
        <f t="shared" si="19"/>
        <v>7</v>
      </c>
      <c r="T268">
        <f>INDEX([1]IDEN_level_ids!$B:$B,MATCH(G268,[1]IDEN_level_ids!$A:$A,0),1)</f>
        <v>1214</v>
      </c>
      <c r="U268">
        <f>INDEX([1]IDEN_level_ids!$B:$B,MATCH(H268,[1]IDEN_level_ids!$A:$A,0),1)</f>
        <v>747</v>
      </c>
    </row>
    <row r="269" spans="1:21" hidden="1" x14ac:dyDescent="0.25">
      <c r="A269">
        <v>96750.905799999993</v>
      </c>
      <c r="B269">
        <v>1033.5821000000001</v>
      </c>
      <c r="C269">
        <v>4</v>
      </c>
      <c r="D269" t="s">
        <v>196</v>
      </c>
      <c r="F269">
        <v>1969</v>
      </c>
      <c r="G269" s="1" t="s">
        <v>36</v>
      </c>
      <c r="H269" s="1" t="s">
        <v>162</v>
      </c>
      <c r="I269">
        <v>0</v>
      </c>
      <c r="J269">
        <v>96751.061400000006</v>
      </c>
      <c r="K269">
        <v>1.66E-3</v>
      </c>
      <c r="L269">
        <v>2.6199999999999999E-3</v>
      </c>
      <c r="M269">
        <v>0.245</v>
      </c>
      <c r="N269">
        <v>2.24E-2</v>
      </c>
      <c r="O269">
        <v>2.6800000000000001E-3</v>
      </c>
      <c r="P269" s="3">
        <f t="shared" si="16"/>
        <v>1033.5820545878548</v>
      </c>
      <c r="Q269" s="3">
        <f t="shared" si="17"/>
        <v>1.6622594664568169E-3</v>
      </c>
      <c r="R269" s="3">
        <f t="shared" si="18"/>
        <v>2.6199999999999999E-3</v>
      </c>
      <c r="S269">
        <f t="shared" si="19"/>
        <v>7</v>
      </c>
      <c r="T269">
        <f>INDEX([1]IDEN_level_ids!$B:$B,MATCH(G269,[1]IDEN_level_ids!$A:$A,0),1)</f>
        <v>1217</v>
      </c>
      <c r="U269">
        <f>INDEX([1]IDEN_level_ids!$B:$B,MATCH(H269,[1]IDEN_level_ids!$A:$A,0),1)</f>
        <v>754</v>
      </c>
    </row>
    <row r="270" spans="1:21" hidden="1" x14ac:dyDescent="0.25">
      <c r="A270">
        <v>96736.305500000002</v>
      </c>
      <c r="B270">
        <v>1033.7381</v>
      </c>
      <c r="C270">
        <v>4</v>
      </c>
      <c r="D270" t="s">
        <v>196</v>
      </c>
      <c r="F270">
        <v>1969</v>
      </c>
      <c r="G270" s="1" t="s">
        <v>40</v>
      </c>
      <c r="H270" s="1" t="s">
        <v>215</v>
      </c>
      <c r="I270">
        <v>0</v>
      </c>
      <c r="J270">
        <v>96736.442599999995</v>
      </c>
      <c r="K270">
        <v>1.4599999999999999E-3</v>
      </c>
      <c r="L270">
        <v>2.6199999999999999E-3</v>
      </c>
      <c r="M270">
        <v>0.245</v>
      </c>
      <c r="N270">
        <v>2.4799999999999999E-2</v>
      </c>
      <c r="O270">
        <v>2.6800000000000001E-3</v>
      </c>
      <c r="P270" s="3">
        <f t="shared" si="16"/>
        <v>1033.7380519457608</v>
      </c>
      <c r="Q270" s="3">
        <f t="shared" si="17"/>
        <v>1.4650682110186608E-3</v>
      </c>
      <c r="R270" s="3">
        <f t="shared" si="18"/>
        <v>2.6199999999999999E-3</v>
      </c>
      <c r="S270">
        <f t="shared" si="19"/>
        <v>7</v>
      </c>
      <c r="T270">
        <f>INDEX([1]IDEN_level_ids!$B:$B,MATCH(G270,[1]IDEN_level_ids!$A:$A,0),1)</f>
        <v>1199</v>
      </c>
      <c r="U270">
        <f>INDEX([1]IDEN_level_ids!$B:$B,MATCH(H270,[1]IDEN_level_ids!$A:$A,0),1)</f>
        <v>699</v>
      </c>
    </row>
    <row r="271" spans="1:21" hidden="1" x14ac:dyDescent="0.25">
      <c r="A271">
        <v>96731.713399999993</v>
      </c>
      <c r="B271">
        <v>1033.7871</v>
      </c>
      <c r="C271">
        <v>4</v>
      </c>
      <c r="D271" t="s">
        <v>196</v>
      </c>
      <c r="F271">
        <v>1969</v>
      </c>
      <c r="G271" s="1" t="s">
        <v>216</v>
      </c>
      <c r="H271" s="1" t="s">
        <v>167</v>
      </c>
      <c r="I271">
        <v>0</v>
      </c>
      <c r="J271">
        <v>96731.844400000002</v>
      </c>
      <c r="K271">
        <v>1.4E-3</v>
      </c>
      <c r="L271">
        <v>2.6199999999999999E-3</v>
      </c>
      <c r="M271">
        <v>0.245</v>
      </c>
      <c r="N271">
        <v>0.16200000000000001</v>
      </c>
      <c r="O271">
        <v>3.1199999999999999E-3</v>
      </c>
      <c r="P271" s="3">
        <f t="shared" si="16"/>
        <v>1033.7871261153532</v>
      </c>
      <c r="Q271" s="3">
        <f t="shared" si="17"/>
        <v>1.4000158309954713E-3</v>
      </c>
      <c r="R271" s="3">
        <f t="shared" si="18"/>
        <v>2.6199999999999999E-3</v>
      </c>
      <c r="S271">
        <f t="shared" si="19"/>
        <v>7</v>
      </c>
      <c r="T271">
        <f>INDEX([1]IDEN_level_ids!$B:$B,MATCH(G271,[1]IDEN_level_ids!$A:$A,0),1)</f>
        <v>1170</v>
      </c>
      <c r="U271">
        <f>INDEX([1]IDEN_level_ids!$B:$B,MATCH(H271,[1]IDEN_level_ids!$A:$A,0),1)</f>
        <v>628</v>
      </c>
    </row>
    <row r="272" spans="1:21" hidden="1" x14ac:dyDescent="0.25">
      <c r="A272">
        <v>96707.594700000001</v>
      </c>
      <c r="B272">
        <v>1034.0450000000001</v>
      </c>
      <c r="C272">
        <v>4</v>
      </c>
      <c r="D272" t="s">
        <v>196</v>
      </c>
      <c r="E272" t="s">
        <v>52</v>
      </c>
      <c r="F272">
        <v>1969</v>
      </c>
      <c r="G272" s="1" t="s">
        <v>77</v>
      </c>
      <c r="H272" s="1" t="s">
        <v>136</v>
      </c>
      <c r="I272">
        <v>0</v>
      </c>
      <c r="J272">
        <v>96707.406600000002</v>
      </c>
      <c r="K272">
        <v>-2.0100000000000001E-3</v>
      </c>
      <c r="L272">
        <v>2.9499999999999999E-3</v>
      </c>
      <c r="M272">
        <v>0.27600000000000002</v>
      </c>
      <c r="N272">
        <v>7.8100000000000003E-2</v>
      </c>
      <c r="O272">
        <v>3.2000000000000002E-3</v>
      </c>
      <c r="P272" s="3">
        <f t="shared" si="16"/>
        <v>1034.0449507633136</v>
      </c>
      <c r="Q272" s="3">
        <f t="shared" si="17"/>
        <v>-2.0112612062348489E-3</v>
      </c>
      <c r="R272" s="3">
        <f t="shared" si="18"/>
        <v>2.9499999999999999E-3</v>
      </c>
      <c r="S272">
        <f t="shared" si="19"/>
        <v>7</v>
      </c>
      <c r="T272">
        <f>INDEX([1]IDEN_level_ids!$B:$B,MATCH(G272,[1]IDEN_level_ids!$A:$A,0),1)</f>
        <v>1197</v>
      </c>
      <c r="U272">
        <f>INDEX([1]IDEN_level_ids!$B:$B,MATCH(H272,[1]IDEN_level_ids!$A:$A,0),1)</f>
        <v>700</v>
      </c>
    </row>
    <row r="273" spans="1:21" hidden="1" x14ac:dyDescent="0.25">
      <c r="A273">
        <v>96701.119999999995</v>
      </c>
      <c r="B273">
        <v>1034.1142</v>
      </c>
      <c r="C273">
        <v>4</v>
      </c>
      <c r="D273" t="s">
        <v>196</v>
      </c>
      <c r="F273">
        <v>1969</v>
      </c>
      <c r="G273" s="1" t="s">
        <v>53</v>
      </c>
      <c r="H273" s="1" t="s">
        <v>175</v>
      </c>
      <c r="I273">
        <v>0</v>
      </c>
      <c r="J273">
        <v>96701.505099999995</v>
      </c>
      <c r="K273">
        <v>4.1200000000000004E-3</v>
      </c>
      <c r="L273">
        <v>2.6199999999999999E-3</v>
      </c>
      <c r="M273">
        <v>0.245</v>
      </c>
      <c r="N273">
        <v>1.43E-2</v>
      </c>
      <c r="O273">
        <v>2.66E-3</v>
      </c>
      <c r="P273" s="3">
        <f t="shared" si="16"/>
        <v>1034.1141860611335</v>
      </c>
      <c r="Q273" s="3">
        <f t="shared" si="17"/>
        <v>4.1182127686170134E-3</v>
      </c>
      <c r="R273" s="3">
        <f t="shared" si="18"/>
        <v>2.6199999999999999E-3</v>
      </c>
      <c r="S273">
        <f t="shared" si="19"/>
        <v>7</v>
      </c>
      <c r="T273">
        <f>INDEX([1]IDEN_level_ids!$B:$B,MATCH(G273,[1]IDEN_level_ids!$A:$A,0),1)</f>
        <v>1231</v>
      </c>
      <c r="U273">
        <f>INDEX([1]IDEN_level_ids!$B:$B,MATCH(H273,[1]IDEN_level_ids!$A:$A,0),1)</f>
        <v>790</v>
      </c>
    </row>
    <row r="274" spans="1:21" hidden="1" x14ac:dyDescent="0.25">
      <c r="A274">
        <v>96680.1976</v>
      </c>
      <c r="B274">
        <v>1034.338</v>
      </c>
      <c r="C274">
        <v>4</v>
      </c>
      <c r="D274" t="s">
        <v>196</v>
      </c>
      <c r="F274">
        <v>1969</v>
      </c>
      <c r="G274" s="1" t="s">
        <v>79</v>
      </c>
      <c r="H274" s="1" t="s">
        <v>128</v>
      </c>
      <c r="I274">
        <v>0</v>
      </c>
      <c r="J274">
        <v>96679.985400000005</v>
      </c>
      <c r="K274">
        <v>-2.2699999999999999E-3</v>
      </c>
      <c r="L274">
        <v>2.6199999999999999E-3</v>
      </c>
      <c r="M274">
        <v>0.245</v>
      </c>
      <c r="N274">
        <v>4.7500000000000001E-2</v>
      </c>
      <c r="O274">
        <v>2.7499999999999998E-3</v>
      </c>
      <c r="P274" s="3">
        <f t="shared" si="16"/>
        <v>1034.3379769840271</v>
      </c>
      <c r="Q274" s="3">
        <f t="shared" si="17"/>
        <v>-2.2702374003529258E-3</v>
      </c>
      <c r="R274" s="3">
        <f t="shared" si="18"/>
        <v>2.6199999999999999E-3</v>
      </c>
      <c r="S274">
        <f t="shared" si="19"/>
        <v>7</v>
      </c>
      <c r="T274">
        <f>INDEX([1]IDEN_level_ids!$B:$B,MATCH(G274,[1]IDEN_level_ids!$A:$A,0),1)</f>
        <v>1216</v>
      </c>
      <c r="U274">
        <f>INDEX([1]IDEN_level_ids!$B:$B,MATCH(H274,[1]IDEN_level_ids!$A:$A,0),1)</f>
        <v>756</v>
      </c>
    </row>
    <row r="275" spans="1:21" hidden="1" x14ac:dyDescent="0.25">
      <c r="A275">
        <v>96636.630900000004</v>
      </c>
      <c r="B275">
        <v>1034.8043</v>
      </c>
      <c r="C275">
        <v>4</v>
      </c>
      <c r="D275" t="s">
        <v>196</v>
      </c>
      <c r="F275">
        <v>1969</v>
      </c>
      <c r="G275" s="1" t="s">
        <v>203</v>
      </c>
      <c r="H275" s="1" t="s">
        <v>217</v>
      </c>
      <c r="I275">
        <v>0</v>
      </c>
      <c r="J275">
        <v>96636.860100000005</v>
      </c>
      <c r="K275">
        <v>2.4499999999999999E-3</v>
      </c>
      <c r="L275">
        <v>2.6199999999999999E-3</v>
      </c>
      <c r="M275">
        <v>0.245</v>
      </c>
      <c r="N275">
        <v>0.51049999999999995</v>
      </c>
      <c r="O275">
        <v>5.3600000000000002E-3</v>
      </c>
      <c r="P275" s="3">
        <f t="shared" si="16"/>
        <v>1034.8042876565144</v>
      </c>
      <c r="Q275" s="3">
        <f t="shared" si="17"/>
        <v>2.4543134213672602E-3</v>
      </c>
      <c r="R275" s="3">
        <f t="shared" si="18"/>
        <v>2.6199999999999999E-3</v>
      </c>
      <c r="S275">
        <f t="shared" si="19"/>
        <v>7</v>
      </c>
      <c r="T275">
        <f>INDEX([1]IDEN_level_ids!$B:$B,MATCH(G275,[1]IDEN_level_ids!$A:$A,0),1)</f>
        <v>1127</v>
      </c>
      <c r="U275">
        <f>INDEX([1]IDEN_level_ids!$B:$B,MATCH(H275,[1]IDEN_level_ids!$A:$A,0),1)</f>
        <v>469</v>
      </c>
    </row>
    <row r="276" spans="1:21" hidden="1" x14ac:dyDescent="0.25">
      <c r="A276">
        <v>96634.601800000004</v>
      </c>
      <c r="B276">
        <v>1034.826</v>
      </c>
      <c r="C276">
        <v>4</v>
      </c>
      <c r="D276" t="s">
        <v>196</v>
      </c>
      <c r="F276">
        <v>1969</v>
      </c>
      <c r="G276" s="1" t="s">
        <v>84</v>
      </c>
      <c r="H276" s="1" t="s">
        <v>218</v>
      </c>
      <c r="I276">
        <v>0</v>
      </c>
      <c r="J276">
        <v>96634.231400000004</v>
      </c>
      <c r="K276">
        <v>-3.9699999999999996E-3</v>
      </c>
      <c r="L276">
        <v>2.6199999999999999E-3</v>
      </c>
      <c r="M276">
        <v>0.245</v>
      </c>
      <c r="N276">
        <v>1.6799999999999999E-2</v>
      </c>
      <c r="O276">
        <v>2.6700000000000001E-3</v>
      </c>
      <c r="P276" s="3">
        <f t="shared" si="16"/>
        <v>1034.8260161196215</v>
      </c>
      <c r="Q276" s="3">
        <f t="shared" si="17"/>
        <v>-3.9664987325522816E-3</v>
      </c>
      <c r="R276" s="3">
        <f t="shared" si="18"/>
        <v>2.6199999999999999E-3</v>
      </c>
      <c r="S276">
        <f t="shared" si="19"/>
        <v>7</v>
      </c>
      <c r="T276">
        <f>INDEX([1]IDEN_level_ids!$B:$B,MATCH(G276,[1]IDEN_level_ids!$A:$A,0),1)</f>
        <v>1191</v>
      </c>
      <c r="U276">
        <f>INDEX([1]IDEN_level_ids!$B:$B,MATCH(H276,[1]IDEN_level_ids!$A:$A,0),1)</f>
        <v>666</v>
      </c>
    </row>
    <row r="277" spans="1:21" hidden="1" x14ac:dyDescent="0.25">
      <c r="A277">
        <v>96624.220799999996</v>
      </c>
      <c r="B277">
        <v>1034.9372000000001</v>
      </c>
      <c r="C277">
        <v>4</v>
      </c>
      <c r="D277" t="s">
        <v>196</v>
      </c>
      <c r="F277">
        <v>1969</v>
      </c>
      <c r="G277" s="1" t="s">
        <v>49</v>
      </c>
      <c r="H277" s="1" t="s">
        <v>122</v>
      </c>
      <c r="I277">
        <v>0</v>
      </c>
      <c r="J277">
        <v>96624.266300000003</v>
      </c>
      <c r="K277">
        <v>4.8999999999999998E-4</v>
      </c>
      <c r="L277">
        <v>2.6199999999999999E-3</v>
      </c>
      <c r="M277">
        <v>0.245</v>
      </c>
      <c r="N277">
        <v>2.1299999999999999E-2</v>
      </c>
      <c r="O277">
        <v>2.6800000000000001E-3</v>
      </c>
      <c r="P277" s="3">
        <f t="shared" si="16"/>
        <v>1034.9371945465666</v>
      </c>
      <c r="Q277" s="3">
        <f t="shared" si="17"/>
        <v>4.8734799406702223E-4</v>
      </c>
      <c r="R277" s="3">
        <f t="shared" si="18"/>
        <v>2.6199999999999999E-3</v>
      </c>
      <c r="S277">
        <f t="shared" si="19"/>
        <v>7</v>
      </c>
      <c r="T277">
        <f>INDEX([1]IDEN_level_ids!$B:$B,MATCH(G277,[1]IDEN_level_ids!$A:$A,0),1)</f>
        <v>1214</v>
      </c>
      <c r="U277">
        <f>INDEX([1]IDEN_level_ids!$B:$B,MATCH(H277,[1]IDEN_level_ids!$A:$A,0),1)</f>
        <v>750</v>
      </c>
    </row>
    <row r="278" spans="1:21" hidden="1" x14ac:dyDescent="0.25">
      <c r="A278">
        <v>96607.998200000002</v>
      </c>
      <c r="B278">
        <v>1035.1110000000001</v>
      </c>
      <c r="C278">
        <v>4</v>
      </c>
      <c r="D278" t="s">
        <v>196</v>
      </c>
      <c r="F278">
        <v>1969</v>
      </c>
      <c r="G278" s="1" t="s">
        <v>46</v>
      </c>
      <c r="H278" s="1" t="s">
        <v>103</v>
      </c>
      <c r="I278">
        <v>0</v>
      </c>
      <c r="J278">
        <v>96608.333499999993</v>
      </c>
      <c r="K278">
        <v>3.5899999999999999E-3</v>
      </c>
      <c r="L278">
        <v>2.6199999999999999E-3</v>
      </c>
      <c r="M278">
        <v>0.245</v>
      </c>
      <c r="N278">
        <v>2.5100000000000001E-2</v>
      </c>
      <c r="O278">
        <v>2.6900000000000001E-3</v>
      </c>
      <c r="P278" s="3">
        <f t="shared" si="16"/>
        <v>1035.1109831815147</v>
      </c>
      <c r="Q278" s="3">
        <f t="shared" si="17"/>
        <v>3.5925752995353832E-3</v>
      </c>
      <c r="R278" s="3">
        <f t="shared" si="18"/>
        <v>2.6199999999999999E-3</v>
      </c>
      <c r="S278">
        <f t="shared" si="19"/>
        <v>7</v>
      </c>
      <c r="T278">
        <f>INDEX([1]IDEN_level_ids!$B:$B,MATCH(G278,[1]IDEN_level_ids!$A:$A,0),1)</f>
        <v>1212</v>
      </c>
      <c r="U278">
        <f>INDEX([1]IDEN_level_ids!$B:$B,MATCH(H278,[1]IDEN_level_ids!$A:$A,0),1)</f>
        <v>745</v>
      </c>
    </row>
    <row r="279" spans="1:21" hidden="1" x14ac:dyDescent="0.25">
      <c r="A279">
        <v>96594.0959</v>
      </c>
      <c r="B279">
        <v>1035.26</v>
      </c>
      <c r="C279">
        <v>4</v>
      </c>
      <c r="D279" t="s">
        <v>196</v>
      </c>
      <c r="F279">
        <v>1969</v>
      </c>
      <c r="G279" s="1" t="s">
        <v>83</v>
      </c>
      <c r="H279" s="1" t="s">
        <v>139</v>
      </c>
      <c r="I279">
        <v>0</v>
      </c>
      <c r="J279">
        <v>96594.565499999997</v>
      </c>
      <c r="K279">
        <v>5.0299999999999997E-3</v>
      </c>
      <c r="L279">
        <v>2.63E-3</v>
      </c>
      <c r="M279">
        <v>0.245</v>
      </c>
      <c r="N279">
        <v>0.1111</v>
      </c>
      <c r="O279">
        <v>2.9499999999999999E-3</v>
      </c>
      <c r="P279" s="3">
        <f t="shared" si="16"/>
        <v>1035.2599614734838</v>
      </c>
      <c r="Q279" s="3">
        <f t="shared" si="17"/>
        <v>5.0329754617450817E-3</v>
      </c>
      <c r="R279" s="3">
        <f t="shared" si="18"/>
        <v>2.63E-3</v>
      </c>
      <c r="S279">
        <f t="shared" si="19"/>
        <v>7</v>
      </c>
      <c r="T279">
        <f>INDEX([1]IDEN_level_ids!$B:$B,MATCH(G279,[1]IDEN_level_ids!$A:$A,0),1)</f>
        <v>1175</v>
      </c>
      <c r="U279">
        <f>INDEX([1]IDEN_level_ids!$B:$B,MATCH(H279,[1]IDEN_level_ids!$A:$A,0),1)</f>
        <v>642</v>
      </c>
    </row>
    <row r="280" spans="1:21" hidden="1" x14ac:dyDescent="0.25">
      <c r="A280">
        <v>96589.221799999999</v>
      </c>
      <c r="B280">
        <v>1035.3122000000001</v>
      </c>
      <c r="C280">
        <v>4</v>
      </c>
      <c r="D280" t="s">
        <v>196</v>
      </c>
      <c r="F280">
        <v>1969</v>
      </c>
      <c r="G280" s="1" t="s">
        <v>59</v>
      </c>
      <c r="H280" s="1" t="s">
        <v>211</v>
      </c>
      <c r="I280">
        <v>0</v>
      </c>
      <c r="J280">
        <v>96589.235000000001</v>
      </c>
      <c r="K280">
        <v>1.3999999999999999E-4</v>
      </c>
      <c r="L280">
        <v>2.63E-3</v>
      </c>
      <c r="M280">
        <v>0.245</v>
      </c>
      <c r="N280">
        <v>3.8100000000000002E-2</v>
      </c>
      <c r="O280">
        <v>2.7299999999999998E-3</v>
      </c>
      <c r="P280" s="3">
        <f t="shared" si="16"/>
        <v>1035.3122029191045</v>
      </c>
      <c r="Q280" s="3">
        <f t="shared" si="17"/>
        <v>1.4148699983707047E-4</v>
      </c>
      <c r="R280" s="3">
        <f t="shared" si="18"/>
        <v>2.63E-3</v>
      </c>
      <c r="S280">
        <f t="shared" si="19"/>
        <v>7</v>
      </c>
      <c r="T280">
        <f>INDEX([1]IDEN_level_ids!$B:$B,MATCH(G280,[1]IDEN_level_ids!$A:$A,0),1)</f>
        <v>1211</v>
      </c>
      <c r="U280">
        <f>INDEX([1]IDEN_level_ids!$B:$B,MATCH(H280,[1]IDEN_level_ids!$A:$A,0),1)</f>
        <v>744</v>
      </c>
    </row>
    <row r="281" spans="1:21" hidden="1" x14ac:dyDescent="0.25">
      <c r="A281">
        <v>96566.683199999999</v>
      </c>
      <c r="B281">
        <v>1035.5537999999999</v>
      </c>
      <c r="C281">
        <v>4</v>
      </c>
      <c r="D281" t="s">
        <v>196</v>
      </c>
      <c r="F281">
        <v>1969</v>
      </c>
      <c r="G281" s="1" t="s">
        <v>182</v>
      </c>
      <c r="H281" s="1" t="s">
        <v>219</v>
      </c>
      <c r="I281">
        <v>0</v>
      </c>
      <c r="J281">
        <v>96566.916599999997</v>
      </c>
      <c r="K281">
        <v>2.5000000000000001E-3</v>
      </c>
      <c r="L281">
        <v>2.63E-3</v>
      </c>
      <c r="M281">
        <v>0.245</v>
      </c>
      <c r="N281">
        <v>0.2069</v>
      </c>
      <c r="O281">
        <v>3.31E-3</v>
      </c>
      <c r="P281" s="3">
        <f t="shared" si="16"/>
        <v>1035.553844102621</v>
      </c>
      <c r="Q281" s="3">
        <f t="shared" si="17"/>
        <v>2.5029096477737767E-3</v>
      </c>
      <c r="R281" s="3">
        <f t="shared" si="18"/>
        <v>2.63E-3</v>
      </c>
      <c r="S281">
        <f t="shared" si="19"/>
        <v>7</v>
      </c>
      <c r="T281">
        <f>INDEX([1]IDEN_level_ids!$B:$B,MATCH(G281,[1]IDEN_level_ids!$A:$A,0),1)</f>
        <v>1210</v>
      </c>
      <c r="U281">
        <f>INDEX([1]IDEN_level_ids!$B:$B,MATCH(H281,[1]IDEN_level_ids!$A:$A,0),1)</f>
        <v>738</v>
      </c>
    </row>
    <row r="282" spans="1:21" hidden="1" x14ac:dyDescent="0.25">
      <c r="A282">
        <v>96511.015899999999</v>
      </c>
      <c r="B282">
        <v>1036.1511</v>
      </c>
      <c r="C282">
        <v>4</v>
      </c>
      <c r="D282" t="s">
        <v>196</v>
      </c>
      <c r="E282" t="s">
        <v>52</v>
      </c>
      <c r="F282">
        <v>1969</v>
      </c>
      <c r="G282" s="1" t="s">
        <v>220</v>
      </c>
      <c r="H282" s="1" t="s">
        <v>221</v>
      </c>
      <c r="I282">
        <v>0</v>
      </c>
      <c r="J282">
        <v>96511.282399999996</v>
      </c>
      <c r="K282">
        <v>2.8600000000000001E-3</v>
      </c>
      <c r="L282">
        <v>2.96E-3</v>
      </c>
      <c r="M282">
        <v>0.27600000000000002</v>
      </c>
      <c r="N282">
        <v>0.2152</v>
      </c>
      <c r="O282">
        <v>3.7799999999999999E-3</v>
      </c>
      <c r="P282" s="3">
        <f t="shared" si="16"/>
        <v>1036.151148834814</v>
      </c>
      <c r="Q282" s="3">
        <f t="shared" si="17"/>
        <v>2.8611606257982203E-3</v>
      </c>
      <c r="R282" s="3">
        <f t="shared" si="18"/>
        <v>2.96E-3</v>
      </c>
      <c r="S282">
        <f t="shared" si="19"/>
        <v>7</v>
      </c>
      <c r="T282">
        <f>INDEX([1]IDEN_level_ids!$B:$B,MATCH(G282,[1]IDEN_level_ids!$A:$A,0),1)</f>
        <v>1142</v>
      </c>
      <c r="U282">
        <f>INDEX([1]IDEN_level_ids!$B:$B,MATCH(H282,[1]IDEN_level_ids!$A:$A,0),1)</f>
        <v>534</v>
      </c>
    </row>
    <row r="283" spans="1:21" hidden="1" x14ac:dyDescent="0.25">
      <c r="A283">
        <v>96508.893299999996</v>
      </c>
      <c r="B283">
        <v>1036.1739</v>
      </c>
      <c r="C283">
        <v>4</v>
      </c>
      <c r="D283" t="s">
        <v>196</v>
      </c>
      <c r="E283" t="s">
        <v>52</v>
      </c>
      <c r="F283">
        <v>1969</v>
      </c>
      <c r="G283" s="1" t="s">
        <v>138</v>
      </c>
      <c r="H283" s="1" t="s">
        <v>111</v>
      </c>
      <c r="I283">
        <v>0</v>
      </c>
      <c r="J283">
        <v>96508.842999999993</v>
      </c>
      <c r="K283">
        <v>-5.4000000000000001E-4</v>
      </c>
      <c r="L283">
        <v>2.96E-3</v>
      </c>
      <c r="M283">
        <v>0.27600000000000002</v>
      </c>
      <c r="N283">
        <v>0.45700000000000002</v>
      </c>
      <c r="O283">
        <v>5.4599999999999996E-3</v>
      </c>
      <c r="P283" s="3">
        <f t="shared" si="16"/>
        <v>1036.1739377649667</v>
      </c>
      <c r="Q283" s="3">
        <f t="shared" si="17"/>
        <v>-5.4004946537133947E-4</v>
      </c>
      <c r="R283" s="3">
        <f t="shared" si="18"/>
        <v>2.96E-3</v>
      </c>
      <c r="S283">
        <f t="shared" si="19"/>
        <v>7</v>
      </c>
      <c r="T283">
        <f>INDEX([1]IDEN_level_ids!$B:$B,MATCH(G283,[1]IDEN_level_ids!$A:$A,0),1)</f>
        <v>1126</v>
      </c>
      <c r="U283">
        <f>INDEX([1]IDEN_level_ids!$B:$B,MATCH(H283,[1]IDEN_level_ids!$A:$A,0),1)</f>
        <v>473</v>
      </c>
    </row>
    <row r="284" spans="1:21" hidden="1" x14ac:dyDescent="0.25">
      <c r="A284">
        <v>96467.092499999999</v>
      </c>
      <c r="B284">
        <v>1036.6229000000001</v>
      </c>
      <c r="C284">
        <v>4</v>
      </c>
      <c r="D284" t="s">
        <v>196</v>
      </c>
      <c r="F284">
        <v>1969</v>
      </c>
      <c r="G284" s="1" t="s">
        <v>55</v>
      </c>
      <c r="H284" s="1" t="s">
        <v>152</v>
      </c>
      <c r="I284">
        <v>0</v>
      </c>
      <c r="J284">
        <v>96467.534400000004</v>
      </c>
      <c r="K284">
        <v>4.7499999999999999E-3</v>
      </c>
      <c r="L284">
        <v>2.63E-3</v>
      </c>
      <c r="M284">
        <v>0.245</v>
      </c>
      <c r="N284">
        <v>1.46E-2</v>
      </c>
      <c r="O284">
        <v>2.6700000000000001E-3</v>
      </c>
      <c r="P284" s="3">
        <f t="shared" si="16"/>
        <v>1036.6229292128817</v>
      </c>
      <c r="Q284" s="3">
        <f t="shared" si="17"/>
        <v>4.7485786310517142E-3</v>
      </c>
      <c r="R284" s="3">
        <f t="shared" si="18"/>
        <v>2.63E-3</v>
      </c>
      <c r="S284">
        <f t="shared" si="19"/>
        <v>7</v>
      </c>
      <c r="T284">
        <f>INDEX([1]IDEN_level_ids!$B:$B,MATCH(G284,[1]IDEN_level_ids!$A:$A,0),1)</f>
        <v>1233</v>
      </c>
      <c r="U284">
        <f>INDEX([1]IDEN_level_ids!$B:$B,MATCH(H284,[1]IDEN_level_ids!$A:$A,0),1)</f>
        <v>793</v>
      </c>
    </row>
    <row r="285" spans="1:21" hidden="1" x14ac:dyDescent="0.25">
      <c r="A285">
        <v>96448.487999999998</v>
      </c>
      <c r="B285">
        <v>1036.8228999999999</v>
      </c>
      <c r="C285">
        <v>4</v>
      </c>
      <c r="D285" t="s">
        <v>196</v>
      </c>
      <c r="F285">
        <v>1969</v>
      </c>
      <c r="G285" s="1" t="s">
        <v>118</v>
      </c>
      <c r="H285" s="1" t="s">
        <v>222</v>
      </c>
      <c r="I285">
        <v>0</v>
      </c>
      <c r="J285">
        <v>96448.761299999998</v>
      </c>
      <c r="K285">
        <v>2.9399999999999999E-3</v>
      </c>
      <c r="L285">
        <v>2.63E-3</v>
      </c>
      <c r="M285">
        <v>0.245</v>
      </c>
      <c r="N285">
        <v>3.7499999999999999E-2</v>
      </c>
      <c r="O285">
        <v>2.7399999999999998E-3</v>
      </c>
      <c r="P285" s="3">
        <f t="shared" si="16"/>
        <v>1036.8228893334233</v>
      </c>
      <c r="Q285" s="3">
        <f t="shared" si="17"/>
        <v>2.9379713314483524E-3</v>
      </c>
      <c r="R285" s="3">
        <f t="shared" si="18"/>
        <v>2.63E-3</v>
      </c>
      <c r="S285">
        <f t="shared" si="19"/>
        <v>7</v>
      </c>
      <c r="T285">
        <f>INDEX([1]IDEN_level_ids!$B:$B,MATCH(G285,[1]IDEN_level_ids!$A:$A,0),1)</f>
        <v>1237</v>
      </c>
      <c r="U285">
        <f>INDEX([1]IDEN_level_ids!$B:$B,MATCH(H285,[1]IDEN_level_ids!$A:$A,0),1)</f>
        <v>800</v>
      </c>
    </row>
    <row r="286" spans="1:21" hidden="1" x14ac:dyDescent="0.25">
      <c r="A286">
        <v>96410.424799999993</v>
      </c>
      <c r="B286">
        <v>1037.2321999999999</v>
      </c>
      <c r="C286">
        <v>4</v>
      </c>
      <c r="D286" t="s">
        <v>196</v>
      </c>
      <c r="F286">
        <v>1969</v>
      </c>
      <c r="G286" s="1" t="s">
        <v>223</v>
      </c>
      <c r="H286" s="1" t="s">
        <v>224</v>
      </c>
      <c r="I286">
        <v>0</v>
      </c>
      <c r="J286">
        <v>96410.663499999995</v>
      </c>
      <c r="K286">
        <v>2.5699999999999998E-3</v>
      </c>
      <c r="L286">
        <v>2.64E-3</v>
      </c>
      <c r="M286">
        <v>0.245</v>
      </c>
      <c r="N286">
        <v>0.3387</v>
      </c>
      <c r="O286">
        <v>3.9899999999999996E-3</v>
      </c>
      <c r="P286" s="3">
        <f t="shared" si="16"/>
        <v>1037.2322309277909</v>
      </c>
      <c r="Q286" s="3">
        <f t="shared" si="17"/>
        <v>2.5680492649371445E-3</v>
      </c>
      <c r="R286" s="3">
        <f t="shared" si="18"/>
        <v>2.64E-3</v>
      </c>
      <c r="S286">
        <f t="shared" si="19"/>
        <v>7</v>
      </c>
      <c r="T286">
        <f>INDEX([1]IDEN_level_ids!$B:$B,MATCH(G286,[1]IDEN_level_ids!$A:$A,0),1)</f>
        <v>1144</v>
      </c>
      <c r="U286">
        <f>INDEX([1]IDEN_level_ids!$B:$B,MATCH(H286,[1]IDEN_level_ids!$A:$A,0),1)</f>
        <v>546</v>
      </c>
    </row>
    <row r="287" spans="1:21" hidden="1" x14ac:dyDescent="0.25">
      <c r="A287">
        <v>96395.779800000004</v>
      </c>
      <c r="B287">
        <v>1037.3897999999999</v>
      </c>
      <c r="C287">
        <v>4</v>
      </c>
      <c r="D287" t="s">
        <v>196</v>
      </c>
      <c r="F287">
        <v>1969</v>
      </c>
      <c r="G287" s="1" t="s">
        <v>138</v>
      </c>
      <c r="H287" s="1" t="s">
        <v>225</v>
      </c>
      <c r="I287">
        <v>0</v>
      </c>
      <c r="J287">
        <v>96395.651100000003</v>
      </c>
      <c r="K287">
        <v>-1.39E-3</v>
      </c>
      <c r="L287">
        <v>2.64E-3</v>
      </c>
      <c r="M287">
        <v>0.245</v>
      </c>
      <c r="N287">
        <v>0.50209999999999999</v>
      </c>
      <c r="O287">
        <v>5.3E-3</v>
      </c>
      <c r="P287" s="3">
        <f t="shared" si="16"/>
        <v>1037.3898132001002</v>
      </c>
      <c r="Q287" s="3">
        <f t="shared" si="17"/>
        <v>-1.3850424520569504E-3</v>
      </c>
      <c r="R287" s="3">
        <f t="shared" si="18"/>
        <v>2.64E-3</v>
      </c>
      <c r="S287">
        <f t="shared" si="19"/>
        <v>7</v>
      </c>
      <c r="T287">
        <f>INDEX([1]IDEN_level_ids!$B:$B,MATCH(G287,[1]IDEN_level_ids!$A:$A,0),1)</f>
        <v>1126</v>
      </c>
      <c r="U287">
        <f>INDEX([1]IDEN_level_ids!$B:$B,MATCH(H287,[1]IDEN_level_ids!$A:$A,0),1)</f>
        <v>480</v>
      </c>
    </row>
    <row r="288" spans="1:21" hidden="1" x14ac:dyDescent="0.25">
      <c r="A288">
        <v>96387.496299999999</v>
      </c>
      <c r="B288">
        <v>1037.479</v>
      </c>
      <c r="C288">
        <v>4</v>
      </c>
      <c r="D288" t="s">
        <v>196</v>
      </c>
      <c r="F288">
        <v>1969</v>
      </c>
      <c r="G288" s="1" t="s">
        <v>81</v>
      </c>
      <c r="H288" s="1" t="s">
        <v>132</v>
      </c>
      <c r="I288">
        <v>0</v>
      </c>
      <c r="J288">
        <v>96387.940199999997</v>
      </c>
      <c r="K288">
        <v>4.7800000000000004E-3</v>
      </c>
      <c r="L288">
        <v>2.64E-3</v>
      </c>
      <c r="M288">
        <v>0.245</v>
      </c>
      <c r="N288">
        <v>0.09</v>
      </c>
      <c r="O288">
        <v>2.8999999999999998E-3</v>
      </c>
      <c r="P288" s="3">
        <f t="shared" si="16"/>
        <v>1037.4789660347262</v>
      </c>
      <c r="Q288" s="3">
        <f t="shared" si="17"/>
        <v>4.7779515991805965E-3</v>
      </c>
      <c r="R288" s="3">
        <f t="shared" si="18"/>
        <v>2.64E-3</v>
      </c>
      <c r="S288">
        <f t="shared" si="19"/>
        <v>7</v>
      </c>
      <c r="T288">
        <f>INDEX([1]IDEN_level_ids!$B:$B,MATCH(G288,[1]IDEN_level_ids!$A:$A,0),1)</f>
        <v>1196</v>
      </c>
      <c r="U288">
        <f>INDEX([1]IDEN_level_ids!$B:$B,MATCH(H288,[1]IDEN_level_ids!$A:$A,0),1)</f>
        <v>696</v>
      </c>
    </row>
    <row r="289" spans="1:21" hidden="1" x14ac:dyDescent="0.25">
      <c r="A289">
        <v>96363.419699999999</v>
      </c>
      <c r="B289">
        <v>1037.7382</v>
      </c>
      <c r="C289">
        <v>4</v>
      </c>
      <c r="D289" t="s">
        <v>196</v>
      </c>
      <c r="E289" t="s">
        <v>52</v>
      </c>
      <c r="F289">
        <v>1969</v>
      </c>
      <c r="G289" s="1" t="s">
        <v>41</v>
      </c>
      <c r="H289" s="1" t="s">
        <v>226</v>
      </c>
      <c r="I289">
        <v>0</v>
      </c>
      <c r="J289">
        <v>96363.664099999995</v>
      </c>
      <c r="K289">
        <v>2.63E-3</v>
      </c>
      <c r="L289">
        <v>2.97E-3</v>
      </c>
      <c r="M289">
        <v>0.27600000000000002</v>
      </c>
      <c r="N289">
        <v>2.8500000000000001E-2</v>
      </c>
      <c r="O289">
        <v>3.0599999999999998E-3</v>
      </c>
      <c r="P289" s="3">
        <f t="shared" si="16"/>
        <v>1037.7381823032169</v>
      </c>
      <c r="Q289" s="3">
        <f t="shared" si="17"/>
        <v>2.6319382322981255E-3</v>
      </c>
      <c r="R289" s="3">
        <f t="shared" si="18"/>
        <v>2.97E-3</v>
      </c>
      <c r="S289">
        <f t="shared" si="19"/>
        <v>7</v>
      </c>
      <c r="T289">
        <f>INDEX([1]IDEN_level_ids!$B:$B,MATCH(G289,[1]IDEN_level_ids!$A:$A,0),1)</f>
        <v>1238</v>
      </c>
      <c r="U289">
        <f>INDEX([1]IDEN_level_ids!$B:$B,MATCH(H289,[1]IDEN_level_ids!$A:$A,0),1)</f>
        <v>811</v>
      </c>
    </row>
    <row r="290" spans="1:21" hidden="1" x14ac:dyDescent="0.25">
      <c r="A290">
        <v>96351.912599999996</v>
      </c>
      <c r="B290">
        <v>1037.8621000000001</v>
      </c>
      <c r="C290">
        <v>4</v>
      </c>
      <c r="D290" t="s">
        <v>196</v>
      </c>
      <c r="F290">
        <v>1969</v>
      </c>
      <c r="G290" s="1" t="s">
        <v>38</v>
      </c>
      <c r="H290" s="1" t="s">
        <v>145</v>
      </c>
      <c r="I290">
        <v>0</v>
      </c>
      <c r="J290">
        <v>96352.391900000002</v>
      </c>
      <c r="K290">
        <v>5.1599999999999997E-3</v>
      </c>
      <c r="L290">
        <v>2.64E-3</v>
      </c>
      <c r="M290">
        <v>0.245</v>
      </c>
      <c r="N290">
        <v>0.1231</v>
      </c>
      <c r="O290">
        <v>3.0100000000000001E-3</v>
      </c>
      <c r="P290" s="3">
        <f t="shared" si="16"/>
        <v>1037.8621171241805</v>
      </c>
      <c r="Q290" s="3">
        <f t="shared" si="17"/>
        <v>5.1627915295284765E-3</v>
      </c>
      <c r="R290" s="3">
        <f t="shared" si="18"/>
        <v>2.64E-3</v>
      </c>
      <c r="S290">
        <f t="shared" si="19"/>
        <v>7</v>
      </c>
      <c r="T290">
        <f>INDEX([1]IDEN_level_ids!$B:$B,MATCH(G290,[1]IDEN_level_ids!$A:$A,0),1)</f>
        <v>1201</v>
      </c>
      <c r="U290">
        <f>INDEX([1]IDEN_level_ids!$B:$B,MATCH(H290,[1]IDEN_level_ids!$A:$A,0),1)</f>
        <v>720</v>
      </c>
    </row>
    <row r="291" spans="1:21" hidden="1" x14ac:dyDescent="0.25">
      <c r="A291">
        <v>96332.993799999997</v>
      </c>
      <c r="B291">
        <v>1038.0659000000001</v>
      </c>
      <c r="C291">
        <v>4</v>
      </c>
      <c r="D291" t="s">
        <v>196</v>
      </c>
      <c r="F291">
        <v>1969</v>
      </c>
      <c r="G291" s="1" t="s">
        <v>82</v>
      </c>
      <c r="H291" s="1" t="s">
        <v>227</v>
      </c>
      <c r="I291">
        <v>0</v>
      </c>
      <c r="J291">
        <v>96332.986699999994</v>
      </c>
      <c r="K291">
        <v>-8.0000000000000007E-5</v>
      </c>
      <c r="L291">
        <v>2.64E-3</v>
      </c>
      <c r="M291">
        <v>0.245</v>
      </c>
      <c r="N291">
        <v>2.8000000000000001E-2</v>
      </c>
      <c r="O291">
        <v>2.7200000000000002E-3</v>
      </c>
      <c r="P291" s="3">
        <f t="shared" si="16"/>
        <v>1038.0659424704811</v>
      </c>
      <c r="Q291" s="3">
        <f t="shared" si="17"/>
        <v>-7.6508249549078755E-5</v>
      </c>
      <c r="R291" s="3">
        <f t="shared" si="18"/>
        <v>2.64E-3</v>
      </c>
      <c r="S291">
        <f t="shared" si="19"/>
        <v>7</v>
      </c>
      <c r="T291">
        <f>INDEX([1]IDEN_level_ids!$B:$B,MATCH(G291,[1]IDEN_level_ids!$A:$A,0),1)</f>
        <v>1193</v>
      </c>
      <c r="U291">
        <f>INDEX([1]IDEN_level_ids!$B:$B,MATCH(H291,[1]IDEN_level_ids!$A:$A,0),1)</f>
        <v>680</v>
      </c>
    </row>
    <row r="292" spans="1:21" hidden="1" x14ac:dyDescent="0.25">
      <c r="A292">
        <v>96321.828899999993</v>
      </c>
      <c r="B292">
        <v>1038.1863000000001</v>
      </c>
      <c r="C292">
        <v>4</v>
      </c>
      <c r="D292" t="s">
        <v>196</v>
      </c>
      <c r="F292">
        <v>1969</v>
      </c>
      <c r="G292" s="1" t="s">
        <v>41</v>
      </c>
      <c r="H292" s="1" t="s">
        <v>184</v>
      </c>
      <c r="I292">
        <v>0</v>
      </c>
      <c r="J292">
        <v>96322.311000000002</v>
      </c>
      <c r="K292">
        <v>5.1999999999999998E-3</v>
      </c>
      <c r="L292">
        <v>2.64E-3</v>
      </c>
      <c r="M292">
        <v>0.245</v>
      </c>
      <c r="N292">
        <v>3.3000000000000002E-2</v>
      </c>
      <c r="O292">
        <v>2.7299999999999998E-3</v>
      </c>
      <c r="P292" s="3">
        <f t="shared" si="16"/>
        <v>1038.1862672460115</v>
      </c>
      <c r="Q292" s="3">
        <f t="shared" si="17"/>
        <v>5.1961959202344588E-3</v>
      </c>
      <c r="R292" s="3">
        <f t="shared" si="18"/>
        <v>2.64E-3</v>
      </c>
      <c r="S292">
        <f t="shared" si="19"/>
        <v>7</v>
      </c>
      <c r="T292">
        <f>INDEX([1]IDEN_level_ids!$B:$B,MATCH(G292,[1]IDEN_level_ids!$A:$A,0),1)</f>
        <v>1238</v>
      </c>
      <c r="U292">
        <f>INDEX([1]IDEN_level_ids!$B:$B,MATCH(H292,[1]IDEN_level_ids!$A:$A,0),1)</f>
        <v>810</v>
      </c>
    </row>
    <row r="293" spans="1:21" hidden="1" x14ac:dyDescent="0.25">
      <c r="A293">
        <v>96311.914699999994</v>
      </c>
      <c r="B293">
        <v>1038.2931000000001</v>
      </c>
      <c r="C293">
        <v>4</v>
      </c>
      <c r="D293" t="s">
        <v>196</v>
      </c>
      <c r="F293">
        <v>1969</v>
      </c>
      <c r="G293" s="1" t="s">
        <v>51</v>
      </c>
      <c r="H293" s="1" t="s">
        <v>162</v>
      </c>
      <c r="I293">
        <v>0</v>
      </c>
      <c r="J293">
        <v>96312.216199999995</v>
      </c>
      <c r="K293">
        <v>3.2499999999999999E-3</v>
      </c>
      <c r="L293">
        <v>2.64E-3</v>
      </c>
      <c r="M293">
        <v>0.245</v>
      </c>
      <c r="N293">
        <v>1.83E-2</v>
      </c>
      <c r="O293">
        <v>2.6900000000000001E-3</v>
      </c>
      <c r="P293" s="3">
        <f t="shared" si="16"/>
        <v>1038.2931365396271</v>
      </c>
      <c r="Q293" s="3">
        <f t="shared" si="17"/>
        <v>3.2503185268524248E-3</v>
      </c>
      <c r="R293" s="3">
        <f t="shared" si="18"/>
        <v>2.64E-3</v>
      </c>
      <c r="S293">
        <f t="shared" si="19"/>
        <v>7</v>
      </c>
      <c r="T293">
        <f>INDEX([1]IDEN_level_ids!$B:$B,MATCH(G293,[1]IDEN_level_ids!$A:$A,0),1)</f>
        <v>1213</v>
      </c>
      <c r="U293">
        <f>INDEX([1]IDEN_level_ids!$B:$B,MATCH(H293,[1]IDEN_level_ids!$A:$A,0),1)</f>
        <v>754</v>
      </c>
    </row>
    <row r="294" spans="1:21" hidden="1" x14ac:dyDescent="0.25">
      <c r="A294">
        <v>96249.905899999998</v>
      </c>
      <c r="B294">
        <v>1038.9621</v>
      </c>
      <c r="C294">
        <v>4</v>
      </c>
      <c r="D294" t="s">
        <v>196</v>
      </c>
      <c r="F294">
        <v>1969</v>
      </c>
      <c r="G294" s="1" t="s">
        <v>22</v>
      </c>
      <c r="H294" s="1" t="s">
        <v>228</v>
      </c>
      <c r="I294">
        <v>0</v>
      </c>
      <c r="J294">
        <v>96250.144</v>
      </c>
      <c r="K294">
        <v>2.5699999999999998E-3</v>
      </c>
      <c r="L294">
        <v>2.64E-3</v>
      </c>
      <c r="M294">
        <v>0.245</v>
      </c>
      <c r="N294">
        <v>2.53E-2</v>
      </c>
      <c r="O294">
        <v>2.7100000000000002E-3</v>
      </c>
      <c r="P294" s="3">
        <f t="shared" si="16"/>
        <v>1038.9620547151101</v>
      </c>
      <c r="Q294" s="3">
        <f t="shared" si="17"/>
        <v>2.5701454039790406E-3</v>
      </c>
      <c r="R294" s="3">
        <f t="shared" si="18"/>
        <v>2.64E-3</v>
      </c>
      <c r="S294">
        <f t="shared" si="19"/>
        <v>7</v>
      </c>
      <c r="T294">
        <f>INDEX([1]IDEN_level_ids!$B:$B,MATCH(G294,[1]IDEN_level_ids!$A:$A,0),1)</f>
        <v>1236</v>
      </c>
      <c r="U294">
        <f>INDEX([1]IDEN_level_ids!$B:$B,MATCH(H294,[1]IDEN_level_ids!$A:$A,0),1)</f>
        <v>804</v>
      </c>
    </row>
    <row r="295" spans="1:21" hidden="1" x14ac:dyDescent="0.25">
      <c r="A295">
        <v>96231.922699999996</v>
      </c>
      <c r="B295">
        <v>1039.1561999999999</v>
      </c>
      <c r="C295">
        <v>4</v>
      </c>
      <c r="D295" t="s">
        <v>196</v>
      </c>
      <c r="E295" t="s">
        <v>52</v>
      </c>
      <c r="F295">
        <v>1969</v>
      </c>
      <c r="G295" s="1" t="s">
        <v>46</v>
      </c>
      <c r="H295" s="1" t="s">
        <v>122</v>
      </c>
      <c r="I295">
        <v>0</v>
      </c>
      <c r="J295">
        <v>96232.304999999993</v>
      </c>
      <c r="K295">
        <v>4.13E-3</v>
      </c>
      <c r="L295">
        <v>2.98E-3</v>
      </c>
      <c r="M295">
        <v>0.27600000000000002</v>
      </c>
      <c r="N295">
        <v>1.66E-2</v>
      </c>
      <c r="O295">
        <v>3.0300000000000001E-3</v>
      </c>
      <c r="P295" s="3">
        <f t="shared" si="16"/>
        <v>1039.1562092315962</v>
      </c>
      <c r="Q295" s="3">
        <f t="shared" si="17"/>
        <v>4.1282334323113901E-3</v>
      </c>
      <c r="R295" s="3">
        <f t="shared" si="18"/>
        <v>2.98E-3</v>
      </c>
      <c r="S295">
        <f t="shared" si="19"/>
        <v>7</v>
      </c>
      <c r="T295">
        <f>INDEX([1]IDEN_level_ids!$B:$B,MATCH(G295,[1]IDEN_level_ids!$A:$A,0),1)</f>
        <v>1212</v>
      </c>
      <c r="U295">
        <f>INDEX([1]IDEN_level_ids!$B:$B,MATCH(H295,[1]IDEN_level_ids!$A:$A,0),1)</f>
        <v>750</v>
      </c>
    </row>
    <row r="296" spans="1:21" hidden="1" x14ac:dyDescent="0.25">
      <c r="A296">
        <v>96211.201499999996</v>
      </c>
      <c r="B296">
        <v>1039.3800000000001</v>
      </c>
      <c r="C296">
        <v>4</v>
      </c>
      <c r="D296" t="s">
        <v>196</v>
      </c>
      <c r="F296">
        <v>1969</v>
      </c>
      <c r="G296" s="1" t="s">
        <v>187</v>
      </c>
      <c r="H296" s="1" t="s">
        <v>229</v>
      </c>
      <c r="I296">
        <v>0</v>
      </c>
      <c r="J296">
        <v>96211.070099999997</v>
      </c>
      <c r="K296">
        <v>-1.42E-3</v>
      </c>
      <c r="L296">
        <v>2.65E-3</v>
      </c>
      <c r="M296">
        <v>0.245</v>
      </c>
      <c r="N296">
        <v>0.33739999999999998</v>
      </c>
      <c r="O296">
        <v>3.9899999999999996E-3</v>
      </c>
      <c r="P296" s="3">
        <f t="shared" si="16"/>
        <v>1039.3800143946858</v>
      </c>
      <c r="Q296" s="3">
        <f t="shared" si="17"/>
        <v>-1.4195303485848854E-3</v>
      </c>
      <c r="R296" s="3">
        <f t="shared" si="18"/>
        <v>2.65E-3</v>
      </c>
      <c r="S296">
        <f t="shared" si="19"/>
        <v>7</v>
      </c>
      <c r="T296">
        <f>INDEX([1]IDEN_level_ids!$B:$B,MATCH(G296,[1]IDEN_level_ids!$A:$A,0),1)</f>
        <v>1204</v>
      </c>
      <c r="U296">
        <f>INDEX([1]IDEN_level_ids!$B:$B,MATCH(H296,[1]IDEN_level_ids!$A:$A,0),1)</f>
        <v>733</v>
      </c>
    </row>
    <row r="297" spans="1:21" hidden="1" x14ac:dyDescent="0.25">
      <c r="A297">
        <v>96174.386899999998</v>
      </c>
      <c r="B297">
        <v>1039.7779</v>
      </c>
      <c r="C297">
        <v>4</v>
      </c>
      <c r="D297" t="s">
        <v>196</v>
      </c>
      <c r="F297">
        <v>1969</v>
      </c>
      <c r="G297" s="1" t="s">
        <v>193</v>
      </c>
      <c r="H297" s="1" t="s">
        <v>146</v>
      </c>
      <c r="I297">
        <v>0</v>
      </c>
      <c r="J297">
        <v>96174.389200000005</v>
      </c>
      <c r="K297">
        <v>2.0000000000000002E-5</v>
      </c>
      <c r="L297">
        <v>2.65E-3</v>
      </c>
      <c r="M297">
        <v>0.245</v>
      </c>
      <c r="N297">
        <v>0.1731</v>
      </c>
      <c r="O297">
        <v>3.2000000000000002E-3</v>
      </c>
      <c r="P297" s="3">
        <f t="shared" si="16"/>
        <v>1039.7778787399789</v>
      </c>
      <c r="Q297" s="3">
        <f t="shared" si="17"/>
        <v>2.4866174499038607E-5</v>
      </c>
      <c r="R297" s="3">
        <f t="shared" si="18"/>
        <v>2.65E-3</v>
      </c>
      <c r="S297">
        <f t="shared" si="19"/>
        <v>7</v>
      </c>
      <c r="T297">
        <f>INDEX([1]IDEN_level_ids!$B:$B,MATCH(G297,[1]IDEN_level_ids!$A:$A,0),1)</f>
        <v>1202</v>
      </c>
      <c r="U297">
        <f>INDEX([1]IDEN_level_ids!$B:$B,MATCH(H297,[1]IDEN_level_ids!$A:$A,0),1)</f>
        <v>723</v>
      </c>
    </row>
    <row r="298" spans="1:21" hidden="1" x14ac:dyDescent="0.25">
      <c r="A298">
        <v>96159.108800000002</v>
      </c>
      <c r="B298">
        <v>1039.9431</v>
      </c>
      <c r="C298">
        <v>4</v>
      </c>
      <c r="D298" t="s">
        <v>196</v>
      </c>
      <c r="F298">
        <v>1969</v>
      </c>
      <c r="G298" s="1" t="s">
        <v>62</v>
      </c>
      <c r="H298" s="1" t="s">
        <v>168</v>
      </c>
      <c r="I298">
        <v>0</v>
      </c>
      <c r="J298">
        <v>96159.016300000003</v>
      </c>
      <c r="K298">
        <v>-1E-3</v>
      </c>
      <c r="L298">
        <v>2.65E-3</v>
      </c>
      <c r="M298">
        <v>0.245</v>
      </c>
      <c r="N298">
        <v>1.6199999999999999E-2</v>
      </c>
      <c r="O298">
        <v>2.6900000000000001E-3</v>
      </c>
      <c r="P298" s="3">
        <f t="shared" si="16"/>
        <v>1039.9430823343903</v>
      </c>
      <c r="Q298" s="3">
        <f t="shared" si="17"/>
        <v>-1.0003714558024512E-3</v>
      </c>
      <c r="R298" s="3">
        <f t="shared" si="18"/>
        <v>2.65E-3</v>
      </c>
      <c r="S298">
        <f t="shared" si="19"/>
        <v>7</v>
      </c>
      <c r="T298">
        <f>INDEX([1]IDEN_level_ids!$B:$B,MATCH(G298,[1]IDEN_level_ids!$A:$A,0),1)</f>
        <v>1203</v>
      </c>
      <c r="U298">
        <f>INDEX([1]IDEN_level_ids!$B:$B,MATCH(H298,[1]IDEN_level_ids!$A:$A,0),1)</f>
        <v>729</v>
      </c>
    </row>
    <row r="299" spans="1:21" hidden="1" x14ac:dyDescent="0.25">
      <c r="A299">
        <v>96149.116800000003</v>
      </c>
      <c r="B299">
        <v>1040.0512000000001</v>
      </c>
      <c r="C299">
        <v>4</v>
      </c>
      <c r="D299" t="s">
        <v>196</v>
      </c>
      <c r="F299">
        <v>1969</v>
      </c>
      <c r="G299" s="1" t="s">
        <v>94</v>
      </c>
      <c r="H299" s="1" t="s">
        <v>191</v>
      </c>
      <c r="I299">
        <v>0</v>
      </c>
      <c r="J299">
        <v>96149.299400000004</v>
      </c>
      <c r="K299">
        <v>1.98E-3</v>
      </c>
      <c r="L299">
        <v>2.65E-3</v>
      </c>
      <c r="M299">
        <v>0.245</v>
      </c>
      <c r="N299">
        <v>4.2099999999999999E-2</v>
      </c>
      <c r="O299">
        <v>2.7699999999999999E-3</v>
      </c>
      <c r="P299" s="3">
        <f t="shared" si="16"/>
        <v>1040.051155207283</v>
      </c>
      <c r="Q299" s="3">
        <f t="shared" si="17"/>
        <v>1.9751921449824295E-3</v>
      </c>
      <c r="R299" s="3">
        <f t="shared" si="18"/>
        <v>2.65E-3</v>
      </c>
      <c r="S299">
        <f t="shared" si="19"/>
        <v>7</v>
      </c>
      <c r="T299">
        <f>INDEX([1]IDEN_level_ids!$B:$B,MATCH(G299,[1]IDEN_level_ids!$A:$A,0),1)</f>
        <v>1207</v>
      </c>
      <c r="U299">
        <f>INDEX([1]IDEN_level_ids!$B:$B,MATCH(H299,[1]IDEN_level_ids!$A:$A,0),1)</f>
        <v>749</v>
      </c>
    </row>
    <row r="300" spans="1:21" hidden="1" x14ac:dyDescent="0.25">
      <c r="A300">
        <v>96146.281300000002</v>
      </c>
      <c r="B300">
        <v>1040.0817999999999</v>
      </c>
      <c r="C300">
        <v>4</v>
      </c>
      <c r="D300" t="s">
        <v>196</v>
      </c>
      <c r="F300">
        <v>1969</v>
      </c>
      <c r="G300" s="1" t="s">
        <v>62</v>
      </c>
      <c r="H300" s="1" t="s">
        <v>148</v>
      </c>
      <c r="I300">
        <v>0</v>
      </c>
      <c r="J300">
        <v>96146.361199999999</v>
      </c>
      <c r="K300">
        <v>8.5999999999999998E-4</v>
      </c>
      <c r="L300">
        <v>2.65E-3</v>
      </c>
      <c r="M300">
        <v>0.245</v>
      </c>
      <c r="N300">
        <v>1.44E-2</v>
      </c>
      <c r="O300">
        <v>2.6900000000000001E-3</v>
      </c>
      <c r="P300" s="3">
        <f t="shared" si="16"/>
        <v>1040.0818278969673</v>
      </c>
      <c r="Q300" s="3">
        <f t="shared" si="17"/>
        <v>8.6433367846439069E-4</v>
      </c>
      <c r="R300" s="3">
        <f t="shared" si="18"/>
        <v>2.65E-3</v>
      </c>
      <c r="S300">
        <f t="shared" si="19"/>
        <v>7</v>
      </c>
      <c r="T300">
        <f>INDEX([1]IDEN_level_ids!$B:$B,MATCH(G300,[1]IDEN_level_ids!$A:$A,0),1)</f>
        <v>1203</v>
      </c>
      <c r="U300">
        <f>INDEX([1]IDEN_level_ids!$B:$B,MATCH(H300,[1]IDEN_level_ids!$A:$A,0),1)</f>
        <v>728</v>
      </c>
    </row>
    <row r="301" spans="1:21" hidden="1" x14ac:dyDescent="0.25">
      <c r="A301">
        <v>96140.998099999997</v>
      </c>
      <c r="B301">
        <v>1040.1389999999999</v>
      </c>
      <c r="C301">
        <v>4</v>
      </c>
      <c r="D301" t="s">
        <v>196</v>
      </c>
      <c r="F301">
        <v>1969</v>
      </c>
      <c r="G301" s="1" t="s">
        <v>138</v>
      </c>
      <c r="H301" s="1" t="s">
        <v>91</v>
      </c>
      <c r="I301">
        <v>0</v>
      </c>
      <c r="J301">
        <v>96141.179099999994</v>
      </c>
      <c r="K301">
        <v>1.9599999999999999E-3</v>
      </c>
      <c r="L301">
        <v>2.65E-3</v>
      </c>
      <c r="M301">
        <v>0.245</v>
      </c>
      <c r="N301">
        <v>0.27479999999999999</v>
      </c>
      <c r="O301">
        <v>3.65E-3</v>
      </c>
      <c r="P301" s="3">
        <f t="shared" si="16"/>
        <v>1040.1389831212914</v>
      </c>
      <c r="Q301" s="3">
        <f t="shared" si="17"/>
        <v>1.9582155919124489E-3</v>
      </c>
      <c r="R301" s="3">
        <f t="shared" si="18"/>
        <v>2.65E-3</v>
      </c>
      <c r="S301">
        <f t="shared" si="19"/>
        <v>7</v>
      </c>
      <c r="T301">
        <f>INDEX([1]IDEN_level_ids!$B:$B,MATCH(G301,[1]IDEN_level_ids!$A:$A,0),1)</f>
        <v>1126</v>
      </c>
      <c r="U301">
        <f>INDEX([1]IDEN_level_ids!$B:$B,MATCH(H301,[1]IDEN_level_ids!$A:$A,0),1)</f>
        <v>485</v>
      </c>
    </row>
    <row r="302" spans="1:21" hidden="1" x14ac:dyDescent="0.25">
      <c r="A302">
        <v>96131.008100000006</v>
      </c>
      <c r="B302">
        <v>1040.2471</v>
      </c>
      <c r="C302">
        <v>4</v>
      </c>
      <c r="D302" t="s">
        <v>196</v>
      </c>
      <c r="F302">
        <v>1969</v>
      </c>
      <c r="G302" s="1" t="s">
        <v>76</v>
      </c>
      <c r="H302" s="1" t="s">
        <v>151</v>
      </c>
      <c r="I302">
        <v>0</v>
      </c>
      <c r="J302">
        <v>96131.356799999994</v>
      </c>
      <c r="K302">
        <v>3.7699999999999999E-3</v>
      </c>
      <c r="L302">
        <v>2.65E-3</v>
      </c>
      <c r="M302">
        <v>0.245</v>
      </c>
      <c r="N302">
        <v>4.1099999999999998E-2</v>
      </c>
      <c r="O302">
        <v>2.7599999999999999E-3</v>
      </c>
      <c r="P302" s="3">
        <f t="shared" si="16"/>
        <v>1040.247075074624</v>
      </c>
      <c r="Q302" s="3">
        <f t="shared" si="17"/>
        <v>3.7733177512109251E-3</v>
      </c>
      <c r="R302" s="3">
        <f t="shared" si="18"/>
        <v>2.65E-3</v>
      </c>
      <c r="S302">
        <f t="shared" si="19"/>
        <v>7</v>
      </c>
      <c r="T302">
        <f>INDEX([1]IDEN_level_ids!$B:$B,MATCH(G302,[1]IDEN_level_ids!$A:$A,0),1)</f>
        <v>1194</v>
      </c>
      <c r="U302">
        <f>INDEX([1]IDEN_level_ids!$B:$B,MATCH(H302,[1]IDEN_level_ids!$A:$A,0),1)</f>
        <v>685</v>
      </c>
    </row>
    <row r="303" spans="1:21" hidden="1" x14ac:dyDescent="0.25">
      <c r="A303">
        <v>96099.219400000002</v>
      </c>
      <c r="B303">
        <v>1040.5912000000001</v>
      </c>
      <c r="C303">
        <v>4</v>
      </c>
      <c r="D303" t="s">
        <v>196</v>
      </c>
      <c r="F303">
        <v>1969</v>
      </c>
      <c r="G303" s="1" t="s">
        <v>49</v>
      </c>
      <c r="H303" s="1" t="s">
        <v>174</v>
      </c>
      <c r="I303">
        <v>0</v>
      </c>
      <c r="J303">
        <v>96099.518400000001</v>
      </c>
      <c r="K303">
        <v>3.2399999999999998E-3</v>
      </c>
      <c r="L303">
        <v>2.65E-3</v>
      </c>
      <c r="M303">
        <v>0.245</v>
      </c>
      <c r="N303">
        <v>1.18E-2</v>
      </c>
      <c r="O303">
        <v>2.6800000000000001E-3</v>
      </c>
      <c r="P303" s="3">
        <f t="shared" si="16"/>
        <v>1040.5911788290759</v>
      </c>
      <c r="Q303" s="3">
        <f t="shared" si="17"/>
        <v>3.2376516307976999E-3</v>
      </c>
      <c r="R303" s="3">
        <f t="shared" si="18"/>
        <v>2.65E-3</v>
      </c>
      <c r="S303">
        <f t="shared" si="19"/>
        <v>7</v>
      </c>
      <c r="T303">
        <f>INDEX([1]IDEN_level_ids!$B:$B,MATCH(G303,[1]IDEN_level_ids!$A:$A,0),1)</f>
        <v>1214</v>
      </c>
      <c r="U303">
        <f>INDEX([1]IDEN_level_ids!$B:$B,MATCH(H303,[1]IDEN_level_ids!$A:$A,0),1)</f>
        <v>758</v>
      </c>
    </row>
    <row r="304" spans="1:21" hidden="1" x14ac:dyDescent="0.25">
      <c r="A304">
        <v>96094.176699999996</v>
      </c>
      <c r="B304">
        <v>1040.6458</v>
      </c>
      <c r="C304">
        <v>4</v>
      </c>
      <c r="D304" t="s">
        <v>196</v>
      </c>
      <c r="F304">
        <v>1969</v>
      </c>
      <c r="G304" s="1" t="s">
        <v>49</v>
      </c>
      <c r="H304" s="1" t="s">
        <v>130</v>
      </c>
      <c r="I304">
        <v>0</v>
      </c>
      <c r="J304">
        <v>96094.278600000005</v>
      </c>
      <c r="K304">
        <v>1.1000000000000001E-3</v>
      </c>
      <c r="L304">
        <v>2.65E-3</v>
      </c>
      <c r="M304">
        <v>0.245</v>
      </c>
      <c r="N304">
        <v>3.4799999999999998E-2</v>
      </c>
      <c r="O304">
        <v>2.7499999999999998E-3</v>
      </c>
      <c r="P304" s="3">
        <f t="shared" si="16"/>
        <v>1040.6457855629872</v>
      </c>
      <c r="Q304" s="3">
        <f t="shared" si="17"/>
        <v>1.1035184102183848E-3</v>
      </c>
      <c r="R304" s="3">
        <f t="shared" si="18"/>
        <v>2.65E-3</v>
      </c>
      <c r="S304">
        <f t="shared" si="19"/>
        <v>7</v>
      </c>
      <c r="T304">
        <f>INDEX([1]IDEN_level_ids!$B:$B,MATCH(G304,[1]IDEN_level_ids!$A:$A,0),1)</f>
        <v>1214</v>
      </c>
      <c r="U304">
        <f>INDEX([1]IDEN_level_ids!$B:$B,MATCH(H304,[1]IDEN_level_ids!$A:$A,0),1)</f>
        <v>761</v>
      </c>
    </row>
    <row r="305" spans="1:21" hidden="1" x14ac:dyDescent="0.25">
      <c r="A305">
        <v>96075.408299999996</v>
      </c>
      <c r="B305">
        <v>1040.8490999999999</v>
      </c>
      <c r="C305">
        <v>4</v>
      </c>
      <c r="D305" t="s">
        <v>196</v>
      </c>
      <c r="F305">
        <v>1969</v>
      </c>
      <c r="G305" s="1" t="s">
        <v>77</v>
      </c>
      <c r="H305" s="1" t="s">
        <v>144</v>
      </c>
      <c r="I305">
        <v>0</v>
      </c>
      <c r="J305">
        <v>96075.343399999998</v>
      </c>
      <c r="K305">
        <v>-6.9999999999999999E-4</v>
      </c>
      <c r="L305">
        <v>2.65E-3</v>
      </c>
      <c r="M305">
        <v>0.245</v>
      </c>
      <c r="N305">
        <v>0.14779999999999999</v>
      </c>
      <c r="O305">
        <v>3.1099999999999999E-3</v>
      </c>
      <c r="P305" s="3">
        <f t="shared" si="16"/>
        <v>1040.8490764644505</v>
      </c>
      <c r="Q305" s="3">
        <f t="shared" si="17"/>
        <v>-7.0310552814589755E-4</v>
      </c>
      <c r="R305" s="3">
        <f t="shared" si="18"/>
        <v>2.65E-3</v>
      </c>
      <c r="S305">
        <f t="shared" si="19"/>
        <v>7</v>
      </c>
      <c r="T305">
        <f>INDEX([1]IDEN_level_ids!$B:$B,MATCH(G305,[1]IDEN_level_ids!$A:$A,0),1)</f>
        <v>1197</v>
      </c>
      <c r="U305">
        <f>INDEX([1]IDEN_level_ids!$B:$B,MATCH(H305,[1]IDEN_level_ids!$A:$A,0),1)</f>
        <v>721</v>
      </c>
    </row>
    <row r="306" spans="1:21" hidden="1" x14ac:dyDescent="0.25">
      <c r="A306">
        <v>96048.1005</v>
      </c>
      <c r="B306">
        <v>1041.145</v>
      </c>
      <c r="C306">
        <v>4</v>
      </c>
      <c r="D306" t="s">
        <v>196</v>
      </c>
      <c r="F306">
        <v>1969</v>
      </c>
      <c r="G306" s="1" t="s">
        <v>51</v>
      </c>
      <c r="H306" s="1" t="s">
        <v>174</v>
      </c>
      <c r="I306">
        <v>0</v>
      </c>
      <c r="J306">
        <v>96048.362200000003</v>
      </c>
      <c r="K306">
        <v>2.8400000000000001E-3</v>
      </c>
      <c r="L306">
        <v>2.66E-3</v>
      </c>
      <c r="M306">
        <v>0.245</v>
      </c>
      <c r="N306">
        <v>1.23E-2</v>
      </c>
      <c r="O306">
        <v>2.6900000000000001E-3</v>
      </c>
      <c r="P306" s="3">
        <f t="shared" si="16"/>
        <v>1041.1450042158824</v>
      </c>
      <c r="Q306" s="3">
        <f t="shared" si="17"/>
        <v>2.8367755719500565E-3</v>
      </c>
      <c r="R306" s="3">
        <f t="shared" si="18"/>
        <v>2.66E-3</v>
      </c>
      <c r="S306">
        <f t="shared" si="19"/>
        <v>7</v>
      </c>
      <c r="T306">
        <f>INDEX([1]IDEN_level_ids!$B:$B,MATCH(G306,[1]IDEN_level_ids!$A:$A,0),1)</f>
        <v>1213</v>
      </c>
      <c r="U306">
        <f>INDEX([1]IDEN_level_ids!$B:$B,MATCH(H306,[1]IDEN_level_ids!$A:$A,0),1)</f>
        <v>758</v>
      </c>
    </row>
    <row r="307" spans="1:21" hidden="1" x14ac:dyDescent="0.25">
      <c r="A307">
        <v>96042.581699999995</v>
      </c>
      <c r="B307">
        <v>1041.2048</v>
      </c>
      <c r="C307">
        <v>4</v>
      </c>
      <c r="D307" t="s">
        <v>196</v>
      </c>
      <c r="F307">
        <v>1969</v>
      </c>
      <c r="G307" s="1" t="s">
        <v>51</v>
      </c>
      <c r="H307" s="1" t="s">
        <v>130</v>
      </c>
      <c r="I307">
        <v>0</v>
      </c>
      <c r="J307">
        <v>96043.122399999993</v>
      </c>
      <c r="K307">
        <v>5.8599999999999998E-3</v>
      </c>
      <c r="L307">
        <v>2.66E-3</v>
      </c>
      <c r="M307">
        <v>0.245</v>
      </c>
      <c r="N307">
        <v>3.5299999999999998E-2</v>
      </c>
      <c r="O307">
        <v>2.7499999999999998E-3</v>
      </c>
      <c r="P307" s="3">
        <f t="shared" si="16"/>
        <v>1041.204830502802</v>
      </c>
      <c r="Q307" s="3">
        <f t="shared" si="17"/>
        <v>5.8617362471977685E-3</v>
      </c>
      <c r="R307" s="3">
        <f t="shared" si="18"/>
        <v>2.66E-3</v>
      </c>
      <c r="S307">
        <f t="shared" si="19"/>
        <v>7</v>
      </c>
      <c r="T307">
        <f>INDEX([1]IDEN_level_ids!$B:$B,MATCH(G307,[1]IDEN_level_ids!$A:$A,0),1)</f>
        <v>1213</v>
      </c>
      <c r="U307">
        <f>INDEX([1]IDEN_level_ids!$B:$B,MATCH(H307,[1]IDEN_level_ids!$A:$A,0),1)</f>
        <v>761</v>
      </c>
    </row>
    <row r="308" spans="1:21" hidden="1" x14ac:dyDescent="0.25">
      <c r="A308">
        <v>96037.496199999994</v>
      </c>
      <c r="B308">
        <v>1041.26</v>
      </c>
      <c r="C308">
        <v>4</v>
      </c>
      <c r="D308" t="s">
        <v>196</v>
      </c>
      <c r="F308">
        <v>1969</v>
      </c>
      <c r="G308" s="1" t="s">
        <v>72</v>
      </c>
      <c r="H308" s="1" t="s">
        <v>157</v>
      </c>
      <c r="I308">
        <v>0</v>
      </c>
      <c r="J308">
        <v>96037.583599999998</v>
      </c>
      <c r="K308">
        <v>9.5E-4</v>
      </c>
      <c r="L308">
        <v>2.66E-3</v>
      </c>
      <c r="M308">
        <v>0.245</v>
      </c>
      <c r="N308">
        <v>1.6500000000000001E-2</v>
      </c>
      <c r="O308">
        <v>2.7000000000000001E-3</v>
      </c>
      <c r="P308" s="3">
        <f t="shared" si="16"/>
        <v>1041.2599657091018</v>
      </c>
      <c r="Q308" s="3">
        <f t="shared" si="17"/>
        <v>9.4760944193694741E-4</v>
      </c>
      <c r="R308" s="3">
        <f t="shared" si="18"/>
        <v>2.66E-3</v>
      </c>
      <c r="S308">
        <f t="shared" si="19"/>
        <v>7</v>
      </c>
      <c r="T308">
        <f>INDEX([1]IDEN_level_ids!$B:$B,MATCH(G308,[1]IDEN_level_ids!$A:$A,0),1)</f>
        <v>1225</v>
      </c>
      <c r="U308">
        <f>INDEX([1]IDEN_level_ids!$B:$B,MATCH(H308,[1]IDEN_level_ids!$A:$A,0),1)</f>
        <v>778</v>
      </c>
    </row>
    <row r="309" spans="1:21" hidden="1" x14ac:dyDescent="0.25">
      <c r="A309">
        <v>96019.122900000002</v>
      </c>
      <c r="B309">
        <v>1041.4592</v>
      </c>
      <c r="C309">
        <v>4</v>
      </c>
      <c r="D309" t="s">
        <v>196</v>
      </c>
      <c r="F309">
        <v>1969</v>
      </c>
      <c r="G309" s="1" t="s">
        <v>140</v>
      </c>
      <c r="H309" s="1" t="s">
        <v>107</v>
      </c>
      <c r="I309">
        <v>0</v>
      </c>
      <c r="J309">
        <v>96019.392500000002</v>
      </c>
      <c r="K309">
        <v>2.9199999999999999E-3</v>
      </c>
      <c r="L309">
        <v>2.66E-3</v>
      </c>
      <c r="M309">
        <v>0.245</v>
      </c>
      <c r="N309">
        <v>2.3599999999999999E-2</v>
      </c>
      <c r="O309">
        <v>2.7200000000000002E-3</v>
      </c>
      <c r="P309" s="3">
        <f t="shared" si="16"/>
        <v>1041.4592112463465</v>
      </c>
      <c r="Q309" s="3">
        <f t="shared" si="17"/>
        <v>2.9241739200642769E-3</v>
      </c>
      <c r="R309" s="3">
        <f t="shared" si="18"/>
        <v>2.66E-3</v>
      </c>
      <c r="S309">
        <f t="shared" si="19"/>
        <v>7</v>
      </c>
      <c r="T309">
        <f>INDEX([1]IDEN_level_ids!$B:$B,MATCH(G309,[1]IDEN_level_ids!$A:$A,0),1)</f>
        <v>1198</v>
      </c>
      <c r="U309">
        <f>INDEX([1]IDEN_level_ids!$B:$B,MATCH(H309,[1]IDEN_level_ids!$A:$A,0),1)</f>
        <v>714</v>
      </c>
    </row>
    <row r="310" spans="1:21" hidden="1" x14ac:dyDescent="0.25">
      <c r="A310">
        <v>96009.575599999996</v>
      </c>
      <c r="B310">
        <v>1041.5627999999999</v>
      </c>
      <c r="C310">
        <v>4</v>
      </c>
      <c r="D310" t="s">
        <v>196</v>
      </c>
      <c r="F310">
        <v>1969</v>
      </c>
      <c r="G310" s="1" t="s">
        <v>138</v>
      </c>
      <c r="H310" s="1" t="s">
        <v>80</v>
      </c>
      <c r="I310">
        <v>0</v>
      </c>
      <c r="J310">
        <v>96009.626999999993</v>
      </c>
      <c r="K310">
        <v>5.5999999999999995E-4</v>
      </c>
      <c r="L310">
        <v>2.66E-3</v>
      </c>
      <c r="M310">
        <v>0.245</v>
      </c>
      <c r="N310">
        <v>0.52410000000000001</v>
      </c>
      <c r="O310">
        <v>5.5799999999999999E-3</v>
      </c>
      <c r="P310" s="3">
        <f t="shared" si="16"/>
        <v>1041.5627751196935</v>
      </c>
      <c r="Q310" s="3">
        <f t="shared" si="17"/>
        <v>5.5761415092092648E-4</v>
      </c>
      <c r="R310" s="3">
        <f t="shared" si="18"/>
        <v>2.66E-3</v>
      </c>
      <c r="S310">
        <f t="shared" si="19"/>
        <v>7</v>
      </c>
      <c r="T310">
        <f>INDEX([1]IDEN_level_ids!$B:$B,MATCH(G310,[1]IDEN_level_ids!$A:$A,0),1)</f>
        <v>1126</v>
      </c>
      <c r="U310">
        <f>INDEX([1]IDEN_level_ids!$B:$B,MATCH(H310,[1]IDEN_level_ids!$A:$A,0),1)</f>
        <v>486</v>
      </c>
    </row>
    <row r="311" spans="1:21" hidden="1" x14ac:dyDescent="0.25">
      <c r="A311">
        <v>95993.222800000003</v>
      </c>
      <c r="B311">
        <v>1041.7402</v>
      </c>
      <c r="C311">
        <v>4</v>
      </c>
      <c r="D311" t="s">
        <v>196</v>
      </c>
      <c r="F311">
        <v>1969</v>
      </c>
      <c r="G311" s="1" t="s">
        <v>209</v>
      </c>
      <c r="H311" s="1" t="s">
        <v>103</v>
      </c>
      <c r="I311">
        <v>0</v>
      </c>
      <c r="J311">
        <v>95993.578099999999</v>
      </c>
      <c r="K311">
        <v>3.8600000000000001E-3</v>
      </c>
      <c r="L311">
        <v>2.66E-3</v>
      </c>
      <c r="M311">
        <v>0.245</v>
      </c>
      <c r="N311">
        <v>2.53E-2</v>
      </c>
      <c r="O311">
        <v>2.7299999999999998E-3</v>
      </c>
      <c r="P311" s="3">
        <f t="shared" si="16"/>
        <v>1041.740209184851</v>
      </c>
      <c r="Q311" s="3">
        <f t="shared" si="17"/>
        <v>3.8557818518256681E-3</v>
      </c>
      <c r="R311" s="3">
        <f t="shared" si="18"/>
        <v>2.66E-3</v>
      </c>
      <c r="S311">
        <f t="shared" si="19"/>
        <v>7</v>
      </c>
      <c r="T311">
        <f>INDEX([1]IDEN_level_ids!$B:$B,MATCH(G311,[1]IDEN_level_ids!$A:$A,0),1)</f>
        <v>1209</v>
      </c>
      <c r="U311">
        <f>INDEX([1]IDEN_level_ids!$B:$B,MATCH(H311,[1]IDEN_level_ids!$A:$A,0),1)</f>
        <v>745</v>
      </c>
    </row>
    <row r="312" spans="1:21" hidden="1" x14ac:dyDescent="0.25">
      <c r="A312">
        <v>95941.108200000002</v>
      </c>
      <c r="B312">
        <v>1042.3061</v>
      </c>
      <c r="C312">
        <v>4</v>
      </c>
      <c r="D312" t="s">
        <v>196</v>
      </c>
      <c r="F312">
        <v>1969</v>
      </c>
      <c r="G312" s="1" t="s">
        <v>82</v>
      </c>
      <c r="H312" s="1" t="s">
        <v>132</v>
      </c>
      <c r="I312">
        <v>0</v>
      </c>
      <c r="J312">
        <v>95941.169200000004</v>
      </c>
      <c r="K312">
        <v>6.6E-4</v>
      </c>
      <c r="L312">
        <v>2.66E-3</v>
      </c>
      <c r="M312">
        <v>0.245</v>
      </c>
      <c r="N312">
        <v>9.01E-2</v>
      </c>
      <c r="O312">
        <v>2.9299999999999999E-3</v>
      </c>
      <c r="P312" s="3">
        <f t="shared" si="16"/>
        <v>1042.3060758433057</v>
      </c>
      <c r="Q312" s="3">
        <f t="shared" si="17"/>
        <v>6.6270477168473008E-4</v>
      </c>
      <c r="R312" s="3">
        <f t="shared" si="18"/>
        <v>2.66E-3</v>
      </c>
      <c r="S312">
        <f t="shared" si="19"/>
        <v>7</v>
      </c>
      <c r="T312">
        <f>INDEX([1]IDEN_level_ids!$B:$B,MATCH(G312,[1]IDEN_level_ids!$A:$A,0),1)</f>
        <v>1193</v>
      </c>
      <c r="U312">
        <f>INDEX([1]IDEN_level_ids!$B:$B,MATCH(H312,[1]IDEN_level_ids!$A:$A,0),1)</f>
        <v>696</v>
      </c>
    </row>
    <row r="313" spans="1:21" hidden="1" x14ac:dyDescent="0.25">
      <c r="A313">
        <v>95925.292300000001</v>
      </c>
      <c r="B313">
        <v>1042.4779000000001</v>
      </c>
      <c r="C313">
        <v>4</v>
      </c>
      <c r="D313" t="s">
        <v>196</v>
      </c>
      <c r="F313">
        <v>1969</v>
      </c>
      <c r="G313" s="1" t="s">
        <v>220</v>
      </c>
      <c r="H313" s="1" t="s">
        <v>224</v>
      </c>
      <c r="I313">
        <v>0</v>
      </c>
      <c r="J313">
        <v>95925.450400000002</v>
      </c>
      <c r="K313">
        <v>1.72E-3</v>
      </c>
      <c r="L313">
        <v>2.66E-3</v>
      </c>
      <c r="M313">
        <v>0.245</v>
      </c>
      <c r="N313">
        <v>0.33689999999999998</v>
      </c>
      <c r="O313">
        <v>4.0200000000000001E-3</v>
      </c>
      <c r="P313" s="3">
        <f t="shared" si="16"/>
        <v>1042.4779284201356</v>
      </c>
      <c r="Q313" s="3">
        <f t="shared" si="17"/>
        <v>1.7181650937345694E-3</v>
      </c>
      <c r="R313" s="3">
        <f t="shared" si="18"/>
        <v>2.66E-3</v>
      </c>
      <c r="S313">
        <f t="shared" si="19"/>
        <v>7</v>
      </c>
      <c r="T313">
        <f>INDEX([1]IDEN_level_ids!$B:$B,MATCH(G313,[1]IDEN_level_ids!$A:$A,0),1)</f>
        <v>1142</v>
      </c>
      <c r="U313">
        <f>INDEX([1]IDEN_level_ids!$B:$B,MATCH(H313,[1]IDEN_level_ids!$A:$A,0),1)</f>
        <v>546</v>
      </c>
    </row>
    <row r="314" spans="1:21" hidden="1" x14ac:dyDescent="0.25">
      <c r="A314">
        <v>95909.383499999996</v>
      </c>
      <c r="B314">
        <v>1042.6507999999999</v>
      </c>
      <c r="C314">
        <v>4</v>
      </c>
      <c r="D314" t="s">
        <v>196</v>
      </c>
      <c r="F314">
        <v>1969</v>
      </c>
      <c r="G314" s="1" t="s">
        <v>49</v>
      </c>
      <c r="H314" s="1" t="s">
        <v>133</v>
      </c>
      <c r="I314">
        <v>0</v>
      </c>
      <c r="J314">
        <v>95909.779299999995</v>
      </c>
      <c r="K314">
        <v>4.3E-3</v>
      </c>
      <c r="L314">
        <v>2.66E-3</v>
      </c>
      <c r="M314">
        <v>0.245</v>
      </c>
      <c r="N314">
        <v>1.2800000000000001E-2</v>
      </c>
      <c r="O314">
        <v>2.7000000000000001E-3</v>
      </c>
      <c r="P314" s="3">
        <f t="shared" si="16"/>
        <v>1042.6508476097129</v>
      </c>
      <c r="Q314" s="3">
        <f t="shared" si="17"/>
        <v>4.3028063300880603E-3</v>
      </c>
      <c r="R314" s="3">
        <f t="shared" si="18"/>
        <v>2.66E-3</v>
      </c>
      <c r="S314">
        <f t="shared" si="19"/>
        <v>7</v>
      </c>
      <c r="T314">
        <f>INDEX([1]IDEN_level_ids!$B:$B,MATCH(G314,[1]IDEN_level_ids!$A:$A,0),1)</f>
        <v>1214</v>
      </c>
      <c r="U314">
        <f>INDEX([1]IDEN_level_ids!$B:$B,MATCH(H314,[1]IDEN_level_ids!$A:$A,0),1)</f>
        <v>765</v>
      </c>
    </row>
    <row r="315" spans="1:21" hidden="1" x14ac:dyDescent="0.25">
      <c r="A315">
        <v>95893.909899999999</v>
      </c>
      <c r="B315">
        <v>1042.8190999999999</v>
      </c>
      <c r="C315">
        <v>4</v>
      </c>
      <c r="D315" t="s">
        <v>196</v>
      </c>
      <c r="F315">
        <v>1969</v>
      </c>
      <c r="G315" s="1" t="s">
        <v>230</v>
      </c>
      <c r="H315" s="1" t="s">
        <v>231</v>
      </c>
      <c r="I315">
        <v>0</v>
      </c>
      <c r="J315">
        <v>95894.120200000005</v>
      </c>
      <c r="K315">
        <v>2.2899999999999999E-3</v>
      </c>
      <c r="L315">
        <v>2.66E-3</v>
      </c>
      <c r="M315">
        <v>0.245</v>
      </c>
      <c r="N315">
        <v>0.26240000000000002</v>
      </c>
      <c r="O315">
        <v>3.6099999999999999E-3</v>
      </c>
      <c r="P315" s="3">
        <f t="shared" si="16"/>
        <v>1042.8190914760062</v>
      </c>
      <c r="Q315" s="3">
        <f t="shared" si="17"/>
        <v>2.286947880520529E-3</v>
      </c>
      <c r="R315" s="3">
        <f t="shared" si="18"/>
        <v>2.66E-3</v>
      </c>
      <c r="S315">
        <f t="shared" si="19"/>
        <v>7</v>
      </c>
      <c r="T315">
        <f>INDEX([1]IDEN_level_ids!$B:$B,MATCH(G315,[1]IDEN_level_ids!$A:$A,0),1)</f>
        <v>1208</v>
      </c>
      <c r="U315">
        <f>INDEX([1]IDEN_level_ids!$B:$B,MATCH(H315,[1]IDEN_level_ids!$A:$A,0),1)</f>
        <v>751</v>
      </c>
    </row>
    <row r="316" spans="1:21" hidden="1" x14ac:dyDescent="0.25">
      <c r="A316">
        <v>95880.592699999994</v>
      </c>
      <c r="B316">
        <v>1042.9639</v>
      </c>
      <c r="C316">
        <v>4</v>
      </c>
      <c r="D316" t="s">
        <v>196</v>
      </c>
      <c r="F316">
        <v>1969</v>
      </c>
      <c r="G316" s="1" t="s">
        <v>20</v>
      </c>
      <c r="H316" s="1" t="s">
        <v>232</v>
      </c>
      <c r="I316">
        <v>0</v>
      </c>
      <c r="J316">
        <v>95880.921400000007</v>
      </c>
      <c r="K316">
        <v>3.5799999999999998E-3</v>
      </c>
      <c r="L316">
        <v>2.66E-3</v>
      </c>
      <c r="M316">
        <v>0.245</v>
      </c>
      <c r="N316">
        <v>5.0299999999999997E-2</v>
      </c>
      <c r="O316">
        <v>2.81E-3</v>
      </c>
      <c r="P316" s="3">
        <f t="shared" si="16"/>
        <v>1042.963932366263</v>
      </c>
      <c r="Q316" s="3">
        <f t="shared" si="17"/>
        <v>3.5755001053985325E-3</v>
      </c>
      <c r="R316" s="3">
        <f t="shared" si="18"/>
        <v>2.66E-3</v>
      </c>
      <c r="S316">
        <f t="shared" si="19"/>
        <v>7</v>
      </c>
      <c r="T316">
        <f>INDEX([1]IDEN_level_ids!$B:$B,MATCH(G316,[1]IDEN_level_ids!$A:$A,0),1)</f>
        <v>1235</v>
      </c>
      <c r="U316">
        <f>INDEX([1]IDEN_level_ids!$B:$B,MATCH(H316,[1]IDEN_level_ids!$A:$A,0),1)</f>
        <v>801</v>
      </c>
    </row>
    <row r="317" spans="1:21" hidden="1" x14ac:dyDescent="0.25">
      <c r="A317">
        <v>95867.181800000006</v>
      </c>
      <c r="B317">
        <v>1043.1098</v>
      </c>
      <c r="C317">
        <v>4</v>
      </c>
      <c r="D317" t="s">
        <v>196</v>
      </c>
      <c r="F317">
        <v>1969</v>
      </c>
      <c r="G317" s="1" t="s">
        <v>49</v>
      </c>
      <c r="H317" s="1" t="s">
        <v>233</v>
      </c>
      <c r="I317">
        <v>0</v>
      </c>
      <c r="J317">
        <v>95867.266900000002</v>
      </c>
      <c r="K317">
        <v>9.3000000000000005E-4</v>
      </c>
      <c r="L317">
        <v>2.6700000000000001E-3</v>
      </c>
      <c r="M317">
        <v>0.245</v>
      </c>
      <c r="N317">
        <v>1.15E-2</v>
      </c>
      <c r="O317">
        <v>2.7000000000000001E-3</v>
      </c>
      <c r="P317" s="3">
        <f t="shared" si="16"/>
        <v>1043.1098330252573</v>
      </c>
      <c r="Q317" s="3">
        <f t="shared" si="17"/>
        <v>9.2595366118075617E-4</v>
      </c>
      <c r="R317" s="3">
        <f t="shared" si="18"/>
        <v>2.6700000000000001E-3</v>
      </c>
      <c r="S317">
        <f t="shared" si="19"/>
        <v>7</v>
      </c>
      <c r="T317">
        <f>INDEX([1]IDEN_level_ids!$B:$B,MATCH(G317,[1]IDEN_level_ids!$A:$A,0),1)</f>
        <v>1214</v>
      </c>
      <c r="U317">
        <f>INDEX([1]IDEN_level_ids!$B:$B,MATCH(H317,[1]IDEN_level_ids!$A:$A,0),1)</f>
        <v>766</v>
      </c>
    </row>
    <row r="318" spans="1:21" hidden="1" x14ac:dyDescent="0.25">
      <c r="A318">
        <v>95856.790399999998</v>
      </c>
      <c r="B318">
        <v>1043.2229</v>
      </c>
      <c r="C318">
        <v>4</v>
      </c>
      <c r="D318" t="s">
        <v>196</v>
      </c>
      <c r="F318">
        <v>1969</v>
      </c>
      <c r="G318" s="1" t="s">
        <v>53</v>
      </c>
      <c r="H318" s="1" t="s">
        <v>152</v>
      </c>
      <c r="I318">
        <v>0</v>
      </c>
      <c r="J318">
        <v>95857.083199999994</v>
      </c>
      <c r="K318">
        <v>3.1900000000000001E-3</v>
      </c>
      <c r="L318">
        <v>2.6700000000000001E-3</v>
      </c>
      <c r="M318">
        <v>0.245</v>
      </c>
      <c r="N318">
        <v>1.6199999999999999E-2</v>
      </c>
      <c r="O318">
        <v>2.7100000000000002E-3</v>
      </c>
      <c r="P318" s="3">
        <f t="shared" si="16"/>
        <v>1043.2229118324412</v>
      </c>
      <c r="Q318" s="3">
        <f t="shared" si="17"/>
        <v>3.1865737864791299E-3</v>
      </c>
      <c r="R318" s="3">
        <f t="shared" si="18"/>
        <v>2.6700000000000001E-3</v>
      </c>
      <c r="S318">
        <f t="shared" si="19"/>
        <v>7</v>
      </c>
      <c r="T318">
        <f>INDEX([1]IDEN_level_ids!$B:$B,MATCH(G318,[1]IDEN_level_ids!$A:$A,0),1)</f>
        <v>1231</v>
      </c>
      <c r="U318">
        <f>INDEX([1]IDEN_level_ids!$B:$B,MATCH(H318,[1]IDEN_level_ids!$A:$A,0),1)</f>
        <v>793</v>
      </c>
    </row>
    <row r="319" spans="1:21" hidden="1" x14ac:dyDescent="0.25">
      <c r="A319">
        <v>95850.231899999999</v>
      </c>
      <c r="B319">
        <v>1043.2943</v>
      </c>
      <c r="C319">
        <v>4</v>
      </c>
      <c r="D319" t="s">
        <v>196</v>
      </c>
      <c r="F319">
        <v>1969</v>
      </c>
      <c r="G319" s="1" t="s">
        <v>40</v>
      </c>
      <c r="H319" s="1" t="s">
        <v>148</v>
      </c>
      <c r="I319">
        <v>0</v>
      </c>
      <c r="J319">
        <v>95849.925300000003</v>
      </c>
      <c r="K319">
        <v>-3.3400000000000001E-3</v>
      </c>
      <c r="L319">
        <v>2.6700000000000001E-3</v>
      </c>
      <c r="M319">
        <v>0.245</v>
      </c>
      <c r="N319">
        <v>1.14E-2</v>
      </c>
      <c r="O319">
        <v>2.7000000000000001E-3</v>
      </c>
      <c r="P319" s="3">
        <f t="shared" si="16"/>
        <v>1043.2942937929397</v>
      </c>
      <c r="Q319" s="3">
        <f t="shared" si="17"/>
        <v>-3.3372381822118768E-3</v>
      </c>
      <c r="R319" s="3">
        <f t="shared" si="18"/>
        <v>2.6700000000000001E-3</v>
      </c>
      <c r="S319">
        <f t="shared" si="19"/>
        <v>7</v>
      </c>
      <c r="T319">
        <f>INDEX([1]IDEN_level_ids!$B:$B,MATCH(G319,[1]IDEN_level_ids!$A:$A,0),1)</f>
        <v>1199</v>
      </c>
      <c r="U319">
        <f>INDEX([1]IDEN_level_ids!$B:$B,MATCH(H319,[1]IDEN_level_ids!$A:$A,0),1)</f>
        <v>728</v>
      </c>
    </row>
    <row r="320" spans="1:21" hidden="1" x14ac:dyDescent="0.25">
      <c r="A320">
        <v>95831.224400000006</v>
      </c>
      <c r="B320">
        <v>1043.5011999999999</v>
      </c>
      <c r="C320">
        <v>4</v>
      </c>
      <c r="D320" t="s">
        <v>196</v>
      </c>
      <c r="F320">
        <v>1969</v>
      </c>
      <c r="G320" s="1" t="s">
        <v>56</v>
      </c>
      <c r="H320" s="1" t="s">
        <v>123</v>
      </c>
      <c r="I320">
        <v>0</v>
      </c>
      <c r="J320">
        <v>95831.388099999996</v>
      </c>
      <c r="K320">
        <v>1.7799999999999999E-3</v>
      </c>
      <c r="L320">
        <v>2.6700000000000001E-3</v>
      </c>
      <c r="M320">
        <v>0.245</v>
      </c>
      <c r="N320">
        <v>1.9800000000000002E-2</v>
      </c>
      <c r="O320">
        <v>2.7200000000000002E-3</v>
      </c>
      <c r="P320" s="3">
        <f t="shared" si="16"/>
        <v>1043.5012244297277</v>
      </c>
      <c r="Q320" s="3">
        <f t="shared" si="17"/>
        <v>1.7825177515078394E-3</v>
      </c>
      <c r="R320" s="3">
        <f t="shared" si="18"/>
        <v>2.6700000000000001E-3</v>
      </c>
      <c r="S320">
        <f t="shared" si="19"/>
        <v>7</v>
      </c>
      <c r="T320">
        <f>INDEX([1]IDEN_level_ids!$B:$B,MATCH(G320,[1]IDEN_level_ids!$A:$A,0),1)</f>
        <v>1221</v>
      </c>
      <c r="U320">
        <f>INDEX([1]IDEN_level_ids!$B:$B,MATCH(H320,[1]IDEN_level_ids!$A:$A,0),1)</f>
        <v>775</v>
      </c>
    </row>
    <row r="321" spans="1:21" hidden="1" x14ac:dyDescent="0.25">
      <c r="A321">
        <v>95818.585500000001</v>
      </c>
      <c r="B321">
        <v>1043.6388999999999</v>
      </c>
      <c r="C321">
        <v>4</v>
      </c>
      <c r="D321" t="s">
        <v>196</v>
      </c>
      <c r="F321">
        <v>1969</v>
      </c>
      <c r="G321" s="1" t="s">
        <v>140</v>
      </c>
      <c r="H321" s="1" t="s">
        <v>98</v>
      </c>
      <c r="I321">
        <v>0</v>
      </c>
      <c r="J321">
        <v>95818.710699999996</v>
      </c>
      <c r="K321">
        <v>1.3600000000000001E-3</v>
      </c>
      <c r="L321">
        <v>2.6700000000000001E-3</v>
      </c>
      <c r="M321">
        <v>0.245</v>
      </c>
      <c r="N321">
        <v>0.11890000000000001</v>
      </c>
      <c r="O321">
        <v>3.0300000000000001E-3</v>
      </c>
      <c r="P321" s="3">
        <f t="shared" si="16"/>
        <v>1043.6388669085497</v>
      </c>
      <c r="Q321" s="3">
        <f t="shared" si="17"/>
        <v>1.3636541880259756E-3</v>
      </c>
      <c r="R321" s="3">
        <f t="shared" si="18"/>
        <v>2.6700000000000001E-3</v>
      </c>
      <c r="S321">
        <f t="shared" si="19"/>
        <v>7</v>
      </c>
      <c r="T321">
        <f>INDEX([1]IDEN_level_ids!$B:$B,MATCH(G321,[1]IDEN_level_ids!$A:$A,0),1)</f>
        <v>1198</v>
      </c>
      <c r="U321">
        <f>INDEX([1]IDEN_level_ids!$B:$B,MATCH(H321,[1]IDEN_level_ids!$A:$A,0),1)</f>
        <v>722</v>
      </c>
    </row>
    <row r="322" spans="1:21" hidden="1" x14ac:dyDescent="0.25">
      <c r="A322">
        <v>95804.083299999998</v>
      </c>
      <c r="B322">
        <v>1043.7968000000001</v>
      </c>
      <c r="C322">
        <v>4</v>
      </c>
      <c r="D322" t="s">
        <v>196</v>
      </c>
      <c r="F322">
        <v>1969</v>
      </c>
      <c r="G322" s="1" t="s">
        <v>36</v>
      </c>
      <c r="H322" s="1" t="s">
        <v>205</v>
      </c>
      <c r="I322">
        <v>0</v>
      </c>
      <c r="J322">
        <v>95804.459499999997</v>
      </c>
      <c r="K322">
        <v>4.1000000000000003E-3</v>
      </c>
      <c r="L322">
        <v>2.6700000000000001E-3</v>
      </c>
      <c r="M322">
        <v>0.245</v>
      </c>
      <c r="N322">
        <v>3.3000000000000002E-2</v>
      </c>
      <c r="O322">
        <v>2.7599999999999999E-3</v>
      </c>
      <c r="P322" s="3">
        <f t="shared" ref="P322:P385" si="20">100000000/$A322</f>
        <v>1043.7968461830687</v>
      </c>
      <c r="Q322" s="3">
        <f t="shared" ref="Q322:Q385" si="21">100000000/($A322)-100000000/$J322</f>
        <v>4.0987275078805396E-3</v>
      </c>
      <c r="R322" s="3">
        <f t="shared" si="18"/>
        <v>2.6700000000000001E-3</v>
      </c>
      <c r="S322">
        <f t="shared" si="19"/>
        <v>7</v>
      </c>
      <c r="T322">
        <f>INDEX([1]IDEN_level_ids!$B:$B,MATCH(G322,[1]IDEN_level_ids!$A:$A,0),1)</f>
        <v>1217</v>
      </c>
      <c r="U322">
        <f>INDEX([1]IDEN_level_ids!$B:$B,MATCH(H322,[1]IDEN_level_ids!$A:$A,0),1)</f>
        <v>770</v>
      </c>
    </row>
    <row r="323" spans="1:21" hidden="1" x14ac:dyDescent="0.25">
      <c r="A323">
        <v>95798.915999999997</v>
      </c>
      <c r="B323">
        <v>1043.8531</v>
      </c>
      <c r="C323">
        <v>4</v>
      </c>
      <c r="D323" t="s">
        <v>196</v>
      </c>
      <c r="F323">
        <v>1969</v>
      </c>
      <c r="G323" s="1" t="s">
        <v>46</v>
      </c>
      <c r="H323" s="1" t="s">
        <v>127</v>
      </c>
      <c r="I323">
        <v>0</v>
      </c>
      <c r="J323">
        <v>95798.777600000001</v>
      </c>
      <c r="K323">
        <v>-1.5100000000000001E-3</v>
      </c>
      <c r="L323">
        <v>2.6700000000000001E-3</v>
      </c>
      <c r="M323">
        <v>0.245</v>
      </c>
      <c r="N323">
        <v>2.81E-2</v>
      </c>
      <c r="O323">
        <v>2.7499999999999998E-3</v>
      </c>
      <c r="P323" s="3">
        <f t="shared" si="20"/>
        <v>1043.853147565887</v>
      </c>
      <c r="Q323" s="3">
        <f t="shared" si="21"/>
        <v>-1.5080492594279349E-3</v>
      </c>
      <c r="R323" s="3">
        <f t="shared" ref="R323:R386" si="22">$L323</f>
        <v>2.6700000000000001E-3</v>
      </c>
      <c r="S323">
        <f t="shared" si="19"/>
        <v>7</v>
      </c>
      <c r="T323">
        <f>INDEX([1]IDEN_level_ids!$B:$B,MATCH(G323,[1]IDEN_level_ids!$A:$A,0),1)</f>
        <v>1212</v>
      </c>
      <c r="U323">
        <f>INDEX([1]IDEN_level_ids!$B:$B,MATCH(H323,[1]IDEN_level_ids!$A:$A,0),1)</f>
        <v>760</v>
      </c>
    </row>
    <row r="324" spans="1:21" hidden="1" x14ac:dyDescent="0.25">
      <c r="A324">
        <v>95788.196299999996</v>
      </c>
      <c r="B324">
        <v>1043.97</v>
      </c>
      <c r="C324">
        <v>4</v>
      </c>
      <c r="D324" t="s">
        <v>196</v>
      </c>
      <c r="F324">
        <v>1969</v>
      </c>
      <c r="G324" s="1" t="s">
        <v>40</v>
      </c>
      <c r="H324" s="1" t="s">
        <v>110</v>
      </c>
      <c r="I324">
        <v>0</v>
      </c>
      <c r="J324">
        <v>95787.8698</v>
      </c>
      <c r="K324">
        <v>-3.5599999999999998E-3</v>
      </c>
      <c r="L324">
        <v>2.6700000000000001E-3</v>
      </c>
      <c r="M324">
        <v>0.245</v>
      </c>
      <c r="N324">
        <v>0.14940000000000001</v>
      </c>
      <c r="O324">
        <v>3.14E-3</v>
      </c>
      <c r="P324" s="3">
        <f t="shared" si="20"/>
        <v>1043.9699656397017</v>
      </c>
      <c r="Q324" s="3">
        <f t="shared" si="21"/>
        <v>-3.5584484182891174E-3</v>
      </c>
      <c r="R324" s="3">
        <f t="shared" si="22"/>
        <v>2.6700000000000001E-3</v>
      </c>
      <c r="S324">
        <f t="shared" ref="S324:S387" si="23">IF(D324=D323,S323,S323+1)</f>
        <v>7</v>
      </c>
      <c r="T324">
        <f>INDEX([1]IDEN_level_ids!$B:$B,MATCH(G324,[1]IDEN_level_ids!$A:$A,0),1)</f>
        <v>1199</v>
      </c>
      <c r="U324">
        <f>INDEX([1]IDEN_level_ids!$B:$B,MATCH(H324,[1]IDEN_level_ids!$A:$A,0),1)</f>
        <v>730</v>
      </c>
    </row>
    <row r="325" spans="1:21" hidden="1" x14ac:dyDescent="0.25">
      <c r="A325">
        <v>95782.789099999995</v>
      </c>
      <c r="B325">
        <v>1044.0289</v>
      </c>
      <c r="C325">
        <v>4</v>
      </c>
      <c r="D325" t="s">
        <v>196</v>
      </c>
      <c r="F325">
        <v>1969</v>
      </c>
      <c r="G325" s="1" t="s">
        <v>18</v>
      </c>
      <c r="H325" s="1" t="s">
        <v>201</v>
      </c>
      <c r="I325">
        <v>0</v>
      </c>
      <c r="J325">
        <v>95783.127500000002</v>
      </c>
      <c r="K325">
        <v>3.6900000000000001E-3</v>
      </c>
      <c r="L325">
        <v>2.6700000000000001E-3</v>
      </c>
      <c r="M325">
        <v>0.245</v>
      </c>
      <c r="N325">
        <v>7.3999999999999996E-2</v>
      </c>
      <c r="O325">
        <v>2.8800000000000002E-3</v>
      </c>
      <c r="P325" s="3">
        <f t="shared" si="20"/>
        <v>1044.0289005950444</v>
      </c>
      <c r="Q325" s="3">
        <f t="shared" si="21"/>
        <v>3.6885346009967179E-3</v>
      </c>
      <c r="R325" s="3">
        <f t="shared" si="22"/>
        <v>2.6700000000000001E-3</v>
      </c>
      <c r="S325">
        <f t="shared" si="23"/>
        <v>7</v>
      </c>
      <c r="T325">
        <f>INDEX([1]IDEN_level_ids!$B:$B,MATCH(G325,[1]IDEN_level_ids!$A:$A,0),1)</f>
        <v>1226</v>
      </c>
      <c r="U325">
        <f>INDEX([1]IDEN_level_ids!$B:$B,MATCH(H325,[1]IDEN_level_ids!$A:$A,0),1)</f>
        <v>788</v>
      </c>
    </row>
    <row r="326" spans="1:21" hidden="1" x14ac:dyDescent="0.25">
      <c r="A326">
        <v>95774.703899999993</v>
      </c>
      <c r="B326">
        <v>1044.117</v>
      </c>
      <c r="C326">
        <v>4</v>
      </c>
      <c r="D326" t="s">
        <v>196</v>
      </c>
      <c r="F326">
        <v>1969</v>
      </c>
      <c r="G326" s="1" t="s">
        <v>41</v>
      </c>
      <c r="H326" s="1" t="s">
        <v>234</v>
      </c>
      <c r="I326">
        <v>0</v>
      </c>
      <c r="J326">
        <v>95774.775899999993</v>
      </c>
      <c r="K326">
        <v>7.9000000000000001E-4</v>
      </c>
      <c r="L326">
        <v>2.6700000000000001E-3</v>
      </c>
      <c r="M326">
        <v>0.245</v>
      </c>
      <c r="N326">
        <v>3.7499999999999999E-2</v>
      </c>
      <c r="O326">
        <v>2.7699999999999999E-3</v>
      </c>
      <c r="P326" s="3">
        <f t="shared" si="20"/>
        <v>1044.1170364192585</v>
      </c>
      <c r="Q326" s="3">
        <f t="shared" si="21"/>
        <v>7.8492928764717362E-4</v>
      </c>
      <c r="R326" s="3">
        <f t="shared" si="22"/>
        <v>2.6700000000000001E-3</v>
      </c>
      <c r="S326">
        <f t="shared" si="23"/>
        <v>7</v>
      </c>
      <c r="T326">
        <f>INDEX([1]IDEN_level_ids!$B:$B,MATCH(G326,[1]IDEN_level_ids!$A:$A,0),1)</f>
        <v>1238</v>
      </c>
      <c r="U326">
        <f>INDEX([1]IDEN_level_ids!$B:$B,MATCH(H326,[1]IDEN_level_ids!$A:$A,0),1)</f>
        <v>818</v>
      </c>
    </row>
    <row r="327" spans="1:21" hidden="1" x14ac:dyDescent="0.25">
      <c r="A327">
        <v>95766.810500000007</v>
      </c>
      <c r="B327">
        <v>1044.2030999999999</v>
      </c>
      <c r="C327">
        <v>4</v>
      </c>
      <c r="D327" t="s">
        <v>196</v>
      </c>
      <c r="F327">
        <v>1969</v>
      </c>
      <c r="G327" s="1" t="s">
        <v>53</v>
      </c>
      <c r="H327" s="1" t="s">
        <v>214</v>
      </c>
      <c r="I327">
        <v>0</v>
      </c>
      <c r="J327">
        <v>95767.030199999994</v>
      </c>
      <c r="K327">
        <v>2.3999999999999998E-3</v>
      </c>
      <c r="L327">
        <v>2.6700000000000001E-3</v>
      </c>
      <c r="M327">
        <v>0.245</v>
      </c>
      <c r="N327">
        <v>5.0200000000000002E-2</v>
      </c>
      <c r="O327">
        <v>2.81E-3</v>
      </c>
      <c r="P327" s="3">
        <f t="shared" si="20"/>
        <v>1044.2030958105261</v>
      </c>
      <c r="Q327" s="3">
        <f t="shared" si="21"/>
        <v>2.3955156557349255E-3</v>
      </c>
      <c r="R327" s="3">
        <f t="shared" si="22"/>
        <v>2.6700000000000001E-3</v>
      </c>
      <c r="S327">
        <f t="shared" si="23"/>
        <v>7</v>
      </c>
      <c r="T327">
        <f>INDEX([1]IDEN_level_ids!$B:$B,MATCH(G327,[1]IDEN_level_ids!$A:$A,0),1)</f>
        <v>1231</v>
      </c>
      <c r="U327">
        <f>INDEX([1]IDEN_level_ids!$B:$B,MATCH(H327,[1]IDEN_level_ids!$A:$A,0),1)</f>
        <v>794</v>
      </c>
    </row>
    <row r="328" spans="1:21" hidden="1" x14ac:dyDescent="0.25">
      <c r="A328">
        <v>95729.694600000003</v>
      </c>
      <c r="B328">
        <v>1044.6079999999999</v>
      </c>
      <c r="C328">
        <v>4</v>
      </c>
      <c r="D328" t="s">
        <v>196</v>
      </c>
      <c r="F328">
        <v>1969</v>
      </c>
      <c r="G328" s="1" t="s">
        <v>187</v>
      </c>
      <c r="H328" s="1" t="s">
        <v>235</v>
      </c>
      <c r="I328">
        <v>0</v>
      </c>
      <c r="J328">
        <v>95729.905100000004</v>
      </c>
      <c r="K328">
        <v>2.3E-3</v>
      </c>
      <c r="L328">
        <v>2.6700000000000001E-3</v>
      </c>
      <c r="M328">
        <v>0.245</v>
      </c>
      <c r="N328">
        <v>0.25469999999999998</v>
      </c>
      <c r="O328">
        <v>3.5899999999999999E-3</v>
      </c>
      <c r="P328" s="3">
        <f t="shared" si="20"/>
        <v>1044.6079496841933</v>
      </c>
      <c r="Q328" s="3">
        <f t="shared" si="21"/>
        <v>2.2969830918100342E-3</v>
      </c>
      <c r="R328" s="3">
        <f t="shared" si="22"/>
        <v>2.6700000000000001E-3</v>
      </c>
      <c r="S328">
        <f t="shared" si="23"/>
        <v>7</v>
      </c>
      <c r="T328">
        <f>INDEX([1]IDEN_level_ids!$B:$B,MATCH(G328,[1]IDEN_level_ids!$A:$A,0),1)</f>
        <v>1204</v>
      </c>
      <c r="U328">
        <f>INDEX([1]IDEN_level_ids!$B:$B,MATCH(H328,[1]IDEN_level_ids!$A:$A,0),1)</f>
        <v>737</v>
      </c>
    </row>
    <row r="329" spans="1:21" hidden="1" x14ac:dyDescent="0.25">
      <c r="A329">
        <v>95707.414300000004</v>
      </c>
      <c r="B329">
        <v>1044.8511000000001</v>
      </c>
      <c r="C329">
        <v>4</v>
      </c>
      <c r="D329" t="s">
        <v>196</v>
      </c>
      <c r="F329">
        <v>1969</v>
      </c>
      <c r="G329" s="1" t="s">
        <v>46</v>
      </c>
      <c r="H329" s="1" t="s">
        <v>174</v>
      </c>
      <c r="I329">
        <v>0</v>
      </c>
      <c r="J329">
        <v>95707.557100000005</v>
      </c>
      <c r="K329">
        <v>1.56E-3</v>
      </c>
      <c r="L329">
        <v>2.6700000000000001E-3</v>
      </c>
      <c r="M329">
        <v>0.245</v>
      </c>
      <c r="N329">
        <v>1.17E-2</v>
      </c>
      <c r="O329">
        <v>2.7100000000000002E-3</v>
      </c>
      <c r="P329" s="3">
        <f t="shared" si="20"/>
        <v>1044.8511302013098</v>
      </c>
      <c r="Q329" s="3">
        <f t="shared" si="21"/>
        <v>1.5589651009122463E-3</v>
      </c>
      <c r="R329" s="3">
        <f t="shared" si="22"/>
        <v>2.6700000000000001E-3</v>
      </c>
      <c r="S329">
        <f t="shared" si="23"/>
        <v>7</v>
      </c>
      <c r="T329">
        <f>INDEX([1]IDEN_level_ids!$B:$B,MATCH(G329,[1]IDEN_level_ids!$A:$A,0),1)</f>
        <v>1212</v>
      </c>
      <c r="U329">
        <f>INDEX([1]IDEN_level_ids!$B:$B,MATCH(H329,[1]IDEN_level_ids!$A:$A,0),1)</f>
        <v>758</v>
      </c>
    </row>
    <row r="330" spans="1:21" hidden="1" x14ac:dyDescent="0.25">
      <c r="A330">
        <v>95702.107499999998</v>
      </c>
      <c r="B330">
        <v>1044.9091000000001</v>
      </c>
      <c r="C330">
        <v>4</v>
      </c>
      <c r="D330" t="s">
        <v>196</v>
      </c>
      <c r="E330" t="s">
        <v>236</v>
      </c>
      <c r="F330">
        <v>1969</v>
      </c>
      <c r="G330" s="1" t="s">
        <v>69</v>
      </c>
      <c r="H330" s="1" t="s">
        <v>237</v>
      </c>
      <c r="I330">
        <v>0</v>
      </c>
      <c r="J330">
        <v>95702.331300000005</v>
      </c>
      <c r="K330">
        <v>2.4399999999999999E-3</v>
      </c>
      <c r="L330">
        <v>4.1000000000000003E-3</v>
      </c>
      <c r="M330">
        <v>0.37580000000000002</v>
      </c>
      <c r="N330">
        <v>2.0500000000000001E-2</v>
      </c>
      <c r="O330">
        <v>4.1900000000000001E-3</v>
      </c>
      <c r="P330" s="3">
        <f t="shared" si="20"/>
        <v>1044.9090684862922</v>
      </c>
      <c r="Q330" s="3">
        <f t="shared" si="21"/>
        <v>2.4435209295461391E-3</v>
      </c>
      <c r="R330" s="3">
        <f t="shared" si="22"/>
        <v>4.1000000000000003E-3</v>
      </c>
      <c r="S330">
        <f t="shared" si="23"/>
        <v>7</v>
      </c>
      <c r="T330">
        <f>INDEX([1]IDEN_level_ids!$B:$B,MATCH(G330,[1]IDEN_level_ids!$A:$A,0),1)</f>
        <v>1218</v>
      </c>
      <c r="U330">
        <f>INDEX([1]IDEN_level_ids!$B:$B,MATCH(H330,[1]IDEN_level_ids!$A:$A,0),1)</f>
        <v>773</v>
      </c>
    </row>
    <row r="331" spans="1:21" hidden="1" x14ac:dyDescent="0.25">
      <c r="A331">
        <v>95694.411399999997</v>
      </c>
      <c r="B331">
        <v>1044.9930999999999</v>
      </c>
      <c r="C331">
        <v>4</v>
      </c>
      <c r="D331" t="s">
        <v>196</v>
      </c>
      <c r="F331">
        <v>1969</v>
      </c>
      <c r="G331" s="1" t="s">
        <v>238</v>
      </c>
      <c r="H331" s="1" t="s">
        <v>167</v>
      </c>
      <c r="I331">
        <v>0</v>
      </c>
      <c r="J331">
        <v>95694.634099999996</v>
      </c>
      <c r="K331">
        <v>2.4299999999999999E-3</v>
      </c>
      <c r="L331">
        <v>2.6800000000000001E-3</v>
      </c>
      <c r="M331">
        <v>0.245</v>
      </c>
      <c r="N331">
        <v>0.16239999999999999</v>
      </c>
      <c r="O331">
        <v>3.1900000000000001E-3</v>
      </c>
      <c r="P331" s="3">
        <f t="shared" si="20"/>
        <v>1044.993103954658</v>
      </c>
      <c r="Q331" s="3">
        <f t="shared" si="21"/>
        <v>2.4319019184986246E-3</v>
      </c>
      <c r="R331" s="3">
        <f t="shared" si="22"/>
        <v>2.6800000000000001E-3</v>
      </c>
      <c r="S331">
        <f t="shared" si="23"/>
        <v>7</v>
      </c>
      <c r="T331">
        <f>INDEX([1]IDEN_level_ids!$B:$B,MATCH(G331,[1]IDEN_level_ids!$A:$A,0),1)</f>
        <v>1165</v>
      </c>
      <c r="U331">
        <f>INDEX([1]IDEN_level_ids!$B:$B,MATCH(H331,[1]IDEN_level_ids!$A:$A,0),1)</f>
        <v>628</v>
      </c>
    </row>
    <row r="332" spans="1:21" hidden="1" x14ac:dyDescent="0.25">
      <c r="A332">
        <v>95671.086500000005</v>
      </c>
      <c r="B332">
        <v>1045.2479000000001</v>
      </c>
      <c r="C332">
        <v>4</v>
      </c>
      <c r="D332" t="s">
        <v>196</v>
      </c>
      <c r="F332">
        <v>1969</v>
      </c>
      <c r="G332" s="1" t="s">
        <v>22</v>
      </c>
      <c r="H332" s="1" t="s">
        <v>206</v>
      </c>
      <c r="I332">
        <v>0</v>
      </c>
      <c r="J332">
        <v>95671.159799999994</v>
      </c>
      <c r="K332">
        <v>8.0000000000000004E-4</v>
      </c>
      <c r="L332">
        <v>2.6800000000000001E-3</v>
      </c>
      <c r="M332">
        <v>0.245</v>
      </c>
      <c r="N332">
        <v>6.2300000000000001E-2</v>
      </c>
      <c r="O332">
        <v>2.8500000000000001E-3</v>
      </c>
      <c r="P332" s="3">
        <f t="shared" si="20"/>
        <v>1045.2478764312978</v>
      </c>
      <c r="Q332" s="3">
        <f t="shared" si="21"/>
        <v>8.0083349553206062E-4</v>
      </c>
      <c r="R332" s="3">
        <f t="shared" si="22"/>
        <v>2.6800000000000001E-3</v>
      </c>
      <c r="S332">
        <f t="shared" si="23"/>
        <v>7</v>
      </c>
      <c r="T332">
        <f>INDEX([1]IDEN_level_ids!$B:$B,MATCH(G332,[1]IDEN_level_ids!$A:$A,0),1)</f>
        <v>1236</v>
      </c>
      <c r="U332">
        <f>INDEX([1]IDEN_level_ids!$B:$B,MATCH(H332,[1]IDEN_level_ids!$A:$A,0),1)</f>
        <v>816</v>
      </c>
    </row>
    <row r="333" spans="1:21" hidden="1" x14ac:dyDescent="0.25">
      <c r="A333">
        <v>95652.880600000004</v>
      </c>
      <c r="B333">
        <v>1045.4467999999999</v>
      </c>
      <c r="C333">
        <v>4</v>
      </c>
      <c r="D333" t="s">
        <v>196</v>
      </c>
      <c r="E333" t="s">
        <v>52</v>
      </c>
      <c r="F333">
        <v>1969</v>
      </c>
      <c r="G333" s="1" t="s">
        <v>33</v>
      </c>
      <c r="H333" s="1" t="s">
        <v>123</v>
      </c>
      <c r="I333">
        <v>0</v>
      </c>
      <c r="J333">
        <v>95653.209199999998</v>
      </c>
      <c r="K333">
        <v>3.5899999999999999E-3</v>
      </c>
      <c r="L333">
        <v>3.0200000000000001E-3</v>
      </c>
      <c r="M333">
        <v>0.27600000000000002</v>
      </c>
      <c r="N333">
        <v>1.52E-2</v>
      </c>
      <c r="O333">
        <v>3.0599999999999998E-3</v>
      </c>
      <c r="P333" s="3">
        <f t="shared" si="20"/>
        <v>1045.4468215983868</v>
      </c>
      <c r="Q333" s="3">
        <f t="shared" si="21"/>
        <v>3.591451122701983E-3</v>
      </c>
      <c r="R333" s="3">
        <f t="shared" si="22"/>
        <v>3.0200000000000001E-3</v>
      </c>
      <c r="S333">
        <f t="shared" si="23"/>
        <v>7</v>
      </c>
      <c r="T333">
        <f>INDEX([1]IDEN_level_ids!$B:$B,MATCH(G333,[1]IDEN_level_ids!$A:$A,0),1)</f>
        <v>1220</v>
      </c>
      <c r="U333">
        <f>INDEX([1]IDEN_level_ids!$B:$B,MATCH(H333,[1]IDEN_level_ids!$A:$A,0),1)</f>
        <v>775</v>
      </c>
    </row>
    <row r="334" spans="1:21" hidden="1" x14ac:dyDescent="0.25">
      <c r="A334">
        <v>95647.0049</v>
      </c>
      <c r="B334">
        <v>1045.511</v>
      </c>
      <c r="C334">
        <v>4</v>
      </c>
      <c r="D334" t="s">
        <v>196</v>
      </c>
      <c r="E334" t="s">
        <v>66</v>
      </c>
      <c r="F334">
        <v>1969</v>
      </c>
      <c r="G334" s="1" t="s">
        <v>239</v>
      </c>
      <c r="H334" s="1" t="s">
        <v>181</v>
      </c>
      <c r="I334">
        <v>0</v>
      </c>
      <c r="J334">
        <v>95648.038199999995</v>
      </c>
      <c r="K334">
        <v>1.129E-2</v>
      </c>
      <c r="L334">
        <v>7.0200000000000002E-3</v>
      </c>
      <c r="M334">
        <v>0.64200000000000002</v>
      </c>
      <c r="N334">
        <v>3.7499999999999999E-2</v>
      </c>
      <c r="O334">
        <v>7.2899999999999996E-3</v>
      </c>
      <c r="P334" s="3">
        <f t="shared" si="20"/>
        <v>1045.5110445387297</v>
      </c>
      <c r="Q334" s="3">
        <f t="shared" si="21"/>
        <v>1.1294811505194957E-2</v>
      </c>
      <c r="R334" s="3">
        <f t="shared" si="22"/>
        <v>7.0200000000000002E-3</v>
      </c>
      <c r="S334">
        <f t="shared" si="23"/>
        <v>7</v>
      </c>
      <c r="T334">
        <f>INDEX([1]IDEN_level_ids!$B:$B,MATCH(G334,[1]IDEN_level_ids!$A:$A,0),1)</f>
        <v>1167</v>
      </c>
      <c r="U334">
        <f>INDEX([1]IDEN_level_ids!$B:$B,MATCH(H334,[1]IDEN_level_ids!$A:$A,0),1)</f>
        <v>639</v>
      </c>
    </row>
    <row r="335" spans="1:21" hidden="1" x14ac:dyDescent="0.25">
      <c r="A335">
        <v>95629.09</v>
      </c>
      <c r="B335">
        <v>1045.7068999999999</v>
      </c>
      <c r="C335">
        <v>4</v>
      </c>
      <c r="D335" t="s">
        <v>196</v>
      </c>
      <c r="F335">
        <v>1969</v>
      </c>
      <c r="G335" s="1" t="s">
        <v>140</v>
      </c>
      <c r="H335" s="1" t="s">
        <v>148</v>
      </c>
      <c r="I335">
        <v>0</v>
      </c>
      <c r="J335">
        <v>95629.252399999998</v>
      </c>
      <c r="K335">
        <v>1.7799999999999999E-3</v>
      </c>
      <c r="L335">
        <v>2.6800000000000001E-3</v>
      </c>
      <c r="M335">
        <v>0.245</v>
      </c>
      <c r="N335">
        <v>1.2200000000000001E-2</v>
      </c>
      <c r="O335">
        <v>2.7100000000000002E-3</v>
      </c>
      <c r="P335" s="3">
        <f t="shared" si="20"/>
        <v>1045.706907803891</v>
      </c>
      <c r="Q335" s="3">
        <f t="shared" si="21"/>
        <v>1.77584575385481E-3</v>
      </c>
      <c r="R335" s="3">
        <f t="shared" si="22"/>
        <v>2.6800000000000001E-3</v>
      </c>
      <c r="S335">
        <f t="shared" si="23"/>
        <v>7</v>
      </c>
      <c r="T335">
        <f>INDEX([1]IDEN_level_ids!$B:$B,MATCH(G335,[1]IDEN_level_ids!$A:$A,0),1)</f>
        <v>1198</v>
      </c>
      <c r="U335">
        <f>INDEX([1]IDEN_level_ids!$B:$B,MATCH(H335,[1]IDEN_level_ids!$A:$A,0),1)</f>
        <v>728</v>
      </c>
    </row>
    <row r="336" spans="1:21" hidden="1" x14ac:dyDescent="0.25">
      <c r="A336">
        <v>95623.787899999996</v>
      </c>
      <c r="B336">
        <v>1045.7648999999999</v>
      </c>
      <c r="C336">
        <v>4</v>
      </c>
      <c r="D336" t="s">
        <v>196</v>
      </c>
      <c r="F336">
        <v>1969</v>
      </c>
      <c r="G336" s="1" t="s">
        <v>46</v>
      </c>
      <c r="H336" s="1" t="s">
        <v>131</v>
      </c>
      <c r="I336">
        <v>0</v>
      </c>
      <c r="J336">
        <v>95623.577900000004</v>
      </c>
      <c r="K336">
        <v>-2.3E-3</v>
      </c>
      <c r="L336">
        <v>2.6800000000000001E-3</v>
      </c>
      <c r="M336">
        <v>0.245</v>
      </c>
      <c r="N336">
        <v>2.8199999999999999E-2</v>
      </c>
      <c r="O336">
        <v>2.7599999999999999E-3</v>
      </c>
      <c r="P336" s="3">
        <f t="shared" si="20"/>
        <v>1045.7648896378848</v>
      </c>
      <c r="Q336" s="3">
        <f t="shared" si="21"/>
        <v>-2.2966158726376307E-3</v>
      </c>
      <c r="R336" s="3">
        <f t="shared" si="22"/>
        <v>2.6800000000000001E-3</v>
      </c>
      <c r="S336">
        <f t="shared" si="23"/>
        <v>7</v>
      </c>
      <c r="T336">
        <f>INDEX([1]IDEN_level_ids!$B:$B,MATCH(G336,[1]IDEN_level_ids!$A:$A,0),1)</f>
        <v>1212</v>
      </c>
      <c r="U336">
        <f>INDEX([1]IDEN_level_ids!$B:$B,MATCH(H336,[1]IDEN_level_ids!$A:$A,0),1)</f>
        <v>764</v>
      </c>
    </row>
    <row r="337" spans="1:21" hidden="1" x14ac:dyDescent="0.25">
      <c r="A337">
        <v>95615.286200000002</v>
      </c>
      <c r="B337">
        <v>1045.8579</v>
      </c>
      <c r="C337">
        <v>4</v>
      </c>
      <c r="D337" t="s">
        <v>196</v>
      </c>
      <c r="F337">
        <v>1969</v>
      </c>
      <c r="G337" s="1" t="s">
        <v>230</v>
      </c>
      <c r="H337" s="1" t="s">
        <v>240</v>
      </c>
      <c r="I337">
        <v>0</v>
      </c>
      <c r="J337">
        <v>95615.448399999994</v>
      </c>
      <c r="K337">
        <v>1.7700000000000001E-3</v>
      </c>
      <c r="L337">
        <v>2.6800000000000001E-3</v>
      </c>
      <c r="M337">
        <v>0.245</v>
      </c>
      <c r="N337">
        <v>0.56359999999999999</v>
      </c>
      <c r="O337">
        <v>6.1399999999999996E-3</v>
      </c>
      <c r="P337" s="3">
        <f t="shared" si="20"/>
        <v>1045.8578745539539</v>
      </c>
      <c r="Q337" s="3">
        <f t="shared" si="21"/>
        <v>1.7741709116307902E-3</v>
      </c>
      <c r="R337" s="3">
        <f t="shared" si="22"/>
        <v>2.6800000000000001E-3</v>
      </c>
      <c r="S337">
        <f t="shared" si="23"/>
        <v>7</v>
      </c>
      <c r="T337">
        <f>INDEX([1]IDEN_level_ids!$B:$B,MATCH(G337,[1]IDEN_level_ids!$A:$A,0),1)</f>
        <v>1208</v>
      </c>
      <c r="U337">
        <f>INDEX([1]IDEN_level_ids!$B:$B,MATCH(H337,[1]IDEN_level_ids!$A:$A,0),1)</f>
        <v>757</v>
      </c>
    </row>
    <row r="338" spans="1:21" hidden="1" x14ac:dyDescent="0.25">
      <c r="A338">
        <v>95611.419099999999</v>
      </c>
      <c r="B338">
        <v>1045.9002</v>
      </c>
      <c r="C338">
        <v>4</v>
      </c>
      <c r="D338" t="s">
        <v>196</v>
      </c>
      <c r="F338">
        <v>1969</v>
      </c>
      <c r="G338" s="1" t="s">
        <v>69</v>
      </c>
      <c r="H338" s="1" t="s">
        <v>241</v>
      </c>
      <c r="I338">
        <v>0</v>
      </c>
      <c r="J338">
        <v>95611.324999999997</v>
      </c>
      <c r="K338">
        <v>-1.0300000000000001E-3</v>
      </c>
      <c r="L338">
        <v>2.6800000000000001E-3</v>
      </c>
      <c r="M338">
        <v>0.245</v>
      </c>
      <c r="N338">
        <v>7.6100000000000001E-2</v>
      </c>
      <c r="O338">
        <v>2.8999999999999998E-3</v>
      </c>
      <c r="P338" s="3">
        <f t="shared" si="20"/>
        <v>1045.9001753274888</v>
      </c>
      <c r="Q338" s="3">
        <f t="shared" si="21"/>
        <v>-1.0293676664332452E-3</v>
      </c>
      <c r="R338" s="3">
        <f t="shared" si="22"/>
        <v>2.6800000000000001E-3</v>
      </c>
      <c r="S338">
        <f t="shared" si="23"/>
        <v>7</v>
      </c>
      <c r="T338">
        <f>INDEX([1]IDEN_level_ids!$B:$B,MATCH(G338,[1]IDEN_level_ids!$A:$A,0),1)</f>
        <v>1218</v>
      </c>
      <c r="U338">
        <f>INDEX([1]IDEN_level_ids!$B:$B,MATCH(H338,[1]IDEN_level_ids!$A:$A,0),1)</f>
        <v>777</v>
      </c>
    </row>
    <row r="339" spans="1:21" hidden="1" x14ac:dyDescent="0.25">
      <c r="A339">
        <v>95601.008100000006</v>
      </c>
      <c r="B339">
        <v>1046.0141000000001</v>
      </c>
      <c r="C339">
        <v>4</v>
      </c>
      <c r="D339" t="s">
        <v>196</v>
      </c>
      <c r="F339">
        <v>1969</v>
      </c>
      <c r="G339" s="1" t="s">
        <v>56</v>
      </c>
      <c r="H339" s="1" t="s">
        <v>157</v>
      </c>
      <c r="I339">
        <v>0</v>
      </c>
      <c r="J339">
        <v>95601.227100000004</v>
      </c>
      <c r="K339">
        <v>2.3999999999999998E-3</v>
      </c>
      <c r="L339">
        <v>2.6800000000000001E-3</v>
      </c>
      <c r="M339">
        <v>0.245</v>
      </c>
      <c r="N339">
        <v>1.66E-2</v>
      </c>
      <c r="O339">
        <v>2.7299999999999998E-3</v>
      </c>
      <c r="P339" s="3">
        <f t="shared" si="20"/>
        <v>1046.0140744059788</v>
      </c>
      <c r="Q339" s="3">
        <f t="shared" si="21"/>
        <v>2.3961730328210251E-3</v>
      </c>
      <c r="R339" s="3">
        <f t="shared" si="22"/>
        <v>2.6800000000000001E-3</v>
      </c>
      <c r="S339">
        <f t="shared" si="23"/>
        <v>7</v>
      </c>
      <c r="T339">
        <f>INDEX([1]IDEN_level_ids!$B:$B,MATCH(G339,[1]IDEN_level_ids!$A:$A,0),1)</f>
        <v>1221</v>
      </c>
      <c r="U339">
        <f>INDEX([1]IDEN_level_ids!$B:$B,MATCH(H339,[1]IDEN_level_ids!$A:$A,0),1)</f>
        <v>778</v>
      </c>
    </row>
    <row r="340" spans="1:21" hidden="1" x14ac:dyDescent="0.25">
      <c r="A340">
        <v>95584.486499999999</v>
      </c>
      <c r="B340">
        <v>1046.1949</v>
      </c>
      <c r="C340">
        <v>4</v>
      </c>
      <c r="D340" t="s">
        <v>196</v>
      </c>
      <c r="F340">
        <v>1969</v>
      </c>
      <c r="G340" s="1" t="s">
        <v>55</v>
      </c>
      <c r="H340" s="1" t="s">
        <v>228</v>
      </c>
      <c r="I340">
        <v>0</v>
      </c>
      <c r="J340">
        <v>95584.642800000001</v>
      </c>
      <c r="K340">
        <v>1.7099999999999999E-3</v>
      </c>
      <c r="L340">
        <v>2.6800000000000001E-3</v>
      </c>
      <c r="M340">
        <v>0.245</v>
      </c>
      <c r="N340">
        <v>2.53E-2</v>
      </c>
      <c r="O340">
        <v>2.7499999999999998E-3</v>
      </c>
      <c r="P340" s="3">
        <f t="shared" si="20"/>
        <v>1046.1948759854456</v>
      </c>
      <c r="Q340" s="3">
        <f t="shared" si="21"/>
        <v>1.7107377746015118E-3</v>
      </c>
      <c r="R340" s="3">
        <f t="shared" si="22"/>
        <v>2.6800000000000001E-3</v>
      </c>
      <c r="S340">
        <f t="shared" si="23"/>
        <v>7</v>
      </c>
      <c r="T340">
        <f>INDEX([1]IDEN_level_ids!$B:$B,MATCH(G340,[1]IDEN_level_ids!$A:$A,0),1)</f>
        <v>1233</v>
      </c>
      <c r="U340">
        <f>INDEX([1]IDEN_level_ids!$B:$B,MATCH(H340,[1]IDEN_level_ids!$A:$A,0),1)</f>
        <v>804</v>
      </c>
    </row>
    <row r="341" spans="1:21" hidden="1" x14ac:dyDescent="0.25">
      <c r="A341">
        <v>95548.019</v>
      </c>
      <c r="B341">
        <v>1046.5942</v>
      </c>
      <c r="C341">
        <v>4</v>
      </c>
      <c r="D341" t="s">
        <v>196</v>
      </c>
      <c r="F341">
        <v>1969</v>
      </c>
      <c r="G341" s="1" t="s">
        <v>94</v>
      </c>
      <c r="H341" s="1" t="s">
        <v>192</v>
      </c>
      <c r="I341">
        <v>0</v>
      </c>
      <c r="J341">
        <v>95548.4038</v>
      </c>
      <c r="K341">
        <v>4.2199999999999998E-3</v>
      </c>
      <c r="L341">
        <v>2.6800000000000001E-3</v>
      </c>
      <c r="M341">
        <v>0.245</v>
      </c>
      <c r="N341">
        <v>2.1899999999999999E-2</v>
      </c>
      <c r="O341">
        <v>2.7399999999999998E-3</v>
      </c>
      <c r="P341" s="3">
        <f t="shared" si="20"/>
        <v>1046.5941737630374</v>
      </c>
      <c r="Q341" s="3">
        <f t="shared" si="21"/>
        <v>4.2149258599692985E-3</v>
      </c>
      <c r="R341" s="3">
        <f t="shared" si="22"/>
        <v>2.6800000000000001E-3</v>
      </c>
      <c r="S341">
        <f t="shared" si="23"/>
        <v>7</v>
      </c>
      <c r="T341">
        <f>INDEX([1]IDEN_level_ids!$B:$B,MATCH(G341,[1]IDEN_level_ids!$A:$A,0),1)</f>
        <v>1207</v>
      </c>
      <c r="U341">
        <f>INDEX([1]IDEN_level_ids!$B:$B,MATCH(H341,[1]IDEN_level_ids!$A:$A,0),1)</f>
        <v>762</v>
      </c>
    </row>
    <row r="342" spans="1:21" hidden="1" x14ac:dyDescent="0.25">
      <c r="A342">
        <v>95531.126399999994</v>
      </c>
      <c r="B342">
        <v>1046.7791999999999</v>
      </c>
      <c r="C342">
        <v>4</v>
      </c>
      <c r="D342" t="s">
        <v>196</v>
      </c>
      <c r="F342">
        <v>1969</v>
      </c>
      <c r="G342" s="1" t="s">
        <v>72</v>
      </c>
      <c r="H342" s="1" t="s">
        <v>161</v>
      </c>
      <c r="I342">
        <v>0</v>
      </c>
      <c r="J342">
        <v>95531.606</v>
      </c>
      <c r="K342">
        <v>5.2599999999999999E-3</v>
      </c>
      <c r="L342">
        <v>2.6800000000000001E-3</v>
      </c>
      <c r="M342">
        <v>0.245</v>
      </c>
      <c r="N342">
        <v>1.6799999999999999E-2</v>
      </c>
      <c r="O342">
        <v>2.7299999999999998E-3</v>
      </c>
      <c r="P342" s="3">
        <f t="shared" si="20"/>
        <v>1046.7792411584085</v>
      </c>
      <c r="Q342" s="3">
        <f t="shared" si="21"/>
        <v>5.2551751728060481E-3</v>
      </c>
      <c r="R342" s="3">
        <f t="shared" si="22"/>
        <v>2.6800000000000001E-3</v>
      </c>
      <c r="S342">
        <f t="shared" si="23"/>
        <v>7</v>
      </c>
      <c r="T342">
        <f>INDEX([1]IDEN_level_ids!$B:$B,MATCH(G342,[1]IDEN_level_ids!$A:$A,0),1)</f>
        <v>1225</v>
      </c>
      <c r="U342">
        <f>INDEX([1]IDEN_level_ids!$B:$B,MATCH(H342,[1]IDEN_level_ids!$A:$A,0),1)</f>
        <v>785</v>
      </c>
    </row>
    <row r="343" spans="1:21" hidden="1" x14ac:dyDescent="0.25">
      <c r="A343">
        <v>95488.7166</v>
      </c>
      <c r="B343">
        <v>1047.2442000000001</v>
      </c>
      <c r="C343">
        <v>4</v>
      </c>
      <c r="D343" t="s">
        <v>196</v>
      </c>
      <c r="F343">
        <v>1969</v>
      </c>
      <c r="G343" s="1" t="s">
        <v>16</v>
      </c>
      <c r="H343" s="1" t="s">
        <v>242</v>
      </c>
      <c r="I343">
        <v>0</v>
      </c>
      <c r="J343">
        <v>95488.889899999995</v>
      </c>
      <c r="K343">
        <v>1.9E-3</v>
      </c>
      <c r="L343">
        <v>2.6900000000000001E-3</v>
      </c>
      <c r="M343">
        <v>0.245</v>
      </c>
      <c r="N343">
        <v>0.1129</v>
      </c>
      <c r="O343">
        <v>3.0300000000000001E-3</v>
      </c>
      <c r="P343" s="3">
        <f t="shared" si="20"/>
        <v>1047.2441515671183</v>
      </c>
      <c r="Q343" s="3">
        <f t="shared" si="21"/>
        <v>1.9006128529781563E-3</v>
      </c>
      <c r="R343" s="3">
        <f t="shared" si="22"/>
        <v>2.6900000000000001E-3</v>
      </c>
      <c r="S343">
        <f t="shared" si="23"/>
        <v>7</v>
      </c>
      <c r="T343">
        <f>INDEX([1]IDEN_level_ids!$B:$B,MATCH(G343,[1]IDEN_level_ids!$A:$A,0),1)</f>
        <v>1223</v>
      </c>
      <c r="U343">
        <f>INDEX([1]IDEN_level_ids!$B:$B,MATCH(H343,[1]IDEN_level_ids!$A:$A,0),1)</f>
        <v>786</v>
      </c>
    </row>
    <row r="344" spans="1:21" hidden="1" x14ac:dyDescent="0.25">
      <c r="A344">
        <v>95478.891199999998</v>
      </c>
      <c r="B344">
        <v>1047.3518999999999</v>
      </c>
      <c r="C344">
        <v>4</v>
      </c>
      <c r="D344" t="s">
        <v>196</v>
      </c>
      <c r="E344" t="s">
        <v>52</v>
      </c>
      <c r="F344">
        <v>1969</v>
      </c>
      <c r="G344" s="1" t="s">
        <v>243</v>
      </c>
      <c r="H344" s="1" t="s">
        <v>119</v>
      </c>
      <c r="I344">
        <v>0</v>
      </c>
      <c r="J344">
        <v>95479.064400000003</v>
      </c>
      <c r="K344">
        <v>1.9E-3</v>
      </c>
      <c r="L344">
        <v>3.0300000000000001E-3</v>
      </c>
      <c r="M344">
        <v>0.27600000000000002</v>
      </c>
      <c r="N344">
        <v>0.10639999999999999</v>
      </c>
      <c r="O344">
        <v>3.3899999999999998E-3</v>
      </c>
      <c r="P344" s="3">
        <f t="shared" si="20"/>
        <v>1047.3519198136646</v>
      </c>
      <c r="Q344" s="3">
        <f t="shared" si="21"/>
        <v>1.8999071016878588E-3</v>
      </c>
      <c r="R344" s="3">
        <f t="shared" si="22"/>
        <v>3.0300000000000001E-3</v>
      </c>
      <c r="S344">
        <f t="shared" si="23"/>
        <v>7</v>
      </c>
      <c r="T344">
        <f>INDEX([1]IDEN_level_ids!$B:$B,MATCH(G344,[1]IDEN_level_ids!$A:$A,0),1)</f>
        <v>1205</v>
      </c>
      <c r="U344">
        <f>INDEX([1]IDEN_level_ids!$B:$B,MATCH(H344,[1]IDEN_level_ids!$A:$A,0),1)</f>
        <v>741</v>
      </c>
    </row>
    <row r="345" spans="1:21" hidden="1" x14ac:dyDescent="0.25">
      <c r="A345">
        <v>95476.793000000005</v>
      </c>
      <c r="B345">
        <v>1047.3749</v>
      </c>
      <c r="C345">
        <v>4</v>
      </c>
      <c r="D345" t="s">
        <v>196</v>
      </c>
      <c r="E345" t="s">
        <v>52</v>
      </c>
      <c r="F345">
        <v>1969</v>
      </c>
      <c r="G345" s="1" t="s">
        <v>68</v>
      </c>
      <c r="H345" s="1" t="s">
        <v>152</v>
      </c>
      <c r="I345">
        <v>0</v>
      </c>
      <c r="J345">
        <v>95476.877900000007</v>
      </c>
      <c r="K345">
        <v>9.3000000000000005E-4</v>
      </c>
      <c r="L345">
        <v>3.0300000000000001E-3</v>
      </c>
      <c r="M345">
        <v>0.27600000000000002</v>
      </c>
      <c r="N345">
        <v>1.18E-2</v>
      </c>
      <c r="O345">
        <v>3.0599999999999998E-3</v>
      </c>
      <c r="P345" s="3">
        <f t="shared" si="20"/>
        <v>1047.3749364413611</v>
      </c>
      <c r="Q345" s="3">
        <f t="shared" si="21"/>
        <v>9.3134729650046211E-4</v>
      </c>
      <c r="R345" s="3">
        <f t="shared" si="22"/>
        <v>3.0300000000000001E-3</v>
      </c>
      <c r="S345">
        <f t="shared" si="23"/>
        <v>7</v>
      </c>
      <c r="T345">
        <f>INDEX([1]IDEN_level_ids!$B:$B,MATCH(G345,[1]IDEN_level_ids!$A:$A,0),1)</f>
        <v>1229</v>
      </c>
      <c r="U345">
        <f>INDEX([1]IDEN_level_ids!$B:$B,MATCH(H345,[1]IDEN_level_ids!$A:$A,0),1)</f>
        <v>793</v>
      </c>
    </row>
    <row r="346" spans="1:21" hidden="1" x14ac:dyDescent="0.25">
      <c r="A346">
        <v>95454.001699999993</v>
      </c>
      <c r="B346">
        <v>1047.625</v>
      </c>
      <c r="C346">
        <v>4</v>
      </c>
      <c r="D346" t="s">
        <v>196</v>
      </c>
      <c r="F346">
        <v>1969</v>
      </c>
      <c r="G346" s="1" t="s">
        <v>180</v>
      </c>
      <c r="H346" s="1" t="s">
        <v>153</v>
      </c>
      <c r="I346">
        <v>0</v>
      </c>
      <c r="J346">
        <v>95454.345600000001</v>
      </c>
      <c r="K346">
        <v>3.7699999999999999E-3</v>
      </c>
      <c r="L346">
        <v>2.6900000000000001E-3</v>
      </c>
      <c r="M346">
        <v>0.245</v>
      </c>
      <c r="N346">
        <v>0.15160000000000001</v>
      </c>
      <c r="O346">
        <v>3.1700000000000001E-3</v>
      </c>
      <c r="P346" s="3">
        <f t="shared" si="20"/>
        <v>1047.6250153900044</v>
      </c>
      <c r="Q346" s="3">
        <f t="shared" si="21"/>
        <v>3.7743513983059529E-3</v>
      </c>
      <c r="R346" s="3">
        <f t="shared" si="22"/>
        <v>2.6900000000000001E-3</v>
      </c>
      <c r="S346">
        <f t="shared" si="23"/>
        <v>7</v>
      </c>
      <c r="T346">
        <f>INDEX([1]IDEN_level_ids!$B:$B,MATCH(G346,[1]IDEN_level_ids!$A:$A,0),1)</f>
        <v>1184</v>
      </c>
      <c r="U346">
        <f>INDEX([1]IDEN_level_ids!$B:$B,MATCH(H346,[1]IDEN_level_ids!$A:$A,0),1)</f>
        <v>681</v>
      </c>
    </row>
    <row r="347" spans="1:21" hidden="1" x14ac:dyDescent="0.25">
      <c r="A347">
        <v>95442.418000000005</v>
      </c>
      <c r="B347">
        <v>1047.7521999999999</v>
      </c>
      <c r="C347">
        <v>4</v>
      </c>
      <c r="D347" t="s">
        <v>196</v>
      </c>
      <c r="F347">
        <v>1969</v>
      </c>
      <c r="G347" s="1" t="s">
        <v>194</v>
      </c>
      <c r="H347" s="1" t="s">
        <v>142</v>
      </c>
      <c r="I347">
        <v>0</v>
      </c>
      <c r="J347">
        <v>95442.700100000002</v>
      </c>
      <c r="K347">
        <v>3.0999999999999999E-3</v>
      </c>
      <c r="L347">
        <v>2.6900000000000001E-3</v>
      </c>
      <c r="M347">
        <v>0.245</v>
      </c>
      <c r="N347">
        <v>2.3E-2</v>
      </c>
      <c r="O347">
        <v>2.7499999999999998E-3</v>
      </c>
      <c r="P347" s="3">
        <f t="shared" si="20"/>
        <v>1047.7521640325583</v>
      </c>
      <c r="Q347" s="3">
        <f t="shared" si="21"/>
        <v>3.0968411954290787E-3</v>
      </c>
      <c r="R347" s="3">
        <f t="shared" si="22"/>
        <v>2.6900000000000001E-3</v>
      </c>
      <c r="S347">
        <f t="shared" si="23"/>
        <v>7</v>
      </c>
      <c r="T347">
        <f>INDEX([1]IDEN_level_ids!$B:$B,MATCH(G347,[1]IDEN_level_ids!$A:$A,0),1)</f>
        <v>1187</v>
      </c>
      <c r="U347">
        <f>INDEX([1]IDEN_level_ids!$B:$B,MATCH(H347,[1]IDEN_level_ids!$A:$A,0),1)</f>
        <v>682</v>
      </c>
    </row>
    <row r="348" spans="1:21" hidden="1" x14ac:dyDescent="0.25">
      <c r="A348">
        <v>95422.923599999995</v>
      </c>
      <c r="B348">
        <v>1047.9662000000001</v>
      </c>
      <c r="C348">
        <v>4</v>
      </c>
      <c r="D348" t="s">
        <v>196</v>
      </c>
      <c r="F348">
        <v>1969</v>
      </c>
      <c r="G348" s="1" t="s">
        <v>33</v>
      </c>
      <c r="H348" s="1" t="s">
        <v>157</v>
      </c>
      <c r="I348">
        <v>0</v>
      </c>
      <c r="J348">
        <v>95423.048200000005</v>
      </c>
      <c r="K348">
        <v>1.3699999999999999E-3</v>
      </c>
      <c r="L348">
        <v>2.6900000000000001E-3</v>
      </c>
      <c r="M348">
        <v>0.245</v>
      </c>
      <c r="N348">
        <v>1.61E-2</v>
      </c>
      <c r="O348">
        <v>2.7299999999999998E-3</v>
      </c>
      <c r="P348" s="3">
        <f t="shared" si="20"/>
        <v>1047.9662142734851</v>
      </c>
      <c r="Q348" s="3">
        <f t="shared" si="21"/>
        <v>1.3683967633824068E-3</v>
      </c>
      <c r="R348" s="3">
        <f t="shared" si="22"/>
        <v>2.6900000000000001E-3</v>
      </c>
      <c r="S348">
        <f t="shared" si="23"/>
        <v>7</v>
      </c>
      <c r="T348">
        <f>INDEX([1]IDEN_level_ids!$B:$B,MATCH(G348,[1]IDEN_level_ids!$A:$A,0),1)</f>
        <v>1220</v>
      </c>
      <c r="U348">
        <f>INDEX([1]IDEN_level_ids!$B:$B,MATCH(H348,[1]IDEN_level_ids!$A:$A,0),1)</f>
        <v>778</v>
      </c>
    </row>
    <row r="349" spans="1:21" hidden="1" x14ac:dyDescent="0.25">
      <c r="A349">
        <v>95408.722200000004</v>
      </c>
      <c r="B349">
        <v>1048.1222</v>
      </c>
      <c r="C349">
        <v>4</v>
      </c>
      <c r="D349" t="s">
        <v>196</v>
      </c>
      <c r="F349">
        <v>1969</v>
      </c>
      <c r="G349" s="1" t="s">
        <v>244</v>
      </c>
      <c r="H349" s="1" t="s">
        <v>144</v>
      </c>
      <c r="I349">
        <v>0</v>
      </c>
      <c r="J349">
        <v>95408.8505</v>
      </c>
      <c r="K349">
        <v>1.41E-3</v>
      </c>
      <c r="L349">
        <v>2.6900000000000001E-3</v>
      </c>
      <c r="M349">
        <v>0.245</v>
      </c>
      <c r="N349">
        <v>0.14849999999999999</v>
      </c>
      <c r="O349">
        <v>3.16E-3</v>
      </c>
      <c r="P349" s="3">
        <f t="shared" si="20"/>
        <v>1048.1222019762047</v>
      </c>
      <c r="Q349" s="3">
        <f t="shared" si="21"/>
        <v>1.4094507776007958E-3</v>
      </c>
      <c r="R349" s="3">
        <f t="shared" si="22"/>
        <v>2.6900000000000001E-3</v>
      </c>
      <c r="S349">
        <f t="shared" si="23"/>
        <v>7</v>
      </c>
      <c r="T349">
        <f>INDEX([1]IDEN_level_ids!$B:$B,MATCH(G349,[1]IDEN_level_ids!$A:$A,0),1)</f>
        <v>1195</v>
      </c>
      <c r="U349">
        <f>INDEX([1]IDEN_level_ids!$B:$B,MATCH(H349,[1]IDEN_level_ids!$A:$A,0),1)</f>
        <v>721</v>
      </c>
    </row>
    <row r="350" spans="1:21" hidden="1" x14ac:dyDescent="0.25">
      <c r="A350">
        <v>95396.619300000006</v>
      </c>
      <c r="B350">
        <v>1048.2552000000001</v>
      </c>
      <c r="C350">
        <v>4</v>
      </c>
      <c r="D350" t="s">
        <v>196</v>
      </c>
      <c r="F350">
        <v>1969</v>
      </c>
      <c r="G350" s="1" t="s">
        <v>55</v>
      </c>
      <c r="H350" s="1" t="s">
        <v>226</v>
      </c>
      <c r="I350">
        <v>0</v>
      </c>
      <c r="J350">
        <v>95396.959099999993</v>
      </c>
      <c r="K350">
        <v>3.7299999999999998E-3</v>
      </c>
      <c r="L350">
        <v>2.6900000000000001E-3</v>
      </c>
      <c r="M350">
        <v>0.245</v>
      </c>
      <c r="N350">
        <v>3.5700000000000003E-2</v>
      </c>
      <c r="O350">
        <v>2.7899999999999999E-3</v>
      </c>
      <c r="P350" s="3">
        <f t="shared" si="20"/>
        <v>1048.2551764808713</v>
      </c>
      <c r="Q350" s="3">
        <f t="shared" si="21"/>
        <v>3.7338413333145581E-3</v>
      </c>
      <c r="R350" s="3">
        <f t="shared" si="22"/>
        <v>2.6900000000000001E-3</v>
      </c>
      <c r="S350">
        <f t="shared" si="23"/>
        <v>7</v>
      </c>
      <c r="T350">
        <f>INDEX([1]IDEN_level_ids!$B:$B,MATCH(G350,[1]IDEN_level_ids!$A:$A,0),1)</f>
        <v>1233</v>
      </c>
      <c r="U350">
        <f>INDEX([1]IDEN_level_ids!$B:$B,MATCH(H350,[1]IDEN_level_ids!$A:$A,0),1)</f>
        <v>811</v>
      </c>
    </row>
    <row r="351" spans="1:21" hidden="1" x14ac:dyDescent="0.25">
      <c r="A351">
        <v>95382.232099999994</v>
      </c>
      <c r="B351">
        <v>1048.4132999999999</v>
      </c>
      <c r="C351">
        <v>4</v>
      </c>
      <c r="D351" t="s">
        <v>196</v>
      </c>
      <c r="F351">
        <v>1969</v>
      </c>
      <c r="G351" s="1" t="s">
        <v>53</v>
      </c>
      <c r="H351" s="1" t="s">
        <v>160</v>
      </c>
      <c r="I351">
        <v>0</v>
      </c>
      <c r="J351">
        <v>95382.4473</v>
      </c>
      <c r="K351">
        <v>2.3700000000000001E-3</v>
      </c>
      <c r="L351">
        <v>2.6900000000000001E-3</v>
      </c>
      <c r="M351">
        <v>0.245</v>
      </c>
      <c r="N351">
        <v>2.01E-2</v>
      </c>
      <c r="O351">
        <v>2.7499999999999998E-3</v>
      </c>
      <c r="P351" s="3">
        <f t="shared" si="20"/>
        <v>1048.4132924794492</v>
      </c>
      <c r="Q351" s="3">
        <f t="shared" si="21"/>
        <v>2.3654094325138431E-3</v>
      </c>
      <c r="R351" s="3">
        <f t="shared" si="22"/>
        <v>2.6900000000000001E-3</v>
      </c>
      <c r="S351">
        <f t="shared" si="23"/>
        <v>7</v>
      </c>
      <c r="T351">
        <f>INDEX([1]IDEN_level_ids!$B:$B,MATCH(G351,[1]IDEN_level_ids!$A:$A,0),1)</f>
        <v>1231</v>
      </c>
      <c r="U351">
        <f>INDEX([1]IDEN_level_ids!$B:$B,MATCH(H351,[1]IDEN_level_ids!$A:$A,0),1)</f>
        <v>798</v>
      </c>
    </row>
    <row r="352" spans="1:21" hidden="1" x14ac:dyDescent="0.25">
      <c r="A352">
        <v>95361.320999999996</v>
      </c>
      <c r="B352">
        <v>1048.6432</v>
      </c>
      <c r="C352">
        <v>4</v>
      </c>
      <c r="D352" t="s">
        <v>196</v>
      </c>
      <c r="E352" t="s">
        <v>52</v>
      </c>
      <c r="F352">
        <v>1969</v>
      </c>
      <c r="G352" s="1" t="s">
        <v>16</v>
      </c>
      <c r="H352" s="1" t="s">
        <v>201</v>
      </c>
      <c r="I352">
        <v>0</v>
      </c>
      <c r="J352">
        <v>95361.545599999998</v>
      </c>
      <c r="K352">
        <v>2.47E-3</v>
      </c>
      <c r="L352">
        <v>3.0400000000000002E-3</v>
      </c>
      <c r="M352">
        <v>0.27600000000000002</v>
      </c>
      <c r="N352">
        <v>6.0600000000000001E-2</v>
      </c>
      <c r="O352">
        <v>3.2299999999999998E-3</v>
      </c>
      <c r="P352" s="3">
        <f t="shared" si="20"/>
        <v>1048.6431915094802</v>
      </c>
      <c r="Q352" s="3">
        <f t="shared" si="21"/>
        <v>2.4698137949599186E-3</v>
      </c>
      <c r="R352" s="3">
        <f t="shared" si="22"/>
        <v>3.0400000000000002E-3</v>
      </c>
      <c r="S352">
        <f t="shared" si="23"/>
        <v>7</v>
      </c>
      <c r="T352">
        <f>INDEX([1]IDEN_level_ids!$B:$B,MATCH(G352,[1]IDEN_level_ids!$A:$A,0),1)</f>
        <v>1223</v>
      </c>
      <c r="U352">
        <f>INDEX([1]IDEN_level_ids!$B:$B,MATCH(H352,[1]IDEN_level_ids!$A:$A,0),1)</f>
        <v>788</v>
      </c>
    </row>
    <row r="353" spans="1:21" hidden="1" x14ac:dyDescent="0.25">
      <c r="A353">
        <v>95355.890400000004</v>
      </c>
      <c r="B353">
        <v>1048.7029</v>
      </c>
      <c r="C353">
        <v>4</v>
      </c>
      <c r="D353" t="s">
        <v>196</v>
      </c>
      <c r="E353" t="s">
        <v>52</v>
      </c>
      <c r="F353">
        <v>1969</v>
      </c>
      <c r="G353" s="1" t="s">
        <v>55</v>
      </c>
      <c r="H353" s="1" t="s">
        <v>184</v>
      </c>
      <c r="I353">
        <v>0</v>
      </c>
      <c r="J353">
        <v>95355.605899999995</v>
      </c>
      <c r="K353">
        <v>-3.13E-3</v>
      </c>
      <c r="L353">
        <v>3.0400000000000002E-3</v>
      </c>
      <c r="M353">
        <v>0.27600000000000002</v>
      </c>
      <c r="N353">
        <v>2.5499999999999998E-2</v>
      </c>
      <c r="O353">
        <v>3.1199999999999999E-3</v>
      </c>
      <c r="P353" s="3">
        <f t="shared" si="20"/>
        <v>1048.7029126414618</v>
      </c>
      <c r="Q353" s="3">
        <f t="shared" si="21"/>
        <v>-3.1288771733670728E-3</v>
      </c>
      <c r="R353" s="3">
        <f t="shared" si="22"/>
        <v>3.0400000000000002E-3</v>
      </c>
      <c r="S353">
        <f t="shared" si="23"/>
        <v>7</v>
      </c>
      <c r="T353">
        <f>INDEX([1]IDEN_level_ids!$B:$B,MATCH(G353,[1]IDEN_level_ids!$A:$A,0),1)</f>
        <v>1233</v>
      </c>
      <c r="U353">
        <f>INDEX([1]IDEN_level_ids!$B:$B,MATCH(H353,[1]IDEN_level_ids!$A:$A,0),1)</f>
        <v>810</v>
      </c>
    </row>
    <row r="354" spans="1:21" hidden="1" x14ac:dyDescent="0.25">
      <c r="A354">
        <v>95335.890499999994</v>
      </c>
      <c r="B354">
        <v>1048.9229</v>
      </c>
      <c r="C354">
        <v>4</v>
      </c>
      <c r="D354" t="s">
        <v>196</v>
      </c>
      <c r="F354">
        <v>1969</v>
      </c>
      <c r="G354" s="1" t="s">
        <v>245</v>
      </c>
      <c r="H354" s="1" t="s">
        <v>105</v>
      </c>
      <c r="I354">
        <v>0</v>
      </c>
      <c r="J354">
        <v>95335.959000000003</v>
      </c>
      <c r="K354">
        <v>7.5000000000000002E-4</v>
      </c>
      <c r="L354">
        <v>2.7000000000000001E-3</v>
      </c>
      <c r="M354">
        <v>0.245</v>
      </c>
      <c r="N354">
        <v>0.13159999999999999</v>
      </c>
      <c r="O354">
        <v>3.0999999999999999E-3</v>
      </c>
      <c r="P354" s="3">
        <f t="shared" si="20"/>
        <v>1048.9229132443045</v>
      </c>
      <c r="Q354" s="3">
        <f t="shared" si="21"/>
        <v>7.5366336409388168E-4</v>
      </c>
      <c r="R354" s="3">
        <f t="shared" si="22"/>
        <v>2.7000000000000001E-3</v>
      </c>
      <c r="S354">
        <f t="shared" si="23"/>
        <v>7</v>
      </c>
      <c r="T354">
        <f>INDEX([1]IDEN_level_ids!$B:$B,MATCH(G354,[1]IDEN_level_ids!$A:$A,0),1)</f>
        <v>1169</v>
      </c>
      <c r="U354">
        <f>INDEX([1]IDEN_level_ids!$B:$B,MATCH(H354,[1]IDEN_level_ids!$A:$A,0),1)</f>
        <v>640</v>
      </c>
    </row>
    <row r="355" spans="1:21" hidden="1" x14ac:dyDescent="0.25">
      <c r="A355">
        <v>95333.320699999997</v>
      </c>
      <c r="B355">
        <v>1048.9512</v>
      </c>
      <c r="C355">
        <v>4</v>
      </c>
      <c r="D355" t="s">
        <v>196</v>
      </c>
      <c r="F355">
        <v>1969</v>
      </c>
      <c r="G355" s="1" t="s">
        <v>76</v>
      </c>
      <c r="H355" s="1" t="s">
        <v>176</v>
      </c>
      <c r="I355">
        <v>0</v>
      </c>
      <c r="J355">
        <v>95333.296400000007</v>
      </c>
      <c r="K355">
        <v>-2.7E-4</v>
      </c>
      <c r="L355">
        <v>2.7000000000000001E-3</v>
      </c>
      <c r="M355">
        <v>0.245</v>
      </c>
      <c r="N355">
        <v>0.1077</v>
      </c>
      <c r="O355">
        <v>3.0200000000000001E-3</v>
      </c>
      <c r="P355" s="3">
        <f t="shared" si="20"/>
        <v>1048.9511879554198</v>
      </c>
      <c r="Q355" s="3">
        <f t="shared" si="21"/>
        <v>-2.6737262646747695E-4</v>
      </c>
      <c r="R355" s="3">
        <f t="shared" si="22"/>
        <v>2.7000000000000001E-3</v>
      </c>
      <c r="S355">
        <f t="shared" si="23"/>
        <v>7</v>
      </c>
      <c r="T355">
        <f>INDEX([1]IDEN_level_ids!$B:$B,MATCH(G355,[1]IDEN_level_ids!$A:$A,0),1)</f>
        <v>1194</v>
      </c>
      <c r="U355">
        <f>INDEX([1]IDEN_level_ids!$B:$B,MATCH(H355,[1]IDEN_level_ids!$A:$A,0),1)</f>
        <v>708</v>
      </c>
    </row>
    <row r="356" spans="1:21" hidden="1" x14ac:dyDescent="0.25">
      <c r="A356">
        <v>95321.083499999993</v>
      </c>
      <c r="B356">
        <v>1049.0859</v>
      </c>
      <c r="C356">
        <v>4</v>
      </c>
      <c r="D356" t="s">
        <v>196</v>
      </c>
      <c r="F356">
        <v>1969</v>
      </c>
      <c r="G356" s="1" t="s">
        <v>59</v>
      </c>
      <c r="H356" s="1" t="s">
        <v>246</v>
      </c>
      <c r="I356">
        <v>0</v>
      </c>
      <c r="J356">
        <v>95321.269700000004</v>
      </c>
      <c r="K356">
        <v>2.0500000000000002E-3</v>
      </c>
      <c r="L356">
        <v>2.7000000000000001E-3</v>
      </c>
      <c r="M356">
        <v>0.245</v>
      </c>
      <c r="N356">
        <v>0.10929999999999999</v>
      </c>
      <c r="O356">
        <v>3.0300000000000001E-3</v>
      </c>
      <c r="P356" s="3">
        <f t="shared" si="20"/>
        <v>1049.0858509807015</v>
      </c>
      <c r="Q356" s="3">
        <f t="shared" si="21"/>
        <v>2.0492780474796746E-3</v>
      </c>
      <c r="R356" s="3">
        <f t="shared" si="22"/>
        <v>2.7000000000000001E-3</v>
      </c>
      <c r="S356">
        <f t="shared" si="23"/>
        <v>7</v>
      </c>
      <c r="T356">
        <f>INDEX([1]IDEN_level_ids!$B:$B,MATCH(G356,[1]IDEN_level_ids!$A:$A,0),1)</f>
        <v>1211</v>
      </c>
      <c r="U356">
        <f>INDEX([1]IDEN_level_ids!$B:$B,MATCH(H356,[1]IDEN_level_ids!$A:$A,0),1)</f>
        <v>767</v>
      </c>
    </row>
    <row r="357" spans="1:21" hidden="1" x14ac:dyDescent="0.25">
      <c r="A357">
        <v>95308.183300000004</v>
      </c>
      <c r="B357">
        <v>1049.2277999999999</v>
      </c>
      <c r="C357">
        <v>4</v>
      </c>
      <c r="D357" t="s">
        <v>196</v>
      </c>
      <c r="F357">
        <v>1969</v>
      </c>
      <c r="G357" s="1" t="s">
        <v>193</v>
      </c>
      <c r="H357" s="1" t="s">
        <v>219</v>
      </c>
      <c r="I357">
        <v>0</v>
      </c>
      <c r="J357">
        <v>95308.449600000007</v>
      </c>
      <c r="K357">
        <v>2.9299999999999999E-3</v>
      </c>
      <c r="L357">
        <v>2.7000000000000001E-3</v>
      </c>
      <c r="M357">
        <v>0.245</v>
      </c>
      <c r="N357">
        <v>0.2031</v>
      </c>
      <c r="O357">
        <v>3.3800000000000002E-3</v>
      </c>
      <c r="P357" s="3">
        <f t="shared" si="20"/>
        <v>1049.2278473636586</v>
      </c>
      <c r="Q357" s="3">
        <f t="shared" si="21"/>
        <v>2.9316327872948023E-3</v>
      </c>
      <c r="R357" s="3">
        <f t="shared" si="22"/>
        <v>2.7000000000000001E-3</v>
      </c>
      <c r="S357">
        <f t="shared" si="23"/>
        <v>7</v>
      </c>
      <c r="T357">
        <f>INDEX([1]IDEN_level_ids!$B:$B,MATCH(G357,[1]IDEN_level_ids!$A:$A,0),1)</f>
        <v>1202</v>
      </c>
      <c r="U357">
        <f>INDEX([1]IDEN_level_ids!$B:$B,MATCH(H357,[1]IDEN_level_ids!$A:$A,0),1)</f>
        <v>738</v>
      </c>
    </row>
    <row r="358" spans="1:21" hidden="1" x14ac:dyDescent="0.25">
      <c r="A358">
        <v>95279.295700000002</v>
      </c>
      <c r="B358">
        <v>1049.546</v>
      </c>
      <c r="C358">
        <v>4</v>
      </c>
      <c r="D358" t="s">
        <v>196</v>
      </c>
      <c r="F358">
        <v>1969</v>
      </c>
      <c r="G358" s="1" t="s">
        <v>247</v>
      </c>
      <c r="H358" s="1" t="s">
        <v>235</v>
      </c>
      <c r="I358">
        <v>0</v>
      </c>
      <c r="J358">
        <v>95279.714699999997</v>
      </c>
      <c r="K358">
        <v>4.62E-3</v>
      </c>
      <c r="L358">
        <v>2.7000000000000001E-3</v>
      </c>
      <c r="M358">
        <v>0.245</v>
      </c>
      <c r="N358">
        <v>0.25569999999999998</v>
      </c>
      <c r="O358">
        <v>3.63E-3</v>
      </c>
      <c r="P358" s="3">
        <f t="shared" si="20"/>
        <v>1049.5459613268322</v>
      </c>
      <c r="Q358" s="3">
        <f t="shared" si="21"/>
        <v>4.6154604806361021E-3</v>
      </c>
      <c r="R358" s="3">
        <f t="shared" si="22"/>
        <v>2.7000000000000001E-3</v>
      </c>
      <c r="S358">
        <f t="shared" si="23"/>
        <v>7</v>
      </c>
      <c r="T358">
        <f>INDEX([1]IDEN_level_ids!$B:$B,MATCH(G358,[1]IDEN_level_ids!$A:$A,0),1)</f>
        <v>1200</v>
      </c>
      <c r="U358">
        <f>INDEX([1]IDEN_level_ids!$B:$B,MATCH(H358,[1]IDEN_level_ids!$A:$A,0),1)</f>
        <v>737</v>
      </c>
    </row>
    <row r="359" spans="1:21" hidden="1" x14ac:dyDescent="0.25">
      <c r="A359">
        <v>95233.008900000001</v>
      </c>
      <c r="B359">
        <v>1050.0561</v>
      </c>
      <c r="C359">
        <v>4</v>
      </c>
      <c r="D359" t="s">
        <v>248</v>
      </c>
      <c r="F359">
        <v>1969</v>
      </c>
      <c r="G359" s="1" t="s">
        <v>166</v>
      </c>
      <c r="H359" s="1" t="s">
        <v>142</v>
      </c>
      <c r="I359">
        <v>0</v>
      </c>
      <c r="J359">
        <v>95233.054499999998</v>
      </c>
      <c r="K359">
        <v>5.0000000000000001E-4</v>
      </c>
      <c r="L359">
        <v>2.7000000000000001E-3</v>
      </c>
      <c r="M359">
        <v>0.245</v>
      </c>
      <c r="N359">
        <v>2.3E-2</v>
      </c>
      <c r="O359">
        <v>2.7599999999999999E-3</v>
      </c>
      <c r="P359" s="3">
        <f t="shared" si="20"/>
        <v>1050.0560798725326</v>
      </c>
      <c r="Q359" s="3">
        <f t="shared" si="21"/>
        <v>5.0279346282877668E-4</v>
      </c>
      <c r="R359" s="3">
        <f t="shared" si="22"/>
        <v>2.7000000000000001E-3</v>
      </c>
      <c r="S359">
        <f t="shared" si="23"/>
        <v>8</v>
      </c>
      <c r="T359">
        <f>INDEX([1]IDEN_level_ids!$B:$B,MATCH(G359,[1]IDEN_level_ids!$A:$A,0),1)</f>
        <v>1186</v>
      </c>
      <c r="U359">
        <f>INDEX([1]IDEN_level_ids!$B:$B,MATCH(H359,[1]IDEN_level_ids!$A:$A,0),1)</f>
        <v>682</v>
      </c>
    </row>
    <row r="360" spans="1:21" hidden="1" x14ac:dyDescent="0.25">
      <c r="A360">
        <v>95228.395099999994</v>
      </c>
      <c r="B360">
        <v>1050.107</v>
      </c>
      <c r="C360">
        <v>4</v>
      </c>
      <c r="D360" t="s">
        <v>248</v>
      </c>
      <c r="F360">
        <v>1969</v>
      </c>
      <c r="G360" s="1" t="s">
        <v>56</v>
      </c>
      <c r="H360" s="1" t="s">
        <v>249</v>
      </c>
      <c r="I360">
        <v>0</v>
      </c>
      <c r="J360">
        <v>95228.363299999997</v>
      </c>
      <c r="K360">
        <v>-3.5E-4</v>
      </c>
      <c r="L360">
        <v>2.7000000000000001E-3</v>
      </c>
      <c r="M360">
        <v>0.245</v>
      </c>
      <c r="N360">
        <v>2.3400000000000001E-2</v>
      </c>
      <c r="O360">
        <v>2.7699999999999999E-3</v>
      </c>
      <c r="P360" s="3">
        <f t="shared" si="20"/>
        <v>1050.1069549160134</v>
      </c>
      <c r="Q360" s="3">
        <f t="shared" si="21"/>
        <v>-3.5066654527327046E-4</v>
      </c>
      <c r="R360" s="3">
        <f t="shared" si="22"/>
        <v>2.7000000000000001E-3</v>
      </c>
      <c r="S360">
        <f t="shared" si="23"/>
        <v>8</v>
      </c>
      <c r="T360">
        <f>INDEX([1]IDEN_level_ids!$B:$B,MATCH(G360,[1]IDEN_level_ids!$A:$A,0),1)</f>
        <v>1221</v>
      </c>
      <c r="U360">
        <f>INDEX([1]IDEN_level_ids!$B:$B,MATCH(H360,[1]IDEN_level_ids!$A:$A,0),1)</f>
        <v>784</v>
      </c>
    </row>
    <row r="361" spans="1:21" hidden="1" x14ac:dyDescent="0.25">
      <c r="A361">
        <v>95208.803899999999</v>
      </c>
      <c r="B361">
        <v>1050.3230000000001</v>
      </c>
      <c r="C361">
        <v>4</v>
      </c>
      <c r="D361" t="s">
        <v>248</v>
      </c>
      <c r="F361">
        <v>1969</v>
      </c>
      <c r="G361" s="1" t="s">
        <v>166</v>
      </c>
      <c r="H361" s="1" t="s">
        <v>227</v>
      </c>
      <c r="I361">
        <v>0</v>
      </c>
      <c r="J361">
        <v>95208.816999999995</v>
      </c>
      <c r="K361">
        <v>1.3999999999999999E-4</v>
      </c>
      <c r="L361">
        <v>2.7000000000000001E-3</v>
      </c>
      <c r="M361">
        <v>0.245</v>
      </c>
      <c r="N361">
        <v>2.81E-2</v>
      </c>
      <c r="O361">
        <v>2.7799999999999999E-3</v>
      </c>
      <c r="P361" s="3">
        <f t="shared" si="20"/>
        <v>1050.3230363552545</v>
      </c>
      <c r="Q361" s="3">
        <f t="shared" si="21"/>
        <v>1.445163609332667E-4</v>
      </c>
      <c r="R361" s="3">
        <f t="shared" si="22"/>
        <v>2.7000000000000001E-3</v>
      </c>
      <c r="S361">
        <f t="shared" si="23"/>
        <v>8</v>
      </c>
      <c r="T361">
        <f>INDEX([1]IDEN_level_ids!$B:$B,MATCH(G361,[1]IDEN_level_ids!$A:$A,0),1)</f>
        <v>1186</v>
      </c>
      <c r="U361">
        <f>INDEX([1]IDEN_level_ids!$B:$B,MATCH(H361,[1]IDEN_level_ids!$A:$A,0),1)</f>
        <v>680</v>
      </c>
    </row>
    <row r="362" spans="1:21" hidden="1" x14ac:dyDescent="0.25">
      <c r="A362">
        <v>95198.820300000007</v>
      </c>
      <c r="B362">
        <v>1050.4331999999999</v>
      </c>
      <c r="C362">
        <v>4</v>
      </c>
      <c r="D362" t="s">
        <v>248</v>
      </c>
      <c r="F362">
        <v>1969</v>
      </c>
      <c r="G362" s="1" t="s">
        <v>250</v>
      </c>
      <c r="H362" s="1" t="s">
        <v>54</v>
      </c>
      <c r="I362">
        <v>0</v>
      </c>
      <c r="J362">
        <v>95199.127900000007</v>
      </c>
      <c r="K362">
        <v>3.3899999999999998E-3</v>
      </c>
      <c r="L362">
        <v>2.7000000000000001E-3</v>
      </c>
      <c r="M362">
        <v>0.245</v>
      </c>
      <c r="N362">
        <v>0.21149999999999999</v>
      </c>
      <c r="O362">
        <v>3.4299999999999999E-3</v>
      </c>
      <c r="P362" s="3">
        <f t="shared" si="20"/>
        <v>1050.4331848322283</v>
      </c>
      <c r="Q362" s="3">
        <f t="shared" si="21"/>
        <v>3.3940778112082626E-3</v>
      </c>
      <c r="R362" s="3">
        <f t="shared" si="22"/>
        <v>2.7000000000000001E-3</v>
      </c>
      <c r="S362">
        <f t="shared" si="23"/>
        <v>8</v>
      </c>
      <c r="T362">
        <f>INDEX([1]IDEN_level_ids!$B:$B,MATCH(G362,[1]IDEN_level_ids!$A:$A,0),1)</f>
        <v>1107</v>
      </c>
      <c r="U362">
        <f>INDEX([1]IDEN_level_ids!$B:$B,MATCH(H362,[1]IDEN_level_ids!$A:$A,0),1)</f>
        <v>394</v>
      </c>
    </row>
    <row r="363" spans="1:21" hidden="1" x14ac:dyDescent="0.25">
      <c r="A363">
        <v>95184.176699999996</v>
      </c>
      <c r="B363">
        <v>1050.5948000000001</v>
      </c>
      <c r="C363">
        <v>4</v>
      </c>
      <c r="D363" t="s">
        <v>248</v>
      </c>
      <c r="F363">
        <v>1969</v>
      </c>
      <c r="G363" s="1" t="s">
        <v>82</v>
      </c>
      <c r="H363" s="1" t="s">
        <v>190</v>
      </c>
      <c r="I363">
        <v>0</v>
      </c>
      <c r="J363">
        <v>95184.947899999999</v>
      </c>
      <c r="K363">
        <v>8.5100000000000002E-3</v>
      </c>
      <c r="L363">
        <v>2.7000000000000001E-3</v>
      </c>
      <c r="M363">
        <v>0.245</v>
      </c>
      <c r="N363">
        <v>1.4E-2</v>
      </c>
      <c r="O363">
        <v>2.7399999999999998E-3</v>
      </c>
      <c r="P363" s="3">
        <f t="shared" si="20"/>
        <v>1050.5947886188944</v>
      </c>
      <c r="Q363" s="3">
        <f t="shared" si="21"/>
        <v>8.512046482792357E-3</v>
      </c>
      <c r="R363" s="3">
        <f t="shared" si="22"/>
        <v>2.7000000000000001E-3</v>
      </c>
      <c r="S363">
        <f t="shared" si="23"/>
        <v>8</v>
      </c>
      <c r="T363">
        <f>INDEX([1]IDEN_level_ids!$B:$B,MATCH(G363,[1]IDEN_level_ids!$A:$A,0),1)</f>
        <v>1193</v>
      </c>
      <c r="U363">
        <f>INDEX([1]IDEN_level_ids!$B:$B,MATCH(H363,[1]IDEN_level_ids!$A:$A,0),1)</f>
        <v>719</v>
      </c>
    </row>
    <row r="364" spans="1:21" hidden="1" x14ac:dyDescent="0.25">
      <c r="A364">
        <v>95178.996499999994</v>
      </c>
      <c r="B364">
        <v>1050.652</v>
      </c>
      <c r="C364">
        <v>4</v>
      </c>
      <c r="D364" t="s">
        <v>248</v>
      </c>
      <c r="F364">
        <v>1969</v>
      </c>
      <c r="G364" s="1" t="s">
        <v>187</v>
      </c>
      <c r="H364" s="1" t="s">
        <v>119</v>
      </c>
      <c r="I364">
        <v>0</v>
      </c>
      <c r="J364">
        <v>95179.042199999996</v>
      </c>
      <c r="K364">
        <v>5.0000000000000001E-4</v>
      </c>
      <c r="L364">
        <v>2.7000000000000001E-3</v>
      </c>
      <c r="M364">
        <v>0.245</v>
      </c>
      <c r="N364">
        <v>0.1363</v>
      </c>
      <c r="O364">
        <v>3.13E-3</v>
      </c>
      <c r="P364" s="3">
        <f t="shared" si="20"/>
        <v>1050.6519681577017</v>
      </c>
      <c r="Q364" s="3">
        <f t="shared" si="21"/>
        <v>5.0446814589122368E-4</v>
      </c>
      <c r="R364" s="3">
        <f t="shared" si="22"/>
        <v>2.7000000000000001E-3</v>
      </c>
      <c r="S364">
        <f t="shared" si="23"/>
        <v>8</v>
      </c>
      <c r="T364">
        <f>INDEX([1]IDEN_level_ids!$B:$B,MATCH(G364,[1]IDEN_level_ids!$A:$A,0),1)</f>
        <v>1204</v>
      </c>
      <c r="U364">
        <f>INDEX([1]IDEN_level_ids!$B:$B,MATCH(H364,[1]IDEN_level_ids!$A:$A,0),1)</f>
        <v>741</v>
      </c>
    </row>
    <row r="365" spans="1:21" hidden="1" x14ac:dyDescent="0.25">
      <c r="A365">
        <v>95168.302800000005</v>
      </c>
      <c r="B365">
        <v>1050.77</v>
      </c>
      <c r="C365">
        <v>4</v>
      </c>
      <c r="D365" t="s">
        <v>248</v>
      </c>
      <c r="F365">
        <v>1969</v>
      </c>
      <c r="G365" s="1" t="s">
        <v>194</v>
      </c>
      <c r="H365" s="1" t="s">
        <v>99</v>
      </c>
      <c r="I365">
        <v>0</v>
      </c>
      <c r="J365">
        <v>95168.678899999999</v>
      </c>
      <c r="K365">
        <v>4.15E-3</v>
      </c>
      <c r="L365">
        <v>2.7000000000000001E-3</v>
      </c>
      <c r="M365">
        <v>0.245</v>
      </c>
      <c r="N365">
        <v>2.87E-2</v>
      </c>
      <c r="O365">
        <v>2.7799999999999999E-3</v>
      </c>
      <c r="P365" s="3">
        <f t="shared" si="20"/>
        <v>1050.7700259208573</v>
      </c>
      <c r="Q365" s="3">
        <f t="shared" si="21"/>
        <v>4.1525700610236527E-3</v>
      </c>
      <c r="R365" s="3">
        <f t="shared" si="22"/>
        <v>2.7000000000000001E-3</v>
      </c>
      <c r="S365">
        <f t="shared" si="23"/>
        <v>8</v>
      </c>
      <c r="T365">
        <f>INDEX([1]IDEN_level_ids!$B:$B,MATCH(G365,[1]IDEN_level_ids!$A:$A,0),1)</f>
        <v>1187</v>
      </c>
      <c r="U365">
        <f>INDEX([1]IDEN_level_ids!$B:$B,MATCH(H365,[1]IDEN_level_ids!$A:$A,0),1)</f>
        <v>689</v>
      </c>
    </row>
    <row r="366" spans="1:21" hidden="1" x14ac:dyDescent="0.25">
      <c r="A366">
        <v>95158.229099999997</v>
      </c>
      <c r="B366">
        <v>1050.8813</v>
      </c>
      <c r="C366">
        <v>4</v>
      </c>
      <c r="D366" t="s">
        <v>248</v>
      </c>
      <c r="E366" t="s">
        <v>236</v>
      </c>
      <c r="F366">
        <v>1969</v>
      </c>
      <c r="G366" s="1" t="s">
        <v>38</v>
      </c>
      <c r="H366" s="1" t="s">
        <v>199</v>
      </c>
      <c r="I366">
        <v>0</v>
      </c>
      <c r="J366">
        <v>95158.460300000006</v>
      </c>
      <c r="K366">
        <v>2.5500000000000002E-3</v>
      </c>
      <c r="L366">
        <v>4.15E-3</v>
      </c>
      <c r="M366">
        <v>0.37580000000000002</v>
      </c>
      <c r="N366">
        <v>4.8899999999999999E-2</v>
      </c>
      <c r="O366">
        <v>4.3600000000000002E-3</v>
      </c>
      <c r="P366" s="3">
        <f t="shared" si="20"/>
        <v>1050.8812631949243</v>
      </c>
      <c r="Q366" s="3">
        <f t="shared" si="21"/>
        <v>2.553254301119523E-3</v>
      </c>
      <c r="R366" s="3">
        <f t="shared" si="22"/>
        <v>4.15E-3</v>
      </c>
      <c r="S366">
        <f t="shared" si="23"/>
        <v>8</v>
      </c>
      <c r="T366">
        <f>INDEX([1]IDEN_level_ids!$B:$B,MATCH(G366,[1]IDEN_level_ids!$A:$A,0),1)</f>
        <v>1201</v>
      </c>
      <c r="U366">
        <f>INDEX([1]IDEN_level_ids!$B:$B,MATCH(H366,[1]IDEN_level_ids!$A:$A,0),1)</f>
        <v>743</v>
      </c>
    </row>
    <row r="367" spans="1:21" hidden="1" x14ac:dyDescent="0.25">
      <c r="A367">
        <v>95151.0052</v>
      </c>
      <c r="B367">
        <v>1050.961</v>
      </c>
      <c r="C367">
        <v>4</v>
      </c>
      <c r="D367" t="s">
        <v>248</v>
      </c>
      <c r="F367">
        <v>1969</v>
      </c>
      <c r="G367" s="1" t="s">
        <v>251</v>
      </c>
      <c r="H367" s="1" t="s">
        <v>183</v>
      </c>
      <c r="I367">
        <v>0</v>
      </c>
      <c r="J367">
        <v>95150.982699999993</v>
      </c>
      <c r="K367">
        <v>-2.5000000000000001E-4</v>
      </c>
      <c r="L367">
        <v>2.7100000000000002E-3</v>
      </c>
      <c r="M367">
        <v>0.245</v>
      </c>
      <c r="N367">
        <v>0.21529999999999999</v>
      </c>
      <c r="O367">
        <v>3.4499999999999999E-3</v>
      </c>
      <c r="P367" s="3">
        <f t="shared" si="20"/>
        <v>1050.9610464945461</v>
      </c>
      <c r="Q367" s="3">
        <f t="shared" si="21"/>
        <v>-2.4851686112015159E-4</v>
      </c>
      <c r="R367" s="3">
        <f t="shared" si="22"/>
        <v>2.7100000000000002E-3</v>
      </c>
      <c r="S367">
        <f t="shared" si="23"/>
        <v>8</v>
      </c>
      <c r="T367">
        <f>INDEX([1]IDEN_level_ids!$B:$B,MATCH(G367,[1]IDEN_level_ids!$A:$A,0),1)</f>
        <v>1192</v>
      </c>
      <c r="U367">
        <f>INDEX([1]IDEN_level_ids!$B:$B,MATCH(H367,[1]IDEN_level_ids!$A:$A,0),1)</f>
        <v>707</v>
      </c>
    </row>
    <row r="368" spans="1:21" hidden="1" x14ac:dyDescent="0.25">
      <c r="A368">
        <v>95119.1731</v>
      </c>
      <c r="B368">
        <v>1051.3127999999999</v>
      </c>
      <c r="C368">
        <v>4</v>
      </c>
      <c r="D368" t="s">
        <v>248</v>
      </c>
      <c r="F368">
        <v>1969</v>
      </c>
      <c r="G368" s="1" t="s">
        <v>82</v>
      </c>
      <c r="H368" s="1" t="s">
        <v>145</v>
      </c>
      <c r="I368">
        <v>0</v>
      </c>
      <c r="J368">
        <v>95119.561700000006</v>
      </c>
      <c r="K368">
        <v>4.3E-3</v>
      </c>
      <c r="L368">
        <v>2.7100000000000002E-3</v>
      </c>
      <c r="M368">
        <v>0.245</v>
      </c>
      <c r="N368">
        <v>0.1234</v>
      </c>
      <c r="O368">
        <v>3.0899999999999999E-3</v>
      </c>
      <c r="P368" s="3">
        <f t="shared" si="20"/>
        <v>1051.3127557876132</v>
      </c>
      <c r="Q368" s="3">
        <f t="shared" si="21"/>
        <v>4.2950170250151132E-3</v>
      </c>
      <c r="R368" s="3">
        <f t="shared" si="22"/>
        <v>2.7100000000000002E-3</v>
      </c>
      <c r="S368">
        <f t="shared" si="23"/>
        <v>8</v>
      </c>
      <c r="T368">
        <f>INDEX([1]IDEN_level_ids!$B:$B,MATCH(G368,[1]IDEN_level_ids!$A:$A,0),1)</f>
        <v>1193</v>
      </c>
      <c r="U368">
        <f>INDEX([1]IDEN_level_ids!$B:$B,MATCH(H368,[1]IDEN_level_ids!$A:$A,0),1)</f>
        <v>720</v>
      </c>
    </row>
    <row r="369" spans="1:21" hidden="1" x14ac:dyDescent="0.25">
      <c r="A369">
        <v>95116.086200000005</v>
      </c>
      <c r="B369">
        <v>1051.3469</v>
      </c>
      <c r="C369">
        <v>4</v>
      </c>
      <c r="D369" t="s">
        <v>248</v>
      </c>
      <c r="F369">
        <v>1969</v>
      </c>
      <c r="G369" s="1" t="s">
        <v>77</v>
      </c>
      <c r="H369" s="1" t="s">
        <v>219</v>
      </c>
      <c r="I369">
        <v>0</v>
      </c>
      <c r="J369">
        <v>95116.091799999995</v>
      </c>
      <c r="K369">
        <v>6.0000000000000002E-5</v>
      </c>
      <c r="L369">
        <v>2.7100000000000002E-3</v>
      </c>
      <c r="M369">
        <v>0.245</v>
      </c>
      <c r="N369">
        <v>0.20269999999999999</v>
      </c>
      <c r="O369">
        <v>3.3999999999999998E-3</v>
      </c>
      <c r="P369" s="3">
        <f t="shared" si="20"/>
        <v>1051.346875119847</v>
      </c>
      <c r="Q369" s="3">
        <f t="shared" si="21"/>
        <v>6.1898490457679145E-5</v>
      </c>
      <c r="R369" s="3">
        <f t="shared" si="22"/>
        <v>2.7100000000000002E-3</v>
      </c>
      <c r="S369">
        <f t="shared" si="23"/>
        <v>8</v>
      </c>
      <c r="T369">
        <f>INDEX([1]IDEN_level_ids!$B:$B,MATCH(G369,[1]IDEN_level_ids!$A:$A,0),1)</f>
        <v>1197</v>
      </c>
      <c r="U369">
        <f>INDEX([1]IDEN_level_ids!$B:$B,MATCH(H369,[1]IDEN_level_ids!$A:$A,0),1)</f>
        <v>738</v>
      </c>
    </row>
    <row r="370" spans="1:21" hidden="1" x14ac:dyDescent="0.25">
      <c r="A370">
        <v>95109.199800000002</v>
      </c>
      <c r="B370">
        <v>1051.423</v>
      </c>
      <c r="C370">
        <v>4</v>
      </c>
      <c r="D370" t="s">
        <v>248</v>
      </c>
      <c r="F370">
        <v>1969</v>
      </c>
      <c r="G370" s="1" t="s">
        <v>252</v>
      </c>
      <c r="H370" s="1" t="s">
        <v>227</v>
      </c>
      <c r="I370">
        <v>0</v>
      </c>
      <c r="J370">
        <v>95109.1682</v>
      </c>
      <c r="K370">
        <v>-3.5E-4</v>
      </c>
      <c r="L370">
        <v>2.7100000000000002E-3</v>
      </c>
      <c r="M370">
        <v>0.245</v>
      </c>
      <c r="N370">
        <v>2.87E-2</v>
      </c>
      <c r="O370">
        <v>2.7899999999999999E-3</v>
      </c>
      <c r="P370" s="3">
        <f t="shared" si="20"/>
        <v>1051.4229980936082</v>
      </c>
      <c r="Q370" s="3">
        <f t="shared" si="21"/>
        <v>-3.4933505753542704E-4</v>
      </c>
      <c r="R370" s="3">
        <f t="shared" si="22"/>
        <v>2.7100000000000002E-3</v>
      </c>
      <c r="S370">
        <f t="shared" si="23"/>
        <v>8</v>
      </c>
      <c r="T370">
        <f>INDEX([1]IDEN_level_ids!$B:$B,MATCH(G370,[1]IDEN_level_ids!$A:$A,0),1)</f>
        <v>1188</v>
      </c>
      <c r="U370">
        <f>INDEX([1]IDEN_level_ids!$B:$B,MATCH(H370,[1]IDEN_level_ids!$A:$A,0),1)</f>
        <v>680</v>
      </c>
    </row>
    <row r="371" spans="1:21" hidden="1" x14ac:dyDescent="0.25">
      <c r="A371">
        <v>95096.091799999995</v>
      </c>
      <c r="B371">
        <v>1051.5679</v>
      </c>
      <c r="C371">
        <v>4</v>
      </c>
      <c r="D371" t="s">
        <v>248</v>
      </c>
      <c r="F371">
        <v>1969</v>
      </c>
      <c r="G371" s="1" t="s">
        <v>46</v>
      </c>
      <c r="H371" s="1" t="s">
        <v>150</v>
      </c>
      <c r="I371">
        <v>0</v>
      </c>
      <c r="J371">
        <v>95096.258499999996</v>
      </c>
      <c r="K371">
        <v>1.8400000000000001E-3</v>
      </c>
      <c r="L371">
        <v>2.7100000000000002E-3</v>
      </c>
      <c r="M371">
        <v>0.245</v>
      </c>
      <c r="N371">
        <v>1.8200000000000001E-2</v>
      </c>
      <c r="O371">
        <v>2.7599999999999999E-3</v>
      </c>
      <c r="P371" s="3">
        <f t="shared" si="20"/>
        <v>1051.5679257388788</v>
      </c>
      <c r="Q371" s="3">
        <f t="shared" si="21"/>
        <v>1.8433572042795277E-3</v>
      </c>
      <c r="R371" s="3">
        <f t="shared" si="22"/>
        <v>2.7100000000000002E-3</v>
      </c>
      <c r="S371">
        <f t="shared" si="23"/>
        <v>8</v>
      </c>
      <c r="T371">
        <f>INDEX([1]IDEN_level_ids!$B:$B,MATCH(G371,[1]IDEN_level_ids!$A:$A,0),1)</f>
        <v>1212</v>
      </c>
      <c r="U371">
        <f>INDEX([1]IDEN_level_ids!$B:$B,MATCH(H371,[1]IDEN_level_ids!$A:$A,0),1)</f>
        <v>769</v>
      </c>
    </row>
    <row r="372" spans="1:21" hidden="1" x14ac:dyDescent="0.25">
      <c r="A372">
        <v>95081.231100000005</v>
      </c>
      <c r="B372">
        <v>1051.7322999999999</v>
      </c>
      <c r="C372">
        <v>4</v>
      </c>
      <c r="D372" t="s">
        <v>248</v>
      </c>
      <c r="F372">
        <v>1969</v>
      </c>
      <c r="G372" s="1" t="s">
        <v>244</v>
      </c>
      <c r="H372" s="1" t="s">
        <v>229</v>
      </c>
      <c r="I372">
        <v>0</v>
      </c>
      <c r="J372">
        <v>95081.815300000002</v>
      </c>
      <c r="K372">
        <v>6.4599999999999996E-3</v>
      </c>
      <c r="L372">
        <v>2.7100000000000002E-3</v>
      </c>
      <c r="M372">
        <v>0.245</v>
      </c>
      <c r="N372">
        <v>0.33650000000000002</v>
      </c>
      <c r="O372">
        <v>4.0800000000000003E-3</v>
      </c>
      <c r="P372" s="3">
        <f t="shared" si="20"/>
        <v>1051.7322803154154</v>
      </c>
      <c r="Q372" s="3">
        <f t="shared" si="21"/>
        <v>6.4620347877735185E-3</v>
      </c>
      <c r="R372" s="3">
        <f t="shared" si="22"/>
        <v>2.7100000000000002E-3</v>
      </c>
      <c r="S372">
        <f t="shared" si="23"/>
        <v>8</v>
      </c>
      <c r="T372">
        <f>INDEX([1]IDEN_level_ids!$B:$B,MATCH(G372,[1]IDEN_level_ids!$A:$A,0),1)</f>
        <v>1195</v>
      </c>
      <c r="U372">
        <f>INDEX([1]IDEN_level_ids!$B:$B,MATCH(H372,[1]IDEN_level_ids!$A:$A,0),1)</f>
        <v>733</v>
      </c>
    </row>
    <row r="373" spans="1:21" hidden="1" x14ac:dyDescent="0.25">
      <c r="A373">
        <v>95075.817899999995</v>
      </c>
      <c r="B373">
        <v>1051.7922000000001</v>
      </c>
      <c r="C373">
        <v>4</v>
      </c>
      <c r="D373" t="s">
        <v>248</v>
      </c>
      <c r="F373">
        <v>1969</v>
      </c>
      <c r="G373" s="1" t="s">
        <v>59</v>
      </c>
      <c r="H373" s="1" t="s">
        <v>205</v>
      </c>
      <c r="I373">
        <v>0</v>
      </c>
      <c r="J373">
        <v>95076.020600000003</v>
      </c>
      <c r="K373">
        <v>2.2399999999999998E-3</v>
      </c>
      <c r="L373">
        <v>2.7100000000000002E-3</v>
      </c>
      <c r="M373">
        <v>0.245</v>
      </c>
      <c r="N373">
        <v>4.2999999999999997E-2</v>
      </c>
      <c r="O373">
        <v>2.8300000000000001E-3</v>
      </c>
      <c r="P373" s="3">
        <f t="shared" si="20"/>
        <v>1051.7921613377991</v>
      </c>
      <c r="Q373" s="3">
        <f t="shared" si="21"/>
        <v>2.2423979230552504E-3</v>
      </c>
      <c r="R373" s="3">
        <f t="shared" si="22"/>
        <v>2.7100000000000002E-3</v>
      </c>
      <c r="S373">
        <f t="shared" si="23"/>
        <v>8</v>
      </c>
      <c r="T373">
        <f>INDEX([1]IDEN_level_ids!$B:$B,MATCH(G373,[1]IDEN_level_ids!$A:$A,0),1)</f>
        <v>1211</v>
      </c>
      <c r="U373">
        <f>INDEX([1]IDEN_level_ids!$B:$B,MATCH(H373,[1]IDEN_level_ids!$A:$A,0),1)</f>
        <v>770</v>
      </c>
    </row>
    <row r="374" spans="1:21" hidden="1" x14ac:dyDescent="0.25">
      <c r="A374">
        <v>95070.4997</v>
      </c>
      <c r="B374">
        <v>1051.8510000000001</v>
      </c>
      <c r="C374">
        <v>4</v>
      </c>
      <c r="D374" t="s">
        <v>248</v>
      </c>
      <c r="F374">
        <v>1969</v>
      </c>
      <c r="G374" s="1" t="s">
        <v>62</v>
      </c>
      <c r="H374" s="1" t="s">
        <v>103</v>
      </c>
      <c r="I374">
        <v>0</v>
      </c>
      <c r="J374">
        <v>95070.477799999993</v>
      </c>
      <c r="K374">
        <v>-2.4000000000000001E-4</v>
      </c>
      <c r="L374">
        <v>2.7100000000000002E-3</v>
      </c>
      <c r="M374">
        <v>0.245</v>
      </c>
      <c r="N374">
        <v>2.75E-2</v>
      </c>
      <c r="O374">
        <v>2.7899999999999999E-3</v>
      </c>
      <c r="P374" s="3">
        <f t="shared" si="20"/>
        <v>1051.8509981072498</v>
      </c>
      <c r="Q374" s="3">
        <f t="shared" si="21"/>
        <v>-2.4229958034993615E-4</v>
      </c>
      <c r="R374" s="3">
        <f t="shared" si="22"/>
        <v>2.7100000000000002E-3</v>
      </c>
      <c r="S374">
        <f t="shared" si="23"/>
        <v>8</v>
      </c>
      <c r="T374">
        <f>INDEX([1]IDEN_level_ids!$B:$B,MATCH(G374,[1]IDEN_level_ids!$A:$A,0),1)</f>
        <v>1203</v>
      </c>
      <c r="U374">
        <f>INDEX([1]IDEN_level_ids!$B:$B,MATCH(H374,[1]IDEN_level_ids!$A:$A,0),1)</f>
        <v>745</v>
      </c>
    </row>
    <row r="375" spans="1:21" hidden="1" x14ac:dyDescent="0.25">
      <c r="A375">
        <v>95063.427599999995</v>
      </c>
      <c r="B375">
        <v>1051.9292</v>
      </c>
      <c r="C375">
        <v>4</v>
      </c>
      <c r="D375" t="s">
        <v>248</v>
      </c>
      <c r="F375">
        <v>1969</v>
      </c>
      <c r="G375" s="1" t="s">
        <v>253</v>
      </c>
      <c r="H375" s="1" t="s">
        <v>254</v>
      </c>
      <c r="I375">
        <v>0</v>
      </c>
      <c r="J375">
        <v>95063.936400000006</v>
      </c>
      <c r="K375">
        <v>5.6299999999999996E-3</v>
      </c>
      <c r="L375">
        <v>2.7100000000000002E-3</v>
      </c>
      <c r="M375">
        <v>0.245</v>
      </c>
      <c r="N375">
        <v>0.21160000000000001</v>
      </c>
      <c r="O375">
        <v>3.4399999999999999E-3</v>
      </c>
      <c r="P375" s="3">
        <f t="shared" si="20"/>
        <v>1051.9292489722936</v>
      </c>
      <c r="Q375" s="3">
        <f t="shared" si="21"/>
        <v>5.6301224435628683E-3</v>
      </c>
      <c r="R375" s="3">
        <f t="shared" si="22"/>
        <v>2.7100000000000002E-3</v>
      </c>
      <c r="S375">
        <f t="shared" si="23"/>
        <v>8</v>
      </c>
      <c r="T375">
        <f>INDEX([1]IDEN_level_ids!$B:$B,MATCH(G375,[1]IDEN_level_ids!$A:$A,0),1)</f>
        <v>1181</v>
      </c>
      <c r="U375">
        <f>INDEX([1]IDEN_level_ids!$B:$B,MATCH(H375,[1]IDEN_level_ids!$A:$A,0),1)</f>
        <v>684</v>
      </c>
    </row>
    <row r="376" spans="1:21" hidden="1" x14ac:dyDescent="0.25">
      <c r="A376">
        <v>95045.01</v>
      </c>
      <c r="B376">
        <v>1052.1331</v>
      </c>
      <c r="C376">
        <v>4</v>
      </c>
      <c r="D376" t="s">
        <v>248</v>
      </c>
      <c r="E376" t="s">
        <v>52</v>
      </c>
      <c r="F376">
        <v>1969</v>
      </c>
      <c r="G376" s="1" t="s">
        <v>255</v>
      </c>
      <c r="H376" s="1" t="s">
        <v>42</v>
      </c>
      <c r="I376">
        <v>0</v>
      </c>
      <c r="J376">
        <v>95045.339000000007</v>
      </c>
      <c r="K376">
        <v>3.64E-3</v>
      </c>
      <c r="L376">
        <v>3.0599999999999998E-3</v>
      </c>
      <c r="M376">
        <v>0.27600000000000002</v>
      </c>
      <c r="N376">
        <v>0.22239999999999999</v>
      </c>
      <c r="O376">
        <v>3.9300000000000003E-3</v>
      </c>
      <c r="P376" s="3">
        <f t="shared" si="20"/>
        <v>1052.1330893647125</v>
      </c>
      <c r="Q376" s="3">
        <f t="shared" si="21"/>
        <v>3.6419648774881352E-3</v>
      </c>
      <c r="R376" s="3">
        <f t="shared" si="22"/>
        <v>3.0599999999999998E-3</v>
      </c>
      <c r="S376">
        <f t="shared" si="23"/>
        <v>8</v>
      </c>
      <c r="T376">
        <f>INDEX([1]IDEN_level_ids!$B:$B,MATCH(G376,[1]IDEN_level_ids!$A:$A,0),1)</f>
        <v>1111</v>
      </c>
      <c r="U376">
        <f>INDEX([1]IDEN_level_ids!$B:$B,MATCH(H376,[1]IDEN_level_ids!$A:$A,0),1)</f>
        <v>444</v>
      </c>
    </row>
    <row r="377" spans="1:21" hidden="1" x14ac:dyDescent="0.25">
      <c r="A377">
        <v>95015.826799999995</v>
      </c>
      <c r="B377">
        <v>1052.4562000000001</v>
      </c>
      <c r="C377">
        <v>4</v>
      </c>
      <c r="D377" t="s">
        <v>248</v>
      </c>
      <c r="F377">
        <v>1969</v>
      </c>
      <c r="G377" s="1" t="s">
        <v>72</v>
      </c>
      <c r="H377" s="1" t="s">
        <v>179</v>
      </c>
      <c r="I377">
        <v>0</v>
      </c>
      <c r="J377">
        <v>95016.1783</v>
      </c>
      <c r="K377">
        <v>3.8899999999999998E-3</v>
      </c>
      <c r="L377">
        <v>2.7100000000000002E-3</v>
      </c>
      <c r="M377">
        <v>0.245</v>
      </c>
      <c r="N377">
        <v>2.1600000000000001E-2</v>
      </c>
      <c r="O377">
        <v>2.7699999999999999E-3</v>
      </c>
      <c r="P377" s="3">
        <f t="shared" si="20"/>
        <v>1052.4562419531565</v>
      </c>
      <c r="Q377" s="3">
        <f t="shared" si="21"/>
        <v>3.8934250530928693E-3</v>
      </c>
      <c r="R377" s="3">
        <f t="shared" si="22"/>
        <v>2.7100000000000002E-3</v>
      </c>
      <c r="S377">
        <f t="shared" si="23"/>
        <v>8</v>
      </c>
      <c r="T377">
        <f>INDEX([1]IDEN_level_ids!$B:$B,MATCH(G377,[1]IDEN_level_ids!$A:$A,0),1)</f>
        <v>1225</v>
      </c>
      <c r="U377">
        <f>INDEX([1]IDEN_level_ids!$B:$B,MATCH(H377,[1]IDEN_level_ids!$A:$A,0),1)</f>
        <v>791</v>
      </c>
    </row>
    <row r="378" spans="1:21" hidden="1" x14ac:dyDescent="0.25">
      <c r="A378">
        <v>94983.427100000001</v>
      </c>
      <c r="B378">
        <v>1052.8152</v>
      </c>
      <c r="C378">
        <v>4</v>
      </c>
      <c r="D378" t="s">
        <v>248</v>
      </c>
      <c r="F378">
        <v>1969</v>
      </c>
      <c r="G378" s="1" t="s">
        <v>256</v>
      </c>
      <c r="H378" s="1" t="s">
        <v>257</v>
      </c>
      <c r="I378">
        <v>0</v>
      </c>
      <c r="J378">
        <v>94983.584400000007</v>
      </c>
      <c r="K378">
        <v>1.74E-3</v>
      </c>
      <c r="L378">
        <v>2.7200000000000002E-3</v>
      </c>
      <c r="M378">
        <v>0.245</v>
      </c>
      <c r="N378">
        <v>0.25590000000000002</v>
      </c>
      <c r="O378">
        <v>3.65E-3</v>
      </c>
      <c r="P378" s="3">
        <f t="shared" si="20"/>
        <v>1052.8152442290641</v>
      </c>
      <c r="Q378" s="3">
        <f t="shared" si="21"/>
        <v>1.7435416759781219E-3</v>
      </c>
      <c r="R378" s="3">
        <f t="shared" si="22"/>
        <v>2.7200000000000002E-3</v>
      </c>
      <c r="S378">
        <f t="shared" si="23"/>
        <v>8</v>
      </c>
      <c r="T378">
        <f>INDEX([1]IDEN_level_ids!$B:$B,MATCH(G378,[1]IDEN_level_ids!$A:$A,0),1)</f>
        <v>1120</v>
      </c>
      <c r="U378">
        <f>INDEX([1]IDEN_level_ids!$B:$B,MATCH(H378,[1]IDEN_level_ids!$A:$A,0),1)</f>
        <v>479</v>
      </c>
    </row>
    <row r="379" spans="1:21" hidden="1" x14ac:dyDescent="0.25">
      <c r="A379">
        <v>94957.296100000007</v>
      </c>
      <c r="B379">
        <v>1053.105</v>
      </c>
      <c r="C379">
        <v>4</v>
      </c>
      <c r="D379" t="s">
        <v>248</v>
      </c>
      <c r="F379">
        <v>1969</v>
      </c>
      <c r="G379" s="1" t="s">
        <v>256</v>
      </c>
      <c r="H379" s="1" t="s">
        <v>173</v>
      </c>
      <c r="I379">
        <v>0</v>
      </c>
      <c r="J379">
        <v>94956.818599999999</v>
      </c>
      <c r="K379">
        <v>-5.3E-3</v>
      </c>
      <c r="L379">
        <v>2.7200000000000002E-3</v>
      </c>
      <c r="M379">
        <v>0.245</v>
      </c>
      <c r="N379">
        <v>0.16619999999999999</v>
      </c>
      <c r="O379">
        <v>3.2599999999999999E-3</v>
      </c>
      <c r="P379" s="3">
        <f t="shared" si="20"/>
        <v>1053.1049651486442</v>
      </c>
      <c r="Q379" s="3">
        <f t="shared" si="21"/>
        <v>-5.2956452025227918E-3</v>
      </c>
      <c r="R379" s="3">
        <f t="shared" si="22"/>
        <v>2.7200000000000002E-3</v>
      </c>
      <c r="S379">
        <f t="shared" si="23"/>
        <v>8</v>
      </c>
      <c r="T379">
        <f>INDEX([1]IDEN_level_ids!$B:$B,MATCH(G379,[1]IDEN_level_ids!$A:$A,0),1)</f>
        <v>1120</v>
      </c>
      <c r="U379">
        <f>INDEX([1]IDEN_level_ids!$B:$B,MATCH(H379,[1]IDEN_level_ids!$A:$A,0),1)</f>
        <v>483</v>
      </c>
    </row>
    <row r="380" spans="1:21" hidden="1" x14ac:dyDescent="0.25">
      <c r="A380">
        <v>94950.800700000007</v>
      </c>
      <c r="B380">
        <v>1053.1769999999999</v>
      </c>
      <c r="C380">
        <v>4</v>
      </c>
      <c r="D380" t="s">
        <v>248</v>
      </c>
      <c r="F380">
        <v>1969</v>
      </c>
      <c r="G380" s="1" t="s">
        <v>243</v>
      </c>
      <c r="H380" s="1" t="s">
        <v>258</v>
      </c>
      <c r="I380">
        <v>0</v>
      </c>
      <c r="J380">
        <v>94951.627900000007</v>
      </c>
      <c r="K380">
        <v>9.1800000000000007E-3</v>
      </c>
      <c r="L380">
        <v>2.7200000000000002E-3</v>
      </c>
      <c r="M380">
        <v>0.245</v>
      </c>
      <c r="N380">
        <v>4.2900000000000001E-2</v>
      </c>
      <c r="O380">
        <v>2.8400000000000001E-3</v>
      </c>
      <c r="P380" s="3">
        <f t="shared" si="20"/>
        <v>1053.1770060154952</v>
      </c>
      <c r="Q380" s="3">
        <f t="shared" si="21"/>
        <v>9.1750719670926628E-3</v>
      </c>
      <c r="R380" s="3">
        <f t="shared" si="22"/>
        <v>2.7200000000000002E-3</v>
      </c>
      <c r="S380">
        <f t="shared" si="23"/>
        <v>8</v>
      </c>
      <c r="T380">
        <f>INDEX([1]IDEN_level_ids!$B:$B,MATCH(G380,[1]IDEN_level_ids!$A:$A,0),1)</f>
        <v>1205</v>
      </c>
      <c r="U380">
        <f>INDEX([1]IDEN_level_ids!$B:$B,MATCH(H380,[1]IDEN_level_ids!$A:$A,0),1)</f>
        <v>755</v>
      </c>
    </row>
    <row r="381" spans="1:21" hidden="1" x14ac:dyDescent="0.25">
      <c r="A381">
        <v>94929.6106</v>
      </c>
      <c r="B381">
        <v>1053.4121</v>
      </c>
      <c r="C381">
        <v>4</v>
      </c>
      <c r="D381" t="s">
        <v>248</v>
      </c>
      <c r="F381">
        <v>1969</v>
      </c>
      <c r="G381" s="1" t="s">
        <v>259</v>
      </c>
      <c r="H381" s="1" t="s">
        <v>260</v>
      </c>
      <c r="I381">
        <v>0</v>
      </c>
      <c r="J381">
        <v>94929.819099999993</v>
      </c>
      <c r="K381">
        <v>2.31E-3</v>
      </c>
      <c r="L381">
        <v>2.7200000000000002E-3</v>
      </c>
      <c r="M381">
        <v>0.245</v>
      </c>
      <c r="N381">
        <v>0.26179999999999998</v>
      </c>
      <c r="O381">
        <v>3.6800000000000001E-3</v>
      </c>
      <c r="P381" s="3">
        <f t="shared" si="20"/>
        <v>1053.4120952140511</v>
      </c>
      <c r="Q381" s="3">
        <f t="shared" si="21"/>
        <v>2.3136715515192918E-3</v>
      </c>
      <c r="R381" s="3">
        <f t="shared" si="22"/>
        <v>2.7200000000000002E-3</v>
      </c>
      <c r="S381">
        <f t="shared" si="23"/>
        <v>8</v>
      </c>
      <c r="T381">
        <f>INDEX([1]IDEN_level_ids!$B:$B,MATCH(G381,[1]IDEN_level_ids!$A:$A,0),1)</f>
        <v>1117</v>
      </c>
      <c r="U381">
        <f>INDEX([1]IDEN_level_ids!$B:$B,MATCH(H381,[1]IDEN_level_ids!$A:$A,0),1)</f>
        <v>465</v>
      </c>
    </row>
    <row r="382" spans="1:21" hidden="1" x14ac:dyDescent="0.25">
      <c r="A382">
        <v>94887.812999999995</v>
      </c>
      <c r="B382">
        <v>1053.8761</v>
      </c>
      <c r="C382">
        <v>4</v>
      </c>
      <c r="D382" t="s">
        <v>248</v>
      </c>
      <c r="F382">
        <v>1969</v>
      </c>
      <c r="G382" s="1" t="s">
        <v>84</v>
      </c>
      <c r="H382" s="1" t="s">
        <v>159</v>
      </c>
      <c r="I382">
        <v>0</v>
      </c>
      <c r="J382">
        <v>94888.107900000003</v>
      </c>
      <c r="K382">
        <v>3.2699999999999999E-3</v>
      </c>
      <c r="L382">
        <v>2.7200000000000002E-3</v>
      </c>
      <c r="M382">
        <v>0.245</v>
      </c>
      <c r="N382">
        <v>2.3900000000000001E-2</v>
      </c>
      <c r="O382">
        <v>2.7899999999999999E-3</v>
      </c>
      <c r="P382" s="3">
        <f t="shared" si="20"/>
        <v>1053.8761178951402</v>
      </c>
      <c r="Q382" s="3">
        <f t="shared" si="21"/>
        <v>3.2753110381236183E-3</v>
      </c>
      <c r="R382" s="3">
        <f t="shared" si="22"/>
        <v>2.7200000000000002E-3</v>
      </c>
      <c r="S382">
        <f t="shared" si="23"/>
        <v>8</v>
      </c>
      <c r="T382">
        <f>INDEX([1]IDEN_level_ids!$B:$B,MATCH(G382,[1]IDEN_level_ids!$A:$A,0),1)</f>
        <v>1191</v>
      </c>
      <c r="U382">
        <f>INDEX([1]IDEN_level_ids!$B:$B,MATCH(H382,[1]IDEN_level_ids!$A:$A,0),1)</f>
        <v>702</v>
      </c>
    </row>
    <row r="383" spans="1:21" hidden="1" x14ac:dyDescent="0.25">
      <c r="A383">
        <v>94852.995599999995</v>
      </c>
      <c r="B383">
        <v>1054.2629999999999</v>
      </c>
      <c r="C383">
        <v>4</v>
      </c>
      <c r="D383" t="s">
        <v>248</v>
      </c>
      <c r="F383">
        <v>1969</v>
      </c>
      <c r="G383" s="1" t="s">
        <v>69</v>
      </c>
      <c r="H383" s="1" t="s">
        <v>164</v>
      </c>
      <c r="I383">
        <v>0</v>
      </c>
      <c r="J383">
        <v>94852.931200000006</v>
      </c>
      <c r="K383">
        <v>-7.2000000000000005E-4</v>
      </c>
      <c r="L383">
        <v>2.7200000000000002E-3</v>
      </c>
      <c r="M383">
        <v>0.245</v>
      </c>
      <c r="N383">
        <v>1.44E-2</v>
      </c>
      <c r="O383">
        <v>2.7599999999999999E-3</v>
      </c>
      <c r="P383" s="3">
        <f t="shared" si="20"/>
        <v>1054.2629609897108</v>
      </c>
      <c r="Q383" s="3">
        <f t="shared" si="21"/>
        <v>-7.1578741744815488E-4</v>
      </c>
      <c r="R383" s="3">
        <f t="shared" si="22"/>
        <v>2.7200000000000002E-3</v>
      </c>
      <c r="S383">
        <f t="shared" si="23"/>
        <v>8</v>
      </c>
      <c r="T383">
        <f>INDEX([1]IDEN_level_ids!$B:$B,MATCH(G383,[1]IDEN_level_ids!$A:$A,0),1)</f>
        <v>1218</v>
      </c>
      <c r="U383">
        <f>INDEX([1]IDEN_level_ids!$B:$B,MATCH(H383,[1]IDEN_level_ids!$A:$A,0),1)</f>
        <v>787</v>
      </c>
    </row>
    <row r="384" spans="1:21" hidden="1" x14ac:dyDescent="0.25">
      <c r="A384">
        <v>94836.988899999997</v>
      </c>
      <c r="B384">
        <v>1054.4409000000001</v>
      </c>
      <c r="C384">
        <v>4</v>
      </c>
      <c r="D384" t="s">
        <v>248</v>
      </c>
      <c r="F384">
        <v>1969</v>
      </c>
      <c r="G384" s="1" t="s">
        <v>252</v>
      </c>
      <c r="H384" s="1" t="s">
        <v>113</v>
      </c>
      <c r="I384">
        <v>0</v>
      </c>
      <c r="J384">
        <v>94837.26</v>
      </c>
      <c r="K384">
        <v>3.0100000000000001E-3</v>
      </c>
      <c r="L384">
        <v>2.7200000000000002E-3</v>
      </c>
      <c r="M384">
        <v>0.245</v>
      </c>
      <c r="N384">
        <v>0.25700000000000001</v>
      </c>
      <c r="O384">
        <v>3.6700000000000001E-3</v>
      </c>
      <c r="P384" s="3">
        <f t="shared" si="20"/>
        <v>1054.4409007485897</v>
      </c>
      <c r="Q384" s="3">
        <f t="shared" si="21"/>
        <v>3.0142048408379196E-3</v>
      </c>
      <c r="R384" s="3">
        <f t="shared" si="22"/>
        <v>2.7200000000000002E-3</v>
      </c>
      <c r="S384">
        <f t="shared" si="23"/>
        <v>8</v>
      </c>
      <c r="T384">
        <f>INDEX([1]IDEN_level_ids!$B:$B,MATCH(G384,[1]IDEN_level_ids!$A:$A,0),1)</f>
        <v>1188</v>
      </c>
      <c r="U384">
        <f>INDEX([1]IDEN_level_ids!$B:$B,MATCH(H384,[1]IDEN_level_ids!$A:$A,0),1)</f>
        <v>694</v>
      </c>
    </row>
    <row r="385" spans="1:21" hidden="1" x14ac:dyDescent="0.25">
      <c r="A385">
        <v>94829.414099999995</v>
      </c>
      <c r="B385">
        <v>1054.5251000000001</v>
      </c>
      <c r="C385">
        <v>4</v>
      </c>
      <c r="D385" t="s">
        <v>248</v>
      </c>
      <c r="E385" t="s">
        <v>52</v>
      </c>
      <c r="F385">
        <v>1969</v>
      </c>
      <c r="G385" s="1" t="s">
        <v>194</v>
      </c>
      <c r="H385" s="1" t="s">
        <v>215</v>
      </c>
      <c r="I385">
        <v>0</v>
      </c>
      <c r="J385">
        <v>94829.350399999996</v>
      </c>
      <c r="K385">
        <v>-7.1000000000000002E-4</v>
      </c>
      <c r="L385">
        <v>3.0699999999999998E-3</v>
      </c>
      <c r="M385">
        <v>0.27600000000000002</v>
      </c>
      <c r="N385">
        <v>1.9699999999999999E-2</v>
      </c>
      <c r="O385">
        <v>3.13E-3</v>
      </c>
      <c r="P385" s="3">
        <f t="shared" si="20"/>
        <v>1054.5251275574421</v>
      </c>
      <c r="Q385" s="3">
        <f t="shared" si="21"/>
        <v>-7.0835928272572346E-4</v>
      </c>
      <c r="R385" s="3">
        <f t="shared" si="22"/>
        <v>3.0699999999999998E-3</v>
      </c>
      <c r="S385">
        <f t="shared" si="23"/>
        <v>8</v>
      </c>
      <c r="T385">
        <f>INDEX([1]IDEN_level_ids!$B:$B,MATCH(G385,[1]IDEN_level_ids!$A:$A,0),1)</f>
        <v>1187</v>
      </c>
      <c r="U385">
        <f>INDEX([1]IDEN_level_ids!$B:$B,MATCH(H385,[1]IDEN_level_ids!$A:$A,0),1)</f>
        <v>699</v>
      </c>
    </row>
    <row r="386" spans="1:21" hidden="1" x14ac:dyDescent="0.25">
      <c r="A386">
        <v>94821.506999999998</v>
      </c>
      <c r="B386">
        <v>1054.6131</v>
      </c>
      <c r="C386">
        <v>4</v>
      </c>
      <c r="D386" t="s">
        <v>248</v>
      </c>
      <c r="F386">
        <v>1969</v>
      </c>
      <c r="G386" s="1" t="s">
        <v>243</v>
      </c>
      <c r="H386" s="1" t="s">
        <v>128</v>
      </c>
      <c r="I386">
        <v>0</v>
      </c>
      <c r="J386">
        <v>94821.6639</v>
      </c>
      <c r="K386">
        <v>1.75E-3</v>
      </c>
      <c r="L386">
        <v>2.7200000000000002E-3</v>
      </c>
      <c r="M386">
        <v>0.245</v>
      </c>
      <c r="N386">
        <v>4.7199999999999999E-2</v>
      </c>
      <c r="O386">
        <v>2.8600000000000001E-3</v>
      </c>
      <c r="P386" s="3">
        <f t="shared" ref="P386:P449" si="24">100000000/$A386</f>
        <v>1054.6130636797409</v>
      </c>
      <c r="Q386" s="3">
        <f t="shared" ref="Q386:Q449" si="25">100000000/($A386)-100000000/$J386</f>
        <v>1.745052584738005E-3</v>
      </c>
      <c r="R386" s="3">
        <f t="shared" si="22"/>
        <v>2.7200000000000002E-3</v>
      </c>
      <c r="S386">
        <f t="shared" si="23"/>
        <v>8</v>
      </c>
      <c r="T386">
        <f>INDEX([1]IDEN_level_ids!$B:$B,MATCH(G386,[1]IDEN_level_ids!$A:$A,0),1)</f>
        <v>1205</v>
      </c>
      <c r="U386">
        <f>INDEX([1]IDEN_level_ids!$B:$B,MATCH(H386,[1]IDEN_level_ids!$A:$A,0),1)</f>
        <v>756</v>
      </c>
    </row>
    <row r="387" spans="1:21" hidden="1" x14ac:dyDescent="0.25">
      <c r="A387">
        <v>94780.278699999995</v>
      </c>
      <c r="B387">
        <v>1055.0717999999999</v>
      </c>
      <c r="C387">
        <v>4</v>
      </c>
      <c r="D387" t="s">
        <v>248</v>
      </c>
      <c r="F387">
        <v>1969</v>
      </c>
      <c r="G387" s="1" t="s">
        <v>239</v>
      </c>
      <c r="H387" s="1" t="s">
        <v>261</v>
      </c>
      <c r="I387">
        <v>0</v>
      </c>
      <c r="J387">
        <v>94780.591799999995</v>
      </c>
      <c r="K387">
        <v>3.49E-3</v>
      </c>
      <c r="L387">
        <v>2.7299999999999998E-3</v>
      </c>
      <c r="M387">
        <v>0.245</v>
      </c>
      <c r="N387">
        <v>0.20449999999999999</v>
      </c>
      <c r="O387">
        <v>3.4299999999999999E-3</v>
      </c>
      <c r="P387" s="3">
        <f t="shared" si="24"/>
        <v>1055.0718078865493</v>
      </c>
      <c r="Q387" s="3">
        <f t="shared" si="25"/>
        <v>3.4853441698032839E-3</v>
      </c>
      <c r="R387" s="3">
        <f t="shared" ref="R387:R450" si="26">$L387</f>
        <v>2.7299999999999998E-3</v>
      </c>
      <c r="S387">
        <f t="shared" si="23"/>
        <v>8</v>
      </c>
      <c r="T387">
        <f>INDEX([1]IDEN_level_ids!$B:$B,MATCH(G387,[1]IDEN_level_ids!$A:$A,0),1)</f>
        <v>1167</v>
      </c>
      <c r="U387">
        <f>INDEX([1]IDEN_level_ids!$B:$B,MATCH(H387,[1]IDEN_level_ids!$A:$A,0),1)</f>
        <v>653</v>
      </c>
    </row>
    <row r="388" spans="1:21" hidden="1" x14ac:dyDescent="0.25">
      <c r="A388">
        <v>94773.891000000003</v>
      </c>
      <c r="B388">
        <v>1055.1429000000001</v>
      </c>
      <c r="C388">
        <v>4</v>
      </c>
      <c r="D388" t="s">
        <v>248</v>
      </c>
      <c r="F388">
        <v>1969</v>
      </c>
      <c r="G388" s="1" t="s">
        <v>40</v>
      </c>
      <c r="H388" s="1" t="s">
        <v>103</v>
      </c>
      <c r="I388">
        <v>0</v>
      </c>
      <c r="J388">
        <v>94774.041899999997</v>
      </c>
      <c r="K388">
        <v>1.6800000000000001E-3</v>
      </c>
      <c r="L388">
        <v>2.7299999999999998E-3</v>
      </c>
      <c r="M388">
        <v>0.245</v>
      </c>
      <c r="N388">
        <v>2.4400000000000002E-2</v>
      </c>
      <c r="O388">
        <v>2.8E-3</v>
      </c>
      <c r="P388" s="3">
        <f t="shared" si="24"/>
        <v>1055.1429190556289</v>
      </c>
      <c r="Q388" s="3">
        <f t="shared" si="25"/>
        <v>1.6800071337002009E-3</v>
      </c>
      <c r="R388" s="3">
        <f t="shared" si="26"/>
        <v>2.7299999999999998E-3</v>
      </c>
      <c r="S388">
        <f t="shared" ref="S388:S451" si="27">IF(D388=D387,S387,S387+1)</f>
        <v>8</v>
      </c>
      <c r="T388">
        <f>INDEX([1]IDEN_level_ids!$B:$B,MATCH(G388,[1]IDEN_level_ids!$A:$A,0),1)</f>
        <v>1199</v>
      </c>
      <c r="U388">
        <f>INDEX([1]IDEN_level_ids!$B:$B,MATCH(H388,[1]IDEN_level_ids!$A:$A,0),1)</f>
        <v>745</v>
      </c>
    </row>
    <row r="389" spans="1:21" hidden="1" x14ac:dyDescent="0.25">
      <c r="A389">
        <v>94760.029500000004</v>
      </c>
      <c r="B389">
        <v>1055.2973</v>
      </c>
      <c r="C389">
        <v>4</v>
      </c>
      <c r="D389" t="s">
        <v>248</v>
      </c>
      <c r="F389">
        <v>1969</v>
      </c>
      <c r="G389" s="1" t="s">
        <v>76</v>
      </c>
      <c r="H389" s="1" t="s">
        <v>106</v>
      </c>
      <c r="I389">
        <v>0</v>
      </c>
      <c r="J389">
        <v>94760.264599999995</v>
      </c>
      <c r="K389">
        <v>2.6199999999999999E-3</v>
      </c>
      <c r="L389">
        <v>2.7299999999999998E-3</v>
      </c>
      <c r="M389">
        <v>0.245</v>
      </c>
      <c r="N389">
        <v>9.7000000000000003E-2</v>
      </c>
      <c r="O389">
        <v>3.0200000000000001E-3</v>
      </c>
      <c r="P389" s="3">
        <f t="shared" si="24"/>
        <v>1055.2972653939496</v>
      </c>
      <c r="Q389" s="3">
        <f t="shared" si="25"/>
        <v>2.6181901046129497E-3</v>
      </c>
      <c r="R389" s="3">
        <f t="shared" si="26"/>
        <v>2.7299999999999998E-3</v>
      </c>
      <c r="S389">
        <f t="shared" si="27"/>
        <v>8</v>
      </c>
      <c r="T389">
        <f>INDEX([1]IDEN_level_ids!$B:$B,MATCH(G389,[1]IDEN_level_ids!$A:$A,0),1)</f>
        <v>1194</v>
      </c>
      <c r="U389">
        <f>INDEX([1]IDEN_level_ids!$B:$B,MATCH(H389,[1]IDEN_level_ids!$A:$A,0),1)</f>
        <v>726</v>
      </c>
    </row>
    <row r="390" spans="1:21" hidden="1" x14ac:dyDescent="0.25">
      <c r="A390">
        <v>94726.773000000001</v>
      </c>
      <c r="B390">
        <v>1055.6677999999999</v>
      </c>
      <c r="C390">
        <v>4</v>
      </c>
      <c r="D390" t="s">
        <v>248</v>
      </c>
      <c r="F390">
        <v>1969</v>
      </c>
      <c r="G390" s="1" t="s">
        <v>38</v>
      </c>
      <c r="H390" s="1" t="s">
        <v>191</v>
      </c>
      <c r="I390">
        <v>0</v>
      </c>
      <c r="J390">
        <v>94726.859599999996</v>
      </c>
      <c r="K390">
        <v>9.7000000000000005E-4</v>
      </c>
      <c r="L390">
        <v>2.7299999999999998E-3</v>
      </c>
      <c r="M390">
        <v>0.245</v>
      </c>
      <c r="N390">
        <v>4.2299999999999997E-2</v>
      </c>
      <c r="O390">
        <v>2.8500000000000001E-3</v>
      </c>
      <c r="P390" s="3">
        <f t="shared" si="24"/>
        <v>1055.6677572031299</v>
      </c>
      <c r="Q390" s="3">
        <f t="shared" si="25"/>
        <v>9.6509931972832419E-4</v>
      </c>
      <c r="R390" s="3">
        <f t="shared" si="26"/>
        <v>2.7299999999999998E-3</v>
      </c>
      <c r="S390">
        <f t="shared" si="27"/>
        <v>8</v>
      </c>
      <c r="T390">
        <f>INDEX([1]IDEN_level_ids!$B:$B,MATCH(G390,[1]IDEN_level_ids!$A:$A,0),1)</f>
        <v>1201</v>
      </c>
      <c r="U390">
        <f>INDEX([1]IDEN_level_ids!$B:$B,MATCH(H390,[1]IDEN_level_ids!$A:$A,0),1)</f>
        <v>749</v>
      </c>
    </row>
    <row r="391" spans="1:21" hidden="1" x14ac:dyDescent="0.25">
      <c r="A391">
        <v>94709.797200000001</v>
      </c>
      <c r="B391">
        <v>1055.857</v>
      </c>
      <c r="C391">
        <v>4</v>
      </c>
      <c r="D391" t="s">
        <v>248</v>
      </c>
      <c r="F391">
        <v>1969</v>
      </c>
      <c r="G391" s="1" t="s">
        <v>204</v>
      </c>
      <c r="H391" s="1" t="s">
        <v>254</v>
      </c>
      <c r="I391">
        <v>0</v>
      </c>
      <c r="J391">
        <v>94710.075800000006</v>
      </c>
      <c r="K391">
        <v>3.1099999999999999E-3</v>
      </c>
      <c r="L391">
        <v>2.7299999999999998E-3</v>
      </c>
      <c r="M391">
        <v>0.245</v>
      </c>
      <c r="N391">
        <v>0.20669999999999999</v>
      </c>
      <c r="O391">
        <v>3.4399999999999999E-3</v>
      </c>
      <c r="P391" s="3">
        <f t="shared" si="24"/>
        <v>1055.8569752697138</v>
      </c>
      <c r="Q391" s="3">
        <f t="shared" si="25"/>
        <v>3.1059182545050135E-3</v>
      </c>
      <c r="R391" s="3">
        <f t="shared" si="26"/>
        <v>2.7299999999999998E-3</v>
      </c>
      <c r="S391">
        <f t="shared" si="27"/>
        <v>8</v>
      </c>
      <c r="T391">
        <f>INDEX([1]IDEN_level_ids!$B:$B,MATCH(G391,[1]IDEN_level_ids!$A:$A,0),1)</f>
        <v>1176</v>
      </c>
      <c r="U391">
        <f>INDEX([1]IDEN_level_ids!$B:$B,MATCH(H391,[1]IDEN_level_ids!$A:$A,0),1)</f>
        <v>684</v>
      </c>
    </row>
    <row r="392" spans="1:21" hidden="1" x14ac:dyDescent="0.25">
      <c r="A392">
        <v>94694.2886</v>
      </c>
      <c r="B392">
        <v>1056.0299</v>
      </c>
      <c r="C392">
        <v>4</v>
      </c>
      <c r="D392" t="s">
        <v>248</v>
      </c>
      <c r="F392">
        <v>1969</v>
      </c>
      <c r="G392" s="1" t="s">
        <v>62</v>
      </c>
      <c r="H392" s="1" t="s">
        <v>122</v>
      </c>
      <c r="I392">
        <v>0</v>
      </c>
      <c r="J392">
        <v>94694.449399999998</v>
      </c>
      <c r="K392">
        <v>1.7899999999999999E-3</v>
      </c>
      <c r="L392">
        <v>2.7299999999999998E-3</v>
      </c>
      <c r="M392">
        <v>0.245</v>
      </c>
      <c r="N392">
        <v>2.3800000000000002E-2</v>
      </c>
      <c r="O392">
        <v>2.8E-3</v>
      </c>
      <c r="P392" s="3">
        <f t="shared" si="24"/>
        <v>1056.0298987240083</v>
      </c>
      <c r="Q392" s="3">
        <f t="shared" si="25"/>
        <v>1.7932371833921934E-3</v>
      </c>
      <c r="R392" s="3">
        <f t="shared" si="26"/>
        <v>2.7299999999999998E-3</v>
      </c>
      <c r="S392">
        <f t="shared" si="27"/>
        <v>8</v>
      </c>
      <c r="T392">
        <f>INDEX([1]IDEN_level_ids!$B:$B,MATCH(G392,[1]IDEN_level_ids!$A:$A,0),1)</f>
        <v>1203</v>
      </c>
      <c r="U392">
        <f>INDEX([1]IDEN_level_ids!$B:$B,MATCH(H392,[1]IDEN_level_ids!$A:$A,0),1)</f>
        <v>750</v>
      </c>
    </row>
    <row r="393" spans="1:21" hidden="1" x14ac:dyDescent="0.25">
      <c r="A393">
        <v>94668.811100000006</v>
      </c>
      <c r="B393">
        <v>1056.3141000000001</v>
      </c>
      <c r="C393">
        <v>4</v>
      </c>
      <c r="D393" t="s">
        <v>248</v>
      </c>
      <c r="F393">
        <v>1969</v>
      </c>
      <c r="G393" s="1" t="s">
        <v>262</v>
      </c>
      <c r="H393" s="1" t="s">
        <v>109</v>
      </c>
      <c r="I393">
        <v>0</v>
      </c>
      <c r="J393">
        <v>94668.899600000004</v>
      </c>
      <c r="K393">
        <v>9.8999999999999999E-4</v>
      </c>
      <c r="L393">
        <v>2.7299999999999998E-3</v>
      </c>
      <c r="M393">
        <v>0.245</v>
      </c>
      <c r="N393">
        <v>0.20580000000000001</v>
      </c>
      <c r="O393">
        <v>3.4399999999999999E-3</v>
      </c>
      <c r="P393" s="3">
        <f t="shared" si="24"/>
        <v>1056.3141000510568</v>
      </c>
      <c r="Q393" s="3">
        <f t="shared" si="25"/>
        <v>9.8748161485673336E-4</v>
      </c>
      <c r="R393" s="3">
        <f t="shared" si="26"/>
        <v>2.7299999999999998E-3</v>
      </c>
      <c r="S393">
        <f t="shared" si="27"/>
        <v>8</v>
      </c>
      <c r="T393">
        <f>INDEX([1]IDEN_level_ids!$B:$B,MATCH(G393,[1]IDEN_level_ids!$A:$A,0),1)</f>
        <v>1115</v>
      </c>
      <c r="U393">
        <f>INDEX([1]IDEN_level_ids!$B:$B,MATCH(H393,[1]IDEN_level_ids!$A:$A,0),1)</f>
        <v>468</v>
      </c>
    </row>
    <row r="394" spans="1:21" hidden="1" x14ac:dyDescent="0.25">
      <c r="A394">
        <v>94641.496299999999</v>
      </c>
      <c r="B394">
        <v>1056.6189999999999</v>
      </c>
      <c r="C394">
        <v>4</v>
      </c>
      <c r="D394" t="s">
        <v>248</v>
      </c>
      <c r="F394">
        <v>1969</v>
      </c>
      <c r="G394" s="1" t="s">
        <v>243</v>
      </c>
      <c r="H394" s="1" t="s">
        <v>263</v>
      </c>
      <c r="I394">
        <v>0</v>
      </c>
      <c r="J394">
        <v>94641.4185</v>
      </c>
      <c r="K394">
        <v>-8.7000000000000001E-4</v>
      </c>
      <c r="L394">
        <v>2.7399999999999998E-3</v>
      </c>
      <c r="M394">
        <v>0.245</v>
      </c>
      <c r="N394">
        <v>1.4500000000000001E-2</v>
      </c>
      <c r="O394">
        <v>2.7799999999999999E-3</v>
      </c>
      <c r="P394" s="3">
        <f t="shared" si="24"/>
        <v>1056.6189664099807</v>
      </c>
      <c r="Q394" s="3">
        <f t="shared" si="25"/>
        <v>-8.6859386601645383E-4</v>
      </c>
      <c r="R394" s="3">
        <f t="shared" si="26"/>
        <v>2.7399999999999998E-3</v>
      </c>
      <c r="S394">
        <f t="shared" si="27"/>
        <v>8</v>
      </c>
      <c r="T394">
        <f>INDEX([1]IDEN_level_ids!$B:$B,MATCH(G394,[1]IDEN_level_ids!$A:$A,0),1)</f>
        <v>1205</v>
      </c>
      <c r="U394">
        <f>INDEX([1]IDEN_level_ids!$B:$B,MATCH(H394,[1]IDEN_level_ids!$A:$A,0),1)</f>
        <v>759</v>
      </c>
    </row>
    <row r="395" spans="1:21" hidden="1" x14ac:dyDescent="0.25">
      <c r="A395">
        <v>94579.622700000007</v>
      </c>
      <c r="B395">
        <v>1057.3101999999999</v>
      </c>
      <c r="C395">
        <v>4</v>
      </c>
      <c r="D395" t="s">
        <v>248</v>
      </c>
      <c r="F395">
        <v>1969</v>
      </c>
      <c r="G395" s="1" t="s">
        <v>56</v>
      </c>
      <c r="H395" s="1" t="s">
        <v>179</v>
      </c>
      <c r="I395">
        <v>0</v>
      </c>
      <c r="J395">
        <v>94579.821899999995</v>
      </c>
      <c r="K395">
        <v>2.2300000000000002E-3</v>
      </c>
      <c r="L395">
        <v>2.7399999999999998E-3</v>
      </c>
      <c r="M395">
        <v>0.245</v>
      </c>
      <c r="N395">
        <v>2.1700000000000001E-2</v>
      </c>
      <c r="O395">
        <v>2.8E-3</v>
      </c>
      <c r="P395" s="3">
        <f t="shared" si="24"/>
        <v>1057.3102021900959</v>
      </c>
      <c r="Q395" s="3">
        <f t="shared" si="25"/>
        <v>2.22686179813536E-3</v>
      </c>
      <c r="R395" s="3">
        <f t="shared" si="26"/>
        <v>2.7399999999999998E-3</v>
      </c>
      <c r="S395">
        <f t="shared" si="27"/>
        <v>8</v>
      </c>
      <c r="T395">
        <f>INDEX([1]IDEN_level_ids!$B:$B,MATCH(G395,[1]IDEN_level_ids!$A:$A,0),1)</f>
        <v>1221</v>
      </c>
      <c r="U395">
        <f>INDEX([1]IDEN_level_ids!$B:$B,MATCH(H395,[1]IDEN_level_ids!$A:$A,0),1)</f>
        <v>791</v>
      </c>
    </row>
    <row r="396" spans="1:21" hidden="1" x14ac:dyDescent="0.25">
      <c r="A396">
        <v>94563.523300000001</v>
      </c>
      <c r="B396">
        <v>1057.4902</v>
      </c>
      <c r="C396">
        <v>4</v>
      </c>
      <c r="D396" t="s">
        <v>248</v>
      </c>
      <c r="E396" t="s">
        <v>52</v>
      </c>
      <c r="F396">
        <v>1969</v>
      </c>
      <c r="G396" s="1" t="s">
        <v>187</v>
      </c>
      <c r="H396" s="1" t="s">
        <v>240</v>
      </c>
      <c r="I396">
        <v>0</v>
      </c>
      <c r="J396">
        <v>94563.7402</v>
      </c>
      <c r="K396">
        <v>2.4199999999999998E-3</v>
      </c>
      <c r="L396">
        <v>3.0899999999999999E-3</v>
      </c>
      <c r="M396">
        <v>0.27600000000000002</v>
      </c>
      <c r="N396">
        <v>0.44600000000000001</v>
      </c>
      <c r="O396">
        <v>5.5700000000000003E-3</v>
      </c>
      <c r="P396" s="3">
        <f t="shared" si="24"/>
        <v>1057.4902088065494</v>
      </c>
      <c r="Q396" s="3">
        <f t="shared" si="25"/>
        <v>2.4255557764263358E-3</v>
      </c>
      <c r="R396" s="3">
        <f t="shared" si="26"/>
        <v>3.0899999999999999E-3</v>
      </c>
      <c r="S396">
        <f t="shared" si="27"/>
        <v>8</v>
      </c>
      <c r="T396">
        <f>INDEX([1]IDEN_level_ids!$B:$B,MATCH(G396,[1]IDEN_level_ids!$A:$A,0),1)</f>
        <v>1204</v>
      </c>
      <c r="U396">
        <f>INDEX([1]IDEN_level_ids!$B:$B,MATCH(H396,[1]IDEN_level_ids!$A:$A,0),1)</f>
        <v>757</v>
      </c>
    </row>
    <row r="397" spans="1:21" hidden="1" x14ac:dyDescent="0.25">
      <c r="A397">
        <v>94528.218500000003</v>
      </c>
      <c r="B397">
        <v>1057.8851999999999</v>
      </c>
      <c r="C397">
        <v>4</v>
      </c>
      <c r="D397" t="s">
        <v>248</v>
      </c>
      <c r="E397" t="s">
        <v>52</v>
      </c>
      <c r="F397">
        <v>1969</v>
      </c>
      <c r="G397" s="1" t="s">
        <v>33</v>
      </c>
      <c r="H397" s="1" t="s">
        <v>189</v>
      </c>
      <c r="I397">
        <v>0</v>
      </c>
      <c r="J397">
        <v>94528.238500000007</v>
      </c>
      <c r="K397">
        <v>2.2000000000000001E-4</v>
      </c>
      <c r="L397">
        <v>3.0899999999999999E-3</v>
      </c>
      <c r="M397">
        <v>0.27600000000000002</v>
      </c>
      <c r="N397">
        <v>1.66E-2</v>
      </c>
      <c r="O397">
        <v>3.14E-3</v>
      </c>
      <c r="P397" s="3">
        <f t="shared" si="24"/>
        <v>1057.8851647352267</v>
      </c>
      <c r="Q397" s="3">
        <f t="shared" si="25"/>
        <v>2.2382415704669256E-4</v>
      </c>
      <c r="R397" s="3">
        <f t="shared" si="26"/>
        <v>3.0899999999999999E-3</v>
      </c>
      <c r="S397">
        <f t="shared" si="27"/>
        <v>8</v>
      </c>
      <c r="T397">
        <f>INDEX([1]IDEN_level_ids!$B:$B,MATCH(G397,[1]IDEN_level_ids!$A:$A,0),1)</f>
        <v>1220</v>
      </c>
      <c r="U397">
        <f>INDEX([1]IDEN_level_ids!$B:$B,MATCH(H397,[1]IDEN_level_ids!$A:$A,0),1)</f>
        <v>789</v>
      </c>
    </row>
    <row r="398" spans="1:21" hidden="1" x14ac:dyDescent="0.25">
      <c r="A398">
        <v>94526.613800000006</v>
      </c>
      <c r="B398">
        <v>1057.9031</v>
      </c>
      <c r="C398">
        <v>4</v>
      </c>
      <c r="D398" t="s">
        <v>248</v>
      </c>
      <c r="E398" t="s">
        <v>52</v>
      </c>
      <c r="F398">
        <v>1969</v>
      </c>
      <c r="G398" s="1" t="s">
        <v>207</v>
      </c>
      <c r="H398" s="1" t="s">
        <v>153</v>
      </c>
      <c r="I398">
        <v>0</v>
      </c>
      <c r="J398">
        <v>94525.962599999999</v>
      </c>
      <c r="K398">
        <v>-7.2899999999999996E-3</v>
      </c>
      <c r="L398">
        <v>3.0899999999999999E-3</v>
      </c>
      <c r="M398">
        <v>0.27600000000000002</v>
      </c>
      <c r="N398">
        <v>0.1193</v>
      </c>
      <c r="O398">
        <v>3.5100000000000001E-3</v>
      </c>
      <c r="P398" s="3">
        <f t="shared" si="24"/>
        <v>1057.9031235751299</v>
      </c>
      <c r="Q398" s="3">
        <f t="shared" si="25"/>
        <v>-7.2880137386164279E-3</v>
      </c>
      <c r="R398" s="3">
        <f t="shared" si="26"/>
        <v>3.0899999999999999E-3</v>
      </c>
      <c r="S398">
        <f t="shared" si="27"/>
        <v>8</v>
      </c>
      <c r="T398">
        <f>INDEX([1]IDEN_level_ids!$B:$B,MATCH(G398,[1]IDEN_level_ids!$A:$A,0),1)</f>
        <v>1177</v>
      </c>
      <c r="U398">
        <f>INDEX([1]IDEN_level_ids!$B:$B,MATCH(H398,[1]IDEN_level_ids!$A:$A,0),1)</f>
        <v>681</v>
      </c>
    </row>
    <row r="399" spans="1:21" hidden="1" x14ac:dyDescent="0.25">
      <c r="A399">
        <v>94504.577699999994</v>
      </c>
      <c r="B399">
        <v>1058.1497999999999</v>
      </c>
      <c r="C399">
        <v>4</v>
      </c>
      <c r="D399" t="s">
        <v>248</v>
      </c>
      <c r="F399">
        <v>1969</v>
      </c>
      <c r="G399" s="1" t="s">
        <v>38</v>
      </c>
      <c r="H399" s="1" t="s">
        <v>258</v>
      </c>
      <c r="I399">
        <v>0</v>
      </c>
      <c r="J399">
        <v>94505.130499999999</v>
      </c>
      <c r="K399">
        <v>6.1900000000000002E-3</v>
      </c>
      <c r="L399">
        <v>2.7399999999999998E-3</v>
      </c>
      <c r="M399">
        <v>0.245</v>
      </c>
      <c r="N399">
        <v>4.2599999999999999E-2</v>
      </c>
      <c r="O399">
        <v>2.8700000000000002E-3</v>
      </c>
      <c r="P399" s="3">
        <f t="shared" si="24"/>
        <v>1058.14980008106</v>
      </c>
      <c r="Q399" s="3">
        <f t="shared" si="25"/>
        <v>6.1895603591892723E-3</v>
      </c>
      <c r="R399" s="3">
        <f t="shared" si="26"/>
        <v>2.7399999999999998E-3</v>
      </c>
      <c r="S399">
        <f t="shared" si="27"/>
        <v>8</v>
      </c>
      <c r="T399">
        <f>INDEX([1]IDEN_level_ids!$B:$B,MATCH(G399,[1]IDEN_level_ids!$A:$A,0),1)</f>
        <v>1201</v>
      </c>
      <c r="U399">
        <f>INDEX([1]IDEN_level_ids!$B:$B,MATCH(H399,[1]IDEN_level_ids!$A:$A,0),1)</f>
        <v>755</v>
      </c>
    </row>
    <row r="400" spans="1:21" hidden="1" x14ac:dyDescent="0.25">
      <c r="A400">
        <v>94433.324099999998</v>
      </c>
      <c r="B400">
        <v>1058.9482</v>
      </c>
      <c r="C400">
        <v>4</v>
      </c>
      <c r="D400" t="s">
        <v>248</v>
      </c>
      <c r="F400">
        <v>1969</v>
      </c>
      <c r="G400" s="1" t="s">
        <v>62</v>
      </c>
      <c r="H400" s="1" t="s">
        <v>162</v>
      </c>
      <c r="I400">
        <v>0</v>
      </c>
      <c r="J400">
        <v>94433.555500000002</v>
      </c>
      <c r="K400">
        <v>2.5899999999999999E-3</v>
      </c>
      <c r="L400">
        <v>2.7499999999999998E-3</v>
      </c>
      <c r="M400">
        <v>0.245</v>
      </c>
      <c r="N400">
        <v>2.0500000000000001E-2</v>
      </c>
      <c r="O400">
        <v>2.8E-3</v>
      </c>
      <c r="P400" s="3">
        <f t="shared" si="24"/>
        <v>1058.9482150824765</v>
      </c>
      <c r="Q400" s="3">
        <f t="shared" si="25"/>
        <v>2.5948468812657666E-3</v>
      </c>
      <c r="R400" s="3">
        <f t="shared" si="26"/>
        <v>2.7499999999999998E-3</v>
      </c>
      <c r="S400">
        <f t="shared" si="27"/>
        <v>8</v>
      </c>
      <c r="T400">
        <f>INDEX([1]IDEN_level_ids!$B:$B,MATCH(G400,[1]IDEN_level_ids!$A:$A,0),1)</f>
        <v>1203</v>
      </c>
      <c r="U400">
        <f>INDEX([1]IDEN_level_ids!$B:$B,MATCH(H400,[1]IDEN_level_ids!$A:$A,0),1)</f>
        <v>754</v>
      </c>
    </row>
    <row r="401" spans="1:21" hidden="1" x14ac:dyDescent="0.25">
      <c r="A401">
        <v>94426.769199999995</v>
      </c>
      <c r="B401">
        <v>1059.0217</v>
      </c>
      <c r="C401">
        <v>4</v>
      </c>
      <c r="D401" t="s">
        <v>248</v>
      </c>
      <c r="F401">
        <v>1969</v>
      </c>
      <c r="G401" s="1" t="s">
        <v>197</v>
      </c>
      <c r="H401" s="1" t="s">
        <v>215</v>
      </c>
      <c r="I401">
        <v>0</v>
      </c>
      <c r="J401">
        <v>94427.003800000006</v>
      </c>
      <c r="K401">
        <v>2.63E-3</v>
      </c>
      <c r="L401">
        <v>2.7499999999999998E-3</v>
      </c>
      <c r="M401">
        <v>0.245</v>
      </c>
      <c r="N401">
        <v>2.5100000000000001E-2</v>
      </c>
      <c r="O401">
        <v>2.82E-3</v>
      </c>
      <c r="P401" s="3">
        <f t="shared" si="24"/>
        <v>1059.0217249538175</v>
      </c>
      <c r="Q401" s="3">
        <f t="shared" si="25"/>
        <v>2.6310958378417126E-3</v>
      </c>
      <c r="R401" s="3">
        <f t="shared" si="26"/>
        <v>2.7499999999999998E-3</v>
      </c>
      <c r="S401">
        <f t="shared" si="27"/>
        <v>8</v>
      </c>
      <c r="T401">
        <f>INDEX([1]IDEN_level_ids!$B:$B,MATCH(G401,[1]IDEN_level_ids!$A:$A,0),1)</f>
        <v>1182</v>
      </c>
      <c r="U401">
        <f>INDEX([1]IDEN_level_ids!$B:$B,MATCH(H401,[1]IDEN_level_ids!$A:$A,0),1)</f>
        <v>699</v>
      </c>
    </row>
    <row r="402" spans="1:21" hidden="1" x14ac:dyDescent="0.25">
      <c r="A402">
        <v>94403.675900000002</v>
      </c>
      <c r="B402">
        <v>1059.2808</v>
      </c>
      <c r="C402">
        <v>4</v>
      </c>
      <c r="D402" t="s">
        <v>248</v>
      </c>
      <c r="E402" t="s">
        <v>52</v>
      </c>
      <c r="F402">
        <v>1969</v>
      </c>
      <c r="G402" s="1" t="s">
        <v>245</v>
      </c>
      <c r="H402" s="1" t="s">
        <v>210</v>
      </c>
      <c r="I402">
        <v>0</v>
      </c>
      <c r="J402">
        <v>94403.667799999996</v>
      </c>
      <c r="K402">
        <v>-9.0000000000000006E-5</v>
      </c>
      <c r="L402">
        <v>3.0999999999999999E-3</v>
      </c>
      <c r="M402">
        <v>0.27600000000000002</v>
      </c>
      <c r="N402">
        <v>0.28389999999999999</v>
      </c>
      <c r="O402">
        <v>4.3299999999999996E-3</v>
      </c>
      <c r="P402" s="3">
        <f t="shared" si="24"/>
        <v>1059.2807859084648</v>
      </c>
      <c r="Q402" s="3">
        <f t="shared" si="25"/>
        <v>-9.0888146360157407E-5</v>
      </c>
      <c r="R402" s="3">
        <f t="shared" si="26"/>
        <v>3.0999999999999999E-3</v>
      </c>
      <c r="S402">
        <f t="shared" si="27"/>
        <v>8</v>
      </c>
      <c r="T402">
        <f>INDEX([1]IDEN_level_ids!$B:$B,MATCH(G402,[1]IDEN_level_ids!$A:$A,0),1)</f>
        <v>1169</v>
      </c>
      <c r="U402">
        <f>INDEX([1]IDEN_level_ids!$B:$B,MATCH(H402,[1]IDEN_level_ids!$A:$A,0),1)</f>
        <v>655</v>
      </c>
    </row>
    <row r="403" spans="1:21" hidden="1" x14ac:dyDescent="0.25">
      <c r="A403">
        <v>94392.178599999999</v>
      </c>
      <c r="B403">
        <v>1059.4097999999999</v>
      </c>
      <c r="C403">
        <v>4</v>
      </c>
      <c r="D403" t="s">
        <v>248</v>
      </c>
      <c r="F403">
        <v>1969</v>
      </c>
      <c r="G403" s="1" t="s">
        <v>247</v>
      </c>
      <c r="H403" s="1" t="s">
        <v>231</v>
      </c>
      <c r="I403">
        <v>0</v>
      </c>
      <c r="J403">
        <v>94392.221600000004</v>
      </c>
      <c r="K403">
        <v>4.8000000000000001E-4</v>
      </c>
      <c r="L403">
        <v>2.7499999999999998E-3</v>
      </c>
      <c r="M403">
        <v>0.245</v>
      </c>
      <c r="N403">
        <v>0.25530000000000003</v>
      </c>
      <c r="O403">
        <v>3.6900000000000001E-3</v>
      </c>
      <c r="P403" s="3">
        <f t="shared" si="24"/>
        <v>1059.4098100411891</v>
      </c>
      <c r="Q403" s="3">
        <f t="shared" si="25"/>
        <v>4.8260991275128617E-4</v>
      </c>
      <c r="R403" s="3">
        <f t="shared" si="26"/>
        <v>2.7499999999999998E-3</v>
      </c>
      <c r="S403">
        <f t="shared" si="27"/>
        <v>8</v>
      </c>
      <c r="T403">
        <f>INDEX([1]IDEN_level_ids!$B:$B,MATCH(G403,[1]IDEN_level_ids!$A:$A,0),1)</f>
        <v>1200</v>
      </c>
      <c r="U403">
        <f>INDEX([1]IDEN_level_ids!$B:$B,MATCH(H403,[1]IDEN_level_ids!$A:$A,0),1)</f>
        <v>751</v>
      </c>
    </row>
    <row r="404" spans="1:21" hidden="1" x14ac:dyDescent="0.25">
      <c r="A404">
        <v>94376.396599999993</v>
      </c>
      <c r="B404">
        <v>1059.587</v>
      </c>
      <c r="C404">
        <v>4</v>
      </c>
      <c r="D404" t="s">
        <v>248</v>
      </c>
      <c r="E404" t="s">
        <v>52</v>
      </c>
      <c r="F404">
        <v>1969</v>
      </c>
      <c r="G404" s="1" t="s">
        <v>262</v>
      </c>
      <c r="H404" s="1" t="s">
        <v>67</v>
      </c>
      <c r="I404">
        <v>0</v>
      </c>
      <c r="J404">
        <v>94376.653699999995</v>
      </c>
      <c r="K404">
        <v>2.8900000000000002E-3</v>
      </c>
      <c r="L404">
        <v>3.0999999999999999E-3</v>
      </c>
      <c r="M404">
        <v>0.27600000000000002</v>
      </c>
      <c r="N404">
        <v>0.2213</v>
      </c>
      <c r="O404">
        <v>3.98E-3</v>
      </c>
      <c r="P404" s="3">
        <f t="shared" si="24"/>
        <v>1059.5869688035959</v>
      </c>
      <c r="Q404" s="3">
        <f t="shared" si="25"/>
        <v>2.8865169401797175E-3</v>
      </c>
      <c r="R404" s="3">
        <f t="shared" si="26"/>
        <v>3.0999999999999999E-3</v>
      </c>
      <c r="S404">
        <f t="shared" si="27"/>
        <v>8</v>
      </c>
      <c r="T404">
        <f>INDEX([1]IDEN_level_ids!$B:$B,MATCH(G404,[1]IDEN_level_ids!$A:$A,0),1)</f>
        <v>1115</v>
      </c>
      <c r="U404">
        <f>INDEX([1]IDEN_level_ids!$B:$B,MATCH(H404,[1]IDEN_level_ids!$A:$A,0),1)</f>
        <v>475</v>
      </c>
    </row>
    <row r="405" spans="1:21" hidden="1" x14ac:dyDescent="0.25">
      <c r="A405">
        <v>94372.486000000004</v>
      </c>
      <c r="B405">
        <v>1059.6309000000001</v>
      </c>
      <c r="C405">
        <v>4</v>
      </c>
      <c r="D405" t="s">
        <v>248</v>
      </c>
      <c r="E405" t="s">
        <v>52</v>
      </c>
      <c r="F405">
        <v>1969</v>
      </c>
      <c r="G405" s="1" t="s">
        <v>81</v>
      </c>
      <c r="H405" s="1" t="s">
        <v>199</v>
      </c>
      <c r="I405">
        <v>0</v>
      </c>
      <c r="J405">
        <v>94372.401100000003</v>
      </c>
      <c r="K405">
        <v>-9.5E-4</v>
      </c>
      <c r="L405">
        <v>3.0999999999999999E-3</v>
      </c>
      <c r="M405">
        <v>0.27600000000000002</v>
      </c>
      <c r="N405">
        <v>8.9800000000000005E-2</v>
      </c>
      <c r="O405">
        <v>3.4099999999999998E-3</v>
      </c>
      <c r="P405" s="3">
        <f t="shared" si="24"/>
        <v>1059.6308758889745</v>
      </c>
      <c r="Q405" s="3">
        <f t="shared" si="25"/>
        <v>-9.5327299436576141E-4</v>
      </c>
      <c r="R405" s="3">
        <f t="shared" si="26"/>
        <v>3.0999999999999999E-3</v>
      </c>
      <c r="S405">
        <f t="shared" si="27"/>
        <v>8</v>
      </c>
      <c r="T405">
        <f>INDEX([1]IDEN_level_ids!$B:$B,MATCH(G405,[1]IDEN_level_ids!$A:$A,0),1)</f>
        <v>1196</v>
      </c>
      <c r="U405">
        <f>INDEX([1]IDEN_level_ids!$B:$B,MATCH(H405,[1]IDEN_level_ids!$A:$A,0),1)</f>
        <v>743</v>
      </c>
    </row>
    <row r="406" spans="1:21" hidden="1" x14ac:dyDescent="0.25">
      <c r="A406">
        <v>94355.481700000004</v>
      </c>
      <c r="B406">
        <v>1059.8217999999999</v>
      </c>
      <c r="C406">
        <v>4</v>
      </c>
      <c r="D406" t="s">
        <v>248</v>
      </c>
      <c r="F406">
        <v>1969</v>
      </c>
      <c r="G406" s="1" t="s">
        <v>49</v>
      </c>
      <c r="H406" s="1" t="s">
        <v>157</v>
      </c>
      <c r="I406">
        <v>0</v>
      </c>
      <c r="J406">
        <v>94355.655400000003</v>
      </c>
      <c r="K406">
        <v>1.9499999999999999E-3</v>
      </c>
      <c r="L406">
        <v>2.7499999999999998E-3</v>
      </c>
      <c r="M406">
        <v>0.245</v>
      </c>
      <c r="N406">
        <v>1.66E-2</v>
      </c>
      <c r="O406">
        <v>2.8E-3</v>
      </c>
      <c r="P406" s="3">
        <f t="shared" si="24"/>
        <v>1059.8218375689771</v>
      </c>
      <c r="Q406" s="3">
        <f t="shared" si="25"/>
        <v>1.9510335910126742E-3</v>
      </c>
      <c r="R406" s="3">
        <f t="shared" si="26"/>
        <v>2.7499999999999998E-3</v>
      </c>
      <c r="S406">
        <f t="shared" si="27"/>
        <v>8</v>
      </c>
      <c r="T406">
        <f>INDEX([1]IDEN_level_ids!$B:$B,MATCH(G406,[1]IDEN_level_ids!$A:$A,0),1)</f>
        <v>1214</v>
      </c>
      <c r="U406">
        <f>INDEX([1]IDEN_level_ids!$B:$B,MATCH(H406,[1]IDEN_level_ids!$A:$A,0),1)</f>
        <v>778</v>
      </c>
    </row>
    <row r="407" spans="1:21" hidden="1" x14ac:dyDescent="0.25">
      <c r="A407">
        <v>94332.7834</v>
      </c>
      <c r="B407">
        <v>1060.0769</v>
      </c>
      <c r="C407">
        <v>4</v>
      </c>
      <c r="D407" t="s">
        <v>248</v>
      </c>
      <c r="F407">
        <v>1969</v>
      </c>
      <c r="G407" s="1" t="s">
        <v>194</v>
      </c>
      <c r="H407" s="1" t="s">
        <v>107</v>
      </c>
      <c r="I407">
        <v>0</v>
      </c>
      <c r="J407">
        <v>94332.973100000003</v>
      </c>
      <c r="K407">
        <v>2.1299999999999999E-3</v>
      </c>
      <c r="L407">
        <v>2.7499999999999998E-3</v>
      </c>
      <c r="M407">
        <v>0.245</v>
      </c>
      <c r="N407">
        <v>2.3400000000000001E-2</v>
      </c>
      <c r="O407">
        <v>2.82E-3</v>
      </c>
      <c r="P407" s="3">
        <f t="shared" si="24"/>
        <v>1060.0768512890079</v>
      </c>
      <c r="Q407" s="3">
        <f t="shared" si="25"/>
        <v>2.1317739924597845E-3</v>
      </c>
      <c r="R407" s="3">
        <f t="shared" si="26"/>
        <v>2.7499999999999998E-3</v>
      </c>
      <c r="S407">
        <f t="shared" si="27"/>
        <v>8</v>
      </c>
      <c r="T407">
        <f>INDEX([1]IDEN_level_ids!$B:$B,MATCH(G407,[1]IDEN_level_ids!$A:$A,0),1)</f>
        <v>1187</v>
      </c>
      <c r="U407">
        <f>INDEX([1]IDEN_level_ids!$B:$B,MATCH(H407,[1]IDEN_level_ids!$A:$A,0),1)</f>
        <v>714</v>
      </c>
    </row>
    <row r="408" spans="1:21" hidden="1" x14ac:dyDescent="0.25">
      <c r="A408">
        <v>94317.387700000007</v>
      </c>
      <c r="B408">
        <v>1060.2499</v>
      </c>
      <c r="C408">
        <v>4</v>
      </c>
      <c r="D408" t="s">
        <v>248</v>
      </c>
      <c r="F408">
        <v>1969</v>
      </c>
      <c r="G408" s="1" t="s">
        <v>252</v>
      </c>
      <c r="H408" s="1" t="s">
        <v>177</v>
      </c>
      <c r="I408">
        <v>0</v>
      </c>
      <c r="J408">
        <v>94317.592699999994</v>
      </c>
      <c r="K408">
        <v>2.3E-3</v>
      </c>
      <c r="L408">
        <v>2.7499999999999998E-3</v>
      </c>
      <c r="M408">
        <v>0.245</v>
      </c>
      <c r="N408">
        <v>0.25209999999999999</v>
      </c>
      <c r="O408">
        <v>3.6800000000000001E-3</v>
      </c>
      <c r="P408" s="3">
        <f t="shared" si="24"/>
        <v>1060.2498906996339</v>
      </c>
      <c r="Q408" s="3">
        <f t="shared" si="25"/>
        <v>2.3044611441491725E-3</v>
      </c>
      <c r="R408" s="3">
        <f t="shared" si="26"/>
        <v>2.7499999999999998E-3</v>
      </c>
      <c r="S408">
        <f t="shared" si="27"/>
        <v>8</v>
      </c>
      <c r="T408">
        <f>INDEX([1]IDEN_level_ids!$B:$B,MATCH(G408,[1]IDEN_level_ids!$A:$A,0),1)</f>
        <v>1188</v>
      </c>
      <c r="U408">
        <f>INDEX([1]IDEN_level_ids!$B:$B,MATCH(H408,[1]IDEN_level_ids!$A:$A,0),1)</f>
        <v>709</v>
      </c>
    </row>
    <row r="409" spans="1:21" hidden="1" x14ac:dyDescent="0.25">
      <c r="A409">
        <v>94296.393700000001</v>
      </c>
      <c r="B409">
        <v>1060.4858999999999</v>
      </c>
      <c r="C409">
        <v>4</v>
      </c>
      <c r="D409" t="s">
        <v>248</v>
      </c>
      <c r="F409">
        <v>1969</v>
      </c>
      <c r="G409" s="1" t="s">
        <v>76</v>
      </c>
      <c r="H409" s="1" t="s">
        <v>156</v>
      </c>
      <c r="I409">
        <v>0</v>
      </c>
      <c r="J409">
        <v>94296.885299999994</v>
      </c>
      <c r="K409">
        <v>5.5300000000000002E-3</v>
      </c>
      <c r="L409">
        <v>2.7599999999999999E-3</v>
      </c>
      <c r="M409">
        <v>0.245</v>
      </c>
      <c r="N409">
        <v>9.6100000000000005E-2</v>
      </c>
      <c r="O409">
        <v>3.0500000000000002E-3</v>
      </c>
      <c r="P409" s="3">
        <f t="shared" si="24"/>
        <v>1060.4859430589231</v>
      </c>
      <c r="Q409" s="3">
        <f t="shared" si="25"/>
        <v>5.5286543977217661E-3</v>
      </c>
      <c r="R409" s="3">
        <f t="shared" si="26"/>
        <v>2.7599999999999999E-3</v>
      </c>
      <c r="S409">
        <f t="shared" si="27"/>
        <v>8</v>
      </c>
      <c r="T409">
        <f>INDEX([1]IDEN_level_ids!$B:$B,MATCH(G409,[1]IDEN_level_ids!$A:$A,0),1)</f>
        <v>1194</v>
      </c>
      <c r="U409">
        <f>INDEX([1]IDEN_level_ids!$B:$B,MATCH(H409,[1]IDEN_level_ids!$A:$A,0),1)</f>
        <v>734</v>
      </c>
    </row>
    <row r="410" spans="1:21" hidden="1" x14ac:dyDescent="0.25">
      <c r="A410">
        <v>94291.030100000004</v>
      </c>
      <c r="B410">
        <v>1060.5463</v>
      </c>
      <c r="C410">
        <v>4</v>
      </c>
      <c r="D410" t="s">
        <v>248</v>
      </c>
      <c r="F410">
        <v>1969</v>
      </c>
      <c r="G410" s="1" t="s">
        <v>49</v>
      </c>
      <c r="H410" s="1" t="s">
        <v>158</v>
      </c>
      <c r="I410">
        <v>0</v>
      </c>
      <c r="J410">
        <v>94291.299799999993</v>
      </c>
      <c r="K410">
        <v>3.0300000000000001E-3</v>
      </c>
      <c r="L410">
        <v>2.7599999999999999E-3</v>
      </c>
      <c r="M410">
        <v>0.245</v>
      </c>
      <c r="N410">
        <v>2.0899999999999998E-2</v>
      </c>
      <c r="O410">
        <v>2.81E-3</v>
      </c>
      <c r="P410" s="3">
        <f t="shared" si="24"/>
        <v>1060.5462671682064</v>
      </c>
      <c r="Q410" s="3">
        <f t="shared" si="25"/>
        <v>3.0334646871779114E-3</v>
      </c>
      <c r="R410" s="3">
        <f t="shared" si="26"/>
        <v>2.7599999999999999E-3</v>
      </c>
      <c r="S410">
        <f t="shared" si="27"/>
        <v>8</v>
      </c>
      <c r="T410">
        <f>INDEX([1]IDEN_level_ids!$B:$B,MATCH(G410,[1]IDEN_level_ids!$A:$A,0),1)</f>
        <v>1214</v>
      </c>
      <c r="U410">
        <f>INDEX([1]IDEN_level_ids!$B:$B,MATCH(H410,[1]IDEN_level_ids!$A:$A,0),1)</f>
        <v>779</v>
      </c>
    </row>
    <row r="411" spans="1:21" hidden="1" x14ac:dyDescent="0.25">
      <c r="A411">
        <v>94274.323499999999</v>
      </c>
      <c r="B411">
        <v>1060.7342000000001</v>
      </c>
      <c r="C411">
        <v>4</v>
      </c>
      <c r="D411" t="s">
        <v>248</v>
      </c>
      <c r="F411">
        <v>1969</v>
      </c>
      <c r="G411" s="1" t="s">
        <v>117</v>
      </c>
      <c r="H411" s="1" t="s">
        <v>135</v>
      </c>
      <c r="I411">
        <v>0</v>
      </c>
      <c r="J411">
        <v>94274.528099999996</v>
      </c>
      <c r="K411">
        <v>2.3E-3</v>
      </c>
      <c r="L411">
        <v>2.7599999999999999E-3</v>
      </c>
      <c r="M411">
        <v>0.245</v>
      </c>
      <c r="N411">
        <v>0.27</v>
      </c>
      <c r="O411">
        <v>3.7799999999999999E-3</v>
      </c>
      <c r="P411" s="3">
        <f t="shared" si="24"/>
        <v>1060.7342093523482</v>
      </c>
      <c r="Q411" s="3">
        <f t="shared" si="25"/>
        <v>2.3020663545594289E-3</v>
      </c>
      <c r="R411" s="3">
        <f t="shared" si="26"/>
        <v>2.7599999999999999E-3</v>
      </c>
      <c r="S411">
        <f t="shared" si="27"/>
        <v>8</v>
      </c>
      <c r="T411">
        <f>INDEX([1]IDEN_level_ids!$B:$B,MATCH(G411,[1]IDEN_level_ids!$A:$A,0),1)</f>
        <v>1162</v>
      </c>
      <c r="U411">
        <f>INDEX([1]IDEN_level_ids!$B:$B,MATCH(H411,[1]IDEN_level_ids!$A:$A,0),1)</f>
        <v>644</v>
      </c>
    </row>
    <row r="412" spans="1:21" hidden="1" x14ac:dyDescent="0.25">
      <c r="A412">
        <v>94263.406499999997</v>
      </c>
      <c r="B412">
        <v>1060.8570999999999</v>
      </c>
      <c r="C412">
        <v>4</v>
      </c>
      <c r="D412" t="s">
        <v>248</v>
      </c>
      <c r="F412">
        <v>1969</v>
      </c>
      <c r="G412" s="1" t="s">
        <v>259</v>
      </c>
      <c r="H412" s="1" t="s">
        <v>264</v>
      </c>
      <c r="I412">
        <v>0</v>
      </c>
      <c r="J412">
        <v>94263.459300000002</v>
      </c>
      <c r="K412">
        <v>5.9000000000000003E-4</v>
      </c>
      <c r="L412">
        <v>2.7599999999999999E-3</v>
      </c>
      <c r="M412">
        <v>0.245</v>
      </c>
      <c r="N412">
        <v>0.3417</v>
      </c>
      <c r="O412">
        <v>4.1900000000000001E-3</v>
      </c>
      <c r="P412" s="3">
        <f t="shared" si="24"/>
        <v>1060.8570569747021</v>
      </c>
      <c r="Q412" s="3">
        <f t="shared" si="25"/>
        <v>5.9422021035970829E-4</v>
      </c>
      <c r="R412" s="3">
        <f t="shared" si="26"/>
        <v>2.7599999999999999E-3</v>
      </c>
      <c r="S412">
        <f t="shared" si="27"/>
        <v>8</v>
      </c>
      <c r="T412">
        <f>INDEX([1]IDEN_level_ids!$B:$B,MATCH(G412,[1]IDEN_level_ids!$A:$A,0),1)</f>
        <v>1117</v>
      </c>
      <c r="U412">
        <f>INDEX([1]IDEN_level_ids!$B:$B,MATCH(H412,[1]IDEN_level_ids!$A:$A,0),1)</f>
        <v>474</v>
      </c>
    </row>
    <row r="413" spans="1:21" hidden="1" x14ac:dyDescent="0.25">
      <c r="A413">
        <v>94251.316000000006</v>
      </c>
      <c r="B413">
        <v>1060.9930999999999</v>
      </c>
      <c r="C413">
        <v>4</v>
      </c>
      <c r="D413" t="s">
        <v>248</v>
      </c>
      <c r="F413">
        <v>1969</v>
      </c>
      <c r="G413" s="1" t="s">
        <v>193</v>
      </c>
      <c r="H413" s="1" t="s">
        <v>128</v>
      </c>
      <c r="I413">
        <v>0</v>
      </c>
      <c r="J413">
        <v>94251.237699999998</v>
      </c>
      <c r="K413">
        <v>-8.8000000000000003E-4</v>
      </c>
      <c r="L413">
        <v>2.7599999999999999E-3</v>
      </c>
      <c r="M413">
        <v>0.245</v>
      </c>
      <c r="N413">
        <v>4.82E-2</v>
      </c>
      <c r="O413">
        <v>2.8999999999999998E-3</v>
      </c>
      <c r="P413" s="3">
        <f t="shared" si="24"/>
        <v>1060.9931430559548</v>
      </c>
      <c r="Q413" s="3">
        <f t="shared" si="25"/>
        <v>-8.8142888239417516E-4</v>
      </c>
      <c r="R413" s="3">
        <f t="shared" si="26"/>
        <v>2.7599999999999999E-3</v>
      </c>
      <c r="S413">
        <f t="shared" si="27"/>
        <v>8</v>
      </c>
      <c r="T413">
        <f>INDEX([1]IDEN_level_ids!$B:$B,MATCH(G413,[1]IDEN_level_ids!$A:$A,0),1)</f>
        <v>1202</v>
      </c>
      <c r="U413">
        <f>INDEX([1]IDEN_level_ids!$B:$B,MATCH(H413,[1]IDEN_level_ids!$A:$A,0),1)</f>
        <v>756</v>
      </c>
    </row>
    <row r="414" spans="1:21" hidden="1" x14ac:dyDescent="0.25">
      <c r="A414">
        <v>94246.187000000005</v>
      </c>
      <c r="B414">
        <v>1061.0509</v>
      </c>
      <c r="C414">
        <v>4</v>
      </c>
      <c r="D414" t="s">
        <v>248</v>
      </c>
      <c r="E414" t="s">
        <v>52</v>
      </c>
      <c r="F414">
        <v>1969</v>
      </c>
      <c r="G414" s="1" t="s">
        <v>253</v>
      </c>
      <c r="H414" s="1" t="s">
        <v>183</v>
      </c>
      <c r="I414">
        <v>0</v>
      </c>
      <c r="J414">
        <v>94246.248999999996</v>
      </c>
      <c r="K414">
        <v>6.9999999999999999E-4</v>
      </c>
      <c r="L414">
        <v>3.1099999999999999E-3</v>
      </c>
      <c r="M414">
        <v>0.27600000000000002</v>
      </c>
      <c r="N414">
        <v>0.17280000000000001</v>
      </c>
      <c r="O414">
        <v>3.7599999999999999E-3</v>
      </c>
      <c r="P414" s="3">
        <f t="shared" si="24"/>
        <v>1061.0508836819042</v>
      </c>
      <c r="Q414" s="3">
        <f t="shared" si="25"/>
        <v>6.9801350696252484E-4</v>
      </c>
      <c r="R414" s="3">
        <f t="shared" si="26"/>
        <v>3.1099999999999999E-3</v>
      </c>
      <c r="S414">
        <f t="shared" si="27"/>
        <v>8</v>
      </c>
      <c r="T414">
        <f>INDEX([1]IDEN_level_ids!$B:$B,MATCH(G414,[1]IDEN_level_ids!$A:$A,0),1)</f>
        <v>1181</v>
      </c>
      <c r="U414">
        <f>INDEX([1]IDEN_level_ids!$B:$B,MATCH(H414,[1]IDEN_level_ids!$A:$A,0),1)</f>
        <v>707</v>
      </c>
    </row>
    <row r="415" spans="1:21" hidden="1" x14ac:dyDescent="0.25">
      <c r="A415">
        <v>94244.306400000001</v>
      </c>
      <c r="B415">
        <v>1061.0721000000001</v>
      </c>
      <c r="C415">
        <v>4</v>
      </c>
      <c r="D415" t="s">
        <v>248</v>
      </c>
      <c r="E415" t="s">
        <v>52</v>
      </c>
      <c r="F415">
        <v>1969</v>
      </c>
      <c r="G415" s="1" t="s">
        <v>117</v>
      </c>
      <c r="H415" s="1" t="s">
        <v>139</v>
      </c>
      <c r="I415">
        <v>0</v>
      </c>
      <c r="J415">
        <v>94244.022800000006</v>
      </c>
      <c r="K415">
        <v>-3.1900000000000001E-3</v>
      </c>
      <c r="L415">
        <v>3.1099999999999999E-3</v>
      </c>
      <c r="M415">
        <v>0.27600000000000002</v>
      </c>
      <c r="N415">
        <v>8.9800000000000005E-2</v>
      </c>
      <c r="O415">
        <v>3.4099999999999998E-3</v>
      </c>
      <c r="P415" s="3">
        <f t="shared" si="24"/>
        <v>1061.072056444144</v>
      </c>
      <c r="Q415" s="3">
        <f t="shared" si="25"/>
        <v>-3.1929880140069145E-3</v>
      </c>
      <c r="R415" s="3">
        <f t="shared" si="26"/>
        <v>3.1099999999999999E-3</v>
      </c>
      <c r="S415">
        <f t="shared" si="27"/>
        <v>8</v>
      </c>
      <c r="T415">
        <f>INDEX([1]IDEN_level_ids!$B:$B,MATCH(G415,[1]IDEN_level_ids!$A:$A,0),1)</f>
        <v>1162</v>
      </c>
      <c r="U415">
        <f>INDEX([1]IDEN_level_ids!$B:$B,MATCH(H415,[1]IDEN_level_ids!$A:$A,0),1)</f>
        <v>642</v>
      </c>
    </row>
    <row r="416" spans="1:21" hidden="1" x14ac:dyDescent="0.25">
      <c r="A416">
        <v>94240.027000000002</v>
      </c>
      <c r="B416">
        <v>1061.1202000000001</v>
      </c>
      <c r="C416">
        <v>4</v>
      </c>
      <c r="D416" t="s">
        <v>248</v>
      </c>
      <c r="E416" t="s">
        <v>52</v>
      </c>
      <c r="F416">
        <v>1969</v>
      </c>
      <c r="G416" s="1" t="s">
        <v>51</v>
      </c>
      <c r="H416" s="1" t="s">
        <v>158</v>
      </c>
      <c r="I416">
        <v>0</v>
      </c>
      <c r="J416">
        <v>94240.143599999996</v>
      </c>
      <c r="K416">
        <v>1.31E-3</v>
      </c>
      <c r="L416">
        <v>3.1099999999999999E-3</v>
      </c>
      <c r="M416">
        <v>0.27600000000000002</v>
      </c>
      <c r="N416">
        <v>1.6799999999999999E-2</v>
      </c>
      <c r="O416">
        <v>3.16E-3</v>
      </c>
      <c r="P416" s="3">
        <f t="shared" si="24"/>
        <v>1061.1202392800672</v>
      </c>
      <c r="Q416" s="3">
        <f t="shared" si="25"/>
        <v>1.3128865805356327E-3</v>
      </c>
      <c r="R416" s="3">
        <f t="shared" si="26"/>
        <v>3.1099999999999999E-3</v>
      </c>
      <c r="S416">
        <f t="shared" si="27"/>
        <v>8</v>
      </c>
      <c r="T416">
        <f>INDEX([1]IDEN_level_ids!$B:$B,MATCH(G416,[1]IDEN_level_ids!$A:$A,0),1)</f>
        <v>1213</v>
      </c>
      <c r="U416">
        <f>INDEX([1]IDEN_level_ids!$B:$B,MATCH(H416,[1]IDEN_level_ids!$A:$A,0),1)</f>
        <v>779</v>
      </c>
    </row>
    <row r="417" spans="1:21" hidden="1" x14ac:dyDescent="0.25">
      <c r="A417">
        <v>94236.310200000007</v>
      </c>
      <c r="B417">
        <v>1061.1621</v>
      </c>
      <c r="C417">
        <v>4</v>
      </c>
      <c r="D417" t="s">
        <v>248</v>
      </c>
      <c r="E417" t="s">
        <v>52</v>
      </c>
      <c r="F417">
        <v>1969</v>
      </c>
      <c r="G417" s="1" t="s">
        <v>197</v>
      </c>
      <c r="H417" s="1" t="s">
        <v>176</v>
      </c>
      <c r="I417">
        <v>0</v>
      </c>
      <c r="J417">
        <v>94236.414699999994</v>
      </c>
      <c r="K417">
        <v>1.1800000000000001E-3</v>
      </c>
      <c r="L417">
        <v>3.1099999999999999E-3</v>
      </c>
      <c r="M417">
        <v>0.27600000000000002</v>
      </c>
      <c r="N417">
        <v>8.4699999999999998E-2</v>
      </c>
      <c r="O417">
        <v>3.3999999999999998E-3</v>
      </c>
      <c r="P417" s="3">
        <f t="shared" si="24"/>
        <v>1061.1620912126925</v>
      </c>
      <c r="Q417" s="3">
        <f t="shared" si="25"/>
        <v>1.1767366029289406E-3</v>
      </c>
      <c r="R417" s="3">
        <f t="shared" si="26"/>
        <v>3.1099999999999999E-3</v>
      </c>
      <c r="S417">
        <f t="shared" si="27"/>
        <v>8</v>
      </c>
      <c r="T417">
        <f>INDEX([1]IDEN_level_ids!$B:$B,MATCH(G417,[1]IDEN_level_ids!$A:$A,0),1)</f>
        <v>1182</v>
      </c>
      <c r="U417">
        <f>INDEX([1]IDEN_level_ids!$B:$B,MATCH(H417,[1]IDEN_level_ids!$A:$A,0),1)</f>
        <v>708</v>
      </c>
    </row>
    <row r="418" spans="1:21" hidden="1" x14ac:dyDescent="0.25">
      <c r="A418">
        <v>94221.588300000003</v>
      </c>
      <c r="B418">
        <v>1061.3279</v>
      </c>
      <c r="C418">
        <v>4</v>
      </c>
      <c r="D418" t="s">
        <v>248</v>
      </c>
      <c r="F418">
        <v>1969</v>
      </c>
      <c r="G418" s="1" t="s">
        <v>18</v>
      </c>
      <c r="H418" s="1" t="s">
        <v>232</v>
      </c>
      <c r="I418">
        <v>0</v>
      </c>
      <c r="J418">
        <v>94221.909899999999</v>
      </c>
      <c r="K418">
        <v>3.62E-3</v>
      </c>
      <c r="L418">
        <v>2.7599999999999999E-3</v>
      </c>
      <c r="M418">
        <v>0.245</v>
      </c>
      <c r="N418">
        <v>4.8300000000000003E-2</v>
      </c>
      <c r="O418">
        <v>2.8999999999999998E-3</v>
      </c>
      <c r="P418" s="3">
        <f t="shared" si="24"/>
        <v>1061.3278952759915</v>
      </c>
      <c r="Q418" s="3">
        <f t="shared" si="25"/>
        <v>3.6225443898274534E-3</v>
      </c>
      <c r="R418" s="3">
        <f t="shared" si="26"/>
        <v>2.7599999999999999E-3</v>
      </c>
      <c r="S418">
        <f t="shared" si="27"/>
        <v>8</v>
      </c>
      <c r="T418">
        <f>INDEX([1]IDEN_level_ids!$B:$B,MATCH(G418,[1]IDEN_level_ids!$A:$A,0),1)</f>
        <v>1226</v>
      </c>
      <c r="U418">
        <f>INDEX([1]IDEN_level_ids!$B:$B,MATCH(H418,[1]IDEN_level_ids!$A:$A,0),1)</f>
        <v>801</v>
      </c>
    </row>
    <row r="419" spans="1:21" hidden="1" x14ac:dyDescent="0.25">
      <c r="A419">
        <v>94204.614300000001</v>
      </c>
      <c r="B419">
        <v>1061.5191</v>
      </c>
      <c r="C419">
        <v>4</v>
      </c>
      <c r="D419" t="s">
        <v>248</v>
      </c>
      <c r="F419">
        <v>1969</v>
      </c>
      <c r="G419" s="1" t="s">
        <v>38</v>
      </c>
      <c r="H419" s="1" t="s">
        <v>127</v>
      </c>
      <c r="I419">
        <v>0</v>
      </c>
      <c r="J419">
        <v>94204.748200000002</v>
      </c>
      <c r="K419">
        <v>1.5100000000000001E-3</v>
      </c>
      <c r="L419">
        <v>2.7599999999999999E-3</v>
      </c>
      <c r="M419">
        <v>0.245</v>
      </c>
      <c r="N419">
        <v>2.7799999999999998E-2</v>
      </c>
      <c r="O419">
        <v>2.8400000000000001E-3</v>
      </c>
      <c r="P419" s="3">
        <f t="shared" si="24"/>
        <v>1061.5191277313047</v>
      </c>
      <c r="Q419" s="3">
        <f t="shared" si="25"/>
        <v>1.5088136628946813E-3</v>
      </c>
      <c r="R419" s="3">
        <f t="shared" si="26"/>
        <v>2.7599999999999999E-3</v>
      </c>
      <c r="S419">
        <f t="shared" si="27"/>
        <v>8</v>
      </c>
      <c r="T419">
        <f>INDEX([1]IDEN_level_ids!$B:$B,MATCH(G419,[1]IDEN_level_ids!$A:$A,0),1)</f>
        <v>1201</v>
      </c>
      <c r="U419">
        <f>INDEX([1]IDEN_level_ids!$B:$B,MATCH(H419,[1]IDEN_level_ids!$A:$A,0),1)</f>
        <v>760</v>
      </c>
    </row>
    <row r="420" spans="1:21" hidden="1" x14ac:dyDescent="0.25">
      <c r="A420">
        <v>94197.514899999995</v>
      </c>
      <c r="B420">
        <v>1061.5990999999999</v>
      </c>
      <c r="C420">
        <v>4</v>
      </c>
      <c r="D420" t="s">
        <v>248</v>
      </c>
      <c r="F420">
        <v>1969</v>
      </c>
      <c r="G420" s="1" t="s">
        <v>53</v>
      </c>
      <c r="H420" s="1" t="s">
        <v>234</v>
      </c>
      <c r="I420">
        <v>0</v>
      </c>
      <c r="J420">
        <v>94197.619699999996</v>
      </c>
      <c r="K420">
        <v>1.1800000000000001E-3</v>
      </c>
      <c r="L420">
        <v>2.7599999999999999E-3</v>
      </c>
      <c r="M420">
        <v>0.245</v>
      </c>
      <c r="N420">
        <v>3.8399999999999997E-2</v>
      </c>
      <c r="O420">
        <v>2.8700000000000002E-3</v>
      </c>
      <c r="P420" s="3">
        <f t="shared" si="24"/>
        <v>1061.5991314225212</v>
      </c>
      <c r="Q420" s="3">
        <f t="shared" si="25"/>
        <v>1.1810870521458128E-3</v>
      </c>
      <c r="R420" s="3">
        <f t="shared" si="26"/>
        <v>2.7599999999999999E-3</v>
      </c>
      <c r="S420">
        <f t="shared" si="27"/>
        <v>8</v>
      </c>
      <c r="T420">
        <f>INDEX([1]IDEN_level_ids!$B:$B,MATCH(G420,[1]IDEN_level_ids!$A:$A,0),1)</f>
        <v>1231</v>
      </c>
      <c r="U420">
        <f>INDEX([1]IDEN_level_ids!$B:$B,MATCH(H420,[1]IDEN_level_ids!$A:$A,0),1)</f>
        <v>818</v>
      </c>
    </row>
    <row r="421" spans="1:21" hidden="1" x14ac:dyDescent="0.25">
      <c r="A421">
        <v>94189.005099999995</v>
      </c>
      <c r="B421">
        <v>1061.6949999999999</v>
      </c>
      <c r="C421">
        <v>4</v>
      </c>
      <c r="D421" t="s">
        <v>248</v>
      </c>
      <c r="F421">
        <v>1969</v>
      </c>
      <c r="G421" s="1" t="s">
        <v>77</v>
      </c>
      <c r="H421" s="1" t="s">
        <v>258</v>
      </c>
      <c r="I421">
        <v>0</v>
      </c>
      <c r="J421">
        <v>94188.843900000007</v>
      </c>
      <c r="K421">
        <v>-1.82E-3</v>
      </c>
      <c r="L421">
        <v>2.7599999999999999E-3</v>
      </c>
      <c r="M421">
        <v>0.245</v>
      </c>
      <c r="N421">
        <v>4.2900000000000001E-2</v>
      </c>
      <c r="O421">
        <v>2.8900000000000002E-3</v>
      </c>
      <c r="P421" s="3">
        <f t="shared" si="24"/>
        <v>1061.6950449134747</v>
      </c>
      <c r="Q421" s="3">
        <f t="shared" si="25"/>
        <v>-1.8170436555919878E-3</v>
      </c>
      <c r="R421" s="3">
        <f t="shared" si="26"/>
        <v>2.7599999999999999E-3</v>
      </c>
      <c r="S421">
        <f t="shared" si="27"/>
        <v>8</v>
      </c>
      <c r="T421">
        <f>INDEX([1]IDEN_level_ids!$B:$B,MATCH(G421,[1]IDEN_level_ids!$A:$A,0),1)</f>
        <v>1197</v>
      </c>
      <c r="U421">
        <f>INDEX([1]IDEN_level_ids!$B:$B,MATCH(H421,[1]IDEN_level_ids!$A:$A,0),1)</f>
        <v>755</v>
      </c>
    </row>
    <row r="422" spans="1:21" hidden="1" x14ac:dyDescent="0.25">
      <c r="A422">
        <v>94170.015499999994</v>
      </c>
      <c r="B422">
        <v>1061.9091000000001</v>
      </c>
      <c r="C422">
        <v>4</v>
      </c>
      <c r="D422" t="s">
        <v>248</v>
      </c>
      <c r="E422" t="s">
        <v>52</v>
      </c>
      <c r="F422">
        <v>1969</v>
      </c>
      <c r="G422" s="1" t="s">
        <v>62</v>
      </c>
      <c r="H422" s="1" t="s">
        <v>174</v>
      </c>
      <c r="I422">
        <v>0</v>
      </c>
      <c r="J422">
        <v>94169.701400000005</v>
      </c>
      <c r="K422">
        <v>-3.5400000000000002E-3</v>
      </c>
      <c r="L422">
        <v>3.1099999999999999E-3</v>
      </c>
      <c r="M422">
        <v>0.27600000000000002</v>
      </c>
      <c r="N422">
        <v>1.15E-2</v>
      </c>
      <c r="O422">
        <v>3.15E-3</v>
      </c>
      <c r="P422" s="3">
        <f t="shared" si="24"/>
        <v>1061.9091381587382</v>
      </c>
      <c r="Q422" s="3">
        <f t="shared" si="25"/>
        <v>-3.5419636603819526E-3</v>
      </c>
      <c r="R422" s="3">
        <f t="shared" si="26"/>
        <v>3.1099999999999999E-3</v>
      </c>
      <c r="S422">
        <f t="shared" si="27"/>
        <v>8</v>
      </c>
      <c r="T422">
        <f>INDEX([1]IDEN_level_ids!$B:$B,MATCH(G422,[1]IDEN_level_ids!$A:$A,0),1)</f>
        <v>1203</v>
      </c>
      <c r="U422">
        <f>INDEX([1]IDEN_level_ids!$B:$B,MATCH(H422,[1]IDEN_level_ids!$A:$A,0),1)</f>
        <v>758</v>
      </c>
    </row>
    <row r="423" spans="1:21" hidden="1" x14ac:dyDescent="0.25">
      <c r="A423">
        <v>94164.186100000006</v>
      </c>
      <c r="B423">
        <v>1061.9748999999999</v>
      </c>
      <c r="C423">
        <v>4</v>
      </c>
      <c r="D423" t="s">
        <v>248</v>
      </c>
      <c r="F423">
        <v>1969</v>
      </c>
      <c r="G423" s="1" t="s">
        <v>62</v>
      </c>
      <c r="H423" s="1" t="s">
        <v>130</v>
      </c>
      <c r="I423">
        <v>0</v>
      </c>
      <c r="J423">
        <v>94164.461599999995</v>
      </c>
      <c r="K423">
        <v>3.1099999999999999E-3</v>
      </c>
      <c r="L423">
        <v>2.7599999999999999E-3</v>
      </c>
      <c r="M423">
        <v>0.245</v>
      </c>
      <c r="N423">
        <v>3.7499999999999999E-2</v>
      </c>
      <c r="O423">
        <v>2.8700000000000002E-3</v>
      </c>
      <c r="P423" s="3">
        <f t="shared" si="24"/>
        <v>1061.9748775166229</v>
      </c>
      <c r="Q423" s="3">
        <f t="shared" si="25"/>
        <v>3.1070541238022997E-3</v>
      </c>
      <c r="R423" s="3">
        <f t="shared" si="26"/>
        <v>2.7599999999999999E-3</v>
      </c>
      <c r="S423">
        <f t="shared" si="27"/>
        <v>8</v>
      </c>
      <c r="T423">
        <f>INDEX([1]IDEN_level_ids!$B:$B,MATCH(G423,[1]IDEN_level_ids!$A:$A,0),1)</f>
        <v>1203</v>
      </c>
      <c r="U423">
        <f>INDEX([1]IDEN_level_ids!$B:$B,MATCH(H423,[1]IDEN_level_ids!$A:$A,0),1)</f>
        <v>761</v>
      </c>
    </row>
    <row r="424" spans="1:21" hidden="1" x14ac:dyDescent="0.25">
      <c r="A424">
        <v>94130.402499999997</v>
      </c>
      <c r="B424">
        <v>1062.356</v>
      </c>
      <c r="C424">
        <v>4</v>
      </c>
      <c r="D424" t="s">
        <v>248</v>
      </c>
      <c r="E424" t="s">
        <v>52</v>
      </c>
      <c r="F424">
        <v>1969</v>
      </c>
      <c r="G424" s="1" t="s">
        <v>265</v>
      </c>
      <c r="H424" s="1" t="s">
        <v>181</v>
      </c>
      <c r="I424">
        <v>0</v>
      </c>
      <c r="J424">
        <v>94130.575800000006</v>
      </c>
      <c r="K424">
        <v>1.9599999999999999E-3</v>
      </c>
      <c r="L424">
        <v>3.1199999999999999E-3</v>
      </c>
      <c r="M424">
        <v>0.27600000000000002</v>
      </c>
      <c r="N424">
        <v>0.20469999999999999</v>
      </c>
      <c r="O424">
        <v>3.9199999999999999E-3</v>
      </c>
      <c r="P424" s="3">
        <f t="shared" si="24"/>
        <v>1062.3560225401141</v>
      </c>
      <c r="Q424" s="3">
        <f t="shared" si="25"/>
        <v>1.9558607514227333E-3</v>
      </c>
      <c r="R424" s="3">
        <f t="shared" si="26"/>
        <v>3.1199999999999999E-3</v>
      </c>
      <c r="S424">
        <f t="shared" si="27"/>
        <v>8</v>
      </c>
      <c r="T424">
        <f>INDEX([1]IDEN_level_ids!$B:$B,MATCH(G424,[1]IDEN_level_ids!$A:$A,0),1)</f>
        <v>1161</v>
      </c>
      <c r="U424">
        <f>INDEX([1]IDEN_level_ids!$B:$B,MATCH(H424,[1]IDEN_level_ids!$A:$A,0),1)</f>
        <v>639</v>
      </c>
    </row>
    <row r="425" spans="1:21" hidden="1" x14ac:dyDescent="0.25">
      <c r="A425">
        <v>94102.313999999998</v>
      </c>
      <c r="B425">
        <v>1062.6731</v>
      </c>
      <c r="C425">
        <v>4</v>
      </c>
      <c r="D425" t="s">
        <v>248</v>
      </c>
      <c r="F425">
        <v>1969</v>
      </c>
      <c r="G425" s="1" t="s">
        <v>36</v>
      </c>
      <c r="H425" s="1" t="s">
        <v>242</v>
      </c>
      <c r="I425">
        <v>0</v>
      </c>
      <c r="J425">
        <v>94102.4084</v>
      </c>
      <c r="K425">
        <v>1.07E-3</v>
      </c>
      <c r="L425">
        <v>2.7699999999999999E-3</v>
      </c>
      <c r="M425">
        <v>0.245</v>
      </c>
      <c r="N425">
        <v>0.113</v>
      </c>
      <c r="O425">
        <v>3.1199999999999999E-3</v>
      </c>
      <c r="P425" s="3">
        <f t="shared" si="24"/>
        <v>1062.6731240636655</v>
      </c>
      <c r="Q425" s="3">
        <f t="shared" si="25"/>
        <v>1.0660337457011337E-3</v>
      </c>
      <c r="R425" s="3">
        <f t="shared" si="26"/>
        <v>2.7699999999999999E-3</v>
      </c>
      <c r="S425">
        <f t="shared" si="27"/>
        <v>8</v>
      </c>
      <c r="T425">
        <f>INDEX([1]IDEN_level_ids!$B:$B,MATCH(G425,[1]IDEN_level_ids!$A:$A,0),1)</f>
        <v>1217</v>
      </c>
      <c r="U425">
        <f>INDEX([1]IDEN_level_ids!$B:$B,MATCH(H425,[1]IDEN_level_ids!$A:$A,0),1)</f>
        <v>786</v>
      </c>
    </row>
    <row r="426" spans="1:21" hidden="1" x14ac:dyDescent="0.25">
      <c r="A426">
        <v>94089.3989</v>
      </c>
      <c r="B426">
        <v>1062.819</v>
      </c>
      <c r="C426">
        <v>4</v>
      </c>
      <c r="D426" t="s">
        <v>248</v>
      </c>
      <c r="F426">
        <v>1969</v>
      </c>
      <c r="G426" s="1" t="s">
        <v>82</v>
      </c>
      <c r="H426" s="1" t="s">
        <v>266</v>
      </c>
      <c r="I426">
        <v>0</v>
      </c>
      <c r="J426">
        <v>94089.395300000004</v>
      </c>
      <c r="K426">
        <v>-4.0000000000000003E-5</v>
      </c>
      <c r="L426">
        <v>2.7699999999999999E-3</v>
      </c>
      <c r="M426">
        <v>0.245</v>
      </c>
      <c r="N426">
        <v>5.3900000000000003E-2</v>
      </c>
      <c r="O426">
        <v>2.9199999999999999E-3</v>
      </c>
      <c r="P426" s="3">
        <f t="shared" si="24"/>
        <v>1062.8189909713622</v>
      </c>
      <c r="Q426" s="3">
        <f t="shared" si="25"/>
        <v>-4.0665033111508819E-5</v>
      </c>
      <c r="R426" s="3">
        <f t="shared" si="26"/>
        <v>2.7699999999999999E-3</v>
      </c>
      <c r="S426">
        <f t="shared" si="27"/>
        <v>8</v>
      </c>
      <c r="T426">
        <f>INDEX([1]IDEN_level_ids!$B:$B,MATCH(G426,[1]IDEN_level_ids!$A:$A,0),1)</f>
        <v>1193</v>
      </c>
      <c r="U426">
        <f>INDEX([1]IDEN_level_ids!$B:$B,MATCH(H426,[1]IDEN_level_ids!$A:$A,0),1)</f>
        <v>742</v>
      </c>
    </row>
    <row r="427" spans="1:21" hidden="1" x14ac:dyDescent="0.25">
      <c r="A427">
        <v>94081.2304</v>
      </c>
      <c r="B427">
        <v>1062.9113</v>
      </c>
      <c r="C427">
        <v>4</v>
      </c>
      <c r="D427" t="s">
        <v>248</v>
      </c>
      <c r="F427">
        <v>1969</v>
      </c>
      <c r="G427" s="1" t="s">
        <v>262</v>
      </c>
      <c r="H427" s="1" t="s">
        <v>91</v>
      </c>
      <c r="I427">
        <v>0</v>
      </c>
      <c r="J427">
        <v>94081.706699999995</v>
      </c>
      <c r="K427">
        <v>5.3800000000000002E-3</v>
      </c>
      <c r="L427">
        <v>2.7699999999999999E-3</v>
      </c>
      <c r="M427">
        <v>0.245</v>
      </c>
      <c r="N427">
        <v>0.27450000000000002</v>
      </c>
      <c r="O427">
        <v>3.82E-3</v>
      </c>
      <c r="P427" s="3">
        <f t="shared" si="24"/>
        <v>1062.911269068607</v>
      </c>
      <c r="Q427" s="3">
        <f t="shared" si="25"/>
        <v>5.3811166401374066E-3</v>
      </c>
      <c r="R427" s="3">
        <f t="shared" si="26"/>
        <v>2.7699999999999999E-3</v>
      </c>
      <c r="S427">
        <f t="shared" si="27"/>
        <v>8</v>
      </c>
      <c r="T427">
        <f>INDEX([1]IDEN_level_ids!$B:$B,MATCH(G427,[1]IDEN_level_ids!$A:$A,0),1)</f>
        <v>1115</v>
      </c>
      <c r="U427">
        <f>INDEX([1]IDEN_level_ids!$B:$B,MATCH(H427,[1]IDEN_level_ids!$A:$A,0),1)</f>
        <v>485</v>
      </c>
    </row>
    <row r="428" spans="1:21" hidden="1" x14ac:dyDescent="0.25">
      <c r="A428">
        <v>94064.185599999997</v>
      </c>
      <c r="B428">
        <v>1063.1039000000001</v>
      </c>
      <c r="C428">
        <v>4</v>
      </c>
      <c r="D428" t="s">
        <v>248</v>
      </c>
      <c r="F428">
        <v>1969</v>
      </c>
      <c r="G428" s="1" t="s">
        <v>267</v>
      </c>
      <c r="H428" s="1" t="s">
        <v>74</v>
      </c>
      <c r="I428">
        <v>0</v>
      </c>
      <c r="J428">
        <v>94064.73</v>
      </c>
      <c r="K428">
        <v>6.1500000000000001E-3</v>
      </c>
      <c r="L428">
        <v>2.7699999999999999E-3</v>
      </c>
      <c r="M428">
        <v>0.245</v>
      </c>
      <c r="N428">
        <v>0.51759999999999995</v>
      </c>
      <c r="O428">
        <v>5.7400000000000003E-3</v>
      </c>
      <c r="P428" s="3">
        <f t="shared" si="24"/>
        <v>1063.1038727666398</v>
      </c>
      <c r="Q428" s="3">
        <f t="shared" si="25"/>
        <v>6.1527179032054846E-3</v>
      </c>
      <c r="R428" s="3">
        <f t="shared" si="26"/>
        <v>2.7699999999999999E-3</v>
      </c>
      <c r="S428">
        <f t="shared" si="27"/>
        <v>8</v>
      </c>
      <c r="T428">
        <f>INDEX([1]IDEN_level_ids!$B:$B,MATCH(G428,[1]IDEN_level_ids!$A:$A,0),1)</f>
        <v>1104</v>
      </c>
      <c r="U428">
        <f>INDEX([1]IDEN_level_ids!$B:$B,MATCH(H428,[1]IDEN_level_ids!$A:$A,0),1)</f>
        <v>431</v>
      </c>
    </row>
    <row r="429" spans="1:21" hidden="1" x14ac:dyDescent="0.25">
      <c r="A429">
        <v>94050.808799999999</v>
      </c>
      <c r="B429">
        <v>1063.2551000000001</v>
      </c>
      <c r="C429">
        <v>4</v>
      </c>
      <c r="D429" t="s">
        <v>248</v>
      </c>
      <c r="F429">
        <v>1969</v>
      </c>
      <c r="G429" s="1" t="s">
        <v>268</v>
      </c>
      <c r="H429" s="1" t="s">
        <v>105</v>
      </c>
      <c r="I429">
        <v>0</v>
      </c>
      <c r="J429">
        <v>94050.880900000004</v>
      </c>
      <c r="K429">
        <v>8.1999999999999998E-4</v>
      </c>
      <c r="L429">
        <v>2.7699999999999999E-3</v>
      </c>
      <c r="M429">
        <v>0.245</v>
      </c>
      <c r="N429">
        <v>0.13059999999999999</v>
      </c>
      <c r="O429">
        <v>3.1900000000000001E-3</v>
      </c>
      <c r="P429" s="3">
        <f t="shared" si="24"/>
        <v>1063.2550775044479</v>
      </c>
      <c r="Q429" s="3">
        <f t="shared" si="25"/>
        <v>8.1509806568647036E-4</v>
      </c>
      <c r="R429" s="3">
        <f t="shared" si="26"/>
        <v>2.7699999999999999E-3</v>
      </c>
      <c r="S429">
        <f t="shared" si="27"/>
        <v>8</v>
      </c>
      <c r="T429">
        <f>INDEX([1]IDEN_level_ids!$B:$B,MATCH(G429,[1]IDEN_level_ids!$A:$A,0),1)</f>
        <v>1160</v>
      </c>
      <c r="U429">
        <f>INDEX([1]IDEN_level_ids!$B:$B,MATCH(H429,[1]IDEN_level_ids!$A:$A,0),1)</f>
        <v>640</v>
      </c>
    </row>
    <row r="430" spans="1:21" hidden="1" x14ac:dyDescent="0.25">
      <c r="A430">
        <v>94041.373000000007</v>
      </c>
      <c r="B430">
        <v>1063.3617999999999</v>
      </c>
      <c r="C430">
        <v>4</v>
      </c>
      <c r="D430" t="s">
        <v>248</v>
      </c>
      <c r="F430">
        <v>1969</v>
      </c>
      <c r="G430" s="1" t="s">
        <v>94</v>
      </c>
      <c r="H430" s="1" t="s">
        <v>237</v>
      </c>
      <c r="I430">
        <v>0</v>
      </c>
      <c r="J430">
        <v>94041.639599999995</v>
      </c>
      <c r="K430">
        <v>3.0100000000000001E-3</v>
      </c>
      <c r="L430">
        <v>2.7699999999999999E-3</v>
      </c>
      <c r="M430">
        <v>0.245</v>
      </c>
      <c r="N430">
        <v>4.5900000000000003E-2</v>
      </c>
      <c r="O430">
        <v>2.8999999999999998E-3</v>
      </c>
      <c r="P430" s="3">
        <f t="shared" si="24"/>
        <v>1063.361760998534</v>
      </c>
      <c r="Q430" s="3">
        <f t="shared" si="25"/>
        <v>3.0145395876388648E-3</v>
      </c>
      <c r="R430" s="3">
        <f t="shared" si="26"/>
        <v>2.7699999999999999E-3</v>
      </c>
      <c r="S430">
        <f t="shared" si="27"/>
        <v>8</v>
      </c>
      <c r="T430">
        <f>INDEX([1]IDEN_level_ids!$B:$B,MATCH(G430,[1]IDEN_level_ids!$A:$A,0),1)</f>
        <v>1207</v>
      </c>
      <c r="U430">
        <f>INDEX([1]IDEN_level_ids!$B:$B,MATCH(H430,[1]IDEN_level_ids!$A:$A,0),1)</f>
        <v>773</v>
      </c>
    </row>
    <row r="431" spans="1:21" hidden="1" x14ac:dyDescent="0.25">
      <c r="A431">
        <v>94015.613200000007</v>
      </c>
      <c r="B431">
        <v>1063.6531</v>
      </c>
      <c r="C431">
        <v>4</v>
      </c>
      <c r="D431" t="s">
        <v>248</v>
      </c>
      <c r="F431">
        <v>1969</v>
      </c>
      <c r="G431" s="1" t="s">
        <v>269</v>
      </c>
      <c r="H431" s="1" t="s">
        <v>224</v>
      </c>
      <c r="I431">
        <v>0</v>
      </c>
      <c r="J431">
        <v>94015.744099999996</v>
      </c>
      <c r="K431">
        <v>1.48E-3</v>
      </c>
      <c r="L431">
        <v>2.7699999999999999E-3</v>
      </c>
      <c r="M431">
        <v>0.245</v>
      </c>
      <c r="N431">
        <v>0.3382</v>
      </c>
      <c r="O431">
        <v>4.1900000000000001E-3</v>
      </c>
      <c r="P431" s="3">
        <f t="shared" si="24"/>
        <v>1063.6531167144478</v>
      </c>
      <c r="Q431" s="3">
        <f t="shared" si="25"/>
        <v>1.4809454978603753E-3</v>
      </c>
      <c r="R431" s="3">
        <f t="shared" si="26"/>
        <v>2.7699999999999999E-3</v>
      </c>
      <c r="S431">
        <f t="shared" si="27"/>
        <v>8</v>
      </c>
      <c r="T431">
        <f>INDEX([1]IDEN_level_ids!$B:$B,MATCH(G431,[1]IDEN_level_ids!$A:$A,0),1)</f>
        <v>1137</v>
      </c>
      <c r="U431">
        <f>INDEX([1]IDEN_level_ids!$B:$B,MATCH(H431,[1]IDEN_level_ids!$A:$A,0),1)</f>
        <v>546</v>
      </c>
    </row>
    <row r="432" spans="1:21" hidden="1" x14ac:dyDescent="0.25">
      <c r="A432">
        <v>94007.402300000002</v>
      </c>
      <c r="B432">
        <v>1063.7460000000001</v>
      </c>
      <c r="C432">
        <v>4</v>
      </c>
      <c r="D432" t="s">
        <v>248</v>
      </c>
      <c r="F432">
        <v>1969</v>
      </c>
      <c r="G432" s="1" t="s">
        <v>180</v>
      </c>
      <c r="H432" s="1" t="s">
        <v>270</v>
      </c>
      <c r="I432">
        <v>0</v>
      </c>
      <c r="J432">
        <v>94007.686600000001</v>
      </c>
      <c r="K432">
        <v>3.2200000000000002E-3</v>
      </c>
      <c r="L432">
        <v>2.7699999999999999E-3</v>
      </c>
      <c r="M432">
        <v>0.245</v>
      </c>
      <c r="N432">
        <v>0.12690000000000001</v>
      </c>
      <c r="O432">
        <v>3.1700000000000001E-3</v>
      </c>
      <c r="P432" s="3">
        <f t="shared" si="24"/>
        <v>1063.7460194982964</v>
      </c>
      <c r="Q432" s="3">
        <f t="shared" si="25"/>
        <v>3.2170028246127913E-3</v>
      </c>
      <c r="R432" s="3">
        <f t="shared" si="26"/>
        <v>2.7699999999999999E-3</v>
      </c>
      <c r="S432">
        <f t="shared" si="27"/>
        <v>8</v>
      </c>
      <c r="T432">
        <f>INDEX([1]IDEN_level_ids!$B:$B,MATCH(G432,[1]IDEN_level_ids!$A:$A,0),1)</f>
        <v>1184</v>
      </c>
      <c r="U432">
        <f>INDEX([1]IDEN_level_ids!$B:$B,MATCH(H432,[1]IDEN_level_ids!$A:$A,0),1)</f>
        <v>725</v>
      </c>
    </row>
    <row r="433" spans="1:21" hidden="1" x14ac:dyDescent="0.25">
      <c r="A433">
        <v>93933.309399999998</v>
      </c>
      <c r="B433">
        <v>1064.5851</v>
      </c>
      <c r="C433">
        <v>4</v>
      </c>
      <c r="D433" t="s">
        <v>248</v>
      </c>
      <c r="F433">
        <v>1969</v>
      </c>
      <c r="G433" s="1" t="s">
        <v>172</v>
      </c>
      <c r="H433" s="1" t="s">
        <v>90</v>
      </c>
      <c r="I433">
        <v>0</v>
      </c>
      <c r="J433">
        <v>93932.975399999996</v>
      </c>
      <c r="K433">
        <v>-3.7799999999999999E-3</v>
      </c>
      <c r="L433">
        <v>2.7799999999999999E-3</v>
      </c>
      <c r="M433">
        <v>0.245</v>
      </c>
      <c r="N433">
        <v>0.20730000000000001</v>
      </c>
      <c r="O433">
        <v>3.5000000000000001E-3</v>
      </c>
      <c r="P433" s="3">
        <f t="shared" si="24"/>
        <v>1064.5850831696557</v>
      </c>
      <c r="Q433" s="3">
        <f t="shared" si="25"/>
        <v>-3.7853737333080062E-3</v>
      </c>
      <c r="R433" s="3">
        <f t="shared" si="26"/>
        <v>2.7799999999999999E-3</v>
      </c>
      <c r="S433">
        <f t="shared" si="27"/>
        <v>8</v>
      </c>
      <c r="T433">
        <f>INDEX([1]IDEN_level_ids!$B:$B,MATCH(G433,[1]IDEN_level_ids!$A:$A,0),1)</f>
        <v>1136</v>
      </c>
      <c r="U433">
        <f>INDEX([1]IDEN_level_ids!$B:$B,MATCH(H433,[1]IDEN_level_ids!$A:$A,0),1)</f>
        <v>540</v>
      </c>
    </row>
    <row r="434" spans="1:21" hidden="1" x14ac:dyDescent="0.25">
      <c r="A434">
        <v>93928.479800000001</v>
      </c>
      <c r="B434">
        <v>1064.6397999999999</v>
      </c>
      <c r="C434">
        <v>4</v>
      </c>
      <c r="D434" t="s">
        <v>248</v>
      </c>
      <c r="E434" t="s">
        <v>52</v>
      </c>
      <c r="F434">
        <v>1969</v>
      </c>
      <c r="G434" s="1" t="s">
        <v>271</v>
      </c>
      <c r="H434" s="1" t="s">
        <v>104</v>
      </c>
      <c r="I434">
        <v>0</v>
      </c>
      <c r="J434">
        <v>93928.447499999995</v>
      </c>
      <c r="K434">
        <v>-3.6999999999999999E-4</v>
      </c>
      <c r="L434">
        <v>3.13E-3</v>
      </c>
      <c r="M434">
        <v>0.27600000000000002</v>
      </c>
      <c r="N434">
        <v>3.1E-2</v>
      </c>
      <c r="O434">
        <v>3.2299999999999998E-3</v>
      </c>
      <c r="P434" s="3">
        <f t="shared" si="24"/>
        <v>1064.6398218402765</v>
      </c>
      <c r="Q434" s="3">
        <f t="shared" si="25"/>
        <v>-3.661070438738534E-4</v>
      </c>
      <c r="R434" s="3">
        <f t="shared" si="26"/>
        <v>3.13E-3</v>
      </c>
      <c r="S434">
        <f t="shared" si="27"/>
        <v>8</v>
      </c>
      <c r="T434">
        <f>INDEX([1]IDEN_level_ids!$B:$B,MATCH(G434,[1]IDEN_level_ids!$A:$A,0),1)</f>
        <v>1158</v>
      </c>
      <c r="U434">
        <f>INDEX([1]IDEN_level_ids!$B:$B,MATCH(H434,[1]IDEN_level_ids!$A:$A,0),1)</f>
        <v>636</v>
      </c>
    </row>
    <row r="435" spans="1:21" hidden="1" x14ac:dyDescent="0.25">
      <c r="A435">
        <v>93914.794999999998</v>
      </c>
      <c r="B435">
        <v>1064.7950000000001</v>
      </c>
      <c r="C435">
        <v>4</v>
      </c>
      <c r="D435" t="s">
        <v>248</v>
      </c>
      <c r="F435">
        <v>1969</v>
      </c>
      <c r="G435" s="1" t="s">
        <v>204</v>
      </c>
      <c r="H435" s="1" t="s">
        <v>208</v>
      </c>
      <c r="I435">
        <v>0</v>
      </c>
      <c r="J435">
        <v>93915.064599999998</v>
      </c>
      <c r="K435">
        <v>3.0599999999999998E-3</v>
      </c>
      <c r="L435">
        <v>2.7799999999999999E-3</v>
      </c>
      <c r="M435">
        <v>0.245</v>
      </c>
      <c r="N435">
        <v>0.25280000000000002</v>
      </c>
      <c r="O435">
        <v>3.7200000000000002E-3</v>
      </c>
      <c r="P435" s="3">
        <f t="shared" si="24"/>
        <v>1064.7949558959267</v>
      </c>
      <c r="Q435" s="3">
        <f t="shared" si="25"/>
        <v>3.0566844768600276E-3</v>
      </c>
      <c r="R435" s="3">
        <f t="shared" si="26"/>
        <v>2.7799999999999999E-3</v>
      </c>
      <c r="S435">
        <f t="shared" si="27"/>
        <v>8</v>
      </c>
      <c r="T435">
        <f>INDEX([1]IDEN_level_ids!$B:$B,MATCH(G435,[1]IDEN_level_ids!$A:$A,0),1)</f>
        <v>1176</v>
      </c>
      <c r="U435">
        <f>INDEX([1]IDEN_level_ids!$B:$B,MATCH(H435,[1]IDEN_level_ids!$A:$A,0),1)</f>
        <v>703</v>
      </c>
    </row>
    <row r="436" spans="1:21" hidden="1" x14ac:dyDescent="0.25">
      <c r="A436">
        <v>93907.813399999999</v>
      </c>
      <c r="B436">
        <v>1064.8741</v>
      </c>
      <c r="C436">
        <v>4</v>
      </c>
      <c r="D436" t="s">
        <v>248</v>
      </c>
      <c r="F436">
        <v>1969</v>
      </c>
      <c r="G436" s="1" t="s">
        <v>94</v>
      </c>
      <c r="H436" s="1" t="s">
        <v>124</v>
      </c>
      <c r="I436">
        <v>0</v>
      </c>
      <c r="J436">
        <v>93907.8799</v>
      </c>
      <c r="K436">
        <v>7.5000000000000002E-4</v>
      </c>
      <c r="L436">
        <v>2.7799999999999999E-3</v>
      </c>
      <c r="M436">
        <v>0.245</v>
      </c>
      <c r="N436">
        <v>1.67E-2</v>
      </c>
      <c r="O436">
        <v>2.8300000000000001E-3</v>
      </c>
      <c r="P436" s="3">
        <f t="shared" si="24"/>
        <v>1064.8741183446616</v>
      </c>
      <c r="Q436" s="3">
        <f t="shared" si="25"/>
        <v>7.5408079646877013E-4</v>
      </c>
      <c r="R436" s="3">
        <f t="shared" si="26"/>
        <v>2.7799999999999999E-3</v>
      </c>
      <c r="S436">
        <f t="shared" si="27"/>
        <v>8</v>
      </c>
      <c r="T436">
        <f>INDEX([1]IDEN_level_ids!$B:$B,MATCH(G436,[1]IDEN_level_ids!$A:$A,0),1)</f>
        <v>1207</v>
      </c>
      <c r="U436">
        <f>INDEX([1]IDEN_level_ids!$B:$B,MATCH(H436,[1]IDEN_level_ids!$A:$A,0),1)</f>
        <v>776</v>
      </c>
    </row>
    <row r="437" spans="1:21" hidden="1" x14ac:dyDescent="0.25">
      <c r="A437">
        <v>93899.2834</v>
      </c>
      <c r="B437">
        <v>1064.9709</v>
      </c>
      <c r="C437">
        <v>4</v>
      </c>
      <c r="D437" t="s">
        <v>248</v>
      </c>
      <c r="F437">
        <v>1969</v>
      </c>
      <c r="G437" s="1" t="s">
        <v>46</v>
      </c>
      <c r="H437" s="1" t="s">
        <v>158</v>
      </c>
      <c r="I437">
        <v>0</v>
      </c>
      <c r="J437">
        <v>93899.338499999998</v>
      </c>
      <c r="K437">
        <v>6.2E-4</v>
      </c>
      <c r="L437">
        <v>2.7799999999999999E-3</v>
      </c>
      <c r="M437">
        <v>0.245</v>
      </c>
      <c r="N437">
        <v>2.0799999999999999E-2</v>
      </c>
      <c r="O437">
        <v>2.8400000000000001E-3</v>
      </c>
      <c r="P437" s="3">
        <f t="shared" si="24"/>
        <v>1064.9708536540334</v>
      </c>
      <c r="Q437" s="3">
        <f t="shared" si="25"/>
        <v>6.2492340180142492E-4</v>
      </c>
      <c r="R437" s="3">
        <f t="shared" si="26"/>
        <v>2.7799999999999999E-3</v>
      </c>
      <c r="S437">
        <f t="shared" si="27"/>
        <v>8</v>
      </c>
      <c r="T437">
        <f>INDEX([1]IDEN_level_ids!$B:$B,MATCH(G437,[1]IDEN_level_ids!$A:$A,0),1)</f>
        <v>1212</v>
      </c>
      <c r="U437">
        <f>INDEX([1]IDEN_level_ids!$B:$B,MATCH(H437,[1]IDEN_level_ids!$A:$A,0),1)</f>
        <v>779</v>
      </c>
    </row>
    <row r="438" spans="1:21" hidden="1" x14ac:dyDescent="0.25">
      <c r="A438">
        <v>93885.416700000002</v>
      </c>
      <c r="B438">
        <v>1065.1280999999999</v>
      </c>
      <c r="C438">
        <v>4</v>
      </c>
      <c r="D438" t="s">
        <v>248</v>
      </c>
      <c r="F438">
        <v>1969</v>
      </c>
      <c r="G438" s="1" t="s">
        <v>40</v>
      </c>
      <c r="H438" s="1" t="s">
        <v>192</v>
      </c>
      <c r="I438">
        <v>0</v>
      </c>
      <c r="J438">
        <v>93885.7019</v>
      </c>
      <c r="K438">
        <v>3.2399999999999998E-3</v>
      </c>
      <c r="L438">
        <v>2.7799999999999999E-3</v>
      </c>
      <c r="M438">
        <v>0.245</v>
      </c>
      <c r="N438">
        <v>2.12E-2</v>
      </c>
      <c r="O438">
        <v>2.8400000000000001E-3</v>
      </c>
      <c r="P438" s="3">
        <f t="shared" si="24"/>
        <v>1065.128147852168</v>
      </c>
      <c r="Q438" s="3">
        <f t="shared" si="25"/>
        <v>3.2355783855564368E-3</v>
      </c>
      <c r="R438" s="3">
        <f t="shared" si="26"/>
        <v>2.7799999999999999E-3</v>
      </c>
      <c r="S438">
        <f t="shared" si="27"/>
        <v>8</v>
      </c>
      <c r="T438">
        <f>INDEX([1]IDEN_level_ids!$B:$B,MATCH(G438,[1]IDEN_level_ids!$A:$A,0),1)</f>
        <v>1199</v>
      </c>
      <c r="U438">
        <f>INDEX([1]IDEN_level_ids!$B:$B,MATCH(H438,[1]IDEN_level_ids!$A:$A,0),1)</f>
        <v>762</v>
      </c>
    </row>
    <row r="439" spans="1:21" hidden="1" x14ac:dyDescent="0.25">
      <c r="A439">
        <v>93867.522400000002</v>
      </c>
      <c r="B439">
        <v>1065.3312000000001</v>
      </c>
      <c r="C439">
        <v>4</v>
      </c>
      <c r="D439" t="s">
        <v>248</v>
      </c>
      <c r="F439">
        <v>1969</v>
      </c>
      <c r="G439" s="1" t="s">
        <v>40</v>
      </c>
      <c r="H439" s="1" t="s">
        <v>130</v>
      </c>
      <c r="I439">
        <v>0</v>
      </c>
      <c r="J439">
        <v>93868.025800000003</v>
      </c>
      <c r="K439">
        <v>5.7099999999999998E-3</v>
      </c>
      <c r="L439">
        <v>2.7799999999999999E-3</v>
      </c>
      <c r="M439">
        <v>0.245</v>
      </c>
      <c r="N439">
        <v>3.4500000000000003E-2</v>
      </c>
      <c r="O439">
        <v>2.8800000000000002E-3</v>
      </c>
      <c r="P439" s="3">
        <f t="shared" si="24"/>
        <v>1065.3311970232635</v>
      </c>
      <c r="Q439" s="3">
        <f t="shared" si="25"/>
        <v>5.7132097965677531E-3</v>
      </c>
      <c r="R439" s="3">
        <f t="shared" si="26"/>
        <v>2.7799999999999999E-3</v>
      </c>
      <c r="S439">
        <f t="shared" si="27"/>
        <v>8</v>
      </c>
      <c r="T439">
        <f>INDEX([1]IDEN_level_ids!$B:$B,MATCH(G439,[1]IDEN_level_ids!$A:$A,0),1)</f>
        <v>1199</v>
      </c>
      <c r="U439">
        <f>INDEX([1]IDEN_level_ids!$B:$B,MATCH(H439,[1]IDEN_level_ids!$A:$A,0),1)</f>
        <v>761</v>
      </c>
    </row>
    <row r="440" spans="1:21" hidden="1" x14ac:dyDescent="0.25">
      <c r="A440">
        <v>93855.812600000005</v>
      </c>
      <c r="B440">
        <v>1065.4640999999999</v>
      </c>
      <c r="C440">
        <v>4</v>
      </c>
      <c r="D440" t="s">
        <v>248</v>
      </c>
      <c r="F440">
        <v>1969</v>
      </c>
      <c r="G440" s="1" t="s">
        <v>166</v>
      </c>
      <c r="H440" s="1" t="s">
        <v>106</v>
      </c>
      <c r="I440">
        <v>0</v>
      </c>
      <c r="J440">
        <v>93856.083799999993</v>
      </c>
      <c r="K440">
        <v>3.0799999999999998E-3</v>
      </c>
      <c r="L440">
        <v>2.7799999999999999E-3</v>
      </c>
      <c r="M440">
        <v>0.245</v>
      </c>
      <c r="N440">
        <v>9.6100000000000005E-2</v>
      </c>
      <c r="O440">
        <v>3.0799999999999998E-3</v>
      </c>
      <c r="P440" s="3">
        <f t="shared" si="24"/>
        <v>1065.4641117027631</v>
      </c>
      <c r="Q440" s="3">
        <f t="shared" si="25"/>
        <v>3.0786908571371896E-3</v>
      </c>
      <c r="R440" s="3">
        <f t="shared" si="26"/>
        <v>2.7799999999999999E-3</v>
      </c>
      <c r="S440">
        <f t="shared" si="27"/>
        <v>8</v>
      </c>
      <c r="T440">
        <f>INDEX([1]IDEN_level_ids!$B:$B,MATCH(G440,[1]IDEN_level_ids!$A:$A,0),1)</f>
        <v>1186</v>
      </c>
      <c r="U440">
        <f>INDEX([1]IDEN_level_ids!$B:$B,MATCH(H440,[1]IDEN_level_ids!$A:$A,0),1)</f>
        <v>726</v>
      </c>
    </row>
    <row r="441" spans="1:21" hidden="1" x14ac:dyDescent="0.25">
      <c r="A441">
        <v>93845.086899999995</v>
      </c>
      <c r="B441">
        <v>1065.5859</v>
      </c>
      <c r="C441">
        <v>4</v>
      </c>
      <c r="D441" t="s">
        <v>248</v>
      </c>
      <c r="F441">
        <v>1969</v>
      </c>
      <c r="G441" s="1" t="s">
        <v>73</v>
      </c>
      <c r="H441" s="1" t="s">
        <v>151</v>
      </c>
      <c r="I441">
        <v>0</v>
      </c>
      <c r="J441">
        <v>93845.166500000007</v>
      </c>
      <c r="K441">
        <v>8.9999999999999998E-4</v>
      </c>
      <c r="L441">
        <v>2.7799999999999999E-3</v>
      </c>
      <c r="M441">
        <v>0.245</v>
      </c>
      <c r="N441">
        <v>4.1000000000000002E-2</v>
      </c>
      <c r="O441">
        <v>2.8999999999999998E-3</v>
      </c>
      <c r="P441" s="3">
        <f t="shared" si="24"/>
        <v>1065.5858852425445</v>
      </c>
      <c r="Q441" s="3">
        <f t="shared" si="25"/>
        <v>9.038359635269444E-4</v>
      </c>
      <c r="R441" s="3">
        <f t="shared" si="26"/>
        <v>2.7799999999999999E-3</v>
      </c>
      <c r="S441">
        <f t="shared" si="27"/>
        <v>8</v>
      </c>
      <c r="T441">
        <f>INDEX([1]IDEN_level_ids!$B:$B,MATCH(G441,[1]IDEN_level_ids!$A:$A,0),1)</f>
        <v>1173</v>
      </c>
      <c r="U441">
        <f>INDEX([1]IDEN_level_ids!$B:$B,MATCH(H441,[1]IDEN_level_ids!$A:$A,0),1)</f>
        <v>685</v>
      </c>
    </row>
    <row r="442" spans="1:21" hidden="1" x14ac:dyDescent="0.25">
      <c r="A442">
        <v>93841.623800000001</v>
      </c>
      <c r="B442">
        <v>1065.6251999999999</v>
      </c>
      <c r="C442">
        <v>4</v>
      </c>
      <c r="D442" t="s">
        <v>248</v>
      </c>
      <c r="F442">
        <v>1969</v>
      </c>
      <c r="G442" s="1" t="s">
        <v>252</v>
      </c>
      <c r="H442" s="1" t="s">
        <v>146</v>
      </c>
      <c r="I442">
        <v>0</v>
      </c>
      <c r="J442">
        <v>93841.669399999999</v>
      </c>
      <c r="K442">
        <v>5.1999999999999995E-4</v>
      </c>
      <c r="L442">
        <v>2.7799999999999999E-3</v>
      </c>
      <c r="M442">
        <v>0.245</v>
      </c>
      <c r="N442">
        <v>0.17380000000000001</v>
      </c>
      <c r="O442">
        <v>3.3700000000000002E-3</v>
      </c>
      <c r="P442" s="3">
        <f t="shared" si="24"/>
        <v>1065.6252092688105</v>
      </c>
      <c r="Q442" s="3">
        <f t="shared" si="25"/>
        <v>5.1781377987936139E-4</v>
      </c>
      <c r="R442" s="3">
        <f t="shared" si="26"/>
        <v>2.7799999999999999E-3</v>
      </c>
      <c r="S442">
        <f t="shared" si="27"/>
        <v>8</v>
      </c>
      <c r="T442">
        <f>INDEX([1]IDEN_level_ids!$B:$B,MATCH(G442,[1]IDEN_level_ids!$A:$A,0),1)</f>
        <v>1188</v>
      </c>
      <c r="U442">
        <f>INDEX([1]IDEN_level_ids!$B:$B,MATCH(H442,[1]IDEN_level_ids!$A:$A,0),1)</f>
        <v>723</v>
      </c>
    </row>
    <row r="443" spans="1:21" hidden="1" x14ac:dyDescent="0.25">
      <c r="A443">
        <v>93805.621700000003</v>
      </c>
      <c r="B443">
        <v>1066.0342000000001</v>
      </c>
      <c r="C443">
        <v>4</v>
      </c>
      <c r="D443" t="s">
        <v>248</v>
      </c>
      <c r="F443">
        <v>1969</v>
      </c>
      <c r="G443" s="1" t="s">
        <v>194</v>
      </c>
      <c r="H443" s="1" t="s">
        <v>112</v>
      </c>
      <c r="I443">
        <v>0</v>
      </c>
      <c r="J443">
        <v>93805.799100000004</v>
      </c>
      <c r="K443">
        <v>2.0200000000000001E-3</v>
      </c>
      <c r="L443">
        <v>2.7799999999999999E-3</v>
      </c>
      <c r="M443">
        <v>0.245</v>
      </c>
      <c r="N443">
        <v>4.2900000000000001E-2</v>
      </c>
      <c r="O443">
        <v>2.9099999999999998E-3</v>
      </c>
      <c r="P443" s="3">
        <f t="shared" si="24"/>
        <v>1066.0341905713312</v>
      </c>
      <c r="Q443" s="3">
        <f t="shared" si="25"/>
        <v>2.0160210481208196E-3</v>
      </c>
      <c r="R443" s="3">
        <f t="shared" si="26"/>
        <v>2.7799999999999999E-3</v>
      </c>
      <c r="S443">
        <f t="shared" si="27"/>
        <v>8</v>
      </c>
      <c r="T443">
        <f>INDEX([1]IDEN_level_ids!$B:$B,MATCH(G443,[1]IDEN_level_ids!$A:$A,0),1)</f>
        <v>1187</v>
      </c>
      <c r="U443">
        <f>INDEX([1]IDEN_level_ids!$B:$B,MATCH(H443,[1]IDEN_level_ids!$A:$A,0),1)</f>
        <v>732</v>
      </c>
    </row>
    <row r="444" spans="1:21" hidden="1" x14ac:dyDescent="0.25">
      <c r="A444">
        <v>93800.799400000004</v>
      </c>
      <c r="B444">
        <v>1066.0889999999999</v>
      </c>
      <c r="C444">
        <v>4</v>
      </c>
      <c r="D444" t="s">
        <v>248</v>
      </c>
      <c r="E444" t="s">
        <v>52</v>
      </c>
      <c r="F444">
        <v>1969</v>
      </c>
      <c r="G444" s="1" t="s">
        <v>81</v>
      </c>
      <c r="H444" s="1" t="s">
        <v>147</v>
      </c>
      <c r="I444">
        <v>0</v>
      </c>
      <c r="J444">
        <v>93800.904299999995</v>
      </c>
      <c r="K444">
        <v>1.1900000000000001E-3</v>
      </c>
      <c r="L444">
        <v>3.14E-3</v>
      </c>
      <c r="M444">
        <v>0.27600000000000002</v>
      </c>
      <c r="N444">
        <v>0.21390000000000001</v>
      </c>
      <c r="O444">
        <v>3.9899999999999996E-3</v>
      </c>
      <c r="P444" s="3">
        <f t="shared" si="24"/>
        <v>1066.0889953993292</v>
      </c>
      <c r="Q444" s="3">
        <f t="shared" si="25"/>
        <v>1.192235154348964E-3</v>
      </c>
      <c r="R444" s="3">
        <f t="shared" si="26"/>
        <v>3.14E-3</v>
      </c>
      <c r="S444">
        <f t="shared" si="27"/>
        <v>8</v>
      </c>
      <c r="T444">
        <f>INDEX([1]IDEN_level_ids!$B:$B,MATCH(G444,[1]IDEN_level_ids!$A:$A,0),1)</f>
        <v>1196</v>
      </c>
      <c r="U444">
        <f>INDEX([1]IDEN_level_ids!$B:$B,MATCH(H444,[1]IDEN_level_ids!$A:$A,0),1)</f>
        <v>752</v>
      </c>
    </row>
    <row r="445" spans="1:21" hidden="1" x14ac:dyDescent="0.25">
      <c r="A445">
        <v>93767.715800000005</v>
      </c>
      <c r="B445">
        <v>1066.4650999999999</v>
      </c>
      <c r="C445">
        <v>4</v>
      </c>
      <c r="D445" t="s">
        <v>248</v>
      </c>
      <c r="F445">
        <v>1969</v>
      </c>
      <c r="G445" s="1" t="s">
        <v>18</v>
      </c>
      <c r="H445" s="1" t="s">
        <v>184</v>
      </c>
      <c r="I445">
        <v>0</v>
      </c>
      <c r="J445">
        <v>93767.936000000002</v>
      </c>
      <c r="K445">
        <v>2.5100000000000001E-3</v>
      </c>
      <c r="L445">
        <v>2.7899999999999999E-3</v>
      </c>
      <c r="M445">
        <v>0.245</v>
      </c>
      <c r="N445">
        <v>3.32E-2</v>
      </c>
      <c r="O445">
        <v>2.8800000000000002E-3</v>
      </c>
      <c r="P445" s="3">
        <f t="shared" si="24"/>
        <v>1066.4651383136284</v>
      </c>
      <c r="Q445" s="3">
        <f t="shared" si="25"/>
        <v>2.5044341750799504E-3</v>
      </c>
      <c r="R445" s="3">
        <f t="shared" si="26"/>
        <v>2.7899999999999999E-3</v>
      </c>
      <c r="S445">
        <f t="shared" si="27"/>
        <v>8</v>
      </c>
      <c r="T445">
        <f>INDEX([1]IDEN_level_ids!$B:$B,MATCH(G445,[1]IDEN_level_ids!$A:$A,0),1)</f>
        <v>1226</v>
      </c>
      <c r="U445">
        <f>INDEX([1]IDEN_level_ids!$B:$B,MATCH(H445,[1]IDEN_level_ids!$A:$A,0),1)</f>
        <v>810</v>
      </c>
    </row>
    <row r="446" spans="1:21" hidden="1" x14ac:dyDescent="0.25">
      <c r="A446">
        <v>93762.895699999994</v>
      </c>
      <c r="B446">
        <v>1066.52</v>
      </c>
      <c r="C446">
        <v>4</v>
      </c>
      <c r="D446" t="s">
        <v>248</v>
      </c>
      <c r="F446">
        <v>1969</v>
      </c>
      <c r="G446" s="1" t="s">
        <v>207</v>
      </c>
      <c r="H446" s="1" t="s">
        <v>208</v>
      </c>
      <c r="I446">
        <v>0</v>
      </c>
      <c r="J446">
        <v>93763.028200000001</v>
      </c>
      <c r="K446">
        <v>1.5100000000000001E-3</v>
      </c>
      <c r="L446">
        <v>2.7899999999999999E-3</v>
      </c>
      <c r="M446">
        <v>0.245</v>
      </c>
      <c r="N446">
        <v>0.25230000000000002</v>
      </c>
      <c r="O446">
        <v>3.7299999999999998E-3</v>
      </c>
      <c r="P446" s="3">
        <f t="shared" si="24"/>
        <v>1066.5199624375509</v>
      </c>
      <c r="Q446" s="3">
        <f t="shared" si="25"/>
        <v>1.5071387704210792E-3</v>
      </c>
      <c r="R446" s="3">
        <f t="shared" si="26"/>
        <v>2.7899999999999999E-3</v>
      </c>
      <c r="S446">
        <f t="shared" si="27"/>
        <v>8</v>
      </c>
      <c r="T446">
        <f>INDEX([1]IDEN_level_ids!$B:$B,MATCH(G446,[1]IDEN_level_ids!$A:$A,0),1)</f>
        <v>1177</v>
      </c>
      <c r="U446">
        <f>INDEX([1]IDEN_level_ids!$B:$B,MATCH(H446,[1]IDEN_level_ids!$A:$A,0),1)</f>
        <v>703</v>
      </c>
    </row>
    <row r="447" spans="1:21" hidden="1" x14ac:dyDescent="0.25">
      <c r="A447">
        <v>93758.498200000002</v>
      </c>
      <c r="B447">
        <v>1066.57</v>
      </c>
      <c r="C447">
        <v>4</v>
      </c>
      <c r="D447" t="s">
        <v>248</v>
      </c>
      <c r="F447">
        <v>1969</v>
      </c>
      <c r="G447" s="1" t="s">
        <v>94</v>
      </c>
      <c r="H447" s="1" t="s">
        <v>198</v>
      </c>
      <c r="I447">
        <v>0</v>
      </c>
      <c r="J447">
        <v>93758.467099999994</v>
      </c>
      <c r="K447">
        <v>-3.5E-4</v>
      </c>
      <c r="L447">
        <v>2.7899999999999999E-3</v>
      </c>
      <c r="M447">
        <v>0.245</v>
      </c>
      <c r="N447">
        <v>1.9800000000000002E-2</v>
      </c>
      <c r="O447">
        <v>2.8400000000000001E-3</v>
      </c>
      <c r="P447" s="3">
        <f t="shared" si="24"/>
        <v>1066.5699847995218</v>
      </c>
      <c r="Q447" s="3">
        <f t="shared" si="25"/>
        <v>-3.5378486404624709E-4</v>
      </c>
      <c r="R447" s="3">
        <f t="shared" si="26"/>
        <v>2.7899999999999999E-3</v>
      </c>
      <c r="S447">
        <f t="shared" si="27"/>
        <v>8</v>
      </c>
      <c r="T447">
        <f>INDEX([1]IDEN_level_ids!$B:$B,MATCH(G447,[1]IDEN_level_ids!$A:$A,0),1)</f>
        <v>1207</v>
      </c>
      <c r="U447">
        <f>INDEX([1]IDEN_level_ids!$B:$B,MATCH(H447,[1]IDEN_level_ids!$A:$A,0),1)</f>
        <v>780</v>
      </c>
    </row>
    <row r="448" spans="1:21" hidden="1" x14ac:dyDescent="0.25">
      <c r="A448">
        <v>93729.827099999995</v>
      </c>
      <c r="B448">
        <v>1066.8961999999999</v>
      </c>
      <c r="C448">
        <v>4</v>
      </c>
      <c r="D448" t="s">
        <v>248</v>
      </c>
      <c r="F448">
        <v>1969</v>
      </c>
      <c r="G448" s="1" t="s">
        <v>197</v>
      </c>
      <c r="H448" s="1" t="s">
        <v>98</v>
      </c>
      <c r="I448">
        <v>0</v>
      </c>
      <c r="J448">
        <v>93729.944799999997</v>
      </c>
      <c r="K448">
        <v>1.34E-3</v>
      </c>
      <c r="L448">
        <v>2.7899999999999999E-3</v>
      </c>
      <c r="M448">
        <v>0.245</v>
      </c>
      <c r="N448">
        <v>0.1178</v>
      </c>
      <c r="O448">
        <v>3.16E-3</v>
      </c>
      <c r="P448" s="3">
        <f t="shared" si="24"/>
        <v>1066.896238838789</v>
      </c>
      <c r="Q448" s="3">
        <f t="shared" si="25"/>
        <v>1.3397392644947104E-3</v>
      </c>
      <c r="R448" s="3">
        <f t="shared" si="26"/>
        <v>2.7899999999999999E-3</v>
      </c>
      <c r="S448">
        <f t="shared" si="27"/>
        <v>8</v>
      </c>
      <c r="T448">
        <f>INDEX([1]IDEN_level_ids!$B:$B,MATCH(G448,[1]IDEN_level_ids!$A:$A,0),1)</f>
        <v>1182</v>
      </c>
      <c r="U448">
        <f>INDEX([1]IDEN_level_ids!$B:$B,MATCH(H448,[1]IDEN_level_ids!$A:$A,0),1)</f>
        <v>722</v>
      </c>
    </row>
    <row r="449" spans="1:21" hidden="1" x14ac:dyDescent="0.25">
      <c r="A449">
        <v>93720.706900000005</v>
      </c>
      <c r="B449">
        <v>1067.0001</v>
      </c>
      <c r="C449">
        <v>4</v>
      </c>
      <c r="D449" t="s">
        <v>248</v>
      </c>
      <c r="F449">
        <v>1969</v>
      </c>
      <c r="G449" s="1" t="s">
        <v>259</v>
      </c>
      <c r="H449" s="1" t="s">
        <v>75</v>
      </c>
      <c r="I449">
        <v>0</v>
      </c>
      <c r="J449">
        <v>93720.893700000001</v>
      </c>
      <c r="K449">
        <v>2.1299999999999999E-3</v>
      </c>
      <c r="L449">
        <v>2.7899999999999999E-3</v>
      </c>
      <c r="M449">
        <v>0.245</v>
      </c>
      <c r="N449">
        <v>0.2586</v>
      </c>
      <c r="O449">
        <v>3.7599999999999999E-3</v>
      </c>
      <c r="P449" s="3">
        <f t="shared" si="24"/>
        <v>1067.0000612212625</v>
      </c>
      <c r="Q449" s="3">
        <f t="shared" si="25"/>
        <v>2.1266934572850005E-3</v>
      </c>
      <c r="R449" s="3">
        <f t="shared" si="26"/>
        <v>2.7899999999999999E-3</v>
      </c>
      <c r="S449">
        <f t="shared" si="27"/>
        <v>8</v>
      </c>
      <c r="T449">
        <f>INDEX([1]IDEN_level_ids!$B:$B,MATCH(G449,[1]IDEN_level_ids!$A:$A,0),1)</f>
        <v>1117</v>
      </c>
      <c r="U449">
        <f>INDEX([1]IDEN_level_ids!$B:$B,MATCH(H449,[1]IDEN_level_ids!$A:$A,0),1)</f>
        <v>487</v>
      </c>
    </row>
    <row r="450" spans="1:21" hidden="1" x14ac:dyDescent="0.25">
      <c r="A450">
        <v>93714.722500000003</v>
      </c>
      <c r="B450">
        <v>1067.0681999999999</v>
      </c>
      <c r="C450">
        <v>4</v>
      </c>
      <c r="D450" t="s">
        <v>248</v>
      </c>
      <c r="F450">
        <v>1969</v>
      </c>
      <c r="G450" s="1" t="s">
        <v>268</v>
      </c>
      <c r="H450" s="1" t="s">
        <v>195</v>
      </c>
      <c r="I450">
        <v>0</v>
      </c>
      <c r="J450">
        <v>93715.008900000001</v>
      </c>
      <c r="K450">
        <v>3.2599999999999999E-3</v>
      </c>
      <c r="L450">
        <v>2.7899999999999999E-3</v>
      </c>
      <c r="M450">
        <v>0.245</v>
      </c>
      <c r="N450">
        <v>0.2029</v>
      </c>
      <c r="O450">
        <v>3.5000000000000001E-3</v>
      </c>
      <c r="P450" s="3">
        <f t="shared" ref="P450:P513" si="28">100000000/$A450</f>
        <v>1067.0681973155286</v>
      </c>
      <c r="Q450" s="3">
        <f t="shared" ref="Q450:Q513" si="29">100000000/($A450)-100000000/$J450</f>
        <v>3.2610393500362989E-3</v>
      </c>
      <c r="R450" s="3">
        <f t="shared" si="26"/>
        <v>2.7899999999999999E-3</v>
      </c>
      <c r="S450">
        <f t="shared" si="27"/>
        <v>8</v>
      </c>
      <c r="T450">
        <f>INDEX([1]IDEN_level_ids!$B:$B,MATCH(G450,[1]IDEN_level_ids!$A:$A,0),1)</f>
        <v>1160</v>
      </c>
      <c r="U450">
        <f>INDEX([1]IDEN_level_ids!$B:$B,MATCH(H450,[1]IDEN_level_ids!$A:$A,0),1)</f>
        <v>646</v>
      </c>
    </row>
    <row r="451" spans="1:21" hidden="1" x14ac:dyDescent="0.25">
      <c r="A451">
        <v>93706.025999999998</v>
      </c>
      <c r="B451">
        <v>1067.1672000000001</v>
      </c>
      <c r="C451">
        <v>4</v>
      </c>
      <c r="D451" t="s">
        <v>248</v>
      </c>
      <c r="F451">
        <v>1969</v>
      </c>
      <c r="G451" s="1" t="s">
        <v>76</v>
      </c>
      <c r="H451" s="1" t="s">
        <v>199</v>
      </c>
      <c r="I451">
        <v>0</v>
      </c>
      <c r="J451">
        <v>93705.641099999993</v>
      </c>
      <c r="K451">
        <v>-4.3800000000000002E-3</v>
      </c>
      <c r="L451">
        <v>2.7899999999999999E-3</v>
      </c>
      <c r="M451">
        <v>0.245</v>
      </c>
      <c r="N451">
        <v>0.1142</v>
      </c>
      <c r="O451">
        <v>3.15E-3</v>
      </c>
      <c r="P451" s="3">
        <f t="shared" si="28"/>
        <v>1067.1672278578967</v>
      </c>
      <c r="Q451" s="3">
        <f t="shared" si="29"/>
        <v>-4.3834358443746169E-3</v>
      </c>
      <c r="R451" s="3">
        <f t="shared" ref="R451:R514" si="30">$L451</f>
        <v>2.7899999999999999E-3</v>
      </c>
      <c r="S451">
        <f t="shared" si="27"/>
        <v>8</v>
      </c>
      <c r="T451">
        <f>INDEX([1]IDEN_level_ids!$B:$B,MATCH(G451,[1]IDEN_level_ids!$A:$A,0),1)</f>
        <v>1194</v>
      </c>
      <c r="U451">
        <f>INDEX([1]IDEN_level_ids!$B:$B,MATCH(H451,[1]IDEN_level_ids!$A:$A,0),1)</f>
        <v>743</v>
      </c>
    </row>
    <row r="452" spans="1:21" hidden="1" x14ac:dyDescent="0.25">
      <c r="A452">
        <v>93684.192599999995</v>
      </c>
      <c r="B452">
        <v>1067.4159</v>
      </c>
      <c r="C452">
        <v>4</v>
      </c>
      <c r="D452" t="s">
        <v>248</v>
      </c>
      <c r="F452">
        <v>1969</v>
      </c>
      <c r="G452" s="1" t="s">
        <v>94</v>
      </c>
      <c r="H452" s="1" t="s">
        <v>202</v>
      </c>
      <c r="I452">
        <v>0</v>
      </c>
      <c r="J452">
        <v>93684.342199999999</v>
      </c>
      <c r="K452">
        <v>1.6999999999999999E-3</v>
      </c>
      <c r="L452">
        <v>2.7899999999999999E-3</v>
      </c>
      <c r="M452">
        <v>0.245</v>
      </c>
      <c r="N452">
        <v>3.9600000000000003E-2</v>
      </c>
      <c r="O452">
        <v>2.9099999999999998E-3</v>
      </c>
      <c r="P452" s="3">
        <f t="shared" si="28"/>
        <v>1067.4159345853188</v>
      </c>
      <c r="Q452" s="3">
        <f t="shared" si="29"/>
        <v>1.7045049371517962E-3</v>
      </c>
      <c r="R452" s="3">
        <f t="shared" si="30"/>
        <v>2.7899999999999999E-3</v>
      </c>
      <c r="S452">
        <f t="shared" ref="S452:S515" si="31">IF(D452=D451,S451,S451+1)</f>
        <v>8</v>
      </c>
      <c r="T452">
        <f>INDEX([1]IDEN_level_ids!$B:$B,MATCH(G452,[1]IDEN_level_ids!$A:$A,0),1)</f>
        <v>1207</v>
      </c>
      <c r="U452">
        <f>INDEX([1]IDEN_level_ids!$B:$B,MATCH(H452,[1]IDEN_level_ids!$A:$A,0),1)</f>
        <v>781</v>
      </c>
    </row>
    <row r="453" spans="1:21" hidden="1" x14ac:dyDescent="0.25">
      <c r="A453">
        <v>93676.572700000004</v>
      </c>
      <c r="B453">
        <v>1067.5028</v>
      </c>
      <c r="C453">
        <v>4</v>
      </c>
      <c r="D453" t="s">
        <v>248</v>
      </c>
      <c r="F453">
        <v>1969</v>
      </c>
      <c r="G453" s="1" t="s">
        <v>251</v>
      </c>
      <c r="H453" s="1" t="s">
        <v>219</v>
      </c>
      <c r="I453">
        <v>0</v>
      </c>
      <c r="J453">
        <v>93676.661300000007</v>
      </c>
      <c r="K453">
        <v>1.01E-3</v>
      </c>
      <c r="L453">
        <v>2.7899999999999999E-3</v>
      </c>
      <c r="M453">
        <v>0.245</v>
      </c>
      <c r="N453">
        <v>0.20480000000000001</v>
      </c>
      <c r="O453">
        <v>3.5100000000000001E-3</v>
      </c>
      <c r="P453" s="3">
        <f t="shared" si="28"/>
        <v>1067.5027610184973</v>
      </c>
      <c r="Q453" s="3">
        <f t="shared" si="29"/>
        <v>1.0096511052779533E-3</v>
      </c>
      <c r="R453" s="3">
        <f t="shared" si="30"/>
        <v>2.7899999999999999E-3</v>
      </c>
      <c r="S453">
        <f t="shared" si="31"/>
        <v>8</v>
      </c>
      <c r="T453">
        <f>INDEX([1]IDEN_level_ids!$B:$B,MATCH(G453,[1]IDEN_level_ids!$A:$A,0),1)</f>
        <v>1192</v>
      </c>
      <c r="U453">
        <f>INDEX([1]IDEN_level_ids!$B:$B,MATCH(H453,[1]IDEN_level_ids!$A:$A,0),1)</f>
        <v>738</v>
      </c>
    </row>
    <row r="454" spans="1:21" hidden="1" x14ac:dyDescent="0.25">
      <c r="A454">
        <v>93652.321599999996</v>
      </c>
      <c r="B454">
        <v>1067.7791999999999</v>
      </c>
      <c r="C454">
        <v>4</v>
      </c>
      <c r="D454" t="s">
        <v>248</v>
      </c>
      <c r="F454">
        <v>1969</v>
      </c>
      <c r="G454" s="1" t="s">
        <v>140</v>
      </c>
      <c r="H454" s="1" t="s">
        <v>174</v>
      </c>
      <c r="I454">
        <v>0</v>
      </c>
      <c r="J454">
        <v>93652.592699999994</v>
      </c>
      <c r="K454">
        <v>3.0899999999999999E-3</v>
      </c>
      <c r="L454">
        <v>2.7899999999999999E-3</v>
      </c>
      <c r="M454">
        <v>0.245</v>
      </c>
      <c r="N454">
        <v>1.2200000000000001E-2</v>
      </c>
      <c r="O454">
        <v>2.8300000000000001E-3</v>
      </c>
      <c r="P454" s="3">
        <f t="shared" si="28"/>
        <v>1067.7791889357711</v>
      </c>
      <c r="Q454" s="3">
        <f t="shared" si="29"/>
        <v>3.0909441989024344E-3</v>
      </c>
      <c r="R454" s="3">
        <f t="shared" si="30"/>
        <v>2.7899999999999999E-3</v>
      </c>
      <c r="S454">
        <f t="shared" si="31"/>
        <v>8</v>
      </c>
      <c r="T454">
        <f>INDEX([1]IDEN_level_ids!$B:$B,MATCH(G454,[1]IDEN_level_ids!$A:$A,0),1)</f>
        <v>1198</v>
      </c>
      <c r="U454">
        <f>INDEX([1]IDEN_level_ids!$B:$B,MATCH(H454,[1]IDEN_level_ids!$A:$A,0),1)</f>
        <v>758</v>
      </c>
    </row>
    <row r="455" spans="1:21" hidden="1" x14ac:dyDescent="0.25">
      <c r="A455">
        <v>93646.292499999996</v>
      </c>
      <c r="B455">
        <v>1067.8479</v>
      </c>
      <c r="C455">
        <v>4</v>
      </c>
      <c r="D455" t="s">
        <v>248</v>
      </c>
      <c r="E455" t="s">
        <v>45</v>
      </c>
      <c r="F455">
        <v>1969</v>
      </c>
      <c r="G455" s="1" t="s">
        <v>272</v>
      </c>
      <c r="H455" s="1" t="s">
        <v>96</v>
      </c>
      <c r="I455">
        <v>0</v>
      </c>
      <c r="J455">
        <v>93647.134699999995</v>
      </c>
      <c r="K455">
        <v>9.5999999999999992E-3</v>
      </c>
      <c r="L455">
        <v>5.4999999999999997E-3</v>
      </c>
      <c r="M455">
        <v>0.48199999999999998</v>
      </c>
      <c r="N455">
        <v>1.2800000000000001E-2</v>
      </c>
      <c r="O455">
        <v>5.5700000000000003E-3</v>
      </c>
      <c r="P455" s="3">
        <f t="shared" si="28"/>
        <v>1067.8479342895503</v>
      </c>
      <c r="Q455" s="3">
        <f t="shared" si="29"/>
        <v>9.6035135845795594E-3</v>
      </c>
      <c r="R455" s="3">
        <f t="shared" si="30"/>
        <v>5.4999999999999997E-3</v>
      </c>
      <c r="S455">
        <f t="shared" si="31"/>
        <v>8</v>
      </c>
      <c r="T455">
        <f>INDEX([1]IDEN_level_ids!$B:$B,MATCH(G455,[1]IDEN_level_ids!$A:$A,0),1)</f>
        <v>1109</v>
      </c>
      <c r="U455">
        <f>INDEX([1]IDEN_level_ids!$B:$B,MATCH(H455,[1]IDEN_level_ids!$A:$A,0),1)</f>
        <v>466</v>
      </c>
    </row>
    <row r="456" spans="1:21" hidden="1" x14ac:dyDescent="0.25">
      <c r="A456">
        <v>93637.324099999998</v>
      </c>
      <c r="B456">
        <v>1067.9502</v>
      </c>
      <c r="C456">
        <v>4</v>
      </c>
      <c r="D456" t="s">
        <v>248</v>
      </c>
      <c r="F456">
        <v>1969</v>
      </c>
      <c r="G456" s="1" t="s">
        <v>250</v>
      </c>
      <c r="H456" s="1" t="s">
        <v>109</v>
      </c>
      <c r="I456">
        <v>0</v>
      </c>
      <c r="J456">
        <v>93637.444799999997</v>
      </c>
      <c r="K456">
        <v>1.3799999999999999E-3</v>
      </c>
      <c r="L456">
        <v>2.7899999999999999E-3</v>
      </c>
      <c r="M456">
        <v>0.245</v>
      </c>
      <c r="N456">
        <v>0.20480000000000001</v>
      </c>
      <c r="O456">
        <v>3.5100000000000001E-3</v>
      </c>
      <c r="P456" s="3">
        <f t="shared" si="28"/>
        <v>1067.9502106788632</v>
      </c>
      <c r="Q456" s="3">
        <f t="shared" si="29"/>
        <v>1.3766030319857236E-3</v>
      </c>
      <c r="R456" s="3">
        <f t="shared" si="30"/>
        <v>2.7899999999999999E-3</v>
      </c>
      <c r="S456">
        <f t="shared" si="31"/>
        <v>8</v>
      </c>
      <c r="T456">
        <f>INDEX([1]IDEN_level_ids!$B:$B,MATCH(G456,[1]IDEN_level_ids!$A:$A,0),1)</f>
        <v>1107</v>
      </c>
      <c r="U456">
        <f>INDEX([1]IDEN_level_ids!$B:$B,MATCH(H456,[1]IDEN_level_ids!$A:$A,0),1)</f>
        <v>468</v>
      </c>
    </row>
    <row r="457" spans="1:21" hidden="1" x14ac:dyDescent="0.25">
      <c r="A457">
        <v>93609.296300000002</v>
      </c>
      <c r="B457">
        <v>1068.27</v>
      </c>
      <c r="C457">
        <v>4</v>
      </c>
      <c r="D457" t="s">
        <v>248</v>
      </c>
      <c r="F457">
        <v>1969</v>
      </c>
      <c r="G457" s="1" t="s">
        <v>71</v>
      </c>
      <c r="H457" s="1" t="s">
        <v>176</v>
      </c>
      <c r="I457">
        <v>0</v>
      </c>
      <c r="J457">
        <v>93610.098899999997</v>
      </c>
      <c r="K457">
        <v>9.1599999999999997E-3</v>
      </c>
      <c r="L457">
        <v>2.8E-3</v>
      </c>
      <c r="M457">
        <v>0.245</v>
      </c>
      <c r="N457">
        <v>0.1079</v>
      </c>
      <c r="O457">
        <v>3.13E-3</v>
      </c>
      <c r="P457" s="3">
        <f t="shared" si="28"/>
        <v>1068.2699683962906</v>
      </c>
      <c r="Q457" s="3">
        <f t="shared" si="29"/>
        <v>9.1591984914884961E-3</v>
      </c>
      <c r="R457" s="3">
        <f t="shared" si="30"/>
        <v>2.8E-3</v>
      </c>
      <c r="S457">
        <f t="shared" si="31"/>
        <v>8</v>
      </c>
      <c r="T457">
        <f>INDEX([1]IDEN_level_ids!$B:$B,MATCH(G457,[1]IDEN_level_ids!$A:$A,0),1)</f>
        <v>1179</v>
      </c>
      <c r="U457">
        <f>INDEX([1]IDEN_level_ids!$B:$B,MATCH(H457,[1]IDEN_level_ids!$A:$A,0),1)</f>
        <v>708</v>
      </c>
    </row>
    <row r="458" spans="1:21" hidden="1" x14ac:dyDescent="0.25">
      <c r="A458">
        <v>93598.180900000007</v>
      </c>
      <c r="B458">
        <v>1068.3968</v>
      </c>
      <c r="C458">
        <v>4</v>
      </c>
      <c r="D458" t="s">
        <v>248</v>
      </c>
      <c r="F458">
        <v>1969</v>
      </c>
      <c r="G458" s="1" t="s">
        <v>71</v>
      </c>
      <c r="H458" s="1" t="s">
        <v>177</v>
      </c>
      <c r="I458">
        <v>0</v>
      </c>
      <c r="J458">
        <v>93598.224700000006</v>
      </c>
      <c r="K458">
        <v>5.0000000000000001E-4</v>
      </c>
      <c r="L458">
        <v>2.8E-3</v>
      </c>
      <c r="M458">
        <v>0.245</v>
      </c>
      <c r="N458">
        <v>0.25209999999999999</v>
      </c>
      <c r="O458">
        <v>3.7399999999999998E-3</v>
      </c>
      <c r="P458" s="3">
        <f t="shared" si="28"/>
        <v>1068.3968324858756</v>
      </c>
      <c r="Q458" s="3">
        <f t="shared" si="29"/>
        <v>4.9996441066468833E-4</v>
      </c>
      <c r="R458" s="3">
        <f t="shared" si="30"/>
        <v>2.8E-3</v>
      </c>
      <c r="S458">
        <f t="shared" si="31"/>
        <v>8</v>
      </c>
      <c r="T458">
        <f>INDEX([1]IDEN_level_ids!$B:$B,MATCH(G458,[1]IDEN_level_ids!$A:$A,0),1)</f>
        <v>1179</v>
      </c>
      <c r="U458">
        <f>INDEX([1]IDEN_level_ids!$B:$B,MATCH(H458,[1]IDEN_level_ids!$A:$A,0),1)</f>
        <v>709</v>
      </c>
    </row>
    <row r="459" spans="1:21" hidden="1" x14ac:dyDescent="0.25">
      <c r="A459">
        <v>93566.2935</v>
      </c>
      <c r="B459">
        <v>1068.7609</v>
      </c>
      <c r="C459">
        <v>4</v>
      </c>
      <c r="D459" t="s">
        <v>248</v>
      </c>
      <c r="E459" t="s">
        <v>45</v>
      </c>
      <c r="F459">
        <v>1969</v>
      </c>
      <c r="G459" s="1" t="s">
        <v>251</v>
      </c>
      <c r="H459" s="1" t="s">
        <v>266</v>
      </c>
      <c r="I459">
        <v>0</v>
      </c>
      <c r="J459">
        <v>93566.508400000006</v>
      </c>
      <c r="K459">
        <v>2.4499999999999999E-3</v>
      </c>
      <c r="L459">
        <v>5.5100000000000001E-3</v>
      </c>
      <c r="M459">
        <v>0.48199999999999998</v>
      </c>
      <c r="N459">
        <v>1.49E-2</v>
      </c>
      <c r="O459">
        <v>5.5900000000000004E-3</v>
      </c>
      <c r="P459" s="3">
        <f t="shared" si="28"/>
        <v>1068.7609422083178</v>
      </c>
      <c r="Q459" s="3">
        <f t="shared" si="29"/>
        <v>2.4546895083403797E-3</v>
      </c>
      <c r="R459" s="3">
        <f t="shared" si="30"/>
        <v>5.5100000000000001E-3</v>
      </c>
      <c r="S459">
        <f t="shared" si="31"/>
        <v>8</v>
      </c>
      <c r="T459">
        <f>INDEX([1]IDEN_level_ids!$B:$B,MATCH(G459,[1]IDEN_level_ids!$A:$A,0),1)</f>
        <v>1192</v>
      </c>
      <c r="U459">
        <f>INDEX([1]IDEN_level_ids!$B:$B,MATCH(H459,[1]IDEN_level_ids!$A:$A,0),1)</f>
        <v>742</v>
      </c>
    </row>
    <row r="460" spans="1:21" hidden="1" x14ac:dyDescent="0.25">
      <c r="A460">
        <v>93558.312699999995</v>
      </c>
      <c r="B460">
        <v>1068.8521000000001</v>
      </c>
      <c r="C460">
        <v>4</v>
      </c>
      <c r="D460" t="s">
        <v>248</v>
      </c>
      <c r="E460" t="s">
        <v>52</v>
      </c>
      <c r="F460">
        <v>1969</v>
      </c>
      <c r="G460" s="1" t="s">
        <v>62</v>
      </c>
      <c r="H460" s="1" t="s">
        <v>150</v>
      </c>
      <c r="I460">
        <v>0</v>
      </c>
      <c r="J460">
        <v>93558.402799999996</v>
      </c>
      <c r="K460">
        <v>1.0300000000000001E-3</v>
      </c>
      <c r="L460">
        <v>3.15E-3</v>
      </c>
      <c r="M460">
        <v>0.27600000000000002</v>
      </c>
      <c r="N460">
        <v>1.6299999999999999E-2</v>
      </c>
      <c r="O460">
        <v>3.2100000000000002E-3</v>
      </c>
      <c r="P460" s="3">
        <f t="shared" si="28"/>
        <v>1068.8521106687294</v>
      </c>
      <c r="Q460" s="3">
        <f t="shared" si="29"/>
        <v>1.0293418044966529E-3</v>
      </c>
      <c r="R460" s="3">
        <f t="shared" si="30"/>
        <v>3.15E-3</v>
      </c>
      <c r="S460">
        <f t="shared" si="31"/>
        <v>8</v>
      </c>
      <c r="T460">
        <f>INDEX([1]IDEN_level_ids!$B:$B,MATCH(G460,[1]IDEN_level_ids!$A:$A,0),1)</f>
        <v>1203</v>
      </c>
      <c r="U460">
        <f>INDEX([1]IDEN_level_ids!$B:$B,MATCH(H460,[1]IDEN_level_ids!$A:$A,0),1)</f>
        <v>769</v>
      </c>
    </row>
    <row r="461" spans="1:21" hidden="1" x14ac:dyDescent="0.25">
      <c r="A461">
        <v>93535.911099999998</v>
      </c>
      <c r="B461">
        <v>1069.1080999999999</v>
      </c>
      <c r="C461">
        <v>4</v>
      </c>
      <c r="D461" t="s">
        <v>248</v>
      </c>
      <c r="F461">
        <v>1969</v>
      </c>
      <c r="G461" s="1" t="s">
        <v>51</v>
      </c>
      <c r="H461" s="1" t="s">
        <v>201</v>
      </c>
      <c r="I461">
        <v>0</v>
      </c>
      <c r="J461">
        <v>93536.218900000007</v>
      </c>
      <c r="K461">
        <v>3.5200000000000001E-3</v>
      </c>
      <c r="L461">
        <v>2.8E-3</v>
      </c>
      <c r="M461">
        <v>0.245</v>
      </c>
      <c r="N461">
        <v>7.3499999999999996E-2</v>
      </c>
      <c r="O461">
        <v>3.0200000000000001E-3</v>
      </c>
      <c r="P461" s="3">
        <f t="shared" si="28"/>
        <v>1069.1080978843429</v>
      </c>
      <c r="Q461" s="3">
        <f t="shared" si="29"/>
        <v>3.518118183592378E-3</v>
      </c>
      <c r="R461" s="3">
        <f t="shared" si="30"/>
        <v>2.8E-3</v>
      </c>
      <c r="S461">
        <f t="shared" si="31"/>
        <v>8</v>
      </c>
      <c r="T461">
        <f>INDEX([1]IDEN_level_ids!$B:$B,MATCH(G461,[1]IDEN_level_ids!$A:$A,0),1)</f>
        <v>1213</v>
      </c>
      <c r="U461">
        <f>INDEX([1]IDEN_level_ids!$B:$B,MATCH(H461,[1]IDEN_level_ids!$A:$A,0),1)</f>
        <v>788</v>
      </c>
    </row>
    <row r="462" spans="1:21" hidden="1" x14ac:dyDescent="0.25">
      <c r="A462">
        <v>93522.191999999995</v>
      </c>
      <c r="B462">
        <v>1069.2648999999999</v>
      </c>
      <c r="C462">
        <v>4</v>
      </c>
      <c r="D462" t="s">
        <v>248</v>
      </c>
      <c r="F462">
        <v>1969</v>
      </c>
      <c r="G462" s="1" t="s">
        <v>244</v>
      </c>
      <c r="H462" s="1" t="s">
        <v>258</v>
      </c>
      <c r="I462">
        <v>0</v>
      </c>
      <c r="J462">
        <v>93522.350900000005</v>
      </c>
      <c r="K462">
        <v>1.82E-3</v>
      </c>
      <c r="L462">
        <v>2.8E-3</v>
      </c>
      <c r="M462">
        <v>0.245</v>
      </c>
      <c r="N462">
        <v>4.3400000000000001E-2</v>
      </c>
      <c r="O462">
        <v>2.9299999999999999E-3</v>
      </c>
      <c r="P462" s="3">
        <f t="shared" si="28"/>
        <v>1069.264929119711</v>
      </c>
      <c r="Q462" s="3">
        <f t="shared" si="29"/>
        <v>1.8167442929097888E-3</v>
      </c>
      <c r="R462" s="3">
        <f t="shared" si="30"/>
        <v>2.8E-3</v>
      </c>
      <c r="S462">
        <f t="shared" si="31"/>
        <v>8</v>
      </c>
      <c r="T462">
        <f>INDEX([1]IDEN_level_ids!$B:$B,MATCH(G462,[1]IDEN_level_ids!$A:$A,0),1)</f>
        <v>1195</v>
      </c>
      <c r="U462">
        <f>INDEX([1]IDEN_level_ids!$B:$B,MATCH(H462,[1]IDEN_level_ids!$A:$A,0),1)</f>
        <v>755</v>
      </c>
    </row>
    <row r="463" spans="1:21" hidden="1" x14ac:dyDescent="0.25">
      <c r="A463">
        <v>93511.695099999997</v>
      </c>
      <c r="B463">
        <v>1069.385</v>
      </c>
      <c r="C463">
        <v>4</v>
      </c>
      <c r="D463" t="s">
        <v>248</v>
      </c>
      <c r="F463">
        <v>1969</v>
      </c>
      <c r="G463" s="1" t="s">
        <v>180</v>
      </c>
      <c r="H463" s="1" t="s">
        <v>156</v>
      </c>
      <c r="I463">
        <v>0</v>
      </c>
      <c r="J463">
        <v>93511.739700000006</v>
      </c>
      <c r="K463">
        <v>5.1000000000000004E-4</v>
      </c>
      <c r="L463">
        <v>2.8E-3</v>
      </c>
      <c r="M463">
        <v>0.245</v>
      </c>
      <c r="N463">
        <v>9.5600000000000004E-2</v>
      </c>
      <c r="O463">
        <v>3.0999999999999999E-3</v>
      </c>
      <c r="P463" s="3">
        <f t="shared" si="28"/>
        <v>1069.3849565347041</v>
      </c>
      <c r="Q463" s="3">
        <f t="shared" si="29"/>
        <v>5.10038303445981E-4</v>
      </c>
      <c r="R463" s="3">
        <f t="shared" si="30"/>
        <v>2.8E-3</v>
      </c>
      <c r="S463">
        <f t="shared" si="31"/>
        <v>8</v>
      </c>
      <c r="T463">
        <f>INDEX([1]IDEN_level_ids!$B:$B,MATCH(G463,[1]IDEN_level_ids!$A:$A,0),1)</f>
        <v>1184</v>
      </c>
      <c r="U463">
        <f>INDEX([1]IDEN_level_ids!$B:$B,MATCH(H463,[1]IDEN_level_ids!$A:$A,0),1)</f>
        <v>734</v>
      </c>
    </row>
    <row r="464" spans="1:21" hidden="1" x14ac:dyDescent="0.25">
      <c r="A464">
        <v>93499.893100000001</v>
      </c>
      <c r="B464">
        <v>1069.5199</v>
      </c>
      <c r="C464">
        <v>4</v>
      </c>
      <c r="D464" t="s">
        <v>248</v>
      </c>
      <c r="F464">
        <v>1969</v>
      </c>
      <c r="G464" s="1" t="s">
        <v>273</v>
      </c>
      <c r="H464" s="1" t="s">
        <v>109</v>
      </c>
      <c r="I464">
        <v>0</v>
      </c>
      <c r="J464">
        <v>93500.260500000004</v>
      </c>
      <c r="K464">
        <v>4.1999999999999997E-3</v>
      </c>
      <c r="L464">
        <v>2.8E-3</v>
      </c>
      <c r="M464">
        <v>0.245</v>
      </c>
      <c r="N464">
        <v>0.2049</v>
      </c>
      <c r="O464">
        <v>3.5200000000000001E-3</v>
      </c>
      <c r="P464" s="3">
        <f t="shared" si="28"/>
        <v>1069.519939376273</v>
      </c>
      <c r="Q464" s="3">
        <f t="shared" si="29"/>
        <v>4.2025725238090672E-3</v>
      </c>
      <c r="R464" s="3">
        <f t="shared" si="30"/>
        <v>2.8E-3</v>
      </c>
      <c r="S464">
        <f t="shared" si="31"/>
        <v>8</v>
      </c>
      <c r="T464">
        <f>INDEX([1]IDEN_level_ids!$B:$B,MATCH(G464,[1]IDEN_level_ids!$A:$A,0),1)</f>
        <v>1105</v>
      </c>
      <c r="U464">
        <f>INDEX([1]IDEN_level_ids!$B:$B,MATCH(H464,[1]IDEN_level_ids!$A:$A,0),1)</f>
        <v>468</v>
      </c>
    </row>
    <row r="465" spans="1:21" hidden="1" x14ac:dyDescent="0.25">
      <c r="A465">
        <v>93490.983900000007</v>
      </c>
      <c r="B465">
        <v>1069.6219000000001</v>
      </c>
      <c r="C465">
        <v>4</v>
      </c>
      <c r="D465" t="s">
        <v>248</v>
      </c>
      <c r="F465">
        <v>1969</v>
      </c>
      <c r="G465" s="1" t="s">
        <v>271</v>
      </c>
      <c r="H465" s="1" t="s">
        <v>195</v>
      </c>
      <c r="I465">
        <v>0</v>
      </c>
      <c r="J465">
        <v>93491.049199999994</v>
      </c>
      <c r="K465">
        <v>7.5000000000000002E-4</v>
      </c>
      <c r="L465">
        <v>2.8E-3</v>
      </c>
      <c r="M465">
        <v>0.245</v>
      </c>
      <c r="N465">
        <v>0.20280000000000001</v>
      </c>
      <c r="O465">
        <v>3.5200000000000001E-3</v>
      </c>
      <c r="P465" s="3">
        <f t="shared" si="28"/>
        <v>1069.6218590122251</v>
      </c>
      <c r="Q465" s="3">
        <f t="shared" si="29"/>
        <v>7.4709084969981632E-4</v>
      </c>
      <c r="R465" s="3">
        <f t="shared" si="30"/>
        <v>2.8E-3</v>
      </c>
      <c r="S465">
        <f t="shared" si="31"/>
        <v>8</v>
      </c>
      <c r="T465">
        <f>INDEX([1]IDEN_level_ids!$B:$B,MATCH(G465,[1]IDEN_level_ids!$A:$A,0),1)</f>
        <v>1158</v>
      </c>
      <c r="U465">
        <f>INDEX([1]IDEN_level_ids!$B:$B,MATCH(H465,[1]IDEN_level_ids!$A:$A,0),1)</f>
        <v>646</v>
      </c>
    </row>
    <row r="466" spans="1:21" hidden="1" x14ac:dyDescent="0.25">
      <c r="A466">
        <v>93483.289000000004</v>
      </c>
      <c r="B466">
        <v>1069.7099000000001</v>
      </c>
      <c r="C466">
        <v>4</v>
      </c>
      <c r="D466" t="s">
        <v>248</v>
      </c>
      <c r="F466">
        <v>1969</v>
      </c>
      <c r="G466" s="1" t="s">
        <v>83</v>
      </c>
      <c r="H466" s="1" t="s">
        <v>215</v>
      </c>
      <c r="I466">
        <v>0</v>
      </c>
      <c r="J466">
        <v>93483.588799999998</v>
      </c>
      <c r="K466">
        <v>3.4299999999999999E-3</v>
      </c>
      <c r="L466">
        <v>2.8E-3</v>
      </c>
      <c r="M466">
        <v>0.245</v>
      </c>
      <c r="N466">
        <v>2.5399999999999999E-2</v>
      </c>
      <c r="O466">
        <v>2.8800000000000002E-3</v>
      </c>
      <c r="P466" s="3">
        <f t="shared" si="28"/>
        <v>1069.7099029110966</v>
      </c>
      <c r="Q466" s="3">
        <f t="shared" si="29"/>
        <v>3.4305382687307429E-3</v>
      </c>
      <c r="R466" s="3">
        <f t="shared" si="30"/>
        <v>2.8E-3</v>
      </c>
      <c r="S466">
        <f t="shared" si="31"/>
        <v>8</v>
      </c>
      <c r="T466">
        <f>INDEX([1]IDEN_level_ids!$B:$B,MATCH(G466,[1]IDEN_level_ids!$A:$A,0),1)</f>
        <v>1175</v>
      </c>
      <c r="U466">
        <f>INDEX([1]IDEN_level_ids!$B:$B,MATCH(H466,[1]IDEN_level_ids!$A:$A,0),1)</f>
        <v>699</v>
      </c>
    </row>
    <row r="467" spans="1:21" hidden="1" x14ac:dyDescent="0.25">
      <c r="A467">
        <v>93478.206900000005</v>
      </c>
      <c r="B467">
        <v>1069.7681</v>
      </c>
      <c r="C467">
        <v>4</v>
      </c>
      <c r="D467" t="s">
        <v>248</v>
      </c>
      <c r="F467">
        <v>1969</v>
      </c>
      <c r="G467" s="1" t="s">
        <v>197</v>
      </c>
      <c r="H467" s="1" t="s">
        <v>110</v>
      </c>
      <c r="I467">
        <v>0</v>
      </c>
      <c r="J467">
        <v>93478.431100000002</v>
      </c>
      <c r="K467">
        <v>2.5699999999999998E-3</v>
      </c>
      <c r="L467">
        <v>2.8E-3</v>
      </c>
      <c r="M467">
        <v>0.245</v>
      </c>
      <c r="N467">
        <v>0.15</v>
      </c>
      <c r="O467">
        <v>3.3E-3</v>
      </c>
      <c r="P467" s="3">
        <f t="shared" si="28"/>
        <v>1069.7680594898102</v>
      </c>
      <c r="Q467" s="3">
        <f t="shared" si="29"/>
        <v>2.5657469439011038E-3</v>
      </c>
      <c r="R467" s="3">
        <f t="shared" si="30"/>
        <v>2.8E-3</v>
      </c>
      <c r="S467">
        <f t="shared" si="31"/>
        <v>8</v>
      </c>
      <c r="T467">
        <f>INDEX([1]IDEN_level_ids!$B:$B,MATCH(G467,[1]IDEN_level_ids!$A:$A,0),1)</f>
        <v>1182</v>
      </c>
      <c r="U467">
        <f>INDEX([1]IDEN_level_ids!$B:$B,MATCH(H467,[1]IDEN_level_ids!$A:$A,0),1)</f>
        <v>730</v>
      </c>
    </row>
    <row r="468" spans="1:21" hidden="1" x14ac:dyDescent="0.25">
      <c r="A468">
        <v>93468.322100000005</v>
      </c>
      <c r="B468">
        <v>1069.8812</v>
      </c>
      <c r="C468">
        <v>4</v>
      </c>
      <c r="D468" t="s">
        <v>248</v>
      </c>
      <c r="F468">
        <v>1969</v>
      </c>
      <c r="G468" s="1" t="s">
        <v>272</v>
      </c>
      <c r="H468" s="1" t="s">
        <v>274</v>
      </c>
      <c r="I468">
        <v>0</v>
      </c>
      <c r="J468">
        <v>93468.460800000001</v>
      </c>
      <c r="K468">
        <v>1.5900000000000001E-3</v>
      </c>
      <c r="L468">
        <v>2.8E-3</v>
      </c>
      <c r="M468">
        <v>0.245</v>
      </c>
      <c r="N468">
        <v>1</v>
      </c>
      <c r="P468" s="3">
        <f t="shared" si="28"/>
        <v>1069.8811934701457</v>
      </c>
      <c r="Q468" s="3">
        <f t="shared" si="29"/>
        <v>1.5876213244609971E-3</v>
      </c>
      <c r="R468" s="3">
        <f t="shared" si="30"/>
        <v>2.8E-3</v>
      </c>
      <c r="S468">
        <f t="shared" si="31"/>
        <v>8</v>
      </c>
      <c r="T468">
        <f>INDEX([1]IDEN_level_ids!$B:$B,MATCH(G468,[1]IDEN_level_ids!$A:$A,0),1)</f>
        <v>1109</v>
      </c>
      <c r="U468">
        <f>INDEX([1]IDEN_level_ids!$B:$B,MATCH(H468,[1]IDEN_level_ids!$A:$A,0),1)</f>
        <v>472</v>
      </c>
    </row>
    <row r="469" spans="1:21" hidden="1" x14ac:dyDescent="0.25">
      <c r="A469">
        <v>93428.603199999998</v>
      </c>
      <c r="B469">
        <v>1070.336</v>
      </c>
      <c r="C469">
        <v>4</v>
      </c>
      <c r="D469" t="s">
        <v>248</v>
      </c>
      <c r="F469">
        <v>1969</v>
      </c>
      <c r="G469" s="1" t="s">
        <v>275</v>
      </c>
      <c r="H469" s="1" t="s">
        <v>90</v>
      </c>
      <c r="I469">
        <v>0</v>
      </c>
      <c r="J469">
        <v>93428.760800000004</v>
      </c>
      <c r="K469">
        <v>1.81E-3</v>
      </c>
      <c r="L469">
        <v>2.81E-3</v>
      </c>
      <c r="M469">
        <v>0.245</v>
      </c>
      <c r="N469">
        <v>0.20680000000000001</v>
      </c>
      <c r="O469">
        <v>3.5400000000000002E-3</v>
      </c>
      <c r="P469" s="3">
        <f t="shared" si="28"/>
        <v>1070.3360274575955</v>
      </c>
      <c r="Q469" s="3">
        <f t="shared" si="29"/>
        <v>1.8054928320907493E-3</v>
      </c>
      <c r="R469" s="3">
        <f t="shared" si="30"/>
        <v>2.81E-3</v>
      </c>
      <c r="S469">
        <f t="shared" si="31"/>
        <v>8</v>
      </c>
      <c r="T469">
        <f>INDEX([1]IDEN_level_ids!$B:$B,MATCH(G469,[1]IDEN_level_ids!$A:$A,0),1)</f>
        <v>1134</v>
      </c>
      <c r="U469">
        <f>INDEX([1]IDEN_level_ids!$B:$B,MATCH(H469,[1]IDEN_level_ids!$A:$A,0),1)</f>
        <v>540</v>
      </c>
    </row>
    <row r="470" spans="1:21" hidden="1" x14ac:dyDescent="0.25">
      <c r="A470">
        <v>93409.588900000002</v>
      </c>
      <c r="B470">
        <v>1070.5539000000001</v>
      </c>
      <c r="C470">
        <v>4</v>
      </c>
      <c r="D470" t="s">
        <v>248</v>
      </c>
      <c r="F470">
        <v>1969</v>
      </c>
      <c r="G470" s="1" t="s">
        <v>51</v>
      </c>
      <c r="H470" s="1" t="s">
        <v>189</v>
      </c>
      <c r="I470">
        <v>0</v>
      </c>
      <c r="J470">
        <v>93409.689400000003</v>
      </c>
      <c r="K470">
        <v>1.15E-3</v>
      </c>
      <c r="L470">
        <v>2.81E-3</v>
      </c>
      <c r="M470">
        <v>0.245</v>
      </c>
      <c r="N470">
        <v>2.1499999999999998E-2</v>
      </c>
      <c r="O470">
        <v>2.8700000000000002E-3</v>
      </c>
      <c r="P470" s="3">
        <f t="shared" si="28"/>
        <v>1070.553903272772</v>
      </c>
      <c r="Q470" s="3">
        <f t="shared" si="29"/>
        <v>1.1518148489813029E-3</v>
      </c>
      <c r="R470" s="3">
        <f t="shared" si="30"/>
        <v>2.81E-3</v>
      </c>
      <c r="S470">
        <f t="shared" si="31"/>
        <v>8</v>
      </c>
      <c r="T470">
        <f>INDEX([1]IDEN_level_ids!$B:$B,MATCH(G470,[1]IDEN_level_ids!$A:$A,0),1)</f>
        <v>1213</v>
      </c>
      <c r="U470">
        <f>INDEX([1]IDEN_level_ids!$B:$B,MATCH(H470,[1]IDEN_level_ids!$A:$A,0),1)</f>
        <v>789</v>
      </c>
    </row>
    <row r="471" spans="1:21" hidden="1" x14ac:dyDescent="0.25">
      <c r="A471">
        <v>93404.090800000005</v>
      </c>
      <c r="B471">
        <v>1070.6169</v>
      </c>
      <c r="C471">
        <v>4</v>
      </c>
      <c r="D471" t="s">
        <v>248</v>
      </c>
      <c r="F471">
        <v>1969</v>
      </c>
      <c r="G471" s="1" t="s">
        <v>253</v>
      </c>
      <c r="H471" s="1" t="s">
        <v>229</v>
      </c>
      <c r="I471">
        <v>0</v>
      </c>
      <c r="J471">
        <v>93404.144100000005</v>
      </c>
      <c r="K471">
        <v>6.0999999999999997E-4</v>
      </c>
      <c r="L471">
        <v>2.81E-3</v>
      </c>
      <c r="M471">
        <v>0.245</v>
      </c>
      <c r="N471">
        <v>0.33989999999999998</v>
      </c>
      <c r="O471">
        <v>4.2500000000000003E-3</v>
      </c>
      <c r="P471" s="3">
        <f t="shared" si="28"/>
        <v>1070.6169199176018</v>
      </c>
      <c r="Q471" s="3">
        <f t="shared" si="29"/>
        <v>6.1093522549526824E-4</v>
      </c>
      <c r="R471" s="3">
        <f t="shared" si="30"/>
        <v>2.81E-3</v>
      </c>
      <c r="S471">
        <f t="shared" si="31"/>
        <v>8</v>
      </c>
      <c r="T471">
        <f>INDEX([1]IDEN_level_ids!$B:$B,MATCH(G471,[1]IDEN_level_ids!$A:$A,0),1)</f>
        <v>1181</v>
      </c>
      <c r="U471">
        <f>INDEX([1]IDEN_level_ids!$B:$B,MATCH(H471,[1]IDEN_level_ids!$A:$A,0),1)</f>
        <v>733</v>
      </c>
    </row>
    <row r="472" spans="1:21" hidden="1" x14ac:dyDescent="0.25">
      <c r="A472">
        <v>93392.489700000006</v>
      </c>
      <c r="B472">
        <v>1070.7499</v>
      </c>
      <c r="C472">
        <v>4</v>
      </c>
      <c r="D472" t="s">
        <v>248</v>
      </c>
      <c r="F472">
        <v>1969</v>
      </c>
      <c r="G472" s="1" t="s">
        <v>166</v>
      </c>
      <c r="H472" s="1" t="s">
        <v>156</v>
      </c>
      <c r="I472">
        <v>0</v>
      </c>
      <c r="J472">
        <v>93392.704500000007</v>
      </c>
      <c r="K472">
        <v>2.4599999999999999E-3</v>
      </c>
      <c r="L472">
        <v>2.81E-3</v>
      </c>
      <c r="M472">
        <v>0.245</v>
      </c>
      <c r="N472">
        <v>9.5000000000000001E-2</v>
      </c>
      <c r="O472">
        <v>3.0999999999999999E-3</v>
      </c>
      <c r="P472" s="3">
        <f t="shared" si="28"/>
        <v>1070.7499106322678</v>
      </c>
      <c r="Q472" s="3">
        <f t="shared" si="29"/>
        <v>2.4626878730487078E-3</v>
      </c>
      <c r="R472" s="3">
        <f t="shared" si="30"/>
        <v>2.81E-3</v>
      </c>
      <c r="S472">
        <f t="shared" si="31"/>
        <v>8</v>
      </c>
      <c r="T472">
        <f>INDEX([1]IDEN_level_ids!$B:$B,MATCH(G472,[1]IDEN_level_ids!$A:$A,0),1)</f>
        <v>1186</v>
      </c>
      <c r="U472">
        <f>INDEX([1]IDEN_level_ids!$B:$B,MATCH(H472,[1]IDEN_level_ids!$A:$A,0),1)</f>
        <v>734</v>
      </c>
    </row>
    <row r="473" spans="1:21" hidden="1" x14ac:dyDescent="0.25">
      <c r="A473">
        <v>93352.108999999997</v>
      </c>
      <c r="B473">
        <v>1071.2130999999999</v>
      </c>
      <c r="C473">
        <v>4</v>
      </c>
      <c r="D473" t="s">
        <v>248</v>
      </c>
      <c r="F473">
        <v>1969</v>
      </c>
      <c r="G473" s="1" t="s">
        <v>272</v>
      </c>
      <c r="H473" s="1" t="s">
        <v>67</v>
      </c>
      <c r="I473">
        <v>0</v>
      </c>
      <c r="J473">
        <v>93352.2304</v>
      </c>
      <c r="K473">
        <v>1.39E-3</v>
      </c>
      <c r="L473">
        <v>2.81E-3</v>
      </c>
      <c r="M473">
        <v>0.245</v>
      </c>
      <c r="N473">
        <v>0.28139999999999998</v>
      </c>
      <c r="O473">
        <v>3.9100000000000003E-3</v>
      </c>
      <c r="P473" s="3">
        <f t="shared" si="28"/>
        <v>1071.2130777891691</v>
      </c>
      <c r="Q473" s="3">
        <f t="shared" si="29"/>
        <v>1.393060102373056E-3</v>
      </c>
      <c r="R473" s="3">
        <f t="shared" si="30"/>
        <v>2.81E-3</v>
      </c>
      <c r="S473">
        <f t="shared" si="31"/>
        <v>8</v>
      </c>
      <c r="T473">
        <f>INDEX([1]IDEN_level_ids!$B:$B,MATCH(G473,[1]IDEN_level_ids!$A:$A,0),1)</f>
        <v>1109</v>
      </c>
      <c r="U473">
        <f>INDEX([1]IDEN_level_ids!$B:$B,MATCH(H473,[1]IDEN_level_ids!$A:$A,0),1)</f>
        <v>475</v>
      </c>
    </row>
    <row r="474" spans="1:21" hidden="1" x14ac:dyDescent="0.25">
      <c r="A474">
        <v>93333.903300000005</v>
      </c>
      <c r="B474">
        <v>1071.422</v>
      </c>
      <c r="C474">
        <v>4</v>
      </c>
      <c r="D474" t="s">
        <v>248</v>
      </c>
      <c r="F474">
        <v>1969</v>
      </c>
      <c r="G474" s="1" t="s">
        <v>49</v>
      </c>
      <c r="H474" s="1" t="s">
        <v>179</v>
      </c>
      <c r="I474">
        <v>0</v>
      </c>
      <c r="J474">
        <v>93334.250100000005</v>
      </c>
      <c r="K474">
        <v>3.98E-3</v>
      </c>
      <c r="L474">
        <v>2.81E-3</v>
      </c>
      <c r="M474">
        <v>0.245</v>
      </c>
      <c r="N474">
        <v>2.1100000000000001E-2</v>
      </c>
      <c r="O474">
        <v>2.8700000000000002E-3</v>
      </c>
      <c r="P474" s="3">
        <f t="shared" si="28"/>
        <v>1071.4220284838339</v>
      </c>
      <c r="Q474" s="3">
        <f t="shared" si="29"/>
        <v>3.9810590333217988E-3</v>
      </c>
      <c r="R474" s="3">
        <f t="shared" si="30"/>
        <v>2.81E-3</v>
      </c>
      <c r="S474">
        <f t="shared" si="31"/>
        <v>8</v>
      </c>
      <c r="T474">
        <f>INDEX([1]IDEN_level_ids!$B:$B,MATCH(G474,[1]IDEN_level_ids!$A:$A,0),1)</f>
        <v>1214</v>
      </c>
      <c r="U474">
        <f>INDEX([1]IDEN_level_ids!$B:$B,MATCH(H474,[1]IDEN_level_ids!$A:$A,0),1)</f>
        <v>791</v>
      </c>
    </row>
    <row r="475" spans="1:21" hidden="1" x14ac:dyDescent="0.25">
      <c r="A475">
        <v>93328.224900000001</v>
      </c>
      <c r="B475">
        <v>1071.4872</v>
      </c>
      <c r="C475">
        <v>4</v>
      </c>
      <c r="D475" t="s">
        <v>248</v>
      </c>
      <c r="F475">
        <v>1969</v>
      </c>
      <c r="G475" s="1" t="s">
        <v>275</v>
      </c>
      <c r="H475" s="1" t="s">
        <v>97</v>
      </c>
      <c r="I475">
        <v>0</v>
      </c>
      <c r="J475">
        <v>93328.4372</v>
      </c>
      <c r="K475">
        <v>2.4399999999999999E-3</v>
      </c>
      <c r="L475">
        <v>2.81E-3</v>
      </c>
      <c r="M475">
        <v>0.245</v>
      </c>
      <c r="N475">
        <v>0.52249999999999996</v>
      </c>
      <c r="O475">
        <v>5.8900000000000003E-3</v>
      </c>
      <c r="P475" s="3">
        <f t="shared" si="28"/>
        <v>1071.487217368044</v>
      </c>
      <c r="Q475" s="3">
        <f t="shared" si="29"/>
        <v>2.4373786068281333E-3</v>
      </c>
      <c r="R475" s="3">
        <f t="shared" si="30"/>
        <v>2.81E-3</v>
      </c>
      <c r="S475">
        <f t="shared" si="31"/>
        <v>8</v>
      </c>
      <c r="T475">
        <f>INDEX([1]IDEN_level_ids!$B:$B,MATCH(G475,[1]IDEN_level_ids!$A:$A,0),1)</f>
        <v>1134</v>
      </c>
      <c r="U475">
        <f>INDEX([1]IDEN_level_ids!$B:$B,MATCH(H475,[1]IDEN_level_ids!$A:$A,0),1)</f>
        <v>543</v>
      </c>
    </row>
    <row r="476" spans="1:21" hidden="1" x14ac:dyDescent="0.25">
      <c r="A476">
        <v>93295.3177</v>
      </c>
      <c r="B476">
        <v>1071.8652</v>
      </c>
      <c r="C476">
        <v>4</v>
      </c>
      <c r="D476" t="s">
        <v>248</v>
      </c>
      <c r="F476">
        <v>1969</v>
      </c>
      <c r="G476" s="1" t="s">
        <v>72</v>
      </c>
      <c r="H476" s="1" t="s">
        <v>226</v>
      </c>
      <c r="I476">
        <v>0</v>
      </c>
      <c r="J476">
        <v>93295.464999999997</v>
      </c>
      <c r="K476">
        <v>1.6900000000000001E-3</v>
      </c>
      <c r="L476">
        <v>2.81E-3</v>
      </c>
      <c r="M476">
        <v>0.245</v>
      </c>
      <c r="N476">
        <v>3.5099999999999999E-2</v>
      </c>
      <c r="O476">
        <v>2.9199999999999999E-3</v>
      </c>
      <c r="P476" s="3">
        <f t="shared" si="28"/>
        <v>1071.8651532069332</v>
      </c>
      <c r="Q476" s="3">
        <f t="shared" si="29"/>
        <v>1.6923195255458268E-3</v>
      </c>
      <c r="R476" s="3">
        <f t="shared" si="30"/>
        <v>2.81E-3</v>
      </c>
      <c r="S476">
        <f t="shared" si="31"/>
        <v>8</v>
      </c>
      <c r="T476">
        <f>INDEX([1]IDEN_level_ids!$B:$B,MATCH(G476,[1]IDEN_level_ids!$A:$A,0),1)</f>
        <v>1225</v>
      </c>
      <c r="U476">
        <f>INDEX([1]IDEN_level_ids!$B:$B,MATCH(H476,[1]IDEN_level_ids!$A:$A,0),1)</f>
        <v>811</v>
      </c>
    </row>
    <row r="477" spans="1:21" hidden="1" x14ac:dyDescent="0.25">
      <c r="A477">
        <v>93286.381099999999</v>
      </c>
      <c r="B477">
        <v>1071.9677999999999</v>
      </c>
      <c r="C477">
        <v>4</v>
      </c>
      <c r="D477" t="s">
        <v>248</v>
      </c>
      <c r="F477">
        <v>1969</v>
      </c>
      <c r="G477" s="1" t="s">
        <v>94</v>
      </c>
      <c r="H477" s="1" t="s">
        <v>161</v>
      </c>
      <c r="I477">
        <v>0</v>
      </c>
      <c r="J477">
        <v>93286.126900000003</v>
      </c>
      <c r="K477">
        <v>-2.9199999999999999E-3</v>
      </c>
      <c r="L477">
        <v>2.82E-3</v>
      </c>
      <c r="M477">
        <v>0.245</v>
      </c>
      <c r="N477">
        <v>1.5699999999999999E-2</v>
      </c>
      <c r="O477">
        <v>2.8600000000000001E-3</v>
      </c>
      <c r="P477" s="3">
        <f t="shared" si="28"/>
        <v>1071.9678351848938</v>
      </c>
      <c r="Q477" s="3">
        <f t="shared" si="29"/>
        <v>-2.9210583904841769E-3</v>
      </c>
      <c r="R477" s="3">
        <f t="shared" si="30"/>
        <v>2.82E-3</v>
      </c>
      <c r="S477">
        <f t="shared" si="31"/>
        <v>8</v>
      </c>
      <c r="T477">
        <f>INDEX([1]IDEN_level_ids!$B:$B,MATCH(G477,[1]IDEN_level_ids!$A:$A,0),1)</f>
        <v>1207</v>
      </c>
      <c r="U477">
        <f>INDEX([1]IDEN_level_ids!$B:$B,MATCH(H477,[1]IDEN_level_ids!$A:$A,0),1)</f>
        <v>785</v>
      </c>
    </row>
    <row r="478" spans="1:21" hidden="1" x14ac:dyDescent="0.25">
      <c r="A478">
        <v>93282.799400000004</v>
      </c>
      <c r="B478">
        <v>1072.009</v>
      </c>
      <c r="C478">
        <v>4</v>
      </c>
      <c r="D478" t="s">
        <v>248</v>
      </c>
      <c r="F478">
        <v>1969</v>
      </c>
      <c r="G478" s="1" t="s">
        <v>69</v>
      </c>
      <c r="H478" s="1" t="s">
        <v>222</v>
      </c>
      <c r="I478">
        <v>0</v>
      </c>
      <c r="J478">
        <v>93282.828599999993</v>
      </c>
      <c r="K478">
        <v>3.4000000000000002E-4</v>
      </c>
      <c r="L478">
        <v>2.82E-3</v>
      </c>
      <c r="M478">
        <v>0.245</v>
      </c>
      <c r="N478">
        <v>3.0300000000000001E-2</v>
      </c>
      <c r="O478">
        <v>2.8999999999999998E-3</v>
      </c>
      <c r="P478" s="3">
        <f t="shared" si="28"/>
        <v>1072.0089946185726</v>
      </c>
      <c r="Q478" s="3">
        <f t="shared" si="29"/>
        <v>3.3556725384187303E-4</v>
      </c>
      <c r="R478" s="3">
        <f t="shared" si="30"/>
        <v>2.82E-3</v>
      </c>
      <c r="S478">
        <f t="shared" si="31"/>
        <v>8</v>
      </c>
      <c r="T478">
        <f>INDEX([1]IDEN_level_ids!$B:$B,MATCH(G478,[1]IDEN_level_ids!$A:$A,0),1)</f>
        <v>1218</v>
      </c>
      <c r="U478">
        <f>INDEX([1]IDEN_level_ids!$B:$B,MATCH(H478,[1]IDEN_level_ids!$A:$A,0),1)</f>
        <v>800</v>
      </c>
    </row>
    <row r="479" spans="1:21" hidden="1" x14ac:dyDescent="0.25">
      <c r="A479">
        <v>93276.982499999998</v>
      </c>
      <c r="B479">
        <v>1072.0758000000001</v>
      </c>
      <c r="C479">
        <v>4</v>
      </c>
      <c r="D479" t="s">
        <v>248</v>
      </c>
      <c r="E479" t="s">
        <v>52</v>
      </c>
      <c r="F479">
        <v>1969</v>
      </c>
      <c r="G479" s="1" t="s">
        <v>276</v>
      </c>
      <c r="H479" s="1" t="s">
        <v>95</v>
      </c>
      <c r="I479">
        <v>-0.70099999999999996</v>
      </c>
      <c r="J479">
        <v>93277.838499999998</v>
      </c>
      <c r="K479">
        <v>9.8399999999999998E-3</v>
      </c>
      <c r="L479">
        <v>3.1700000000000001E-3</v>
      </c>
      <c r="M479">
        <v>0.27600000000000002</v>
      </c>
      <c r="N479">
        <v>0.12479999999999999</v>
      </c>
      <c r="O479">
        <v>3.62E-3</v>
      </c>
      <c r="P479" s="3">
        <f t="shared" si="28"/>
        <v>1072.0758467931787</v>
      </c>
      <c r="Q479" s="3">
        <f t="shared" si="29"/>
        <v>9.8383167921838321E-3</v>
      </c>
      <c r="R479" s="3">
        <f t="shared" si="30"/>
        <v>3.1700000000000001E-3</v>
      </c>
      <c r="S479">
        <f t="shared" si="31"/>
        <v>8</v>
      </c>
      <c r="T479">
        <f>INDEX([1]IDEN_level_ids!$B:$B,MATCH(G479,[1]IDEN_level_ids!$A:$A,0),1)</f>
        <v>1131</v>
      </c>
      <c r="U479">
        <f>INDEX([1]IDEN_level_ids!$B:$B,MATCH(H479,[1]IDEN_level_ids!$A:$A,0),1)</f>
        <v>538</v>
      </c>
    </row>
    <row r="480" spans="1:21" hidden="1" x14ac:dyDescent="0.25">
      <c r="A480">
        <v>93274.191500000001</v>
      </c>
      <c r="B480">
        <v>1072.1079</v>
      </c>
      <c r="C480">
        <v>4</v>
      </c>
      <c r="D480" t="s">
        <v>248</v>
      </c>
      <c r="E480" t="s">
        <v>52</v>
      </c>
      <c r="F480">
        <v>1969</v>
      </c>
      <c r="G480" s="1" t="s">
        <v>76</v>
      </c>
      <c r="H480" s="1" t="s">
        <v>191</v>
      </c>
      <c r="I480">
        <v>0</v>
      </c>
      <c r="J480">
        <v>93274.040399999998</v>
      </c>
      <c r="K480">
        <v>-1.74E-3</v>
      </c>
      <c r="L480">
        <v>3.1700000000000001E-3</v>
      </c>
      <c r="M480">
        <v>0.27600000000000002</v>
      </c>
      <c r="N480">
        <v>3.2800000000000003E-2</v>
      </c>
      <c r="O480">
        <v>3.2799999999999999E-3</v>
      </c>
      <c r="P480" s="3">
        <f t="shared" si="28"/>
        <v>1072.1079260172414</v>
      </c>
      <c r="Q480" s="3">
        <f t="shared" si="29"/>
        <v>-1.7367694904351083E-3</v>
      </c>
      <c r="R480" s="3">
        <f t="shared" si="30"/>
        <v>3.1700000000000001E-3</v>
      </c>
      <c r="S480">
        <f t="shared" si="31"/>
        <v>8</v>
      </c>
      <c r="T480">
        <f>INDEX([1]IDEN_level_ids!$B:$B,MATCH(G480,[1]IDEN_level_ids!$A:$A,0),1)</f>
        <v>1194</v>
      </c>
      <c r="U480">
        <f>INDEX([1]IDEN_level_ids!$B:$B,MATCH(H480,[1]IDEN_level_ids!$A:$A,0),1)</f>
        <v>749</v>
      </c>
    </row>
    <row r="481" spans="1:21" hidden="1" x14ac:dyDescent="0.25">
      <c r="A481">
        <v>93262.979099999997</v>
      </c>
      <c r="B481">
        <v>1072.2367999999999</v>
      </c>
      <c r="C481">
        <v>4</v>
      </c>
      <c r="D481" t="s">
        <v>248</v>
      </c>
      <c r="F481">
        <v>1969</v>
      </c>
      <c r="G481" s="1" t="s">
        <v>265</v>
      </c>
      <c r="H481" s="1" t="s">
        <v>261</v>
      </c>
      <c r="I481">
        <v>0</v>
      </c>
      <c r="J481">
        <v>93263.129400000005</v>
      </c>
      <c r="K481">
        <v>1.73E-3</v>
      </c>
      <c r="L481">
        <v>2.82E-3</v>
      </c>
      <c r="M481">
        <v>0.245</v>
      </c>
      <c r="N481">
        <v>0.2029</v>
      </c>
      <c r="O481">
        <v>3.5300000000000002E-3</v>
      </c>
      <c r="P481" s="3">
        <f t="shared" si="28"/>
        <v>1072.2368185641628</v>
      </c>
      <c r="Q481" s="3">
        <f t="shared" si="29"/>
        <v>1.7279839833008737E-3</v>
      </c>
      <c r="R481" s="3">
        <f t="shared" si="30"/>
        <v>2.82E-3</v>
      </c>
      <c r="S481">
        <f t="shared" si="31"/>
        <v>8</v>
      </c>
      <c r="T481">
        <f>INDEX([1]IDEN_level_ids!$B:$B,MATCH(G481,[1]IDEN_level_ids!$A:$A,0),1)</f>
        <v>1161</v>
      </c>
      <c r="U481">
        <f>INDEX([1]IDEN_level_ids!$B:$B,MATCH(H481,[1]IDEN_level_ids!$A:$A,0),1)</f>
        <v>653</v>
      </c>
    </row>
    <row r="482" spans="1:21" hidden="1" x14ac:dyDescent="0.25">
      <c r="A482">
        <v>93253.817800000004</v>
      </c>
      <c r="B482">
        <v>1072.3422</v>
      </c>
      <c r="C482">
        <v>4</v>
      </c>
      <c r="D482" t="s">
        <v>248</v>
      </c>
      <c r="F482">
        <v>1969</v>
      </c>
      <c r="G482" s="1" t="s">
        <v>72</v>
      </c>
      <c r="H482" s="1" t="s">
        <v>184</v>
      </c>
      <c r="I482">
        <v>0</v>
      </c>
      <c r="J482">
        <v>93254.111900000004</v>
      </c>
      <c r="K482">
        <v>3.3800000000000002E-3</v>
      </c>
      <c r="L482">
        <v>2.82E-3</v>
      </c>
      <c r="M482">
        <v>0.245</v>
      </c>
      <c r="N482">
        <v>3.2000000000000001E-2</v>
      </c>
      <c r="O482">
        <v>2.9099999999999998E-3</v>
      </c>
      <c r="P482" s="3">
        <f t="shared" si="28"/>
        <v>1072.3421556259329</v>
      </c>
      <c r="Q482" s="3">
        <f t="shared" si="29"/>
        <v>3.3818972863173258E-3</v>
      </c>
      <c r="R482" s="3">
        <f t="shared" si="30"/>
        <v>2.82E-3</v>
      </c>
      <c r="S482">
        <f t="shared" si="31"/>
        <v>8</v>
      </c>
      <c r="T482">
        <f>INDEX([1]IDEN_level_ids!$B:$B,MATCH(G482,[1]IDEN_level_ids!$A:$A,0),1)</f>
        <v>1225</v>
      </c>
      <c r="U482">
        <f>INDEX([1]IDEN_level_ids!$B:$B,MATCH(H482,[1]IDEN_level_ids!$A:$A,0),1)</f>
        <v>810</v>
      </c>
    </row>
    <row r="483" spans="1:21" hidden="1" x14ac:dyDescent="0.25">
      <c r="A483">
        <v>93246.607999999993</v>
      </c>
      <c r="B483">
        <v>1072.4250999999999</v>
      </c>
      <c r="C483">
        <v>4</v>
      </c>
      <c r="D483" t="s">
        <v>248</v>
      </c>
      <c r="F483">
        <v>1969</v>
      </c>
      <c r="G483" s="1" t="s">
        <v>59</v>
      </c>
      <c r="H483" s="1" t="s">
        <v>201</v>
      </c>
      <c r="I483">
        <v>0</v>
      </c>
      <c r="J483">
        <v>93246.625100000005</v>
      </c>
      <c r="K483">
        <v>2.0000000000000001E-4</v>
      </c>
      <c r="L483">
        <v>2.82E-3</v>
      </c>
      <c r="M483">
        <v>0.245</v>
      </c>
      <c r="N483">
        <v>8.6599999999999996E-2</v>
      </c>
      <c r="O483">
        <v>3.0799999999999998E-3</v>
      </c>
      <c r="P483" s="3">
        <f t="shared" si="28"/>
        <v>1072.4250688025029</v>
      </c>
      <c r="Q483" s="3">
        <f t="shared" si="29"/>
        <v>1.9666629941639258E-4</v>
      </c>
      <c r="R483" s="3">
        <f t="shared" si="30"/>
        <v>2.82E-3</v>
      </c>
      <c r="S483">
        <f t="shared" si="31"/>
        <v>8</v>
      </c>
      <c r="T483">
        <f>INDEX([1]IDEN_level_ids!$B:$B,MATCH(G483,[1]IDEN_level_ids!$A:$A,0),1)</f>
        <v>1211</v>
      </c>
      <c r="U483">
        <f>INDEX([1]IDEN_level_ids!$B:$B,MATCH(H483,[1]IDEN_level_ids!$A:$A,0),1)</f>
        <v>788</v>
      </c>
    </row>
    <row r="484" spans="1:21" hidden="1" x14ac:dyDescent="0.25">
      <c r="A484">
        <v>93243.028000000006</v>
      </c>
      <c r="B484">
        <v>1072.4662000000001</v>
      </c>
      <c r="C484">
        <v>4</v>
      </c>
      <c r="D484" t="s">
        <v>248</v>
      </c>
      <c r="F484">
        <v>1969</v>
      </c>
      <c r="G484" s="1" t="s">
        <v>81</v>
      </c>
      <c r="H484" s="1" t="s">
        <v>131</v>
      </c>
      <c r="I484">
        <v>0</v>
      </c>
      <c r="J484">
        <v>93243.489199999996</v>
      </c>
      <c r="K484">
        <v>5.3E-3</v>
      </c>
      <c r="L484">
        <v>2.82E-3</v>
      </c>
      <c r="M484">
        <v>0.245</v>
      </c>
      <c r="N484">
        <v>2.7099999999999999E-2</v>
      </c>
      <c r="O484">
        <v>2.8999999999999998E-3</v>
      </c>
      <c r="P484" s="3">
        <f t="shared" si="28"/>
        <v>1072.4662438032365</v>
      </c>
      <c r="Q484" s="3">
        <f t="shared" si="29"/>
        <v>5.3046216512484534E-3</v>
      </c>
      <c r="R484" s="3">
        <f t="shared" si="30"/>
        <v>2.82E-3</v>
      </c>
      <c r="S484">
        <f t="shared" si="31"/>
        <v>8</v>
      </c>
      <c r="T484">
        <f>INDEX([1]IDEN_level_ids!$B:$B,MATCH(G484,[1]IDEN_level_ids!$A:$A,0),1)</f>
        <v>1196</v>
      </c>
      <c r="U484">
        <f>INDEX([1]IDEN_level_ids!$B:$B,MATCH(H484,[1]IDEN_level_ids!$A:$A,0),1)</f>
        <v>764</v>
      </c>
    </row>
    <row r="485" spans="1:21" hidden="1" x14ac:dyDescent="0.25">
      <c r="A485">
        <v>93237.584099999993</v>
      </c>
      <c r="B485">
        <v>1072.5289</v>
      </c>
      <c r="C485">
        <v>4</v>
      </c>
      <c r="D485" t="s">
        <v>248</v>
      </c>
      <c r="F485">
        <v>1969</v>
      </c>
      <c r="G485" s="1" t="s">
        <v>73</v>
      </c>
      <c r="H485" s="1" t="s">
        <v>215</v>
      </c>
      <c r="I485">
        <v>0</v>
      </c>
      <c r="J485">
        <v>93237.695200000002</v>
      </c>
      <c r="K485">
        <v>1.2800000000000001E-3</v>
      </c>
      <c r="L485">
        <v>2.82E-3</v>
      </c>
      <c r="M485">
        <v>0.245</v>
      </c>
      <c r="N485">
        <v>2.4899999999999999E-2</v>
      </c>
      <c r="O485">
        <v>2.8900000000000002E-3</v>
      </c>
      <c r="P485" s="3">
        <f t="shared" si="28"/>
        <v>1072.528862317444</v>
      </c>
      <c r="Q485" s="3">
        <f t="shared" si="29"/>
        <v>1.278001953551211E-3</v>
      </c>
      <c r="R485" s="3">
        <f t="shared" si="30"/>
        <v>2.82E-3</v>
      </c>
      <c r="S485">
        <f t="shared" si="31"/>
        <v>8</v>
      </c>
      <c r="T485">
        <f>INDEX([1]IDEN_level_ids!$B:$B,MATCH(G485,[1]IDEN_level_ids!$A:$A,0),1)</f>
        <v>1173</v>
      </c>
      <c r="U485">
        <f>INDEX([1]IDEN_level_ids!$B:$B,MATCH(H485,[1]IDEN_level_ids!$A:$A,0),1)</f>
        <v>699</v>
      </c>
    </row>
    <row r="486" spans="1:21" hidden="1" x14ac:dyDescent="0.25">
      <c r="A486">
        <v>93231.400200000004</v>
      </c>
      <c r="B486">
        <v>1072.5999999999999</v>
      </c>
      <c r="C486">
        <v>4</v>
      </c>
      <c r="D486" t="s">
        <v>248</v>
      </c>
      <c r="F486">
        <v>1969</v>
      </c>
      <c r="G486" s="1" t="s">
        <v>204</v>
      </c>
      <c r="H486" s="1" t="s">
        <v>270</v>
      </c>
      <c r="I486">
        <v>0</v>
      </c>
      <c r="J486">
        <v>93231.34</v>
      </c>
      <c r="K486">
        <v>-6.8999999999999997E-4</v>
      </c>
      <c r="L486">
        <v>2.82E-3</v>
      </c>
      <c r="M486">
        <v>0.245</v>
      </c>
      <c r="N486">
        <v>0.127</v>
      </c>
      <c r="O486">
        <v>3.2299999999999998E-3</v>
      </c>
      <c r="P486" s="3">
        <f t="shared" si="28"/>
        <v>1072.6000015604184</v>
      </c>
      <c r="Q486" s="3">
        <f t="shared" si="29"/>
        <v>-6.9258384678505536E-4</v>
      </c>
      <c r="R486" s="3">
        <f t="shared" si="30"/>
        <v>2.82E-3</v>
      </c>
      <c r="S486">
        <f t="shared" si="31"/>
        <v>8</v>
      </c>
      <c r="T486">
        <f>INDEX([1]IDEN_level_ids!$B:$B,MATCH(G486,[1]IDEN_level_ids!$A:$A,0),1)</f>
        <v>1176</v>
      </c>
      <c r="U486">
        <f>INDEX([1]IDEN_level_ids!$B:$B,MATCH(H486,[1]IDEN_level_ids!$A:$A,0),1)</f>
        <v>725</v>
      </c>
    </row>
    <row r="487" spans="1:21" hidden="1" x14ac:dyDescent="0.25">
      <c r="A487">
        <v>93169.900500000003</v>
      </c>
      <c r="B487">
        <v>1073.308</v>
      </c>
      <c r="C487">
        <v>4</v>
      </c>
      <c r="D487" t="s">
        <v>248</v>
      </c>
      <c r="F487">
        <v>1969</v>
      </c>
      <c r="G487" s="1" t="s">
        <v>250</v>
      </c>
      <c r="H487" s="1" t="s">
        <v>257</v>
      </c>
      <c r="I487">
        <v>0</v>
      </c>
      <c r="J487">
        <v>93170.154699999999</v>
      </c>
      <c r="K487">
        <v>2.9299999999999999E-3</v>
      </c>
      <c r="L487">
        <v>2.82E-3</v>
      </c>
      <c r="M487">
        <v>0.245</v>
      </c>
      <c r="N487">
        <v>0.25530000000000003</v>
      </c>
      <c r="O487">
        <v>3.79E-3</v>
      </c>
      <c r="P487" s="3">
        <f t="shared" si="28"/>
        <v>1073.3080046597238</v>
      </c>
      <c r="Q487" s="3">
        <f t="shared" si="29"/>
        <v>2.9283507756190374E-3</v>
      </c>
      <c r="R487" s="3">
        <f t="shared" si="30"/>
        <v>2.82E-3</v>
      </c>
      <c r="S487">
        <f t="shared" si="31"/>
        <v>8</v>
      </c>
      <c r="T487">
        <f>INDEX([1]IDEN_level_ids!$B:$B,MATCH(G487,[1]IDEN_level_ids!$A:$A,0),1)</f>
        <v>1107</v>
      </c>
      <c r="U487">
        <f>INDEX([1]IDEN_level_ids!$B:$B,MATCH(H487,[1]IDEN_level_ids!$A:$A,0),1)</f>
        <v>479</v>
      </c>
    </row>
    <row r="488" spans="1:21" hidden="1" x14ac:dyDescent="0.25">
      <c r="A488">
        <v>93167.113200000007</v>
      </c>
      <c r="B488">
        <v>1073.3400999999999</v>
      </c>
      <c r="C488">
        <v>4</v>
      </c>
      <c r="D488" t="s">
        <v>248</v>
      </c>
      <c r="F488">
        <v>1969</v>
      </c>
      <c r="G488" s="1" t="s">
        <v>273</v>
      </c>
      <c r="H488" s="1" t="s">
        <v>225</v>
      </c>
      <c r="I488">
        <v>0</v>
      </c>
      <c r="J488">
        <v>93167.539600000004</v>
      </c>
      <c r="K488">
        <v>4.9100000000000003E-3</v>
      </c>
      <c r="L488">
        <v>2.82E-3</v>
      </c>
      <c r="M488">
        <v>0.245</v>
      </c>
      <c r="N488">
        <v>0.50209999999999999</v>
      </c>
      <c r="O488">
        <v>5.6699999999999997E-3</v>
      </c>
      <c r="P488" s="3">
        <f t="shared" si="28"/>
        <v>1073.3401150396489</v>
      </c>
      <c r="Q488" s="3">
        <f t="shared" si="29"/>
        <v>4.9123571043310221E-3</v>
      </c>
      <c r="R488" s="3">
        <f t="shared" si="30"/>
        <v>2.82E-3</v>
      </c>
      <c r="S488">
        <f t="shared" si="31"/>
        <v>8</v>
      </c>
      <c r="T488">
        <f>INDEX([1]IDEN_level_ids!$B:$B,MATCH(G488,[1]IDEN_level_ids!$A:$A,0),1)</f>
        <v>1105</v>
      </c>
      <c r="U488">
        <f>INDEX([1]IDEN_level_ids!$B:$B,MATCH(H488,[1]IDEN_level_ids!$A:$A,0),1)</f>
        <v>480</v>
      </c>
    </row>
    <row r="489" spans="1:21" hidden="1" x14ac:dyDescent="0.25">
      <c r="A489">
        <v>93127.114300000001</v>
      </c>
      <c r="B489">
        <v>1073.8010999999999</v>
      </c>
      <c r="C489">
        <v>4</v>
      </c>
      <c r="D489" t="s">
        <v>248</v>
      </c>
      <c r="F489">
        <v>1969</v>
      </c>
      <c r="G489" s="1" t="s">
        <v>252</v>
      </c>
      <c r="H489" s="1" t="s">
        <v>235</v>
      </c>
      <c r="I489">
        <v>0</v>
      </c>
      <c r="J489">
        <v>93126.781300000002</v>
      </c>
      <c r="K489">
        <v>-3.8400000000000001E-3</v>
      </c>
      <c r="L489">
        <v>2.82E-3</v>
      </c>
      <c r="M489">
        <v>0.245</v>
      </c>
      <c r="N489">
        <v>0.25430000000000003</v>
      </c>
      <c r="O489">
        <v>3.79E-3</v>
      </c>
      <c r="P489" s="3">
        <f t="shared" si="28"/>
        <v>1073.8011238902955</v>
      </c>
      <c r="Q489" s="3">
        <f t="shared" si="29"/>
        <v>-3.8396664124320523E-3</v>
      </c>
      <c r="R489" s="3">
        <f t="shared" si="30"/>
        <v>2.82E-3</v>
      </c>
      <c r="S489">
        <f t="shared" si="31"/>
        <v>8</v>
      </c>
      <c r="T489">
        <f>INDEX([1]IDEN_level_ids!$B:$B,MATCH(G489,[1]IDEN_level_ids!$A:$A,0),1)</f>
        <v>1188</v>
      </c>
      <c r="U489">
        <f>INDEX([1]IDEN_level_ids!$B:$B,MATCH(H489,[1]IDEN_level_ids!$A:$A,0),1)</f>
        <v>737</v>
      </c>
    </row>
    <row r="490" spans="1:21" hidden="1" x14ac:dyDescent="0.25">
      <c r="A490">
        <v>93118.430399999997</v>
      </c>
      <c r="B490">
        <v>1073.9013</v>
      </c>
      <c r="C490">
        <v>4</v>
      </c>
      <c r="D490" t="s">
        <v>248</v>
      </c>
      <c r="F490">
        <v>1969</v>
      </c>
      <c r="G490" s="1" t="s">
        <v>268</v>
      </c>
      <c r="H490" s="1" t="s">
        <v>210</v>
      </c>
      <c r="I490">
        <v>0</v>
      </c>
      <c r="J490">
        <v>93118.589699999997</v>
      </c>
      <c r="K490">
        <v>1.8400000000000001E-3</v>
      </c>
      <c r="L490">
        <v>2.8300000000000001E-3</v>
      </c>
      <c r="M490">
        <v>0.245</v>
      </c>
      <c r="N490">
        <v>0.3609</v>
      </c>
      <c r="O490">
        <v>4.4200000000000003E-3</v>
      </c>
      <c r="P490" s="3">
        <f t="shared" si="28"/>
        <v>1073.9012628374371</v>
      </c>
      <c r="Q490" s="3">
        <f t="shared" si="29"/>
        <v>1.8371462854247511E-3</v>
      </c>
      <c r="R490" s="3">
        <f t="shared" si="30"/>
        <v>2.8300000000000001E-3</v>
      </c>
      <c r="S490">
        <f t="shared" si="31"/>
        <v>8</v>
      </c>
      <c r="T490">
        <f>INDEX([1]IDEN_level_ids!$B:$B,MATCH(G490,[1]IDEN_level_ids!$A:$A,0),1)</f>
        <v>1160</v>
      </c>
      <c r="U490">
        <f>INDEX([1]IDEN_level_ids!$B:$B,MATCH(H490,[1]IDEN_level_ids!$A:$A,0),1)</f>
        <v>655</v>
      </c>
    </row>
    <row r="491" spans="1:21" hidden="1" x14ac:dyDescent="0.25">
      <c r="A491">
        <v>93095.027000000002</v>
      </c>
      <c r="B491">
        <v>1074.1712</v>
      </c>
      <c r="C491">
        <v>4</v>
      </c>
      <c r="D491" t="s">
        <v>248</v>
      </c>
      <c r="F491">
        <v>1969</v>
      </c>
      <c r="G491" s="1" t="s">
        <v>81</v>
      </c>
      <c r="H491" s="1" t="s">
        <v>233</v>
      </c>
      <c r="I491">
        <v>0</v>
      </c>
      <c r="J491">
        <v>93095.217000000004</v>
      </c>
      <c r="K491">
        <v>2.1900000000000001E-3</v>
      </c>
      <c r="L491">
        <v>2.8300000000000001E-3</v>
      </c>
      <c r="M491">
        <v>0.245</v>
      </c>
      <c r="N491">
        <v>1.12E-2</v>
      </c>
      <c r="O491">
        <v>2.8600000000000001E-3</v>
      </c>
      <c r="P491" s="3">
        <f t="shared" si="28"/>
        <v>1074.1712336578407</v>
      </c>
      <c r="Q491" s="3">
        <f t="shared" si="29"/>
        <v>2.1922988200913096E-3</v>
      </c>
      <c r="R491" s="3">
        <f t="shared" si="30"/>
        <v>2.8300000000000001E-3</v>
      </c>
      <c r="S491">
        <f t="shared" si="31"/>
        <v>8</v>
      </c>
      <c r="T491">
        <f>INDEX([1]IDEN_level_ids!$B:$B,MATCH(G491,[1]IDEN_level_ids!$A:$A,0),1)</f>
        <v>1196</v>
      </c>
      <c r="U491">
        <f>INDEX([1]IDEN_level_ids!$B:$B,MATCH(H491,[1]IDEN_level_ids!$A:$A,0),1)</f>
        <v>766</v>
      </c>
    </row>
    <row r="492" spans="1:21" hidden="1" x14ac:dyDescent="0.25">
      <c r="A492">
        <v>93079.286600000007</v>
      </c>
      <c r="B492">
        <v>1074.3529000000001</v>
      </c>
      <c r="C492">
        <v>4</v>
      </c>
      <c r="D492" t="s">
        <v>248</v>
      </c>
      <c r="F492">
        <v>1969</v>
      </c>
      <c r="G492" s="1" t="s">
        <v>207</v>
      </c>
      <c r="H492" s="1" t="s">
        <v>270</v>
      </c>
      <c r="I492">
        <v>0</v>
      </c>
      <c r="J492">
        <v>93079.303599999999</v>
      </c>
      <c r="K492">
        <v>2.0000000000000001E-4</v>
      </c>
      <c r="L492">
        <v>2.8300000000000001E-3</v>
      </c>
      <c r="M492">
        <v>0.245</v>
      </c>
      <c r="N492">
        <v>0.12620000000000001</v>
      </c>
      <c r="O492">
        <v>3.2399999999999998E-3</v>
      </c>
      <c r="P492" s="3">
        <f t="shared" si="28"/>
        <v>1074.3528840067409</v>
      </c>
      <c r="Q492" s="3">
        <f t="shared" si="29"/>
        <v>1.9621976434791577E-4</v>
      </c>
      <c r="R492" s="3">
        <f t="shared" si="30"/>
        <v>2.8300000000000001E-3</v>
      </c>
      <c r="S492">
        <f t="shared" si="31"/>
        <v>8</v>
      </c>
      <c r="T492">
        <f>INDEX([1]IDEN_level_ids!$B:$B,MATCH(G492,[1]IDEN_level_ids!$A:$A,0),1)</f>
        <v>1177</v>
      </c>
      <c r="U492">
        <f>INDEX([1]IDEN_level_ids!$B:$B,MATCH(H492,[1]IDEN_level_ids!$A:$A,0),1)</f>
        <v>725</v>
      </c>
    </row>
    <row r="493" spans="1:21" hidden="1" x14ac:dyDescent="0.25">
      <c r="A493">
        <v>93068.796900000001</v>
      </c>
      <c r="B493">
        <v>1074.4739999999999</v>
      </c>
      <c r="C493">
        <v>4</v>
      </c>
      <c r="D493" t="s">
        <v>248</v>
      </c>
      <c r="F493">
        <v>1969</v>
      </c>
      <c r="G493" s="1" t="s">
        <v>46</v>
      </c>
      <c r="H493" s="1" t="s">
        <v>189</v>
      </c>
      <c r="I493">
        <v>0</v>
      </c>
      <c r="J493">
        <v>93068.884300000005</v>
      </c>
      <c r="K493">
        <v>1.01E-3</v>
      </c>
      <c r="L493">
        <v>2.8300000000000001E-3</v>
      </c>
      <c r="M493">
        <v>0.245</v>
      </c>
      <c r="N493">
        <v>2.0799999999999999E-2</v>
      </c>
      <c r="O493">
        <v>2.8900000000000002E-3</v>
      </c>
      <c r="P493" s="3">
        <f t="shared" si="28"/>
        <v>1074.4739733494932</v>
      </c>
      <c r="Q493" s="3">
        <f t="shared" si="29"/>
        <v>1.0090270875480201E-3</v>
      </c>
      <c r="R493" s="3">
        <f t="shared" si="30"/>
        <v>2.8300000000000001E-3</v>
      </c>
      <c r="S493">
        <f t="shared" si="31"/>
        <v>8</v>
      </c>
      <c r="T493">
        <f>INDEX([1]IDEN_level_ids!$B:$B,MATCH(G493,[1]IDEN_level_ids!$A:$A,0),1)</f>
        <v>1212</v>
      </c>
      <c r="U493">
        <f>INDEX([1]IDEN_level_ids!$B:$B,MATCH(H493,[1]IDEN_level_ids!$A:$A,0),1)</f>
        <v>789</v>
      </c>
    </row>
    <row r="494" spans="1:21" hidden="1" x14ac:dyDescent="0.25">
      <c r="A494">
        <v>93058.770300000004</v>
      </c>
      <c r="B494">
        <v>1074.5897</v>
      </c>
      <c r="C494">
        <v>4</v>
      </c>
      <c r="D494" t="s">
        <v>248</v>
      </c>
      <c r="F494">
        <v>1969</v>
      </c>
      <c r="G494" s="1" t="s">
        <v>216</v>
      </c>
      <c r="H494" s="1" t="s">
        <v>132</v>
      </c>
      <c r="I494">
        <v>0</v>
      </c>
      <c r="J494">
        <v>93059.129700000005</v>
      </c>
      <c r="K494">
        <v>4.15E-3</v>
      </c>
      <c r="L494">
        <v>2.8300000000000001E-3</v>
      </c>
      <c r="M494">
        <v>0.245</v>
      </c>
      <c r="N494">
        <v>8.9599999999999999E-2</v>
      </c>
      <c r="O494">
        <v>3.1099999999999999E-3</v>
      </c>
      <c r="P494" s="3">
        <f t="shared" si="28"/>
        <v>1074.5897423490883</v>
      </c>
      <c r="Q494" s="3">
        <f t="shared" si="29"/>
        <v>4.1501307248381636E-3</v>
      </c>
      <c r="R494" s="3">
        <f t="shared" si="30"/>
        <v>2.8300000000000001E-3</v>
      </c>
      <c r="S494">
        <f t="shared" si="31"/>
        <v>8</v>
      </c>
      <c r="T494">
        <f>INDEX([1]IDEN_level_ids!$B:$B,MATCH(G494,[1]IDEN_level_ids!$A:$A,0),1)</f>
        <v>1170</v>
      </c>
      <c r="U494">
        <f>INDEX([1]IDEN_level_ids!$B:$B,MATCH(H494,[1]IDEN_level_ids!$A:$A,0),1)</f>
        <v>696</v>
      </c>
    </row>
    <row r="495" spans="1:21" hidden="1" x14ac:dyDescent="0.25">
      <c r="A495">
        <v>93051.9041</v>
      </c>
      <c r="B495">
        <v>1074.6690000000001</v>
      </c>
      <c r="C495">
        <v>4</v>
      </c>
      <c r="D495" t="s">
        <v>248</v>
      </c>
      <c r="F495">
        <v>1969</v>
      </c>
      <c r="G495" s="1" t="s">
        <v>239</v>
      </c>
      <c r="H495" s="1" t="s">
        <v>153</v>
      </c>
      <c r="I495">
        <v>0</v>
      </c>
      <c r="J495">
        <v>93052.216100000005</v>
      </c>
      <c r="K495">
        <v>3.5999999999999999E-3</v>
      </c>
      <c r="L495">
        <v>2.8300000000000001E-3</v>
      </c>
      <c r="M495">
        <v>0.245</v>
      </c>
      <c r="N495">
        <v>0.15079999999999999</v>
      </c>
      <c r="O495">
        <v>3.3300000000000001E-3</v>
      </c>
      <c r="P495" s="3">
        <f t="shared" si="28"/>
        <v>1074.6690351713071</v>
      </c>
      <c r="Q495" s="3">
        <f t="shared" si="29"/>
        <v>3.6033181479524501E-3</v>
      </c>
      <c r="R495" s="3">
        <f t="shared" si="30"/>
        <v>2.8300000000000001E-3</v>
      </c>
      <c r="S495">
        <f t="shared" si="31"/>
        <v>8</v>
      </c>
      <c r="T495">
        <f>INDEX([1]IDEN_level_ids!$B:$B,MATCH(G495,[1]IDEN_level_ids!$A:$A,0),1)</f>
        <v>1167</v>
      </c>
      <c r="U495">
        <f>INDEX([1]IDEN_level_ids!$B:$B,MATCH(H495,[1]IDEN_level_ids!$A:$A,0),1)</f>
        <v>681</v>
      </c>
    </row>
    <row r="496" spans="1:21" hidden="1" x14ac:dyDescent="0.25">
      <c r="A496">
        <v>93046.983999999997</v>
      </c>
      <c r="B496">
        <v>1074.7258999999999</v>
      </c>
      <c r="C496">
        <v>4</v>
      </c>
      <c r="D496" t="s">
        <v>248</v>
      </c>
      <c r="F496">
        <v>1969</v>
      </c>
      <c r="G496" s="1" t="s">
        <v>73</v>
      </c>
      <c r="H496" s="1" t="s">
        <v>176</v>
      </c>
      <c r="I496">
        <v>0</v>
      </c>
      <c r="J496">
        <v>93047.106100000005</v>
      </c>
      <c r="K496">
        <v>1.41E-3</v>
      </c>
      <c r="L496">
        <v>2.8300000000000001E-3</v>
      </c>
      <c r="M496">
        <v>0.245</v>
      </c>
      <c r="N496">
        <v>0.10780000000000001</v>
      </c>
      <c r="O496">
        <v>3.1700000000000001E-3</v>
      </c>
      <c r="P496" s="3">
        <f t="shared" si="28"/>
        <v>1074.7258610768083</v>
      </c>
      <c r="Q496" s="3">
        <f t="shared" si="29"/>
        <v>1.410296710446346E-3</v>
      </c>
      <c r="R496" s="3">
        <f t="shared" si="30"/>
        <v>2.8300000000000001E-3</v>
      </c>
      <c r="S496">
        <f t="shared" si="31"/>
        <v>8</v>
      </c>
      <c r="T496">
        <f>INDEX([1]IDEN_level_ids!$B:$B,MATCH(G496,[1]IDEN_level_ids!$A:$A,0),1)</f>
        <v>1173</v>
      </c>
      <c r="U496">
        <f>INDEX([1]IDEN_level_ids!$B:$B,MATCH(H496,[1]IDEN_level_ids!$A:$A,0),1)</f>
        <v>708</v>
      </c>
    </row>
    <row r="497" spans="1:21" hidden="1" x14ac:dyDescent="0.25">
      <c r="A497">
        <v>93035.802800000005</v>
      </c>
      <c r="B497">
        <v>1074.855</v>
      </c>
      <c r="C497">
        <v>4</v>
      </c>
      <c r="D497" t="s">
        <v>248</v>
      </c>
      <c r="F497">
        <v>1969</v>
      </c>
      <c r="G497" s="1" t="s">
        <v>73</v>
      </c>
      <c r="H497" s="1" t="s">
        <v>177</v>
      </c>
      <c r="I497">
        <v>0</v>
      </c>
      <c r="J497">
        <v>93035.231899999999</v>
      </c>
      <c r="K497">
        <v>-6.5900000000000004E-3</v>
      </c>
      <c r="L497">
        <v>2.8300000000000001E-3</v>
      </c>
      <c r="M497">
        <v>0.245</v>
      </c>
      <c r="N497">
        <v>0.25219999999999998</v>
      </c>
      <c r="O497">
        <v>3.79E-3</v>
      </c>
      <c r="P497" s="3">
        <f t="shared" si="28"/>
        <v>1074.8550234469519</v>
      </c>
      <c r="Q497" s="3">
        <f t="shared" si="29"/>
        <v>-6.5957242256899917E-3</v>
      </c>
      <c r="R497" s="3">
        <f t="shared" si="30"/>
        <v>2.8300000000000001E-3</v>
      </c>
      <c r="S497">
        <f t="shared" si="31"/>
        <v>8</v>
      </c>
      <c r="T497">
        <f>INDEX([1]IDEN_level_ids!$B:$B,MATCH(G497,[1]IDEN_level_ids!$A:$A,0),1)</f>
        <v>1173</v>
      </c>
      <c r="U497">
        <f>INDEX([1]IDEN_level_ids!$B:$B,MATCH(H497,[1]IDEN_level_ids!$A:$A,0),1)</f>
        <v>709</v>
      </c>
    </row>
    <row r="498" spans="1:21" hidden="1" x14ac:dyDescent="0.25">
      <c r="A498">
        <v>93010.521299999993</v>
      </c>
      <c r="B498">
        <v>1075.1472000000001</v>
      </c>
      <c r="C498">
        <v>4</v>
      </c>
      <c r="D498" t="s">
        <v>277</v>
      </c>
      <c r="F498">
        <v>1969</v>
      </c>
      <c r="G498" s="1" t="s">
        <v>194</v>
      </c>
      <c r="H498" s="1" t="s">
        <v>199</v>
      </c>
      <c r="I498">
        <v>0</v>
      </c>
      <c r="J498">
        <v>93011.106</v>
      </c>
      <c r="K498">
        <v>6.7600000000000004E-3</v>
      </c>
      <c r="L498">
        <v>2.8300000000000001E-3</v>
      </c>
      <c r="M498">
        <v>0.245</v>
      </c>
      <c r="N498">
        <v>0.1137</v>
      </c>
      <c r="O498">
        <v>3.2000000000000002E-3</v>
      </c>
      <c r="P498" s="3">
        <f t="shared" si="28"/>
        <v>1075.1471833756941</v>
      </c>
      <c r="Q498" s="3">
        <f t="shared" si="29"/>
        <v>6.7587472631203127E-3</v>
      </c>
      <c r="R498" s="3">
        <f t="shared" si="30"/>
        <v>2.8300000000000001E-3</v>
      </c>
      <c r="S498">
        <f t="shared" si="31"/>
        <v>9</v>
      </c>
      <c r="T498">
        <f>INDEX([1]IDEN_level_ids!$B:$B,MATCH(G498,[1]IDEN_level_ids!$A:$A,0),1)</f>
        <v>1187</v>
      </c>
      <c r="U498">
        <f>INDEX([1]IDEN_level_ids!$B:$B,MATCH(H498,[1]IDEN_level_ids!$A:$A,0),1)</f>
        <v>743</v>
      </c>
    </row>
    <row r="499" spans="1:21" hidden="1" x14ac:dyDescent="0.25">
      <c r="A499">
        <v>92977.224499999997</v>
      </c>
      <c r="B499">
        <v>1075.5322000000001</v>
      </c>
      <c r="C499">
        <v>4</v>
      </c>
      <c r="D499" t="s">
        <v>277</v>
      </c>
      <c r="E499" t="s">
        <v>52</v>
      </c>
      <c r="F499">
        <v>1969</v>
      </c>
      <c r="G499" s="1" t="s">
        <v>278</v>
      </c>
      <c r="H499" s="1" t="s">
        <v>43</v>
      </c>
      <c r="I499">
        <v>0</v>
      </c>
      <c r="J499">
        <v>92977.397800000006</v>
      </c>
      <c r="K499">
        <v>2E-3</v>
      </c>
      <c r="L499">
        <v>3.1900000000000001E-3</v>
      </c>
      <c r="M499">
        <v>0.27600000000000002</v>
      </c>
      <c r="N499">
        <v>0.23730000000000001</v>
      </c>
      <c r="O499">
        <v>4.1900000000000001E-3</v>
      </c>
      <c r="P499" s="3">
        <f t="shared" si="28"/>
        <v>1075.5322127302263</v>
      </c>
      <c r="Q499" s="3">
        <f t="shared" si="29"/>
        <v>2.0046778774940321E-3</v>
      </c>
      <c r="R499" s="3">
        <f t="shared" si="30"/>
        <v>3.1900000000000001E-3</v>
      </c>
      <c r="S499">
        <f t="shared" si="31"/>
        <v>9</v>
      </c>
      <c r="T499">
        <f>INDEX([1]IDEN_level_ids!$B:$B,MATCH(G499,[1]IDEN_level_ids!$A:$A,0),1)</f>
        <v>1102</v>
      </c>
      <c r="U499">
        <f>INDEX([1]IDEN_level_ids!$B:$B,MATCH(H499,[1]IDEN_level_ids!$A:$A,0),1)</f>
        <v>448</v>
      </c>
    </row>
    <row r="500" spans="1:21" hidden="1" x14ac:dyDescent="0.25">
      <c r="A500">
        <v>92974.394400000005</v>
      </c>
      <c r="B500">
        <v>1075.5650000000001</v>
      </c>
      <c r="C500">
        <v>4</v>
      </c>
      <c r="D500" t="s">
        <v>277</v>
      </c>
      <c r="E500" t="s">
        <v>52</v>
      </c>
      <c r="F500">
        <v>1969</v>
      </c>
      <c r="G500" s="1" t="s">
        <v>243</v>
      </c>
      <c r="H500" s="1" t="s">
        <v>241</v>
      </c>
      <c r="I500">
        <v>0</v>
      </c>
      <c r="J500">
        <v>92974.690799999997</v>
      </c>
      <c r="K500">
        <v>3.4299999999999999E-3</v>
      </c>
      <c r="L500">
        <v>3.1900000000000001E-3</v>
      </c>
      <c r="M500">
        <v>0.27600000000000002</v>
      </c>
      <c r="N500">
        <v>5.8299999999999998E-2</v>
      </c>
      <c r="O500">
        <v>3.3899999999999998E-3</v>
      </c>
      <c r="P500" s="3">
        <f t="shared" si="28"/>
        <v>1075.5649514615177</v>
      </c>
      <c r="Q500" s="3">
        <f t="shared" si="29"/>
        <v>3.428862724604187E-3</v>
      </c>
      <c r="R500" s="3">
        <f t="shared" si="30"/>
        <v>3.1900000000000001E-3</v>
      </c>
      <c r="S500">
        <f t="shared" si="31"/>
        <v>9</v>
      </c>
      <c r="T500">
        <f>INDEX([1]IDEN_level_ids!$B:$B,MATCH(G500,[1]IDEN_level_ids!$A:$A,0),1)</f>
        <v>1205</v>
      </c>
      <c r="U500">
        <f>INDEX([1]IDEN_level_ids!$B:$B,MATCH(H500,[1]IDEN_level_ids!$A:$A,0),1)</f>
        <v>777</v>
      </c>
    </row>
    <row r="501" spans="1:21" hidden="1" x14ac:dyDescent="0.25">
      <c r="A501">
        <v>92972.585699999996</v>
      </c>
      <c r="B501">
        <v>1075.5859</v>
      </c>
      <c r="C501">
        <v>4</v>
      </c>
      <c r="D501" t="s">
        <v>277</v>
      </c>
      <c r="E501" t="s">
        <v>52</v>
      </c>
      <c r="F501">
        <v>1969</v>
      </c>
      <c r="G501" s="1" t="s">
        <v>82</v>
      </c>
      <c r="H501" s="1" t="s">
        <v>127</v>
      </c>
      <c r="I501">
        <v>0</v>
      </c>
      <c r="J501">
        <v>92971.918000000005</v>
      </c>
      <c r="K501">
        <v>-7.7200000000000003E-3</v>
      </c>
      <c r="L501">
        <v>3.1900000000000001E-3</v>
      </c>
      <c r="M501">
        <v>0.27600000000000002</v>
      </c>
      <c r="N501">
        <v>2.1100000000000001E-2</v>
      </c>
      <c r="O501">
        <v>3.2599999999999999E-3</v>
      </c>
      <c r="P501" s="3">
        <f t="shared" si="28"/>
        <v>1075.5858756330147</v>
      </c>
      <c r="Q501" s="3">
        <f t="shared" si="29"/>
        <v>-7.7245764591680199E-3</v>
      </c>
      <c r="R501" s="3">
        <f t="shared" si="30"/>
        <v>3.1900000000000001E-3</v>
      </c>
      <c r="S501">
        <f t="shared" si="31"/>
        <v>9</v>
      </c>
      <c r="T501">
        <f>INDEX([1]IDEN_level_ids!$B:$B,MATCH(G501,[1]IDEN_level_ids!$A:$A,0),1)</f>
        <v>1193</v>
      </c>
      <c r="U501">
        <f>INDEX([1]IDEN_level_ids!$B:$B,MATCH(H501,[1]IDEN_level_ids!$A:$A,0),1)</f>
        <v>760</v>
      </c>
    </row>
    <row r="502" spans="1:21" hidden="1" x14ac:dyDescent="0.25">
      <c r="A502">
        <v>92962.109700000001</v>
      </c>
      <c r="B502">
        <v>1075.7071000000001</v>
      </c>
      <c r="C502">
        <v>4</v>
      </c>
      <c r="D502" t="s">
        <v>277</v>
      </c>
      <c r="F502">
        <v>1969</v>
      </c>
      <c r="G502" s="1" t="s">
        <v>82</v>
      </c>
      <c r="H502" s="1" t="s">
        <v>263</v>
      </c>
      <c r="I502">
        <v>0</v>
      </c>
      <c r="J502">
        <v>92962.090899999996</v>
      </c>
      <c r="K502">
        <v>-2.2000000000000001E-4</v>
      </c>
      <c r="L502">
        <v>2.8300000000000001E-3</v>
      </c>
      <c r="M502">
        <v>0.245</v>
      </c>
      <c r="N502">
        <v>1.37E-2</v>
      </c>
      <c r="O502">
        <v>2.8700000000000002E-3</v>
      </c>
      <c r="P502" s="3">
        <f t="shared" si="28"/>
        <v>1075.7070845607111</v>
      </c>
      <c r="Q502" s="3">
        <f t="shared" si="29"/>
        <v>-2.1754344152213889E-4</v>
      </c>
      <c r="R502" s="3">
        <f t="shared" si="30"/>
        <v>2.8300000000000001E-3</v>
      </c>
      <c r="S502">
        <f t="shared" si="31"/>
        <v>9</v>
      </c>
      <c r="T502">
        <f>INDEX([1]IDEN_level_ids!$B:$B,MATCH(G502,[1]IDEN_level_ids!$A:$A,0),1)</f>
        <v>1193</v>
      </c>
      <c r="U502">
        <f>INDEX([1]IDEN_level_ids!$B:$B,MATCH(H502,[1]IDEN_level_ids!$A:$A,0),1)</f>
        <v>759</v>
      </c>
    </row>
    <row r="503" spans="1:21" hidden="1" x14ac:dyDescent="0.25">
      <c r="A503">
        <v>92908.723100000003</v>
      </c>
      <c r="B503">
        <v>1076.3252</v>
      </c>
      <c r="C503">
        <v>4</v>
      </c>
      <c r="D503" t="s">
        <v>277</v>
      </c>
      <c r="F503">
        <v>1969</v>
      </c>
      <c r="G503" s="1" t="s">
        <v>216</v>
      </c>
      <c r="H503" s="1" t="s">
        <v>136</v>
      </c>
      <c r="I503">
        <v>0</v>
      </c>
      <c r="J503">
        <v>92908.823399999994</v>
      </c>
      <c r="K503">
        <v>1.16E-3</v>
      </c>
      <c r="L503">
        <v>2.8400000000000001E-3</v>
      </c>
      <c r="M503">
        <v>0.245</v>
      </c>
      <c r="N503">
        <v>9.8199999999999996E-2</v>
      </c>
      <c r="O503">
        <v>3.15E-3</v>
      </c>
      <c r="P503" s="3">
        <f t="shared" si="28"/>
        <v>1076.325200297581</v>
      </c>
      <c r="Q503" s="3">
        <f t="shared" si="29"/>
        <v>1.1619501099175977E-3</v>
      </c>
      <c r="R503" s="3">
        <f t="shared" si="30"/>
        <v>2.8400000000000001E-3</v>
      </c>
      <c r="S503">
        <f t="shared" si="31"/>
        <v>9</v>
      </c>
      <c r="T503">
        <f>INDEX([1]IDEN_level_ids!$B:$B,MATCH(G503,[1]IDEN_level_ids!$A:$A,0),1)</f>
        <v>1170</v>
      </c>
      <c r="U503">
        <f>INDEX([1]IDEN_level_ids!$B:$B,MATCH(H503,[1]IDEN_level_ids!$A:$A,0),1)</f>
        <v>700</v>
      </c>
    </row>
    <row r="504" spans="1:21" hidden="1" x14ac:dyDescent="0.25">
      <c r="A504">
        <v>92868.610799999995</v>
      </c>
      <c r="B504">
        <v>1076.7900999999999</v>
      </c>
      <c r="C504">
        <v>4</v>
      </c>
      <c r="D504" t="s">
        <v>277</v>
      </c>
      <c r="F504">
        <v>1969</v>
      </c>
      <c r="G504" s="1" t="s">
        <v>33</v>
      </c>
      <c r="H504" s="1" t="s">
        <v>228</v>
      </c>
      <c r="I504">
        <v>0</v>
      </c>
      <c r="J504">
        <v>92868.613299999997</v>
      </c>
      <c r="K504">
        <v>3.0000000000000001E-5</v>
      </c>
      <c r="L504">
        <v>2.8400000000000001E-3</v>
      </c>
      <c r="M504">
        <v>0.245</v>
      </c>
      <c r="N504">
        <v>2.4299999999999999E-2</v>
      </c>
      <c r="O504">
        <v>2.9099999999999998E-3</v>
      </c>
      <c r="P504" s="3">
        <f t="shared" si="28"/>
        <v>1076.7900923527113</v>
      </c>
      <c r="Q504" s="3">
        <f t="shared" si="29"/>
        <v>2.8986921734031057E-5</v>
      </c>
      <c r="R504" s="3">
        <f t="shared" si="30"/>
        <v>2.8400000000000001E-3</v>
      </c>
      <c r="S504">
        <f t="shared" si="31"/>
        <v>9</v>
      </c>
      <c r="T504">
        <f>INDEX([1]IDEN_level_ids!$B:$B,MATCH(G504,[1]IDEN_level_ids!$A:$A,0),1)</f>
        <v>1220</v>
      </c>
      <c r="U504">
        <f>INDEX([1]IDEN_level_ids!$B:$B,MATCH(H504,[1]IDEN_level_ids!$A:$A,0),1)</f>
        <v>804</v>
      </c>
    </row>
    <row r="505" spans="1:21" hidden="1" x14ac:dyDescent="0.25">
      <c r="A505">
        <v>92865.090100000001</v>
      </c>
      <c r="B505">
        <v>1076.8308999999999</v>
      </c>
      <c r="C505">
        <v>4</v>
      </c>
      <c r="D505" t="s">
        <v>277</v>
      </c>
      <c r="F505">
        <v>1969</v>
      </c>
      <c r="G505" s="1" t="s">
        <v>252</v>
      </c>
      <c r="H505" s="1" t="s">
        <v>266</v>
      </c>
      <c r="I505">
        <v>0</v>
      </c>
      <c r="J505">
        <v>92865.576799999995</v>
      </c>
      <c r="K505">
        <v>5.64E-3</v>
      </c>
      <c r="L505">
        <v>2.8400000000000001E-3</v>
      </c>
      <c r="M505">
        <v>0.245</v>
      </c>
      <c r="N505">
        <v>5.3400000000000003E-2</v>
      </c>
      <c r="O505">
        <v>3.0000000000000001E-3</v>
      </c>
      <c r="P505" s="3">
        <f t="shared" si="28"/>
        <v>1076.8309156036667</v>
      </c>
      <c r="Q505" s="3">
        <f t="shared" si="29"/>
        <v>5.643572405233499E-3</v>
      </c>
      <c r="R505" s="3">
        <f t="shared" si="30"/>
        <v>2.8400000000000001E-3</v>
      </c>
      <c r="S505">
        <f t="shared" si="31"/>
        <v>9</v>
      </c>
      <c r="T505">
        <f>INDEX([1]IDEN_level_ids!$B:$B,MATCH(G505,[1]IDEN_level_ids!$A:$A,0),1)</f>
        <v>1188</v>
      </c>
      <c r="U505">
        <f>INDEX([1]IDEN_level_ids!$B:$B,MATCH(H505,[1]IDEN_level_ids!$A:$A,0),1)</f>
        <v>742</v>
      </c>
    </row>
    <row r="506" spans="1:21" hidden="1" x14ac:dyDescent="0.25">
      <c r="A506">
        <v>92817.593900000007</v>
      </c>
      <c r="B506">
        <v>1077.3819000000001</v>
      </c>
      <c r="C506">
        <v>4</v>
      </c>
      <c r="D506" t="s">
        <v>277</v>
      </c>
      <c r="F506">
        <v>1969</v>
      </c>
      <c r="G506" s="1" t="s">
        <v>56</v>
      </c>
      <c r="H506" s="1" t="s">
        <v>184</v>
      </c>
      <c r="I506">
        <v>0</v>
      </c>
      <c r="J506">
        <v>92817.755399999995</v>
      </c>
      <c r="K506">
        <v>1.8799999999999999E-3</v>
      </c>
      <c r="L506">
        <v>2.8400000000000001E-3</v>
      </c>
      <c r="M506">
        <v>0.245</v>
      </c>
      <c r="N506">
        <v>3.1899999999999998E-2</v>
      </c>
      <c r="O506">
        <v>2.9399999999999999E-3</v>
      </c>
      <c r="P506" s="3">
        <f t="shared" si="28"/>
        <v>1077.3819466569903</v>
      </c>
      <c r="Q506" s="3">
        <f t="shared" si="29"/>
        <v>1.8746109903986508E-3</v>
      </c>
      <c r="R506" s="3">
        <f t="shared" si="30"/>
        <v>2.8400000000000001E-3</v>
      </c>
      <c r="S506">
        <f t="shared" si="31"/>
        <v>9</v>
      </c>
      <c r="T506">
        <f>INDEX([1]IDEN_level_ids!$B:$B,MATCH(G506,[1]IDEN_level_ids!$A:$A,0),1)</f>
        <v>1221</v>
      </c>
      <c r="U506">
        <f>INDEX([1]IDEN_level_ids!$B:$B,MATCH(H506,[1]IDEN_level_ids!$A:$A,0),1)</f>
        <v>810</v>
      </c>
    </row>
    <row r="507" spans="1:21" hidden="1" x14ac:dyDescent="0.25">
      <c r="A507">
        <v>92811.626000000004</v>
      </c>
      <c r="B507">
        <v>1077.4512</v>
      </c>
      <c r="C507">
        <v>4</v>
      </c>
      <c r="D507" t="s">
        <v>277</v>
      </c>
      <c r="F507">
        <v>1969</v>
      </c>
      <c r="G507" s="1" t="s">
        <v>141</v>
      </c>
      <c r="H507" s="1" t="s">
        <v>104</v>
      </c>
      <c r="I507">
        <v>0</v>
      </c>
      <c r="J507">
        <v>92812.017099999997</v>
      </c>
      <c r="K507">
        <v>4.5399999999999998E-3</v>
      </c>
      <c r="L507">
        <v>2.8400000000000001E-3</v>
      </c>
      <c r="M507">
        <v>0.245</v>
      </c>
      <c r="N507">
        <v>3.9100000000000003E-2</v>
      </c>
      <c r="O507">
        <v>2.96E-3</v>
      </c>
      <c r="P507" s="3">
        <f t="shared" si="28"/>
        <v>1077.4512236214889</v>
      </c>
      <c r="Q507" s="3">
        <f t="shared" si="29"/>
        <v>4.5402652233406116E-3</v>
      </c>
      <c r="R507" s="3">
        <f t="shared" si="30"/>
        <v>2.8400000000000001E-3</v>
      </c>
      <c r="S507">
        <f t="shared" si="31"/>
        <v>9</v>
      </c>
      <c r="T507">
        <f>INDEX([1]IDEN_level_ids!$B:$B,MATCH(G507,[1]IDEN_level_ids!$A:$A,0),1)</f>
        <v>1155</v>
      </c>
      <c r="U507">
        <f>INDEX([1]IDEN_level_ids!$B:$B,MATCH(H507,[1]IDEN_level_ids!$A:$A,0),1)</f>
        <v>636</v>
      </c>
    </row>
    <row r="508" spans="1:21" hidden="1" x14ac:dyDescent="0.25">
      <c r="A508">
        <v>92801.305500000002</v>
      </c>
      <c r="B508">
        <v>1077.5709999999999</v>
      </c>
      <c r="C508">
        <v>4</v>
      </c>
      <c r="D508" t="s">
        <v>277</v>
      </c>
      <c r="F508">
        <v>1969</v>
      </c>
      <c r="G508" s="1" t="s">
        <v>166</v>
      </c>
      <c r="H508" s="1" t="s">
        <v>199</v>
      </c>
      <c r="I508">
        <v>0</v>
      </c>
      <c r="J508">
        <v>92801.460399999996</v>
      </c>
      <c r="K508">
        <v>1.8E-3</v>
      </c>
      <c r="L508">
        <v>2.8400000000000001E-3</v>
      </c>
      <c r="M508">
        <v>0.245</v>
      </c>
      <c r="N508">
        <v>0.1135</v>
      </c>
      <c r="O508">
        <v>3.2100000000000002E-3</v>
      </c>
      <c r="P508" s="3">
        <f t="shared" si="28"/>
        <v>1077.5710477478142</v>
      </c>
      <c r="Q508" s="3">
        <f t="shared" si="29"/>
        <v>1.7986328509778104E-3</v>
      </c>
      <c r="R508" s="3">
        <f t="shared" si="30"/>
        <v>2.8400000000000001E-3</v>
      </c>
      <c r="S508">
        <f t="shared" si="31"/>
        <v>9</v>
      </c>
      <c r="T508">
        <f>INDEX([1]IDEN_level_ids!$B:$B,MATCH(G508,[1]IDEN_level_ids!$A:$A,0),1)</f>
        <v>1186</v>
      </c>
      <c r="U508">
        <f>INDEX([1]IDEN_level_ids!$B:$B,MATCH(H508,[1]IDEN_level_ids!$A:$A,0),1)</f>
        <v>743</v>
      </c>
    </row>
    <row r="509" spans="1:21" hidden="1" x14ac:dyDescent="0.25">
      <c r="A509">
        <v>92786.591499999995</v>
      </c>
      <c r="B509">
        <v>1077.7419</v>
      </c>
      <c r="C509">
        <v>4</v>
      </c>
      <c r="D509" t="s">
        <v>277</v>
      </c>
      <c r="F509">
        <v>1969</v>
      </c>
      <c r="G509" s="1" t="s">
        <v>83</v>
      </c>
      <c r="H509" s="1" t="s">
        <v>98</v>
      </c>
      <c r="I509">
        <v>0</v>
      </c>
      <c r="J509">
        <v>92786.529800000004</v>
      </c>
      <c r="K509">
        <v>-7.2000000000000005E-4</v>
      </c>
      <c r="L509">
        <v>2.8500000000000001E-3</v>
      </c>
      <c r="M509">
        <v>0.245</v>
      </c>
      <c r="N509">
        <v>0.11749999999999999</v>
      </c>
      <c r="O509">
        <v>3.2200000000000002E-3</v>
      </c>
      <c r="P509" s="3">
        <f t="shared" si="28"/>
        <v>1077.741927830165</v>
      </c>
      <c r="Q509" s="3">
        <f t="shared" si="29"/>
        <v>-7.1666304461359687E-4</v>
      </c>
      <c r="R509" s="3">
        <f t="shared" si="30"/>
        <v>2.8500000000000001E-3</v>
      </c>
      <c r="S509">
        <f t="shared" si="31"/>
        <v>9</v>
      </c>
      <c r="T509">
        <f>INDEX([1]IDEN_level_ids!$B:$B,MATCH(G509,[1]IDEN_level_ids!$A:$A,0),1)</f>
        <v>1175</v>
      </c>
      <c r="U509">
        <f>INDEX([1]IDEN_level_ids!$B:$B,MATCH(H509,[1]IDEN_level_ids!$A:$A,0),1)</f>
        <v>722</v>
      </c>
    </row>
    <row r="510" spans="1:21" hidden="1" x14ac:dyDescent="0.25">
      <c r="A510">
        <v>92777.201199999996</v>
      </c>
      <c r="B510">
        <v>1077.8510000000001</v>
      </c>
      <c r="C510">
        <v>4</v>
      </c>
      <c r="D510" t="s">
        <v>277</v>
      </c>
      <c r="F510">
        <v>1969</v>
      </c>
      <c r="G510" s="1" t="s">
        <v>267</v>
      </c>
      <c r="H510" s="1" t="s">
        <v>173</v>
      </c>
      <c r="I510">
        <v>0</v>
      </c>
      <c r="J510">
        <v>92777.748900000006</v>
      </c>
      <c r="K510">
        <v>6.3600000000000002E-3</v>
      </c>
      <c r="L510">
        <v>2.8500000000000001E-3</v>
      </c>
      <c r="M510">
        <v>0.245</v>
      </c>
      <c r="N510">
        <v>0.16750000000000001</v>
      </c>
      <c r="O510">
        <v>3.4199999999999999E-3</v>
      </c>
      <c r="P510" s="3">
        <f t="shared" si="28"/>
        <v>1077.8510098017487</v>
      </c>
      <c r="Q510" s="3">
        <f t="shared" si="29"/>
        <v>6.3629372891682578E-3</v>
      </c>
      <c r="R510" s="3">
        <f t="shared" si="30"/>
        <v>2.8500000000000001E-3</v>
      </c>
      <c r="S510">
        <f t="shared" si="31"/>
        <v>9</v>
      </c>
      <c r="T510">
        <f>INDEX([1]IDEN_level_ids!$B:$B,MATCH(G510,[1]IDEN_level_ids!$A:$A,0),1)</f>
        <v>1104</v>
      </c>
      <c r="U510">
        <f>INDEX([1]IDEN_level_ids!$B:$B,MATCH(H510,[1]IDEN_level_ids!$A:$A,0),1)</f>
        <v>483</v>
      </c>
    </row>
    <row r="511" spans="1:21" hidden="1" x14ac:dyDescent="0.25">
      <c r="A511">
        <v>92766.793099999995</v>
      </c>
      <c r="B511">
        <v>1077.9719</v>
      </c>
      <c r="C511">
        <v>4</v>
      </c>
      <c r="D511" t="s">
        <v>277</v>
      </c>
      <c r="F511">
        <v>1969</v>
      </c>
      <c r="G511" s="1" t="s">
        <v>279</v>
      </c>
      <c r="H511" s="1" t="s">
        <v>95</v>
      </c>
      <c r="I511">
        <v>0.18920000000000001</v>
      </c>
      <c r="J511">
        <v>92767.306800000006</v>
      </c>
      <c r="K511">
        <v>5.9699999999999996E-3</v>
      </c>
      <c r="L511">
        <v>2.8500000000000001E-3</v>
      </c>
      <c r="M511">
        <v>0.245</v>
      </c>
      <c r="N511">
        <v>0.1419</v>
      </c>
      <c r="O511">
        <v>3.32E-3</v>
      </c>
      <c r="P511" s="3">
        <f t="shared" si="28"/>
        <v>1077.9719408021663</v>
      </c>
      <c r="Q511" s="3">
        <f t="shared" si="29"/>
        <v>5.969281691022843E-3</v>
      </c>
      <c r="R511" s="3">
        <f t="shared" si="30"/>
        <v>2.8500000000000001E-3</v>
      </c>
      <c r="S511">
        <f t="shared" si="31"/>
        <v>9</v>
      </c>
      <c r="T511">
        <f>INDEX([1]IDEN_level_ids!$B:$B,MATCH(G511,[1]IDEN_level_ids!$A:$A,0),1)</f>
        <v>1129</v>
      </c>
      <c r="U511">
        <f>INDEX([1]IDEN_level_ids!$B:$B,MATCH(H511,[1]IDEN_level_ids!$A:$A,0),1)</f>
        <v>538</v>
      </c>
    </row>
    <row r="512" spans="1:21" hidden="1" x14ac:dyDescent="0.25">
      <c r="A512">
        <v>92719.998099999997</v>
      </c>
      <c r="B512">
        <v>1078.5160000000001</v>
      </c>
      <c r="C512">
        <v>4</v>
      </c>
      <c r="D512" t="s">
        <v>277</v>
      </c>
      <c r="F512">
        <v>1969</v>
      </c>
      <c r="G512" s="1" t="s">
        <v>83</v>
      </c>
      <c r="H512" s="1" t="s">
        <v>106</v>
      </c>
      <c r="I512">
        <v>0</v>
      </c>
      <c r="J512">
        <v>92719.967900000003</v>
      </c>
      <c r="K512">
        <v>-3.5E-4</v>
      </c>
      <c r="L512">
        <v>2.8500000000000001E-3</v>
      </c>
      <c r="M512">
        <v>0.245</v>
      </c>
      <c r="N512">
        <v>9.5699999999999993E-2</v>
      </c>
      <c r="O512">
        <v>3.15E-3</v>
      </c>
      <c r="P512" s="3">
        <f t="shared" si="28"/>
        <v>1078.5159841369755</v>
      </c>
      <c r="Q512" s="3">
        <f t="shared" si="29"/>
        <v>-3.512855262215453E-4</v>
      </c>
      <c r="R512" s="3">
        <f t="shared" si="30"/>
        <v>2.8500000000000001E-3</v>
      </c>
      <c r="S512">
        <f t="shared" si="31"/>
        <v>9</v>
      </c>
      <c r="T512">
        <f>INDEX([1]IDEN_level_ids!$B:$B,MATCH(G512,[1]IDEN_level_ids!$A:$A,0),1)</f>
        <v>1175</v>
      </c>
      <c r="U512">
        <f>INDEX([1]IDEN_level_ids!$B:$B,MATCH(H512,[1]IDEN_level_ids!$A:$A,0),1)</f>
        <v>726</v>
      </c>
    </row>
    <row r="513" spans="1:21" hidden="1" x14ac:dyDescent="0.25">
      <c r="A513">
        <v>92706.592699999994</v>
      </c>
      <c r="B513">
        <v>1078.6719000000001</v>
      </c>
      <c r="C513">
        <v>4</v>
      </c>
      <c r="D513" t="s">
        <v>277</v>
      </c>
      <c r="F513">
        <v>1969</v>
      </c>
      <c r="G513" s="1" t="s">
        <v>72</v>
      </c>
      <c r="H513" s="1" t="s">
        <v>234</v>
      </c>
      <c r="I513">
        <v>0</v>
      </c>
      <c r="J513">
        <v>92706.576799999995</v>
      </c>
      <c r="K513">
        <v>-1.9000000000000001E-4</v>
      </c>
      <c r="L513">
        <v>2.8500000000000001E-3</v>
      </c>
      <c r="M513">
        <v>0.245</v>
      </c>
      <c r="N513">
        <v>3.56E-2</v>
      </c>
      <c r="O513">
        <v>2.96E-3</v>
      </c>
      <c r="P513" s="3">
        <f t="shared" si="28"/>
        <v>1078.6719378588489</v>
      </c>
      <c r="Q513" s="3">
        <f t="shared" si="29"/>
        <v>-1.8500180249247933E-4</v>
      </c>
      <c r="R513" s="3">
        <f t="shared" si="30"/>
        <v>2.8500000000000001E-3</v>
      </c>
      <c r="S513">
        <f t="shared" si="31"/>
        <v>9</v>
      </c>
      <c r="T513">
        <f>INDEX([1]IDEN_level_ids!$B:$B,MATCH(G513,[1]IDEN_level_ids!$A:$A,0),1)</f>
        <v>1225</v>
      </c>
      <c r="U513">
        <f>INDEX([1]IDEN_level_ids!$B:$B,MATCH(H513,[1]IDEN_level_ids!$A:$A,0),1)</f>
        <v>818</v>
      </c>
    </row>
    <row r="514" spans="1:21" hidden="1" x14ac:dyDescent="0.25">
      <c r="A514">
        <v>92673.414000000004</v>
      </c>
      <c r="B514">
        <v>1079.0581</v>
      </c>
      <c r="C514">
        <v>4</v>
      </c>
      <c r="D514" t="s">
        <v>277</v>
      </c>
      <c r="E514" t="s">
        <v>52</v>
      </c>
      <c r="F514">
        <v>1969</v>
      </c>
      <c r="G514" s="1" t="s">
        <v>76</v>
      </c>
      <c r="H514" s="1" t="s">
        <v>192</v>
      </c>
      <c r="I514">
        <v>0</v>
      </c>
      <c r="J514">
        <v>92673.144899999999</v>
      </c>
      <c r="K514">
        <v>-3.13E-3</v>
      </c>
      <c r="L514">
        <v>3.2100000000000002E-3</v>
      </c>
      <c r="M514">
        <v>0.27600000000000002</v>
      </c>
      <c r="N514">
        <v>1.6799999999999999E-2</v>
      </c>
      <c r="O514">
        <v>3.2699999999999999E-3</v>
      </c>
      <c r="P514" s="3">
        <f t="shared" ref="P514:P577" si="32">100000000/$A514</f>
        <v>1079.058121242841</v>
      </c>
      <c r="Q514" s="3">
        <f t="shared" ref="Q514:Q577" si="33">100000000/($A514)-100000000/$J514</f>
        <v>-3.1333191589055787E-3</v>
      </c>
      <c r="R514" s="3">
        <f t="shared" si="30"/>
        <v>3.2100000000000002E-3</v>
      </c>
      <c r="S514">
        <f t="shared" si="31"/>
        <v>9</v>
      </c>
      <c r="T514">
        <f>INDEX([1]IDEN_level_ids!$B:$B,MATCH(G514,[1]IDEN_level_ids!$A:$A,0),1)</f>
        <v>1194</v>
      </c>
      <c r="U514">
        <f>INDEX([1]IDEN_level_ids!$B:$B,MATCH(H514,[1]IDEN_level_ids!$A:$A,0),1)</f>
        <v>762</v>
      </c>
    </row>
    <row r="515" spans="1:21" hidden="1" x14ac:dyDescent="0.25">
      <c r="A515">
        <v>92671.703899999993</v>
      </c>
      <c r="B515">
        <v>1079.078</v>
      </c>
      <c r="C515">
        <v>4</v>
      </c>
      <c r="D515" t="s">
        <v>277</v>
      </c>
      <c r="E515" t="s">
        <v>52</v>
      </c>
      <c r="F515">
        <v>1969</v>
      </c>
      <c r="G515" s="1" t="s">
        <v>216</v>
      </c>
      <c r="H515" s="1" t="s">
        <v>176</v>
      </c>
      <c r="I515">
        <v>0</v>
      </c>
      <c r="J515">
        <v>92671.245800000004</v>
      </c>
      <c r="K515">
        <v>-5.3299999999999997E-3</v>
      </c>
      <c r="L515">
        <v>3.2100000000000002E-3</v>
      </c>
      <c r="M515">
        <v>0.27600000000000002</v>
      </c>
      <c r="N515">
        <v>8.5199999999999998E-2</v>
      </c>
      <c r="O515">
        <v>3.5100000000000001E-3</v>
      </c>
      <c r="P515" s="3">
        <f t="shared" si="32"/>
        <v>1079.0780334405831</v>
      </c>
      <c r="Q515" s="3">
        <f t="shared" si="33"/>
        <v>-5.3341858397288888E-3</v>
      </c>
      <c r="R515" s="3">
        <f t="shared" ref="R515:R578" si="34">$L515</f>
        <v>3.2100000000000002E-3</v>
      </c>
      <c r="S515">
        <f t="shared" si="31"/>
        <v>9</v>
      </c>
      <c r="T515">
        <f>INDEX([1]IDEN_level_ids!$B:$B,MATCH(G515,[1]IDEN_level_ids!$A:$A,0),1)</f>
        <v>1170</v>
      </c>
      <c r="U515">
        <f>INDEX([1]IDEN_level_ids!$B:$B,MATCH(H515,[1]IDEN_level_ids!$A:$A,0),1)</f>
        <v>708</v>
      </c>
    </row>
    <row r="516" spans="1:21" hidden="1" x14ac:dyDescent="0.25">
      <c r="A516">
        <v>92655.395600000003</v>
      </c>
      <c r="B516">
        <v>1079.268</v>
      </c>
      <c r="C516">
        <v>4</v>
      </c>
      <c r="D516" t="s">
        <v>277</v>
      </c>
      <c r="F516">
        <v>1969</v>
      </c>
      <c r="G516" s="1" t="s">
        <v>76</v>
      </c>
      <c r="H516" s="1" t="s">
        <v>130</v>
      </c>
      <c r="I516">
        <v>0</v>
      </c>
      <c r="J516">
        <v>92655.468699999998</v>
      </c>
      <c r="K516">
        <v>8.4999999999999995E-4</v>
      </c>
      <c r="L516">
        <v>2.8500000000000001E-3</v>
      </c>
      <c r="M516">
        <v>0.245</v>
      </c>
      <c r="N516">
        <v>3.5499999999999997E-2</v>
      </c>
      <c r="O516">
        <v>2.96E-3</v>
      </c>
      <c r="P516" s="3">
        <f t="shared" si="32"/>
        <v>1079.2679622426651</v>
      </c>
      <c r="Q516" s="3">
        <f t="shared" si="33"/>
        <v>8.5148226162345964E-4</v>
      </c>
      <c r="R516" s="3">
        <f t="shared" si="34"/>
        <v>2.8500000000000001E-3</v>
      </c>
      <c r="S516">
        <f t="shared" ref="S516:S579" si="35">IF(D516=D515,S515,S515+1)</f>
        <v>9</v>
      </c>
      <c r="T516">
        <f>INDEX([1]IDEN_level_ids!$B:$B,MATCH(G516,[1]IDEN_level_ids!$A:$A,0),1)</f>
        <v>1194</v>
      </c>
      <c r="U516">
        <f>INDEX([1]IDEN_level_ids!$B:$B,MATCH(H516,[1]IDEN_level_ids!$A:$A,0),1)</f>
        <v>761</v>
      </c>
    </row>
    <row r="517" spans="1:21" hidden="1" x14ac:dyDescent="0.25">
      <c r="A517">
        <v>92639.599199999997</v>
      </c>
      <c r="B517">
        <v>1079.452</v>
      </c>
      <c r="C517">
        <v>4</v>
      </c>
      <c r="D517" t="s">
        <v>277</v>
      </c>
      <c r="F517">
        <v>1969</v>
      </c>
      <c r="G517" s="1" t="s">
        <v>33</v>
      </c>
      <c r="H517" s="1" t="s">
        <v>184</v>
      </c>
      <c r="I517">
        <v>0</v>
      </c>
      <c r="J517">
        <v>92639.576499999996</v>
      </c>
      <c r="K517">
        <v>-2.5999999999999998E-4</v>
      </c>
      <c r="L517">
        <v>2.8500000000000001E-3</v>
      </c>
      <c r="M517">
        <v>0.245</v>
      </c>
      <c r="N517">
        <v>3.1099999999999999E-2</v>
      </c>
      <c r="O517">
        <v>2.9499999999999999E-3</v>
      </c>
      <c r="P517" s="3">
        <f t="shared" si="32"/>
        <v>1079.4519931385887</v>
      </c>
      <c r="Q517" s="3">
        <f t="shared" si="33"/>
        <v>-2.6450423433743708E-4</v>
      </c>
      <c r="R517" s="3">
        <f t="shared" si="34"/>
        <v>2.8500000000000001E-3</v>
      </c>
      <c r="S517">
        <f t="shared" si="35"/>
        <v>9</v>
      </c>
      <c r="T517">
        <f>INDEX([1]IDEN_level_ids!$B:$B,MATCH(G517,[1]IDEN_level_ids!$A:$A,0),1)</f>
        <v>1220</v>
      </c>
      <c r="U517">
        <f>INDEX([1]IDEN_level_ids!$B:$B,MATCH(H517,[1]IDEN_level_ids!$A:$A,0),1)</f>
        <v>810</v>
      </c>
    </row>
    <row r="518" spans="1:21" hidden="1" x14ac:dyDescent="0.25">
      <c r="A518">
        <v>92616.002200000003</v>
      </c>
      <c r="B518">
        <v>1079.7270000000001</v>
      </c>
      <c r="C518">
        <v>4</v>
      </c>
      <c r="D518" t="s">
        <v>277</v>
      </c>
      <c r="F518">
        <v>1969</v>
      </c>
      <c r="G518" s="1" t="s">
        <v>280</v>
      </c>
      <c r="H518" s="1" t="s">
        <v>281</v>
      </c>
      <c r="I518">
        <v>0</v>
      </c>
      <c r="J518">
        <v>92615.873500000002</v>
      </c>
      <c r="K518">
        <v>-1.5E-3</v>
      </c>
      <c r="L518">
        <v>2.8600000000000001E-3</v>
      </c>
      <c r="M518">
        <v>0.245</v>
      </c>
      <c r="N518">
        <v>0.50649999999999995</v>
      </c>
      <c r="O518">
        <v>5.79E-3</v>
      </c>
      <c r="P518" s="3">
        <f t="shared" si="32"/>
        <v>1079.7270193551931</v>
      </c>
      <c r="Q518" s="3">
        <f t="shared" si="33"/>
        <v>-1.5004001163561043E-3</v>
      </c>
      <c r="R518" s="3">
        <f t="shared" si="34"/>
        <v>2.8600000000000001E-3</v>
      </c>
      <c r="S518">
        <f t="shared" si="35"/>
        <v>9</v>
      </c>
      <c r="T518">
        <f>INDEX([1]IDEN_level_ids!$B:$B,MATCH(G518,[1]IDEN_level_ids!$A:$A,0),1)</f>
        <v>1130</v>
      </c>
      <c r="U518">
        <f>INDEX([1]IDEN_level_ids!$B:$B,MATCH(H518,[1]IDEN_level_ids!$A:$A,0),1)</f>
        <v>541</v>
      </c>
    </row>
    <row r="519" spans="1:21" hidden="1" x14ac:dyDescent="0.25">
      <c r="A519">
        <v>92599.380399999995</v>
      </c>
      <c r="B519">
        <v>1079.9208000000001</v>
      </c>
      <c r="C519">
        <v>4</v>
      </c>
      <c r="D519" t="s">
        <v>277</v>
      </c>
      <c r="F519">
        <v>1969</v>
      </c>
      <c r="G519" s="1" t="s">
        <v>38</v>
      </c>
      <c r="H519" s="1" t="s">
        <v>123</v>
      </c>
      <c r="I519">
        <v>0</v>
      </c>
      <c r="J519">
        <v>92599.825599999996</v>
      </c>
      <c r="K519">
        <v>5.1900000000000002E-3</v>
      </c>
      <c r="L519">
        <v>2.8600000000000001E-3</v>
      </c>
      <c r="M519">
        <v>0.245</v>
      </c>
      <c r="N519">
        <v>1.9E-2</v>
      </c>
      <c r="O519">
        <v>2.9099999999999998E-3</v>
      </c>
      <c r="P519" s="3">
        <f t="shared" si="32"/>
        <v>1079.9208328180132</v>
      </c>
      <c r="Q519" s="3">
        <f t="shared" si="33"/>
        <v>5.1920265686931089E-3</v>
      </c>
      <c r="R519" s="3">
        <f t="shared" si="34"/>
        <v>2.8600000000000001E-3</v>
      </c>
      <c r="S519">
        <f t="shared" si="35"/>
        <v>9</v>
      </c>
      <c r="T519">
        <f>INDEX([1]IDEN_level_ids!$B:$B,MATCH(G519,[1]IDEN_level_ids!$A:$A,0),1)</f>
        <v>1201</v>
      </c>
      <c r="U519">
        <f>INDEX([1]IDEN_level_ids!$B:$B,MATCH(H519,[1]IDEN_level_ids!$A:$A,0),1)</f>
        <v>775</v>
      </c>
    </row>
    <row r="520" spans="1:21" hidden="1" x14ac:dyDescent="0.25">
      <c r="A520">
        <v>92597.121199999994</v>
      </c>
      <c r="B520">
        <v>1079.9472000000001</v>
      </c>
      <c r="C520">
        <v>4</v>
      </c>
      <c r="D520" t="s">
        <v>277</v>
      </c>
      <c r="F520">
        <v>1969</v>
      </c>
      <c r="G520" s="1" t="s">
        <v>83</v>
      </c>
      <c r="H520" s="1" t="s">
        <v>148</v>
      </c>
      <c r="I520">
        <v>0</v>
      </c>
      <c r="J520">
        <v>92597.071500000005</v>
      </c>
      <c r="K520">
        <v>-5.8E-4</v>
      </c>
      <c r="L520">
        <v>2.8600000000000001E-3</v>
      </c>
      <c r="M520">
        <v>0.245</v>
      </c>
      <c r="N520">
        <v>1.24E-2</v>
      </c>
      <c r="O520">
        <v>2.8900000000000002E-3</v>
      </c>
      <c r="P520" s="3">
        <f t="shared" si="32"/>
        <v>1079.9471809065269</v>
      </c>
      <c r="Q520" s="3">
        <f t="shared" si="33"/>
        <v>-5.7964441020885715E-4</v>
      </c>
      <c r="R520" s="3">
        <f t="shared" si="34"/>
        <v>2.8600000000000001E-3</v>
      </c>
      <c r="S520">
        <f t="shared" si="35"/>
        <v>9</v>
      </c>
      <c r="T520">
        <f>INDEX([1]IDEN_level_ids!$B:$B,MATCH(G520,[1]IDEN_level_ids!$A:$A,0),1)</f>
        <v>1175</v>
      </c>
      <c r="U520">
        <f>INDEX([1]IDEN_level_ids!$B:$B,MATCH(H520,[1]IDEN_level_ids!$A:$A,0),1)</f>
        <v>728</v>
      </c>
    </row>
    <row r="521" spans="1:21" hidden="1" x14ac:dyDescent="0.25">
      <c r="A521">
        <v>92590.979099999997</v>
      </c>
      <c r="B521">
        <v>1080.0188000000001</v>
      </c>
      <c r="C521">
        <v>4</v>
      </c>
      <c r="D521" t="s">
        <v>277</v>
      </c>
      <c r="F521">
        <v>1969</v>
      </c>
      <c r="G521" s="1" t="s">
        <v>86</v>
      </c>
      <c r="H521" s="1" t="s">
        <v>211</v>
      </c>
      <c r="I521">
        <v>0</v>
      </c>
      <c r="J521">
        <v>92591.124299999996</v>
      </c>
      <c r="K521">
        <v>1.6900000000000001E-3</v>
      </c>
      <c r="L521">
        <v>2.8600000000000001E-3</v>
      </c>
      <c r="M521">
        <v>0.245</v>
      </c>
      <c r="N521">
        <v>2.3900000000000001E-2</v>
      </c>
      <c r="O521">
        <v>2.9299999999999999E-3</v>
      </c>
      <c r="P521" s="3">
        <f t="shared" si="32"/>
        <v>1080.0188201055539</v>
      </c>
      <c r="Q521" s="3">
        <f t="shared" si="33"/>
        <v>1.6936691704358964E-3</v>
      </c>
      <c r="R521" s="3">
        <f t="shared" si="34"/>
        <v>2.8600000000000001E-3</v>
      </c>
      <c r="S521">
        <f t="shared" si="35"/>
        <v>9</v>
      </c>
      <c r="T521">
        <f>INDEX([1]IDEN_level_ids!$B:$B,MATCH(G521,[1]IDEN_level_ids!$A:$A,0),1)</f>
        <v>1183</v>
      </c>
      <c r="U521">
        <f>INDEX([1]IDEN_level_ids!$B:$B,MATCH(H521,[1]IDEN_level_ids!$A:$A,0),1)</f>
        <v>744</v>
      </c>
    </row>
    <row r="522" spans="1:21" hidden="1" x14ac:dyDescent="0.25">
      <c r="A522">
        <v>92583.178599999999</v>
      </c>
      <c r="B522">
        <v>1080.1098</v>
      </c>
      <c r="C522">
        <v>4</v>
      </c>
      <c r="D522" t="s">
        <v>277</v>
      </c>
      <c r="F522">
        <v>1969</v>
      </c>
      <c r="G522" s="1" t="s">
        <v>207</v>
      </c>
      <c r="H522" s="1" t="s">
        <v>156</v>
      </c>
      <c r="I522">
        <v>0</v>
      </c>
      <c r="J522">
        <v>92583.356700000004</v>
      </c>
      <c r="K522">
        <v>2.0799999999999998E-3</v>
      </c>
      <c r="L522">
        <v>2.8600000000000001E-3</v>
      </c>
      <c r="M522">
        <v>0.245</v>
      </c>
      <c r="N522">
        <v>9.4899999999999998E-2</v>
      </c>
      <c r="O522">
        <v>3.16E-3</v>
      </c>
      <c r="P522" s="3">
        <f t="shared" si="32"/>
        <v>1080.1098159747132</v>
      </c>
      <c r="Q522" s="3">
        <f t="shared" si="33"/>
        <v>2.0777768822881626E-3</v>
      </c>
      <c r="R522" s="3">
        <f t="shared" si="34"/>
        <v>2.8600000000000001E-3</v>
      </c>
      <c r="S522">
        <f t="shared" si="35"/>
        <v>9</v>
      </c>
      <c r="T522">
        <f>INDEX([1]IDEN_level_ids!$B:$B,MATCH(G522,[1]IDEN_level_ids!$A:$A,0),1)</f>
        <v>1177</v>
      </c>
      <c r="U522">
        <f>INDEX([1]IDEN_level_ids!$B:$B,MATCH(H522,[1]IDEN_level_ids!$A:$A,0),1)</f>
        <v>734</v>
      </c>
    </row>
    <row r="523" spans="1:21" hidden="1" x14ac:dyDescent="0.25">
      <c r="A523">
        <v>92576.578699999998</v>
      </c>
      <c r="B523">
        <v>1080.1867999999999</v>
      </c>
      <c r="C523">
        <v>4</v>
      </c>
      <c r="D523" t="s">
        <v>277</v>
      </c>
      <c r="F523">
        <v>1969</v>
      </c>
      <c r="G523" s="1" t="s">
        <v>76</v>
      </c>
      <c r="H523" s="1" t="s">
        <v>131</v>
      </c>
      <c r="I523">
        <v>0</v>
      </c>
      <c r="J523">
        <v>92576.729300000006</v>
      </c>
      <c r="K523">
        <v>1.7600000000000001E-3</v>
      </c>
      <c r="L523">
        <v>2.8600000000000001E-3</v>
      </c>
      <c r="M523">
        <v>0.245</v>
      </c>
      <c r="N523">
        <v>2.7099999999999999E-2</v>
      </c>
      <c r="O523">
        <v>2.9399999999999999E-3</v>
      </c>
      <c r="P523" s="3">
        <f t="shared" si="32"/>
        <v>1080.1868183534418</v>
      </c>
      <c r="Q523" s="3">
        <f t="shared" si="33"/>
        <v>1.7572033068518067E-3</v>
      </c>
      <c r="R523" s="3">
        <f t="shared" si="34"/>
        <v>2.8600000000000001E-3</v>
      </c>
      <c r="S523">
        <f t="shared" si="35"/>
        <v>9</v>
      </c>
      <c r="T523">
        <f>INDEX([1]IDEN_level_ids!$B:$B,MATCH(G523,[1]IDEN_level_ids!$A:$A,0),1)</f>
        <v>1194</v>
      </c>
      <c r="U523">
        <f>INDEX([1]IDEN_level_ids!$B:$B,MATCH(H523,[1]IDEN_level_ids!$A:$A,0),1)</f>
        <v>764</v>
      </c>
    </row>
    <row r="524" spans="1:21" hidden="1" x14ac:dyDescent="0.25">
      <c r="A524">
        <v>92553.275500000003</v>
      </c>
      <c r="B524">
        <v>1080.4588000000001</v>
      </c>
      <c r="C524">
        <v>4</v>
      </c>
      <c r="D524" t="s">
        <v>277</v>
      </c>
      <c r="F524">
        <v>1969</v>
      </c>
      <c r="G524" s="1" t="s">
        <v>282</v>
      </c>
      <c r="H524" s="1" t="s">
        <v>101</v>
      </c>
      <c r="I524">
        <v>0</v>
      </c>
      <c r="J524">
        <v>92553.310899999997</v>
      </c>
      <c r="K524">
        <v>4.0999999999999999E-4</v>
      </c>
      <c r="L524">
        <v>2.8600000000000001E-3</v>
      </c>
      <c r="M524">
        <v>0.245</v>
      </c>
      <c r="N524">
        <v>0.34610000000000002</v>
      </c>
      <c r="O524">
        <v>4.3699999999999998E-3</v>
      </c>
      <c r="P524" s="3">
        <f t="shared" si="32"/>
        <v>1080.4587893812575</v>
      </c>
      <c r="Q524" s="3">
        <f t="shared" si="33"/>
        <v>4.132563251459942E-4</v>
      </c>
      <c r="R524" s="3">
        <f t="shared" si="34"/>
        <v>2.8600000000000001E-3</v>
      </c>
      <c r="S524">
        <f t="shared" si="35"/>
        <v>9</v>
      </c>
      <c r="T524">
        <f>INDEX([1]IDEN_level_ids!$B:$B,MATCH(G524,[1]IDEN_level_ids!$A:$A,0),1)</f>
        <v>1128</v>
      </c>
      <c r="U524">
        <f>INDEX([1]IDEN_level_ids!$B:$B,MATCH(H524,[1]IDEN_level_ids!$A:$A,0),1)</f>
        <v>539</v>
      </c>
    </row>
    <row r="525" spans="1:21" hidden="1" x14ac:dyDescent="0.25">
      <c r="A525">
        <v>92545.203500000003</v>
      </c>
      <c r="B525">
        <v>1080.5530000000001</v>
      </c>
      <c r="C525">
        <v>4</v>
      </c>
      <c r="D525" t="s">
        <v>277</v>
      </c>
      <c r="F525">
        <v>1969</v>
      </c>
      <c r="G525" s="1" t="s">
        <v>273</v>
      </c>
      <c r="H525" s="1" t="s">
        <v>75</v>
      </c>
      <c r="I525">
        <v>0</v>
      </c>
      <c r="J525">
        <v>92545.175700000007</v>
      </c>
      <c r="K525">
        <v>-3.2000000000000003E-4</v>
      </c>
      <c r="L525">
        <v>2.8600000000000001E-3</v>
      </c>
      <c r="M525">
        <v>0.245</v>
      </c>
      <c r="N525">
        <v>0.25740000000000002</v>
      </c>
      <c r="O525">
        <v>3.8500000000000001E-3</v>
      </c>
      <c r="P525" s="3">
        <f t="shared" si="32"/>
        <v>1080.5530294176726</v>
      </c>
      <c r="Q525" s="3">
        <f t="shared" si="33"/>
        <v>-3.2459146564178809E-4</v>
      </c>
      <c r="R525" s="3">
        <f t="shared" si="34"/>
        <v>2.8600000000000001E-3</v>
      </c>
      <c r="S525">
        <f t="shared" si="35"/>
        <v>9</v>
      </c>
      <c r="T525">
        <f>INDEX([1]IDEN_level_ids!$B:$B,MATCH(G525,[1]IDEN_level_ids!$A:$A,0),1)</f>
        <v>1105</v>
      </c>
      <c r="U525">
        <f>INDEX([1]IDEN_level_ids!$B:$B,MATCH(H525,[1]IDEN_level_ids!$A:$A,0),1)</f>
        <v>487</v>
      </c>
    </row>
    <row r="526" spans="1:21" hidden="1" x14ac:dyDescent="0.25">
      <c r="A526">
        <v>92515.681299999997</v>
      </c>
      <c r="B526">
        <v>1080.8978</v>
      </c>
      <c r="C526">
        <v>4</v>
      </c>
      <c r="D526" t="s">
        <v>277</v>
      </c>
      <c r="F526">
        <v>1969</v>
      </c>
      <c r="G526" s="1" t="s">
        <v>245</v>
      </c>
      <c r="H526" s="1" t="s">
        <v>99</v>
      </c>
      <c r="I526">
        <v>0</v>
      </c>
      <c r="J526">
        <v>92515.698900000003</v>
      </c>
      <c r="K526">
        <v>2.1000000000000001E-4</v>
      </c>
      <c r="L526">
        <v>2.8600000000000001E-3</v>
      </c>
      <c r="M526">
        <v>0.245</v>
      </c>
      <c r="N526">
        <v>2.86E-2</v>
      </c>
      <c r="O526">
        <v>2.9499999999999999E-3</v>
      </c>
      <c r="P526" s="3">
        <f t="shared" si="32"/>
        <v>1080.8978390996294</v>
      </c>
      <c r="Q526" s="3">
        <f t="shared" si="33"/>
        <v>2.056278251529875E-4</v>
      </c>
      <c r="R526" s="3">
        <f t="shared" si="34"/>
        <v>2.8600000000000001E-3</v>
      </c>
      <c r="S526">
        <f t="shared" si="35"/>
        <v>9</v>
      </c>
      <c r="T526">
        <f>INDEX([1]IDEN_level_ids!$B:$B,MATCH(G526,[1]IDEN_level_ids!$A:$A,0),1)</f>
        <v>1169</v>
      </c>
      <c r="U526">
        <f>INDEX([1]IDEN_level_ids!$B:$B,MATCH(H526,[1]IDEN_level_ids!$A:$A,0),1)</f>
        <v>689</v>
      </c>
    </row>
    <row r="527" spans="1:21" hidden="1" x14ac:dyDescent="0.25">
      <c r="A527">
        <v>92488.983099999998</v>
      </c>
      <c r="B527">
        <v>1081.2099000000001</v>
      </c>
      <c r="C527">
        <v>4</v>
      </c>
      <c r="D527" t="s">
        <v>277</v>
      </c>
      <c r="F527">
        <v>1969</v>
      </c>
      <c r="G527" s="1" t="s">
        <v>180</v>
      </c>
      <c r="H527" s="1" t="s">
        <v>191</v>
      </c>
      <c r="I527">
        <v>0</v>
      </c>
      <c r="J527">
        <v>92488.894799999995</v>
      </c>
      <c r="K527">
        <v>-1.0300000000000001E-3</v>
      </c>
      <c r="L527">
        <v>2.8600000000000001E-3</v>
      </c>
      <c r="M527">
        <v>0.245</v>
      </c>
      <c r="N527">
        <v>4.1099999999999998E-2</v>
      </c>
      <c r="O527">
        <v>2.99E-3</v>
      </c>
      <c r="P527" s="3">
        <f t="shared" si="32"/>
        <v>1081.2098549281163</v>
      </c>
      <c r="Q527" s="3">
        <f t="shared" si="33"/>
        <v>-1.0322410100798152E-3</v>
      </c>
      <c r="R527" s="3">
        <f t="shared" si="34"/>
        <v>2.8600000000000001E-3</v>
      </c>
      <c r="S527">
        <f t="shared" si="35"/>
        <v>9</v>
      </c>
      <c r="T527">
        <f>INDEX([1]IDEN_level_ids!$B:$B,MATCH(G527,[1]IDEN_level_ids!$A:$A,0),1)</f>
        <v>1184</v>
      </c>
      <c r="U527">
        <f>INDEX([1]IDEN_level_ids!$B:$B,MATCH(H527,[1]IDEN_level_ids!$A:$A,0),1)</f>
        <v>749</v>
      </c>
    </row>
    <row r="528" spans="1:21" hidden="1" x14ac:dyDescent="0.25">
      <c r="A528">
        <v>92485.387300000002</v>
      </c>
      <c r="B528">
        <v>1081.2519</v>
      </c>
      <c r="C528">
        <v>4</v>
      </c>
      <c r="D528" t="s">
        <v>277</v>
      </c>
      <c r="F528">
        <v>1969</v>
      </c>
      <c r="G528" s="1" t="s">
        <v>38</v>
      </c>
      <c r="H528" s="1" t="s">
        <v>124</v>
      </c>
      <c r="I528">
        <v>0</v>
      </c>
      <c r="J528">
        <v>92485.440000000002</v>
      </c>
      <c r="K528">
        <v>6.2E-4</v>
      </c>
      <c r="L528">
        <v>2.8600000000000001E-3</v>
      </c>
      <c r="M528">
        <v>0.245</v>
      </c>
      <c r="N528">
        <v>1.6299999999999999E-2</v>
      </c>
      <c r="O528">
        <v>2.9099999999999998E-3</v>
      </c>
      <c r="P528" s="3">
        <f t="shared" si="32"/>
        <v>1081.2518919948341</v>
      </c>
      <c r="Q528" s="3">
        <f t="shared" si="33"/>
        <v>6.1611832848029735E-4</v>
      </c>
      <c r="R528" s="3">
        <f t="shared" si="34"/>
        <v>2.8600000000000001E-3</v>
      </c>
      <c r="S528">
        <f t="shared" si="35"/>
        <v>9</v>
      </c>
      <c r="T528">
        <f>INDEX([1]IDEN_level_ids!$B:$B,MATCH(G528,[1]IDEN_level_ids!$A:$A,0),1)</f>
        <v>1201</v>
      </c>
      <c r="U528">
        <f>INDEX([1]IDEN_level_ids!$B:$B,MATCH(H528,[1]IDEN_level_ids!$A:$A,0),1)</f>
        <v>776</v>
      </c>
    </row>
    <row r="529" spans="1:21" hidden="1" x14ac:dyDescent="0.25">
      <c r="A529">
        <v>92476.490300000005</v>
      </c>
      <c r="B529">
        <v>1081.3559</v>
      </c>
      <c r="C529">
        <v>4</v>
      </c>
      <c r="D529" t="s">
        <v>277</v>
      </c>
      <c r="F529">
        <v>1969</v>
      </c>
      <c r="G529" s="1" t="s">
        <v>283</v>
      </c>
      <c r="H529" s="1" t="s">
        <v>219</v>
      </c>
      <c r="I529">
        <v>0</v>
      </c>
      <c r="J529">
        <v>92476.668799999999</v>
      </c>
      <c r="K529">
        <v>2.0899999999999998E-3</v>
      </c>
      <c r="L529">
        <v>2.8600000000000001E-3</v>
      </c>
      <c r="M529">
        <v>0.245</v>
      </c>
      <c r="N529">
        <v>0.20480000000000001</v>
      </c>
      <c r="O529">
        <v>3.5999999999999999E-3</v>
      </c>
      <c r="P529" s="3">
        <f t="shared" si="32"/>
        <v>1081.3559173319968</v>
      </c>
      <c r="Q529" s="3">
        <f t="shared" si="33"/>
        <v>2.0872511277048034E-3</v>
      </c>
      <c r="R529" s="3">
        <f t="shared" si="34"/>
        <v>2.8600000000000001E-3</v>
      </c>
      <c r="S529">
        <f t="shared" si="35"/>
        <v>9</v>
      </c>
      <c r="T529">
        <f>INDEX([1]IDEN_level_ids!$B:$B,MATCH(G529,[1]IDEN_level_ids!$A:$A,0),1)</f>
        <v>1178</v>
      </c>
      <c r="U529">
        <f>INDEX([1]IDEN_level_ids!$B:$B,MATCH(H529,[1]IDEN_level_ids!$A:$A,0),1)</f>
        <v>738</v>
      </c>
    </row>
    <row r="530" spans="1:21" hidden="1" x14ac:dyDescent="0.25">
      <c r="A530">
        <v>92457.825299999997</v>
      </c>
      <c r="B530">
        <v>1081.5742</v>
      </c>
      <c r="C530">
        <v>4</v>
      </c>
      <c r="D530" t="s">
        <v>277</v>
      </c>
      <c r="F530">
        <v>1969</v>
      </c>
      <c r="G530" s="1" t="s">
        <v>180</v>
      </c>
      <c r="H530" s="1" t="s">
        <v>231</v>
      </c>
      <c r="I530">
        <v>0</v>
      </c>
      <c r="J530">
        <v>92457.971999999994</v>
      </c>
      <c r="K530">
        <v>1.72E-3</v>
      </c>
      <c r="L530">
        <v>2.8700000000000002E-3</v>
      </c>
      <c r="M530">
        <v>0.245</v>
      </c>
      <c r="N530">
        <v>0.25419999999999998</v>
      </c>
      <c r="O530">
        <v>3.8400000000000001E-3</v>
      </c>
      <c r="P530" s="3">
        <f t="shared" si="32"/>
        <v>1081.5742169527321</v>
      </c>
      <c r="Q530" s="3">
        <f t="shared" si="33"/>
        <v>1.7160979652999231E-3</v>
      </c>
      <c r="R530" s="3">
        <f t="shared" si="34"/>
        <v>2.8700000000000002E-3</v>
      </c>
      <c r="S530">
        <f t="shared" si="35"/>
        <v>9</v>
      </c>
      <c r="T530">
        <f>INDEX([1]IDEN_level_ids!$B:$B,MATCH(G530,[1]IDEN_level_ids!$A:$A,0),1)</f>
        <v>1184</v>
      </c>
      <c r="U530">
        <f>INDEX([1]IDEN_level_ids!$B:$B,MATCH(H530,[1]IDEN_level_ids!$A:$A,0),1)</f>
        <v>751</v>
      </c>
    </row>
    <row r="531" spans="1:21" hidden="1" x14ac:dyDescent="0.25">
      <c r="A531">
        <v>92443.124800000005</v>
      </c>
      <c r="B531">
        <v>1081.7462</v>
      </c>
      <c r="C531">
        <v>4</v>
      </c>
      <c r="D531" t="s">
        <v>277</v>
      </c>
      <c r="F531">
        <v>1969</v>
      </c>
      <c r="G531" s="1" t="s">
        <v>243</v>
      </c>
      <c r="H531" s="1" t="s">
        <v>249</v>
      </c>
      <c r="I531">
        <v>0</v>
      </c>
      <c r="J531">
        <v>92443.298200000005</v>
      </c>
      <c r="K531">
        <v>2.0300000000000001E-3</v>
      </c>
      <c r="L531">
        <v>2.8700000000000002E-3</v>
      </c>
      <c r="M531">
        <v>0.245</v>
      </c>
      <c r="N531">
        <v>2.18E-2</v>
      </c>
      <c r="O531">
        <v>2.9299999999999999E-3</v>
      </c>
      <c r="P531" s="3">
        <f t="shared" si="32"/>
        <v>1081.7462111579334</v>
      </c>
      <c r="Q531" s="3">
        <f t="shared" si="33"/>
        <v>2.0290794104766974E-3</v>
      </c>
      <c r="R531" s="3">
        <f t="shared" si="34"/>
        <v>2.8700000000000002E-3</v>
      </c>
      <c r="S531">
        <f t="shared" si="35"/>
        <v>9</v>
      </c>
      <c r="T531">
        <f>INDEX([1]IDEN_level_ids!$B:$B,MATCH(G531,[1]IDEN_level_ids!$A:$A,0),1)</f>
        <v>1205</v>
      </c>
      <c r="U531">
        <f>INDEX([1]IDEN_level_ids!$B:$B,MATCH(H531,[1]IDEN_level_ids!$A:$A,0),1)</f>
        <v>784</v>
      </c>
    </row>
    <row r="532" spans="1:21" hidden="1" x14ac:dyDescent="0.25">
      <c r="A532">
        <v>92437.917499999996</v>
      </c>
      <c r="B532">
        <v>1081.8071</v>
      </c>
      <c r="C532">
        <v>4</v>
      </c>
      <c r="D532" t="s">
        <v>277</v>
      </c>
      <c r="F532">
        <v>1969</v>
      </c>
      <c r="G532" s="1" t="s">
        <v>238</v>
      </c>
      <c r="H532" s="1" t="s">
        <v>142</v>
      </c>
      <c r="I532">
        <v>0</v>
      </c>
      <c r="J532">
        <v>92437.974300000002</v>
      </c>
      <c r="K532">
        <v>6.6E-4</v>
      </c>
      <c r="L532">
        <v>2.8700000000000002E-3</v>
      </c>
      <c r="M532">
        <v>0.245</v>
      </c>
      <c r="N532">
        <v>2.3400000000000001E-2</v>
      </c>
      <c r="O532">
        <v>2.9399999999999999E-3</v>
      </c>
      <c r="P532" s="3">
        <f t="shared" si="32"/>
        <v>1081.8071491063179</v>
      </c>
      <c r="Q532" s="3">
        <f t="shared" si="33"/>
        <v>6.6473380184106645E-4</v>
      </c>
      <c r="R532" s="3">
        <f t="shared" si="34"/>
        <v>2.8700000000000002E-3</v>
      </c>
      <c r="S532">
        <f t="shared" si="35"/>
        <v>9</v>
      </c>
      <c r="T532">
        <f>INDEX([1]IDEN_level_ids!$B:$B,MATCH(G532,[1]IDEN_level_ids!$A:$A,0),1)</f>
        <v>1165</v>
      </c>
      <c r="U532">
        <f>INDEX([1]IDEN_level_ids!$B:$B,MATCH(H532,[1]IDEN_level_ids!$A:$A,0),1)</f>
        <v>682</v>
      </c>
    </row>
    <row r="533" spans="1:21" hidden="1" x14ac:dyDescent="0.25">
      <c r="A533">
        <v>92383.426999999996</v>
      </c>
      <c r="B533">
        <v>1082.4452000000001</v>
      </c>
      <c r="C533">
        <v>4</v>
      </c>
      <c r="D533" t="s">
        <v>277</v>
      </c>
      <c r="F533">
        <v>1969</v>
      </c>
      <c r="G533" s="1" t="s">
        <v>239</v>
      </c>
      <c r="H533" s="1" t="s">
        <v>136</v>
      </c>
      <c r="I533">
        <v>0</v>
      </c>
      <c r="J533">
        <v>92383.598899999997</v>
      </c>
      <c r="K533">
        <v>2.0100000000000001E-3</v>
      </c>
      <c r="L533">
        <v>2.8700000000000002E-3</v>
      </c>
      <c r="M533">
        <v>0.245</v>
      </c>
      <c r="N533">
        <v>9.8000000000000004E-2</v>
      </c>
      <c r="O533">
        <v>3.1800000000000001E-3</v>
      </c>
      <c r="P533" s="3">
        <f t="shared" si="32"/>
        <v>1082.4452312209635</v>
      </c>
      <c r="Q533" s="3">
        <f t="shared" si="33"/>
        <v>2.0141273716944852E-3</v>
      </c>
      <c r="R533" s="3">
        <f t="shared" si="34"/>
        <v>2.8700000000000002E-3</v>
      </c>
      <c r="S533">
        <f t="shared" si="35"/>
        <v>9</v>
      </c>
      <c r="T533">
        <f>INDEX([1]IDEN_level_ids!$B:$B,MATCH(G533,[1]IDEN_level_ids!$A:$A,0),1)</f>
        <v>1167</v>
      </c>
      <c r="U533">
        <f>INDEX([1]IDEN_level_ids!$B:$B,MATCH(H533,[1]IDEN_level_ids!$A:$A,0),1)</f>
        <v>700</v>
      </c>
    </row>
    <row r="534" spans="1:21" hidden="1" x14ac:dyDescent="0.25">
      <c r="A534">
        <v>92361.369399999996</v>
      </c>
      <c r="B534">
        <v>1082.7037</v>
      </c>
      <c r="C534">
        <v>4</v>
      </c>
      <c r="D534" t="s">
        <v>277</v>
      </c>
      <c r="F534">
        <v>1969</v>
      </c>
      <c r="G534" s="1" t="s">
        <v>62</v>
      </c>
      <c r="H534" s="1" t="s">
        <v>158</v>
      </c>
      <c r="I534">
        <v>0</v>
      </c>
      <c r="J534">
        <v>92361.482799999998</v>
      </c>
      <c r="K534">
        <v>1.33E-3</v>
      </c>
      <c r="L534">
        <v>2.8700000000000002E-3</v>
      </c>
      <c r="M534">
        <v>0.245</v>
      </c>
      <c r="N534">
        <v>2.2700000000000001E-2</v>
      </c>
      <c r="O534">
        <v>2.9399999999999999E-3</v>
      </c>
      <c r="P534" s="3">
        <f t="shared" si="32"/>
        <v>1082.7037391240758</v>
      </c>
      <c r="Q534" s="3">
        <f t="shared" si="33"/>
        <v>1.3293269043970213E-3</v>
      </c>
      <c r="R534" s="3">
        <f t="shared" si="34"/>
        <v>2.8700000000000002E-3</v>
      </c>
      <c r="S534">
        <f t="shared" si="35"/>
        <v>9</v>
      </c>
      <c r="T534">
        <f>INDEX([1]IDEN_level_ids!$B:$B,MATCH(G534,[1]IDEN_level_ids!$A:$A,0),1)</f>
        <v>1203</v>
      </c>
      <c r="U534">
        <f>INDEX([1]IDEN_level_ids!$B:$B,MATCH(H534,[1]IDEN_level_ids!$A:$A,0),1)</f>
        <v>779</v>
      </c>
    </row>
    <row r="535" spans="1:21" hidden="1" x14ac:dyDescent="0.25">
      <c r="A535">
        <v>92346.229200000002</v>
      </c>
      <c r="B535">
        <v>1082.8812</v>
      </c>
      <c r="C535">
        <v>4</v>
      </c>
      <c r="D535" t="s">
        <v>277</v>
      </c>
      <c r="F535">
        <v>1969</v>
      </c>
      <c r="G535" s="1" t="s">
        <v>284</v>
      </c>
      <c r="H535" s="1" t="s">
        <v>96</v>
      </c>
      <c r="I535">
        <v>0</v>
      </c>
      <c r="J535">
        <v>92346.268500000006</v>
      </c>
      <c r="K535">
        <v>4.6000000000000001E-4</v>
      </c>
      <c r="L535">
        <v>2.8700000000000002E-3</v>
      </c>
      <c r="M535">
        <v>0.245</v>
      </c>
      <c r="N535">
        <v>6.0199999999999997E-2</v>
      </c>
      <c r="O535">
        <v>3.0599999999999998E-3</v>
      </c>
      <c r="P535" s="3">
        <f t="shared" si="32"/>
        <v>1082.8812488209319</v>
      </c>
      <c r="Q535" s="3">
        <f t="shared" si="33"/>
        <v>4.6084410109870078E-4</v>
      </c>
      <c r="R535" s="3">
        <f t="shared" si="34"/>
        <v>2.8700000000000002E-3</v>
      </c>
      <c r="S535">
        <f t="shared" si="35"/>
        <v>9</v>
      </c>
      <c r="T535">
        <f>INDEX([1]IDEN_level_ids!$B:$B,MATCH(G535,[1]IDEN_level_ids!$A:$A,0),1)</f>
        <v>1103</v>
      </c>
      <c r="U535">
        <f>INDEX([1]IDEN_level_ids!$B:$B,MATCH(H535,[1]IDEN_level_ids!$A:$A,0),1)</f>
        <v>466</v>
      </c>
    </row>
    <row r="536" spans="1:21" hidden="1" x14ac:dyDescent="0.25">
      <c r="A536">
        <v>92336.010500000004</v>
      </c>
      <c r="B536">
        <v>1083.0011</v>
      </c>
      <c r="C536">
        <v>4</v>
      </c>
      <c r="D536" t="s">
        <v>277</v>
      </c>
      <c r="F536">
        <v>1969</v>
      </c>
      <c r="G536" s="1" t="s">
        <v>38</v>
      </c>
      <c r="H536" s="1" t="s">
        <v>198</v>
      </c>
      <c r="I536">
        <v>0</v>
      </c>
      <c r="J536">
        <v>92336.027199999997</v>
      </c>
      <c r="K536">
        <v>2.0000000000000001E-4</v>
      </c>
      <c r="L536">
        <v>2.8700000000000002E-3</v>
      </c>
      <c r="M536">
        <v>0.245</v>
      </c>
      <c r="N536">
        <v>1.9300000000000001E-2</v>
      </c>
      <c r="O536">
        <v>2.9299999999999999E-3</v>
      </c>
      <c r="P536" s="3">
        <f t="shared" si="32"/>
        <v>1083.0010898077517</v>
      </c>
      <c r="Q536" s="3">
        <f t="shared" si="33"/>
        <v>1.9587282167776721E-4</v>
      </c>
      <c r="R536" s="3">
        <f t="shared" si="34"/>
        <v>2.8700000000000002E-3</v>
      </c>
      <c r="S536">
        <f t="shared" si="35"/>
        <v>9</v>
      </c>
      <c r="T536">
        <f>INDEX([1]IDEN_level_ids!$B:$B,MATCH(G536,[1]IDEN_level_ids!$A:$A,0),1)</f>
        <v>1201</v>
      </c>
      <c r="U536">
        <f>INDEX([1]IDEN_level_ids!$B:$B,MATCH(H536,[1]IDEN_level_ids!$A:$A,0),1)</f>
        <v>780</v>
      </c>
    </row>
    <row r="537" spans="1:21" hidden="1" x14ac:dyDescent="0.25">
      <c r="A537">
        <v>92306.424700000003</v>
      </c>
      <c r="B537">
        <v>1083.3481999999999</v>
      </c>
      <c r="C537">
        <v>4</v>
      </c>
      <c r="D537" t="s">
        <v>277</v>
      </c>
      <c r="F537">
        <v>1969</v>
      </c>
      <c r="G537" s="1" t="s">
        <v>285</v>
      </c>
      <c r="H537" s="1" t="s">
        <v>167</v>
      </c>
      <c r="I537">
        <v>0</v>
      </c>
      <c r="J537">
        <v>92306.506399999998</v>
      </c>
      <c r="K537">
        <v>9.6000000000000002E-4</v>
      </c>
      <c r="L537">
        <v>2.8800000000000002E-3</v>
      </c>
      <c r="M537">
        <v>0.245</v>
      </c>
      <c r="N537">
        <v>0.16569999999999999</v>
      </c>
      <c r="O537">
        <v>3.4499999999999999E-3</v>
      </c>
      <c r="P537" s="3">
        <f t="shared" si="32"/>
        <v>1083.3482103223525</v>
      </c>
      <c r="Q537" s="3">
        <f t="shared" si="33"/>
        <v>9.5886576400516788E-4</v>
      </c>
      <c r="R537" s="3">
        <f t="shared" si="34"/>
        <v>2.8800000000000002E-3</v>
      </c>
      <c r="S537">
        <f t="shared" si="35"/>
        <v>9</v>
      </c>
      <c r="T537">
        <f>INDEX([1]IDEN_level_ids!$B:$B,MATCH(G537,[1]IDEN_level_ids!$A:$A,0),1)</f>
        <v>1150</v>
      </c>
      <c r="U537">
        <f>INDEX([1]IDEN_level_ids!$B:$B,MATCH(H537,[1]IDEN_level_ids!$A:$A,0),1)</f>
        <v>628</v>
      </c>
    </row>
    <row r="538" spans="1:21" hidden="1" x14ac:dyDescent="0.25">
      <c r="A538">
        <v>92302.604999999996</v>
      </c>
      <c r="B538">
        <v>1083.393</v>
      </c>
      <c r="C538">
        <v>4</v>
      </c>
      <c r="D538" t="s">
        <v>277</v>
      </c>
      <c r="F538">
        <v>1969</v>
      </c>
      <c r="G538" s="1" t="s">
        <v>77</v>
      </c>
      <c r="H538" s="1" t="s">
        <v>237</v>
      </c>
      <c r="I538">
        <v>0</v>
      </c>
      <c r="J538">
        <v>92302.913100000005</v>
      </c>
      <c r="K538">
        <v>3.62E-3</v>
      </c>
      <c r="L538">
        <v>2.8800000000000002E-3</v>
      </c>
      <c r="M538">
        <v>0.245</v>
      </c>
      <c r="N538">
        <v>4.4600000000000001E-2</v>
      </c>
      <c r="O538">
        <v>3.0100000000000001E-3</v>
      </c>
      <c r="P538" s="3">
        <f t="shared" si="32"/>
        <v>1083.3930418323514</v>
      </c>
      <c r="Q538" s="3">
        <f t="shared" si="33"/>
        <v>3.6162823575978109E-3</v>
      </c>
      <c r="R538" s="3">
        <f t="shared" si="34"/>
        <v>2.8800000000000002E-3</v>
      </c>
      <c r="S538">
        <f t="shared" si="35"/>
        <v>9</v>
      </c>
      <c r="T538">
        <f>INDEX([1]IDEN_level_ids!$B:$B,MATCH(G538,[1]IDEN_level_ids!$A:$A,0),1)</f>
        <v>1197</v>
      </c>
      <c r="U538">
        <f>INDEX([1]IDEN_level_ids!$B:$B,MATCH(H538,[1]IDEN_level_ids!$A:$A,0),1)</f>
        <v>773</v>
      </c>
    </row>
    <row r="539" spans="1:21" hidden="1" x14ac:dyDescent="0.25">
      <c r="A539">
        <v>92276.709099999993</v>
      </c>
      <c r="B539">
        <v>1083.6971000000001</v>
      </c>
      <c r="C539">
        <v>4</v>
      </c>
      <c r="D539" t="s">
        <v>277</v>
      </c>
      <c r="F539">
        <v>1969</v>
      </c>
      <c r="G539" s="1" t="s">
        <v>216</v>
      </c>
      <c r="H539" s="1" t="s">
        <v>144</v>
      </c>
      <c r="I539">
        <v>0</v>
      </c>
      <c r="J539">
        <v>92276.760299999994</v>
      </c>
      <c r="K539">
        <v>5.9999999999999995E-4</v>
      </c>
      <c r="L539">
        <v>2.8800000000000002E-3</v>
      </c>
      <c r="M539">
        <v>0.245</v>
      </c>
      <c r="N539">
        <v>0.14729999999999999</v>
      </c>
      <c r="O539">
        <v>3.3700000000000002E-3</v>
      </c>
      <c r="P539" s="3">
        <f t="shared" si="32"/>
        <v>1083.697077792732</v>
      </c>
      <c r="Q539" s="3">
        <f t="shared" si="33"/>
        <v>6.0129213670734316E-4</v>
      </c>
      <c r="R539" s="3">
        <f t="shared" si="34"/>
        <v>2.8800000000000002E-3</v>
      </c>
      <c r="S539">
        <f t="shared" si="35"/>
        <v>9</v>
      </c>
      <c r="T539">
        <f>INDEX([1]IDEN_level_ids!$B:$B,MATCH(G539,[1]IDEN_level_ids!$A:$A,0),1)</f>
        <v>1170</v>
      </c>
      <c r="U539">
        <f>INDEX([1]IDEN_level_ids!$B:$B,MATCH(H539,[1]IDEN_level_ids!$A:$A,0),1)</f>
        <v>721</v>
      </c>
    </row>
    <row r="540" spans="1:21" hidden="1" x14ac:dyDescent="0.25">
      <c r="A540">
        <v>92272.433900000004</v>
      </c>
      <c r="B540">
        <v>1083.7473</v>
      </c>
      <c r="C540">
        <v>4</v>
      </c>
      <c r="D540" t="s">
        <v>277</v>
      </c>
      <c r="F540">
        <v>1969</v>
      </c>
      <c r="G540" s="1" t="s">
        <v>212</v>
      </c>
      <c r="H540" s="1" t="s">
        <v>286</v>
      </c>
      <c r="I540">
        <v>0</v>
      </c>
      <c r="J540">
        <v>92272.619600000005</v>
      </c>
      <c r="K540">
        <v>2.1800000000000001E-3</v>
      </c>
      <c r="L540">
        <v>2.8800000000000002E-3</v>
      </c>
      <c r="M540">
        <v>0.245</v>
      </c>
      <c r="N540">
        <v>0.2049</v>
      </c>
      <c r="O540">
        <v>3.62E-3</v>
      </c>
      <c r="P540" s="3">
        <f t="shared" si="32"/>
        <v>1083.747288040269</v>
      </c>
      <c r="Q540" s="3">
        <f t="shared" si="33"/>
        <v>2.1810573086895602E-3</v>
      </c>
      <c r="R540" s="3">
        <f t="shared" si="34"/>
        <v>2.8800000000000002E-3</v>
      </c>
      <c r="S540">
        <f t="shared" si="35"/>
        <v>9</v>
      </c>
      <c r="T540">
        <f>INDEX([1]IDEN_level_ids!$B:$B,MATCH(G540,[1]IDEN_level_ids!$A:$A,0),1)</f>
        <v>1123</v>
      </c>
      <c r="U540">
        <f>INDEX([1]IDEN_level_ids!$B:$B,MATCH(H540,[1]IDEN_level_ids!$A:$A,0),1)</f>
        <v>532</v>
      </c>
    </row>
    <row r="541" spans="1:21" hidden="1" x14ac:dyDescent="0.25">
      <c r="A541">
        <v>92261.486300000004</v>
      </c>
      <c r="B541">
        <v>1083.8759</v>
      </c>
      <c r="C541">
        <v>4</v>
      </c>
      <c r="D541" t="s">
        <v>277</v>
      </c>
      <c r="F541">
        <v>1969</v>
      </c>
      <c r="G541" s="1" t="s">
        <v>38</v>
      </c>
      <c r="H541" s="1" t="s">
        <v>202</v>
      </c>
      <c r="I541">
        <v>0</v>
      </c>
      <c r="J541">
        <v>92261.902400000006</v>
      </c>
      <c r="K541">
        <v>4.8900000000000002E-3</v>
      </c>
      <c r="L541">
        <v>2.8800000000000002E-3</v>
      </c>
      <c r="M541">
        <v>0.245</v>
      </c>
      <c r="N541">
        <v>3.8399999999999997E-2</v>
      </c>
      <c r="O541">
        <v>2.99E-3</v>
      </c>
      <c r="P541" s="3">
        <f t="shared" si="32"/>
        <v>1083.8758837554083</v>
      </c>
      <c r="Q541" s="3">
        <f t="shared" si="33"/>
        <v>4.8882663754739042E-3</v>
      </c>
      <c r="R541" s="3">
        <f t="shared" si="34"/>
        <v>2.8800000000000002E-3</v>
      </c>
      <c r="S541">
        <f t="shared" si="35"/>
        <v>9</v>
      </c>
      <c r="T541">
        <f>INDEX([1]IDEN_level_ids!$B:$B,MATCH(G541,[1]IDEN_level_ids!$A:$A,0),1)</f>
        <v>1201</v>
      </c>
      <c r="U541">
        <f>INDEX([1]IDEN_level_ids!$B:$B,MATCH(H541,[1]IDEN_level_ids!$A:$A,0),1)</f>
        <v>781</v>
      </c>
    </row>
    <row r="542" spans="1:21" hidden="1" x14ac:dyDescent="0.25">
      <c r="A542">
        <v>92244.888800000001</v>
      </c>
      <c r="B542">
        <v>1084.0708999999999</v>
      </c>
      <c r="C542">
        <v>4</v>
      </c>
      <c r="D542" t="s">
        <v>277</v>
      </c>
      <c r="F542">
        <v>1969</v>
      </c>
      <c r="G542" s="1" t="s">
        <v>40</v>
      </c>
      <c r="H542" s="1" t="s">
        <v>124</v>
      </c>
      <c r="I542">
        <v>0</v>
      </c>
      <c r="J542">
        <v>92245.177899999995</v>
      </c>
      <c r="K542">
        <v>3.3999999999999998E-3</v>
      </c>
      <c r="L542">
        <v>2.8800000000000002E-3</v>
      </c>
      <c r="M542">
        <v>0.245</v>
      </c>
      <c r="N542">
        <v>1.54E-2</v>
      </c>
      <c r="O542">
        <v>2.9199999999999999E-3</v>
      </c>
      <c r="P542" s="3">
        <f t="shared" si="32"/>
        <v>1084.0709040997835</v>
      </c>
      <c r="Q542" s="3">
        <f t="shared" si="33"/>
        <v>3.3975206672494096E-3</v>
      </c>
      <c r="R542" s="3">
        <f t="shared" si="34"/>
        <v>2.8800000000000002E-3</v>
      </c>
      <c r="S542">
        <f t="shared" si="35"/>
        <v>9</v>
      </c>
      <c r="T542">
        <f>INDEX([1]IDEN_level_ids!$B:$B,MATCH(G542,[1]IDEN_level_ids!$A:$A,0),1)</f>
        <v>1199</v>
      </c>
      <c r="U542">
        <f>INDEX([1]IDEN_level_ids!$B:$B,MATCH(H542,[1]IDEN_level_ids!$A:$A,0),1)</f>
        <v>776</v>
      </c>
    </row>
    <row r="543" spans="1:21" hidden="1" x14ac:dyDescent="0.25">
      <c r="A543">
        <v>92237.578800000003</v>
      </c>
      <c r="B543">
        <v>1084.1568</v>
      </c>
      <c r="C543">
        <v>4</v>
      </c>
      <c r="D543" t="s">
        <v>277</v>
      </c>
      <c r="F543">
        <v>1969</v>
      </c>
      <c r="G543" s="1" t="s">
        <v>216</v>
      </c>
      <c r="H543" s="1" t="s">
        <v>145</v>
      </c>
      <c r="I543">
        <v>0</v>
      </c>
      <c r="J543">
        <v>92237.522100000002</v>
      </c>
      <c r="K543">
        <v>-6.7000000000000002E-4</v>
      </c>
      <c r="L543">
        <v>2.8800000000000002E-3</v>
      </c>
      <c r="M543">
        <v>0.245</v>
      </c>
      <c r="N543">
        <v>0.1244</v>
      </c>
      <c r="O543">
        <v>3.29E-3</v>
      </c>
      <c r="P543" s="3">
        <f t="shared" si="32"/>
        <v>1084.1568187390451</v>
      </c>
      <c r="Q543" s="3">
        <f t="shared" si="33"/>
        <v>-6.6644994603848318E-4</v>
      </c>
      <c r="R543" s="3">
        <f t="shared" si="34"/>
        <v>2.8800000000000002E-3</v>
      </c>
      <c r="S543">
        <f t="shared" si="35"/>
        <v>9</v>
      </c>
      <c r="T543">
        <f>INDEX([1]IDEN_level_ids!$B:$B,MATCH(G543,[1]IDEN_level_ids!$A:$A,0),1)</f>
        <v>1170</v>
      </c>
      <c r="U543">
        <f>INDEX([1]IDEN_level_ids!$B:$B,MATCH(H543,[1]IDEN_level_ids!$A:$A,0),1)</f>
        <v>720</v>
      </c>
    </row>
    <row r="544" spans="1:21" hidden="1" x14ac:dyDescent="0.25">
      <c r="A544">
        <v>92215.428100000005</v>
      </c>
      <c r="B544">
        <v>1084.4172000000001</v>
      </c>
      <c r="C544">
        <v>4</v>
      </c>
      <c r="D544" t="s">
        <v>277</v>
      </c>
      <c r="F544">
        <v>1969</v>
      </c>
      <c r="G544" s="1" t="s">
        <v>284</v>
      </c>
      <c r="H544" s="1" t="s">
        <v>287</v>
      </c>
      <c r="I544">
        <v>0</v>
      </c>
      <c r="J544">
        <v>92215.4758</v>
      </c>
      <c r="K544">
        <v>5.5999999999999995E-4</v>
      </c>
      <c r="L544">
        <v>2.8800000000000002E-3</v>
      </c>
      <c r="M544">
        <v>0.245</v>
      </c>
      <c r="N544">
        <v>1</v>
      </c>
      <c r="P544" s="3">
        <f t="shared" si="32"/>
        <v>1084.4172397221673</v>
      </c>
      <c r="Q544" s="3">
        <f t="shared" si="33"/>
        <v>5.6093298735504504E-4</v>
      </c>
      <c r="R544" s="3">
        <f t="shared" si="34"/>
        <v>2.8800000000000002E-3</v>
      </c>
      <c r="S544">
        <f t="shared" si="35"/>
        <v>9</v>
      </c>
      <c r="T544">
        <f>INDEX([1]IDEN_level_ids!$B:$B,MATCH(G544,[1]IDEN_level_ids!$A:$A,0),1)</f>
        <v>1103</v>
      </c>
      <c r="U544">
        <f>INDEX([1]IDEN_level_ids!$B:$B,MATCH(H544,[1]IDEN_level_ids!$A:$A,0),1)</f>
        <v>470</v>
      </c>
    </row>
    <row r="545" spans="1:21" hidden="1" x14ac:dyDescent="0.25">
      <c r="A545">
        <v>92167.921700000006</v>
      </c>
      <c r="B545">
        <v>1084.9762000000001</v>
      </c>
      <c r="C545">
        <v>4</v>
      </c>
      <c r="D545" t="s">
        <v>277</v>
      </c>
      <c r="F545">
        <v>1969</v>
      </c>
      <c r="G545" s="1" t="s">
        <v>288</v>
      </c>
      <c r="H545" s="1" t="s">
        <v>105</v>
      </c>
      <c r="I545">
        <v>0</v>
      </c>
      <c r="J545">
        <v>92168.139899999995</v>
      </c>
      <c r="K545">
        <v>2.5699999999999998E-3</v>
      </c>
      <c r="L545">
        <v>2.8800000000000002E-3</v>
      </c>
      <c r="M545">
        <v>0.245</v>
      </c>
      <c r="N545">
        <v>0.13070000000000001</v>
      </c>
      <c r="O545">
        <v>3.32E-3</v>
      </c>
      <c r="P545" s="3">
        <f t="shared" si="32"/>
        <v>1084.9761842899404</v>
      </c>
      <c r="Q545" s="3">
        <f t="shared" si="33"/>
        <v>2.5685861041893077E-3</v>
      </c>
      <c r="R545" s="3">
        <f t="shared" si="34"/>
        <v>2.8800000000000002E-3</v>
      </c>
      <c r="S545">
        <f t="shared" si="35"/>
        <v>9</v>
      </c>
      <c r="T545">
        <f>INDEX([1]IDEN_level_ids!$B:$B,MATCH(G545,[1]IDEN_level_ids!$A:$A,0),1)</f>
        <v>1151</v>
      </c>
      <c r="U545">
        <f>INDEX([1]IDEN_level_ids!$B:$B,MATCH(H545,[1]IDEN_level_ids!$A:$A,0),1)</f>
        <v>640</v>
      </c>
    </row>
    <row r="546" spans="1:21" hidden="1" x14ac:dyDescent="0.25">
      <c r="A546">
        <v>92156.391699999993</v>
      </c>
      <c r="B546">
        <v>1085.1119000000001</v>
      </c>
      <c r="C546">
        <v>4</v>
      </c>
      <c r="D546" t="s">
        <v>277</v>
      </c>
      <c r="F546">
        <v>1969</v>
      </c>
      <c r="G546" s="1" t="s">
        <v>207</v>
      </c>
      <c r="H546" s="1" t="s">
        <v>266</v>
      </c>
      <c r="I546">
        <v>0</v>
      </c>
      <c r="J546">
        <v>92155.877699999997</v>
      </c>
      <c r="K546">
        <v>-6.0499999999999998E-3</v>
      </c>
      <c r="L546">
        <v>2.8800000000000002E-3</v>
      </c>
      <c r="M546">
        <v>0.245</v>
      </c>
      <c r="N546">
        <v>5.3100000000000001E-2</v>
      </c>
      <c r="O546">
        <v>3.0500000000000002E-3</v>
      </c>
      <c r="P546" s="3">
        <f t="shared" si="32"/>
        <v>1085.1119293551942</v>
      </c>
      <c r="Q546" s="3">
        <f t="shared" si="33"/>
        <v>-6.0522187582137121E-3</v>
      </c>
      <c r="R546" s="3">
        <f t="shared" si="34"/>
        <v>2.8800000000000002E-3</v>
      </c>
      <c r="S546">
        <f t="shared" si="35"/>
        <v>9</v>
      </c>
      <c r="T546">
        <f>INDEX([1]IDEN_level_ids!$B:$B,MATCH(G546,[1]IDEN_level_ids!$A:$A,0),1)</f>
        <v>1177</v>
      </c>
      <c r="U546">
        <f>INDEX([1]IDEN_level_ids!$B:$B,MATCH(H546,[1]IDEN_level_ids!$A:$A,0),1)</f>
        <v>742</v>
      </c>
    </row>
    <row r="547" spans="1:21" hidden="1" x14ac:dyDescent="0.25">
      <c r="A547">
        <v>92141.879799999995</v>
      </c>
      <c r="B547">
        <v>1085.2828</v>
      </c>
      <c r="C547">
        <v>4</v>
      </c>
      <c r="D547" t="s">
        <v>277</v>
      </c>
      <c r="F547">
        <v>1969</v>
      </c>
      <c r="G547" s="1" t="s">
        <v>238</v>
      </c>
      <c r="H547" s="1" t="s">
        <v>113</v>
      </c>
      <c r="I547">
        <v>0</v>
      </c>
      <c r="J547">
        <v>92141.828599999993</v>
      </c>
      <c r="K547">
        <v>-5.9999999999999995E-4</v>
      </c>
      <c r="L547">
        <v>2.8900000000000002E-3</v>
      </c>
      <c r="M547">
        <v>0.245</v>
      </c>
      <c r="N547">
        <v>0.254</v>
      </c>
      <c r="O547">
        <v>3.8700000000000002E-3</v>
      </c>
      <c r="P547" s="3">
        <f t="shared" si="32"/>
        <v>1085.2828292309271</v>
      </c>
      <c r="Q547" s="3">
        <f t="shared" si="33"/>
        <v>-6.0305381066427799E-4</v>
      </c>
      <c r="R547" s="3">
        <f t="shared" si="34"/>
        <v>2.8900000000000002E-3</v>
      </c>
      <c r="S547">
        <f t="shared" si="35"/>
        <v>9</v>
      </c>
      <c r="T547">
        <f>INDEX([1]IDEN_level_ids!$B:$B,MATCH(G547,[1]IDEN_level_ids!$A:$A,0),1)</f>
        <v>1165</v>
      </c>
      <c r="U547">
        <f>INDEX([1]IDEN_level_ids!$B:$B,MATCH(H547,[1]IDEN_level_ids!$A:$A,0),1)</f>
        <v>694</v>
      </c>
    </row>
    <row r="548" spans="1:21" hidden="1" x14ac:dyDescent="0.25">
      <c r="A548">
        <v>92128.978000000003</v>
      </c>
      <c r="B548">
        <v>1085.4348</v>
      </c>
      <c r="C548">
        <v>4</v>
      </c>
      <c r="D548" t="s">
        <v>277</v>
      </c>
      <c r="F548">
        <v>1969</v>
      </c>
      <c r="G548" s="1" t="s">
        <v>40</v>
      </c>
      <c r="H548" s="1" t="s">
        <v>157</v>
      </c>
      <c r="I548">
        <v>0</v>
      </c>
      <c r="J548">
        <v>92129.402600000001</v>
      </c>
      <c r="K548">
        <v>5.0000000000000001E-3</v>
      </c>
      <c r="L548">
        <v>2.8900000000000002E-3</v>
      </c>
      <c r="M548">
        <v>0.245</v>
      </c>
      <c r="N548">
        <v>1.4999999999999999E-2</v>
      </c>
      <c r="O548">
        <v>2.9299999999999999E-3</v>
      </c>
      <c r="P548" s="3">
        <f t="shared" si="32"/>
        <v>1085.4348129206426</v>
      </c>
      <c r="Q548" s="3">
        <f t="shared" si="33"/>
        <v>5.0024813854179229E-3</v>
      </c>
      <c r="R548" s="3">
        <f t="shared" si="34"/>
        <v>2.8900000000000002E-3</v>
      </c>
      <c r="S548">
        <f t="shared" si="35"/>
        <v>9</v>
      </c>
      <c r="T548">
        <f>INDEX([1]IDEN_level_ids!$B:$B,MATCH(G548,[1]IDEN_level_ids!$A:$A,0),1)</f>
        <v>1199</v>
      </c>
      <c r="U548">
        <f>INDEX([1]IDEN_level_ids!$B:$B,MATCH(H548,[1]IDEN_level_ids!$A:$A,0),1)</f>
        <v>778</v>
      </c>
    </row>
    <row r="549" spans="1:21" hidden="1" x14ac:dyDescent="0.25">
      <c r="A549">
        <v>92120.808499999999</v>
      </c>
      <c r="B549">
        <v>1085.5310999999999</v>
      </c>
      <c r="C549">
        <v>4</v>
      </c>
      <c r="D549" t="s">
        <v>277</v>
      </c>
      <c r="F549">
        <v>1969</v>
      </c>
      <c r="G549" s="1" t="s">
        <v>94</v>
      </c>
      <c r="H549" s="1" t="s">
        <v>152</v>
      </c>
      <c r="I549">
        <v>0</v>
      </c>
      <c r="J549">
        <v>92120.561199999996</v>
      </c>
      <c r="K549">
        <v>-2.9099999999999998E-3</v>
      </c>
      <c r="L549">
        <v>2.8900000000000002E-3</v>
      </c>
      <c r="M549">
        <v>0.245</v>
      </c>
      <c r="N549">
        <v>1.34E-2</v>
      </c>
      <c r="O549">
        <v>2.9299999999999999E-3</v>
      </c>
      <c r="P549" s="3">
        <f t="shared" si="32"/>
        <v>1085.5310719510239</v>
      </c>
      <c r="Q549" s="3">
        <f t="shared" si="33"/>
        <v>-2.9141358954802854E-3</v>
      </c>
      <c r="R549" s="3">
        <f t="shared" si="34"/>
        <v>2.8900000000000002E-3</v>
      </c>
      <c r="S549">
        <f t="shared" si="35"/>
        <v>9</v>
      </c>
      <c r="T549">
        <f>INDEX([1]IDEN_level_ids!$B:$B,MATCH(G549,[1]IDEN_level_ids!$A:$A,0),1)</f>
        <v>1207</v>
      </c>
      <c r="U549">
        <f>INDEX([1]IDEN_level_ids!$B:$B,MATCH(H549,[1]IDEN_level_ids!$A:$A,0),1)</f>
        <v>793</v>
      </c>
    </row>
    <row r="550" spans="1:21" hidden="1" x14ac:dyDescent="0.25">
      <c r="A550">
        <v>92095.610100000005</v>
      </c>
      <c r="B550">
        <v>1085.8280999999999</v>
      </c>
      <c r="C550">
        <v>4</v>
      </c>
      <c r="D550" t="s">
        <v>277</v>
      </c>
      <c r="F550">
        <v>1969</v>
      </c>
      <c r="G550" s="1" t="s">
        <v>40</v>
      </c>
      <c r="H550" s="1" t="s">
        <v>198</v>
      </c>
      <c r="I550">
        <v>0</v>
      </c>
      <c r="J550">
        <v>92095.765199999994</v>
      </c>
      <c r="K550">
        <v>1.83E-3</v>
      </c>
      <c r="L550">
        <v>2.8900000000000002E-3</v>
      </c>
      <c r="M550">
        <v>0.245</v>
      </c>
      <c r="N550">
        <v>1.8499999999999999E-2</v>
      </c>
      <c r="O550">
        <v>2.9399999999999999E-3</v>
      </c>
      <c r="P550" s="3">
        <f t="shared" si="32"/>
        <v>1085.8280855234814</v>
      </c>
      <c r="Q550" s="3">
        <f t="shared" si="33"/>
        <v>1.8286610213635868E-3</v>
      </c>
      <c r="R550" s="3">
        <f t="shared" si="34"/>
        <v>2.8900000000000002E-3</v>
      </c>
      <c r="S550">
        <f t="shared" si="35"/>
        <v>9</v>
      </c>
      <c r="T550">
        <f>INDEX([1]IDEN_level_ids!$B:$B,MATCH(G550,[1]IDEN_level_ids!$A:$A,0),1)</f>
        <v>1199</v>
      </c>
      <c r="U550">
        <f>INDEX([1]IDEN_level_ids!$B:$B,MATCH(H550,[1]IDEN_level_ids!$A:$A,0),1)</f>
        <v>780</v>
      </c>
    </row>
    <row r="551" spans="1:21" hidden="1" x14ac:dyDescent="0.25">
      <c r="A551">
        <v>92088.222699999998</v>
      </c>
      <c r="B551">
        <v>1085.9151999999999</v>
      </c>
      <c r="C551">
        <v>4</v>
      </c>
      <c r="D551" t="s">
        <v>277</v>
      </c>
      <c r="F551">
        <v>1969</v>
      </c>
      <c r="G551" s="1" t="s">
        <v>197</v>
      </c>
      <c r="H551" s="1" t="s">
        <v>122</v>
      </c>
      <c r="I551">
        <v>0</v>
      </c>
      <c r="J551">
        <v>92088.574800000002</v>
      </c>
      <c r="K551">
        <v>4.15E-3</v>
      </c>
      <c r="L551">
        <v>2.8900000000000002E-3</v>
      </c>
      <c r="M551">
        <v>0.245</v>
      </c>
      <c r="N551">
        <v>2.1000000000000001E-2</v>
      </c>
      <c r="O551">
        <v>2.9499999999999999E-3</v>
      </c>
      <c r="P551" s="3">
        <f t="shared" si="32"/>
        <v>1085.9151916285166</v>
      </c>
      <c r="Q551" s="3">
        <f t="shared" si="33"/>
        <v>4.1519888848142728E-3</v>
      </c>
      <c r="R551" s="3">
        <f t="shared" si="34"/>
        <v>2.8900000000000002E-3</v>
      </c>
      <c r="S551">
        <f t="shared" si="35"/>
        <v>9</v>
      </c>
      <c r="T551">
        <f>INDEX([1]IDEN_level_ids!$B:$B,MATCH(G551,[1]IDEN_level_ids!$A:$A,0),1)</f>
        <v>1182</v>
      </c>
      <c r="U551">
        <f>INDEX([1]IDEN_level_ids!$B:$B,MATCH(H551,[1]IDEN_level_ids!$A:$A,0),1)</f>
        <v>750</v>
      </c>
    </row>
    <row r="552" spans="1:21" hidden="1" x14ac:dyDescent="0.25">
      <c r="A552">
        <v>92057.297900000005</v>
      </c>
      <c r="B552">
        <v>1086.28</v>
      </c>
      <c r="C552">
        <v>4</v>
      </c>
      <c r="D552" t="s">
        <v>277</v>
      </c>
      <c r="F552">
        <v>1969</v>
      </c>
      <c r="G552" s="1" t="s">
        <v>194</v>
      </c>
      <c r="H552" s="1" t="s">
        <v>127</v>
      </c>
      <c r="I552">
        <v>0</v>
      </c>
      <c r="J552">
        <v>92057.393899999995</v>
      </c>
      <c r="K552">
        <v>1.1299999999999999E-3</v>
      </c>
      <c r="L552">
        <v>2.8900000000000002E-3</v>
      </c>
      <c r="M552">
        <v>0.245</v>
      </c>
      <c r="N552">
        <v>2.6200000000000001E-2</v>
      </c>
      <c r="O552">
        <v>2.97E-3</v>
      </c>
      <c r="P552" s="3">
        <f t="shared" si="32"/>
        <v>1086.279983023486</v>
      </c>
      <c r="Q552" s="3">
        <f t="shared" si="33"/>
        <v>1.1328028519983491E-3</v>
      </c>
      <c r="R552" s="3">
        <f t="shared" si="34"/>
        <v>2.8900000000000002E-3</v>
      </c>
      <c r="S552">
        <f t="shared" si="35"/>
        <v>9</v>
      </c>
      <c r="T552">
        <f>INDEX([1]IDEN_level_ids!$B:$B,MATCH(G552,[1]IDEN_level_ids!$A:$A,0),1)</f>
        <v>1187</v>
      </c>
      <c r="U552">
        <f>INDEX([1]IDEN_level_ids!$B:$B,MATCH(H552,[1]IDEN_level_ids!$A:$A,0),1)</f>
        <v>760</v>
      </c>
    </row>
    <row r="553" spans="1:21" hidden="1" x14ac:dyDescent="0.25">
      <c r="A553">
        <v>92053.8128</v>
      </c>
      <c r="B553">
        <v>1086.3210999999999</v>
      </c>
      <c r="C553">
        <v>4</v>
      </c>
      <c r="D553" t="s">
        <v>277</v>
      </c>
      <c r="F553">
        <v>1969</v>
      </c>
      <c r="G553" s="1" t="s">
        <v>33</v>
      </c>
      <c r="H553" s="1" t="s">
        <v>200</v>
      </c>
      <c r="I553">
        <v>0</v>
      </c>
      <c r="J553">
        <v>92053.891000000003</v>
      </c>
      <c r="K553">
        <v>9.2000000000000003E-4</v>
      </c>
      <c r="L553">
        <v>2.8900000000000002E-3</v>
      </c>
      <c r="M553">
        <v>0.245</v>
      </c>
      <c r="N553">
        <v>2.6700000000000002E-2</v>
      </c>
      <c r="O553">
        <v>2.97E-3</v>
      </c>
      <c r="P553" s="3">
        <f t="shared" si="32"/>
        <v>1086.3211089068545</v>
      </c>
      <c r="Q553" s="3">
        <f t="shared" si="33"/>
        <v>9.2283237358969927E-4</v>
      </c>
      <c r="R553" s="3">
        <f t="shared" si="34"/>
        <v>2.8900000000000002E-3</v>
      </c>
      <c r="S553">
        <f t="shared" si="35"/>
        <v>9</v>
      </c>
      <c r="T553">
        <f>INDEX([1]IDEN_level_ids!$B:$B,MATCH(G553,[1]IDEN_level_ids!$A:$A,0),1)</f>
        <v>1220</v>
      </c>
      <c r="U553">
        <f>INDEX([1]IDEN_level_ids!$B:$B,MATCH(H553,[1]IDEN_level_ids!$A:$A,0),1)</f>
        <v>817</v>
      </c>
    </row>
    <row r="554" spans="1:21" hidden="1" x14ac:dyDescent="0.25">
      <c r="A554">
        <v>92048.126099999994</v>
      </c>
      <c r="B554">
        <v>1086.3882000000001</v>
      </c>
      <c r="C554">
        <v>4</v>
      </c>
      <c r="D554" t="s">
        <v>277</v>
      </c>
      <c r="F554">
        <v>1969</v>
      </c>
      <c r="G554" s="1" t="s">
        <v>252</v>
      </c>
      <c r="H554" s="1" t="s">
        <v>258</v>
      </c>
      <c r="I554">
        <v>0</v>
      </c>
      <c r="J554">
        <v>92048.481899999999</v>
      </c>
      <c r="K554">
        <v>4.1999999999999997E-3</v>
      </c>
      <c r="L554">
        <v>2.8900000000000002E-3</v>
      </c>
      <c r="M554">
        <v>0.245</v>
      </c>
      <c r="N554">
        <v>4.1500000000000002E-2</v>
      </c>
      <c r="O554">
        <v>3.0200000000000001E-3</v>
      </c>
      <c r="P554" s="3">
        <f t="shared" si="32"/>
        <v>1086.3882214327882</v>
      </c>
      <c r="Q554" s="3">
        <f t="shared" si="33"/>
        <v>4.1992754386228626E-3</v>
      </c>
      <c r="R554" s="3">
        <f t="shared" si="34"/>
        <v>2.8900000000000002E-3</v>
      </c>
      <c r="S554">
        <f t="shared" si="35"/>
        <v>9</v>
      </c>
      <c r="T554">
        <f>INDEX([1]IDEN_level_ids!$B:$B,MATCH(G554,[1]IDEN_level_ids!$A:$A,0),1)</f>
        <v>1188</v>
      </c>
      <c r="U554">
        <f>INDEX([1]IDEN_level_ids!$B:$B,MATCH(H554,[1]IDEN_level_ids!$A:$A,0),1)</f>
        <v>755</v>
      </c>
    </row>
    <row r="555" spans="1:21" hidden="1" x14ac:dyDescent="0.25">
      <c r="A555">
        <v>92035.421700000006</v>
      </c>
      <c r="B555">
        <v>1086.5382</v>
      </c>
      <c r="C555">
        <v>4</v>
      </c>
      <c r="D555" t="s">
        <v>277</v>
      </c>
      <c r="F555">
        <v>1969</v>
      </c>
      <c r="G555" s="1" t="s">
        <v>253</v>
      </c>
      <c r="H555" s="1" t="s">
        <v>231</v>
      </c>
      <c r="I555">
        <v>0</v>
      </c>
      <c r="J555">
        <v>92035.486000000004</v>
      </c>
      <c r="K555">
        <v>7.6000000000000004E-4</v>
      </c>
      <c r="L555">
        <v>2.8900000000000002E-3</v>
      </c>
      <c r="M555">
        <v>0.245</v>
      </c>
      <c r="N555">
        <v>0.2586</v>
      </c>
      <c r="O555">
        <v>3.8999999999999998E-3</v>
      </c>
      <c r="P555" s="3">
        <f t="shared" si="32"/>
        <v>1086.5381844607768</v>
      </c>
      <c r="Q555" s="3">
        <f t="shared" si="33"/>
        <v>7.5910291002401209E-4</v>
      </c>
      <c r="R555" s="3">
        <f t="shared" si="34"/>
        <v>2.8900000000000002E-3</v>
      </c>
      <c r="S555">
        <f t="shared" si="35"/>
        <v>9</v>
      </c>
      <c r="T555">
        <f>INDEX([1]IDEN_level_ids!$B:$B,MATCH(G555,[1]IDEN_level_ids!$A:$A,0),1)</f>
        <v>1181</v>
      </c>
      <c r="U555">
        <f>INDEX([1]IDEN_level_ids!$B:$B,MATCH(H555,[1]IDEN_level_ids!$A:$A,0),1)</f>
        <v>751</v>
      </c>
    </row>
    <row r="556" spans="1:21" hidden="1" x14ac:dyDescent="0.25">
      <c r="A556">
        <v>92030.373999999996</v>
      </c>
      <c r="B556">
        <v>1086.5978</v>
      </c>
      <c r="C556">
        <v>4</v>
      </c>
      <c r="D556" t="s">
        <v>277</v>
      </c>
      <c r="F556">
        <v>1969</v>
      </c>
      <c r="G556" s="1" t="s">
        <v>94</v>
      </c>
      <c r="H556" s="1" t="s">
        <v>214</v>
      </c>
      <c r="I556">
        <v>0</v>
      </c>
      <c r="J556">
        <v>92030.508199999997</v>
      </c>
      <c r="K556">
        <v>1.58E-3</v>
      </c>
      <c r="L556">
        <v>2.8900000000000002E-3</v>
      </c>
      <c r="M556">
        <v>0.245</v>
      </c>
      <c r="N556">
        <v>4.5199999999999997E-2</v>
      </c>
      <c r="O556">
        <v>3.0300000000000001E-3</v>
      </c>
      <c r="P556" s="3">
        <f t="shared" si="32"/>
        <v>1086.5977791201849</v>
      </c>
      <c r="Q556" s="3">
        <f t="shared" si="33"/>
        <v>1.5844900219690317E-3</v>
      </c>
      <c r="R556" s="3">
        <f t="shared" si="34"/>
        <v>2.8900000000000002E-3</v>
      </c>
      <c r="S556">
        <f t="shared" si="35"/>
        <v>9</v>
      </c>
      <c r="T556">
        <f>INDEX([1]IDEN_level_ids!$B:$B,MATCH(G556,[1]IDEN_level_ids!$A:$A,0),1)</f>
        <v>1207</v>
      </c>
      <c r="U556">
        <f>INDEX([1]IDEN_level_ids!$B:$B,MATCH(H556,[1]IDEN_level_ids!$A:$A,0),1)</f>
        <v>794</v>
      </c>
    </row>
    <row r="557" spans="1:21" hidden="1" x14ac:dyDescent="0.25">
      <c r="A557">
        <v>92021.71</v>
      </c>
      <c r="B557">
        <v>1086.7001</v>
      </c>
      <c r="C557">
        <v>4</v>
      </c>
      <c r="D557" t="s">
        <v>277</v>
      </c>
      <c r="F557">
        <v>1969</v>
      </c>
      <c r="G557" s="1" t="s">
        <v>238</v>
      </c>
      <c r="H557" s="1" t="s">
        <v>132</v>
      </c>
      <c r="I557">
        <v>0</v>
      </c>
      <c r="J557">
        <v>92021.919299999994</v>
      </c>
      <c r="K557">
        <v>2.47E-3</v>
      </c>
      <c r="L557">
        <v>2.8900000000000002E-3</v>
      </c>
      <c r="M557">
        <v>0.245</v>
      </c>
      <c r="N557">
        <v>8.8900000000000007E-2</v>
      </c>
      <c r="O557">
        <v>3.1800000000000001E-3</v>
      </c>
      <c r="P557" s="3">
        <f t="shared" si="32"/>
        <v>1086.7000841431875</v>
      </c>
      <c r="Q557" s="3">
        <f t="shared" si="33"/>
        <v>2.4716538116535958E-3</v>
      </c>
      <c r="R557" s="3">
        <f t="shared" si="34"/>
        <v>2.8900000000000002E-3</v>
      </c>
      <c r="S557">
        <f t="shared" si="35"/>
        <v>9</v>
      </c>
      <c r="T557">
        <f>INDEX([1]IDEN_level_ids!$B:$B,MATCH(G557,[1]IDEN_level_ids!$A:$A,0),1)</f>
        <v>1165</v>
      </c>
      <c r="U557">
        <f>INDEX([1]IDEN_level_ids!$B:$B,MATCH(H557,[1]IDEN_level_ids!$A:$A,0),1)</f>
        <v>696</v>
      </c>
    </row>
    <row r="558" spans="1:21" hidden="1" x14ac:dyDescent="0.25">
      <c r="A558">
        <v>91996.907300000006</v>
      </c>
      <c r="B558">
        <v>1086.9930999999999</v>
      </c>
      <c r="C558">
        <v>4</v>
      </c>
      <c r="D558" t="s">
        <v>277</v>
      </c>
      <c r="F558">
        <v>1969</v>
      </c>
      <c r="G558" s="1" t="s">
        <v>38</v>
      </c>
      <c r="H558" s="1" t="s">
        <v>249</v>
      </c>
      <c r="I558">
        <v>0</v>
      </c>
      <c r="J558">
        <v>91996.800799999997</v>
      </c>
      <c r="K558">
        <v>-1.2600000000000001E-3</v>
      </c>
      <c r="L558">
        <v>2.8900000000000002E-3</v>
      </c>
      <c r="M558">
        <v>0.245</v>
      </c>
      <c r="N558">
        <v>2.12E-2</v>
      </c>
      <c r="O558">
        <v>2.96E-3</v>
      </c>
      <c r="P558" s="3">
        <f t="shared" si="32"/>
        <v>1086.993062428741</v>
      </c>
      <c r="Q558" s="3">
        <f t="shared" si="33"/>
        <v>-1.2583563791395136E-3</v>
      </c>
      <c r="R558" s="3">
        <f t="shared" si="34"/>
        <v>2.8900000000000002E-3</v>
      </c>
      <c r="S558">
        <f t="shared" si="35"/>
        <v>9</v>
      </c>
      <c r="T558">
        <f>INDEX([1]IDEN_level_ids!$B:$B,MATCH(G558,[1]IDEN_level_ids!$A:$A,0),1)</f>
        <v>1201</v>
      </c>
      <c r="U558">
        <f>INDEX([1]IDEN_level_ids!$B:$B,MATCH(H558,[1]IDEN_level_ids!$A:$A,0),1)</f>
        <v>784</v>
      </c>
    </row>
    <row r="559" spans="1:21" hidden="1" x14ac:dyDescent="0.25">
      <c r="A559">
        <v>91982.424700000003</v>
      </c>
      <c r="B559">
        <v>1087.1641999999999</v>
      </c>
      <c r="C559">
        <v>4</v>
      </c>
      <c r="D559" t="s">
        <v>277</v>
      </c>
      <c r="F559">
        <v>1969</v>
      </c>
      <c r="G559" s="1" t="s">
        <v>71</v>
      </c>
      <c r="H559" s="1" t="s">
        <v>199</v>
      </c>
      <c r="I559">
        <v>0</v>
      </c>
      <c r="J559">
        <v>91982.443599999999</v>
      </c>
      <c r="K559">
        <v>2.2000000000000001E-4</v>
      </c>
      <c r="L559">
        <v>2.8999999999999998E-3</v>
      </c>
      <c r="M559">
        <v>0.245</v>
      </c>
      <c r="N559">
        <v>0.11409999999999999</v>
      </c>
      <c r="O559">
        <v>3.2699999999999999E-3</v>
      </c>
      <c r="P559" s="3">
        <f t="shared" si="32"/>
        <v>1087.1642090991759</v>
      </c>
      <c r="Q559" s="3">
        <f t="shared" si="33"/>
        <v>2.2338397138810251E-4</v>
      </c>
      <c r="R559" s="3">
        <f t="shared" si="34"/>
        <v>2.8999999999999998E-3</v>
      </c>
      <c r="S559">
        <f t="shared" si="35"/>
        <v>9</v>
      </c>
      <c r="T559">
        <f>INDEX([1]IDEN_level_ids!$B:$B,MATCH(G559,[1]IDEN_level_ids!$A:$A,0),1)</f>
        <v>1179</v>
      </c>
      <c r="U559">
        <f>INDEX([1]IDEN_level_ids!$B:$B,MATCH(H559,[1]IDEN_level_ids!$A:$A,0),1)</f>
        <v>743</v>
      </c>
    </row>
    <row r="560" spans="1:21" hidden="1" x14ac:dyDescent="0.25">
      <c r="A560">
        <v>91974.998600000006</v>
      </c>
      <c r="B560">
        <v>1087.252</v>
      </c>
      <c r="C560">
        <v>4</v>
      </c>
      <c r="D560" t="s">
        <v>277</v>
      </c>
      <c r="F560">
        <v>1969</v>
      </c>
      <c r="G560" s="1" t="s">
        <v>51</v>
      </c>
      <c r="H560" s="1" t="s">
        <v>232</v>
      </c>
      <c r="I560">
        <v>0</v>
      </c>
      <c r="J560">
        <v>91975.001300000004</v>
      </c>
      <c r="K560">
        <v>3.0000000000000001E-5</v>
      </c>
      <c r="L560">
        <v>2.8999999999999998E-3</v>
      </c>
      <c r="M560">
        <v>0.245</v>
      </c>
      <c r="N560">
        <v>4.6699999999999998E-2</v>
      </c>
      <c r="O560">
        <v>3.0400000000000002E-3</v>
      </c>
      <c r="P560" s="3">
        <f t="shared" si="32"/>
        <v>1087.2519871938327</v>
      </c>
      <c r="Q560" s="3">
        <f t="shared" si="33"/>
        <v>3.1917154728944297E-5</v>
      </c>
      <c r="R560" s="3">
        <f t="shared" si="34"/>
        <v>2.8999999999999998E-3</v>
      </c>
      <c r="S560">
        <f t="shared" si="35"/>
        <v>9</v>
      </c>
      <c r="T560">
        <f>INDEX([1]IDEN_level_ids!$B:$B,MATCH(G560,[1]IDEN_level_ids!$A:$A,0),1)</f>
        <v>1213</v>
      </c>
      <c r="U560">
        <f>INDEX([1]IDEN_level_ids!$B:$B,MATCH(H560,[1]IDEN_level_ids!$A:$A,0),1)</f>
        <v>801</v>
      </c>
    </row>
    <row r="561" spans="1:21" hidden="1" x14ac:dyDescent="0.25">
      <c r="A561">
        <v>91965.695999999996</v>
      </c>
      <c r="B561">
        <v>1087.3620000000001</v>
      </c>
      <c r="C561">
        <v>4</v>
      </c>
      <c r="D561" t="s">
        <v>277</v>
      </c>
      <c r="F561">
        <v>1969</v>
      </c>
      <c r="G561" s="1" t="s">
        <v>194</v>
      </c>
      <c r="H561" s="1" t="s">
        <v>174</v>
      </c>
      <c r="I561">
        <v>0</v>
      </c>
      <c r="J561">
        <v>91966.1734</v>
      </c>
      <c r="K561">
        <v>5.64E-3</v>
      </c>
      <c r="L561">
        <v>2.8999999999999998E-3</v>
      </c>
      <c r="M561">
        <v>0.245</v>
      </c>
      <c r="N561">
        <v>1.15E-2</v>
      </c>
      <c r="O561">
        <v>2.9299999999999999E-3</v>
      </c>
      <c r="P561" s="3">
        <f t="shared" si="32"/>
        <v>1087.3619659225981</v>
      </c>
      <c r="Q561" s="3">
        <f t="shared" si="33"/>
        <v>5.6445384575454227E-3</v>
      </c>
      <c r="R561" s="3">
        <f t="shared" si="34"/>
        <v>2.8999999999999998E-3</v>
      </c>
      <c r="S561">
        <f t="shared" si="35"/>
        <v>9</v>
      </c>
      <c r="T561">
        <f>INDEX([1]IDEN_level_ids!$B:$B,MATCH(G561,[1]IDEN_level_ids!$A:$A,0),1)</f>
        <v>1187</v>
      </c>
      <c r="U561">
        <f>INDEX([1]IDEN_level_ids!$B:$B,MATCH(H561,[1]IDEN_level_ids!$A:$A,0),1)</f>
        <v>758</v>
      </c>
    </row>
    <row r="562" spans="1:21" hidden="1" x14ac:dyDescent="0.25">
      <c r="A562">
        <v>91960.975000000006</v>
      </c>
      <c r="B562">
        <v>1087.4177999999999</v>
      </c>
      <c r="C562">
        <v>4</v>
      </c>
      <c r="D562" t="s">
        <v>277</v>
      </c>
      <c r="F562">
        <v>1969</v>
      </c>
      <c r="G562" s="1" t="s">
        <v>194</v>
      </c>
      <c r="H562" s="1" t="s">
        <v>130</v>
      </c>
      <c r="I562">
        <v>0</v>
      </c>
      <c r="J562">
        <v>91960.933600000004</v>
      </c>
      <c r="K562">
        <v>-4.8999999999999998E-4</v>
      </c>
      <c r="L562">
        <v>2.8999999999999998E-3</v>
      </c>
      <c r="M562">
        <v>0.245</v>
      </c>
      <c r="N562">
        <v>3.5099999999999999E-2</v>
      </c>
      <c r="O562">
        <v>3.0000000000000001E-3</v>
      </c>
      <c r="P562" s="3">
        <f t="shared" si="32"/>
        <v>1087.4177878170603</v>
      </c>
      <c r="Q562" s="3">
        <f t="shared" si="33"/>
        <v>-4.8954588282867917E-4</v>
      </c>
      <c r="R562" s="3">
        <f t="shared" si="34"/>
        <v>2.8999999999999998E-3</v>
      </c>
      <c r="S562">
        <f t="shared" si="35"/>
        <v>9</v>
      </c>
      <c r="T562">
        <f>INDEX([1]IDEN_level_ids!$B:$B,MATCH(G562,[1]IDEN_level_ids!$A:$A,0),1)</f>
        <v>1187</v>
      </c>
      <c r="U562">
        <f>INDEX([1]IDEN_level_ids!$B:$B,MATCH(H562,[1]IDEN_level_ids!$A:$A,0),1)</f>
        <v>761</v>
      </c>
    </row>
    <row r="563" spans="1:21" hidden="1" x14ac:dyDescent="0.25">
      <c r="A563">
        <v>91956.989799999996</v>
      </c>
      <c r="B563">
        <v>1087.4648999999999</v>
      </c>
      <c r="C563">
        <v>4</v>
      </c>
      <c r="D563" t="s">
        <v>277</v>
      </c>
      <c r="F563">
        <v>1969</v>
      </c>
      <c r="G563" s="1" t="s">
        <v>180</v>
      </c>
      <c r="H563" s="1" t="s">
        <v>263</v>
      </c>
      <c r="I563">
        <v>0</v>
      </c>
      <c r="J563">
        <v>91956.956399999995</v>
      </c>
      <c r="K563">
        <v>-4.0000000000000002E-4</v>
      </c>
      <c r="L563">
        <v>2.8999999999999998E-3</v>
      </c>
      <c r="M563">
        <v>0.245</v>
      </c>
      <c r="N563">
        <v>1.4E-2</v>
      </c>
      <c r="O563">
        <v>2.9399999999999999E-3</v>
      </c>
      <c r="P563" s="3">
        <f t="shared" si="32"/>
        <v>1087.4649139504565</v>
      </c>
      <c r="Q563" s="3">
        <f t="shared" si="33"/>
        <v>-3.9498184310104989E-4</v>
      </c>
      <c r="R563" s="3">
        <f t="shared" si="34"/>
        <v>2.8999999999999998E-3</v>
      </c>
      <c r="S563">
        <f t="shared" si="35"/>
        <v>9</v>
      </c>
      <c r="T563">
        <f>INDEX([1]IDEN_level_ids!$B:$B,MATCH(G563,[1]IDEN_level_ids!$A:$A,0),1)</f>
        <v>1184</v>
      </c>
      <c r="U563">
        <f>INDEX([1]IDEN_level_ids!$B:$B,MATCH(H563,[1]IDEN_level_ids!$A:$A,0),1)</f>
        <v>759</v>
      </c>
    </row>
    <row r="564" spans="1:21" hidden="1" x14ac:dyDescent="0.25">
      <c r="A564">
        <v>91945.4905</v>
      </c>
      <c r="B564">
        <v>1087.6008999999999</v>
      </c>
      <c r="C564">
        <v>4</v>
      </c>
      <c r="D564" t="s">
        <v>277</v>
      </c>
      <c r="F564">
        <v>1969</v>
      </c>
      <c r="G564" s="1" t="s">
        <v>77</v>
      </c>
      <c r="H564" s="1" t="s">
        <v>202</v>
      </c>
      <c r="I564">
        <v>0</v>
      </c>
      <c r="J564">
        <v>91945.615699999995</v>
      </c>
      <c r="K564">
        <v>1.48E-3</v>
      </c>
      <c r="L564">
        <v>2.8999999999999998E-3</v>
      </c>
      <c r="M564">
        <v>0.245</v>
      </c>
      <c r="N564">
        <v>3.85E-2</v>
      </c>
      <c r="O564">
        <v>3.0100000000000001E-3</v>
      </c>
      <c r="P564" s="3">
        <f t="shared" si="32"/>
        <v>1087.6009193729844</v>
      </c>
      <c r="Q564" s="3">
        <f t="shared" si="33"/>
        <v>1.480958434740387E-3</v>
      </c>
      <c r="R564" s="3">
        <f t="shared" si="34"/>
        <v>2.8999999999999998E-3</v>
      </c>
      <c r="S564">
        <f t="shared" si="35"/>
        <v>9</v>
      </c>
      <c r="T564">
        <f>INDEX([1]IDEN_level_ids!$B:$B,MATCH(G564,[1]IDEN_level_ids!$A:$A,0),1)</f>
        <v>1197</v>
      </c>
      <c r="U564">
        <f>INDEX([1]IDEN_level_ids!$B:$B,MATCH(H564,[1]IDEN_level_ids!$A:$A,0),1)</f>
        <v>781</v>
      </c>
    </row>
    <row r="565" spans="1:21" hidden="1" x14ac:dyDescent="0.25">
      <c r="A565">
        <v>91928.314799999993</v>
      </c>
      <c r="B565">
        <v>1087.8041000000001</v>
      </c>
      <c r="C565">
        <v>4</v>
      </c>
      <c r="D565" t="s">
        <v>277</v>
      </c>
      <c r="F565">
        <v>1969</v>
      </c>
      <c r="G565" s="1" t="s">
        <v>212</v>
      </c>
      <c r="H565" s="1" t="s">
        <v>95</v>
      </c>
      <c r="I565">
        <v>0</v>
      </c>
      <c r="J565">
        <v>91928.133900000001</v>
      </c>
      <c r="K565">
        <v>-2.14E-3</v>
      </c>
      <c r="L565">
        <v>2.8999999999999998E-3</v>
      </c>
      <c r="M565">
        <v>0.245</v>
      </c>
      <c r="N565">
        <v>0.13769999999999999</v>
      </c>
      <c r="O565">
        <v>3.3600000000000001E-3</v>
      </c>
      <c r="P565" s="3">
        <f t="shared" si="32"/>
        <v>1087.8041245242102</v>
      </c>
      <c r="Q565" s="3">
        <f t="shared" si="33"/>
        <v>-2.1406261366792023E-3</v>
      </c>
      <c r="R565" s="3">
        <f t="shared" si="34"/>
        <v>2.8999999999999998E-3</v>
      </c>
      <c r="S565">
        <f t="shared" si="35"/>
        <v>9</v>
      </c>
      <c r="T565">
        <f>INDEX([1]IDEN_level_ids!$B:$B,MATCH(G565,[1]IDEN_level_ids!$A:$A,0),1)</f>
        <v>1123</v>
      </c>
      <c r="U565">
        <f>INDEX([1]IDEN_level_ids!$B:$B,MATCH(H565,[1]IDEN_level_ids!$A:$A,0),1)</f>
        <v>538</v>
      </c>
    </row>
    <row r="566" spans="1:21" hidden="1" x14ac:dyDescent="0.25">
      <c r="A566">
        <v>91901.203599999993</v>
      </c>
      <c r="B566">
        <v>1088.125</v>
      </c>
      <c r="C566">
        <v>4</v>
      </c>
      <c r="D566" t="s">
        <v>277</v>
      </c>
      <c r="F566">
        <v>1969</v>
      </c>
      <c r="G566" s="1" t="s">
        <v>289</v>
      </c>
      <c r="H566" s="1" t="s">
        <v>286</v>
      </c>
      <c r="I566">
        <v>0</v>
      </c>
      <c r="J566">
        <v>91901.101599999995</v>
      </c>
      <c r="K566">
        <v>-1.2099999999999999E-3</v>
      </c>
      <c r="L566">
        <v>2.8999999999999998E-3</v>
      </c>
      <c r="M566">
        <v>0.245</v>
      </c>
      <c r="N566">
        <v>0.2054</v>
      </c>
      <c r="O566">
        <v>3.65E-3</v>
      </c>
      <c r="P566" s="3">
        <f t="shared" si="32"/>
        <v>1088.1250308238618</v>
      </c>
      <c r="Q566" s="3">
        <f t="shared" si="33"/>
        <v>-1.2076977448032267E-3</v>
      </c>
      <c r="R566" s="3">
        <f t="shared" si="34"/>
        <v>2.8999999999999998E-3</v>
      </c>
      <c r="S566">
        <f t="shared" si="35"/>
        <v>9</v>
      </c>
      <c r="T566">
        <f>INDEX([1]IDEN_level_ids!$B:$B,MATCH(G566,[1]IDEN_level_ids!$A:$A,0),1)</f>
        <v>1122</v>
      </c>
      <c r="U566">
        <f>INDEX([1]IDEN_level_ids!$B:$B,MATCH(H566,[1]IDEN_level_ids!$A:$A,0),1)</f>
        <v>532</v>
      </c>
    </row>
    <row r="567" spans="1:21" hidden="1" x14ac:dyDescent="0.25">
      <c r="A567">
        <v>91887.787899999996</v>
      </c>
      <c r="B567">
        <v>1088.2838999999999</v>
      </c>
      <c r="C567">
        <v>4</v>
      </c>
      <c r="D567" t="s">
        <v>277</v>
      </c>
      <c r="F567">
        <v>1969</v>
      </c>
      <c r="G567" s="1" t="s">
        <v>180</v>
      </c>
      <c r="H567" s="1" t="s">
        <v>192</v>
      </c>
      <c r="I567">
        <v>0</v>
      </c>
      <c r="J567">
        <v>91887.999299999996</v>
      </c>
      <c r="K567">
        <v>2.5000000000000001E-3</v>
      </c>
      <c r="L567">
        <v>2.8999999999999998E-3</v>
      </c>
      <c r="M567">
        <v>0.245</v>
      </c>
      <c r="N567">
        <v>2.12E-2</v>
      </c>
      <c r="O567">
        <v>2.96E-3</v>
      </c>
      <c r="P567" s="3">
        <f t="shared" si="32"/>
        <v>1088.2838980608435</v>
      </c>
      <c r="Q567" s="3">
        <f t="shared" si="33"/>
        <v>2.5037351754235715E-3</v>
      </c>
      <c r="R567" s="3">
        <f t="shared" si="34"/>
        <v>2.8999999999999998E-3</v>
      </c>
      <c r="S567">
        <f t="shared" si="35"/>
        <v>9</v>
      </c>
      <c r="T567">
        <f>INDEX([1]IDEN_level_ids!$B:$B,MATCH(G567,[1]IDEN_level_ids!$A:$A,0),1)</f>
        <v>1184</v>
      </c>
      <c r="U567">
        <f>INDEX([1]IDEN_level_ids!$B:$B,MATCH(H567,[1]IDEN_level_ids!$A:$A,0),1)</f>
        <v>762</v>
      </c>
    </row>
    <row r="568" spans="1:21" hidden="1" x14ac:dyDescent="0.25">
      <c r="A568">
        <v>91881.931400000001</v>
      </c>
      <c r="B568">
        <v>1088.3533</v>
      </c>
      <c r="C568">
        <v>4</v>
      </c>
      <c r="D568" t="s">
        <v>277</v>
      </c>
      <c r="F568">
        <v>1969</v>
      </c>
      <c r="G568" s="1" t="s">
        <v>194</v>
      </c>
      <c r="H568" s="1" t="s">
        <v>131</v>
      </c>
      <c r="I568">
        <v>0</v>
      </c>
      <c r="J568">
        <v>91882.194199999998</v>
      </c>
      <c r="K568">
        <v>3.1099999999999999E-3</v>
      </c>
      <c r="L568">
        <v>2.8999999999999998E-3</v>
      </c>
      <c r="M568">
        <v>0.245</v>
      </c>
      <c r="N568">
        <v>2.64E-2</v>
      </c>
      <c r="O568">
        <v>2.98E-3</v>
      </c>
      <c r="P568" s="3">
        <f t="shared" si="32"/>
        <v>1088.3532646332683</v>
      </c>
      <c r="Q568" s="3">
        <f t="shared" si="33"/>
        <v>3.1128908101436537E-3</v>
      </c>
      <c r="R568" s="3">
        <f t="shared" si="34"/>
        <v>2.8999999999999998E-3</v>
      </c>
      <c r="S568">
        <f t="shared" si="35"/>
        <v>9</v>
      </c>
      <c r="T568">
        <f>INDEX([1]IDEN_level_ids!$B:$B,MATCH(G568,[1]IDEN_level_ids!$A:$A,0),1)</f>
        <v>1187</v>
      </c>
      <c r="U568">
        <f>INDEX([1]IDEN_level_ids!$B:$B,MATCH(H568,[1]IDEN_level_ids!$A:$A,0),1)</f>
        <v>764</v>
      </c>
    </row>
    <row r="569" spans="1:21" hidden="1" x14ac:dyDescent="0.25">
      <c r="A569">
        <v>91863.481799999994</v>
      </c>
      <c r="B569">
        <v>1088.5717999999999</v>
      </c>
      <c r="C569">
        <v>4</v>
      </c>
      <c r="D569" t="s">
        <v>277</v>
      </c>
      <c r="F569">
        <v>1969</v>
      </c>
      <c r="G569" s="1" t="s">
        <v>38</v>
      </c>
      <c r="H569" s="1" t="s">
        <v>161</v>
      </c>
      <c r="I569">
        <v>0</v>
      </c>
      <c r="J569">
        <v>91863.687099999996</v>
      </c>
      <c r="K569">
        <v>2.4299999999999999E-3</v>
      </c>
      <c r="L569">
        <v>2.8999999999999998E-3</v>
      </c>
      <c r="M569">
        <v>0.245</v>
      </c>
      <c r="N569">
        <v>1.52E-2</v>
      </c>
      <c r="O569">
        <v>2.9499999999999999E-3</v>
      </c>
      <c r="P569" s="3">
        <f t="shared" si="32"/>
        <v>1088.5718464026259</v>
      </c>
      <c r="Q569" s="3">
        <f t="shared" si="33"/>
        <v>2.4327762921529938E-3</v>
      </c>
      <c r="R569" s="3">
        <f t="shared" si="34"/>
        <v>2.8999999999999998E-3</v>
      </c>
      <c r="S569">
        <f t="shared" si="35"/>
        <v>9</v>
      </c>
      <c r="T569">
        <f>INDEX([1]IDEN_level_ids!$B:$B,MATCH(G569,[1]IDEN_level_ids!$A:$A,0),1)</f>
        <v>1201</v>
      </c>
      <c r="U569">
        <f>INDEX([1]IDEN_level_ids!$B:$B,MATCH(H569,[1]IDEN_level_ids!$A:$A,0),1)</f>
        <v>785</v>
      </c>
    </row>
    <row r="570" spans="1:21" hidden="1" x14ac:dyDescent="0.25">
      <c r="A570">
        <v>91856.116099999999</v>
      </c>
      <c r="B570">
        <v>1088.6591000000001</v>
      </c>
      <c r="C570">
        <v>4</v>
      </c>
      <c r="D570" t="s">
        <v>277</v>
      </c>
      <c r="F570">
        <v>1969</v>
      </c>
      <c r="G570" s="1" t="s">
        <v>288</v>
      </c>
      <c r="H570" s="1" t="s">
        <v>114</v>
      </c>
      <c r="I570">
        <v>0</v>
      </c>
      <c r="J570">
        <v>91856.303</v>
      </c>
      <c r="K570">
        <v>2.2100000000000002E-3</v>
      </c>
      <c r="L570">
        <v>2.8999999999999998E-3</v>
      </c>
      <c r="M570">
        <v>0.245</v>
      </c>
      <c r="N570">
        <v>4.0899999999999999E-2</v>
      </c>
      <c r="O570">
        <v>3.0300000000000001E-3</v>
      </c>
      <c r="P570" s="3">
        <f t="shared" si="32"/>
        <v>1088.659136111678</v>
      </c>
      <c r="Q570" s="3">
        <f t="shared" si="33"/>
        <v>2.2150945105749997E-3</v>
      </c>
      <c r="R570" s="3">
        <f t="shared" si="34"/>
        <v>2.8999999999999998E-3</v>
      </c>
      <c r="S570">
        <f t="shared" si="35"/>
        <v>9</v>
      </c>
      <c r="T570">
        <f>INDEX([1]IDEN_level_ids!$B:$B,MATCH(G570,[1]IDEN_level_ids!$A:$A,0),1)</f>
        <v>1151</v>
      </c>
      <c r="U570">
        <f>INDEX([1]IDEN_level_ids!$B:$B,MATCH(H570,[1]IDEN_level_ids!$A:$A,0),1)</f>
        <v>645</v>
      </c>
    </row>
    <row r="571" spans="1:21" hidden="1" x14ac:dyDescent="0.25">
      <c r="A571">
        <v>91837.581699999995</v>
      </c>
      <c r="B571">
        <v>1088.8788</v>
      </c>
      <c r="C571">
        <v>4</v>
      </c>
      <c r="D571" t="s">
        <v>277</v>
      </c>
      <c r="F571">
        <v>1969</v>
      </c>
      <c r="G571" s="1" t="s">
        <v>285</v>
      </c>
      <c r="H571" s="1" t="s">
        <v>185</v>
      </c>
      <c r="I571">
        <v>0</v>
      </c>
      <c r="J571">
        <v>91838.117499999993</v>
      </c>
      <c r="K571">
        <v>6.3499999999999997E-3</v>
      </c>
      <c r="L571">
        <v>2.8999999999999998E-3</v>
      </c>
      <c r="M571">
        <v>0.245</v>
      </c>
      <c r="N571">
        <v>0.2387</v>
      </c>
      <c r="O571">
        <v>3.82E-3</v>
      </c>
      <c r="P571" s="3">
        <f t="shared" si="32"/>
        <v>1088.878846207685</v>
      </c>
      <c r="Q571" s="3">
        <f t="shared" si="33"/>
        <v>6.3527139022880874E-3</v>
      </c>
      <c r="R571" s="3">
        <f t="shared" si="34"/>
        <v>2.8999999999999998E-3</v>
      </c>
      <c r="S571">
        <f t="shared" si="35"/>
        <v>9</v>
      </c>
      <c r="T571">
        <f>INDEX([1]IDEN_level_ids!$B:$B,MATCH(G571,[1]IDEN_level_ids!$A:$A,0),1)</f>
        <v>1150</v>
      </c>
      <c r="U571">
        <f>INDEX([1]IDEN_level_ids!$B:$B,MATCH(H571,[1]IDEN_level_ids!$A:$A,0),1)</f>
        <v>633</v>
      </c>
    </row>
    <row r="572" spans="1:21" hidden="1" x14ac:dyDescent="0.25">
      <c r="A572">
        <v>91833.008499999996</v>
      </c>
      <c r="B572">
        <v>1088.9331</v>
      </c>
      <c r="C572">
        <v>4</v>
      </c>
      <c r="D572" t="s">
        <v>277</v>
      </c>
      <c r="F572">
        <v>1969</v>
      </c>
      <c r="G572" s="1" t="s">
        <v>81</v>
      </c>
      <c r="H572" s="1" t="s">
        <v>237</v>
      </c>
      <c r="I572">
        <v>0</v>
      </c>
      <c r="J572">
        <v>91833.140499999994</v>
      </c>
      <c r="K572">
        <v>1.57E-3</v>
      </c>
      <c r="L572">
        <v>2.8999999999999998E-3</v>
      </c>
      <c r="M572">
        <v>0.245</v>
      </c>
      <c r="N572">
        <v>4.3299999999999998E-2</v>
      </c>
      <c r="O572">
        <v>3.0400000000000002E-3</v>
      </c>
      <c r="P572" s="3">
        <f t="shared" si="32"/>
        <v>1088.9330713803197</v>
      </c>
      <c r="Q572" s="3">
        <f t="shared" si="33"/>
        <v>1.5652210588541493E-3</v>
      </c>
      <c r="R572" s="3">
        <f t="shared" si="34"/>
        <v>2.8999999999999998E-3</v>
      </c>
      <c r="S572">
        <f t="shared" si="35"/>
        <v>9</v>
      </c>
      <c r="T572">
        <f>INDEX([1]IDEN_level_ids!$B:$B,MATCH(G572,[1]IDEN_level_ids!$A:$A,0),1)</f>
        <v>1196</v>
      </c>
      <c r="U572">
        <f>INDEX([1]IDEN_level_ids!$B:$B,MATCH(H572,[1]IDEN_level_ids!$A:$A,0),1)</f>
        <v>773</v>
      </c>
    </row>
    <row r="573" spans="1:21" hidden="1" x14ac:dyDescent="0.25">
      <c r="A573">
        <v>91788.232499999998</v>
      </c>
      <c r="B573">
        <v>1089.4643000000001</v>
      </c>
      <c r="C573">
        <v>4</v>
      </c>
      <c r="D573" t="s">
        <v>277</v>
      </c>
      <c r="F573">
        <v>1969</v>
      </c>
      <c r="G573" s="1" t="s">
        <v>289</v>
      </c>
      <c r="H573" s="1" t="s">
        <v>221</v>
      </c>
      <c r="I573">
        <v>0</v>
      </c>
      <c r="J573">
        <v>91788.262300000002</v>
      </c>
      <c r="K573">
        <v>3.5E-4</v>
      </c>
      <c r="L573">
        <v>2.9099999999999998E-3</v>
      </c>
      <c r="M573">
        <v>0.245</v>
      </c>
      <c r="N573">
        <v>0.26619999999999999</v>
      </c>
      <c r="O573">
        <v>3.96E-3</v>
      </c>
      <c r="P573" s="3">
        <f t="shared" si="32"/>
        <v>1089.4642731027641</v>
      </c>
      <c r="Q573" s="3">
        <f t="shared" si="33"/>
        <v>3.5370574119042431E-4</v>
      </c>
      <c r="R573" s="3">
        <f t="shared" si="34"/>
        <v>2.9099999999999998E-3</v>
      </c>
      <c r="S573">
        <f t="shared" si="35"/>
        <v>9</v>
      </c>
      <c r="T573">
        <f>INDEX([1]IDEN_level_ids!$B:$B,MATCH(G573,[1]IDEN_level_ids!$A:$A,0),1)</f>
        <v>1122</v>
      </c>
      <c r="U573">
        <f>INDEX([1]IDEN_level_ids!$B:$B,MATCH(H573,[1]IDEN_level_ids!$A:$A,0),1)</f>
        <v>534</v>
      </c>
    </row>
    <row r="574" spans="1:21" hidden="1" x14ac:dyDescent="0.25">
      <c r="A574">
        <v>91779.224300000002</v>
      </c>
      <c r="B574">
        <v>1089.5712000000001</v>
      </c>
      <c r="C574">
        <v>4</v>
      </c>
      <c r="D574" t="s">
        <v>277</v>
      </c>
      <c r="F574">
        <v>1969</v>
      </c>
      <c r="G574" s="1" t="s">
        <v>290</v>
      </c>
      <c r="H574" s="1" t="s">
        <v>261</v>
      </c>
      <c r="I574">
        <v>0</v>
      </c>
      <c r="J574">
        <v>91779.127900000007</v>
      </c>
      <c r="K574">
        <v>-1.15E-3</v>
      </c>
      <c r="L574">
        <v>2.9099999999999998E-3</v>
      </c>
      <c r="M574">
        <v>0.245</v>
      </c>
      <c r="N574">
        <v>0.20480000000000001</v>
      </c>
      <c r="O574">
        <v>3.6600000000000001E-3</v>
      </c>
      <c r="P574" s="3">
        <f t="shared" si="32"/>
        <v>1089.5712048418347</v>
      </c>
      <c r="Q574" s="3">
        <f t="shared" si="33"/>
        <v>-1.1444286576534068E-3</v>
      </c>
      <c r="R574" s="3">
        <f t="shared" si="34"/>
        <v>2.9099999999999998E-3</v>
      </c>
      <c r="S574">
        <f t="shared" si="35"/>
        <v>9</v>
      </c>
      <c r="T574">
        <f>INDEX([1]IDEN_level_ids!$B:$B,MATCH(G574,[1]IDEN_level_ids!$A:$A,0),1)</f>
        <v>1153</v>
      </c>
      <c r="U574">
        <f>INDEX([1]IDEN_level_ids!$B:$B,MATCH(H574,[1]IDEN_level_ids!$A:$A,0),1)</f>
        <v>653</v>
      </c>
    </row>
    <row r="575" spans="1:21" hidden="1" x14ac:dyDescent="0.25">
      <c r="A575">
        <v>91749.781900000002</v>
      </c>
      <c r="B575">
        <v>1089.9208000000001</v>
      </c>
      <c r="C575">
        <v>4</v>
      </c>
      <c r="D575" t="s">
        <v>277</v>
      </c>
      <c r="F575">
        <v>1969</v>
      </c>
      <c r="G575" s="1" t="s">
        <v>51</v>
      </c>
      <c r="H575" s="1" t="s">
        <v>228</v>
      </c>
      <c r="I575">
        <v>0</v>
      </c>
      <c r="J575">
        <v>91750.064299999998</v>
      </c>
      <c r="K575">
        <v>3.3500000000000001E-3</v>
      </c>
      <c r="L575">
        <v>2.9099999999999998E-3</v>
      </c>
      <c r="M575">
        <v>0.245</v>
      </c>
      <c r="N575">
        <v>2.4899999999999999E-2</v>
      </c>
      <c r="O575">
        <v>2.98E-3</v>
      </c>
      <c r="P575" s="3">
        <f t="shared" si="32"/>
        <v>1089.9208469944058</v>
      </c>
      <c r="Q575" s="3">
        <f t="shared" si="33"/>
        <v>3.3546968008977274E-3</v>
      </c>
      <c r="R575" s="3">
        <f t="shared" si="34"/>
        <v>2.9099999999999998E-3</v>
      </c>
      <c r="S575">
        <f t="shared" si="35"/>
        <v>9</v>
      </c>
      <c r="T575">
        <f>INDEX([1]IDEN_level_ids!$B:$B,MATCH(G575,[1]IDEN_level_ids!$A:$A,0),1)</f>
        <v>1213</v>
      </c>
      <c r="U575">
        <f>INDEX([1]IDEN_level_ids!$B:$B,MATCH(H575,[1]IDEN_level_ids!$A:$A,0),1)</f>
        <v>804</v>
      </c>
    </row>
    <row r="576" spans="1:21" hidden="1" x14ac:dyDescent="0.25">
      <c r="A576">
        <v>91742.608300000007</v>
      </c>
      <c r="B576">
        <v>1090.0061000000001</v>
      </c>
      <c r="C576">
        <v>4</v>
      </c>
      <c r="D576" t="s">
        <v>277</v>
      </c>
      <c r="F576">
        <v>1969</v>
      </c>
      <c r="G576" s="1" t="s">
        <v>182</v>
      </c>
      <c r="H576" s="1" t="s">
        <v>214</v>
      </c>
      <c r="I576">
        <v>0</v>
      </c>
      <c r="J576">
        <v>91742.606499999994</v>
      </c>
      <c r="K576">
        <v>-2.0000000000000002E-5</v>
      </c>
      <c r="L576">
        <v>2.9099999999999998E-3</v>
      </c>
      <c r="M576">
        <v>0.245</v>
      </c>
      <c r="N576">
        <v>4.9599999999999998E-2</v>
      </c>
      <c r="O576">
        <v>3.0599999999999998E-3</v>
      </c>
      <c r="P576" s="3">
        <f t="shared" si="32"/>
        <v>1090.0060708215115</v>
      </c>
      <c r="Q576" s="3">
        <f t="shared" si="33"/>
        <v>-2.1386038952186937E-5</v>
      </c>
      <c r="R576" s="3">
        <f t="shared" si="34"/>
        <v>2.9099999999999998E-3</v>
      </c>
      <c r="S576">
        <f t="shared" si="35"/>
        <v>9</v>
      </c>
      <c r="T576">
        <f>INDEX([1]IDEN_level_ids!$B:$B,MATCH(G576,[1]IDEN_level_ids!$A:$A,0),1)</f>
        <v>1210</v>
      </c>
      <c r="U576">
        <f>INDEX([1]IDEN_level_ids!$B:$B,MATCH(H576,[1]IDEN_level_ids!$A:$A,0),1)</f>
        <v>794</v>
      </c>
    </row>
    <row r="577" spans="1:21" hidden="1" x14ac:dyDescent="0.25">
      <c r="A577">
        <v>91712.314100000003</v>
      </c>
      <c r="B577">
        <v>1090.3661</v>
      </c>
      <c r="C577">
        <v>4</v>
      </c>
      <c r="D577" t="s">
        <v>277</v>
      </c>
      <c r="E577" t="s">
        <v>236</v>
      </c>
      <c r="F577">
        <v>1969</v>
      </c>
      <c r="G577" s="1" t="s">
        <v>239</v>
      </c>
      <c r="H577" s="1" t="s">
        <v>145</v>
      </c>
      <c r="I577">
        <v>0</v>
      </c>
      <c r="J577">
        <v>91712.297600000005</v>
      </c>
      <c r="K577">
        <v>-2.0000000000000001E-4</v>
      </c>
      <c r="L577">
        <v>4.47E-3</v>
      </c>
      <c r="M577">
        <v>0.37580000000000002</v>
      </c>
      <c r="N577">
        <v>5.3199999999999997E-2</v>
      </c>
      <c r="O577">
        <v>4.7200000000000002E-3</v>
      </c>
      <c r="P577" s="3">
        <f t="shared" si="32"/>
        <v>1090.3661191120243</v>
      </c>
      <c r="Q577" s="3">
        <f t="shared" si="33"/>
        <v>-1.9616825056800735E-4</v>
      </c>
      <c r="R577" s="3">
        <f t="shared" si="34"/>
        <v>4.47E-3</v>
      </c>
      <c r="S577">
        <f t="shared" si="35"/>
        <v>9</v>
      </c>
      <c r="T577">
        <f>INDEX([1]IDEN_level_ids!$B:$B,MATCH(G577,[1]IDEN_level_ids!$A:$A,0),1)</f>
        <v>1167</v>
      </c>
      <c r="U577">
        <f>INDEX([1]IDEN_level_ids!$B:$B,MATCH(H577,[1]IDEN_level_ids!$A:$A,0),1)</f>
        <v>720</v>
      </c>
    </row>
    <row r="578" spans="1:21" hidden="1" x14ac:dyDescent="0.25">
      <c r="A578">
        <v>91698.016000000003</v>
      </c>
      <c r="B578">
        <v>1090.5361</v>
      </c>
      <c r="C578">
        <v>4</v>
      </c>
      <c r="D578" t="s">
        <v>277</v>
      </c>
      <c r="F578">
        <v>1969</v>
      </c>
      <c r="G578" s="1" t="s">
        <v>285</v>
      </c>
      <c r="H578" s="1" t="s">
        <v>104</v>
      </c>
      <c r="I578">
        <v>0</v>
      </c>
      <c r="J578">
        <v>91697.611799999999</v>
      </c>
      <c r="K578">
        <v>-4.81E-3</v>
      </c>
      <c r="L578">
        <v>2.9099999999999998E-3</v>
      </c>
      <c r="M578">
        <v>0.245</v>
      </c>
      <c r="N578">
        <v>3.9699999999999999E-2</v>
      </c>
      <c r="O578">
        <v>3.0300000000000001E-3</v>
      </c>
      <c r="P578" s="3">
        <f t="shared" ref="P578:P641" si="36">100000000/$A578</f>
        <v>1090.5361354819279</v>
      </c>
      <c r="Q578" s="3">
        <f t="shared" ref="Q578:Q641" si="37">100000000/($A578)-100000000/$J578</f>
        <v>-4.8070467412344442E-3</v>
      </c>
      <c r="R578" s="3">
        <f t="shared" si="34"/>
        <v>2.9099999999999998E-3</v>
      </c>
      <c r="S578">
        <f t="shared" si="35"/>
        <v>9</v>
      </c>
      <c r="T578">
        <f>INDEX([1]IDEN_level_ids!$B:$B,MATCH(G578,[1]IDEN_level_ids!$A:$A,0),1)</f>
        <v>1150</v>
      </c>
      <c r="U578">
        <f>INDEX([1]IDEN_level_ids!$B:$B,MATCH(H578,[1]IDEN_level_ids!$A:$A,0),1)</f>
        <v>636</v>
      </c>
    </row>
    <row r="579" spans="1:21" hidden="1" x14ac:dyDescent="0.25">
      <c r="A579">
        <v>91672.574600000007</v>
      </c>
      <c r="B579">
        <v>1090.8388</v>
      </c>
      <c r="C579">
        <v>4</v>
      </c>
      <c r="D579" t="s">
        <v>277</v>
      </c>
      <c r="F579">
        <v>1969</v>
      </c>
      <c r="G579" s="1" t="s">
        <v>166</v>
      </c>
      <c r="H579" s="1" t="s">
        <v>131</v>
      </c>
      <c r="I579">
        <v>0</v>
      </c>
      <c r="J579">
        <v>91672.548500000004</v>
      </c>
      <c r="K579">
        <v>-3.1E-4</v>
      </c>
      <c r="L579">
        <v>2.9199999999999999E-3</v>
      </c>
      <c r="M579">
        <v>0.245</v>
      </c>
      <c r="N579">
        <v>2.63E-2</v>
      </c>
      <c r="O579">
        <v>2.99E-3</v>
      </c>
      <c r="P579" s="3">
        <f t="shared" si="36"/>
        <v>1090.8387861509891</v>
      </c>
      <c r="Q579" s="3">
        <f t="shared" si="37"/>
        <v>-3.1057162459546817E-4</v>
      </c>
      <c r="R579" s="3">
        <f t="shared" ref="R579:R642" si="38">$L579</f>
        <v>2.9199999999999999E-3</v>
      </c>
      <c r="S579">
        <f t="shared" si="35"/>
        <v>9</v>
      </c>
      <c r="T579">
        <f>INDEX([1]IDEN_level_ids!$B:$B,MATCH(G579,[1]IDEN_level_ids!$A:$A,0),1)</f>
        <v>1186</v>
      </c>
      <c r="U579">
        <f>INDEX([1]IDEN_level_ids!$B:$B,MATCH(H579,[1]IDEN_level_ids!$A:$A,0),1)</f>
        <v>764</v>
      </c>
    </row>
    <row r="580" spans="1:21" hidden="1" x14ac:dyDescent="0.25">
      <c r="A580">
        <v>91669.4277</v>
      </c>
      <c r="B580">
        <v>1090.8761999999999</v>
      </c>
      <c r="C580">
        <v>4</v>
      </c>
      <c r="D580" t="s">
        <v>277</v>
      </c>
      <c r="F580">
        <v>1969</v>
      </c>
      <c r="G580" s="1" t="s">
        <v>252</v>
      </c>
      <c r="H580" s="1" t="s">
        <v>192</v>
      </c>
      <c r="I580">
        <v>0</v>
      </c>
      <c r="J580">
        <v>91669.315300000002</v>
      </c>
      <c r="K580">
        <v>-1.34E-3</v>
      </c>
      <c r="L580">
        <v>2.9199999999999999E-3</v>
      </c>
      <c r="M580">
        <v>0.245</v>
      </c>
      <c r="N580">
        <v>2.12E-2</v>
      </c>
      <c r="O580">
        <v>2.98E-3</v>
      </c>
      <c r="P580" s="3">
        <f t="shared" si="36"/>
        <v>1090.876233320261</v>
      </c>
      <c r="Q580" s="3">
        <f t="shared" si="37"/>
        <v>-1.3375739549701393E-3</v>
      </c>
      <c r="R580" s="3">
        <f t="shared" si="38"/>
        <v>2.9199999999999999E-3</v>
      </c>
      <c r="S580">
        <f t="shared" ref="S580:S643" si="39">IF(D580=D579,S579,S579+1)</f>
        <v>9</v>
      </c>
      <c r="T580">
        <f>INDEX([1]IDEN_level_ids!$B:$B,MATCH(G580,[1]IDEN_level_ids!$A:$A,0),1)</f>
        <v>1188</v>
      </c>
      <c r="U580">
        <f>INDEX([1]IDEN_level_ids!$B:$B,MATCH(H580,[1]IDEN_level_ids!$A:$A,0),1)</f>
        <v>762</v>
      </c>
    </row>
    <row r="581" spans="1:21" hidden="1" x14ac:dyDescent="0.25">
      <c r="A581">
        <v>91655.088199999998</v>
      </c>
      <c r="B581">
        <v>1091.0469000000001</v>
      </c>
      <c r="C581">
        <v>4</v>
      </c>
      <c r="D581" t="s">
        <v>277</v>
      </c>
      <c r="F581">
        <v>1969</v>
      </c>
      <c r="G581" s="1" t="s">
        <v>197</v>
      </c>
      <c r="H581" s="1" t="s">
        <v>127</v>
      </c>
      <c r="I581">
        <v>0</v>
      </c>
      <c r="J581">
        <v>91655.047300000006</v>
      </c>
      <c r="K581">
        <v>-4.8999999999999998E-4</v>
      </c>
      <c r="L581">
        <v>2.9199999999999999E-3</v>
      </c>
      <c r="M581">
        <v>0.245</v>
      </c>
      <c r="N581">
        <v>2.6100000000000002E-2</v>
      </c>
      <c r="O581">
        <v>2.99E-3</v>
      </c>
      <c r="P581" s="3">
        <f t="shared" si="36"/>
        <v>1091.0469016383533</v>
      </c>
      <c r="Q581" s="3">
        <f t="shared" si="37"/>
        <v>-4.8686700392863713E-4</v>
      </c>
      <c r="R581" s="3">
        <f t="shared" si="38"/>
        <v>2.9199999999999999E-3</v>
      </c>
      <c r="S581">
        <f t="shared" si="39"/>
        <v>9</v>
      </c>
      <c r="T581">
        <f>INDEX([1]IDEN_level_ids!$B:$B,MATCH(G581,[1]IDEN_level_ids!$A:$A,0),1)</f>
        <v>1182</v>
      </c>
      <c r="U581">
        <f>INDEX([1]IDEN_level_ids!$B:$B,MATCH(H581,[1]IDEN_level_ids!$A:$A,0),1)</f>
        <v>760</v>
      </c>
    </row>
    <row r="582" spans="1:21" hidden="1" x14ac:dyDescent="0.25">
      <c r="A582">
        <v>91618.983200000002</v>
      </c>
      <c r="B582">
        <v>1091.4768999999999</v>
      </c>
      <c r="C582">
        <v>4</v>
      </c>
      <c r="D582" t="s">
        <v>277</v>
      </c>
      <c r="F582">
        <v>1969</v>
      </c>
      <c r="G582" s="1" t="s">
        <v>182</v>
      </c>
      <c r="H582" s="1" t="s">
        <v>291</v>
      </c>
      <c r="I582">
        <v>0</v>
      </c>
      <c r="J582">
        <v>91618.845499999996</v>
      </c>
      <c r="K582">
        <v>-1.64E-3</v>
      </c>
      <c r="L582">
        <v>2.9199999999999999E-3</v>
      </c>
      <c r="M582">
        <v>0.245</v>
      </c>
      <c r="N582">
        <v>0.3412</v>
      </c>
      <c r="O582">
        <v>4.4299999999999999E-3</v>
      </c>
      <c r="P582" s="3">
        <f t="shared" si="36"/>
        <v>1091.4768589136668</v>
      </c>
      <c r="Q582" s="3">
        <f t="shared" si="37"/>
        <v>-1.640452492665645E-3</v>
      </c>
      <c r="R582" s="3">
        <f t="shared" si="38"/>
        <v>2.9199999999999999E-3</v>
      </c>
      <c r="S582">
        <f t="shared" si="39"/>
        <v>9</v>
      </c>
      <c r="T582">
        <f>INDEX([1]IDEN_level_ids!$B:$B,MATCH(G582,[1]IDEN_level_ids!$A:$A,0),1)</f>
        <v>1210</v>
      </c>
      <c r="U582">
        <f>INDEX([1]IDEN_level_ids!$B:$B,MATCH(H582,[1]IDEN_level_ids!$A:$A,0),1)</f>
        <v>795</v>
      </c>
    </row>
    <row r="583" spans="1:21" hidden="1" x14ac:dyDescent="0.25">
      <c r="A583">
        <v>91612.414399999994</v>
      </c>
      <c r="B583">
        <v>1091.5551</v>
      </c>
      <c r="C583">
        <v>4</v>
      </c>
      <c r="D583" t="s">
        <v>277</v>
      </c>
      <c r="F583">
        <v>1969</v>
      </c>
      <c r="G583" s="1" t="s">
        <v>182</v>
      </c>
      <c r="H583" s="1" t="s">
        <v>292</v>
      </c>
      <c r="I583">
        <v>0</v>
      </c>
      <c r="J583">
        <v>91612.291400000002</v>
      </c>
      <c r="K583">
        <v>-1.4599999999999999E-3</v>
      </c>
      <c r="L583">
        <v>2.9199999999999999E-3</v>
      </c>
      <c r="M583">
        <v>0.245</v>
      </c>
      <c r="N583">
        <v>5.8999999999999997E-2</v>
      </c>
      <c r="O583">
        <v>3.0999999999999999E-3</v>
      </c>
      <c r="P583" s="3">
        <f t="shared" si="36"/>
        <v>1091.5551200667844</v>
      </c>
      <c r="Q583" s="3">
        <f t="shared" si="37"/>
        <v>-1.4655378411134734E-3</v>
      </c>
      <c r="R583" s="3">
        <f t="shared" si="38"/>
        <v>2.9199999999999999E-3</v>
      </c>
      <c r="S583">
        <f t="shared" si="39"/>
        <v>9</v>
      </c>
      <c r="T583">
        <f>INDEX([1]IDEN_level_ids!$B:$B,MATCH(G583,[1]IDEN_level_ids!$A:$A,0),1)</f>
        <v>1210</v>
      </c>
      <c r="U583">
        <f>INDEX([1]IDEN_level_ids!$B:$B,MATCH(H583,[1]IDEN_level_ids!$A:$A,0),1)</f>
        <v>796</v>
      </c>
    </row>
    <row r="584" spans="1:21" hidden="1" x14ac:dyDescent="0.25">
      <c r="A584">
        <v>91602.282600000006</v>
      </c>
      <c r="B584">
        <v>1091.6759</v>
      </c>
      <c r="C584">
        <v>4</v>
      </c>
      <c r="D584" t="s">
        <v>277</v>
      </c>
      <c r="F584">
        <v>1969</v>
      </c>
      <c r="G584" s="1" t="s">
        <v>293</v>
      </c>
      <c r="H584" s="1" t="s">
        <v>221</v>
      </c>
      <c r="I584">
        <v>0</v>
      </c>
      <c r="J584">
        <v>91602.545899999997</v>
      </c>
      <c r="K584">
        <v>3.14E-3</v>
      </c>
      <c r="L584">
        <v>2.9199999999999999E-3</v>
      </c>
      <c r="M584">
        <v>0.245</v>
      </c>
      <c r="N584">
        <v>0.26619999999999999</v>
      </c>
      <c r="O584">
        <v>3.98E-3</v>
      </c>
      <c r="P584" s="3">
        <f t="shared" si="36"/>
        <v>1091.6758530643863</v>
      </c>
      <c r="Q584" s="3">
        <f t="shared" si="37"/>
        <v>3.1378849712382362E-3</v>
      </c>
      <c r="R584" s="3">
        <f t="shared" si="38"/>
        <v>2.9199999999999999E-3</v>
      </c>
      <c r="S584">
        <f t="shared" si="39"/>
        <v>9</v>
      </c>
      <c r="T584">
        <f>INDEX([1]IDEN_level_ids!$B:$B,MATCH(G584,[1]IDEN_level_ids!$A:$A,0),1)</f>
        <v>1121</v>
      </c>
      <c r="U584">
        <f>INDEX([1]IDEN_level_ids!$B:$B,MATCH(H584,[1]IDEN_level_ids!$A:$A,0),1)</f>
        <v>534</v>
      </c>
    </row>
    <row r="585" spans="1:21" hidden="1" x14ac:dyDescent="0.25">
      <c r="A585">
        <v>91576.5101</v>
      </c>
      <c r="B585">
        <v>1091.9830999999999</v>
      </c>
      <c r="C585">
        <v>4</v>
      </c>
      <c r="D585" t="s">
        <v>277</v>
      </c>
      <c r="F585">
        <v>1969</v>
      </c>
      <c r="G585" s="1" t="s">
        <v>197</v>
      </c>
      <c r="H585" s="1" t="s">
        <v>192</v>
      </c>
      <c r="I585">
        <v>0</v>
      </c>
      <c r="J585">
        <v>91576.263200000001</v>
      </c>
      <c r="K585">
        <v>-2.9399999999999999E-3</v>
      </c>
      <c r="L585">
        <v>2.9199999999999999E-3</v>
      </c>
      <c r="M585">
        <v>0.245</v>
      </c>
      <c r="N585">
        <v>2.07E-2</v>
      </c>
      <c r="O585">
        <v>2.98E-3</v>
      </c>
      <c r="P585" s="3">
        <f t="shared" si="36"/>
        <v>1091.9830848631564</v>
      </c>
      <c r="Q585" s="3">
        <f t="shared" si="37"/>
        <v>-2.9441103429235227E-3</v>
      </c>
      <c r="R585" s="3">
        <f t="shared" si="38"/>
        <v>2.9199999999999999E-3</v>
      </c>
      <c r="S585">
        <f t="shared" si="39"/>
        <v>9</v>
      </c>
      <c r="T585">
        <f>INDEX([1]IDEN_level_ids!$B:$B,MATCH(G585,[1]IDEN_level_ids!$A:$A,0),1)</f>
        <v>1182</v>
      </c>
      <c r="U585">
        <f>INDEX([1]IDEN_level_ids!$B:$B,MATCH(H585,[1]IDEN_level_ids!$A:$A,0),1)</f>
        <v>762</v>
      </c>
    </row>
    <row r="586" spans="1:21" hidden="1" x14ac:dyDescent="0.25">
      <c r="A586">
        <v>91572.404800000004</v>
      </c>
      <c r="B586">
        <v>1092.0319999999999</v>
      </c>
      <c r="C586">
        <v>4</v>
      </c>
      <c r="D586" t="s">
        <v>277</v>
      </c>
      <c r="F586">
        <v>1969</v>
      </c>
      <c r="G586" s="1" t="s">
        <v>49</v>
      </c>
      <c r="H586" s="1" t="s">
        <v>184</v>
      </c>
      <c r="I586">
        <v>0</v>
      </c>
      <c r="J586">
        <v>91572.183699999994</v>
      </c>
      <c r="K586">
        <v>-2.64E-3</v>
      </c>
      <c r="L586">
        <v>2.9199999999999999E-3</v>
      </c>
      <c r="M586">
        <v>0.245</v>
      </c>
      <c r="N586">
        <v>3.15E-2</v>
      </c>
      <c r="O586">
        <v>3.0200000000000001E-3</v>
      </c>
      <c r="P586" s="3">
        <f t="shared" si="36"/>
        <v>1092.0320397657613</v>
      </c>
      <c r="Q586" s="3">
        <f t="shared" si="37"/>
        <v>-2.6366989870894031E-3</v>
      </c>
      <c r="R586" s="3">
        <f t="shared" si="38"/>
        <v>2.9199999999999999E-3</v>
      </c>
      <c r="S586">
        <f t="shared" si="39"/>
        <v>9</v>
      </c>
      <c r="T586">
        <f>INDEX([1]IDEN_level_ids!$B:$B,MATCH(G586,[1]IDEN_level_ids!$A:$A,0),1)</f>
        <v>1214</v>
      </c>
      <c r="U586">
        <f>INDEX([1]IDEN_level_ids!$B:$B,MATCH(H586,[1]IDEN_level_ids!$A:$A,0),1)</f>
        <v>810</v>
      </c>
    </row>
    <row r="587" spans="1:21" hidden="1" x14ac:dyDescent="0.25">
      <c r="A587">
        <v>91547.826499999996</v>
      </c>
      <c r="B587">
        <v>1092.3252</v>
      </c>
      <c r="C587">
        <v>4</v>
      </c>
      <c r="D587" t="s">
        <v>277</v>
      </c>
      <c r="E587" t="s">
        <v>294</v>
      </c>
      <c r="F587">
        <v>1969</v>
      </c>
      <c r="G587" s="1" t="s">
        <v>285</v>
      </c>
      <c r="H587" s="1" t="s">
        <v>139</v>
      </c>
      <c r="I587">
        <v>0</v>
      </c>
      <c r="J587">
        <v>91547.473599999998</v>
      </c>
      <c r="K587">
        <v>-4.2100000000000002E-3</v>
      </c>
      <c r="L587">
        <v>4.4799999999999996E-3</v>
      </c>
      <c r="M587">
        <v>0.37580000000000002</v>
      </c>
      <c r="N587">
        <v>4.9700000000000001E-2</v>
      </c>
      <c r="O587">
        <v>4.7200000000000002E-3</v>
      </c>
      <c r="P587" s="3">
        <f t="shared" si="36"/>
        <v>1092.3252230351968</v>
      </c>
      <c r="Q587" s="3">
        <f t="shared" si="37"/>
        <v>-4.2107286640202801E-3</v>
      </c>
      <c r="R587" s="3">
        <f t="shared" si="38"/>
        <v>4.4799999999999996E-3</v>
      </c>
      <c r="S587">
        <f t="shared" si="39"/>
        <v>9</v>
      </c>
      <c r="T587">
        <f>INDEX([1]IDEN_level_ids!$B:$B,MATCH(G587,[1]IDEN_level_ids!$A:$A,0),1)</f>
        <v>1150</v>
      </c>
      <c r="U587">
        <f>INDEX([1]IDEN_level_ids!$B:$B,MATCH(H587,[1]IDEN_level_ids!$A:$A,0),1)</f>
        <v>642</v>
      </c>
    </row>
    <row r="588" spans="1:21" hidden="1" x14ac:dyDescent="0.25">
      <c r="A588">
        <v>91534.784</v>
      </c>
      <c r="B588">
        <v>1092.4809</v>
      </c>
      <c r="C588">
        <v>4</v>
      </c>
      <c r="D588" t="s">
        <v>277</v>
      </c>
      <c r="F588">
        <v>1969</v>
      </c>
      <c r="G588" s="1" t="s">
        <v>265</v>
      </c>
      <c r="H588" s="1" t="s">
        <v>153</v>
      </c>
      <c r="I588">
        <v>0</v>
      </c>
      <c r="J588">
        <v>91534.753700000001</v>
      </c>
      <c r="K588">
        <v>-3.6000000000000002E-4</v>
      </c>
      <c r="L588">
        <v>2.9199999999999999E-3</v>
      </c>
      <c r="M588">
        <v>0.245</v>
      </c>
      <c r="N588">
        <v>0.151</v>
      </c>
      <c r="O588">
        <v>3.4399999999999999E-3</v>
      </c>
      <c r="P588" s="3">
        <f t="shared" si="36"/>
        <v>1092.4808649791537</v>
      </c>
      <c r="Q588" s="3">
        <f t="shared" si="37"/>
        <v>-3.6163499521535414E-4</v>
      </c>
      <c r="R588" s="3">
        <f t="shared" si="38"/>
        <v>2.9199999999999999E-3</v>
      </c>
      <c r="S588">
        <f t="shared" si="39"/>
        <v>9</v>
      </c>
      <c r="T588">
        <f>INDEX([1]IDEN_level_ids!$B:$B,MATCH(G588,[1]IDEN_level_ids!$A:$A,0),1)</f>
        <v>1161</v>
      </c>
      <c r="U588">
        <f>INDEX([1]IDEN_level_ids!$B:$B,MATCH(H588,[1]IDEN_level_ids!$A:$A,0),1)</f>
        <v>681</v>
      </c>
    </row>
    <row r="589" spans="1:21" hidden="1" x14ac:dyDescent="0.25">
      <c r="A589">
        <v>91498.824999999997</v>
      </c>
      <c r="B589">
        <v>1092.9102</v>
      </c>
      <c r="C589">
        <v>4</v>
      </c>
      <c r="D589" t="s">
        <v>277</v>
      </c>
      <c r="F589">
        <v>1969</v>
      </c>
      <c r="G589" s="1" t="s">
        <v>268</v>
      </c>
      <c r="H589" s="1" t="s">
        <v>151</v>
      </c>
      <c r="I589">
        <v>0</v>
      </c>
      <c r="J589">
        <v>91498.763600000006</v>
      </c>
      <c r="K589">
        <v>-7.2999999999999996E-4</v>
      </c>
      <c r="L589">
        <v>2.9299999999999999E-3</v>
      </c>
      <c r="M589">
        <v>0.245</v>
      </c>
      <c r="N589">
        <v>4.0800000000000003E-2</v>
      </c>
      <c r="O589">
        <v>3.0500000000000002E-3</v>
      </c>
      <c r="P589" s="3">
        <f t="shared" si="36"/>
        <v>1092.9102095026903</v>
      </c>
      <c r="Q589" s="3">
        <f t="shared" si="37"/>
        <v>-7.3339446589670843E-4</v>
      </c>
      <c r="R589" s="3">
        <f t="shared" si="38"/>
        <v>2.9299999999999999E-3</v>
      </c>
      <c r="S589">
        <f t="shared" si="39"/>
        <v>9</v>
      </c>
      <c r="T589">
        <f>INDEX([1]IDEN_level_ids!$B:$B,MATCH(G589,[1]IDEN_level_ids!$A:$A,0),1)</f>
        <v>1160</v>
      </c>
      <c r="U589">
        <f>INDEX([1]IDEN_level_ids!$B:$B,MATCH(H589,[1]IDEN_level_ids!$A:$A,0),1)</f>
        <v>685</v>
      </c>
    </row>
    <row r="590" spans="1:21" hidden="1" x14ac:dyDescent="0.25">
      <c r="A590">
        <v>91475.814799999993</v>
      </c>
      <c r="B590">
        <v>1093.1850999999999</v>
      </c>
      <c r="C590">
        <v>4</v>
      </c>
      <c r="D590" t="s">
        <v>277</v>
      </c>
      <c r="F590">
        <v>1969</v>
      </c>
      <c r="G590" s="1" t="s">
        <v>81</v>
      </c>
      <c r="H590" s="1" t="s">
        <v>202</v>
      </c>
      <c r="I590">
        <v>0</v>
      </c>
      <c r="J590">
        <v>91475.843099999998</v>
      </c>
      <c r="K590">
        <v>3.4000000000000002E-4</v>
      </c>
      <c r="L590">
        <v>2.9299999999999999E-3</v>
      </c>
      <c r="M590">
        <v>0.245</v>
      </c>
      <c r="N590">
        <v>3.7400000000000003E-2</v>
      </c>
      <c r="O590">
        <v>3.0400000000000002E-3</v>
      </c>
      <c r="P590" s="3">
        <f t="shared" si="36"/>
        <v>1093.185124599732</v>
      </c>
      <c r="Q590" s="3">
        <f t="shared" si="37"/>
        <v>3.3820009730334277E-4</v>
      </c>
      <c r="R590" s="3">
        <f t="shared" si="38"/>
        <v>2.9299999999999999E-3</v>
      </c>
      <c r="S590">
        <f t="shared" si="39"/>
        <v>9</v>
      </c>
      <c r="T590">
        <f>INDEX([1]IDEN_level_ids!$B:$B,MATCH(G590,[1]IDEN_level_ids!$A:$A,0),1)</f>
        <v>1196</v>
      </c>
      <c r="U590">
        <f>INDEX([1]IDEN_level_ids!$B:$B,MATCH(H590,[1]IDEN_level_ids!$A:$A,0),1)</f>
        <v>781</v>
      </c>
    </row>
    <row r="591" spans="1:21" hidden="1" x14ac:dyDescent="0.25">
      <c r="A591">
        <v>91470.120899999994</v>
      </c>
      <c r="B591">
        <v>1093.2532000000001</v>
      </c>
      <c r="C591">
        <v>4</v>
      </c>
      <c r="D591" t="s">
        <v>277</v>
      </c>
      <c r="F591">
        <v>1969</v>
      </c>
      <c r="G591" s="1" t="s">
        <v>94</v>
      </c>
      <c r="H591" s="1" t="s">
        <v>165</v>
      </c>
      <c r="I591">
        <v>0</v>
      </c>
      <c r="J591">
        <v>91470.024300000005</v>
      </c>
      <c r="K591">
        <v>-1.15E-3</v>
      </c>
      <c r="L591">
        <v>2.9299999999999999E-3</v>
      </c>
      <c r="M591">
        <v>0.245</v>
      </c>
      <c r="N591">
        <v>2.5399999999999999E-2</v>
      </c>
      <c r="O591">
        <v>3.0000000000000001E-3</v>
      </c>
      <c r="P591" s="3">
        <f t="shared" si="36"/>
        <v>1093.25317399903</v>
      </c>
      <c r="Q591" s="3">
        <f t="shared" si="37"/>
        <v>-1.1545668364760786E-3</v>
      </c>
      <c r="R591" s="3">
        <f t="shared" si="38"/>
        <v>2.9299999999999999E-3</v>
      </c>
      <c r="S591">
        <f t="shared" si="39"/>
        <v>9</v>
      </c>
      <c r="T591">
        <f>INDEX([1]IDEN_level_ids!$B:$B,MATCH(G591,[1]IDEN_level_ids!$A:$A,0),1)</f>
        <v>1207</v>
      </c>
      <c r="U591">
        <f>INDEX([1]IDEN_level_ids!$B:$B,MATCH(H591,[1]IDEN_level_ids!$A:$A,0),1)</f>
        <v>802</v>
      </c>
    </row>
    <row r="592" spans="1:21" hidden="1" x14ac:dyDescent="0.25">
      <c r="A592">
        <v>91447.710600000006</v>
      </c>
      <c r="B592">
        <v>1093.5210999999999</v>
      </c>
      <c r="C592">
        <v>4</v>
      </c>
      <c r="D592" t="s">
        <v>277</v>
      </c>
      <c r="F592">
        <v>1969</v>
      </c>
      <c r="G592" s="1" t="s">
        <v>295</v>
      </c>
      <c r="H592" s="1" t="s">
        <v>261</v>
      </c>
      <c r="I592">
        <v>0</v>
      </c>
      <c r="J592">
        <v>91447.726800000004</v>
      </c>
      <c r="K592">
        <v>1.9000000000000001E-4</v>
      </c>
      <c r="L592">
        <v>2.9299999999999999E-3</v>
      </c>
      <c r="M592">
        <v>0.245</v>
      </c>
      <c r="N592">
        <v>0.2019</v>
      </c>
      <c r="O592">
        <v>3.6700000000000001E-3</v>
      </c>
      <c r="P592" s="3">
        <f t="shared" si="36"/>
        <v>1093.5210881047469</v>
      </c>
      <c r="Q592" s="3">
        <f t="shared" si="37"/>
        <v>1.9371768166820402E-4</v>
      </c>
      <c r="R592" s="3">
        <f t="shared" si="38"/>
        <v>2.9299999999999999E-3</v>
      </c>
      <c r="S592">
        <f t="shared" si="39"/>
        <v>9</v>
      </c>
      <c r="T592">
        <f>INDEX([1]IDEN_level_ids!$B:$B,MATCH(G592,[1]IDEN_level_ids!$A:$A,0),1)</f>
        <v>1152</v>
      </c>
      <c r="U592">
        <f>INDEX([1]IDEN_level_ids!$B:$B,MATCH(H592,[1]IDEN_level_ids!$A:$A,0),1)</f>
        <v>653</v>
      </c>
    </row>
    <row r="593" spans="1:21" hidden="1" x14ac:dyDescent="0.25">
      <c r="A593">
        <v>91441.016699999993</v>
      </c>
      <c r="B593">
        <v>1093.6011000000001</v>
      </c>
      <c r="C593">
        <v>4</v>
      </c>
      <c r="D593" t="s">
        <v>277</v>
      </c>
      <c r="F593">
        <v>1969</v>
      </c>
      <c r="G593" s="1" t="s">
        <v>289</v>
      </c>
      <c r="H593" s="1" t="s">
        <v>90</v>
      </c>
      <c r="I593">
        <v>0</v>
      </c>
      <c r="J593">
        <v>91441.3318</v>
      </c>
      <c r="K593">
        <v>3.7699999999999999E-3</v>
      </c>
      <c r="L593">
        <v>2.9299999999999999E-3</v>
      </c>
      <c r="M593">
        <v>0.245</v>
      </c>
      <c r="N593">
        <v>0.2079</v>
      </c>
      <c r="O593">
        <v>3.7000000000000002E-3</v>
      </c>
      <c r="P593" s="3">
        <f t="shared" si="36"/>
        <v>1093.6011388421057</v>
      </c>
      <c r="Q593" s="3">
        <f t="shared" si="37"/>
        <v>3.7684678477489797E-3</v>
      </c>
      <c r="R593" s="3">
        <f t="shared" si="38"/>
        <v>2.9299999999999999E-3</v>
      </c>
      <c r="S593">
        <f t="shared" si="39"/>
        <v>9</v>
      </c>
      <c r="T593">
        <f>INDEX([1]IDEN_level_ids!$B:$B,MATCH(G593,[1]IDEN_level_ids!$A:$A,0),1)</f>
        <v>1122</v>
      </c>
      <c r="U593">
        <f>INDEX([1]IDEN_level_ids!$B:$B,MATCH(H593,[1]IDEN_level_ids!$A:$A,0),1)</f>
        <v>540</v>
      </c>
    </row>
    <row r="594" spans="1:21" hidden="1" x14ac:dyDescent="0.25">
      <c r="A594">
        <v>91386.386499999993</v>
      </c>
      <c r="B594">
        <v>1094.2548999999999</v>
      </c>
      <c r="C594">
        <v>4</v>
      </c>
      <c r="D594" t="s">
        <v>277</v>
      </c>
      <c r="F594">
        <v>1969</v>
      </c>
      <c r="G594" s="1" t="s">
        <v>82</v>
      </c>
      <c r="H594" s="1" t="s">
        <v>237</v>
      </c>
      <c r="I594">
        <v>0</v>
      </c>
      <c r="J594">
        <v>91386.369600000005</v>
      </c>
      <c r="K594">
        <v>-2.0000000000000001E-4</v>
      </c>
      <c r="L594">
        <v>2.9299999999999999E-3</v>
      </c>
      <c r="M594">
        <v>0.245</v>
      </c>
      <c r="N594">
        <v>4.3099999999999999E-2</v>
      </c>
      <c r="O594">
        <v>3.0699999999999998E-3</v>
      </c>
      <c r="P594" s="3">
        <f t="shared" si="36"/>
        <v>1094.2548866400359</v>
      </c>
      <c r="Q594" s="3">
        <f t="shared" si="37"/>
        <v>-2.0235958209013916E-4</v>
      </c>
      <c r="R594" s="3">
        <f t="shared" si="38"/>
        <v>2.9299999999999999E-3</v>
      </c>
      <c r="S594">
        <f t="shared" si="39"/>
        <v>9</v>
      </c>
      <c r="T594">
        <f>INDEX([1]IDEN_level_ids!$B:$B,MATCH(G594,[1]IDEN_level_ids!$A:$A,0),1)</f>
        <v>1193</v>
      </c>
      <c r="U594">
        <f>INDEX([1]IDEN_level_ids!$B:$B,MATCH(H594,[1]IDEN_level_ids!$A:$A,0),1)</f>
        <v>773</v>
      </c>
    </row>
    <row r="595" spans="1:21" hidden="1" x14ac:dyDescent="0.25">
      <c r="A595">
        <v>91367.093599999993</v>
      </c>
      <c r="B595">
        <v>1094.4858999999999</v>
      </c>
      <c r="C595">
        <v>4</v>
      </c>
      <c r="D595" t="s">
        <v>277</v>
      </c>
      <c r="F595">
        <v>1969</v>
      </c>
      <c r="G595" s="1" t="s">
        <v>82</v>
      </c>
      <c r="H595" s="1" t="s">
        <v>123</v>
      </c>
      <c r="I595">
        <v>0</v>
      </c>
      <c r="J595">
        <v>91366.9954</v>
      </c>
      <c r="K595">
        <v>-1.1800000000000001E-3</v>
      </c>
      <c r="L595">
        <v>2.9299999999999999E-3</v>
      </c>
      <c r="M595">
        <v>0.245</v>
      </c>
      <c r="N595">
        <v>1.8700000000000001E-2</v>
      </c>
      <c r="O595">
        <v>2.99E-3</v>
      </c>
      <c r="P595" s="3">
        <f t="shared" si="36"/>
        <v>1094.4859474002137</v>
      </c>
      <c r="Q595" s="3">
        <f t="shared" si="37"/>
        <v>-1.1763385625727096E-3</v>
      </c>
      <c r="R595" s="3">
        <f t="shared" si="38"/>
        <v>2.9299999999999999E-3</v>
      </c>
      <c r="S595">
        <f t="shared" si="39"/>
        <v>9</v>
      </c>
      <c r="T595">
        <f>INDEX([1]IDEN_level_ids!$B:$B,MATCH(G595,[1]IDEN_level_ids!$A:$A,0),1)</f>
        <v>1193</v>
      </c>
      <c r="U595">
        <f>INDEX([1]IDEN_level_ids!$B:$B,MATCH(H595,[1]IDEN_level_ids!$A:$A,0),1)</f>
        <v>775</v>
      </c>
    </row>
    <row r="596" spans="1:21" hidden="1" x14ac:dyDescent="0.25">
      <c r="A596">
        <v>91354.491500000004</v>
      </c>
      <c r="B596">
        <v>1094.6369</v>
      </c>
      <c r="C596">
        <v>4</v>
      </c>
      <c r="D596" t="s">
        <v>277</v>
      </c>
      <c r="F596">
        <v>1969</v>
      </c>
      <c r="G596" s="1" t="s">
        <v>194</v>
      </c>
      <c r="H596" s="1" t="s">
        <v>150</v>
      </c>
      <c r="I596">
        <v>0</v>
      </c>
      <c r="J596">
        <v>91354.874800000005</v>
      </c>
      <c r="K596">
        <v>4.5900000000000003E-3</v>
      </c>
      <c r="L596">
        <v>2.9399999999999999E-3</v>
      </c>
      <c r="M596">
        <v>0.245</v>
      </c>
      <c r="N596">
        <v>1.77E-2</v>
      </c>
      <c r="O596">
        <v>2.99E-3</v>
      </c>
      <c r="P596" s="3">
        <f t="shared" si="36"/>
        <v>1094.6369287163072</v>
      </c>
      <c r="Q596" s="3">
        <f t="shared" si="37"/>
        <v>4.5927963417398132E-3</v>
      </c>
      <c r="R596" s="3">
        <f t="shared" si="38"/>
        <v>2.9399999999999999E-3</v>
      </c>
      <c r="S596">
        <f t="shared" si="39"/>
        <v>9</v>
      </c>
      <c r="T596">
        <f>INDEX([1]IDEN_level_ids!$B:$B,MATCH(G596,[1]IDEN_level_ids!$A:$A,0),1)</f>
        <v>1187</v>
      </c>
      <c r="U596">
        <f>INDEX([1]IDEN_level_ids!$B:$B,MATCH(H596,[1]IDEN_level_ids!$A:$A,0),1)</f>
        <v>769</v>
      </c>
    </row>
    <row r="597" spans="1:21" hidden="1" x14ac:dyDescent="0.25">
      <c r="A597">
        <v>91343.622099999993</v>
      </c>
      <c r="B597">
        <v>1094.7672</v>
      </c>
      <c r="C597">
        <v>4</v>
      </c>
      <c r="D597" t="s">
        <v>277</v>
      </c>
      <c r="F597">
        <v>1969</v>
      </c>
      <c r="G597" s="1" t="s">
        <v>79</v>
      </c>
      <c r="H597" s="1" t="s">
        <v>234</v>
      </c>
      <c r="I597">
        <v>0</v>
      </c>
      <c r="J597">
        <v>91343.476699999999</v>
      </c>
      <c r="K597">
        <v>-1.74E-3</v>
      </c>
      <c r="L597">
        <v>2.9399999999999999E-3</v>
      </c>
      <c r="M597">
        <v>0.245</v>
      </c>
      <c r="N597">
        <v>3.5499999999999997E-2</v>
      </c>
      <c r="O597">
        <v>3.0400000000000002E-3</v>
      </c>
      <c r="P597" s="3">
        <f t="shared" si="36"/>
        <v>1094.7671846264568</v>
      </c>
      <c r="Q597" s="3">
        <f t="shared" si="37"/>
        <v>-1.7426438580514514E-3</v>
      </c>
      <c r="R597" s="3">
        <f t="shared" si="38"/>
        <v>2.9399999999999999E-3</v>
      </c>
      <c r="S597">
        <f t="shared" si="39"/>
        <v>9</v>
      </c>
      <c r="T597">
        <f>INDEX([1]IDEN_level_ids!$B:$B,MATCH(G597,[1]IDEN_level_ids!$A:$A,0),1)</f>
        <v>1216</v>
      </c>
      <c r="U597">
        <f>INDEX([1]IDEN_level_ids!$B:$B,MATCH(H597,[1]IDEN_level_ids!$A:$A,0),1)</f>
        <v>818</v>
      </c>
    </row>
    <row r="598" spans="1:21" hidden="1" x14ac:dyDescent="0.25">
      <c r="A598">
        <v>91338.208499999993</v>
      </c>
      <c r="B598">
        <v>1094.8321000000001</v>
      </c>
      <c r="C598">
        <v>4</v>
      </c>
      <c r="D598" t="s">
        <v>277</v>
      </c>
      <c r="F598">
        <v>1969</v>
      </c>
      <c r="G598" s="1" t="s">
        <v>207</v>
      </c>
      <c r="H598" s="1" t="s">
        <v>258</v>
      </c>
      <c r="I598">
        <v>0</v>
      </c>
      <c r="J598">
        <v>91338.782800000001</v>
      </c>
      <c r="K598">
        <v>6.8799999999999998E-3</v>
      </c>
      <c r="L598">
        <v>2.9399999999999999E-3</v>
      </c>
      <c r="M598">
        <v>0.245</v>
      </c>
      <c r="N598">
        <v>4.1799999999999997E-2</v>
      </c>
      <c r="O598">
        <v>3.0599999999999998E-3</v>
      </c>
      <c r="P598" s="3">
        <f t="shared" si="36"/>
        <v>1094.8320712902969</v>
      </c>
      <c r="Q598" s="3">
        <f t="shared" si="37"/>
        <v>6.8838453860280424E-3</v>
      </c>
      <c r="R598" s="3">
        <f t="shared" si="38"/>
        <v>2.9399999999999999E-3</v>
      </c>
      <c r="S598">
        <f t="shared" si="39"/>
        <v>9</v>
      </c>
      <c r="T598">
        <f>INDEX([1]IDEN_level_ids!$B:$B,MATCH(G598,[1]IDEN_level_ids!$A:$A,0),1)</f>
        <v>1177</v>
      </c>
      <c r="U598">
        <f>INDEX([1]IDEN_level_ids!$B:$B,MATCH(H598,[1]IDEN_level_ids!$A:$A,0),1)</f>
        <v>755</v>
      </c>
    </row>
    <row r="599" spans="1:21" hidden="1" x14ac:dyDescent="0.25">
      <c r="A599">
        <v>91334.386400000003</v>
      </c>
      <c r="B599">
        <v>1094.8779</v>
      </c>
      <c r="C599">
        <v>4</v>
      </c>
      <c r="D599" t="s">
        <v>277</v>
      </c>
      <c r="F599">
        <v>1969</v>
      </c>
      <c r="G599" s="1" t="s">
        <v>182</v>
      </c>
      <c r="H599" s="1" t="s">
        <v>222</v>
      </c>
      <c r="I599">
        <v>0</v>
      </c>
      <c r="J599">
        <v>91334.235199999996</v>
      </c>
      <c r="K599">
        <v>-1.81E-3</v>
      </c>
      <c r="L599">
        <v>2.9399999999999999E-3</v>
      </c>
      <c r="M599">
        <v>0.245</v>
      </c>
      <c r="N599">
        <v>3.1199999999999999E-2</v>
      </c>
      <c r="O599">
        <v>3.0300000000000001E-3</v>
      </c>
      <c r="P599" s="3">
        <f t="shared" si="36"/>
        <v>1094.877887086785</v>
      </c>
      <c r="Q599" s="3">
        <f t="shared" si="37"/>
        <v>-1.8125244732800638E-3</v>
      </c>
      <c r="R599" s="3">
        <f t="shared" si="38"/>
        <v>2.9399999999999999E-3</v>
      </c>
      <c r="S599">
        <f t="shared" si="39"/>
        <v>9</v>
      </c>
      <c r="T599">
        <f>INDEX([1]IDEN_level_ids!$B:$B,MATCH(G599,[1]IDEN_level_ids!$A:$A,0),1)</f>
        <v>1210</v>
      </c>
      <c r="U599">
        <f>INDEX([1]IDEN_level_ids!$B:$B,MATCH(H599,[1]IDEN_level_ids!$A:$A,0),1)</f>
        <v>800</v>
      </c>
    </row>
    <row r="600" spans="1:21" hidden="1" x14ac:dyDescent="0.25">
      <c r="A600">
        <v>91330.203599999993</v>
      </c>
      <c r="B600">
        <v>1094.9280000000001</v>
      </c>
      <c r="C600">
        <v>4</v>
      </c>
      <c r="D600" t="s">
        <v>277</v>
      </c>
      <c r="F600">
        <v>1969</v>
      </c>
      <c r="G600" s="1" t="s">
        <v>117</v>
      </c>
      <c r="H600" s="1" t="s">
        <v>132</v>
      </c>
      <c r="I600">
        <v>0</v>
      </c>
      <c r="J600">
        <v>91330.340899999996</v>
      </c>
      <c r="K600">
        <v>1.65E-3</v>
      </c>
      <c r="L600">
        <v>2.9399999999999999E-3</v>
      </c>
      <c r="M600">
        <v>0.245</v>
      </c>
      <c r="N600">
        <v>8.8900000000000007E-2</v>
      </c>
      <c r="O600">
        <v>3.2200000000000002E-3</v>
      </c>
      <c r="P600" s="3">
        <f t="shared" si="36"/>
        <v>1094.9280310155798</v>
      </c>
      <c r="Q600" s="3">
        <f t="shared" si="37"/>
        <v>1.6460424562865228E-3</v>
      </c>
      <c r="R600" s="3">
        <f t="shared" si="38"/>
        <v>2.9399999999999999E-3</v>
      </c>
      <c r="S600">
        <f t="shared" si="39"/>
        <v>9</v>
      </c>
      <c r="T600">
        <f>INDEX([1]IDEN_level_ids!$B:$B,MATCH(G600,[1]IDEN_level_ids!$A:$A,0),1)</f>
        <v>1162</v>
      </c>
      <c r="U600">
        <f>INDEX([1]IDEN_level_ids!$B:$B,MATCH(H600,[1]IDEN_level_ids!$A:$A,0),1)</f>
        <v>696</v>
      </c>
    </row>
    <row r="601" spans="1:21" hidden="1" x14ac:dyDescent="0.25">
      <c r="A601">
        <v>91260.376600000003</v>
      </c>
      <c r="B601">
        <v>1095.7657999999999</v>
      </c>
      <c r="C601">
        <v>4</v>
      </c>
      <c r="D601" t="s">
        <v>277</v>
      </c>
      <c r="F601">
        <v>1969</v>
      </c>
      <c r="G601" s="1" t="s">
        <v>285</v>
      </c>
      <c r="H601" s="1" t="s">
        <v>195</v>
      </c>
      <c r="I601">
        <v>0</v>
      </c>
      <c r="J601">
        <v>91260.213499999998</v>
      </c>
      <c r="K601">
        <v>-1.9599999999999999E-3</v>
      </c>
      <c r="L601">
        <v>2.9399999999999999E-3</v>
      </c>
      <c r="M601">
        <v>0.245</v>
      </c>
      <c r="N601">
        <v>0.2044</v>
      </c>
      <c r="O601">
        <v>3.7000000000000002E-3</v>
      </c>
      <c r="P601" s="3">
        <f t="shared" si="36"/>
        <v>1095.7658046745339</v>
      </c>
      <c r="Q601" s="3">
        <f t="shared" si="37"/>
        <v>-1.9583496014092816E-3</v>
      </c>
      <c r="R601" s="3">
        <f t="shared" si="38"/>
        <v>2.9399999999999999E-3</v>
      </c>
      <c r="S601">
        <f t="shared" si="39"/>
        <v>9</v>
      </c>
      <c r="T601">
        <f>INDEX([1]IDEN_level_ids!$B:$B,MATCH(G601,[1]IDEN_level_ids!$A:$A,0),1)</f>
        <v>1150</v>
      </c>
      <c r="U601">
        <f>INDEX([1]IDEN_level_ids!$B:$B,MATCH(H601,[1]IDEN_level_ids!$A:$A,0),1)</f>
        <v>646</v>
      </c>
    </row>
    <row r="602" spans="1:21" hidden="1" x14ac:dyDescent="0.25">
      <c r="A602">
        <v>91252.879499999995</v>
      </c>
      <c r="B602">
        <v>1095.8558</v>
      </c>
      <c r="C602">
        <v>4</v>
      </c>
      <c r="D602" t="s">
        <v>277</v>
      </c>
      <c r="F602">
        <v>1969</v>
      </c>
      <c r="G602" s="1" t="s">
        <v>82</v>
      </c>
      <c r="H602" s="1" t="s">
        <v>124</v>
      </c>
      <c r="I602">
        <v>0</v>
      </c>
      <c r="J602">
        <v>91252.609800000006</v>
      </c>
      <c r="K602">
        <v>-3.2399999999999998E-3</v>
      </c>
      <c r="L602">
        <v>2.9399999999999999E-3</v>
      </c>
      <c r="M602">
        <v>0.245</v>
      </c>
      <c r="N602">
        <v>1.5900000000000001E-2</v>
      </c>
      <c r="O602">
        <v>2.99E-3</v>
      </c>
      <c r="P602" s="3">
        <f t="shared" si="36"/>
        <v>1095.8558299521935</v>
      </c>
      <c r="Q602" s="3">
        <f t="shared" si="37"/>
        <v>-3.2388368724696193E-3</v>
      </c>
      <c r="R602" s="3">
        <f t="shared" si="38"/>
        <v>2.9399999999999999E-3</v>
      </c>
      <c r="S602">
        <f t="shared" si="39"/>
        <v>9</v>
      </c>
      <c r="T602">
        <f>INDEX([1]IDEN_level_ids!$B:$B,MATCH(G602,[1]IDEN_level_ids!$A:$A,0),1)</f>
        <v>1193</v>
      </c>
      <c r="U602">
        <f>INDEX([1]IDEN_level_ids!$B:$B,MATCH(H602,[1]IDEN_level_ids!$A:$A,0),1)</f>
        <v>776</v>
      </c>
    </row>
    <row r="603" spans="1:21" hidden="1" x14ac:dyDescent="0.25">
      <c r="A603">
        <v>91230.802299999996</v>
      </c>
      <c r="B603">
        <v>1096.1210000000001</v>
      </c>
      <c r="C603">
        <v>4</v>
      </c>
      <c r="D603" t="s">
        <v>277</v>
      </c>
      <c r="F603">
        <v>1969</v>
      </c>
      <c r="G603" s="1" t="s">
        <v>268</v>
      </c>
      <c r="H603" s="1" t="s">
        <v>99</v>
      </c>
      <c r="I603">
        <v>0</v>
      </c>
      <c r="J603">
        <v>91230.620800000004</v>
      </c>
      <c r="K603">
        <v>-2.1800000000000001E-3</v>
      </c>
      <c r="L603">
        <v>2.9399999999999999E-3</v>
      </c>
      <c r="M603">
        <v>0.245</v>
      </c>
      <c r="N603">
        <v>2.8899999999999999E-2</v>
      </c>
      <c r="O603">
        <v>3.0300000000000001E-3</v>
      </c>
      <c r="P603" s="3">
        <f t="shared" si="36"/>
        <v>1096.1210192053743</v>
      </c>
      <c r="Q603" s="3">
        <f t="shared" si="37"/>
        <v>-2.1806928773457912E-3</v>
      </c>
      <c r="R603" s="3">
        <f t="shared" si="38"/>
        <v>2.9399999999999999E-3</v>
      </c>
      <c r="S603">
        <f t="shared" si="39"/>
        <v>9</v>
      </c>
      <c r="T603">
        <f>INDEX([1]IDEN_level_ids!$B:$B,MATCH(G603,[1]IDEN_level_ids!$A:$A,0),1)</f>
        <v>1160</v>
      </c>
      <c r="U603">
        <f>INDEX([1]IDEN_level_ids!$B:$B,MATCH(H603,[1]IDEN_level_ids!$A:$A,0),1)</f>
        <v>689</v>
      </c>
    </row>
    <row r="604" spans="1:21" hidden="1" x14ac:dyDescent="0.25">
      <c r="A604">
        <v>91145.403600000005</v>
      </c>
      <c r="B604">
        <v>1097.1479999999999</v>
      </c>
      <c r="C604">
        <v>4</v>
      </c>
      <c r="D604" t="s">
        <v>277</v>
      </c>
      <c r="F604">
        <v>1969</v>
      </c>
      <c r="G604" s="1" t="s">
        <v>83</v>
      </c>
      <c r="H604" s="1" t="s">
        <v>122</v>
      </c>
      <c r="I604">
        <v>0</v>
      </c>
      <c r="J604">
        <v>91145.159799999994</v>
      </c>
      <c r="K604">
        <v>-2.9399999999999999E-3</v>
      </c>
      <c r="L604">
        <v>2.9499999999999999E-3</v>
      </c>
      <c r="M604">
        <v>0.245</v>
      </c>
      <c r="N604">
        <v>2.2100000000000002E-2</v>
      </c>
      <c r="O604">
        <v>3.0200000000000001E-3</v>
      </c>
      <c r="P604" s="3">
        <f t="shared" si="36"/>
        <v>1097.1480299638499</v>
      </c>
      <c r="Q604" s="3">
        <f t="shared" si="37"/>
        <v>-2.9347108536512678E-3</v>
      </c>
      <c r="R604" s="3">
        <f t="shared" si="38"/>
        <v>2.9499999999999999E-3</v>
      </c>
      <c r="S604">
        <f t="shared" si="39"/>
        <v>9</v>
      </c>
      <c r="T604">
        <f>INDEX([1]IDEN_level_ids!$B:$B,MATCH(G604,[1]IDEN_level_ids!$A:$A,0),1)</f>
        <v>1175</v>
      </c>
      <c r="U604">
        <f>INDEX([1]IDEN_level_ids!$B:$B,MATCH(H604,[1]IDEN_level_ids!$A:$A,0),1)</f>
        <v>750</v>
      </c>
    </row>
    <row r="605" spans="1:21" hidden="1" x14ac:dyDescent="0.25">
      <c r="A605">
        <v>91077.410999999993</v>
      </c>
      <c r="B605">
        <v>1097.9671000000001</v>
      </c>
      <c r="C605">
        <v>4</v>
      </c>
      <c r="D605" t="s">
        <v>277</v>
      </c>
      <c r="F605">
        <v>1969</v>
      </c>
      <c r="G605" s="1" t="s">
        <v>81</v>
      </c>
      <c r="H605" s="1" t="s">
        <v>161</v>
      </c>
      <c r="I605">
        <v>0</v>
      </c>
      <c r="J605">
        <v>91077.627900000007</v>
      </c>
      <c r="K605">
        <v>2.6199999999999999E-3</v>
      </c>
      <c r="L605">
        <v>2.9499999999999999E-3</v>
      </c>
      <c r="M605">
        <v>0.245</v>
      </c>
      <c r="N605">
        <v>1.5100000000000001E-2</v>
      </c>
      <c r="O605">
        <v>3.0000000000000001E-3</v>
      </c>
      <c r="P605" s="3">
        <f t="shared" si="36"/>
        <v>1097.9670908739381</v>
      </c>
      <c r="Q605" s="3">
        <f t="shared" si="37"/>
        <v>2.6147921012125153E-3</v>
      </c>
      <c r="R605" s="3">
        <f t="shared" si="38"/>
        <v>2.9499999999999999E-3</v>
      </c>
      <c r="S605">
        <f t="shared" si="39"/>
        <v>9</v>
      </c>
      <c r="T605">
        <f>INDEX([1]IDEN_level_ids!$B:$B,MATCH(G605,[1]IDEN_level_ids!$A:$A,0),1)</f>
        <v>1196</v>
      </c>
      <c r="U605">
        <f>INDEX([1]IDEN_level_ids!$B:$B,MATCH(H605,[1]IDEN_level_ids!$A:$A,0),1)</f>
        <v>785</v>
      </c>
    </row>
    <row r="606" spans="1:21" hidden="1" x14ac:dyDescent="0.25">
      <c r="A606">
        <v>91061.088199999998</v>
      </c>
      <c r="B606">
        <v>1098.1639</v>
      </c>
      <c r="C606">
        <v>4</v>
      </c>
      <c r="D606" t="s">
        <v>277</v>
      </c>
      <c r="F606">
        <v>1969</v>
      </c>
      <c r="G606" s="1" t="s">
        <v>238</v>
      </c>
      <c r="H606" s="1" t="s">
        <v>106</v>
      </c>
      <c r="I606">
        <v>0</v>
      </c>
      <c r="J606">
        <v>91061.003700000001</v>
      </c>
      <c r="K606">
        <v>-1.0200000000000001E-3</v>
      </c>
      <c r="L606">
        <v>2.9499999999999999E-3</v>
      </c>
      <c r="M606">
        <v>0.245</v>
      </c>
      <c r="N606">
        <v>9.5500000000000002E-2</v>
      </c>
      <c r="O606">
        <v>3.2699999999999999E-3</v>
      </c>
      <c r="P606" s="3">
        <f t="shared" si="36"/>
        <v>1098.1639026800033</v>
      </c>
      <c r="Q606" s="3">
        <f t="shared" si="37"/>
        <v>-1.0190404893819505E-3</v>
      </c>
      <c r="R606" s="3">
        <f t="shared" si="38"/>
        <v>2.9499999999999999E-3</v>
      </c>
      <c r="S606">
        <f t="shared" si="39"/>
        <v>9</v>
      </c>
      <c r="T606">
        <f>INDEX([1]IDEN_level_ids!$B:$B,MATCH(G606,[1]IDEN_level_ids!$A:$A,0),1)</f>
        <v>1165</v>
      </c>
      <c r="U606">
        <f>INDEX([1]IDEN_level_ids!$B:$B,MATCH(H606,[1]IDEN_level_ids!$A:$A,0),1)</f>
        <v>726</v>
      </c>
    </row>
    <row r="607" spans="1:21" hidden="1" x14ac:dyDescent="0.25">
      <c r="A607">
        <v>91054.517699999997</v>
      </c>
      <c r="B607">
        <v>1098.2430999999999</v>
      </c>
      <c r="C607">
        <v>4</v>
      </c>
      <c r="D607" t="s">
        <v>277</v>
      </c>
      <c r="F607">
        <v>1969</v>
      </c>
      <c r="G607" s="1" t="s">
        <v>243</v>
      </c>
      <c r="H607" s="1" t="s">
        <v>214</v>
      </c>
      <c r="I607">
        <v>0</v>
      </c>
      <c r="J607">
        <v>91054.565700000006</v>
      </c>
      <c r="K607">
        <v>5.8E-4</v>
      </c>
      <c r="L607">
        <v>2.9499999999999999E-3</v>
      </c>
      <c r="M607">
        <v>0.245</v>
      </c>
      <c r="N607">
        <v>4.53E-2</v>
      </c>
      <c r="O607">
        <v>3.0999999999999999E-3</v>
      </c>
      <c r="P607" s="3">
        <f t="shared" si="36"/>
        <v>1098.2431462596171</v>
      </c>
      <c r="Q607" s="3">
        <f t="shared" si="37"/>
        <v>5.7894593874152633E-4</v>
      </c>
      <c r="R607" s="3">
        <f t="shared" si="38"/>
        <v>2.9499999999999999E-3</v>
      </c>
      <c r="S607">
        <f t="shared" si="39"/>
        <v>9</v>
      </c>
      <c r="T607">
        <f>INDEX([1]IDEN_level_ids!$B:$B,MATCH(G607,[1]IDEN_level_ids!$A:$A,0),1)</f>
        <v>1205</v>
      </c>
      <c r="U607">
        <f>INDEX([1]IDEN_level_ids!$B:$B,MATCH(H607,[1]IDEN_level_ids!$A:$A,0),1)</f>
        <v>794</v>
      </c>
    </row>
    <row r="608" spans="1:21" hidden="1" x14ac:dyDescent="0.25">
      <c r="A608">
        <v>91050.121199999994</v>
      </c>
      <c r="B608">
        <v>1098.2962</v>
      </c>
      <c r="C608">
        <v>4</v>
      </c>
      <c r="D608" t="s">
        <v>277</v>
      </c>
      <c r="F608">
        <v>1969</v>
      </c>
      <c r="G608" s="1" t="s">
        <v>94</v>
      </c>
      <c r="H608" s="1" t="s">
        <v>226</v>
      </c>
      <c r="I608">
        <v>0</v>
      </c>
      <c r="J608">
        <v>91049.9859</v>
      </c>
      <c r="K608">
        <v>-1.6299999999999999E-3</v>
      </c>
      <c r="L608">
        <v>2.96E-3</v>
      </c>
      <c r="M608">
        <v>0.245</v>
      </c>
      <c r="N608">
        <v>3.3500000000000002E-2</v>
      </c>
      <c r="O608">
        <v>3.0599999999999998E-3</v>
      </c>
      <c r="P608" s="3">
        <f t="shared" si="36"/>
        <v>1098.2961766776868</v>
      </c>
      <c r="Q608" s="3">
        <f t="shared" si="37"/>
        <v>-1.6320647525844834E-3</v>
      </c>
      <c r="R608" s="3">
        <f t="shared" si="38"/>
        <v>2.96E-3</v>
      </c>
      <c r="S608">
        <f t="shared" si="39"/>
        <v>9</v>
      </c>
      <c r="T608">
        <f>INDEX([1]IDEN_level_ids!$B:$B,MATCH(G608,[1]IDEN_level_ids!$A:$A,0),1)</f>
        <v>1207</v>
      </c>
      <c r="U608">
        <f>INDEX([1]IDEN_level_ids!$B:$B,MATCH(H608,[1]IDEN_level_ids!$A:$A,0),1)</f>
        <v>811</v>
      </c>
    </row>
    <row r="609" spans="1:21" hidden="1" x14ac:dyDescent="0.25">
      <c r="A609">
        <v>91032.717699999994</v>
      </c>
      <c r="B609">
        <v>1098.5061000000001</v>
      </c>
      <c r="C609">
        <v>4</v>
      </c>
      <c r="D609" t="s">
        <v>277</v>
      </c>
      <c r="F609">
        <v>1969</v>
      </c>
      <c r="G609" s="1" t="s">
        <v>76</v>
      </c>
      <c r="H609" s="1" t="s">
        <v>124</v>
      </c>
      <c r="I609">
        <v>0</v>
      </c>
      <c r="J609">
        <v>91032.620899999994</v>
      </c>
      <c r="K609">
        <v>-1.17E-3</v>
      </c>
      <c r="L609">
        <v>2.96E-3</v>
      </c>
      <c r="M609">
        <v>0.245</v>
      </c>
      <c r="N609">
        <v>1.6500000000000001E-2</v>
      </c>
      <c r="O609">
        <v>3.0100000000000001E-3</v>
      </c>
      <c r="P609" s="3">
        <f t="shared" si="36"/>
        <v>1098.5061473123526</v>
      </c>
      <c r="Q609" s="3">
        <f t="shared" si="37"/>
        <v>-1.1681020935156994E-3</v>
      </c>
      <c r="R609" s="3">
        <f t="shared" si="38"/>
        <v>2.96E-3</v>
      </c>
      <c r="S609">
        <f t="shared" si="39"/>
        <v>9</v>
      </c>
      <c r="T609">
        <f>INDEX([1]IDEN_level_ids!$B:$B,MATCH(G609,[1]IDEN_level_ids!$A:$A,0),1)</f>
        <v>1194</v>
      </c>
      <c r="U609">
        <f>INDEX([1]IDEN_level_ids!$B:$B,MATCH(H609,[1]IDEN_level_ids!$A:$A,0),1)</f>
        <v>776</v>
      </c>
    </row>
    <row r="610" spans="1:21" hidden="1" x14ac:dyDescent="0.25">
      <c r="A610">
        <v>91013.774300000005</v>
      </c>
      <c r="B610">
        <v>1098.7348</v>
      </c>
      <c r="C610">
        <v>4</v>
      </c>
      <c r="D610" t="s">
        <v>277</v>
      </c>
      <c r="F610">
        <v>1969</v>
      </c>
      <c r="G610" s="1" t="s">
        <v>140</v>
      </c>
      <c r="H610" s="1" t="s">
        <v>189</v>
      </c>
      <c r="I610">
        <v>0</v>
      </c>
      <c r="J610">
        <v>91013.92</v>
      </c>
      <c r="K610">
        <v>1.7600000000000001E-3</v>
      </c>
      <c r="L610">
        <v>2.96E-3</v>
      </c>
      <c r="M610">
        <v>0.245</v>
      </c>
      <c r="N610">
        <v>2.0799999999999999E-2</v>
      </c>
      <c r="O610">
        <v>3.0200000000000001E-3</v>
      </c>
      <c r="P610" s="3">
        <f t="shared" si="36"/>
        <v>1098.7347878836401</v>
      </c>
      <c r="Q610" s="3">
        <f t="shared" si="37"/>
        <v>1.7589140056770702E-3</v>
      </c>
      <c r="R610" s="3">
        <f t="shared" si="38"/>
        <v>2.96E-3</v>
      </c>
      <c r="S610">
        <f t="shared" si="39"/>
        <v>9</v>
      </c>
      <c r="T610">
        <f>INDEX([1]IDEN_level_ids!$B:$B,MATCH(G610,[1]IDEN_level_ids!$A:$A,0),1)</f>
        <v>1198</v>
      </c>
      <c r="U610">
        <f>INDEX([1]IDEN_level_ids!$B:$B,MATCH(H610,[1]IDEN_level_ids!$A:$A,0),1)</f>
        <v>789</v>
      </c>
    </row>
    <row r="611" spans="1:21" hidden="1" x14ac:dyDescent="0.25">
      <c r="A611">
        <v>90993.390400000004</v>
      </c>
      <c r="B611">
        <v>1098.9809</v>
      </c>
      <c r="C611">
        <v>4</v>
      </c>
      <c r="D611" t="s">
        <v>277</v>
      </c>
      <c r="F611">
        <v>1969</v>
      </c>
      <c r="G611" s="1" t="s">
        <v>256</v>
      </c>
      <c r="H611" s="1" t="s">
        <v>286</v>
      </c>
      <c r="I611">
        <v>0</v>
      </c>
      <c r="J611">
        <v>90993.418300000005</v>
      </c>
      <c r="K611">
        <v>3.4000000000000002E-4</v>
      </c>
      <c r="L611">
        <v>2.96E-3</v>
      </c>
      <c r="M611">
        <v>0.245</v>
      </c>
      <c r="N611">
        <v>0.2056</v>
      </c>
      <c r="O611">
        <v>3.7200000000000002E-3</v>
      </c>
      <c r="P611" s="3">
        <f t="shared" si="36"/>
        <v>1098.9809211461143</v>
      </c>
      <c r="Q611" s="3">
        <f t="shared" si="37"/>
        <v>3.3696467585286882E-4</v>
      </c>
      <c r="R611" s="3">
        <f t="shared" si="38"/>
        <v>2.96E-3</v>
      </c>
      <c r="S611">
        <f t="shared" si="39"/>
        <v>9</v>
      </c>
      <c r="T611">
        <f>INDEX([1]IDEN_level_ids!$B:$B,MATCH(G611,[1]IDEN_level_ids!$A:$A,0),1)</f>
        <v>1120</v>
      </c>
      <c r="U611">
        <f>INDEX([1]IDEN_level_ids!$B:$B,MATCH(H611,[1]IDEN_level_ids!$A:$A,0),1)</f>
        <v>532</v>
      </c>
    </row>
    <row r="612" spans="1:21" hidden="1" x14ac:dyDescent="0.25">
      <c r="A612">
        <v>90988.091199999995</v>
      </c>
      <c r="B612">
        <v>1099.0449000000001</v>
      </c>
      <c r="C612">
        <v>4</v>
      </c>
      <c r="D612" t="s">
        <v>277</v>
      </c>
      <c r="F612">
        <v>1969</v>
      </c>
      <c r="G612" s="1" t="s">
        <v>73</v>
      </c>
      <c r="H612" s="1" t="s">
        <v>191</v>
      </c>
      <c r="I612">
        <v>0</v>
      </c>
      <c r="J612">
        <v>90987.850099999996</v>
      </c>
      <c r="K612">
        <v>-2.9099999999999998E-3</v>
      </c>
      <c r="L612">
        <v>2.96E-3</v>
      </c>
      <c r="M612">
        <v>0.245</v>
      </c>
      <c r="N612">
        <v>4.07E-2</v>
      </c>
      <c r="O612">
        <v>3.0799999999999998E-3</v>
      </c>
      <c r="P612" s="3">
        <f t="shared" si="36"/>
        <v>1099.0449264419783</v>
      </c>
      <c r="Q612" s="3">
        <f t="shared" si="37"/>
        <v>-2.9122540147454856E-3</v>
      </c>
      <c r="R612" s="3">
        <f t="shared" si="38"/>
        <v>2.96E-3</v>
      </c>
      <c r="S612">
        <f t="shared" si="39"/>
        <v>9</v>
      </c>
      <c r="T612">
        <f>INDEX([1]IDEN_level_ids!$B:$B,MATCH(G612,[1]IDEN_level_ids!$A:$A,0),1)</f>
        <v>1173</v>
      </c>
      <c r="U612">
        <f>INDEX([1]IDEN_level_ids!$B:$B,MATCH(H612,[1]IDEN_level_ids!$A:$A,0),1)</f>
        <v>749</v>
      </c>
    </row>
    <row r="613" spans="1:21" hidden="1" x14ac:dyDescent="0.25">
      <c r="A613">
        <v>90959.608800000002</v>
      </c>
      <c r="B613">
        <v>1099.3891000000001</v>
      </c>
      <c r="C613">
        <v>4</v>
      </c>
      <c r="D613" t="s">
        <v>277</v>
      </c>
      <c r="F613">
        <v>1969</v>
      </c>
      <c r="G613" s="1" t="s">
        <v>207</v>
      </c>
      <c r="H613" s="1" t="s">
        <v>192</v>
      </c>
      <c r="I613">
        <v>0</v>
      </c>
      <c r="J613">
        <v>90959.616200000004</v>
      </c>
      <c r="K613">
        <v>9.0000000000000006E-5</v>
      </c>
      <c r="L613">
        <v>2.96E-3</v>
      </c>
      <c r="M613">
        <v>0.245</v>
      </c>
      <c r="N613">
        <v>2.1600000000000001E-2</v>
      </c>
      <c r="O613">
        <v>3.0300000000000001E-3</v>
      </c>
      <c r="P613" s="3">
        <f t="shared" si="36"/>
        <v>1099.3890730101732</v>
      </c>
      <c r="Q613" s="3">
        <f t="shared" si="37"/>
        <v>8.9440561396259E-5</v>
      </c>
      <c r="R613" s="3">
        <f t="shared" si="38"/>
        <v>2.96E-3</v>
      </c>
      <c r="S613">
        <f t="shared" si="39"/>
        <v>9</v>
      </c>
      <c r="T613">
        <f>INDEX([1]IDEN_level_ids!$B:$B,MATCH(G613,[1]IDEN_level_ids!$A:$A,0),1)</f>
        <v>1177</v>
      </c>
      <c r="U613">
        <f>INDEX([1]IDEN_level_ids!$B:$B,MATCH(H613,[1]IDEN_level_ids!$A:$A,0),1)</f>
        <v>762</v>
      </c>
    </row>
    <row r="614" spans="1:21" hidden="1" x14ac:dyDescent="0.25">
      <c r="A614">
        <v>90950.010899999994</v>
      </c>
      <c r="B614">
        <v>1099.5051000000001</v>
      </c>
      <c r="C614">
        <v>4</v>
      </c>
      <c r="D614" t="s">
        <v>277</v>
      </c>
      <c r="F614">
        <v>1969</v>
      </c>
      <c r="G614" s="1" t="s">
        <v>71</v>
      </c>
      <c r="H614" s="1" t="s">
        <v>192</v>
      </c>
      <c r="I614">
        <v>0</v>
      </c>
      <c r="J614">
        <v>90949.947400000005</v>
      </c>
      <c r="K614">
        <v>-7.6999999999999996E-4</v>
      </c>
      <c r="L614">
        <v>2.96E-3</v>
      </c>
      <c r="M614">
        <v>0.245</v>
      </c>
      <c r="N614">
        <v>2.1600000000000001E-2</v>
      </c>
      <c r="O614">
        <v>3.0300000000000001E-3</v>
      </c>
      <c r="P614" s="3">
        <f t="shared" si="36"/>
        <v>1099.5050908784444</v>
      </c>
      <c r="Q614" s="3">
        <f t="shared" si="37"/>
        <v>-7.6765930316469166E-4</v>
      </c>
      <c r="R614" s="3">
        <f t="shared" si="38"/>
        <v>2.96E-3</v>
      </c>
      <c r="S614">
        <f t="shared" si="39"/>
        <v>9</v>
      </c>
      <c r="T614">
        <f>INDEX([1]IDEN_level_ids!$B:$B,MATCH(G614,[1]IDEN_level_ids!$A:$A,0),1)</f>
        <v>1179</v>
      </c>
      <c r="U614">
        <f>INDEX([1]IDEN_level_ids!$B:$B,MATCH(H614,[1]IDEN_level_ids!$A:$A,0),1)</f>
        <v>762</v>
      </c>
    </row>
    <row r="615" spans="1:21" hidden="1" x14ac:dyDescent="0.25">
      <c r="A615">
        <v>90925.384999999995</v>
      </c>
      <c r="B615">
        <v>1099.8028999999999</v>
      </c>
      <c r="C615">
        <v>4</v>
      </c>
      <c r="D615" t="s">
        <v>277</v>
      </c>
      <c r="F615">
        <v>1969</v>
      </c>
      <c r="G615" s="1" t="s">
        <v>108</v>
      </c>
      <c r="H615" s="1" t="s">
        <v>105</v>
      </c>
      <c r="I615">
        <v>0</v>
      </c>
      <c r="J615">
        <v>90925.481899999999</v>
      </c>
      <c r="K615">
        <v>1.17E-3</v>
      </c>
      <c r="L615">
        <v>2.96E-3</v>
      </c>
      <c r="M615">
        <v>0.245</v>
      </c>
      <c r="N615">
        <v>0.1318</v>
      </c>
      <c r="O615">
        <v>3.4099999999999998E-3</v>
      </c>
      <c r="P615" s="3">
        <f t="shared" si="36"/>
        <v>1099.8028768313711</v>
      </c>
      <c r="Q615" s="3">
        <f t="shared" si="37"/>
        <v>1.1720685613454407E-3</v>
      </c>
      <c r="R615" s="3">
        <f t="shared" si="38"/>
        <v>2.96E-3</v>
      </c>
      <c r="S615">
        <f t="shared" si="39"/>
        <v>9</v>
      </c>
      <c r="T615">
        <f>INDEX([1]IDEN_level_ids!$B:$B,MATCH(G615,[1]IDEN_level_ids!$A:$A,0),1)</f>
        <v>1149</v>
      </c>
      <c r="U615">
        <f>INDEX([1]IDEN_level_ids!$B:$B,MATCH(H615,[1]IDEN_level_ids!$A:$A,0),1)</f>
        <v>640</v>
      </c>
    </row>
    <row r="616" spans="1:21" hidden="1" x14ac:dyDescent="0.25">
      <c r="A616">
        <v>90876.972399999999</v>
      </c>
      <c r="B616">
        <v>1100.3887999999999</v>
      </c>
      <c r="C616">
        <v>4</v>
      </c>
      <c r="D616" t="s">
        <v>296</v>
      </c>
      <c r="F616">
        <v>1969</v>
      </c>
      <c r="G616" s="1" t="s">
        <v>108</v>
      </c>
      <c r="H616" s="1" t="s">
        <v>139</v>
      </c>
      <c r="I616">
        <v>0</v>
      </c>
      <c r="J616">
        <v>90876.87</v>
      </c>
      <c r="K616">
        <v>-1.24E-3</v>
      </c>
      <c r="L616">
        <v>2.97E-3</v>
      </c>
      <c r="M616">
        <v>0.245</v>
      </c>
      <c r="N616">
        <v>0.1174</v>
      </c>
      <c r="O616">
        <v>3.3600000000000001E-3</v>
      </c>
      <c r="P616" s="3">
        <f t="shared" si="36"/>
        <v>1100.3887713143049</v>
      </c>
      <c r="Q616" s="3">
        <f t="shared" si="37"/>
        <v>-1.2399173760968552E-3</v>
      </c>
      <c r="R616" s="3">
        <f t="shared" si="38"/>
        <v>2.97E-3</v>
      </c>
      <c r="S616">
        <f t="shared" si="39"/>
        <v>10</v>
      </c>
      <c r="T616">
        <f>INDEX([1]IDEN_level_ids!$B:$B,MATCH(G616,[1]IDEN_level_ids!$A:$A,0),1)</f>
        <v>1149</v>
      </c>
      <c r="U616">
        <f>INDEX([1]IDEN_level_ids!$B:$B,MATCH(H616,[1]IDEN_level_ids!$A:$A,0),1)</f>
        <v>642</v>
      </c>
    </row>
    <row r="617" spans="1:21" hidden="1" x14ac:dyDescent="0.25">
      <c r="A617">
        <v>90866.569600000003</v>
      </c>
      <c r="B617">
        <v>1100.5146999999999</v>
      </c>
      <c r="C617">
        <v>4</v>
      </c>
      <c r="D617" t="s">
        <v>296</v>
      </c>
      <c r="F617">
        <v>1969</v>
      </c>
      <c r="G617" s="1" t="s">
        <v>265</v>
      </c>
      <c r="H617" s="1" t="s">
        <v>136</v>
      </c>
      <c r="I617">
        <v>0</v>
      </c>
      <c r="J617">
        <v>90866.136499999993</v>
      </c>
      <c r="K617">
        <v>-5.2500000000000003E-3</v>
      </c>
      <c r="L617">
        <v>2.97E-3</v>
      </c>
      <c r="M617">
        <v>0.245</v>
      </c>
      <c r="N617">
        <v>9.8299999999999998E-2</v>
      </c>
      <c r="O617">
        <v>3.29E-3</v>
      </c>
      <c r="P617" s="3">
        <f t="shared" si="36"/>
        <v>1100.5147486056301</v>
      </c>
      <c r="Q617" s="3">
        <f t="shared" si="37"/>
        <v>-5.2454407768891542E-3</v>
      </c>
      <c r="R617" s="3">
        <f t="shared" si="38"/>
        <v>2.97E-3</v>
      </c>
      <c r="S617">
        <f t="shared" si="39"/>
        <v>10</v>
      </c>
      <c r="T617">
        <f>INDEX([1]IDEN_level_ids!$B:$B,MATCH(G617,[1]IDEN_level_ids!$A:$A,0),1)</f>
        <v>1161</v>
      </c>
      <c r="U617">
        <f>INDEX([1]IDEN_level_ids!$B:$B,MATCH(H617,[1]IDEN_level_ids!$A:$A,0),1)</f>
        <v>700</v>
      </c>
    </row>
    <row r="618" spans="1:21" hidden="1" x14ac:dyDescent="0.25">
      <c r="A618">
        <v>90853.502999999997</v>
      </c>
      <c r="B618">
        <v>1100.673</v>
      </c>
      <c r="C618">
        <v>4</v>
      </c>
      <c r="D618" t="s">
        <v>296</v>
      </c>
      <c r="F618">
        <v>1969</v>
      </c>
      <c r="G618" s="1" t="s">
        <v>71</v>
      </c>
      <c r="H618" s="1" t="s">
        <v>131</v>
      </c>
      <c r="I618">
        <v>0</v>
      </c>
      <c r="J618">
        <v>90853.531799999997</v>
      </c>
      <c r="K618">
        <v>3.5E-4</v>
      </c>
      <c r="L618">
        <v>2.97E-3</v>
      </c>
      <c r="M618">
        <v>0.245</v>
      </c>
      <c r="N618">
        <v>2.7300000000000001E-2</v>
      </c>
      <c r="O618">
        <v>3.0500000000000002E-3</v>
      </c>
      <c r="P618" s="3">
        <f t="shared" si="36"/>
        <v>1100.67302523272</v>
      </c>
      <c r="Q618" s="3">
        <f t="shared" si="37"/>
        <v>3.4890644860752218E-4</v>
      </c>
      <c r="R618" s="3">
        <f t="shared" si="38"/>
        <v>2.97E-3</v>
      </c>
      <c r="S618">
        <f t="shared" si="39"/>
        <v>10</v>
      </c>
      <c r="T618">
        <f>INDEX([1]IDEN_level_ids!$B:$B,MATCH(G618,[1]IDEN_level_ids!$A:$A,0),1)</f>
        <v>1179</v>
      </c>
      <c r="U618">
        <f>INDEX([1]IDEN_level_ids!$B:$B,MATCH(H618,[1]IDEN_level_ids!$A:$A,0),1)</f>
        <v>764</v>
      </c>
    </row>
    <row r="619" spans="1:21" hidden="1" x14ac:dyDescent="0.25">
      <c r="A619">
        <v>90772.104500000001</v>
      </c>
      <c r="B619">
        <v>1101.6600000000001</v>
      </c>
      <c r="C619">
        <v>4</v>
      </c>
      <c r="D619" t="s">
        <v>296</v>
      </c>
      <c r="F619">
        <v>1969</v>
      </c>
      <c r="G619" s="1" t="s">
        <v>265</v>
      </c>
      <c r="H619" s="1" t="s">
        <v>208</v>
      </c>
      <c r="I619">
        <v>0</v>
      </c>
      <c r="J619">
        <v>90771.819300000003</v>
      </c>
      <c r="K619">
        <v>-3.46E-3</v>
      </c>
      <c r="L619">
        <v>2.97E-3</v>
      </c>
      <c r="M619">
        <v>0.245</v>
      </c>
      <c r="N619">
        <v>0.25530000000000003</v>
      </c>
      <c r="O619">
        <v>3.9899999999999996E-3</v>
      </c>
      <c r="P619" s="3">
        <f t="shared" si="36"/>
        <v>1101.6600369775497</v>
      </c>
      <c r="Q619" s="3">
        <f t="shared" si="37"/>
        <v>-3.4613544705734967E-3</v>
      </c>
      <c r="R619" s="3">
        <f t="shared" si="38"/>
        <v>2.97E-3</v>
      </c>
      <c r="S619">
        <f t="shared" si="39"/>
        <v>10</v>
      </c>
      <c r="T619">
        <f>INDEX([1]IDEN_level_ids!$B:$B,MATCH(G619,[1]IDEN_level_ids!$A:$A,0),1)</f>
        <v>1161</v>
      </c>
      <c r="U619">
        <f>INDEX([1]IDEN_level_ids!$B:$B,MATCH(H619,[1]IDEN_level_ids!$A:$A,0),1)</f>
        <v>703</v>
      </c>
    </row>
    <row r="620" spans="1:21" hidden="1" x14ac:dyDescent="0.25">
      <c r="A620">
        <v>90764.109400000001</v>
      </c>
      <c r="B620">
        <v>1101.7571</v>
      </c>
      <c r="C620">
        <v>4</v>
      </c>
      <c r="D620" t="s">
        <v>296</v>
      </c>
      <c r="F620">
        <v>1969</v>
      </c>
      <c r="G620" s="1" t="s">
        <v>82</v>
      </c>
      <c r="H620" s="1" t="s">
        <v>249</v>
      </c>
      <c r="I620">
        <v>0</v>
      </c>
      <c r="J620">
        <v>90763.970600000001</v>
      </c>
      <c r="K620">
        <v>-1.6900000000000001E-3</v>
      </c>
      <c r="L620">
        <v>2.97E-3</v>
      </c>
      <c r="M620">
        <v>0.245</v>
      </c>
      <c r="N620">
        <v>2.12E-2</v>
      </c>
      <c r="O620">
        <v>3.0400000000000002E-3</v>
      </c>
      <c r="P620" s="3">
        <f t="shared" si="36"/>
        <v>1101.7570784427264</v>
      </c>
      <c r="Q620" s="3">
        <f t="shared" si="37"/>
        <v>-1.6848522764121299E-3</v>
      </c>
      <c r="R620" s="3">
        <f t="shared" si="38"/>
        <v>2.97E-3</v>
      </c>
      <c r="S620">
        <f t="shared" si="39"/>
        <v>10</v>
      </c>
      <c r="T620">
        <f>INDEX([1]IDEN_level_ids!$B:$B,MATCH(G620,[1]IDEN_level_ids!$A:$A,0),1)</f>
        <v>1193</v>
      </c>
      <c r="U620">
        <f>INDEX([1]IDEN_level_ids!$B:$B,MATCH(H620,[1]IDEN_level_ids!$A:$A,0),1)</f>
        <v>784</v>
      </c>
    </row>
    <row r="621" spans="1:21" hidden="1" x14ac:dyDescent="0.25">
      <c r="A621">
        <v>90749.1149</v>
      </c>
      <c r="B621">
        <v>1101.9391000000001</v>
      </c>
      <c r="C621">
        <v>4</v>
      </c>
      <c r="D621" t="s">
        <v>296</v>
      </c>
      <c r="F621">
        <v>1969</v>
      </c>
      <c r="G621" s="1" t="s">
        <v>265</v>
      </c>
      <c r="H621" s="1" t="s">
        <v>183</v>
      </c>
      <c r="I621">
        <v>0</v>
      </c>
      <c r="J621">
        <v>90749.143100000001</v>
      </c>
      <c r="K621">
        <v>3.4000000000000002E-4</v>
      </c>
      <c r="L621">
        <v>2.97E-3</v>
      </c>
      <c r="M621">
        <v>0.245</v>
      </c>
      <c r="N621">
        <v>0.21609999999999999</v>
      </c>
      <c r="O621">
        <v>3.79E-3</v>
      </c>
      <c r="P621" s="3">
        <f t="shared" si="36"/>
        <v>1101.939122053079</v>
      </c>
      <c r="Q621" s="3">
        <f t="shared" si="37"/>
        <v>3.4242398510286876E-4</v>
      </c>
      <c r="R621" s="3">
        <f t="shared" si="38"/>
        <v>2.97E-3</v>
      </c>
      <c r="S621">
        <f t="shared" si="39"/>
        <v>10</v>
      </c>
      <c r="T621">
        <f>INDEX([1]IDEN_level_ids!$B:$B,MATCH(G621,[1]IDEN_level_ids!$A:$A,0),1)</f>
        <v>1161</v>
      </c>
      <c r="U621">
        <f>INDEX([1]IDEN_level_ids!$B:$B,MATCH(H621,[1]IDEN_level_ids!$A:$A,0),1)</f>
        <v>707</v>
      </c>
    </row>
    <row r="622" spans="1:21" hidden="1" x14ac:dyDescent="0.25">
      <c r="A622">
        <v>90711.820200000002</v>
      </c>
      <c r="B622">
        <v>1102.3922</v>
      </c>
      <c r="C622">
        <v>4</v>
      </c>
      <c r="D622" t="s">
        <v>296</v>
      </c>
      <c r="F622">
        <v>1969</v>
      </c>
      <c r="G622" s="1" t="s">
        <v>83</v>
      </c>
      <c r="H622" s="1" t="s">
        <v>127</v>
      </c>
      <c r="I622">
        <v>0</v>
      </c>
      <c r="J622">
        <v>90711.632299999997</v>
      </c>
      <c r="K622">
        <v>-2.2799999999999999E-3</v>
      </c>
      <c r="L622">
        <v>2.98E-3</v>
      </c>
      <c r="M622">
        <v>0.245</v>
      </c>
      <c r="N622">
        <v>2.7099999999999999E-2</v>
      </c>
      <c r="O622">
        <v>3.0599999999999998E-3</v>
      </c>
      <c r="P622" s="3">
        <f t="shared" si="36"/>
        <v>1102.3921665282603</v>
      </c>
      <c r="Q622" s="3">
        <f t="shared" si="37"/>
        <v>-2.2834942203644459E-3</v>
      </c>
      <c r="R622" s="3">
        <f t="shared" si="38"/>
        <v>2.98E-3</v>
      </c>
      <c r="S622">
        <f t="shared" si="39"/>
        <v>10</v>
      </c>
      <c r="T622">
        <f>INDEX([1]IDEN_level_ids!$B:$B,MATCH(G622,[1]IDEN_level_ids!$A:$A,0),1)</f>
        <v>1175</v>
      </c>
      <c r="U622">
        <f>INDEX([1]IDEN_level_ids!$B:$B,MATCH(H622,[1]IDEN_level_ids!$A:$A,0),1)</f>
        <v>760</v>
      </c>
    </row>
    <row r="623" spans="1:21" hidden="1" x14ac:dyDescent="0.25">
      <c r="A623">
        <v>90666.916599999997</v>
      </c>
      <c r="B623">
        <v>1102.9381000000001</v>
      </c>
      <c r="C623">
        <v>4</v>
      </c>
      <c r="D623" t="s">
        <v>296</v>
      </c>
      <c r="F623">
        <v>1969</v>
      </c>
      <c r="G623" s="1" t="s">
        <v>271</v>
      </c>
      <c r="H623" s="1" t="s">
        <v>215</v>
      </c>
      <c r="I623">
        <v>0</v>
      </c>
      <c r="J623">
        <v>90667.332599999994</v>
      </c>
      <c r="K623">
        <v>5.0600000000000003E-3</v>
      </c>
      <c r="L623">
        <v>2.98E-3</v>
      </c>
      <c r="M623">
        <v>0.245</v>
      </c>
      <c r="N623">
        <v>2.5899999999999999E-2</v>
      </c>
      <c r="O623">
        <v>3.0599999999999998E-3</v>
      </c>
      <c r="P623" s="3">
        <f t="shared" si="36"/>
        <v>1102.9381360918587</v>
      </c>
      <c r="Q623" s="3">
        <f t="shared" si="37"/>
        <v>5.0605025146523985E-3</v>
      </c>
      <c r="R623" s="3">
        <f t="shared" si="38"/>
        <v>2.98E-3</v>
      </c>
      <c r="S623">
        <f t="shared" si="39"/>
        <v>10</v>
      </c>
      <c r="T623">
        <f>INDEX([1]IDEN_level_ids!$B:$B,MATCH(G623,[1]IDEN_level_ids!$A:$A,0),1)</f>
        <v>1158</v>
      </c>
      <c r="U623">
        <f>INDEX([1]IDEN_level_ids!$B:$B,MATCH(H623,[1]IDEN_level_ids!$A:$A,0),1)</f>
        <v>699</v>
      </c>
    </row>
    <row r="624" spans="1:21" hidden="1" x14ac:dyDescent="0.25">
      <c r="A624">
        <v>90658.972899999993</v>
      </c>
      <c r="B624">
        <v>1103.0347999999999</v>
      </c>
      <c r="C624">
        <v>4</v>
      </c>
      <c r="D624" t="s">
        <v>296</v>
      </c>
      <c r="F624">
        <v>1969</v>
      </c>
      <c r="G624" s="1" t="s">
        <v>84</v>
      </c>
      <c r="H624" s="1" t="s">
        <v>171</v>
      </c>
      <c r="I624">
        <v>0</v>
      </c>
      <c r="J624">
        <v>90658.804399999994</v>
      </c>
      <c r="K624">
        <v>-2.0500000000000002E-3</v>
      </c>
      <c r="L624">
        <v>2.98E-3</v>
      </c>
      <c r="M624">
        <v>0.245</v>
      </c>
      <c r="N624">
        <v>9.7900000000000001E-2</v>
      </c>
      <c r="O624">
        <v>3.3E-3</v>
      </c>
      <c r="P624" s="3">
        <f t="shared" si="36"/>
        <v>1103.0347774875354</v>
      </c>
      <c r="Q624" s="3">
        <f t="shared" si="37"/>
        <v>-2.0501192491337861E-3</v>
      </c>
      <c r="R624" s="3">
        <f t="shared" si="38"/>
        <v>2.98E-3</v>
      </c>
      <c r="S624">
        <f t="shared" si="39"/>
        <v>10</v>
      </c>
      <c r="T624">
        <f>INDEX([1]IDEN_level_ids!$B:$B,MATCH(G624,[1]IDEN_level_ids!$A:$A,0),1)</f>
        <v>1191</v>
      </c>
      <c r="U624">
        <f>INDEX([1]IDEN_level_ids!$B:$B,MATCH(H624,[1]IDEN_level_ids!$A:$A,0),1)</f>
        <v>774</v>
      </c>
    </row>
    <row r="625" spans="1:21" hidden="1" x14ac:dyDescent="0.25">
      <c r="A625">
        <v>90649.502200000003</v>
      </c>
      <c r="B625">
        <v>1103.1500000000001</v>
      </c>
      <c r="C625">
        <v>4</v>
      </c>
      <c r="D625" t="s">
        <v>296</v>
      </c>
      <c r="F625">
        <v>1969</v>
      </c>
      <c r="G625" s="1" t="s">
        <v>256</v>
      </c>
      <c r="H625" s="1" t="s">
        <v>95</v>
      </c>
      <c r="I625">
        <v>0</v>
      </c>
      <c r="J625">
        <v>90648.9326</v>
      </c>
      <c r="K625">
        <v>-6.9300000000000004E-3</v>
      </c>
      <c r="L625">
        <v>2.98E-3</v>
      </c>
      <c r="M625">
        <v>0.245</v>
      </c>
      <c r="N625">
        <v>0.13969999999999999</v>
      </c>
      <c r="O625">
        <v>3.47E-3</v>
      </c>
      <c r="P625" s="3">
        <f t="shared" si="36"/>
        <v>1103.1500181806846</v>
      </c>
      <c r="Q625" s="3">
        <f t="shared" si="37"/>
        <v>-6.9317335828600335E-3</v>
      </c>
      <c r="R625" s="3">
        <f t="shared" si="38"/>
        <v>2.98E-3</v>
      </c>
      <c r="S625">
        <f t="shared" si="39"/>
        <v>10</v>
      </c>
      <c r="T625">
        <f>INDEX([1]IDEN_level_ids!$B:$B,MATCH(G625,[1]IDEN_level_ids!$A:$A,0),1)</f>
        <v>1120</v>
      </c>
      <c r="U625">
        <f>INDEX([1]IDEN_level_ids!$B:$B,MATCH(H625,[1]IDEN_level_ids!$A:$A,0),1)</f>
        <v>538</v>
      </c>
    </row>
    <row r="626" spans="1:21" hidden="1" x14ac:dyDescent="0.25">
      <c r="A626">
        <v>90646.616500000004</v>
      </c>
      <c r="B626">
        <v>1103.1850999999999</v>
      </c>
      <c r="C626">
        <v>4</v>
      </c>
      <c r="D626" t="s">
        <v>296</v>
      </c>
      <c r="F626">
        <v>1969</v>
      </c>
      <c r="G626" s="1" t="s">
        <v>243</v>
      </c>
      <c r="H626" s="1" t="s">
        <v>222</v>
      </c>
      <c r="I626">
        <v>0</v>
      </c>
      <c r="J626">
        <v>90646.194399999993</v>
      </c>
      <c r="K626">
        <v>-5.1399999999999996E-3</v>
      </c>
      <c r="L626">
        <v>2.98E-3</v>
      </c>
      <c r="M626">
        <v>0.245</v>
      </c>
      <c r="N626">
        <v>2.69E-2</v>
      </c>
      <c r="O626">
        <v>3.0599999999999998E-3</v>
      </c>
      <c r="P626" s="3">
        <f t="shared" si="36"/>
        <v>1103.1851365351292</v>
      </c>
      <c r="Q626" s="3">
        <f t="shared" si="37"/>
        <v>-5.1370545584177307E-3</v>
      </c>
      <c r="R626" s="3">
        <f t="shared" si="38"/>
        <v>2.98E-3</v>
      </c>
      <c r="S626">
        <f t="shared" si="39"/>
        <v>10</v>
      </c>
      <c r="T626">
        <f>INDEX([1]IDEN_level_ids!$B:$B,MATCH(G626,[1]IDEN_level_ids!$A:$A,0),1)</f>
        <v>1205</v>
      </c>
      <c r="U626">
        <f>INDEX([1]IDEN_level_ids!$B:$B,MATCH(H626,[1]IDEN_level_ids!$A:$A,0),1)</f>
        <v>800</v>
      </c>
    </row>
    <row r="627" spans="1:21" hidden="1" x14ac:dyDescent="0.25">
      <c r="A627">
        <v>90632.725900000005</v>
      </c>
      <c r="B627">
        <v>1103.3542</v>
      </c>
      <c r="C627">
        <v>4</v>
      </c>
      <c r="D627" t="s">
        <v>296</v>
      </c>
      <c r="F627">
        <v>1969</v>
      </c>
      <c r="G627" s="1" t="s">
        <v>83</v>
      </c>
      <c r="H627" s="1" t="s">
        <v>192</v>
      </c>
      <c r="I627">
        <v>0</v>
      </c>
      <c r="J627">
        <v>90632.848199999993</v>
      </c>
      <c r="K627">
        <v>1.49E-3</v>
      </c>
      <c r="L627">
        <v>2.98E-3</v>
      </c>
      <c r="M627">
        <v>0.245</v>
      </c>
      <c r="N627">
        <v>2.2100000000000002E-2</v>
      </c>
      <c r="O627">
        <v>3.0500000000000002E-3</v>
      </c>
      <c r="P627" s="3">
        <f t="shared" si="36"/>
        <v>1103.3542134695961</v>
      </c>
      <c r="Q627" s="3">
        <f t="shared" si="37"/>
        <v>1.4888665971284354E-3</v>
      </c>
      <c r="R627" s="3">
        <f t="shared" si="38"/>
        <v>2.98E-3</v>
      </c>
      <c r="S627">
        <f t="shared" si="39"/>
        <v>10</v>
      </c>
      <c r="T627">
        <f>INDEX([1]IDEN_level_ids!$B:$B,MATCH(G627,[1]IDEN_level_ids!$A:$A,0),1)</f>
        <v>1175</v>
      </c>
      <c r="U627">
        <f>INDEX([1]IDEN_level_ids!$B:$B,MATCH(H627,[1]IDEN_level_ids!$A:$A,0),1)</f>
        <v>762</v>
      </c>
    </row>
    <row r="628" spans="1:21" hidden="1" x14ac:dyDescent="0.25">
      <c r="A628">
        <v>90612.118100000007</v>
      </c>
      <c r="B628">
        <v>1103.6051</v>
      </c>
      <c r="C628">
        <v>4</v>
      </c>
      <c r="D628" t="s">
        <v>296</v>
      </c>
      <c r="F628">
        <v>1969</v>
      </c>
      <c r="G628" s="1" t="s">
        <v>216</v>
      </c>
      <c r="H628" s="1" t="s">
        <v>191</v>
      </c>
      <c r="I628">
        <v>0</v>
      </c>
      <c r="J628">
        <v>90611.989799999996</v>
      </c>
      <c r="K628">
        <v>-1.56E-3</v>
      </c>
      <c r="L628">
        <v>2.98E-3</v>
      </c>
      <c r="M628">
        <v>0.245</v>
      </c>
      <c r="N628">
        <v>4.1300000000000003E-2</v>
      </c>
      <c r="O628">
        <v>3.1099999999999999E-3</v>
      </c>
      <c r="P628" s="3">
        <f t="shared" si="36"/>
        <v>1103.6051479299874</v>
      </c>
      <c r="Q628" s="3">
        <f t="shared" si="37"/>
        <v>-1.5626247784439329E-3</v>
      </c>
      <c r="R628" s="3">
        <f t="shared" si="38"/>
        <v>2.98E-3</v>
      </c>
      <c r="S628">
        <f t="shared" si="39"/>
        <v>10</v>
      </c>
      <c r="T628">
        <f>INDEX([1]IDEN_level_ids!$B:$B,MATCH(G628,[1]IDEN_level_ids!$A:$A,0),1)</f>
        <v>1170</v>
      </c>
      <c r="U628">
        <f>INDEX([1]IDEN_level_ids!$B:$B,MATCH(H628,[1]IDEN_level_ids!$A:$A,0),1)</f>
        <v>749</v>
      </c>
    </row>
    <row r="629" spans="1:21" hidden="1" x14ac:dyDescent="0.25">
      <c r="A629">
        <v>90597.7785</v>
      </c>
      <c r="B629">
        <v>1103.7798</v>
      </c>
      <c r="C629">
        <v>4</v>
      </c>
      <c r="D629" t="s">
        <v>296</v>
      </c>
      <c r="F629">
        <v>1969</v>
      </c>
      <c r="G629" s="1" t="s">
        <v>238</v>
      </c>
      <c r="H629" s="1" t="s">
        <v>156</v>
      </c>
      <c r="I629">
        <v>0</v>
      </c>
      <c r="J629">
        <v>90597.624400000001</v>
      </c>
      <c r="K629">
        <v>-1.8799999999999999E-3</v>
      </c>
      <c r="L629">
        <v>2.98E-3</v>
      </c>
      <c r="M629">
        <v>0.245</v>
      </c>
      <c r="N629">
        <v>9.5699999999999993E-2</v>
      </c>
      <c r="O629">
        <v>3.3E-3</v>
      </c>
      <c r="P629" s="3">
        <f t="shared" si="36"/>
        <v>1103.7798239169849</v>
      </c>
      <c r="Q629" s="3">
        <f t="shared" si="37"/>
        <v>-1.8774495688376192E-3</v>
      </c>
      <c r="R629" s="3">
        <f t="shared" si="38"/>
        <v>2.98E-3</v>
      </c>
      <c r="S629">
        <f t="shared" si="39"/>
        <v>10</v>
      </c>
      <c r="T629">
        <f>INDEX([1]IDEN_level_ids!$B:$B,MATCH(G629,[1]IDEN_level_ids!$A:$A,0),1)</f>
        <v>1165</v>
      </c>
      <c r="U629">
        <f>INDEX([1]IDEN_level_ids!$B:$B,MATCH(H629,[1]IDEN_level_ids!$A:$A,0),1)</f>
        <v>734</v>
      </c>
    </row>
    <row r="630" spans="1:21" hidden="1" x14ac:dyDescent="0.25">
      <c r="A630">
        <v>90565.510899999994</v>
      </c>
      <c r="B630">
        <v>1104.1731</v>
      </c>
      <c r="C630">
        <v>4</v>
      </c>
      <c r="D630" t="s">
        <v>296</v>
      </c>
      <c r="F630">
        <v>1969</v>
      </c>
      <c r="G630" s="1" t="s">
        <v>209</v>
      </c>
      <c r="H630" s="1" t="s">
        <v>184</v>
      </c>
      <c r="I630">
        <v>0</v>
      </c>
      <c r="J630">
        <v>90565.467000000004</v>
      </c>
      <c r="K630">
        <v>-5.4000000000000001E-4</v>
      </c>
      <c r="L630">
        <v>2.99E-3</v>
      </c>
      <c r="M630">
        <v>0.245</v>
      </c>
      <c r="N630">
        <v>3.2599999999999997E-2</v>
      </c>
      <c r="O630">
        <v>3.0899999999999999E-3</v>
      </c>
      <c r="P630" s="3">
        <f t="shared" si="36"/>
        <v>1104.1730898025553</v>
      </c>
      <c r="Q630" s="3">
        <f t="shared" si="37"/>
        <v>-5.3522827465712908E-4</v>
      </c>
      <c r="R630" s="3">
        <f t="shared" si="38"/>
        <v>2.99E-3</v>
      </c>
      <c r="S630">
        <f t="shared" si="39"/>
        <v>10</v>
      </c>
      <c r="T630">
        <f>INDEX([1]IDEN_level_ids!$B:$B,MATCH(G630,[1]IDEN_level_ids!$A:$A,0),1)</f>
        <v>1209</v>
      </c>
      <c r="U630">
        <f>INDEX([1]IDEN_level_ids!$B:$B,MATCH(H630,[1]IDEN_level_ids!$A:$A,0),1)</f>
        <v>810</v>
      </c>
    </row>
    <row r="631" spans="1:21" hidden="1" x14ac:dyDescent="0.25">
      <c r="A631">
        <v>90547.803100000005</v>
      </c>
      <c r="B631">
        <v>1104.3889999999999</v>
      </c>
      <c r="C631">
        <v>4</v>
      </c>
      <c r="D631" t="s">
        <v>296</v>
      </c>
      <c r="F631">
        <v>1969</v>
      </c>
      <c r="G631" s="1" t="s">
        <v>117</v>
      </c>
      <c r="H631" s="1" t="s">
        <v>144</v>
      </c>
      <c r="I631">
        <v>0</v>
      </c>
      <c r="J631">
        <v>90547.9715</v>
      </c>
      <c r="K631">
        <v>2.0500000000000002E-3</v>
      </c>
      <c r="L631">
        <v>2.99E-3</v>
      </c>
      <c r="M631">
        <v>0.245</v>
      </c>
      <c r="N631">
        <v>0.14899999999999999</v>
      </c>
      <c r="O631">
        <v>3.5100000000000001E-3</v>
      </c>
      <c r="P631" s="3">
        <f t="shared" si="36"/>
        <v>1104.3890252043011</v>
      </c>
      <c r="Q631" s="3">
        <f t="shared" si="37"/>
        <v>2.0539290803753829E-3</v>
      </c>
      <c r="R631" s="3">
        <f t="shared" si="38"/>
        <v>2.99E-3</v>
      </c>
      <c r="S631">
        <f t="shared" si="39"/>
        <v>10</v>
      </c>
      <c r="T631">
        <f>INDEX([1]IDEN_level_ids!$B:$B,MATCH(G631,[1]IDEN_level_ids!$A:$A,0),1)</f>
        <v>1162</v>
      </c>
      <c r="U631">
        <f>INDEX([1]IDEN_level_ids!$B:$B,MATCH(H631,[1]IDEN_level_ids!$A:$A,0),1)</f>
        <v>721</v>
      </c>
    </row>
    <row r="632" spans="1:21" hidden="1" x14ac:dyDescent="0.25">
      <c r="A632">
        <v>90536.673699999999</v>
      </c>
      <c r="B632">
        <v>1104.5247999999999</v>
      </c>
      <c r="C632">
        <v>4</v>
      </c>
      <c r="D632" t="s">
        <v>296</v>
      </c>
      <c r="F632">
        <v>1969</v>
      </c>
      <c r="G632" s="1" t="s">
        <v>83</v>
      </c>
      <c r="H632" s="1" t="s">
        <v>131</v>
      </c>
      <c r="I632">
        <v>0</v>
      </c>
      <c r="J632">
        <v>90536.4326</v>
      </c>
      <c r="K632">
        <v>-2.9399999999999999E-3</v>
      </c>
      <c r="L632">
        <v>2.99E-3</v>
      </c>
      <c r="M632">
        <v>0.245</v>
      </c>
      <c r="N632">
        <v>2.7699999999999999E-2</v>
      </c>
      <c r="O632">
        <v>3.0699999999999998E-3</v>
      </c>
      <c r="P632" s="3">
        <f t="shared" si="36"/>
        <v>1104.5247844134128</v>
      </c>
      <c r="Q632" s="3">
        <f t="shared" si="37"/>
        <v>-2.9413675563318975E-3</v>
      </c>
      <c r="R632" s="3">
        <f t="shared" si="38"/>
        <v>2.99E-3</v>
      </c>
      <c r="S632">
        <f t="shared" si="39"/>
        <v>10</v>
      </c>
      <c r="T632">
        <f>INDEX([1]IDEN_level_ids!$B:$B,MATCH(G632,[1]IDEN_level_ids!$A:$A,0),1)</f>
        <v>1175</v>
      </c>
      <c r="U632">
        <f>INDEX([1]IDEN_level_ids!$B:$B,MATCH(H632,[1]IDEN_level_ids!$A:$A,0),1)</f>
        <v>764</v>
      </c>
    </row>
    <row r="633" spans="1:21" hidden="1" x14ac:dyDescent="0.25">
      <c r="A633">
        <v>90520.595799999996</v>
      </c>
      <c r="B633">
        <v>1104.721</v>
      </c>
      <c r="C633">
        <v>4</v>
      </c>
      <c r="D633" t="s">
        <v>296</v>
      </c>
      <c r="F633">
        <v>1969</v>
      </c>
      <c r="G633" s="1" t="s">
        <v>297</v>
      </c>
      <c r="H633" s="1" t="s">
        <v>298</v>
      </c>
      <c r="I633">
        <v>0</v>
      </c>
      <c r="J633">
        <v>90520.492100000003</v>
      </c>
      <c r="K633">
        <v>-1.2700000000000001E-3</v>
      </c>
      <c r="L633">
        <v>2.99E-3</v>
      </c>
      <c r="M633">
        <v>0.245</v>
      </c>
      <c r="N633">
        <v>0.50409999999999999</v>
      </c>
      <c r="O633">
        <v>6.0299999999999998E-3</v>
      </c>
      <c r="P633" s="3">
        <f t="shared" si="36"/>
        <v>1104.7209656125574</v>
      </c>
      <c r="Q633" s="3">
        <f t="shared" si="37"/>
        <v>-1.2655649727548735E-3</v>
      </c>
      <c r="R633" s="3">
        <f t="shared" si="38"/>
        <v>2.99E-3</v>
      </c>
      <c r="S633">
        <f t="shared" si="39"/>
        <v>10</v>
      </c>
      <c r="T633">
        <f>INDEX([1]IDEN_level_ids!$B:$B,MATCH(G633,[1]IDEN_level_ids!$A:$A,0),1)</f>
        <v>1099</v>
      </c>
      <c r="U633">
        <f>INDEX([1]IDEN_level_ids!$B:$B,MATCH(H633,[1]IDEN_level_ids!$A:$A,0),1)</f>
        <v>338</v>
      </c>
    </row>
    <row r="634" spans="1:21" hidden="1" x14ac:dyDescent="0.25">
      <c r="A634">
        <v>90510.598499999993</v>
      </c>
      <c r="B634">
        <v>1104.8430000000001</v>
      </c>
      <c r="C634">
        <v>4</v>
      </c>
      <c r="D634" t="s">
        <v>296</v>
      </c>
      <c r="F634">
        <v>1969</v>
      </c>
      <c r="G634" s="1" t="s">
        <v>85</v>
      </c>
      <c r="H634" s="1" t="s">
        <v>154</v>
      </c>
      <c r="I634">
        <v>0</v>
      </c>
      <c r="J634">
        <v>90510.491399999999</v>
      </c>
      <c r="K634">
        <v>-1.31E-3</v>
      </c>
      <c r="L634">
        <v>2.99E-3</v>
      </c>
      <c r="M634">
        <v>0.245</v>
      </c>
      <c r="N634">
        <v>4.0800000000000003E-2</v>
      </c>
      <c r="O634">
        <v>3.1199999999999999E-3</v>
      </c>
      <c r="P634" s="3">
        <f t="shared" si="36"/>
        <v>1104.8429869790332</v>
      </c>
      <c r="Q634" s="3">
        <f t="shared" si="37"/>
        <v>-1.3073477127818478E-3</v>
      </c>
      <c r="R634" s="3">
        <f t="shared" si="38"/>
        <v>2.99E-3</v>
      </c>
      <c r="S634">
        <f t="shared" si="39"/>
        <v>10</v>
      </c>
      <c r="T634">
        <f>INDEX([1]IDEN_level_ids!$B:$B,MATCH(G634,[1]IDEN_level_ids!$A:$A,0),1)</f>
        <v>1168</v>
      </c>
      <c r="U634">
        <f>INDEX([1]IDEN_level_ids!$B:$B,MATCH(H634,[1]IDEN_level_ids!$A:$A,0),1)</f>
        <v>739</v>
      </c>
    </row>
    <row r="635" spans="1:21" hidden="1" x14ac:dyDescent="0.25">
      <c r="A635">
        <v>90466.121400000004</v>
      </c>
      <c r="B635">
        <v>1105.3861999999999</v>
      </c>
      <c r="C635">
        <v>4</v>
      </c>
      <c r="D635" t="s">
        <v>296</v>
      </c>
      <c r="F635">
        <v>1969</v>
      </c>
      <c r="G635" s="1" t="s">
        <v>73</v>
      </c>
      <c r="H635" s="1" t="s">
        <v>127</v>
      </c>
      <c r="I635">
        <v>0</v>
      </c>
      <c r="J635">
        <v>90465.738700000002</v>
      </c>
      <c r="K635">
        <v>-4.6800000000000001E-3</v>
      </c>
      <c r="L635">
        <v>2.99E-3</v>
      </c>
      <c r="M635">
        <v>0.245</v>
      </c>
      <c r="N635">
        <v>2.7E-2</v>
      </c>
      <c r="O635">
        <v>3.0799999999999998E-3</v>
      </c>
      <c r="P635" s="3">
        <f t="shared" si="36"/>
        <v>1105.3861760895609</v>
      </c>
      <c r="Q635" s="3">
        <f t="shared" si="37"/>
        <v>-4.6761491773850139E-3</v>
      </c>
      <c r="R635" s="3">
        <f t="shared" si="38"/>
        <v>2.99E-3</v>
      </c>
      <c r="S635">
        <f t="shared" si="39"/>
        <v>10</v>
      </c>
      <c r="T635">
        <f>INDEX([1]IDEN_level_ids!$B:$B,MATCH(G635,[1]IDEN_level_ids!$A:$A,0),1)</f>
        <v>1173</v>
      </c>
      <c r="U635">
        <f>INDEX([1]IDEN_level_ids!$B:$B,MATCH(H635,[1]IDEN_level_ids!$A:$A,0),1)</f>
        <v>760</v>
      </c>
    </row>
    <row r="636" spans="1:21" hidden="1" x14ac:dyDescent="0.25">
      <c r="A636">
        <v>90457.476899999994</v>
      </c>
      <c r="B636">
        <v>1105.4918</v>
      </c>
      <c r="C636">
        <v>4</v>
      </c>
      <c r="D636" t="s">
        <v>296</v>
      </c>
      <c r="F636">
        <v>1969</v>
      </c>
      <c r="G636" s="1" t="s">
        <v>40</v>
      </c>
      <c r="H636" s="1" t="s">
        <v>152</v>
      </c>
      <c r="I636">
        <v>0</v>
      </c>
      <c r="J636">
        <v>90457.859299999996</v>
      </c>
      <c r="K636">
        <v>4.6699999999999997E-3</v>
      </c>
      <c r="L636">
        <v>2.99E-3</v>
      </c>
      <c r="M636">
        <v>0.245</v>
      </c>
      <c r="N636">
        <v>1.37E-2</v>
      </c>
      <c r="O636">
        <v>3.0400000000000002E-3</v>
      </c>
      <c r="P636" s="3">
        <f t="shared" si="36"/>
        <v>1105.4918114789912</v>
      </c>
      <c r="Q636" s="3">
        <f t="shared" si="37"/>
        <v>4.6733370872971136E-3</v>
      </c>
      <c r="R636" s="3">
        <f t="shared" si="38"/>
        <v>2.99E-3</v>
      </c>
      <c r="S636">
        <f t="shared" si="39"/>
        <v>10</v>
      </c>
      <c r="T636">
        <f>INDEX([1]IDEN_level_ids!$B:$B,MATCH(G636,[1]IDEN_level_ids!$A:$A,0),1)</f>
        <v>1199</v>
      </c>
      <c r="U636">
        <f>INDEX([1]IDEN_level_ids!$B:$B,MATCH(H636,[1]IDEN_level_ids!$A:$A,0),1)</f>
        <v>793</v>
      </c>
    </row>
    <row r="637" spans="1:21" hidden="1" x14ac:dyDescent="0.25">
      <c r="A637">
        <v>90419.011899999998</v>
      </c>
      <c r="B637">
        <v>1105.9621</v>
      </c>
      <c r="C637">
        <v>4</v>
      </c>
      <c r="D637" t="s">
        <v>296</v>
      </c>
      <c r="F637">
        <v>1969</v>
      </c>
      <c r="G637" s="1" t="s">
        <v>100</v>
      </c>
      <c r="H637" s="1" t="s">
        <v>185</v>
      </c>
      <c r="I637">
        <v>0</v>
      </c>
      <c r="J637">
        <v>90418.503200000006</v>
      </c>
      <c r="K637">
        <v>-6.2199999999999998E-3</v>
      </c>
      <c r="L637">
        <v>3.0000000000000001E-3</v>
      </c>
      <c r="M637">
        <v>0.245</v>
      </c>
      <c r="N637">
        <v>0.2399</v>
      </c>
      <c r="O637">
        <v>3.9399999999999999E-3</v>
      </c>
      <c r="P637" s="3">
        <f t="shared" si="36"/>
        <v>1105.9620968939166</v>
      </c>
      <c r="Q637" s="3">
        <f t="shared" si="37"/>
        <v>-6.222210043006271E-3</v>
      </c>
      <c r="R637" s="3">
        <f t="shared" si="38"/>
        <v>3.0000000000000001E-3</v>
      </c>
      <c r="S637">
        <f t="shared" si="39"/>
        <v>10</v>
      </c>
      <c r="T637">
        <f>INDEX([1]IDEN_level_ids!$B:$B,MATCH(G637,[1]IDEN_level_ids!$A:$A,0),1)</f>
        <v>1146</v>
      </c>
      <c r="U637">
        <f>INDEX([1]IDEN_level_ids!$B:$B,MATCH(H637,[1]IDEN_level_ids!$A:$A,0),1)</f>
        <v>633</v>
      </c>
    </row>
    <row r="638" spans="1:21" hidden="1" x14ac:dyDescent="0.25">
      <c r="A638">
        <v>90411.005099999995</v>
      </c>
      <c r="B638">
        <v>1106.06</v>
      </c>
      <c r="C638">
        <v>4</v>
      </c>
      <c r="D638" t="s">
        <v>296</v>
      </c>
      <c r="F638">
        <v>1969</v>
      </c>
      <c r="G638" s="1" t="s">
        <v>76</v>
      </c>
      <c r="H638" s="1" t="s">
        <v>161</v>
      </c>
      <c r="I638">
        <v>0</v>
      </c>
      <c r="J638">
        <v>90410.868000000002</v>
      </c>
      <c r="K638">
        <v>-1.6800000000000001E-3</v>
      </c>
      <c r="L638">
        <v>3.0000000000000001E-3</v>
      </c>
      <c r="M638">
        <v>0.245</v>
      </c>
      <c r="N638">
        <v>1.6299999999999999E-2</v>
      </c>
      <c r="O638">
        <v>3.0500000000000002E-3</v>
      </c>
      <c r="P638" s="3">
        <f t="shared" si="36"/>
        <v>1106.0600409142007</v>
      </c>
      <c r="Q638" s="3">
        <f t="shared" si="37"/>
        <v>-1.6772411872807425E-3</v>
      </c>
      <c r="R638" s="3">
        <f t="shared" si="38"/>
        <v>3.0000000000000001E-3</v>
      </c>
      <c r="S638">
        <f t="shared" si="39"/>
        <v>10</v>
      </c>
      <c r="T638">
        <f>INDEX([1]IDEN_level_ids!$B:$B,MATCH(G638,[1]IDEN_level_ids!$A:$A,0),1)</f>
        <v>1194</v>
      </c>
      <c r="U638">
        <f>INDEX([1]IDEN_level_ids!$B:$B,MATCH(H638,[1]IDEN_level_ids!$A:$A,0),1)</f>
        <v>785</v>
      </c>
    </row>
    <row r="639" spans="1:21" hidden="1" x14ac:dyDescent="0.25">
      <c r="A639">
        <v>90395.310100000002</v>
      </c>
      <c r="B639">
        <v>1106.2520999999999</v>
      </c>
      <c r="C639">
        <v>4</v>
      </c>
      <c r="D639" t="s">
        <v>296</v>
      </c>
      <c r="F639">
        <v>1969</v>
      </c>
      <c r="G639" s="1" t="s">
        <v>268</v>
      </c>
      <c r="H639" s="1" t="s">
        <v>107</v>
      </c>
      <c r="I639">
        <v>0</v>
      </c>
      <c r="J639">
        <v>90394.915099999998</v>
      </c>
      <c r="K639">
        <v>-4.8300000000000001E-3</v>
      </c>
      <c r="L639">
        <v>3.0000000000000001E-3</v>
      </c>
      <c r="M639">
        <v>0.245</v>
      </c>
      <c r="N639">
        <v>2.4899999999999999E-2</v>
      </c>
      <c r="O639">
        <v>3.0699999999999998E-3</v>
      </c>
      <c r="P639" s="3">
        <f t="shared" si="36"/>
        <v>1106.2520819871604</v>
      </c>
      <c r="Q639" s="3">
        <f t="shared" si="37"/>
        <v>-4.8340061155158764E-3</v>
      </c>
      <c r="R639" s="3">
        <f t="shared" si="38"/>
        <v>3.0000000000000001E-3</v>
      </c>
      <c r="S639">
        <f t="shared" si="39"/>
        <v>10</v>
      </c>
      <c r="T639">
        <f>INDEX([1]IDEN_level_ids!$B:$B,MATCH(G639,[1]IDEN_level_ids!$A:$A,0),1)</f>
        <v>1160</v>
      </c>
      <c r="U639">
        <f>INDEX([1]IDEN_level_ids!$B:$B,MATCH(H639,[1]IDEN_level_ids!$A:$A,0),1)</f>
        <v>714</v>
      </c>
    </row>
    <row r="640" spans="1:21" hidden="1" x14ac:dyDescent="0.25">
      <c r="A640">
        <v>90390.497600000002</v>
      </c>
      <c r="B640">
        <v>1106.3109999999999</v>
      </c>
      <c r="C640">
        <v>4</v>
      </c>
      <c r="D640" t="s">
        <v>296</v>
      </c>
      <c r="F640">
        <v>1969</v>
      </c>
      <c r="G640" s="1" t="s">
        <v>216</v>
      </c>
      <c r="H640" s="1" t="s">
        <v>258</v>
      </c>
      <c r="I640">
        <v>0</v>
      </c>
      <c r="J640">
        <v>90390.260800000004</v>
      </c>
      <c r="K640">
        <v>-2.8999999999999998E-3</v>
      </c>
      <c r="L640">
        <v>3.0000000000000001E-3</v>
      </c>
      <c r="M640">
        <v>0.245</v>
      </c>
      <c r="N640">
        <v>4.3200000000000002E-2</v>
      </c>
      <c r="O640">
        <v>3.13E-3</v>
      </c>
      <c r="P640" s="3">
        <f t="shared" si="36"/>
        <v>1106.3109801931216</v>
      </c>
      <c r="Q640" s="3">
        <f t="shared" si="37"/>
        <v>-2.8982595888464857E-3</v>
      </c>
      <c r="R640" s="3">
        <f t="shared" si="38"/>
        <v>3.0000000000000001E-3</v>
      </c>
      <c r="S640">
        <f t="shared" si="39"/>
        <v>10</v>
      </c>
      <c r="T640">
        <f>INDEX([1]IDEN_level_ids!$B:$B,MATCH(G640,[1]IDEN_level_ids!$A:$A,0),1)</f>
        <v>1170</v>
      </c>
      <c r="U640">
        <f>INDEX([1]IDEN_level_ids!$B:$B,MATCH(H640,[1]IDEN_level_ids!$A:$A,0),1)</f>
        <v>755</v>
      </c>
    </row>
    <row r="641" spans="1:21" hidden="1" x14ac:dyDescent="0.25">
      <c r="A641">
        <v>90381.367599999998</v>
      </c>
      <c r="B641">
        <v>1106.4227000000001</v>
      </c>
      <c r="C641">
        <v>4</v>
      </c>
      <c r="D641" t="s">
        <v>296</v>
      </c>
      <c r="F641">
        <v>1969</v>
      </c>
      <c r="G641" s="1" t="s">
        <v>180</v>
      </c>
      <c r="H641" s="1" t="s">
        <v>237</v>
      </c>
      <c r="I641">
        <v>0</v>
      </c>
      <c r="J641">
        <v>90381.235000000001</v>
      </c>
      <c r="K641">
        <v>-1.6199999999999999E-3</v>
      </c>
      <c r="L641">
        <v>3.0000000000000001E-3</v>
      </c>
      <c r="M641">
        <v>0.245</v>
      </c>
      <c r="N641">
        <v>4.3900000000000002E-2</v>
      </c>
      <c r="O641">
        <v>3.14E-3</v>
      </c>
      <c r="P641" s="3">
        <f t="shared" si="36"/>
        <v>1106.422735740945</v>
      </c>
      <c r="Q641" s="3">
        <f t="shared" si="37"/>
        <v>-1.6232534856044367E-3</v>
      </c>
      <c r="R641" s="3">
        <f t="shared" si="38"/>
        <v>3.0000000000000001E-3</v>
      </c>
      <c r="S641">
        <f t="shared" si="39"/>
        <v>10</v>
      </c>
      <c r="T641">
        <f>INDEX([1]IDEN_level_ids!$B:$B,MATCH(G641,[1]IDEN_level_ids!$A:$A,0),1)</f>
        <v>1184</v>
      </c>
      <c r="U641">
        <f>INDEX([1]IDEN_level_ids!$B:$B,MATCH(H641,[1]IDEN_level_ids!$A:$A,0),1)</f>
        <v>773</v>
      </c>
    </row>
    <row r="642" spans="1:21" hidden="1" x14ac:dyDescent="0.25">
      <c r="A642">
        <v>90369.590700000001</v>
      </c>
      <c r="B642">
        <v>1106.5669</v>
      </c>
      <c r="C642">
        <v>4</v>
      </c>
      <c r="D642" t="s">
        <v>296</v>
      </c>
      <c r="F642">
        <v>1969</v>
      </c>
      <c r="G642" s="1" t="s">
        <v>117</v>
      </c>
      <c r="H642" s="1" t="s">
        <v>106</v>
      </c>
      <c r="I642">
        <v>0</v>
      </c>
      <c r="J642">
        <v>90369.425199999998</v>
      </c>
      <c r="K642">
        <v>-2.0300000000000001E-3</v>
      </c>
      <c r="L642">
        <v>3.0000000000000001E-3</v>
      </c>
      <c r="M642">
        <v>0.245</v>
      </c>
      <c r="N642">
        <v>9.6500000000000002E-2</v>
      </c>
      <c r="O642">
        <v>3.32E-3</v>
      </c>
      <c r="P642" s="3">
        <f t="shared" ref="P642:P705" si="40">100000000/$A642</f>
        <v>1106.5669239553167</v>
      </c>
      <c r="Q642" s="3">
        <f t="shared" ref="Q642:Q705" si="41">100000000/($A642)-100000000/$J642</f>
        <v>-2.0265352525257185E-3</v>
      </c>
      <c r="R642" s="3">
        <f t="shared" si="38"/>
        <v>3.0000000000000001E-3</v>
      </c>
      <c r="S642">
        <f t="shared" si="39"/>
        <v>10</v>
      </c>
      <c r="T642">
        <f>INDEX([1]IDEN_level_ids!$B:$B,MATCH(G642,[1]IDEN_level_ids!$A:$A,0),1)</f>
        <v>1162</v>
      </c>
      <c r="U642">
        <f>INDEX([1]IDEN_level_ids!$B:$B,MATCH(H642,[1]IDEN_level_ids!$A:$A,0),1)</f>
        <v>726</v>
      </c>
    </row>
    <row r="643" spans="1:21" hidden="1" x14ac:dyDescent="0.25">
      <c r="A643">
        <v>90354.220300000001</v>
      </c>
      <c r="B643">
        <v>1106.7552000000001</v>
      </c>
      <c r="C643">
        <v>4</v>
      </c>
      <c r="D643" t="s">
        <v>296</v>
      </c>
      <c r="F643">
        <v>1969</v>
      </c>
      <c r="G643" s="1" t="s">
        <v>193</v>
      </c>
      <c r="H643" s="1" t="s">
        <v>292</v>
      </c>
      <c r="I643">
        <v>0</v>
      </c>
      <c r="J643">
        <v>90353.824399999998</v>
      </c>
      <c r="K643">
        <v>-4.8500000000000001E-3</v>
      </c>
      <c r="L643">
        <v>3.0000000000000001E-3</v>
      </c>
      <c r="M643">
        <v>0.245</v>
      </c>
      <c r="N643">
        <v>5.5500000000000001E-2</v>
      </c>
      <c r="O643">
        <v>3.1800000000000001E-3</v>
      </c>
      <c r="P643" s="3">
        <f t="shared" si="40"/>
        <v>1106.7551650379301</v>
      </c>
      <c r="Q643" s="3">
        <f t="shared" si="41"/>
        <v>-4.8494280431441439E-3</v>
      </c>
      <c r="R643" s="3">
        <f t="shared" ref="R643:R706" si="42">$L643</f>
        <v>3.0000000000000001E-3</v>
      </c>
      <c r="S643">
        <f t="shared" si="39"/>
        <v>10</v>
      </c>
      <c r="T643">
        <f>INDEX([1]IDEN_level_ids!$B:$B,MATCH(G643,[1]IDEN_level_ids!$A:$A,0),1)</f>
        <v>1202</v>
      </c>
      <c r="U643">
        <f>INDEX([1]IDEN_level_ids!$B:$B,MATCH(H643,[1]IDEN_level_ids!$A:$A,0),1)</f>
        <v>796</v>
      </c>
    </row>
    <row r="644" spans="1:21" hidden="1" x14ac:dyDescent="0.25">
      <c r="A644">
        <v>90338.488100000002</v>
      </c>
      <c r="B644">
        <v>1106.9478999999999</v>
      </c>
      <c r="C644">
        <v>4</v>
      </c>
      <c r="D644" t="s">
        <v>296</v>
      </c>
      <c r="F644">
        <v>1969</v>
      </c>
      <c r="G644" s="1" t="s">
        <v>194</v>
      </c>
      <c r="H644" s="1" t="s">
        <v>124</v>
      </c>
      <c r="I644">
        <v>0</v>
      </c>
      <c r="J644">
        <v>90338.085800000001</v>
      </c>
      <c r="K644">
        <v>-4.9300000000000004E-3</v>
      </c>
      <c r="L644">
        <v>3.0000000000000001E-3</v>
      </c>
      <c r="M644">
        <v>0.245</v>
      </c>
      <c r="N644">
        <v>1.6799999999999999E-2</v>
      </c>
      <c r="O644">
        <v>3.0500000000000002E-3</v>
      </c>
      <c r="P644" s="3">
        <f t="shared" si="40"/>
        <v>1106.9479034152664</v>
      </c>
      <c r="Q644" s="3">
        <f t="shared" si="41"/>
        <v>-4.9295392702788376E-3</v>
      </c>
      <c r="R644" s="3">
        <f t="shared" si="42"/>
        <v>3.0000000000000001E-3</v>
      </c>
      <c r="S644">
        <f t="shared" ref="S644:S707" si="43">IF(D644=D643,S643,S643+1)</f>
        <v>10</v>
      </c>
      <c r="T644">
        <f>INDEX([1]IDEN_level_ids!$B:$B,MATCH(G644,[1]IDEN_level_ids!$A:$A,0),1)</f>
        <v>1187</v>
      </c>
      <c r="U644">
        <f>INDEX([1]IDEN_level_ids!$B:$B,MATCH(H644,[1]IDEN_level_ids!$A:$A,0),1)</f>
        <v>776</v>
      </c>
    </row>
    <row r="645" spans="1:21" hidden="1" x14ac:dyDescent="0.25">
      <c r="A645">
        <v>90262.401100000003</v>
      </c>
      <c r="B645">
        <v>1107.8810000000001</v>
      </c>
      <c r="C645">
        <v>4</v>
      </c>
      <c r="D645" t="s">
        <v>296</v>
      </c>
      <c r="E645" t="s">
        <v>52</v>
      </c>
      <c r="F645">
        <v>1969</v>
      </c>
      <c r="G645" s="1" t="s">
        <v>166</v>
      </c>
      <c r="H645" s="1" t="s">
        <v>237</v>
      </c>
      <c r="I645">
        <v>0</v>
      </c>
      <c r="J645">
        <v>90262.199800000002</v>
      </c>
      <c r="K645">
        <v>-2.47E-3</v>
      </c>
      <c r="L645">
        <v>3.3899999999999998E-3</v>
      </c>
      <c r="M645">
        <v>0.27600000000000002</v>
      </c>
      <c r="N645">
        <v>3.4200000000000001E-2</v>
      </c>
      <c r="O645">
        <v>3.5100000000000001E-3</v>
      </c>
      <c r="P645" s="3">
        <f t="shared" si="40"/>
        <v>1107.8810089398341</v>
      </c>
      <c r="Q645" s="3">
        <f t="shared" si="41"/>
        <v>-2.4707623745143792E-3</v>
      </c>
      <c r="R645" s="3">
        <f t="shared" si="42"/>
        <v>3.3899999999999998E-3</v>
      </c>
      <c r="S645">
        <f t="shared" si="43"/>
        <v>10</v>
      </c>
      <c r="T645">
        <f>INDEX([1]IDEN_level_ids!$B:$B,MATCH(G645,[1]IDEN_level_ids!$A:$A,0),1)</f>
        <v>1186</v>
      </c>
      <c r="U645">
        <f>INDEX([1]IDEN_level_ids!$B:$B,MATCH(H645,[1]IDEN_level_ids!$A:$A,0),1)</f>
        <v>773</v>
      </c>
    </row>
    <row r="646" spans="1:21" hidden="1" x14ac:dyDescent="0.25">
      <c r="A646">
        <v>90259.974600000001</v>
      </c>
      <c r="B646">
        <v>1107.9108000000001</v>
      </c>
      <c r="C646">
        <v>4</v>
      </c>
      <c r="D646" t="s">
        <v>296</v>
      </c>
      <c r="E646" t="s">
        <v>236</v>
      </c>
      <c r="F646">
        <v>1969</v>
      </c>
      <c r="G646" s="1" t="s">
        <v>85</v>
      </c>
      <c r="H646" s="1" t="s">
        <v>211</v>
      </c>
      <c r="I646">
        <v>0</v>
      </c>
      <c r="J646">
        <v>90259.607000000004</v>
      </c>
      <c r="K646">
        <v>-4.5100000000000001E-3</v>
      </c>
      <c r="L646">
        <v>4.6100000000000004E-3</v>
      </c>
      <c r="M646">
        <v>0.37580000000000002</v>
      </c>
      <c r="N646">
        <v>1.24E-2</v>
      </c>
      <c r="O646">
        <v>4.6699999999999997E-3</v>
      </c>
      <c r="P646" s="3">
        <f t="shared" si="40"/>
        <v>1107.9107926095073</v>
      </c>
      <c r="Q646" s="3">
        <f t="shared" si="41"/>
        <v>-4.5121845851099351E-3</v>
      </c>
      <c r="R646" s="3">
        <f t="shared" si="42"/>
        <v>4.6100000000000004E-3</v>
      </c>
      <c r="S646">
        <f t="shared" si="43"/>
        <v>10</v>
      </c>
      <c r="T646">
        <f>INDEX([1]IDEN_level_ids!$B:$B,MATCH(G646,[1]IDEN_level_ids!$A:$A,0),1)</f>
        <v>1168</v>
      </c>
      <c r="U646">
        <f>INDEX([1]IDEN_level_ids!$B:$B,MATCH(H646,[1]IDEN_level_ids!$A:$A,0),1)</f>
        <v>744</v>
      </c>
    </row>
    <row r="647" spans="1:21" hidden="1" x14ac:dyDescent="0.25">
      <c r="A647">
        <v>90252.882299999997</v>
      </c>
      <c r="B647">
        <v>1107.9979000000001</v>
      </c>
      <c r="C647">
        <v>4</v>
      </c>
      <c r="D647" t="s">
        <v>296</v>
      </c>
      <c r="F647">
        <v>1969</v>
      </c>
      <c r="G647" s="1" t="s">
        <v>299</v>
      </c>
      <c r="H647" s="1" t="s">
        <v>54</v>
      </c>
      <c r="I647">
        <v>0</v>
      </c>
      <c r="J647">
        <v>90252.220499999996</v>
      </c>
      <c r="K647">
        <v>-8.1200000000000005E-3</v>
      </c>
      <c r="L647">
        <v>3.0100000000000001E-3</v>
      </c>
      <c r="M647">
        <v>0.245</v>
      </c>
      <c r="N647">
        <v>0.2094</v>
      </c>
      <c r="O647">
        <v>3.8E-3</v>
      </c>
      <c r="P647" s="3">
        <f t="shared" si="40"/>
        <v>1107.9978550446804</v>
      </c>
      <c r="Q647" s="3">
        <f t="shared" si="41"/>
        <v>-8.124708471541453E-3</v>
      </c>
      <c r="R647" s="3">
        <f t="shared" si="42"/>
        <v>3.0100000000000001E-3</v>
      </c>
      <c r="S647">
        <f t="shared" si="43"/>
        <v>10</v>
      </c>
      <c r="T647">
        <f>INDEX([1]IDEN_level_ids!$B:$B,MATCH(G647,[1]IDEN_level_ids!$A:$A,0),1)</f>
        <v>1101</v>
      </c>
      <c r="U647">
        <f>INDEX([1]IDEN_level_ids!$B:$B,MATCH(H647,[1]IDEN_level_ids!$A:$A,0),1)</f>
        <v>394</v>
      </c>
    </row>
    <row r="648" spans="1:21" hidden="1" x14ac:dyDescent="0.25">
      <c r="A648">
        <v>90243.324800000002</v>
      </c>
      <c r="B648">
        <v>1108.1152</v>
      </c>
      <c r="C648">
        <v>4</v>
      </c>
      <c r="D648" t="s">
        <v>296</v>
      </c>
      <c r="F648">
        <v>1969</v>
      </c>
      <c r="G648" s="1" t="s">
        <v>166</v>
      </c>
      <c r="H648" s="1" t="s">
        <v>123</v>
      </c>
      <c r="I648">
        <v>0</v>
      </c>
      <c r="J648">
        <v>90242.825700000001</v>
      </c>
      <c r="K648">
        <v>-6.13E-3</v>
      </c>
      <c r="L648">
        <v>3.0100000000000001E-3</v>
      </c>
      <c r="M648">
        <v>0.245</v>
      </c>
      <c r="N648">
        <v>1.9599999999999999E-2</v>
      </c>
      <c r="O648">
        <v>3.0699999999999998E-3</v>
      </c>
      <c r="P648" s="3">
        <f t="shared" si="40"/>
        <v>1108.1152010037645</v>
      </c>
      <c r="Q648" s="3">
        <f t="shared" si="41"/>
        <v>-6.1285791143745882E-3</v>
      </c>
      <c r="R648" s="3">
        <f t="shared" si="42"/>
        <v>3.0100000000000001E-3</v>
      </c>
      <c r="S648">
        <f t="shared" si="43"/>
        <v>10</v>
      </c>
      <c r="T648">
        <f>INDEX([1]IDEN_level_ids!$B:$B,MATCH(G648,[1]IDEN_level_ids!$A:$A,0),1)</f>
        <v>1186</v>
      </c>
      <c r="U648">
        <f>INDEX([1]IDEN_level_ids!$B:$B,MATCH(H648,[1]IDEN_level_ids!$A:$A,0),1)</f>
        <v>775</v>
      </c>
    </row>
    <row r="649" spans="1:21" hidden="1" x14ac:dyDescent="0.25">
      <c r="A649">
        <v>90199.973100000003</v>
      </c>
      <c r="B649">
        <v>1108.6478</v>
      </c>
      <c r="C649">
        <v>4</v>
      </c>
      <c r="D649" t="s">
        <v>296</v>
      </c>
      <c r="F649">
        <v>1969</v>
      </c>
      <c r="G649" s="1" t="s">
        <v>38</v>
      </c>
      <c r="H649" s="1" t="s">
        <v>222</v>
      </c>
      <c r="I649">
        <v>0</v>
      </c>
      <c r="J649">
        <v>90199.697</v>
      </c>
      <c r="K649">
        <v>-3.3899999999999998E-3</v>
      </c>
      <c r="L649">
        <v>3.0100000000000001E-3</v>
      </c>
      <c r="M649">
        <v>0.245</v>
      </c>
      <c r="N649">
        <v>2.69E-2</v>
      </c>
      <c r="O649">
        <v>3.0899999999999999E-3</v>
      </c>
      <c r="P649" s="3">
        <f t="shared" si="40"/>
        <v>1108.6477807386398</v>
      </c>
      <c r="Q649" s="3">
        <f t="shared" si="41"/>
        <v>-3.3935552162347449E-3</v>
      </c>
      <c r="R649" s="3">
        <f t="shared" si="42"/>
        <v>3.0100000000000001E-3</v>
      </c>
      <c r="S649">
        <f t="shared" si="43"/>
        <v>10</v>
      </c>
      <c r="T649">
        <f>INDEX([1]IDEN_level_ids!$B:$B,MATCH(G649,[1]IDEN_level_ids!$A:$A,0),1)</f>
        <v>1201</v>
      </c>
      <c r="U649">
        <f>INDEX([1]IDEN_level_ids!$B:$B,MATCH(H649,[1]IDEN_level_ids!$A:$A,0),1)</f>
        <v>800</v>
      </c>
    </row>
    <row r="650" spans="1:21" hidden="1" x14ac:dyDescent="0.25">
      <c r="A650">
        <v>90186.204500000007</v>
      </c>
      <c r="B650">
        <v>1108.817</v>
      </c>
      <c r="C650">
        <v>4</v>
      </c>
      <c r="D650" t="s">
        <v>296</v>
      </c>
      <c r="F650">
        <v>1969</v>
      </c>
      <c r="G650" s="1" t="s">
        <v>86</v>
      </c>
      <c r="H650" s="1" t="s">
        <v>171</v>
      </c>
      <c r="I650">
        <v>0</v>
      </c>
      <c r="J650">
        <v>90186.0965</v>
      </c>
      <c r="K650">
        <v>-1.33E-3</v>
      </c>
      <c r="L650">
        <v>3.0100000000000001E-3</v>
      </c>
      <c r="M650">
        <v>0.245</v>
      </c>
      <c r="N650">
        <v>9.7799999999999998E-2</v>
      </c>
      <c r="O650">
        <v>3.3400000000000001E-3</v>
      </c>
      <c r="P650" s="3">
        <f t="shared" si="40"/>
        <v>1108.8170364237913</v>
      </c>
      <c r="Q650" s="3">
        <f t="shared" si="41"/>
        <v>-1.3278348280891805E-3</v>
      </c>
      <c r="R650" s="3">
        <f t="shared" si="42"/>
        <v>3.0100000000000001E-3</v>
      </c>
      <c r="S650">
        <f t="shared" si="43"/>
        <v>10</v>
      </c>
      <c r="T650">
        <f>INDEX([1]IDEN_level_ids!$B:$B,MATCH(G650,[1]IDEN_level_ids!$A:$A,0),1)</f>
        <v>1183</v>
      </c>
      <c r="U650">
        <f>INDEX([1]IDEN_level_ids!$B:$B,MATCH(H650,[1]IDEN_level_ids!$A:$A,0),1)</f>
        <v>774</v>
      </c>
    </row>
    <row r="651" spans="1:21" hidden="1" x14ac:dyDescent="0.25">
      <c r="A651">
        <v>90170.418699999995</v>
      </c>
      <c r="B651">
        <v>1109.0111999999999</v>
      </c>
      <c r="C651">
        <v>4</v>
      </c>
      <c r="D651" t="s">
        <v>296</v>
      </c>
      <c r="F651">
        <v>1969</v>
      </c>
      <c r="G651" s="1" t="s">
        <v>238</v>
      </c>
      <c r="H651" s="1" t="s">
        <v>266</v>
      </c>
      <c r="I651">
        <v>0</v>
      </c>
      <c r="J651">
        <v>90170.145399999994</v>
      </c>
      <c r="K651">
        <v>-3.3600000000000001E-3</v>
      </c>
      <c r="L651">
        <v>3.0100000000000001E-3</v>
      </c>
      <c r="M651">
        <v>0.245</v>
      </c>
      <c r="N651">
        <v>5.5300000000000002E-2</v>
      </c>
      <c r="O651">
        <v>3.1900000000000001E-3</v>
      </c>
      <c r="P651" s="3">
        <f t="shared" si="40"/>
        <v>1109.0111529004134</v>
      </c>
      <c r="Q651" s="3">
        <f t="shared" si="41"/>
        <v>-3.3613425680414366E-3</v>
      </c>
      <c r="R651" s="3">
        <f t="shared" si="42"/>
        <v>3.0100000000000001E-3</v>
      </c>
      <c r="S651">
        <f t="shared" si="43"/>
        <v>10</v>
      </c>
      <c r="T651">
        <f>INDEX([1]IDEN_level_ids!$B:$B,MATCH(G651,[1]IDEN_level_ids!$A:$A,0),1)</f>
        <v>1165</v>
      </c>
      <c r="U651">
        <f>INDEX([1]IDEN_level_ids!$B:$B,MATCH(H651,[1]IDEN_level_ids!$A:$A,0),1)</f>
        <v>742</v>
      </c>
    </row>
    <row r="652" spans="1:21" hidden="1" x14ac:dyDescent="0.25">
      <c r="A652">
        <v>90106.226699999999</v>
      </c>
      <c r="B652">
        <v>1109.8012000000001</v>
      </c>
      <c r="C652">
        <v>4</v>
      </c>
      <c r="D652" t="s">
        <v>296</v>
      </c>
      <c r="F652">
        <v>1969</v>
      </c>
      <c r="G652" s="1" t="s">
        <v>259</v>
      </c>
      <c r="H652" s="1" t="s">
        <v>221</v>
      </c>
      <c r="I652">
        <v>0</v>
      </c>
      <c r="J652">
        <v>90105.683000000005</v>
      </c>
      <c r="K652">
        <v>-6.7000000000000002E-3</v>
      </c>
      <c r="L652">
        <v>3.0200000000000001E-3</v>
      </c>
      <c r="M652">
        <v>0.245</v>
      </c>
      <c r="N652">
        <v>0.26829999999999998</v>
      </c>
      <c r="O652">
        <v>4.1200000000000004E-3</v>
      </c>
      <c r="P652" s="3">
        <f t="shared" si="40"/>
        <v>1109.8012164346906</v>
      </c>
      <c r="Q652" s="3">
        <f t="shared" si="41"/>
        <v>-6.6965689763947012E-3</v>
      </c>
      <c r="R652" s="3">
        <f t="shared" si="42"/>
        <v>3.0200000000000001E-3</v>
      </c>
      <c r="S652">
        <f t="shared" si="43"/>
        <v>10</v>
      </c>
      <c r="T652">
        <f>INDEX([1]IDEN_level_ids!$B:$B,MATCH(G652,[1]IDEN_level_ids!$A:$A,0),1)</f>
        <v>1117</v>
      </c>
      <c r="U652">
        <f>INDEX([1]IDEN_level_ids!$B:$B,MATCH(H652,[1]IDEN_level_ids!$A:$A,0),1)</f>
        <v>534</v>
      </c>
    </row>
    <row r="653" spans="1:21" hidden="1" x14ac:dyDescent="0.25">
      <c r="A653">
        <v>90083.421300000002</v>
      </c>
      <c r="B653">
        <v>1110.0822000000001</v>
      </c>
      <c r="C653">
        <v>4</v>
      </c>
      <c r="D653" t="s">
        <v>296</v>
      </c>
      <c r="F653">
        <v>1969</v>
      </c>
      <c r="G653" s="1" t="s">
        <v>290</v>
      </c>
      <c r="H653" s="1" t="s">
        <v>254</v>
      </c>
      <c r="I653">
        <v>0</v>
      </c>
      <c r="J653">
        <v>90082.828899999993</v>
      </c>
      <c r="K653">
        <v>-7.3000000000000001E-3</v>
      </c>
      <c r="L653">
        <v>3.0200000000000001E-3</v>
      </c>
      <c r="M653">
        <v>0.245</v>
      </c>
      <c r="N653">
        <v>0.21199999999999999</v>
      </c>
      <c r="O653">
        <v>3.8300000000000001E-3</v>
      </c>
      <c r="P653" s="3">
        <f t="shared" si="40"/>
        <v>1110.0821722453829</v>
      </c>
      <c r="Q653" s="3">
        <f t="shared" si="41"/>
        <v>-7.300089116597519E-3</v>
      </c>
      <c r="R653" s="3">
        <f t="shared" si="42"/>
        <v>3.0200000000000001E-3</v>
      </c>
      <c r="S653">
        <f t="shared" si="43"/>
        <v>10</v>
      </c>
      <c r="T653">
        <f>INDEX([1]IDEN_level_ids!$B:$B,MATCH(G653,[1]IDEN_level_ids!$A:$A,0),1)</f>
        <v>1153</v>
      </c>
      <c r="U653">
        <f>INDEX([1]IDEN_level_ids!$B:$B,MATCH(H653,[1]IDEN_level_ids!$A:$A,0),1)</f>
        <v>684</v>
      </c>
    </row>
    <row r="654" spans="1:21" hidden="1" x14ac:dyDescent="0.25">
      <c r="A654">
        <v>90076.119500000001</v>
      </c>
      <c r="B654">
        <v>1110.1722</v>
      </c>
      <c r="C654">
        <v>4</v>
      </c>
      <c r="D654" t="s">
        <v>296</v>
      </c>
      <c r="F654">
        <v>1969</v>
      </c>
      <c r="G654" s="1" t="s">
        <v>193</v>
      </c>
      <c r="H654" s="1" t="s">
        <v>222</v>
      </c>
      <c r="I654">
        <v>0</v>
      </c>
      <c r="J654">
        <v>90075.768200000006</v>
      </c>
      <c r="K654">
        <v>-4.3299999999999996E-3</v>
      </c>
      <c r="L654">
        <v>3.0200000000000001E-3</v>
      </c>
      <c r="M654">
        <v>0.245</v>
      </c>
      <c r="N654">
        <v>2.7799999999999998E-2</v>
      </c>
      <c r="O654">
        <v>3.1099999999999999E-3</v>
      </c>
      <c r="P654" s="3">
        <f t="shared" si="40"/>
        <v>1110.1721583377046</v>
      </c>
      <c r="Q654" s="3">
        <f t="shared" si="41"/>
        <v>-4.3297269289723772E-3</v>
      </c>
      <c r="R654" s="3">
        <f t="shared" si="42"/>
        <v>3.0200000000000001E-3</v>
      </c>
      <c r="S654">
        <f t="shared" si="43"/>
        <v>10</v>
      </c>
      <c r="T654">
        <f>INDEX([1]IDEN_level_ids!$B:$B,MATCH(G654,[1]IDEN_level_ids!$A:$A,0),1)</f>
        <v>1202</v>
      </c>
      <c r="U654">
        <f>INDEX([1]IDEN_level_ids!$B:$B,MATCH(H654,[1]IDEN_level_ids!$A:$A,0),1)</f>
        <v>800</v>
      </c>
    </row>
    <row r="655" spans="1:21" hidden="1" x14ac:dyDescent="0.25">
      <c r="A655">
        <v>90047.903300000005</v>
      </c>
      <c r="B655">
        <v>1110.52</v>
      </c>
      <c r="C655">
        <v>4</v>
      </c>
      <c r="D655" t="s">
        <v>296</v>
      </c>
      <c r="F655">
        <v>1969</v>
      </c>
      <c r="G655" s="1" t="s">
        <v>38</v>
      </c>
      <c r="H655" s="1" t="s">
        <v>165</v>
      </c>
      <c r="I655">
        <v>0</v>
      </c>
      <c r="J655">
        <v>90047.584499999997</v>
      </c>
      <c r="K655">
        <v>-3.9300000000000003E-3</v>
      </c>
      <c r="L655">
        <v>3.0200000000000001E-3</v>
      </c>
      <c r="M655">
        <v>0.245</v>
      </c>
      <c r="N655">
        <v>2.6100000000000002E-2</v>
      </c>
      <c r="O655">
        <v>3.0999999999999999E-3</v>
      </c>
      <c r="P655" s="3">
        <f t="shared" si="40"/>
        <v>1110.5200269554748</v>
      </c>
      <c r="Q655" s="3">
        <f t="shared" si="41"/>
        <v>-3.9316299996698945E-3</v>
      </c>
      <c r="R655" s="3">
        <f t="shared" si="42"/>
        <v>3.0200000000000001E-3</v>
      </c>
      <c r="S655">
        <f t="shared" si="43"/>
        <v>10</v>
      </c>
      <c r="T655">
        <f>INDEX([1]IDEN_level_ids!$B:$B,MATCH(G655,[1]IDEN_level_ids!$A:$A,0),1)</f>
        <v>1201</v>
      </c>
      <c r="U655">
        <f>INDEX([1]IDEN_level_ids!$B:$B,MATCH(H655,[1]IDEN_level_ids!$A:$A,0),1)</f>
        <v>802</v>
      </c>
    </row>
    <row r="656" spans="1:21" hidden="1" x14ac:dyDescent="0.25">
      <c r="A656">
        <v>90036.887400000007</v>
      </c>
      <c r="B656">
        <v>1110.6559</v>
      </c>
      <c r="C656">
        <v>4</v>
      </c>
      <c r="D656" t="s">
        <v>296</v>
      </c>
      <c r="F656">
        <v>1969</v>
      </c>
      <c r="G656" s="1" t="s">
        <v>84</v>
      </c>
      <c r="H656" s="1" t="s">
        <v>300</v>
      </c>
      <c r="I656">
        <v>0</v>
      </c>
      <c r="J656">
        <v>90036.588300000003</v>
      </c>
      <c r="K656">
        <v>-3.6900000000000001E-3</v>
      </c>
      <c r="L656">
        <v>3.0200000000000001E-3</v>
      </c>
      <c r="M656">
        <v>0.245</v>
      </c>
      <c r="N656">
        <v>1.6500000000000001E-2</v>
      </c>
      <c r="O656">
        <v>3.0699999999999998E-3</v>
      </c>
      <c r="P656" s="3">
        <f t="shared" si="40"/>
        <v>1110.655897684886</v>
      </c>
      <c r="Q656" s="3">
        <f t="shared" si="41"/>
        <v>-3.689579817091726E-3</v>
      </c>
      <c r="R656" s="3">
        <f t="shared" si="42"/>
        <v>3.0200000000000001E-3</v>
      </c>
      <c r="S656">
        <f t="shared" si="43"/>
        <v>10</v>
      </c>
      <c r="T656">
        <f>INDEX([1]IDEN_level_ids!$B:$B,MATCH(G656,[1]IDEN_level_ids!$A:$A,0),1)</f>
        <v>1191</v>
      </c>
      <c r="U656">
        <f>INDEX([1]IDEN_level_ids!$B:$B,MATCH(H656,[1]IDEN_level_ids!$A:$A,0),1)</f>
        <v>783</v>
      </c>
    </row>
    <row r="657" spans="1:21" hidden="1" x14ac:dyDescent="0.25">
      <c r="A657">
        <v>90006.179099999994</v>
      </c>
      <c r="B657">
        <v>1111.0347999999999</v>
      </c>
      <c r="C657">
        <v>4</v>
      </c>
      <c r="D657" t="s">
        <v>296</v>
      </c>
      <c r="F657">
        <v>1969</v>
      </c>
      <c r="G657" s="1" t="s">
        <v>238</v>
      </c>
      <c r="H657" s="1" t="s">
        <v>199</v>
      </c>
      <c r="I657">
        <v>0</v>
      </c>
      <c r="J657">
        <v>90006.3802</v>
      </c>
      <c r="K657">
        <v>2.48E-3</v>
      </c>
      <c r="L657">
        <v>3.0200000000000001E-3</v>
      </c>
      <c r="M657">
        <v>0.245</v>
      </c>
      <c r="N657">
        <v>0.1181</v>
      </c>
      <c r="O657">
        <v>3.4299999999999999E-3</v>
      </c>
      <c r="P657" s="3">
        <f t="shared" si="40"/>
        <v>1111.034831163053</v>
      </c>
      <c r="Q657" s="3">
        <f t="shared" si="41"/>
        <v>2.4823696282965102E-3</v>
      </c>
      <c r="R657" s="3">
        <f t="shared" si="42"/>
        <v>3.0200000000000001E-3</v>
      </c>
      <c r="S657">
        <f t="shared" si="43"/>
        <v>10</v>
      </c>
      <c r="T657">
        <f>INDEX([1]IDEN_level_ids!$B:$B,MATCH(G657,[1]IDEN_level_ids!$A:$A,0),1)</f>
        <v>1165</v>
      </c>
      <c r="U657">
        <f>INDEX([1]IDEN_level_ids!$B:$B,MATCH(H657,[1]IDEN_level_ids!$A:$A,0),1)</f>
        <v>743</v>
      </c>
    </row>
    <row r="658" spans="1:21" hidden="1" x14ac:dyDescent="0.25">
      <c r="A658">
        <v>89999.513900000005</v>
      </c>
      <c r="B658">
        <v>1111.1170999999999</v>
      </c>
      <c r="C658">
        <v>4</v>
      </c>
      <c r="D658" t="s">
        <v>296</v>
      </c>
      <c r="F658">
        <v>1969</v>
      </c>
      <c r="G658" s="1" t="s">
        <v>301</v>
      </c>
      <c r="H658" s="1" t="s">
        <v>142</v>
      </c>
      <c r="I658">
        <v>-0.71730000000000005</v>
      </c>
      <c r="J658">
        <v>90000.114600000001</v>
      </c>
      <c r="K658">
        <v>7.4200000000000004E-3</v>
      </c>
      <c r="L658">
        <v>3.0200000000000001E-3</v>
      </c>
      <c r="M658">
        <v>0.245</v>
      </c>
      <c r="N658">
        <v>4.8800000000000003E-2</v>
      </c>
      <c r="O658">
        <v>3.1800000000000001E-3</v>
      </c>
      <c r="P658" s="3">
        <f t="shared" si="40"/>
        <v>1111.1171123780925</v>
      </c>
      <c r="Q658" s="3">
        <f t="shared" si="41"/>
        <v>7.4160799947549094E-3</v>
      </c>
      <c r="R658" s="3">
        <f t="shared" si="42"/>
        <v>3.0200000000000001E-3</v>
      </c>
      <c r="S658">
        <f t="shared" si="43"/>
        <v>10</v>
      </c>
      <c r="T658">
        <f>INDEX([1]IDEN_level_ids!$B:$B,MATCH(G658,[1]IDEN_level_ids!$A:$A,0),1)</f>
        <v>1154</v>
      </c>
      <c r="U658">
        <f>INDEX([1]IDEN_level_ids!$B:$B,MATCH(H658,[1]IDEN_level_ids!$A:$A,0),1)</f>
        <v>682</v>
      </c>
    </row>
    <row r="659" spans="1:21" hidden="1" x14ac:dyDescent="0.25">
      <c r="A659">
        <v>89994.9038</v>
      </c>
      <c r="B659">
        <v>1111.174</v>
      </c>
      <c r="C659">
        <v>4</v>
      </c>
      <c r="D659" t="s">
        <v>296</v>
      </c>
      <c r="F659">
        <v>1969</v>
      </c>
      <c r="G659" s="1" t="s">
        <v>301</v>
      </c>
      <c r="H659" s="1" t="s">
        <v>151</v>
      </c>
      <c r="I659">
        <v>-0.71730000000000005</v>
      </c>
      <c r="J659">
        <v>89994.236199999999</v>
      </c>
      <c r="K659">
        <v>-8.2400000000000008E-3</v>
      </c>
      <c r="L659">
        <v>3.0200000000000001E-3</v>
      </c>
      <c r="M659">
        <v>0.245</v>
      </c>
      <c r="N659">
        <v>6.5100000000000005E-2</v>
      </c>
      <c r="O659">
        <v>3.2399999999999998E-3</v>
      </c>
      <c r="P659" s="3">
        <f t="shared" si="40"/>
        <v>1111.1740307232819</v>
      </c>
      <c r="Q659" s="3">
        <f t="shared" si="41"/>
        <v>-8.2429699305066606E-3</v>
      </c>
      <c r="R659" s="3">
        <f t="shared" si="42"/>
        <v>3.0200000000000001E-3</v>
      </c>
      <c r="S659">
        <f t="shared" si="43"/>
        <v>10</v>
      </c>
      <c r="T659">
        <f>INDEX([1]IDEN_level_ids!$B:$B,MATCH(G659,[1]IDEN_level_ids!$A:$A,0),1)</f>
        <v>1154</v>
      </c>
      <c r="U659">
        <f>INDEX([1]IDEN_level_ids!$B:$B,MATCH(H659,[1]IDEN_level_ids!$A:$A,0),1)</f>
        <v>685</v>
      </c>
    </row>
    <row r="660" spans="1:21" hidden="1" x14ac:dyDescent="0.25">
      <c r="A660">
        <v>89978.795199999993</v>
      </c>
      <c r="B660">
        <v>1111.373</v>
      </c>
      <c r="C660">
        <v>4</v>
      </c>
      <c r="D660" t="s">
        <v>296</v>
      </c>
      <c r="F660">
        <v>1969</v>
      </c>
      <c r="G660" s="1" t="s">
        <v>166</v>
      </c>
      <c r="H660" s="1" t="s">
        <v>198</v>
      </c>
      <c r="I660">
        <v>0</v>
      </c>
      <c r="J660">
        <v>89979.027300000002</v>
      </c>
      <c r="K660">
        <v>2.8700000000000002E-3</v>
      </c>
      <c r="L660">
        <v>3.0300000000000001E-3</v>
      </c>
      <c r="M660">
        <v>0.245</v>
      </c>
      <c r="N660">
        <v>2.01E-2</v>
      </c>
      <c r="O660">
        <v>3.0899999999999999E-3</v>
      </c>
      <c r="P660" s="3">
        <f t="shared" si="40"/>
        <v>1111.3729604594662</v>
      </c>
      <c r="Q660" s="3">
        <f t="shared" si="41"/>
        <v>2.866775423854051E-3</v>
      </c>
      <c r="R660" s="3">
        <f t="shared" si="42"/>
        <v>3.0300000000000001E-3</v>
      </c>
      <c r="S660">
        <f t="shared" si="43"/>
        <v>10</v>
      </c>
      <c r="T660">
        <f>INDEX([1]IDEN_level_ids!$B:$B,MATCH(G660,[1]IDEN_level_ids!$A:$A,0),1)</f>
        <v>1186</v>
      </c>
      <c r="U660">
        <f>INDEX([1]IDEN_level_ids!$B:$B,MATCH(H660,[1]IDEN_level_ids!$A:$A,0),1)</f>
        <v>780</v>
      </c>
    </row>
    <row r="661" spans="1:21" hidden="1" x14ac:dyDescent="0.25">
      <c r="A661">
        <v>89970.520900000003</v>
      </c>
      <c r="B661">
        <v>1111.4752000000001</v>
      </c>
      <c r="C661">
        <v>4</v>
      </c>
      <c r="D661" t="s">
        <v>296</v>
      </c>
      <c r="F661">
        <v>1969</v>
      </c>
      <c r="G661" s="1" t="s">
        <v>271</v>
      </c>
      <c r="H661" s="1" t="s">
        <v>98</v>
      </c>
      <c r="I661">
        <v>0</v>
      </c>
      <c r="J661">
        <v>89970.2736</v>
      </c>
      <c r="K661">
        <v>-3.0599999999999998E-3</v>
      </c>
      <c r="L661">
        <v>3.0300000000000001E-3</v>
      </c>
      <c r="M661">
        <v>0.245</v>
      </c>
      <c r="N661">
        <v>0.11890000000000001</v>
      </c>
      <c r="O661">
        <v>3.4299999999999999E-3</v>
      </c>
      <c r="P661" s="3">
        <f t="shared" si="40"/>
        <v>1111.4751698631101</v>
      </c>
      <c r="Q661" s="3">
        <f t="shared" si="41"/>
        <v>-3.0550958501862624E-3</v>
      </c>
      <c r="R661" s="3">
        <f t="shared" si="42"/>
        <v>3.0300000000000001E-3</v>
      </c>
      <c r="S661">
        <f t="shared" si="43"/>
        <v>10</v>
      </c>
      <c r="T661">
        <f>INDEX([1]IDEN_level_ids!$B:$B,MATCH(G661,[1]IDEN_level_ids!$A:$A,0),1)</f>
        <v>1158</v>
      </c>
      <c r="U661">
        <f>INDEX([1]IDEN_level_ids!$B:$B,MATCH(H661,[1]IDEN_level_ids!$A:$A,0),1)</f>
        <v>722</v>
      </c>
    </row>
    <row r="662" spans="1:21" hidden="1" x14ac:dyDescent="0.25">
      <c r="A662">
        <v>89965.372399999993</v>
      </c>
      <c r="B662">
        <v>1111.5388</v>
      </c>
      <c r="C662">
        <v>4</v>
      </c>
      <c r="D662" t="s">
        <v>296</v>
      </c>
      <c r="F662">
        <v>1969</v>
      </c>
      <c r="G662" s="1" t="s">
        <v>302</v>
      </c>
      <c r="H662" s="1" t="s">
        <v>70</v>
      </c>
      <c r="I662">
        <v>0</v>
      </c>
      <c r="J662">
        <v>89965.332699999999</v>
      </c>
      <c r="K662">
        <v>-4.8999999999999998E-4</v>
      </c>
      <c r="L662">
        <v>3.0300000000000001E-3</v>
      </c>
      <c r="M662">
        <v>0.245</v>
      </c>
      <c r="N662">
        <v>0.25659999999999999</v>
      </c>
      <c r="O662">
        <v>4.0699999999999998E-3</v>
      </c>
      <c r="P662" s="3">
        <f t="shared" si="40"/>
        <v>1111.538776890563</v>
      </c>
      <c r="Q662" s="3">
        <f t="shared" si="41"/>
        <v>-4.9050104189518606E-4</v>
      </c>
      <c r="R662" s="3">
        <f t="shared" si="42"/>
        <v>3.0300000000000001E-3</v>
      </c>
      <c r="S662">
        <f t="shared" si="43"/>
        <v>10</v>
      </c>
      <c r="T662">
        <f>INDEX([1]IDEN_level_ids!$B:$B,MATCH(G662,[1]IDEN_level_ids!$A:$A,0),1)</f>
        <v>1100</v>
      </c>
      <c r="U662">
        <f>INDEX([1]IDEN_level_ids!$B:$B,MATCH(H662,[1]IDEN_level_ids!$A:$A,0),1)</f>
        <v>399</v>
      </c>
    </row>
    <row r="663" spans="1:21" hidden="1" x14ac:dyDescent="0.25">
      <c r="A663">
        <v>89952.806500000006</v>
      </c>
      <c r="B663">
        <v>1111.6940999999999</v>
      </c>
      <c r="C663">
        <v>4</v>
      </c>
      <c r="D663" t="s">
        <v>296</v>
      </c>
      <c r="F663">
        <v>1969</v>
      </c>
      <c r="G663" s="1" t="s">
        <v>86</v>
      </c>
      <c r="H663" s="1" t="s">
        <v>158</v>
      </c>
      <c r="I663">
        <v>0</v>
      </c>
      <c r="J663">
        <v>89952.438999999998</v>
      </c>
      <c r="K663">
        <v>-4.5399999999999998E-3</v>
      </c>
      <c r="L663">
        <v>3.0300000000000001E-3</v>
      </c>
      <c r="M663">
        <v>0.245</v>
      </c>
      <c r="N663">
        <v>2.2200000000000001E-2</v>
      </c>
      <c r="O663">
        <v>3.0999999999999999E-3</v>
      </c>
      <c r="P663" s="3">
        <f t="shared" si="40"/>
        <v>1111.6940525918999</v>
      </c>
      <c r="Q663" s="3">
        <f t="shared" si="41"/>
        <v>-4.5418175302529562E-3</v>
      </c>
      <c r="R663" s="3">
        <f t="shared" si="42"/>
        <v>3.0300000000000001E-3</v>
      </c>
      <c r="S663">
        <f t="shared" si="43"/>
        <v>10</v>
      </c>
      <c r="T663">
        <f>INDEX([1]IDEN_level_ids!$B:$B,MATCH(G663,[1]IDEN_level_ids!$A:$A,0),1)</f>
        <v>1183</v>
      </c>
      <c r="U663">
        <f>INDEX([1]IDEN_level_ids!$B:$B,MATCH(H663,[1]IDEN_level_ids!$A:$A,0),1)</f>
        <v>779</v>
      </c>
    </row>
    <row r="664" spans="1:21" hidden="1" x14ac:dyDescent="0.25">
      <c r="A664">
        <v>89935.990099999995</v>
      </c>
      <c r="B664">
        <v>1111.9019000000001</v>
      </c>
      <c r="C664">
        <v>4</v>
      </c>
      <c r="D664" t="s">
        <v>296</v>
      </c>
      <c r="F664">
        <v>1969</v>
      </c>
      <c r="G664" s="1" t="s">
        <v>197</v>
      </c>
      <c r="H664" s="1" t="s">
        <v>124</v>
      </c>
      <c r="I664">
        <v>0</v>
      </c>
      <c r="J664">
        <v>89935.739199999996</v>
      </c>
      <c r="K664">
        <v>-3.0999999999999999E-3</v>
      </c>
      <c r="L664">
        <v>3.0300000000000001E-3</v>
      </c>
      <c r="M664">
        <v>0.245</v>
      </c>
      <c r="N664">
        <v>1.72E-2</v>
      </c>
      <c r="O664">
        <v>3.0799999999999998E-3</v>
      </c>
      <c r="P664" s="3">
        <f t="shared" si="40"/>
        <v>1111.9019192295523</v>
      </c>
      <c r="Q664" s="3">
        <f t="shared" si="41"/>
        <v>-3.1019502814615407E-3</v>
      </c>
      <c r="R664" s="3">
        <f t="shared" si="42"/>
        <v>3.0300000000000001E-3</v>
      </c>
      <c r="S664">
        <f t="shared" si="43"/>
        <v>10</v>
      </c>
      <c r="T664">
        <f>INDEX([1]IDEN_level_ids!$B:$B,MATCH(G664,[1]IDEN_level_ids!$A:$A,0),1)</f>
        <v>1182</v>
      </c>
      <c r="U664">
        <f>INDEX([1]IDEN_level_ids!$B:$B,MATCH(H664,[1]IDEN_level_ids!$A:$A,0),1)</f>
        <v>776</v>
      </c>
    </row>
    <row r="665" spans="1:21" hidden="1" x14ac:dyDescent="0.25">
      <c r="A665">
        <v>89924.008600000001</v>
      </c>
      <c r="B665">
        <v>1112.0500999999999</v>
      </c>
      <c r="C665">
        <v>4</v>
      </c>
      <c r="D665" t="s">
        <v>296</v>
      </c>
      <c r="F665">
        <v>1969</v>
      </c>
      <c r="G665" s="1" t="s">
        <v>193</v>
      </c>
      <c r="H665" s="1" t="s">
        <v>165</v>
      </c>
      <c r="I665">
        <v>0</v>
      </c>
      <c r="J665">
        <v>89923.655599999998</v>
      </c>
      <c r="K665">
        <v>-4.3600000000000002E-3</v>
      </c>
      <c r="L665">
        <v>3.0300000000000001E-3</v>
      </c>
      <c r="M665">
        <v>0.245</v>
      </c>
      <c r="N665">
        <v>2.7099999999999999E-2</v>
      </c>
      <c r="O665">
        <v>3.1099999999999999E-3</v>
      </c>
      <c r="P665" s="3">
        <f t="shared" si="40"/>
        <v>1112.0500693515569</v>
      </c>
      <c r="Q665" s="3">
        <f t="shared" si="41"/>
        <v>-4.365410545915438E-3</v>
      </c>
      <c r="R665" s="3">
        <f t="shared" si="42"/>
        <v>3.0300000000000001E-3</v>
      </c>
      <c r="S665">
        <f t="shared" si="43"/>
        <v>10</v>
      </c>
      <c r="T665">
        <f>INDEX([1]IDEN_level_ids!$B:$B,MATCH(G665,[1]IDEN_level_ids!$A:$A,0),1)</f>
        <v>1202</v>
      </c>
      <c r="U665">
        <f>INDEX([1]IDEN_level_ids!$B:$B,MATCH(H665,[1]IDEN_level_ids!$A:$A,0),1)</f>
        <v>802</v>
      </c>
    </row>
    <row r="666" spans="1:21" hidden="1" x14ac:dyDescent="0.25">
      <c r="A666">
        <v>89914.974900000001</v>
      </c>
      <c r="B666">
        <v>1112.1618000000001</v>
      </c>
      <c r="C666">
        <v>4</v>
      </c>
      <c r="D666" t="s">
        <v>296</v>
      </c>
      <c r="F666">
        <v>1969</v>
      </c>
      <c r="G666" s="1" t="s">
        <v>216</v>
      </c>
      <c r="H666" s="1" t="s">
        <v>131</v>
      </c>
      <c r="I666">
        <v>0</v>
      </c>
      <c r="J666">
        <v>89914.678700000004</v>
      </c>
      <c r="K666">
        <v>-3.6600000000000001E-3</v>
      </c>
      <c r="L666">
        <v>3.0300000000000001E-3</v>
      </c>
      <c r="M666">
        <v>0.245</v>
      </c>
      <c r="N666">
        <v>2.8400000000000002E-2</v>
      </c>
      <c r="O666">
        <v>3.1199999999999999E-3</v>
      </c>
      <c r="P666" s="3">
        <f t="shared" si="40"/>
        <v>1112.1617963105275</v>
      </c>
      <c r="Q666" s="3">
        <f t="shared" si="41"/>
        <v>-3.6637213058838825E-3</v>
      </c>
      <c r="R666" s="3">
        <f t="shared" si="42"/>
        <v>3.0300000000000001E-3</v>
      </c>
      <c r="S666">
        <f t="shared" si="43"/>
        <v>10</v>
      </c>
      <c r="T666">
        <f>INDEX([1]IDEN_level_ids!$B:$B,MATCH(G666,[1]IDEN_level_ids!$A:$A,0),1)</f>
        <v>1170</v>
      </c>
      <c r="U666">
        <f>INDEX([1]IDEN_level_ids!$B:$B,MATCH(H666,[1]IDEN_level_ids!$A:$A,0),1)</f>
        <v>764</v>
      </c>
    </row>
    <row r="667" spans="1:21" hidden="1" x14ac:dyDescent="0.25">
      <c r="A667">
        <v>89906.393599999996</v>
      </c>
      <c r="B667">
        <v>1112.2679000000001</v>
      </c>
      <c r="C667">
        <v>4</v>
      </c>
      <c r="D667" t="s">
        <v>296</v>
      </c>
      <c r="F667">
        <v>1969</v>
      </c>
      <c r="G667" s="1" t="s">
        <v>117</v>
      </c>
      <c r="H667" s="1" t="s">
        <v>156</v>
      </c>
      <c r="I667">
        <v>0</v>
      </c>
      <c r="J667">
        <v>89906.045899999997</v>
      </c>
      <c r="K667">
        <v>-4.3E-3</v>
      </c>
      <c r="L667">
        <v>3.0300000000000001E-3</v>
      </c>
      <c r="M667">
        <v>0.245</v>
      </c>
      <c r="N667">
        <v>9.7000000000000003E-2</v>
      </c>
      <c r="O667">
        <v>3.3600000000000001E-3</v>
      </c>
      <c r="P667" s="3">
        <f t="shared" si="40"/>
        <v>1112.2679488725482</v>
      </c>
      <c r="Q667" s="3">
        <f t="shared" si="41"/>
        <v>-4.3015523813210166E-3</v>
      </c>
      <c r="R667" s="3">
        <f t="shared" si="42"/>
        <v>3.0300000000000001E-3</v>
      </c>
      <c r="S667">
        <f t="shared" si="43"/>
        <v>10</v>
      </c>
      <c r="T667">
        <f>INDEX([1]IDEN_level_ids!$B:$B,MATCH(G667,[1]IDEN_level_ids!$A:$A,0),1)</f>
        <v>1162</v>
      </c>
      <c r="U667">
        <f>INDEX([1]IDEN_level_ids!$B:$B,MATCH(H667,[1]IDEN_level_ids!$A:$A,0),1)</f>
        <v>734</v>
      </c>
    </row>
    <row r="668" spans="1:21" hidden="1" x14ac:dyDescent="0.25">
      <c r="A668">
        <v>89895.712700000004</v>
      </c>
      <c r="B668">
        <v>1112.4001000000001</v>
      </c>
      <c r="C668">
        <v>4</v>
      </c>
      <c r="D668" t="s">
        <v>296</v>
      </c>
      <c r="F668">
        <v>1969</v>
      </c>
      <c r="G668" s="1" t="s">
        <v>76</v>
      </c>
      <c r="H668" s="1" t="s">
        <v>179</v>
      </c>
      <c r="I668">
        <v>0</v>
      </c>
      <c r="J668">
        <v>89895.440300000002</v>
      </c>
      <c r="K668">
        <v>-3.3700000000000002E-3</v>
      </c>
      <c r="L668">
        <v>3.0300000000000001E-3</v>
      </c>
      <c r="M668">
        <v>0.245</v>
      </c>
      <c r="N668">
        <v>2.2100000000000002E-2</v>
      </c>
      <c r="O668">
        <v>3.0999999999999999E-3</v>
      </c>
      <c r="P668" s="3">
        <f t="shared" si="40"/>
        <v>1112.4001022576019</v>
      </c>
      <c r="Q668" s="3">
        <f t="shared" si="41"/>
        <v>-3.3707803959259763E-3</v>
      </c>
      <c r="R668" s="3">
        <f t="shared" si="42"/>
        <v>3.0300000000000001E-3</v>
      </c>
      <c r="S668">
        <f t="shared" si="43"/>
        <v>10</v>
      </c>
      <c r="T668">
        <f>INDEX([1]IDEN_level_ids!$B:$B,MATCH(G668,[1]IDEN_level_ids!$A:$A,0),1)</f>
        <v>1194</v>
      </c>
      <c r="U668">
        <f>INDEX([1]IDEN_level_ids!$B:$B,MATCH(H668,[1]IDEN_level_ids!$A:$A,0),1)</f>
        <v>791</v>
      </c>
    </row>
    <row r="669" spans="1:21" hidden="1" x14ac:dyDescent="0.25">
      <c r="A669">
        <v>89883.688800000004</v>
      </c>
      <c r="B669">
        <v>1112.5489</v>
      </c>
      <c r="C669">
        <v>4</v>
      </c>
      <c r="D669" t="s">
        <v>296</v>
      </c>
      <c r="F669">
        <v>1969</v>
      </c>
      <c r="G669" s="1" t="s">
        <v>77</v>
      </c>
      <c r="H669" s="1" t="s">
        <v>222</v>
      </c>
      <c r="I669">
        <v>0</v>
      </c>
      <c r="J669">
        <v>89883.410399999993</v>
      </c>
      <c r="K669">
        <v>-3.4499999999999999E-3</v>
      </c>
      <c r="L669">
        <v>3.0300000000000001E-3</v>
      </c>
      <c r="M669">
        <v>0.245</v>
      </c>
      <c r="N669">
        <v>2.76E-2</v>
      </c>
      <c r="O669">
        <v>3.1199999999999999E-3</v>
      </c>
      <c r="P669" s="3">
        <f t="shared" si="40"/>
        <v>1112.5489099864358</v>
      </c>
      <c r="Q669" s="3">
        <f t="shared" si="41"/>
        <v>-3.4459486480500345E-3</v>
      </c>
      <c r="R669" s="3">
        <f t="shared" si="42"/>
        <v>3.0300000000000001E-3</v>
      </c>
      <c r="S669">
        <f t="shared" si="43"/>
        <v>10</v>
      </c>
      <c r="T669">
        <f>INDEX([1]IDEN_level_ids!$B:$B,MATCH(G669,[1]IDEN_level_ids!$A:$A,0),1)</f>
        <v>1197</v>
      </c>
      <c r="U669">
        <f>INDEX([1]IDEN_level_ids!$B:$B,MATCH(H669,[1]IDEN_level_ids!$A:$A,0),1)</f>
        <v>800</v>
      </c>
    </row>
    <row r="670" spans="1:21" hidden="1" x14ac:dyDescent="0.25">
      <c r="A670">
        <v>89881.009399999995</v>
      </c>
      <c r="B670">
        <v>1112.5821000000001</v>
      </c>
      <c r="C670">
        <v>4</v>
      </c>
      <c r="D670" t="s">
        <v>296</v>
      </c>
      <c r="F670">
        <v>1969</v>
      </c>
      <c r="G670" s="1" t="s">
        <v>238</v>
      </c>
      <c r="H670" s="1" t="s">
        <v>119</v>
      </c>
      <c r="I670">
        <v>0</v>
      </c>
      <c r="J670">
        <v>89880.486900000004</v>
      </c>
      <c r="K670">
        <v>-6.4700000000000001E-3</v>
      </c>
      <c r="L670">
        <v>3.0300000000000001E-3</v>
      </c>
      <c r="M670">
        <v>0.245</v>
      </c>
      <c r="N670">
        <v>0.13700000000000001</v>
      </c>
      <c r="O670">
        <v>3.5100000000000001E-3</v>
      </c>
      <c r="P670" s="3">
        <f t="shared" si="40"/>
        <v>1112.5820756525684</v>
      </c>
      <c r="Q670" s="3">
        <f t="shared" si="41"/>
        <v>-6.467745720556195E-3</v>
      </c>
      <c r="R670" s="3">
        <f t="shared" si="42"/>
        <v>3.0300000000000001E-3</v>
      </c>
      <c r="S670">
        <f t="shared" si="43"/>
        <v>10</v>
      </c>
      <c r="T670">
        <f>INDEX([1]IDEN_level_ids!$B:$B,MATCH(G670,[1]IDEN_level_ids!$A:$A,0),1)</f>
        <v>1165</v>
      </c>
      <c r="U670">
        <f>INDEX([1]IDEN_level_ids!$B:$B,MATCH(H670,[1]IDEN_level_ids!$A:$A,0),1)</f>
        <v>741</v>
      </c>
    </row>
    <row r="671" spans="1:21" hidden="1" x14ac:dyDescent="0.25">
      <c r="A671">
        <v>89850.091</v>
      </c>
      <c r="B671">
        <v>1112.9648999999999</v>
      </c>
      <c r="C671">
        <v>4</v>
      </c>
      <c r="D671" t="s">
        <v>296</v>
      </c>
      <c r="F671">
        <v>1969</v>
      </c>
      <c r="G671" s="1" t="s">
        <v>193</v>
      </c>
      <c r="H671" s="1" t="s">
        <v>303</v>
      </c>
      <c r="I671">
        <v>0</v>
      </c>
      <c r="J671">
        <v>89849.711800000005</v>
      </c>
      <c r="K671">
        <v>-4.7000000000000002E-3</v>
      </c>
      <c r="L671">
        <v>3.0300000000000001E-3</v>
      </c>
      <c r="M671">
        <v>0.245</v>
      </c>
      <c r="N671">
        <v>6.2300000000000001E-2</v>
      </c>
      <c r="O671">
        <v>3.2399999999999998E-3</v>
      </c>
      <c r="P671" s="3">
        <f t="shared" si="40"/>
        <v>1112.9649273254493</v>
      </c>
      <c r="Q671" s="3">
        <f t="shared" si="41"/>
        <v>-4.6971358281098219E-3</v>
      </c>
      <c r="R671" s="3">
        <f t="shared" si="42"/>
        <v>3.0300000000000001E-3</v>
      </c>
      <c r="S671">
        <f t="shared" si="43"/>
        <v>10</v>
      </c>
      <c r="T671">
        <f>INDEX([1]IDEN_level_ids!$B:$B,MATCH(G671,[1]IDEN_level_ids!$A:$A,0),1)</f>
        <v>1202</v>
      </c>
      <c r="U671">
        <f>INDEX([1]IDEN_level_ids!$B:$B,MATCH(H671,[1]IDEN_level_ids!$A:$A,0),1)</f>
        <v>805</v>
      </c>
    </row>
    <row r="672" spans="1:21" hidden="1" x14ac:dyDescent="0.25">
      <c r="A672">
        <v>89807.801399999997</v>
      </c>
      <c r="B672">
        <v>1113.489</v>
      </c>
      <c r="C672">
        <v>4</v>
      </c>
      <c r="D672" t="s">
        <v>296</v>
      </c>
      <c r="F672">
        <v>1969</v>
      </c>
      <c r="G672" s="1" t="s">
        <v>40</v>
      </c>
      <c r="H672" s="1" t="s">
        <v>165</v>
      </c>
      <c r="I672">
        <v>0</v>
      </c>
      <c r="J672">
        <v>89807.322400000005</v>
      </c>
      <c r="K672">
        <v>-5.94E-3</v>
      </c>
      <c r="L672">
        <v>3.0400000000000002E-3</v>
      </c>
      <c r="M672">
        <v>0.245</v>
      </c>
      <c r="N672">
        <v>2.5600000000000001E-2</v>
      </c>
      <c r="O672">
        <v>3.1199999999999999E-3</v>
      </c>
      <c r="P672" s="3">
        <f t="shared" si="40"/>
        <v>1113.4890114345901</v>
      </c>
      <c r="Q672" s="3">
        <f t="shared" si="41"/>
        <v>-5.9389504353930533E-3</v>
      </c>
      <c r="R672" s="3">
        <f t="shared" si="42"/>
        <v>3.0400000000000002E-3</v>
      </c>
      <c r="S672">
        <f t="shared" si="43"/>
        <v>10</v>
      </c>
      <c r="T672">
        <f>INDEX([1]IDEN_level_ids!$B:$B,MATCH(G672,[1]IDEN_level_ids!$A:$A,0),1)</f>
        <v>1199</v>
      </c>
      <c r="U672">
        <f>INDEX([1]IDEN_level_ids!$B:$B,MATCH(H672,[1]IDEN_level_ids!$A:$A,0),1)</f>
        <v>802</v>
      </c>
    </row>
    <row r="673" spans="1:21" hidden="1" x14ac:dyDescent="0.25">
      <c r="A673">
        <v>89786.508900000001</v>
      </c>
      <c r="B673">
        <v>1113.7530999999999</v>
      </c>
      <c r="C673">
        <v>4</v>
      </c>
      <c r="D673" t="s">
        <v>296</v>
      </c>
      <c r="F673">
        <v>1969</v>
      </c>
      <c r="G673" s="1" t="s">
        <v>197</v>
      </c>
      <c r="H673" s="1" t="s">
        <v>198</v>
      </c>
      <c r="I673">
        <v>0</v>
      </c>
      <c r="J673">
        <v>89786.326400000005</v>
      </c>
      <c r="K673">
        <v>-2.2599999999999999E-3</v>
      </c>
      <c r="L673">
        <v>3.0400000000000002E-3</v>
      </c>
      <c r="M673">
        <v>0.245</v>
      </c>
      <c r="N673">
        <v>2.0500000000000001E-2</v>
      </c>
      <c r="O673">
        <v>3.0999999999999999E-3</v>
      </c>
      <c r="P673" s="3">
        <f t="shared" si="40"/>
        <v>1113.7530707578273</v>
      </c>
      <c r="Q673" s="3">
        <f t="shared" si="41"/>
        <v>-2.2638183736489736E-3</v>
      </c>
      <c r="R673" s="3">
        <f t="shared" si="42"/>
        <v>3.0400000000000002E-3</v>
      </c>
      <c r="S673">
        <f t="shared" si="43"/>
        <v>10</v>
      </c>
      <c r="T673">
        <f>INDEX([1]IDEN_level_ids!$B:$B,MATCH(G673,[1]IDEN_level_ids!$A:$A,0),1)</f>
        <v>1182</v>
      </c>
      <c r="U673">
        <f>INDEX([1]IDEN_level_ids!$B:$B,MATCH(H673,[1]IDEN_level_ids!$A:$A,0),1)</f>
        <v>780</v>
      </c>
    </row>
    <row r="674" spans="1:21" hidden="1" x14ac:dyDescent="0.25">
      <c r="A674">
        <v>89748.223199999993</v>
      </c>
      <c r="B674">
        <v>1114.2282</v>
      </c>
      <c r="C674">
        <v>4</v>
      </c>
      <c r="D674" t="s">
        <v>296</v>
      </c>
      <c r="F674">
        <v>1969</v>
      </c>
      <c r="G674" s="1" t="s">
        <v>141</v>
      </c>
      <c r="H674" s="1" t="s">
        <v>132</v>
      </c>
      <c r="I674">
        <v>0</v>
      </c>
      <c r="J674">
        <v>89748.197</v>
      </c>
      <c r="K674">
        <v>-3.2000000000000003E-4</v>
      </c>
      <c r="L674">
        <v>3.0400000000000002E-3</v>
      </c>
      <c r="M674">
        <v>0.245</v>
      </c>
      <c r="N674">
        <v>9.01E-2</v>
      </c>
      <c r="O674">
        <v>3.3400000000000001E-3</v>
      </c>
      <c r="P674" s="3">
        <f t="shared" si="40"/>
        <v>1114.2281867481026</v>
      </c>
      <c r="Q674" s="3">
        <f t="shared" si="41"/>
        <v>-3.252742615131865E-4</v>
      </c>
      <c r="R674" s="3">
        <f t="shared" si="42"/>
        <v>3.0400000000000002E-3</v>
      </c>
      <c r="S674">
        <f t="shared" si="43"/>
        <v>10</v>
      </c>
      <c r="T674">
        <f>INDEX([1]IDEN_level_ids!$B:$B,MATCH(G674,[1]IDEN_level_ids!$A:$A,0),1)</f>
        <v>1155</v>
      </c>
      <c r="U674">
        <f>INDEX([1]IDEN_level_ids!$B:$B,MATCH(H674,[1]IDEN_level_ids!$A:$A,0),1)</f>
        <v>696</v>
      </c>
    </row>
    <row r="675" spans="1:21" hidden="1" x14ac:dyDescent="0.25">
      <c r="A675">
        <v>89731.492400000003</v>
      </c>
      <c r="B675">
        <v>1114.4358999999999</v>
      </c>
      <c r="C675">
        <v>4</v>
      </c>
      <c r="D675" t="s">
        <v>296</v>
      </c>
      <c r="F675">
        <v>1969</v>
      </c>
      <c r="G675" s="1" t="s">
        <v>77</v>
      </c>
      <c r="H675" s="1" t="s">
        <v>165</v>
      </c>
      <c r="I675">
        <v>0</v>
      </c>
      <c r="J675">
        <v>89731.2978</v>
      </c>
      <c r="K675">
        <v>-2.4199999999999998E-3</v>
      </c>
      <c r="L675">
        <v>3.0400000000000002E-3</v>
      </c>
      <c r="M675">
        <v>0.245</v>
      </c>
      <c r="N675">
        <v>2.6800000000000001E-2</v>
      </c>
      <c r="O675">
        <v>3.13E-3</v>
      </c>
      <c r="P675" s="3">
        <f t="shared" si="40"/>
        <v>1114.4359391040284</v>
      </c>
      <c r="Q675" s="3">
        <f t="shared" si="41"/>
        <v>-2.4168739232663938E-3</v>
      </c>
      <c r="R675" s="3">
        <f t="shared" si="42"/>
        <v>3.0400000000000002E-3</v>
      </c>
      <c r="S675">
        <f t="shared" si="43"/>
        <v>10</v>
      </c>
      <c r="T675">
        <f>INDEX([1]IDEN_level_ids!$B:$B,MATCH(G675,[1]IDEN_level_ids!$A:$A,0),1)</f>
        <v>1197</v>
      </c>
      <c r="U675">
        <f>INDEX([1]IDEN_level_ids!$B:$B,MATCH(H675,[1]IDEN_level_ids!$A:$A,0),1)</f>
        <v>802</v>
      </c>
    </row>
    <row r="676" spans="1:21" hidden="1" x14ac:dyDescent="0.25">
      <c r="A676">
        <v>89719.808499999999</v>
      </c>
      <c r="B676">
        <v>1114.5811000000001</v>
      </c>
      <c r="C676">
        <v>4</v>
      </c>
      <c r="D676" t="s">
        <v>296</v>
      </c>
      <c r="F676">
        <v>1969</v>
      </c>
      <c r="G676" s="1" t="s">
        <v>295</v>
      </c>
      <c r="H676" s="1" t="s">
        <v>153</v>
      </c>
      <c r="I676">
        <v>0</v>
      </c>
      <c r="J676">
        <v>89719.3511</v>
      </c>
      <c r="K676">
        <v>-5.6800000000000002E-3</v>
      </c>
      <c r="L676">
        <v>3.0400000000000002E-3</v>
      </c>
      <c r="M676">
        <v>0.245</v>
      </c>
      <c r="N676">
        <v>0.15409999999999999</v>
      </c>
      <c r="O676">
        <v>3.5999999999999999E-3</v>
      </c>
      <c r="P676" s="3">
        <f t="shared" si="40"/>
        <v>1114.5810682375677</v>
      </c>
      <c r="Q676" s="3">
        <f t="shared" si="41"/>
        <v>-5.6822678091066336E-3</v>
      </c>
      <c r="R676" s="3">
        <f t="shared" si="42"/>
        <v>3.0400000000000002E-3</v>
      </c>
      <c r="S676">
        <f t="shared" si="43"/>
        <v>10</v>
      </c>
      <c r="T676">
        <f>INDEX([1]IDEN_level_ids!$B:$B,MATCH(G676,[1]IDEN_level_ids!$A:$A,0),1)</f>
        <v>1152</v>
      </c>
      <c r="U676">
        <f>INDEX([1]IDEN_level_ids!$B:$B,MATCH(H676,[1]IDEN_level_ids!$A:$A,0),1)</f>
        <v>681</v>
      </c>
    </row>
    <row r="677" spans="1:21" hidden="1" x14ac:dyDescent="0.25">
      <c r="A677">
        <v>89693.186400000006</v>
      </c>
      <c r="B677">
        <v>1114.9119000000001</v>
      </c>
      <c r="C677">
        <v>4</v>
      </c>
      <c r="D677" t="s">
        <v>296</v>
      </c>
      <c r="F677">
        <v>1969</v>
      </c>
      <c r="G677" s="1" t="s">
        <v>85</v>
      </c>
      <c r="H677" s="1" t="s">
        <v>162</v>
      </c>
      <c r="I677">
        <v>0</v>
      </c>
      <c r="J677">
        <v>89692.994500000001</v>
      </c>
      <c r="K677">
        <v>-2.3900000000000002E-3</v>
      </c>
      <c r="L677">
        <v>3.0500000000000002E-3</v>
      </c>
      <c r="M677">
        <v>0.245</v>
      </c>
      <c r="N677">
        <v>2.4799999999999999E-2</v>
      </c>
      <c r="O677">
        <v>3.1199999999999999E-3</v>
      </c>
      <c r="P677" s="3">
        <f t="shared" si="40"/>
        <v>1114.9118903417618</v>
      </c>
      <c r="Q677" s="3">
        <f t="shared" si="41"/>
        <v>-2.3853768395838415E-3</v>
      </c>
      <c r="R677" s="3">
        <f t="shared" si="42"/>
        <v>3.0500000000000002E-3</v>
      </c>
      <c r="S677">
        <f t="shared" si="43"/>
        <v>10</v>
      </c>
      <c r="T677">
        <f>INDEX([1]IDEN_level_ids!$B:$B,MATCH(G677,[1]IDEN_level_ids!$A:$A,0),1)</f>
        <v>1168</v>
      </c>
      <c r="U677">
        <f>INDEX([1]IDEN_level_ids!$B:$B,MATCH(H677,[1]IDEN_level_ids!$A:$A,0),1)</f>
        <v>754</v>
      </c>
    </row>
    <row r="678" spans="1:21" hidden="1" x14ac:dyDescent="0.25">
      <c r="A678">
        <v>89657.708400000003</v>
      </c>
      <c r="B678">
        <v>1115.3531</v>
      </c>
      <c r="C678">
        <v>4</v>
      </c>
      <c r="D678" t="s">
        <v>296</v>
      </c>
      <c r="F678">
        <v>1969</v>
      </c>
      <c r="G678" s="1" t="s">
        <v>77</v>
      </c>
      <c r="H678" s="1" t="s">
        <v>303</v>
      </c>
      <c r="I678">
        <v>0</v>
      </c>
      <c r="J678">
        <v>89657.354000000007</v>
      </c>
      <c r="K678">
        <v>-4.4099999999999999E-3</v>
      </c>
      <c r="L678">
        <v>3.0500000000000002E-3</v>
      </c>
      <c r="M678">
        <v>0.245</v>
      </c>
      <c r="N678">
        <v>6.2199999999999998E-2</v>
      </c>
      <c r="O678">
        <v>3.2499999999999999E-3</v>
      </c>
      <c r="P678" s="3">
        <f t="shared" si="40"/>
        <v>1115.353066507776</v>
      </c>
      <c r="Q678" s="3">
        <f t="shared" si="41"/>
        <v>-4.408797595942815E-3</v>
      </c>
      <c r="R678" s="3">
        <f t="shared" si="42"/>
        <v>3.0500000000000002E-3</v>
      </c>
      <c r="S678">
        <f t="shared" si="43"/>
        <v>10</v>
      </c>
      <c r="T678">
        <f>INDEX([1]IDEN_level_ids!$B:$B,MATCH(G678,[1]IDEN_level_ids!$A:$A,0),1)</f>
        <v>1197</v>
      </c>
      <c r="U678">
        <f>INDEX([1]IDEN_level_ids!$B:$B,MATCH(H678,[1]IDEN_level_ids!$A:$A,0),1)</f>
        <v>805</v>
      </c>
    </row>
    <row r="679" spans="1:21" hidden="1" x14ac:dyDescent="0.25">
      <c r="A679">
        <v>89651.603000000003</v>
      </c>
      <c r="B679">
        <v>1115.4290000000001</v>
      </c>
      <c r="C679">
        <v>4</v>
      </c>
      <c r="D679" t="s">
        <v>296</v>
      </c>
      <c r="F679">
        <v>1969</v>
      </c>
      <c r="G679" s="1" t="s">
        <v>304</v>
      </c>
      <c r="H679" s="1" t="s">
        <v>78</v>
      </c>
      <c r="I679">
        <v>0</v>
      </c>
      <c r="J679">
        <v>89651.514800000004</v>
      </c>
      <c r="K679">
        <v>-1.1000000000000001E-3</v>
      </c>
      <c r="L679">
        <v>3.0500000000000002E-3</v>
      </c>
      <c r="M679">
        <v>0.245</v>
      </c>
      <c r="N679">
        <v>0.27900000000000003</v>
      </c>
      <c r="O679">
        <v>4.2300000000000003E-3</v>
      </c>
      <c r="P679" s="3">
        <f t="shared" si="40"/>
        <v>1115.4290236171237</v>
      </c>
      <c r="Q679" s="3">
        <f t="shared" si="41"/>
        <v>-1.0973695214033796E-3</v>
      </c>
      <c r="R679" s="3">
        <f t="shared" si="42"/>
        <v>3.0500000000000002E-3</v>
      </c>
      <c r="S679">
        <f t="shared" si="43"/>
        <v>10</v>
      </c>
      <c r="T679">
        <f>INDEX([1]IDEN_level_ids!$B:$B,MATCH(G679,[1]IDEN_level_ids!$A:$A,0),1)</f>
        <v>1096</v>
      </c>
      <c r="U679">
        <f>INDEX([1]IDEN_level_ids!$B:$B,MATCH(H679,[1]IDEN_level_ids!$A:$A,0),1)</f>
        <v>323</v>
      </c>
    </row>
    <row r="680" spans="1:21" hidden="1" x14ac:dyDescent="0.25">
      <c r="A680">
        <v>89640.195900000006</v>
      </c>
      <c r="B680">
        <v>1115.5709999999999</v>
      </c>
      <c r="C680">
        <v>4</v>
      </c>
      <c r="D680" t="s">
        <v>296</v>
      </c>
      <c r="F680">
        <v>1969</v>
      </c>
      <c r="G680" s="1" t="s">
        <v>166</v>
      </c>
      <c r="H680" s="1" t="s">
        <v>249</v>
      </c>
      <c r="I680">
        <v>0</v>
      </c>
      <c r="J680">
        <v>89639.800900000002</v>
      </c>
      <c r="K680">
        <v>-4.9199999999999999E-3</v>
      </c>
      <c r="L680">
        <v>3.0500000000000002E-3</v>
      </c>
      <c r="M680">
        <v>0.245</v>
      </c>
      <c r="N680">
        <v>2.23E-2</v>
      </c>
      <c r="O680">
        <v>3.1199999999999999E-3</v>
      </c>
      <c r="P680" s="3">
        <f t="shared" si="40"/>
        <v>1115.5709667519814</v>
      </c>
      <c r="Q680" s="3">
        <f t="shared" si="41"/>
        <v>-4.9157910598296439E-3</v>
      </c>
      <c r="R680" s="3">
        <f t="shared" si="42"/>
        <v>3.0500000000000002E-3</v>
      </c>
      <c r="S680">
        <f t="shared" si="43"/>
        <v>10</v>
      </c>
      <c r="T680">
        <f>INDEX([1]IDEN_level_ids!$B:$B,MATCH(G680,[1]IDEN_level_ids!$A:$A,0),1)</f>
        <v>1186</v>
      </c>
      <c r="U680">
        <f>INDEX([1]IDEN_level_ids!$B:$B,MATCH(H680,[1]IDEN_level_ids!$A:$A,0),1)</f>
        <v>784</v>
      </c>
    </row>
    <row r="681" spans="1:21" hidden="1" x14ac:dyDescent="0.25">
      <c r="A681">
        <v>89627.812399999995</v>
      </c>
      <c r="B681">
        <v>1115.7251000000001</v>
      </c>
      <c r="C681">
        <v>4</v>
      </c>
      <c r="D681" t="s">
        <v>296</v>
      </c>
      <c r="F681">
        <v>1969</v>
      </c>
      <c r="G681" s="1" t="s">
        <v>38</v>
      </c>
      <c r="H681" s="1" t="s">
        <v>226</v>
      </c>
      <c r="I681">
        <v>0</v>
      </c>
      <c r="J681">
        <v>89627.546100000007</v>
      </c>
      <c r="K681">
        <v>-3.32E-3</v>
      </c>
      <c r="L681">
        <v>3.0500000000000002E-3</v>
      </c>
      <c r="M681">
        <v>0.245</v>
      </c>
      <c r="N681">
        <v>3.5299999999999998E-2</v>
      </c>
      <c r="O681">
        <v>3.16E-3</v>
      </c>
      <c r="P681" s="3">
        <f t="shared" si="40"/>
        <v>1115.7251005269432</v>
      </c>
      <c r="Q681" s="3">
        <f t="shared" si="41"/>
        <v>-3.3150254266729462E-3</v>
      </c>
      <c r="R681" s="3">
        <f t="shared" si="42"/>
        <v>3.0500000000000002E-3</v>
      </c>
      <c r="S681">
        <f t="shared" si="43"/>
        <v>10</v>
      </c>
      <c r="T681">
        <f>INDEX([1]IDEN_level_ids!$B:$B,MATCH(G681,[1]IDEN_level_ids!$A:$A,0),1)</f>
        <v>1201</v>
      </c>
      <c r="U681">
        <f>INDEX([1]IDEN_level_ids!$B:$B,MATCH(H681,[1]IDEN_level_ids!$A:$A,0),1)</f>
        <v>811</v>
      </c>
    </row>
    <row r="682" spans="1:21" hidden="1" x14ac:dyDescent="0.25">
      <c r="A682">
        <v>89594.585200000001</v>
      </c>
      <c r="B682">
        <v>1116.1388999999999</v>
      </c>
      <c r="C682">
        <v>4</v>
      </c>
      <c r="D682" t="s">
        <v>296</v>
      </c>
      <c r="F682">
        <v>1969</v>
      </c>
      <c r="G682" s="1" t="s">
        <v>84</v>
      </c>
      <c r="H682" s="1" t="s">
        <v>189</v>
      </c>
      <c r="I682">
        <v>0</v>
      </c>
      <c r="J682">
        <v>89594.6927</v>
      </c>
      <c r="K682">
        <v>1.34E-3</v>
      </c>
      <c r="L682">
        <v>3.0500000000000002E-3</v>
      </c>
      <c r="M682">
        <v>0.245</v>
      </c>
      <c r="N682">
        <v>2.35E-2</v>
      </c>
      <c r="O682">
        <v>3.13E-3</v>
      </c>
      <c r="P682" s="3">
        <f t="shared" si="40"/>
        <v>1116.1388802322397</v>
      </c>
      <c r="Q682" s="3">
        <f t="shared" si="41"/>
        <v>1.3391968429914414E-3</v>
      </c>
      <c r="R682" s="3">
        <f t="shared" si="42"/>
        <v>3.0500000000000002E-3</v>
      </c>
      <c r="S682">
        <f t="shared" si="43"/>
        <v>10</v>
      </c>
      <c r="T682">
        <f>INDEX([1]IDEN_level_ids!$B:$B,MATCH(G682,[1]IDEN_level_ids!$A:$A,0),1)</f>
        <v>1191</v>
      </c>
      <c r="U682">
        <f>INDEX([1]IDEN_level_ids!$B:$B,MATCH(H682,[1]IDEN_level_ids!$A:$A,0),1)</f>
        <v>789</v>
      </c>
    </row>
    <row r="683" spans="1:21" hidden="1" x14ac:dyDescent="0.25">
      <c r="A683">
        <v>89584.525999999998</v>
      </c>
      <c r="B683">
        <v>1116.2642000000001</v>
      </c>
      <c r="C683">
        <v>4</v>
      </c>
      <c r="D683" t="s">
        <v>296</v>
      </c>
      <c r="F683">
        <v>1969</v>
      </c>
      <c r="G683" s="1" t="s">
        <v>301</v>
      </c>
      <c r="H683" s="1" t="s">
        <v>132</v>
      </c>
      <c r="I683">
        <v>-0.71730000000000005</v>
      </c>
      <c r="J683">
        <v>89584.059599999993</v>
      </c>
      <c r="K683">
        <v>-5.8100000000000001E-3</v>
      </c>
      <c r="L683">
        <v>3.0500000000000002E-3</v>
      </c>
      <c r="M683">
        <v>0.245</v>
      </c>
      <c r="N683">
        <v>0.111</v>
      </c>
      <c r="O683">
        <v>3.4299999999999999E-3</v>
      </c>
      <c r="P683" s="3">
        <f t="shared" si="40"/>
        <v>1116.2642083968833</v>
      </c>
      <c r="Q683" s="3">
        <f t="shared" si="41"/>
        <v>-5.8115877882300992E-3</v>
      </c>
      <c r="R683" s="3">
        <f t="shared" si="42"/>
        <v>3.0500000000000002E-3</v>
      </c>
      <c r="S683">
        <f t="shared" si="43"/>
        <v>10</v>
      </c>
      <c r="T683">
        <f>INDEX([1]IDEN_level_ids!$B:$B,MATCH(G683,[1]IDEN_level_ids!$A:$A,0),1)</f>
        <v>1154</v>
      </c>
      <c r="U683">
        <f>INDEX([1]IDEN_level_ids!$B:$B,MATCH(H683,[1]IDEN_level_ids!$A:$A,0),1)</f>
        <v>696</v>
      </c>
    </row>
    <row r="684" spans="1:21" hidden="1" x14ac:dyDescent="0.25">
      <c r="A684">
        <v>89575.084000000003</v>
      </c>
      <c r="B684">
        <v>1116.3819000000001</v>
      </c>
      <c r="C684">
        <v>4</v>
      </c>
      <c r="D684" t="s">
        <v>296</v>
      </c>
      <c r="E684" t="s">
        <v>236</v>
      </c>
      <c r="F684">
        <v>1969</v>
      </c>
      <c r="G684" s="1" t="s">
        <v>238</v>
      </c>
      <c r="H684" s="1" t="s">
        <v>191</v>
      </c>
      <c r="I684">
        <v>0</v>
      </c>
      <c r="J684">
        <v>89574.779500000004</v>
      </c>
      <c r="K684">
        <v>-3.8E-3</v>
      </c>
      <c r="L684">
        <v>4.6800000000000001E-3</v>
      </c>
      <c r="M684">
        <v>0.37580000000000002</v>
      </c>
      <c r="N684">
        <v>1.83E-2</v>
      </c>
      <c r="O684">
        <v>4.7699999999999999E-3</v>
      </c>
      <c r="P684" s="3">
        <f t="shared" si="40"/>
        <v>1116.3818724412249</v>
      </c>
      <c r="Q684" s="3">
        <f t="shared" si="41"/>
        <v>-3.795022237682133E-3</v>
      </c>
      <c r="R684" s="3">
        <f t="shared" si="42"/>
        <v>4.6800000000000001E-3</v>
      </c>
      <c r="S684">
        <f t="shared" si="43"/>
        <v>10</v>
      </c>
      <c r="T684">
        <f>INDEX([1]IDEN_level_ids!$B:$B,MATCH(G684,[1]IDEN_level_ids!$A:$A,0),1)</f>
        <v>1165</v>
      </c>
      <c r="U684">
        <f>INDEX([1]IDEN_level_ids!$B:$B,MATCH(H684,[1]IDEN_level_ids!$A:$A,0),1)</f>
        <v>749</v>
      </c>
    </row>
    <row r="685" spans="1:21" hidden="1" x14ac:dyDescent="0.25">
      <c r="A685">
        <v>89564.314199999993</v>
      </c>
      <c r="B685">
        <v>1116.5161000000001</v>
      </c>
      <c r="C685">
        <v>4</v>
      </c>
      <c r="D685" t="s">
        <v>296</v>
      </c>
      <c r="F685">
        <v>1969</v>
      </c>
      <c r="G685" s="1" t="s">
        <v>86</v>
      </c>
      <c r="H685" s="1" t="s">
        <v>300</v>
      </c>
      <c r="I685">
        <v>0</v>
      </c>
      <c r="J685">
        <v>89563.880499999999</v>
      </c>
      <c r="K685">
        <v>-5.4099999999999999E-3</v>
      </c>
      <c r="L685">
        <v>3.0500000000000002E-3</v>
      </c>
      <c r="M685">
        <v>0.245</v>
      </c>
      <c r="N685">
        <v>1.6400000000000001E-2</v>
      </c>
      <c r="O685">
        <v>3.1099999999999999E-3</v>
      </c>
      <c r="P685" s="3">
        <f t="shared" si="40"/>
        <v>1116.5161135125402</v>
      </c>
      <c r="Q685" s="3">
        <f t="shared" si="41"/>
        <v>-5.4065660813193972E-3</v>
      </c>
      <c r="R685" s="3">
        <f t="shared" si="42"/>
        <v>3.0500000000000002E-3</v>
      </c>
      <c r="S685">
        <f t="shared" si="43"/>
        <v>10</v>
      </c>
      <c r="T685">
        <f>INDEX([1]IDEN_level_ids!$B:$B,MATCH(G685,[1]IDEN_level_ids!$A:$A,0),1)</f>
        <v>1183</v>
      </c>
      <c r="U685">
        <f>INDEX([1]IDEN_level_ids!$B:$B,MATCH(H685,[1]IDEN_level_ids!$A:$A,0),1)</f>
        <v>783</v>
      </c>
    </row>
    <row r="686" spans="1:21" hidden="1" x14ac:dyDescent="0.25">
      <c r="A686">
        <v>89551.093500000003</v>
      </c>
      <c r="B686">
        <v>1116.6809000000001</v>
      </c>
      <c r="C686">
        <v>4</v>
      </c>
      <c r="D686" t="s">
        <v>296</v>
      </c>
      <c r="F686">
        <v>1969</v>
      </c>
      <c r="G686" s="1" t="s">
        <v>141</v>
      </c>
      <c r="H686" s="1" t="s">
        <v>215</v>
      </c>
      <c r="I686">
        <v>0</v>
      </c>
      <c r="J686">
        <v>89550.902300000002</v>
      </c>
      <c r="K686">
        <v>-2.3800000000000002E-3</v>
      </c>
      <c r="L686">
        <v>3.0500000000000002E-3</v>
      </c>
      <c r="M686">
        <v>0.245</v>
      </c>
      <c r="N686">
        <v>2.76E-2</v>
      </c>
      <c r="O686">
        <v>3.14E-3</v>
      </c>
      <c r="P686" s="3">
        <f t="shared" si="40"/>
        <v>1116.680948178483</v>
      </c>
      <c r="Q686" s="3">
        <f t="shared" si="41"/>
        <v>-2.3842238526867732E-3</v>
      </c>
      <c r="R686" s="3">
        <f t="shared" si="42"/>
        <v>3.0500000000000002E-3</v>
      </c>
      <c r="S686">
        <f t="shared" si="43"/>
        <v>10</v>
      </c>
      <c r="T686">
        <f>INDEX([1]IDEN_level_ids!$B:$B,MATCH(G686,[1]IDEN_level_ids!$A:$A,0),1)</f>
        <v>1155</v>
      </c>
      <c r="U686">
        <f>INDEX([1]IDEN_level_ids!$B:$B,MATCH(H686,[1]IDEN_level_ids!$A:$A,0),1)</f>
        <v>699</v>
      </c>
    </row>
    <row r="687" spans="1:21" hidden="1" x14ac:dyDescent="0.25">
      <c r="A687">
        <v>89507.090599999996</v>
      </c>
      <c r="B687">
        <v>1117.2299</v>
      </c>
      <c r="C687">
        <v>4</v>
      </c>
      <c r="D687" t="s">
        <v>296</v>
      </c>
      <c r="F687">
        <v>1969</v>
      </c>
      <c r="G687" s="1" t="s">
        <v>166</v>
      </c>
      <c r="H687" s="1" t="s">
        <v>161</v>
      </c>
      <c r="I687">
        <v>0</v>
      </c>
      <c r="J687">
        <v>89506.6872</v>
      </c>
      <c r="K687">
        <v>-5.0299999999999997E-3</v>
      </c>
      <c r="L687">
        <v>3.0599999999999998E-3</v>
      </c>
      <c r="M687">
        <v>0.245</v>
      </c>
      <c r="N687">
        <v>1.67E-2</v>
      </c>
      <c r="O687">
        <v>3.1099999999999999E-3</v>
      </c>
      <c r="P687" s="3">
        <f t="shared" si="40"/>
        <v>1117.2299236815995</v>
      </c>
      <c r="Q687" s="3">
        <f t="shared" si="41"/>
        <v>-5.0352723947071354E-3</v>
      </c>
      <c r="R687" s="3">
        <f t="shared" si="42"/>
        <v>3.0599999999999998E-3</v>
      </c>
      <c r="S687">
        <f t="shared" si="43"/>
        <v>10</v>
      </c>
      <c r="T687">
        <f>INDEX([1]IDEN_level_ids!$B:$B,MATCH(G687,[1]IDEN_level_ids!$A:$A,0),1)</f>
        <v>1186</v>
      </c>
      <c r="U687">
        <f>INDEX([1]IDEN_level_ids!$B:$B,MATCH(H687,[1]IDEN_level_ids!$A:$A,0),1)</f>
        <v>785</v>
      </c>
    </row>
    <row r="688" spans="1:21" hidden="1" x14ac:dyDescent="0.25">
      <c r="A688">
        <v>89461.201199999996</v>
      </c>
      <c r="B688">
        <v>1117.8030000000001</v>
      </c>
      <c r="C688">
        <v>4</v>
      </c>
      <c r="D688" t="s">
        <v>296</v>
      </c>
      <c r="F688">
        <v>1969</v>
      </c>
      <c r="G688" s="1" t="s">
        <v>100</v>
      </c>
      <c r="H688" s="1" t="s">
        <v>261</v>
      </c>
      <c r="I688">
        <v>0</v>
      </c>
      <c r="J688">
        <v>89460.864100000006</v>
      </c>
      <c r="K688">
        <v>-4.2100000000000002E-3</v>
      </c>
      <c r="L688">
        <v>3.0599999999999998E-3</v>
      </c>
      <c r="M688">
        <v>0.245</v>
      </c>
      <c r="N688">
        <v>0.20630000000000001</v>
      </c>
      <c r="O688">
        <v>3.8600000000000001E-3</v>
      </c>
      <c r="P688" s="3">
        <f t="shared" si="40"/>
        <v>1117.8030102283044</v>
      </c>
      <c r="Q688" s="3">
        <f t="shared" si="41"/>
        <v>-4.2120249847812374E-3</v>
      </c>
      <c r="R688" s="3">
        <f t="shared" si="42"/>
        <v>3.0599999999999998E-3</v>
      </c>
      <c r="S688">
        <f t="shared" si="43"/>
        <v>10</v>
      </c>
      <c r="T688">
        <f>INDEX([1]IDEN_level_ids!$B:$B,MATCH(G688,[1]IDEN_level_ids!$A:$A,0),1)</f>
        <v>1146</v>
      </c>
      <c r="U688">
        <f>INDEX([1]IDEN_level_ids!$B:$B,MATCH(H688,[1]IDEN_level_ids!$A:$A,0),1)</f>
        <v>653</v>
      </c>
    </row>
    <row r="689" spans="1:21" hidden="1" x14ac:dyDescent="0.25">
      <c r="A689">
        <v>89453.111799999999</v>
      </c>
      <c r="B689">
        <v>1117.9041</v>
      </c>
      <c r="C689">
        <v>4</v>
      </c>
      <c r="D689" t="s">
        <v>296</v>
      </c>
      <c r="F689">
        <v>1969</v>
      </c>
      <c r="G689" s="1" t="s">
        <v>207</v>
      </c>
      <c r="H689" s="1" t="s">
        <v>237</v>
      </c>
      <c r="I689">
        <v>0</v>
      </c>
      <c r="J689">
        <v>89452.851999999999</v>
      </c>
      <c r="K689">
        <v>-3.2499999999999999E-3</v>
      </c>
      <c r="L689">
        <v>3.0599999999999998E-3</v>
      </c>
      <c r="M689">
        <v>0.245</v>
      </c>
      <c r="N689">
        <v>4.48E-2</v>
      </c>
      <c r="O689">
        <v>3.2100000000000002E-3</v>
      </c>
      <c r="P689" s="3">
        <f t="shared" si="40"/>
        <v>1117.9040950926428</v>
      </c>
      <c r="Q689" s="3">
        <f t="shared" si="41"/>
        <v>-3.2467548815020564E-3</v>
      </c>
      <c r="R689" s="3">
        <f t="shared" si="42"/>
        <v>3.0599999999999998E-3</v>
      </c>
      <c r="S689">
        <f t="shared" si="43"/>
        <v>10</v>
      </c>
      <c r="T689">
        <f>INDEX([1]IDEN_level_ids!$B:$B,MATCH(G689,[1]IDEN_level_ids!$A:$A,0),1)</f>
        <v>1177</v>
      </c>
      <c r="U689">
        <f>INDEX([1]IDEN_level_ids!$B:$B,MATCH(H689,[1]IDEN_level_ids!$A:$A,0),1)</f>
        <v>773</v>
      </c>
    </row>
    <row r="690" spans="1:21" hidden="1" x14ac:dyDescent="0.25">
      <c r="A690">
        <v>89447.286900000006</v>
      </c>
      <c r="B690">
        <v>1117.9768999999999</v>
      </c>
      <c r="C690">
        <v>4</v>
      </c>
      <c r="D690" t="s">
        <v>296</v>
      </c>
      <c r="F690">
        <v>1969</v>
      </c>
      <c r="G690" s="1" t="s">
        <v>197</v>
      </c>
      <c r="H690" s="1" t="s">
        <v>249</v>
      </c>
      <c r="I690">
        <v>0</v>
      </c>
      <c r="J690">
        <v>89447.1</v>
      </c>
      <c r="K690">
        <v>-2.3400000000000001E-3</v>
      </c>
      <c r="L690">
        <v>3.0599999999999998E-3</v>
      </c>
      <c r="M690">
        <v>0.245</v>
      </c>
      <c r="N690">
        <v>2.2700000000000001E-2</v>
      </c>
      <c r="O690">
        <v>3.13E-3</v>
      </c>
      <c r="P690" s="3">
        <f t="shared" si="40"/>
        <v>1117.9768941655848</v>
      </c>
      <c r="Q690" s="3">
        <f t="shared" si="41"/>
        <v>-2.3360162767858128E-3</v>
      </c>
      <c r="R690" s="3">
        <f t="shared" si="42"/>
        <v>3.0599999999999998E-3</v>
      </c>
      <c r="S690">
        <f t="shared" si="43"/>
        <v>10</v>
      </c>
      <c r="T690">
        <f>INDEX([1]IDEN_level_ids!$B:$B,MATCH(G690,[1]IDEN_level_ids!$A:$A,0),1)</f>
        <v>1182</v>
      </c>
      <c r="U690">
        <f>INDEX([1]IDEN_level_ids!$B:$B,MATCH(H690,[1]IDEN_level_ids!$A:$A,0),1)</f>
        <v>784</v>
      </c>
    </row>
    <row r="691" spans="1:21" hidden="1" x14ac:dyDescent="0.25">
      <c r="A691">
        <v>89443.286699999997</v>
      </c>
      <c r="B691">
        <v>1118.0269000000001</v>
      </c>
      <c r="C691">
        <v>4</v>
      </c>
      <c r="D691" t="s">
        <v>296</v>
      </c>
      <c r="F691">
        <v>1969</v>
      </c>
      <c r="G691" s="1" t="s">
        <v>71</v>
      </c>
      <c r="H691" s="1" t="s">
        <v>237</v>
      </c>
      <c r="I691">
        <v>0</v>
      </c>
      <c r="J691">
        <v>89443.183099999995</v>
      </c>
      <c r="K691">
        <v>-1.2999999999999999E-3</v>
      </c>
      <c r="L691">
        <v>3.0599999999999998E-3</v>
      </c>
      <c r="M691">
        <v>0.245</v>
      </c>
      <c r="N691">
        <v>4.48E-2</v>
      </c>
      <c r="O691">
        <v>3.2100000000000002E-3</v>
      </c>
      <c r="P691" s="3">
        <f t="shared" si="40"/>
        <v>1118.026893794814</v>
      </c>
      <c r="Q691" s="3">
        <f t="shared" si="41"/>
        <v>-1.2949850640779914E-3</v>
      </c>
      <c r="R691" s="3">
        <f t="shared" si="42"/>
        <v>3.0599999999999998E-3</v>
      </c>
      <c r="S691">
        <f t="shared" si="43"/>
        <v>10</v>
      </c>
      <c r="T691">
        <f>INDEX([1]IDEN_level_ids!$B:$B,MATCH(G691,[1]IDEN_level_ids!$A:$A,0),1)</f>
        <v>1179</v>
      </c>
      <c r="U691">
        <f>INDEX([1]IDEN_level_ids!$B:$B,MATCH(H691,[1]IDEN_level_ids!$A:$A,0),1)</f>
        <v>773</v>
      </c>
    </row>
    <row r="692" spans="1:21" hidden="1" x14ac:dyDescent="0.25">
      <c r="A692">
        <v>89413.828999999998</v>
      </c>
      <c r="B692">
        <v>1118.3951999999999</v>
      </c>
      <c r="C692">
        <v>4</v>
      </c>
      <c r="D692" t="s">
        <v>296</v>
      </c>
      <c r="F692">
        <v>1969</v>
      </c>
      <c r="G692" s="1" t="s">
        <v>81</v>
      </c>
      <c r="H692" s="1" t="s">
        <v>222</v>
      </c>
      <c r="I692">
        <v>0</v>
      </c>
      <c r="J692">
        <v>89413.637799999997</v>
      </c>
      <c r="K692">
        <v>-2.3900000000000002E-3</v>
      </c>
      <c r="L692">
        <v>3.0599999999999998E-3</v>
      </c>
      <c r="M692">
        <v>0.245</v>
      </c>
      <c r="N692">
        <v>2.7199999999999998E-2</v>
      </c>
      <c r="O692">
        <v>3.15E-3</v>
      </c>
      <c r="P692" s="3">
        <f t="shared" si="40"/>
        <v>1118.3952316816676</v>
      </c>
      <c r="Q692" s="3">
        <f t="shared" si="41"/>
        <v>-2.3915498077258235E-3</v>
      </c>
      <c r="R692" s="3">
        <f t="shared" si="42"/>
        <v>3.0599999999999998E-3</v>
      </c>
      <c r="S692">
        <f t="shared" si="43"/>
        <v>10</v>
      </c>
      <c r="T692">
        <f>INDEX([1]IDEN_level_ids!$B:$B,MATCH(G692,[1]IDEN_level_ids!$A:$A,0),1)</f>
        <v>1196</v>
      </c>
      <c r="U692">
        <f>INDEX([1]IDEN_level_ids!$B:$B,MATCH(H692,[1]IDEN_level_ids!$A:$A,0),1)</f>
        <v>800</v>
      </c>
    </row>
    <row r="693" spans="1:21" hidden="1" x14ac:dyDescent="0.25">
      <c r="A693">
        <v>89404.808699999994</v>
      </c>
      <c r="B693">
        <v>1118.5081</v>
      </c>
      <c r="C693">
        <v>4</v>
      </c>
      <c r="D693" t="s">
        <v>296</v>
      </c>
      <c r="F693">
        <v>1969</v>
      </c>
      <c r="G693" s="1" t="s">
        <v>245</v>
      </c>
      <c r="H693" s="1" t="s">
        <v>127</v>
      </c>
      <c r="I693">
        <v>0</v>
      </c>
      <c r="J693">
        <v>89404.4139</v>
      </c>
      <c r="K693">
        <v>-4.9399999999999999E-3</v>
      </c>
      <c r="L693">
        <v>3.0599999999999998E-3</v>
      </c>
      <c r="M693">
        <v>0.245</v>
      </c>
      <c r="N693">
        <v>2.8899999999999999E-2</v>
      </c>
      <c r="O693">
        <v>3.16E-3</v>
      </c>
      <c r="P693" s="3">
        <f t="shared" si="40"/>
        <v>1118.5080696895445</v>
      </c>
      <c r="Q693" s="3">
        <f t="shared" si="41"/>
        <v>-4.9392078831260733E-3</v>
      </c>
      <c r="R693" s="3">
        <f t="shared" si="42"/>
        <v>3.0599999999999998E-3</v>
      </c>
      <c r="S693">
        <f t="shared" si="43"/>
        <v>10</v>
      </c>
      <c r="T693">
        <f>INDEX([1]IDEN_level_ids!$B:$B,MATCH(G693,[1]IDEN_level_ids!$A:$A,0),1)</f>
        <v>1169</v>
      </c>
      <c r="U693">
        <f>INDEX([1]IDEN_level_ids!$B:$B,MATCH(H693,[1]IDEN_level_ids!$A:$A,0),1)</f>
        <v>760</v>
      </c>
    </row>
    <row r="694" spans="1:21" hidden="1" x14ac:dyDescent="0.25">
      <c r="A694">
        <v>89387.619600000005</v>
      </c>
      <c r="B694">
        <v>1118.7231999999999</v>
      </c>
      <c r="C694">
        <v>4</v>
      </c>
      <c r="D694" t="s">
        <v>296</v>
      </c>
      <c r="F694">
        <v>1969</v>
      </c>
      <c r="G694" s="1" t="s">
        <v>40</v>
      </c>
      <c r="H694" s="1" t="s">
        <v>226</v>
      </c>
      <c r="I694">
        <v>0</v>
      </c>
      <c r="J694">
        <v>89387.284</v>
      </c>
      <c r="K694">
        <v>-4.1999999999999997E-3</v>
      </c>
      <c r="L694">
        <v>3.0699999999999998E-3</v>
      </c>
      <c r="M694">
        <v>0.245</v>
      </c>
      <c r="N694">
        <v>3.4799999999999998E-2</v>
      </c>
      <c r="O694">
        <v>3.1800000000000001E-3</v>
      </c>
      <c r="P694" s="3">
        <f t="shared" si="40"/>
        <v>1118.7231570489209</v>
      </c>
      <c r="Q694" s="3">
        <f t="shared" si="41"/>
        <v>-4.2001890503797767E-3</v>
      </c>
      <c r="R694" s="3">
        <f t="shared" si="42"/>
        <v>3.0699999999999998E-3</v>
      </c>
      <c r="S694">
        <f t="shared" si="43"/>
        <v>10</v>
      </c>
      <c r="T694">
        <f>INDEX([1]IDEN_level_ids!$B:$B,MATCH(G694,[1]IDEN_level_ids!$A:$A,0),1)</f>
        <v>1199</v>
      </c>
      <c r="U694">
        <f>INDEX([1]IDEN_level_ids!$B:$B,MATCH(H694,[1]IDEN_level_ids!$A:$A,0),1)</f>
        <v>811</v>
      </c>
    </row>
    <row r="695" spans="1:21" hidden="1" x14ac:dyDescent="0.25">
      <c r="A695">
        <v>89346.277000000002</v>
      </c>
      <c r="B695">
        <v>1119.2408</v>
      </c>
      <c r="C695">
        <v>4</v>
      </c>
      <c r="D695" t="s">
        <v>296</v>
      </c>
      <c r="F695">
        <v>1969</v>
      </c>
      <c r="G695" s="1" t="s">
        <v>40</v>
      </c>
      <c r="H695" s="1" t="s">
        <v>184</v>
      </c>
      <c r="I695">
        <v>0</v>
      </c>
      <c r="J695">
        <v>89345.930900000007</v>
      </c>
      <c r="K695">
        <v>-4.3400000000000001E-3</v>
      </c>
      <c r="L695">
        <v>3.0699999999999998E-3</v>
      </c>
      <c r="M695">
        <v>0.245</v>
      </c>
      <c r="N695">
        <v>3.32E-2</v>
      </c>
      <c r="O695">
        <v>3.1700000000000001E-3</v>
      </c>
      <c r="P695" s="3">
        <f t="shared" si="40"/>
        <v>1119.2408162681472</v>
      </c>
      <c r="Q695" s="3">
        <f t="shared" si="41"/>
        <v>-4.3356115115784633E-3</v>
      </c>
      <c r="R695" s="3">
        <f t="shared" si="42"/>
        <v>3.0699999999999998E-3</v>
      </c>
      <c r="S695">
        <f t="shared" si="43"/>
        <v>10</v>
      </c>
      <c r="T695">
        <f>INDEX([1]IDEN_level_ids!$B:$B,MATCH(G695,[1]IDEN_level_ids!$A:$A,0),1)</f>
        <v>1199</v>
      </c>
      <c r="U695">
        <f>INDEX([1]IDEN_level_ids!$B:$B,MATCH(H695,[1]IDEN_level_ids!$A:$A,0),1)</f>
        <v>810</v>
      </c>
    </row>
    <row r="696" spans="1:21" hidden="1" x14ac:dyDescent="0.25">
      <c r="A696">
        <v>89327.991200000004</v>
      </c>
      <c r="B696">
        <v>1119.4699000000001</v>
      </c>
      <c r="C696">
        <v>4</v>
      </c>
      <c r="D696" t="s">
        <v>296</v>
      </c>
      <c r="F696">
        <v>1969</v>
      </c>
      <c r="G696" s="1" t="s">
        <v>194</v>
      </c>
      <c r="H696" s="1" t="s">
        <v>189</v>
      </c>
      <c r="I696">
        <v>0</v>
      </c>
      <c r="J696">
        <v>89327.500599999999</v>
      </c>
      <c r="K696">
        <v>-6.1500000000000001E-3</v>
      </c>
      <c r="L696">
        <v>3.0699999999999998E-3</v>
      </c>
      <c r="M696">
        <v>0.245</v>
      </c>
      <c r="N696">
        <v>2.2499999999999999E-2</v>
      </c>
      <c r="O696">
        <v>3.14E-3</v>
      </c>
      <c r="P696" s="3">
        <f t="shared" si="40"/>
        <v>1119.4699293764036</v>
      </c>
      <c r="Q696" s="3">
        <f t="shared" si="41"/>
        <v>-6.1482963662911061E-3</v>
      </c>
      <c r="R696" s="3">
        <f t="shared" si="42"/>
        <v>3.0699999999999998E-3</v>
      </c>
      <c r="S696">
        <f t="shared" si="43"/>
        <v>10</v>
      </c>
      <c r="T696">
        <f>INDEX([1]IDEN_level_ids!$B:$B,MATCH(G696,[1]IDEN_level_ids!$A:$A,0),1)</f>
        <v>1187</v>
      </c>
      <c r="U696">
        <f>INDEX([1]IDEN_level_ids!$B:$B,MATCH(H696,[1]IDEN_level_ids!$A:$A,0),1)</f>
        <v>789</v>
      </c>
    </row>
    <row r="697" spans="1:21" hidden="1" x14ac:dyDescent="0.25">
      <c r="A697">
        <v>89321.202099999995</v>
      </c>
      <c r="B697">
        <v>1119.5550000000001</v>
      </c>
      <c r="C697">
        <v>4</v>
      </c>
      <c r="D697" t="s">
        <v>296</v>
      </c>
      <c r="F697">
        <v>1969</v>
      </c>
      <c r="G697" s="1" t="s">
        <v>295</v>
      </c>
      <c r="H697" s="1" t="s">
        <v>113</v>
      </c>
      <c r="I697">
        <v>0</v>
      </c>
      <c r="J697">
        <v>89320.949399999998</v>
      </c>
      <c r="K697">
        <v>-3.1700000000000001E-3</v>
      </c>
      <c r="L697">
        <v>3.0699999999999998E-3</v>
      </c>
      <c r="M697">
        <v>0.245</v>
      </c>
      <c r="N697">
        <v>0.25779999999999997</v>
      </c>
      <c r="O697">
        <v>4.1399999999999996E-3</v>
      </c>
      <c r="P697" s="3">
        <f t="shared" si="40"/>
        <v>1119.5550177218227</v>
      </c>
      <c r="Q697" s="3">
        <f t="shared" si="41"/>
        <v>-3.1673594478434097E-3</v>
      </c>
      <c r="R697" s="3">
        <f t="shared" si="42"/>
        <v>3.0699999999999998E-3</v>
      </c>
      <c r="S697">
        <f t="shared" si="43"/>
        <v>10</v>
      </c>
      <c r="T697">
        <f>INDEX([1]IDEN_level_ids!$B:$B,MATCH(G697,[1]IDEN_level_ids!$A:$A,0),1)</f>
        <v>1152</v>
      </c>
      <c r="U697">
        <f>INDEX([1]IDEN_level_ids!$B:$B,MATCH(H697,[1]IDEN_level_ids!$A:$A,0),1)</f>
        <v>694</v>
      </c>
    </row>
    <row r="698" spans="1:21" hidden="1" x14ac:dyDescent="0.25">
      <c r="A698">
        <v>89309.797600000005</v>
      </c>
      <c r="B698">
        <v>1119.6980000000001</v>
      </c>
      <c r="C698">
        <v>4</v>
      </c>
      <c r="D698" t="s">
        <v>296</v>
      </c>
      <c r="F698">
        <v>1969</v>
      </c>
      <c r="G698" s="1" t="s">
        <v>71</v>
      </c>
      <c r="H698" s="1" t="s">
        <v>124</v>
      </c>
      <c r="I698">
        <v>0</v>
      </c>
      <c r="J698">
        <v>89309.4234</v>
      </c>
      <c r="K698">
        <v>-4.6899999999999997E-3</v>
      </c>
      <c r="L698">
        <v>3.0699999999999998E-3</v>
      </c>
      <c r="M698">
        <v>0.245</v>
      </c>
      <c r="N698">
        <v>1.83E-2</v>
      </c>
      <c r="O698">
        <v>3.13E-3</v>
      </c>
      <c r="P698" s="3">
        <f t="shared" si="40"/>
        <v>1119.697980370297</v>
      </c>
      <c r="Q698" s="3">
        <f t="shared" si="41"/>
        <v>-4.691453245413868E-3</v>
      </c>
      <c r="R698" s="3">
        <f t="shared" si="42"/>
        <v>3.0699999999999998E-3</v>
      </c>
      <c r="S698">
        <f t="shared" si="43"/>
        <v>10</v>
      </c>
      <c r="T698">
        <f>INDEX([1]IDEN_level_ids!$B:$B,MATCH(G698,[1]IDEN_level_ids!$A:$A,0),1)</f>
        <v>1179</v>
      </c>
      <c r="U698">
        <f>INDEX([1]IDEN_level_ids!$B:$B,MATCH(H698,[1]IDEN_level_ids!$A:$A,0),1)</f>
        <v>776</v>
      </c>
    </row>
    <row r="699" spans="1:21" hidden="1" x14ac:dyDescent="0.25">
      <c r="A699">
        <v>89261.803</v>
      </c>
      <c r="B699">
        <v>1120.3</v>
      </c>
      <c r="C699">
        <v>4</v>
      </c>
      <c r="D699" t="s">
        <v>296</v>
      </c>
      <c r="F699">
        <v>1969</v>
      </c>
      <c r="G699" s="1" t="s">
        <v>81</v>
      </c>
      <c r="H699" s="1" t="s">
        <v>165</v>
      </c>
      <c r="I699">
        <v>0</v>
      </c>
      <c r="J699">
        <v>89261.525299999994</v>
      </c>
      <c r="K699">
        <v>-3.49E-3</v>
      </c>
      <c r="L699">
        <v>3.0699999999999998E-3</v>
      </c>
      <c r="M699">
        <v>0.245</v>
      </c>
      <c r="N699">
        <v>2.64E-2</v>
      </c>
      <c r="O699">
        <v>3.16E-3</v>
      </c>
      <c r="P699" s="3">
        <f t="shared" si="40"/>
        <v>1120.3000235162178</v>
      </c>
      <c r="Q699" s="3">
        <f t="shared" si="41"/>
        <v>-3.4853461834245536E-3</v>
      </c>
      <c r="R699" s="3">
        <f t="shared" si="42"/>
        <v>3.0699999999999998E-3</v>
      </c>
      <c r="S699">
        <f t="shared" si="43"/>
        <v>10</v>
      </c>
      <c r="T699">
        <f>INDEX([1]IDEN_level_ids!$B:$B,MATCH(G699,[1]IDEN_level_ids!$A:$A,0),1)</f>
        <v>1196</v>
      </c>
      <c r="U699">
        <f>INDEX([1]IDEN_level_ids!$B:$B,MATCH(H699,[1]IDEN_level_ids!$A:$A,0),1)</f>
        <v>802</v>
      </c>
    </row>
    <row r="700" spans="1:21" hidden="1" x14ac:dyDescent="0.25">
      <c r="A700">
        <v>89248.811900000001</v>
      </c>
      <c r="B700">
        <v>1120.4630999999999</v>
      </c>
      <c r="C700">
        <v>4</v>
      </c>
      <c r="D700" t="s">
        <v>296</v>
      </c>
      <c r="F700">
        <v>1969</v>
      </c>
      <c r="G700" s="1" t="s">
        <v>86</v>
      </c>
      <c r="H700" s="1" t="s">
        <v>201</v>
      </c>
      <c r="I700">
        <v>0</v>
      </c>
      <c r="J700">
        <v>89248.514299999995</v>
      </c>
      <c r="K700">
        <v>-3.7399999999999998E-3</v>
      </c>
      <c r="L700">
        <v>3.0799999999999998E-3</v>
      </c>
      <c r="M700">
        <v>0.245</v>
      </c>
      <c r="N700">
        <v>7.6399999999999996E-2</v>
      </c>
      <c r="O700">
        <v>3.3300000000000001E-3</v>
      </c>
      <c r="P700" s="3">
        <f t="shared" si="40"/>
        <v>1120.4630949266452</v>
      </c>
      <c r="Q700" s="3">
        <f t="shared" si="41"/>
        <v>-3.7361945985594502E-3</v>
      </c>
      <c r="R700" s="3">
        <f t="shared" si="42"/>
        <v>3.0799999999999998E-3</v>
      </c>
      <c r="S700">
        <f t="shared" si="43"/>
        <v>10</v>
      </c>
      <c r="T700">
        <f>INDEX([1]IDEN_level_ids!$B:$B,MATCH(G700,[1]IDEN_level_ids!$A:$A,0),1)</f>
        <v>1183</v>
      </c>
      <c r="U700">
        <f>INDEX([1]IDEN_level_ids!$B:$B,MATCH(H700,[1]IDEN_level_ids!$A:$A,0),1)</f>
        <v>788</v>
      </c>
    </row>
    <row r="701" spans="1:21" hidden="1" x14ac:dyDescent="0.25">
      <c r="A701">
        <v>89239.724400000006</v>
      </c>
      <c r="B701">
        <v>1120.5771999999999</v>
      </c>
      <c r="C701">
        <v>4</v>
      </c>
      <c r="D701" t="s">
        <v>296</v>
      </c>
      <c r="F701">
        <v>1969</v>
      </c>
      <c r="G701" s="1" t="s">
        <v>85</v>
      </c>
      <c r="H701" s="1" t="s">
        <v>133</v>
      </c>
      <c r="I701">
        <v>0</v>
      </c>
      <c r="J701">
        <v>89239.401299999998</v>
      </c>
      <c r="K701">
        <v>-4.0600000000000002E-3</v>
      </c>
      <c r="L701">
        <v>3.0799999999999998E-3</v>
      </c>
      <c r="M701">
        <v>0.245</v>
      </c>
      <c r="N701">
        <v>2.01E-2</v>
      </c>
      <c r="O701">
        <v>3.14E-3</v>
      </c>
      <c r="P701" s="3">
        <f t="shared" si="40"/>
        <v>1120.5771944315866</v>
      </c>
      <c r="Q701" s="3">
        <f t="shared" si="41"/>
        <v>-4.0571595757228351E-3</v>
      </c>
      <c r="R701" s="3">
        <f t="shared" si="42"/>
        <v>3.0799999999999998E-3</v>
      </c>
      <c r="S701">
        <f t="shared" si="43"/>
        <v>10</v>
      </c>
      <c r="T701">
        <f>INDEX([1]IDEN_level_ids!$B:$B,MATCH(G701,[1]IDEN_level_ids!$A:$A,0),1)</f>
        <v>1168</v>
      </c>
      <c r="U701">
        <f>INDEX([1]IDEN_level_ids!$B:$B,MATCH(H701,[1]IDEN_level_ids!$A:$A,0),1)</f>
        <v>765</v>
      </c>
    </row>
    <row r="702" spans="1:21" hidden="1" x14ac:dyDescent="0.25">
      <c r="A702">
        <v>89229.392800000001</v>
      </c>
      <c r="B702">
        <v>1120.7068999999999</v>
      </c>
      <c r="C702">
        <v>4</v>
      </c>
      <c r="D702" t="s">
        <v>296</v>
      </c>
      <c r="F702">
        <v>1969</v>
      </c>
      <c r="G702" s="1" t="s">
        <v>245</v>
      </c>
      <c r="H702" s="1" t="s">
        <v>131</v>
      </c>
      <c r="I702">
        <v>0</v>
      </c>
      <c r="J702">
        <v>89229.214200000002</v>
      </c>
      <c r="K702">
        <v>-2.2399999999999998E-3</v>
      </c>
      <c r="L702">
        <v>3.0799999999999998E-3</v>
      </c>
      <c r="M702">
        <v>0.245</v>
      </c>
      <c r="N702">
        <v>2.9700000000000001E-2</v>
      </c>
      <c r="O702">
        <v>3.1700000000000001E-3</v>
      </c>
      <c r="P702" s="3">
        <f t="shared" si="40"/>
        <v>1120.7069426566802</v>
      </c>
      <c r="Q702" s="3">
        <f t="shared" si="41"/>
        <v>-2.2431920056078525E-3</v>
      </c>
      <c r="R702" s="3">
        <f t="shared" si="42"/>
        <v>3.0799999999999998E-3</v>
      </c>
      <c r="S702">
        <f t="shared" si="43"/>
        <v>10</v>
      </c>
      <c r="T702">
        <f>INDEX([1]IDEN_level_ids!$B:$B,MATCH(G702,[1]IDEN_level_ids!$A:$A,0),1)</f>
        <v>1169</v>
      </c>
      <c r="U702">
        <f>INDEX([1]IDEN_level_ids!$B:$B,MATCH(H702,[1]IDEN_level_ids!$A:$A,0),1)</f>
        <v>764</v>
      </c>
    </row>
    <row r="703" spans="1:21" hidden="1" x14ac:dyDescent="0.25">
      <c r="A703">
        <v>89170.107099999994</v>
      </c>
      <c r="B703">
        <v>1121.4521</v>
      </c>
      <c r="C703">
        <v>4</v>
      </c>
      <c r="D703" t="s">
        <v>296</v>
      </c>
      <c r="F703">
        <v>1969</v>
      </c>
      <c r="G703" s="1" t="s">
        <v>207</v>
      </c>
      <c r="H703" s="1" t="s">
        <v>198</v>
      </c>
      <c r="I703">
        <v>0</v>
      </c>
      <c r="J703">
        <v>89169.679499999998</v>
      </c>
      <c r="K703">
        <v>-5.3800000000000002E-3</v>
      </c>
      <c r="L703">
        <v>3.0799999999999998E-3</v>
      </c>
      <c r="M703">
        <v>0.245</v>
      </c>
      <c r="N703">
        <v>2.1700000000000001E-2</v>
      </c>
      <c r="O703">
        <v>3.15E-3</v>
      </c>
      <c r="P703" s="3">
        <f t="shared" si="40"/>
        <v>1121.4520566612621</v>
      </c>
      <c r="Q703" s="3">
        <f t="shared" si="41"/>
        <v>-5.377757350970569E-3</v>
      </c>
      <c r="R703" s="3">
        <f t="shared" si="42"/>
        <v>3.0799999999999998E-3</v>
      </c>
      <c r="S703">
        <f t="shared" si="43"/>
        <v>10</v>
      </c>
      <c r="T703">
        <f>INDEX([1]IDEN_level_ids!$B:$B,MATCH(G703,[1]IDEN_level_ids!$A:$A,0),1)</f>
        <v>1177</v>
      </c>
      <c r="U703">
        <f>INDEX([1]IDEN_level_ids!$B:$B,MATCH(H703,[1]IDEN_level_ids!$A:$A,0),1)</f>
        <v>780</v>
      </c>
    </row>
    <row r="704" spans="1:21" hidden="1" x14ac:dyDescent="0.25">
      <c r="A704">
        <v>89126.176999999996</v>
      </c>
      <c r="B704">
        <v>1122.0047999999999</v>
      </c>
      <c r="C704">
        <v>4</v>
      </c>
      <c r="D704" t="s">
        <v>296</v>
      </c>
      <c r="F704">
        <v>1969</v>
      </c>
      <c r="G704" s="1" t="s">
        <v>297</v>
      </c>
      <c r="H704" s="1" t="s">
        <v>54</v>
      </c>
      <c r="I704">
        <v>0</v>
      </c>
      <c r="J704">
        <v>89126.172300000006</v>
      </c>
      <c r="K704">
        <v>-6.0000000000000002E-5</v>
      </c>
      <c r="L704">
        <v>3.0799999999999998E-3</v>
      </c>
      <c r="M704">
        <v>0.245</v>
      </c>
      <c r="N704">
        <v>0.21160000000000001</v>
      </c>
      <c r="O704">
        <v>3.9100000000000003E-3</v>
      </c>
      <c r="P704" s="3">
        <f t="shared" si="40"/>
        <v>1122.0048179560085</v>
      </c>
      <c r="Q704" s="3">
        <f t="shared" si="41"/>
        <v>-5.916805935157754E-5</v>
      </c>
      <c r="R704" s="3">
        <f t="shared" si="42"/>
        <v>3.0799999999999998E-3</v>
      </c>
      <c r="S704">
        <f t="shared" si="43"/>
        <v>10</v>
      </c>
      <c r="T704">
        <f>INDEX([1]IDEN_level_ids!$B:$B,MATCH(G704,[1]IDEN_level_ids!$A:$A,0),1)</f>
        <v>1099</v>
      </c>
      <c r="U704">
        <f>INDEX([1]IDEN_level_ids!$B:$B,MATCH(H704,[1]IDEN_level_ids!$A:$A,0),1)</f>
        <v>394</v>
      </c>
    </row>
    <row r="705" spans="1:21" hidden="1" x14ac:dyDescent="0.25">
      <c r="A705">
        <v>89095.904999999999</v>
      </c>
      <c r="B705">
        <v>1122.386</v>
      </c>
      <c r="C705">
        <v>4</v>
      </c>
      <c r="D705" t="s">
        <v>296</v>
      </c>
      <c r="F705">
        <v>1969</v>
      </c>
      <c r="G705" s="1" t="s">
        <v>207</v>
      </c>
      <c r="H705" s="1" t="s">
        <v>202</v>
      </c>
      <c r="I705">
        <v>0</v>
      </c>
      <c r="J705">
        <v>89095.554600000003</v>
      </c>
      <c r="K705">
        <v>-4.4099999999999999E-3</v>
      </c>
      <c r="L705">
        <v>3.0899999999999999E-3</v>
      </c>
      <c r="M705">
        <v>0.245</v>
      </c>
      <c r="N705">
        <v>3.9399999999999998E-2</v>
      </c>
      <c r="O705">
        <v>3.2100000000000002E-3</v>
      </c>
      <c r="P705" s="3">
        <f t="shared" si="40"/>
        <v>1122.3860400767016</v>
      </c>
      <c r="Q705" s="3">
        <f t="shared" si="41"/>
        <v>-4.4141828423107654E-3</v>
      </c>
      <c r="R705" s="3">
        <f t="shared" si="42"/>
        <v>3.0899999999999999E-3</v>
      </c>
      <c r="S705">
        <f t="shared" si="43"/>
        <v>10</v>
      </c>
      <c r="T705">
        <f>INDEX([1]IDEN_level_ids!$B:$B,MATCH(G705,[1]IDEN_level_ids!$A:$A,0),1)</f>
        <v>1177</v>
      </c>
      <c r="U705">
        <f>INDEX([1]IDEN_level_ids!$B:$B,MATCH(H705,[1]IDEN_level_ids!$A:$A,0),1)</f>
        <v>781</v>
      </c>
    </row>
    <row r="706" spans="1:21" hidden="1" x14ac:dyDescent="0.25">
      <c r="A706">
        <v>89062.811499999996</v>
      </c>
      <c r="B706">
        <v>1122.8031000000001</v>
      </c>
      <c r="C706">
        <v>4</v>
      </c>
      <c r="D706" t="s">
        <v>296</v>
      </c>
      <c r="F706">
        <v>1969</v>
      </c>
      <c r="G706" s="1" t="s">
        <v>297</v>
      </c>
      <c r="H706" s="1" t="s">
        <v>70</v>
      </c>
      <c r="I706">
        <v>0</v>
      </c>
      <c r="J706">
        <v>89062.713199999998</v>
      </c>
      <c r="K706">
        <v>-1.24E-3</v>
      </c>
      <c r="L706">
        <v>3.0899999999999999E-3</v>
      </c>
      <c r="M706">
        <v>0.245</v>
      </c>
      <c r="N706">
        <v>0.25669999999999998</v>
      </c>
      <c r="O706">
        <v>4.1599999999999996E-3</v>
      </c>
      <c r="P706" s="3">
        <f t="shared" ref="P706:P769" si="44">100000000/$A706</f>
        <v>1122.8030904908051</v>
      </c>
      <c r="Q706" s="3">
        <f t="shared" ref="Q706:Q769" si="45">100000000/($A706)-100000000/$J706</f>
        <v>-1.2392564724450494E-3</v>
      </c>
      <c r="R706" s="3">
        <f t="shared" si="42"/>
        <v>3.0899999999999999E-3</v>
      </c>
      <c r="S706">
        <f t="shared" si="43"/>
        <v>10</v>
      </c>
      <c r="T706">
        <f>INDEX([1]IDEN_level_ids!$B:$B,MATCH(G706,[1]IDEN_level_ids!$A:$A,0),1)</f>
        <v>1099</v>
      </c>
      <c r="U706">
        <f>INDEX([1]IDEN_level_ids!$B:$B,MATCH(H706,[1]IDEN_level_ids!$A:$A,0),1)</f>
        <v>399</v>
      </c>
    </row>
    <row r="707" spans="1:21" hidden="1" x14ac:dyDescent="0.25">
      <c r="A707">
        <v>89039.017500000002</v>
      </c>
      <c r="B707">
        <v>1123.1031</v>
      </c>
      <c r="C707">
        <v>4</v>
      </c>
      <c r="D707" t="s">
        <v>296</v>
      </c>
      <c r="F707">
        <v>1969</v>
      </c>
      <c r="G707" s="1" t="s">
        <v>38</v>
      </c>
      <c r="H707" s="1" t="s">
        <v>234</v>
      </c>
      <c r="I707">
        <v>0</v>
      </c>
      <c r="J707">
        <v>89038.657900000006</v>
      </c>
      <c r="K707">
        <v>-4.5399999999999998E-3</v>
      </c>
      <c r="L707">
        <v>3.0899999999999999E-3</v>
      </c>
      <c r="M707">
        <v>0.245</v>
      </c>
      <c r="N707">
        <v>3.6400000000000002E-2</v>
      </c>
      <c r="O707">
        <v>3.2100000000000002E-3</v>
      </c>
      <c r="P707" s="3">
        <f t="shared" si="44"/>
        <v>1123.1031384639884</v>
      </c>
      <c r="Q707" s="3">
        <f t="shared" si="45"/>
        <v>-4.535871250936907E-3</v>
      </c>
      <c r="R707" s="3">
        <f t="shared" ref="R707:R770" si="46">$L707</f>
        <v>3.0899999999999999E-3</v>
      </c>
      <c r="S707">
        <f t="shared" si="43"/>
        <v>10</v>
      </c>
      <c r="T707">
        <f>INDEX([1]IDEN_level_ids!$B:$B,MATCH(G707,[1]IDEN_level_ids!$A:$A,0),1)</f>
        <v>1201</v>
      </c>
      <c r="U707">
        <f>INDEX([1]IDEN_level_ids!$B:$B,MATCH(H707,[1]IDEN_level_ids!$A:$A,0),1)</f>
        <v>818</v>
      </c>
    </row>
    <row r="708" spans="1:21" hidden="1" x14ac:dyDescent="0.25">
      <c r="A708">
        <v>88995.913100000005</v>
      </c>
      <c r="B708">
        <v>1123.6470999999999</v>
      </c>
      <c r="C708">
        <v>4</v>
      </c>
      <c r="D708" t="s">
        <v>296</v>
      </c>
      <c r="F708">
        <v>1969</v>
      </c>
      <c r="G708" s="1" t="s">
        <v>86</v>
      </c>
      <c r="H708" s="1" t="s">
        <v>179</v>
      </c>
      <c r="I708">
        <v>0</v>
      </c>
      <c r="J708">
        <v>88995.3894</v>
      </c>
      <c r="K708">
        <v>-6.6100000000000004E-3</v>
      </c>
      <c r="L708">
        <v>3.0899999999999999E-3</v>
      </c>
      <c r="M708">
        <v>0.245</v>
      </c>
      <c r="N708">
        <v>2.3199999999999998E-2</v>
      </c>
      <c r="O708">
        <v>3.1700000000000001E-3</v>
      </c>
      <c r="P708" s="3">
        <f t="shared" si="44"/>
        <v>1123.6471037454864</v>
      </c>
      <c r="Q708" s="3">
        <f t="shared" si="45"/>
        <v>-6.6121851052685088E-3</v>
      </c>
      <c r="R708" s="3">
        <f t="shared" si="46"/>
        <v>3.0899999999999999E-3</v>
      </c>
      <c r="S708">
        <f t="shared" ref="S708:S771" si="47">IF(D708=D707,S707,S707+1)</f>
        <v>10</v>
      </c>
      <c r="T708">
        <f>INDEX([1]IDEN_level_ids!$B:$B,MATCH(G708,[1]IDEN_level_ids!$A:$A,0),1)</f>
        <v>1183</v>
      </c>
      <c r="U708">
        <f>INDEX([1]IDEN_level_ids!$B:$B,MATCH(H708,[1]IDEN_level_ids!$A:$A,0),1)</f>
        <v>791</v>
      </c>
    </row>
    <row r="709" spans="1:21" hidden="1" x14ac:dyDescent="0.25">
      <c r="A709">
        <v>88991.093999999997</v>
      </c>
      <c r="B709">
        <v>1123.7080000000001</v>
      </c>
      <c r="C709">
        <v>4</v>
      </c>
      <c r="D709" t="s">
        <v>296</v>
      </c>
      <c r="F709">
        <v>1969</v>
      </c>
      <c r="G709" s="1" t="s">
        <v>244</v>
      </c>
      <c r="H709" s="1" t="s">
        <v>303</v>
      </c>
      <c r="I709">
        <v>0</v>
      </c>
      <c r="J709">
        <v>88990.861099999995</v>
      </c>
      <c r="K709">
        <v>-2.9399999999999999E-3</v>
      </c>
      <c r="L709">
        <v>3.0899999999999999E-3</v>
      </c>
      <c r="M709">
        <v>0.245</v>
      </c>
      <c r="N709">
        <v>6.3399999999999998E-2</v>
      </c>
      <c r="O709">
        <v>3.3E-3</v>
      </c>
      <c r="P709" s="3">
        <f t="shared" si="44"/>
        <v>1123.7079521687867</v>
      </c>
      <c r="Q709" s="3">
        <f t="shared" si="45"/>
        <v>-2.940881556014574E-3</v>
      </c>
      <c r="R709" s="3">
        <f t="shared" si="46"/>
        <v>3.0899999999999999E-3</v>
      </c>
      <c r="S709">
        <f t="shared" si="47"/>
        <v>10</v>
      </c>
      <c r="T709">
        <f>INDEX([1]IDEN_level_ids!$B:$B,MATCH(G709,[1]IDEN_level_ids!$A:$A,0),1)</f>
        <v>1195</v>
      </c>
      <c r="U709">
        <f>INDEX([1]IDEN_level_ids!$B:$B,MATCH(H709,[1]IDEN_level_ids!$A:$A,0),1)</f>
        <v>805</v>
      </c>
    </row>
    <row r="710" spans="1:21" hidden="1" x14ac:dyDescent="0.25">
      <c r="A710">
        <v>88974.302599999995</v>
      </c>
      <c r="B710">
        <v>1123.92</v>
      </c>
      <c r="C710">
        <v>4</v>
      </c>
      <c r="D710" t="s">
        <v>296</v>
      </c>
      <c r="F710">
        <v>1969</v>
      </c>
      <c r="G710" s="1" t="s">
        <v>238</v>
      </c>
      <c r="H710" s="1" t="s">
        <v>192</v>
      </c>
      <c r="I710">
        <v>0</v>
      </c>
      <c r="J710">
        <v>88973.883900000001</v>
      </c>
      <c r="K710">
        <v>-5.2900000000000004E-3</v>
      </c>
      <c r="L710">
        <v>3.0899999999999999E-3</v>
      </c>
      <c r="M710">
        <v>0.245</v>
      </c>
      <c r="N710">
        <v>2.4500000000000001E-2</v>
      </c>
      <c r="O710">
        <v>3.1700000000000001E-3</v>
      </c>
      <c r="P710" s="3">
        <f t="shared" si="44"/>
        <v>1123.9200204756648</v>
      </c>
      <c r="Q710" s="3">
        <f t="shared" si="45"/>
        <v>-5.2890274307628715E-3</v>
      </c>
      <c r="R710" s="3">
        <f t="shared" si="46"/>
        <v>3.0899999999999999E-3</v>
      </c>
      <c r="S710">
        <f t="shared" si="47"/>
        <v>10</v>
      </c>
      <c r="T710">
        <f>INDEX([1]IDEN_level_ids!$B:$B,MATCH(G710,[1]IDEN_level_ids!$A:$A,0),1)</f>
        <v>1165</v>
      </c>
      <c r="U710">
        <f>INDEX([1]IDEN_level_ids!$B:$B,MATCH(H710,[1]IDEN_level_ids!$A:$A,0),1)</f>
        <v>762</v>
      </c>
    </row>
    <row r="711" spans="1:21" hidden="1" x14ac:dyDescent="0.25">
      <c r="A711">
        <v>88966.877500000002</v>
      </c>
      <c r="B711">
        <v>1124.0137999999999</v>
      </c>
      <c r="C711">
        <v>4</v>
      </c>
      <c r="D711" t="s">
        <v>296</v>
      </c>
      <c r="F711">
        <v>1969</v>
      </c>
      <c r="G711" s="1" t="s">
        <v>82</v>
      </c>
      <c r="H711" s="1" t="s">
        <v>222</v>
      </c>
      <c r="I711">
        <v>0</v>
      </c>
      <c r="J711">
        <v>88966.866800000003</v>
      </c>
      <c r="K711">
        <v>-1.2999999999999999E-4</v>
      </c>
      <c r="L711">
        <v>3.0999999999999999E-3</v>
      </c>
      <c r="M711">
        <v>0.245</v>
      </c>
      <c r="N711">
        <v>2.76E-2</v>
      </c>
      <c r="O711">
        <v>3.1800000000000001E-3</v>
      </c>
      <c r="P711" s="3">
        <f t="shared" si="44"/>
        <v>1124.0138218855664</v>
      </c>
      <c r="Q711" s="3">
        <f t="shared" si="45"/>
        <v>-1.3518457285499608E-4</v>
      </c>
      <c r="R711" s="3">
        <f t="shared" si="46"/>
        <v>3.0999999999999999E-3</v>
      </c>
      <c r="S711">
        <f t="shared" si="47"/>
        <v>10</v>
      </c>
      <c r="T711">
        <f>INDEX([1]IDEN_level_ids!$B:$B,MATCH(G711,[1]IDEN_level_ids!$A:$A,0),1)</f>
        <v>1193</v>
      </c>
      <c r="U711">
        <f>INDEX([1]IDEN_level_ids!$B:$B,MATCH(H711,[1]IDEN_level_ids!$A:$A,0),1)</f>
        <v>800</v>
      </c>
    </row>
    <row r="712" spans="1:21" hidden="1" x14ac:dyDescent="0.25">
      <c r="A712">
        <v>88915.117700000003</v>
      </c>
      <c r="B712">
        <v>1124.6681000000001</v>
      </c>
      <c r="C712">
        <v>4</v>
      </c>
      <c r="D712" t="s">
        <v>296</v>
      </c>
      <c r="F712">
        <v>1969</v>
      </c>
      <c r="G712" s="1" t="s">
        <v>193</v>
      </c>
      <c r="H712" s="1" t="s">
        <v>234</v>
      </c>
      <c r="I712">
        <v>0</v>
      </c>
      <c r="J712">
        <v>88914.729099999997</v>
      </c>
      <c r="K712">
        <v>-4.9199999999999999E-3</v>
      </c>
      <c r="L712">
        <v>3.0999999999999999E-3</v>
      </c>
      <c r="M712">
        <v>0.245</v>
      </c>
      <c r="N712">
        <v>3.7400000000000003E-2</v>
      </c>
      <c r="O712">
        <v>3.2200000000000002E-3</v>
      </c>
      <c r="P712" s="3">
        <f t="shared" si="44"/>
        <v>1124.6681395328119</v>
      </c>
      <c r="Q712" s="3">
        <f t="shared" si="45"/>
        <v>-4.9153390384617524E-3</v>
      </c>
      <c r="R712" s="3">
        <f t="shared" si="46"/>
        <v>3.0999999999999999E-3</v>
      </c>
      <c r="S712">
        <f t="shared" si="47"/>
        <v>10</v>
      </c>
      <c r="T712">
        <f>INDEX([1]IDEN_level_ids!$B:$B,MATCH(G712,[1]IDEN_level_ids!$A:$A,0),1)</f>
        <v>1202</v>
      </c>
      <c r="U712">
        <f>INDEX([1]IDEN_level_ids!$B:$B,MATCH(H712,[1]IDEN_level_ids!$A:$A,0),1)</f>
        <v>818</v>
      </c>
    </row>
    <row r="713" spans="1:21" hidden="1" x14ac:dyDescent="0.25">
      <c r="A713">
        <v>88860.829800000007</v>
      </c>
      <c r="B713">
        <v>1125.3552</v>
      </c>
      <c r="C713">
        <v>4</v>
      </c>
      <c r="D713" t="s">
        <v>305</v>
      </c>
      <c r="F713">
        <v>1969</v>
      </c>
      <c r="G713" s="1" t="s">
        <v>73</v>
      </c>
      <c r="H713" s="1" t="s">
        <v>123</v>
      </c>
      <c r="I713">
        <v>0</v>
      </c>
      <c r="J713">
        <v>88860.816099999996</v>
      </c>
      <c r="K713">
        <v>-1.7000000000000001E-4</v>
      </c>
      <c r="L713">
        <v>3.0999999999999999E-3</v>
      </c>
      <c r="M713">
        <v>0.245</v>
      </c>
      <c r="N713">
        <v>2.1100000000000001E-2</v>
      </c>
      <c r="O713">
        <v>3.1700000000000001E-3</v>
      </c>
      <c r="P713" s="3">
        <f t="shared" si="44"/>
        <v>1125.3552349789106</v>
      </c>
      <c r="Q713" s="3">
        <f t="shared" si="45"/>
        <v>-1.7350017037642829E-4</v>
      </c>
      <c r="R713" s="3">
        <f t="shared" si="46"/>
        <v>3.0999999999999999E-3</v>
      </c>
      <c r="S713">
        <f t="shared" si="47"/>
        <v>11</v>
      </c>
      <c r="T713">
        <f>INDEX([1]IDEN_level_ids!$B:$B,MATCH(G713,[1]IDEN_level_ids!$A:$A,0),1)</f>
        <v>1173</v>
      </c>
      <c r="U713">
        <f>INDEX([1]IDEN_level_ids!$B:$B,MATCH(H713,[1]IDEN_level_ids!$A:$A,0),1)</f>
        <v>775</v>
      </c>
    </row>
    <row r="714" spans="1:21" hidden="1" x14ac:dyDescent="0.25">
      <c r="A714">
        <v>88853.987200000003</v>
      </c>
      <c r="B714">
        <v>1125.4419</v>
      </c>
      <c r="C714">
        <v>4</v>
      </c>
      <c r="D714" t="s">
        <v>305</v>
      </c>
      <c r="F714">
        <v>1969</v>
      </c>
      <c r="G714" s="1" t="s">
        <v>141</v>
      </c>
      <c r="H714" s="1" t="s">
        <v>98</v>
      </c>
      <c r="I714">
        <v>0</v>
      </c>
      <c r="J714">
        <v>88853.843200000003</v>
      </c>
      <c r="K714">
        <v>-1.82E-3</v>
      </c>
      <c r="L714">
        <v>3.0999999999999999E-3</v>
      </c>
      <c r="M714">
        <v>0.245</v>
      </c>
      <c r="N714">
        <v>0.1206</v>
      </c>
      <c r="O714">
        <v>3.5300000000000002E-3</v>
      </c>
      <c r="P714" s="3">
        <f t="shared" si="44"/>
        <v>1125.4418980086016</v>
      </c>
      <c r="Q714" s="3">
        <f t="shared" si="45"/>
        <v>-1.823934986759923E-3</v>
      </c>
      <c r="R714" s="3">
        <f t="shared" si="46"/>
        <v>3.0999999999999999E-3</v>
      </c>
      <c r="S714">
        <f t="shared" si="47"/>
        <v>11</v>
      </c>
      <c r="T714">
        <f>INDEX([1]IDEN_level_ids!$B:$B,MATCH(G714,[1]IDEN_level_ids!$A:$A,0),1)</f>
        <v>1155</v>
      </c>
      <c r="U714">
        <f>INDEX([1]IDEN_level_ids!$B:$B,MATCH(H714,[1]IDEN_level_ids!$A:$A,0),1)</f>
        <v>722</v>
      </c>
    </row>
    <row r="715" spans="1:21" hidden="1" x14ac:dyDescent="0.25">
      <c r="A715">
        <v>88841.813800000004</v>
      </c>
      <c r="B715">
        <v>1125.5961</v>
      </c>
      <c r="C715">
        <v>4</v>
      </c>
      <c r="D715" t="s">
        <v>305</v>
      </c>
      <c r="F715">
        <v>1969</v>
      </c>
      <c r="G715" s="1" t="s">
        <v>81</v>
      </c>
      <c r="H715" s="1" t="s">
        <v>226</v>
      </c>
      <c r="I715">
        <v>0</v>
      </c>
      <c r="J715">
        <v>88841.486900000004</v>
      </c>
      <c r="K715">
        <v>-4.1399999999999996E-3</v>
      </c>
      <c r="L715">
        <v>3.0999999999999999E-3</v>
      </c>
      <c r="M715">
        <v>0.245</v>
      </c>
      <c r="N715">
        <v>3.5700000000000003E-2</v>
      </c>
      <c r="O715">
        <v>3.2200000000000002E-3</v>
      </c>
      <c r="P715" s="3">
        <f t="shared" si="44"/>
        <v>1125.5961097903653</v>
      </c>
      <c r="Q715" s="3">
        <f t="shared" si="45"/>
        <v>-4.1417290631216019E-3</v>
      </c>
      <c r="R715" s="3">
        <f t="shared" si="46"/>
        <v>3.0999999999999999E-3</v>
      </c>
      <c r="S715">
        <f t="shared" si="47"/>
        <v>11</v>
      </c>
      <c r="T715">
        <f>INDEX([1]IDEN_level_ids!$B:$B,MATCH(G715,[1]IDEN_level_ids!$A:$A,0),1)</f>
        <v>1196</v>
      </c>
      <c r="U715">
        <f>INDEX([1]IDEN_level_ids!$B:$B,MATCH(H715,[1]IDEN_level_ids!$A:$A,0),1)</f>
        <v>811</v>
      </c>
    </row>
    <row r="716" spans="1:21" hidden="1" x14ac:dyDescent="0.25">
      <c r="A716">
        <v>88831.625799999994</v>
      </c>
      <c r="B716">
        <v>1125.7252000000001</v>
      </c>
      <c r="C716">
        <v>4</v>
      </c>
      <c r="D716" t="s">
        <v>305</v>
      </c>
      <c r="F716">
        <v>1969</v>
      </c>
      <c r="G716" s="1" t="s">
        <v>299</v>
      </c>
      <c r="H716" s="1" t="s">
        <v>213</v>
      </c>
      <c r="I716">
        <v>0</v>
      </c>
      <c r="J716">
        <v>88831.5579</v>
      </c>
      <c r="K716">
        <v>-8.5999999999999998E-4</v>
      </c>
      <c r="L716">
        <v>3.0999999999999999E-3</v>
      </c>
      <c r="M716">
        <v>0.245</v>
      </c>
      <c r="N716">
        <v>0.50439999999999996</v>
      </c>
      <c r="O716">
        <v>6.2599999999999999E-3</v>
      </c>
      <c r="P716" s="3">
        <f t="shared" si="44"/>
        <v>1125.7252031516912</v>
      </c>
      <c r="Q716" s="3">
        <f t="shared" si="45"/>
        <v>-8.6046831870589813E-4</v>
      </c>
      <c r="R716" s="3">
        <f t="shared" si="46"/>
        <v>3.0999999999999999E-3</v>
      </c>
      <c r="S716">
        <f t="shared" si="47"/>
        <v>11</v>
      </c>
      <c r="T716">
        <f>INDEX([1]IDEN_level_ids!$B:$B,MATCH(G716,[1]IDEN_level_ids!$A:$A,0),1)</f>
        <v>1101</v>
      </c>
      <c r="U716">
        <f>INDEX([1]IDEN_level_ids!$B:$B,MATCH(H716,[1]IDEN_level_ids!$A:$A,0),1)</f>
        <v>464</v>
      </c>
    </row>
    <row r="717" spans="1:21" hidden="1" x14ac:dyDescent="0.25">
      <c r="A717">
        <v>88818.217900000003</v>
      </c>
      <c r="B717">
        <v>1125.8951</v>
      </c>
      <c r="C717">
        <v>4</v>
      </c>
      <c r="D717" t="s">
        <v>305</v>
      </c>
      <c r="F717">
        <v>1969</v>
      </c>
      <c r="G717" s="1" t="s">
        <v>85</v>
      </c>
      <c r="H717" s="1" t="s">
        <v>150</v>
      </c>
      <c r="I717">
        <v>0</v>
      </c>
      <c r="J717">
        <v>88817.841799999995</v>
      </c>
      <c r="K717">
        <v>-4.7699999999999999E-3</v>
      </c>
      <c r="L717">
        <v>3.1099999999999999E-3</v>
      </c>
      <c r="M717">
        <v>0.245</v>
      </c>
      <c r="N717">
        <v>2.5000000000000001E-2</v>
      </c>
      <c r="O717">
        <v>3.1900000000000001E-3</v>
      </c>
      <c r="P717" s="3">
        <f t="shared" si="44"/>
        <v>1125.8951413840516</v>
      </c>
      <c r="Q717" s="3">
        <f t="shared" si="45"/>
        <v>-4.7676137371581717E-3</v>
      </c>
      <c r="R717" s="3">
        <f t="shared" si="46"/>
        <v>3.1099999999999999E-3</v>
      </c>
      <c r="S717">
        <f t="shared" si="47"/>
        <v>11</v>
      </c>
      <c r="T717">
        <f>INDEX([1]IDEN_level_ids!$B:$B,MATCH(G717,[1]IDEN_level_ids!$A:$A,0),1)</f>
        <v>1168</v>
      </c>
      <c r="U717">
        <f>INDEX([1]IDEN_level_ids!$B:$B,MATCH(H717,[1]IDEN_level_ids!$A:$A,0),1)</f>
        <v>769</v>
      </c>
    </row>
    <row r="718" spans="1:21" hidden="1" x14ac:dyDescent="0.25">
      <c r="A718">
        <v>88787.706399999995</v>
      </c>
      <c r="B718">
        <v>1126.2820999999999</v>
      </c>
      <c r="C718">
        <v>4</v>
      </c>
      <c r="D718" t="s">
        <v>305</v>
      </c>
      <c r="F718">
        <v>1969</v>
      </c>
      <c r="G718" s="1" t="s">
        <v>141</v>
      </c>
      <c r="H718" s="1" t="s">
        <v>106</v>
      </c>
      <c r="I718">
        <v>0</v>
      </c>
      <c r="J718">
        <v>88787.281400000007</v>
      </c>
      <c r="K718">
        <v>-5.3899999999999998E-3</v>
      </c>
      <c r="L718">
        <v>3.1099999999999999E-3</v>
      </c>
      <c r="M718">
        <v>0.245</v>
      </c>
      <c r="N718">
        <v>9.9099999999999994E-2</v>
      </c>
      <c r="O718">
        <v>3.4499999999999999E-3</v>
      </c>
      <c r="P718" s="3">
        <f t="shared" si="44"/>
        <v>1126.2820502366305</v>
      </c>
      <c r="Q718" s="3">
        <f t="shared" si="45"/>
        <v>-5.3911986467483075E-3</v>
      </c>
      <c r="R718" s="3">
        <f t="shared" si="46"/>
        <v>3.1099999999999999E-3</v>
      </c>
      <c r="S718">
        <f t="shared" si="47"/>
        <v>11</v>
      </c>
      <c r="T718">
        <f>INDEX([1]IDEN_level_ids!$B:$B,MATCH(G718,[1]IDEN_level_ids!$A:$A,0),1)</f>
        <v>1155</v>
      </c>
      <c r="U718">
        <f>INDEX([1]IDEN_level_ids!$B:$B,MATCH(H718,[1]IDEN_level_ids!$A:$A,0),1)</f>
        <v>726</v>
      </c>
    </row>
    <row r="719" spans="1:21" hidden="1" x14ac:dyDescent="0.25">
      <c r="A719">
        <v>88760.8226</v>
      </c>
      <c r="B719">
        <v>1126.6232</v>
      </c>
      <c r="C719">
        <v>4</v>
      </c>
      <c r="D719" t="s">
        <v>305</v>
      </c>
      <c r="F719">
        <v>1969</v>
      </c>
      <c r="G719" s="1" t="s">
        <v>40</v>
      </c>
      <c r="H719" s="1" t="s">
        <v>200</v>
      </c>
      <c r="I719">
        <v>0</v>
      </c>
      <c r="J719">
        <v>88760.2454</v>
      </c>
      <c r="K719">
        <v>-7.3299999999999997E-3</v>
      </c>
      <c r="L719">
        <v>3.1099999999999999E-3</v>
      </c>
      <c r="M719">
        <v>0.245</v>
      </c>
      <c r="N719">
        <v>2.8799999999999999E-2</v>
      </c>
      <c r="O719">
        <v>3.2000000000000002E-3</v>
      </c>
      <c r="P719" s="3">
        <f t="shared" si="44"/>
        <v>1126.6231775549138</v>
      </c>
      <c r="Q719" s="3">
        <f t="shared" si="45"/>
        <v>-7.3263305564523762E-3</v>
      </c>
      <c r="R719" s="3">
        <f t="shared" si="46"/>
        <v>3.1099999999999999E-3</v>
      </c>
      <c r="S719">
        <f t="shared" si="47"/>
        <v>11</v>
      </c>
      <c r="T719">
        <f>INDEX([1]IDEN_level_ids!$B:$B,MATCH(G719,[1]IDEN_level_ids!$A:$A,0),1)</f>
        <v>1199</v>
      </c>
      <c r="U719">
        <f>INDEX([1]IDEN_level_ids!$B:$B,MATCH(H719,[1]IDEN_level_ids!$A:$A,0),1)</f>
        <v>817</v>
      </c>
    </row>
    <row r="720" spans="1:21" hidden="1" x14ac:dyDescent="0.25">
      <c r="A720">
        <v>88728.789300000004</v>
      </c>
      <c r="B720">
        <v>1127.0299</v>
      </c>
      <c r="C720">
        <v>4</v>
      </c>
      <c r="D720" t="s">
        <v>305</v>
      </c>
      <c r="F720">
        <v>1969</v>
      </c>
      <c r="G720" s="1" t="s">
        <v>251</v>
      </c>
      <c r="H720" s="1" t="s">
        <v>291</v>
      </c>
      <c r="I720">
        <v>0</v>
      </c>
      <c r="J720">
        <v>88728.590200000006</v>
      </c>
      <c r="K720">
        <v>-2.5300000000000001E-3</v>
      </c>
      <c r="L720">
        <v>3.1099999999999999E-3</v>
      </c>
      <c r="M720">
        <v>0.245</v>
      </c>
      <c r="N720">
        <v>0.33800000000000002</v>
      </c>
      <c r="O720">
        <v>4.7000000000000002E-3</v>
      </c>
      <c r="P720" s="3">
        <f t="shared" si="44"/>
        <v>1127.0299165459253</v>
      </c>
      <c r="Q720" s="3">
        <f t="shared" si="45"/>
        <v>-2.528966772615604E-3</v>
      </c>
      <c r="R720" s="3">
        <f t="shared" si="46"/>
        <v>3.1099999999999999E-3</v>
      </c>
      <c r="S720">
        <f t="shared" si="47"/>
        <v>11</v>
      </c>
      <c r="T720">
        <f>INDEX([1]IDEN_level_ids!$B:$B,MATCH(G720,[1]IDEN_level_ids!$A:$A,0),1)</f>
        <v>1192</v>
      </c>
      <c r="U720">
        <f>INDEX([1]IDEN_level_ids!$B:$B,MATCH(H720,[1]IDEN_level_ids!$A:$A,0),1)</f>
        <v>795</v>
      </c>
    </row>
    <row r="721" spans="1:21" hidden="1" x14ac:dyDescent="0.25">
      <c r="A721">
        <v>88702.274900000004</v>
      </c>
      <c r="B721">
        <v>1127.3668</v>
      </c>
      <c r="C721">
        <v>4</v>
      </c>
      <c r="D721" t="s">
        <v>305</v>
      </c>
      <c r="F721">
        <v>1969</v>
      </c>
      <c r="G721" s="1" t="s">
        <v>245</v>
      </c>
      <c r="H721" s="1" t="s">
        <v>150</v>
      </c>
      <c r="I721">
        <v>0</v>
      </c>
      <c r="J721">
        <v>88701.894799999995</v>
      </c>
      <c r="K721">
        <v>-4.8300000000000001E-3</v>
      </c>
      <c r="L721">
        <v>3.1099999999999999E-3</v>
      </c>
      <c r="M721">
        <v>0.245</v>
      </c>
      <c r="N721">
        <v>2.0799999999999999E-2</v>
      </c>
      <c r="O721">
        <v>3.1800000000000001E-3</v>
      </c>
      <c r="P721" s="3">
        <f t="shared" si="44"/>
        <v>1127.3668021788244</v>
      </c>
      <c r="Q721" s="3">
        <f t="shared" si="45"/>
        <v>-4.8309241024071525E-3</v>
      </c>
      <c r="R721" s="3">
        <f t="shared" si="46"/>
        <v>3.1099999999999999E-3</v>
      </c>
      <c r="S721">
        <f t="shared" si="47"/>
        <v>11</v>
      </c>
      <c r="T721">
        <f>INDEX([1]IDEN_level_ids!$B:$B,MATCH(G721,[1]IDEN_level_ids!$A:$A,0),1)</f>
        <v>1169</v>
      </c>
      <c r="U721">
        <f>INDEX([1]IDEN_level_ids!$B:$B,MATCH(H721,[1]IDEN_level_ids!$A:$A,0),1)</f>
        <v>769</v>
      </c>
    </row>
    <row r="722" spans="1:21" hidden="1" x14ac:dyDescent="0.25">
      <c r="A722">
        <v>88569.714200000002</v>
      </c>
      <c r="B722">
        <v>1129.0541000000001</v>
      </c>
      <c r="C722">
        <v>4</v>
      </c>
      <c r="D722" t="s">
        <v>305</v>
      </c>
      <c r="F722">
        <v>1969</v>
      </c>
      <c r="G722" s="1" t="s">
        <v>265</v>
      </c>
      <c r="H722" s="1" t="s">
        <v>191</v>
      </c>
      <c r="I722">
        <v>0</v>
      </c>
      <c r="J722">
        <v>88569.302899999995</v>
      </c>
      <c r="K722">
        <v>-5.2399999999999999E-3</v>
      </c>
      <c r="L722">
        <v>3.1199999999999999E-3</v>
      </c>
      <c r="M722">
        <v>0.245</v>
      </c>
      <c r="N722">
        <v>4.4600000000000001E-2</v>
      </c>
      <c r="O722">
        <v>3.2699999999999999E-3</v>
      </c>
      <c r="P722" s="3">
        <f t="shared" si="44"/>
        <v>1129.0541118173778</v>
      </c>
      <c r="Q722" s="3">
        <f t="shared" si="45"/>
        <v>-5.2431253379836562E-3</v>
      </c>
      <c r="R722" s="3">
        <f t="shared" si="46"/>
        <v>3.1199999999999999E-3</v>
      </c>
      <c r="S722">
        <f t="shared" si="47"/>
        <v>11</v>
      </c>
      <c r="T722">
        <f>INDEX([1]IDEN_level_ids!$B:$B,MATCH(G722,[1]IDEN_level_ids!$A:$A,0),1)</f>
        <v>1161</v>
      </c>
      <c r="U722">
        <f>INDEX([1]IDEN_level_ids!$B:$B,MATCH(H722,[1]IDEN_level_ids!$A:$A,0),1)</f>
        <v>749</v>
      </c>
    </row>
    <row r="723" spans="1:21" hidden="1" x14ac:dyDescent="0.25">
      <c r="A723">
        <v>88504.502500000002</v>
      </c>
      <c r="B723">
        <v>1129.886</v>
      </c>
      <c r="C723">
        <v>4</v>
      </c>
      <c r="D723" t="s">
        <v>305</v>
      </c>
      <c r="F723">
        <v>1969</v>
      </c>
      <c r="G723" s="1" t="s">
        <v>216</v>
      </c>
      <c r="H723" s="1" t="s">
        <v>237</v>
      </c>
      <c r="I723">
        <v>0</v>
      </c>
      <c r="J723">
        <v>88504.33</v>
      </c>
      <c r="K723">
        <v>-2.2000000000000001E-3</v>
      </c>
      <c r="L723">
        <v>3.13E-3</v>
      </c>
      <c r="M723">
        <v>0.245</v>
      </c>
      <c r="N723">
        <v>4.5499999999999999E-2</v>
      </c>
      <c r="O723">
        <v>3.2799999999999999E-3</v>
      </c>
      <c r="P723" s="3">
        <f t="shared" si="44"/>
        <v>1129.8860190756961</v>
      </c>
      <c r="Q723" s="3">
        <f t="shared" si="45"/>
        <v>-2.2022124601335236E-3</v>
      </c>
      <c r="R723" s="3">
        <f t="shared" si="46"/>
        <v>3.13E-3</v>
      </c>
      <c r="S723">
        <f t="shared" si="47"/>
        <v>11</v>
      </c>
      <c r="T723">
        <f>INDEX([1]IDEN_level_ids!$B:$B,MATCH(G723,[1]IDEN_level_ids!$A:$A,0),1)</f>
        <v>1170</v>
      </c>
      <c r="U723">
        <f>INDEX([1]IDEN_level_ids!$B:$B,MATCH(H723,[1]IDEN_level_ids!$A:$A,0),1)</f>
        <v>773</v>
      </c>
    </row>
    <row r="724" spans="1:21" hidden="1" x14ac:dyDescent="0.25">
      <c r="A724">
        <v>88483.596699999995</v>
      </c>
      <c r="B724">
        <v>1130.153</v>
      </c>
      <c r="C724">
        <v>4</v>
      </c>
      <c r="D724" t="s">
        <v>305</v>
      </c>
      <c r="F724">
        <v>1969</v>
      </c>
      <c r="G724" s="1" t="s">
        <v>285</v>
      </c>
      <c r="H724" s="1" t="s">
        <v>136</v>
      </c>
      <c r="I724">
        <v>0</v>
      </c>
      <c r="J724">
        <v>88483.485499999995</v>
      </c>
      <c r="K724">
        <v>-1.42E-3</v>
      </c>
      <c r="L724">
        <v>3.13E-3</v>
      </c>
      <c r="M724">
        <v>0.245</v>
      </c>
      <c r="N724">
        <v>0.10100000000000001</v>
      </c>
      <c r="O724">
        <v>3.48E-3</v>
      </c>
      <c r="P724" s="3">
        <f t="shared" si="44"/>
        <v>1130.1529744439063</v>
      </c>
      <c r="Q724" s="3">
        <f t="shared" si="45"/>
        <v>-1.4202990539615712E-3</v>
      </c>
      <c r="R724" s="3">
        <f t="shared" si="46"/>
        <v>3.13E-3</v>
      </c>
      <c r="S724">
        <f t="shared" si="47"/>
        <v>11</v>
      </c>
      <c r="T724">
        <f>INDEX([1]IDEN_level_ids!$B:$B,MATCH(G724,[1]IDEN_level_ids!$A:$A,0),1)</f>
        <v>1150</v>
      </c>
      <c r="U724">
        <f>INDEX([1]IDEN_level_ids!$B:$B,MATCH(H724,[1]IDEN_level_ids!$A:$A,0),1)</f>
        <v>700</v>
      </c>
    </row>
    <row r="725" spans="1:21" hidden="1" x14ac:dyDescent="0.25">
      <c r="A725">
        <v>88444.392000000007</v>
      </c>
      <c r="B725">
        <v>1130.6539</v>
      </c>
      <c r="C725">
        <v>4</v>
      </c>
      <c r="D725" t="s">
        <v>305</v>
      </c>
      <c r="F725">
        <v>1969</v>
      </c>
      <c r="G725" s="1" t="s">
        <v>251</v>
      </c>
      <c r="H725" s="1" t="s">
        <v>222</v>
      </c>
      <c r="I725">
        <v>0</v>
      </c>
      <c r="J725">
        <v>88443.979900000006</v>
      </c>
      <c r="K725">
        <v>-5.2700000000000004E-3</v>
      </c>
      <c r="L725">
        <v>3.13E-3</v>
      </c>
      <c r="M725">
        <v>0.245</v>
      </c>
      <c r="N725">
        <v>3.1699999999999999E-2</v>
      </c>
      <c r="O725">
        <v>3.2299999999999998E-3</v>
      </c>
      <c r="P725" s="3">
        <f t="shared" si="44"/>
        <v>1130.653936769671</v>
      </c>
      <c r="Q725" s="3">
        <f t="shared" si="45"/>
        <v>-5.2682216230550694E-3</v>
      </c>
      <c r="R725" s="3">
        <f t="shared" si="46"/>
        <v>3.13E-3</v>
      </c>
      <c r="S725">
        <f t="shared" si="47"/>
        <v>11</v>
      </c>
      <c r="T725">
        <f>INDEX([1]IDEN_level_ids!$B:$B,MATCH(G725,[1]IDEN_level_ids!$A:$A,0),1)</f>
        <v>1192</v>
      </c>
      <c r="U725">
        <f>INDEX([1]IDEN_level_ids!$B:$B,MATCH(H725,[1]IDEN_level_ids!$A:$A,0),1)</f>
        <v>800</v>
      </c>
    </row>
    <row r="726" spans="1:21" hidden="1" x14ac:dyDescent="0.25">
      <c r="A726">
        <v>88436.626999999993</v>
      </c>
      <c r="B726">
        <v>1130.7532000000001</v>
      </c>
      <c r="C726">
        <v>4</v>
      </c>
      <c r="D726" t="s">
        <v>305</v>
      </c>
      <c r="F726">
        <v>1969</v>
      </c>
      <c r="G726" s="1" t="s">
        <v>285</v>
      </c>
      <c r="H726" s="1" t="s">
        <v>215</v>
      </c>
      <c r="I726">
        <v>0</v>
      </c>
      <c r="J726">
        <v>88436.496899999998</v>
      </c>
      <c r="K726">
        <v>-1.66E-3</v>
      </c>
      <c r="L726">
        <v>3.13E-3</v>
      </c>
      <c r="M726">
        <v>0.245</v>
      </c>
      <c r="N726">
        <v>2.9000000000000001E-2</v>
      </c>
      <c r="O726">
        <v>3.2299999999999998E-3</v>
      </c>
      <c r="P726" s="3">
        <f t="shared" si="44"/>
        <v>1130.7532115624447</v>
      </c>
      <c r="Q726" s="3">
        <f t="shared" si="45"/>
        <v>-1.6634647229238908E-3</v>
      </c>
      <c r="R726" s="3">
        <f t="shared" si="46"/>
        <v>3.13E-3</v>
      </c>
      <c r="S726">
        <f t="shared" si="47"/>
        <v>11</v>
      </c>
      <c r="T726">
        <f>INDEX([1]IDEN_level_ids!$B:$B,MATCH(G726,[1]IDEN_level_ids!$A:$A,0),1)</f>
        <v>1150</v>
      </c>
      <c r="U726">
        <f>INDEX([1]IDEN_level_ids!$B:$B,MATCH(H726,[1]IDEN_level_ids!$A:$A,0),1)</f>
        <v>699</v>
      </c>
    </row>
    <row r="727" spans="1:21" hidden="1" x14ac:dyDescent="0.25">
      <c r="A727">
        <v>88395.2071</v>
      </c>
      <c r="B727">
        <v>1131.2831000000001</v>
      </c>
      <c r="C727">
        <v>4</v>
      </c>
      <c r="D727" t="s">
        <v>305</v>
      </c>
      <c r="F727">
        <v>1969</v>
      </c>
      <c r="G727" s="1" t="s">
        <v>82</v>
      </c>
      <c r="H727" s="1" t="s">
        <v>226</v>
      </c>
      <c r="I727">
        <v>0</v>
      </c>
      <c r="J727">
        <v>88394.715899999996</v>
      </c>
      <c r="K727">
        <v>-6.2899999999999996E-3</v>
      </c>
      <c r="L727">
        <v>3.14E-3</v>
      </c>
      <c r="M727">
        <v>0.245</v>
      </c>
      <c r="N727">
        <v>3.5999999999999997E-2</v>
      </c>
      <c r="O727">
        <v>3.2499999999999999E-3</v>
      </c>
      <c r="P727" s="3">
        <f t="shared" si="44"/>
        <v>1131.2830557302921</v>
      </c>
      <c r="Q727" s="3">
        <f t="shared" si="45"/>
        <v>-6.2864191745575226E-3</v>
      </c>
      <c r="R727" s="3">
        <f t="shared" si="46"/>
        <v>3.14E-3</v>
      </c>
      <c r="S727">
        <f t="shared" si="47"/>
        <v>11</v>
      </c>
      <c r="T727">
        <f>INDEX([1]IDEN_level_ids!$B:$B,MATCH(G727,[1]IDEN_level_ids!$A:$A,0),1)</f>
        <v>1193</v>
      </c>
      <c r="U727">
        <f>INDEX([1]IDEN_level_ids!$B:$B,MATCH(H727,[1]IDEN_level_ids!$A:$A,0),1)</f>
        <v>811</v>
      </c>
    </row>
    <row r="728" spans="1:21" hidden="1" x14ac:dyDescent="0.25">
      <c r="A728">
        <v>88373.717999999993</v>
      </c>
      <c r="B728">
        <v>1131.5581</v>
      </c>
      <c r="C728">
        <v>4</v>
      </c>
      <c r="D728" t="s">
        <v>305</v>
      </c>
      <c r="F728">
        <v>1969</v>
      </c>
      <c r="G728" s="1" t="s">
        <v>108</v>
      </c>
      <c r="H728" s="1" t="s">
        <v>151</v>
      </c>
      <c r="I728">
        <v>0</v>
      </c>
      <c r="J728">
        <v>88373.364600000001</v>
      </c>
      <c r="K728">
        <v>-4.5199999999999997E-3</v>
      </c>
      <c r="L728">
        <v>3.14E-3</v>
      </c>
      <c r="M728">
        <v>0.245</v>
      </c>
      <c r="N728">
        <v>4.41E-2</v>
      </c>
      <c r="O728">
        <v>3.2799999999999999E-3</v>
      </c>
      <c r="P728" s="3">
        <f t="shared" si="44"/>
        <v>1131.558140396447</v>
      </c>
      <c r="Q728" s="3">
        <f t="shared" si="45"/>
        <v>-4.5250358930388757E-3</v>
      </c>
      <c r="R728" s="3">
        <f t="shared" si="46"/>
        <v>3.14E-3</v>
      </c>
      <c r="S728">
        <f t="shared" si="47"/>
        <v>11</v>
      </c>
      <c r="T728">
        <f>INDEX([1]IDEN_level_ids!$B:$B,MATCH(G728,[1]IDEN_level_ids!$A:$A,0),1)</f>
        <v>1149</v>
      </c>
      <c r="U728">
        <f>INDEX([1]IDEN_level_ids!$B:$B,MATCH(H728,[1]IDEN_level_ids!$A:$A,0),1)</f>
        <v>685</v>
      </c>
    </row>
    <row r="729" spans="1:21" hidden="1" x14ac:dyDescent="0.25">
      <c r="A729">
        <v>88361.173200000005</v>
      </c>
      <c r="B729">
        <v>1131.7188000000001</v>
      </c>
      <c r="C729">
        <v>4</v>
      </c>
      <c r="D729" t="s">
        <v>305</v>
      </c>
      <c r="F729">
        <v>1969</v>
      </c>
      <c r="G729" s="1" t="s">
        <v>117</v>
      </c>
      <c r="H729" s="1" t="s">
        <v>127</v>
      </c>
      <c r="I729">
        <v>0</v>
      </c>
      <c r="J729">
        <v>88361.089600000007</v>
      </c>
      <c r="K729">
        <v>-1.07E-3</v>
      </c>
      <c r="L729">
        <v>3.14E-3</v>
      </c>
      <c r="M729">
        <v>0.245</v>
      </c>
      <c r="N729">
        <v>2.9600000000000001E-2</v>
      </c>
      <c r="O729">
        <v>3.2299999999999998E-3</v>
      </c>
      <c r="P729" s="3">
        <f t="shared" si="44"/>
        <v>1131.7187898089157</v>
      </c>
      <c r="Q729" s="3">
        <f t="shared" si="45"/>
        <v>-1.0707392955282558E-3</v>
      </c>
      <c r="R729" s="3">
        <f t="shared" si="46"/>
        <v>3.14E-3</v>
      </c>
      <c r="S729">
        <f t="shared" si="47"/>
        <v>11</v>
      </c>
      <c r="T729">
        <f>INDEX([1]IDEN_level_ids!$B:$B,MATCH(G729,[1]IDEN_level_ids!$A:$A,0),1)</f>
        <v>1162</v>
      </c>
      <c r="U729">
        <f>INDEX([1]IDEN_level_ids!$B:$B,MATCH(H729,[1]IDEN_level_ids!$A:$A,0),1)</f>
        <v>760</v>
      </c>
    </row>
    <row r="730" spans="1:21" hidden="1" x14ac:dyDescent="0.25">
      <c r="A730">
        <v>88341.318499999994</v>
      </c>
      <c r="B730">
        <v>1131.9730999999999</v>
      </c>
      <c r="C730">
        <v>4</v>
      </c>
      <c r="D730" t="s">
        <v>305</v>
      </c>
      <c r="F730">
        <v>1969</v>
      </c>
      <c r="G730" s="1" t="s">
        <v>166</v>
      </c>
      <c r="H730" s="1" t="s">
        <v>152</v>
      </c>
      <c r="I730">
        <v>0</v>
      </c>
      <c r="J730">
        <v>88341.121499999994</v>
      </c>
      <c r="K730">
        <v>-2.5200000000000001E-3</v>
      </c>
      <c r="L730">
        <v>3.14E-3</v>
      </c>
      <c r="M730">
        <v>0.245</v>
      </c>
      <c r="N730">
        <v>1.6E-2</v>
      </c>
      <c r="O730">
        <v>3.1900000000000001E-3</v>
      </c>
      <c r="P730" s="3">
        <f t="shared" si="44"/>
        <v>1131.9731434617427</v>
      </c>
      <c r="Q730" s="3">
        <f t="shared" si="45"/>
        <v>-2.5242911283385183E-3</v>
      </c>
      <c r="R730" s="3">
        <f t="shared" si="46"/>
        <v>3.14E-3</v>
      </c>
      <c r="S730">
        <f t="shared" si="47"/>
        <v>11</v>
      </c>
      <c r="T730">
        <f>INDEX([1]IDEN_level_ids!$B:$B,MATCH(G730,[1]IDEN_level_ids!$A:$A,0),1)</f>
        <v>1186</v>
      </c>
      <c r="U730">
        <f>INDEX([1]IDEN_level_ids!$B:$B,MATCH(H730,[1]IDEN_level_ids!$A:$A,0),1)</f>
        <v>793</v>
      </c>
    </row>
    <row r="731" spans="1:21" hidden="1" x14ac:dyDescent="0.25">
      <c r="A731">
        <v>88272.876399999994</v>
      </c>
      <c r="B731">
        <v>1132.8507999999999</v>
      </c>
      <c r="C731">
        <v>4</v>
      </c>
      <c r="D731" t="s">
        <v>305</v>
      </c>
      <c r="F731">
        <v>1969</v>
      </c>
      <c r="G731" s="1" t="s">
        <v>295</v>
      </c>
      <c r="H731" s="1" t="s">
        <v>270</v>
      </c>
      <c r="I731">
        <v>0</v>
      </c>
      <c r="J731">
        <v>88272.691999999995</v>
      </c>
      <c r="K731">
        <v>-2.3700000000000001E-3</v>
      </c>
      <c r="L731">
        <v>3.14E-3</v>
      </c>
      <c r="M731">
        <v>0.245</v>
      </c>
      <c r="N731">
        <v>0.13170000000000001</v>
      </c>
      <c r="O731">
        <v>3.62E-3</v>
      </c>
      <c r="P731" s="3">
        <f t="shared" si="44"/>
        <v>1132.8508153156772</v>
      </c>
      <c r="Q731" s="3">
        <f t="shared" si="45"/>
        <v>-2.3665041319418378E-3</v>
      </c>
      <c r="R731" s="3">
        <f t="shared" si="46"/>
        <v>3.14E-3</v>
      </c>
      <c r="S731">
        <f t="shared" si="47"/>
        <v>11</v>
      </c>
      <c r="T731">
        <f>INDEX([1]IDEN_level_ids!$B:$B,MATCH(G731,[1]IDEN_level_ids!$A:$A,0),1)</f>
        <v>1152</v>
      </c>
      <c r="U731">
        <f>INDEX([1]IDEN_level_ids!$B:$B,MATCH(H731,[1]IDEN_level_ids!$A:$A,0),1)</f>
        <v>725</v>
      </c>
    </row>
    <row r="732" spans="1:21" hidden="1" x14ac:dyDescent="0.25">
      <c r="A732">
        <v>88240.081000000006</v>
      </c>
      <c r="B732">
        <v>1133.2719</v>
      </c>
      <c r="C732">
        <v>4</v>
      </c>
      <c r="D732" t="s">
        <v>305</v>
      </c>
      <c r="F732">
        <v>1969</v>
      </c>
      <c r="G732" s="1" t="s">
        <v>180</v>
      </c>
      <c r="H732" s="1" t="s">
        <v>292</v>
      </c>
      <c r="I732">
        <v>0</v>
      </c>
      <c r="J732">
        <v>88239.788499999995</v>
      </c>
      <c r="K732">
        <v>-3.7599999999999999E-3</v>
      </c>
      <c r="L732">
        <v>3.15E-3</v>
      </c>
      <c r="M732">
        <v>0.245</v>
      </c>
      <c r="N732">
        <v>5.6500000000000002E-2</v>
      </c>
      <c r="O732">
        <v>3.3300000000000001E-3</v>
      </c>
      <c r="P732" s="3">
        <f t="shared" si="44"/>
        <v>1133.2718518243425</v>
      </c>
      <c r="Q732" s="3">
        <f t="shared" si="45"/>
        <v>-3.756604841328226E-3</v>
      </c>
      <c r="R732" s="3">
        <f t="shared" si="46"/>
        <v>3.15E-3</v>
      </c>
      <c r="S732">
        <f t="shared" si="47"/>
        <v>11</v>
      </c>
      <c r="T732">
        <f>INDEX([1]IDEN_level_ids!$B:$B,MATCH(G732,[1]IDEN_level_ids!$A:$A,0),1)</f>
        <v>1184</v>
      </c>
      <c r="U732">
        <f>INDEX([1]IDEN_level_ids!$B:$B,MATCH(H732,[1]IDEN_level_ids!$A:$A,0),1)</f>
        <v>796</v>
      </c>
    </row>
    <row r="733" spans="1:21" hidden="1" x14ac:dyDescent="0.25">
      <c r="A733">
        <v>88223.626999999993</v>
      </c>
      <c r="B733">
        <v>1133.4831999999999</v>
      </c>
      <c r="C733">
        <v>4</v>
      </c>
      <c r="D733" t="s">
        <v>305</v>
      </c>
      <c r="F733">
        <v>1969</v>
      </c>
      <c r="G733" s="1" t="s">
        <v>299</v>
      </c>
      <c r="H733" s="1" t="s">
        <v>257</v>
      </c>
      <c r="I733">
        <v>0</v>
      </c>
      <c r="J733">
        <v>88223.247300000003</v>
      </c>
      <c r="K733">
        <v>-4.8799999999999998E-3</v>
      </c>
      <c r="L733">
        <v>3.15E-3</v>
      </c>
      <c r="M733">
        <v>0.245</v>
      </c>
      <c r="N733">
        <v>0.25600000000000001</v>
      </c>
      <c r="O733">
        <v>4.2300000000000003E-3</v>
      </c>
      <c r="P733" s="3">
        <f t="shared" si="44"/>
        <v>1133.4832107956749</v>
      </c>
      <c r="Q733" s="3">
        <f t="shared" si="45"/>
        <v>-4.8783465617816546E-3</v>
      </c>
      <c r="R733" s="3">
        <f t="shared" si="46"/>
        <v>3.15E-3</v>
      </c>
      <c r="S733">
        <f t="shared" si="47"/>
        <v>11</v>
      </c>
      <c r="T733">
        <f>INDEX([1]IDEN_level_ids!$B:$B,MATCH(G733,[1]IDEN_level_ids!$A:$A,0),1)</f>
        <v>1101</v>
      </c>
      <c r="U733">
        <f>INDEX([1]IDEN_level_ids!$B:$B,MATCH(H733,[1]IDEN_level_ids!$A:$A,0),1)</f>
        <v>479</v>
      </c>
    </row>
    <row r="734" spans="1:21" hidden="1" x14ac:dyDescent="0.25">
      <c r="A734">
        <v>88160.233800000002</v>
      </c>
      <c r="B734">
        <v>1134.2982999999999</v>
      </c>
      <c r="C734">
        <v>4</v>
      </c>
      <c r="D734" t="s">
        <v>305</v>
      </c>
      <c r="F734">
        <v>1969</v>
      </c>
      <c r="G734" s="1" t="s">
        <v>84</v>
      </c>
      <c r="H734" s="1" t="s">
        <v>232</v>
      </c>
      <c r="I734">
        <v>0</v>
      </c>
      <c r="J734">
        <v>88160.0046</v>
      </c>
      <c r="K734">
        <v>-2.9499999999999999E-3</v>
      </c>
      <c r="L734">
        <v>3.15E-3</v>
      </c>
      <c r="M734">
        <v>0.245</v>
      </c>
      <c r="N734">
        <v>4.9799999999999997E-2</v>
      </c>
      <c r="O734">
        <v>3.32E-3</v>
      </c>
      <c r="P734" s="3">
        <f t="shared" si="44"/>
        <v>1134.2982622625486</v>
      </c>
      <c r="Q734" s="3">
        <f t="shared" si="45"/>
        <v>-2.9489694661606336E-3</v>
      </c>
      <c r="R734" s="3">
        <f t="shared" si="46"/>
        <v>3.15E-3</v>
      </c>
      <c r="S734">
        <f t="shared" si="47"/>
        <v>11</v>
      </c>
      <c r="T734">
        <f>INDEX([1]IDEN_level_ids!$B:$B,MATCH(G734,[1]IDEN_level_ids!$A:$A,0),1)</f>
        <v>1191</v>
      </c>
      <c r="U734">
        <f>INDEX([1]IDEN_level_ids!$B:$B,MATCH(H734,[1]IDEN_level_ids!$A:$A,0),1)</f>
        <v>801</v>
      </c>
    </row>
    <row r="735" spans="1:21" hidden="1" x14ac:dyDescent="0.25">
      <c r="A735">
        <v>88147.505999999994</v>
      </c>
      <c r="B735">
        <v>1134.462</v>
      </c>
      <c r="C735">
        <v>4</v>
      </c>
      <c r="D735" t="s">
        <v>305</v>
      </c>
      <c r="F735">
        <v>1969</v>
      </c>
      <c r="G735" s="1" t="s">
        <v>216</v>
      </c>
      <c r="H735" s="1" t="s">
        <v>202</v>
      </c>
      <c r="I735">
        <v>0</v>
      </c>
      <c r="J735">
        <v>88147.032600000006</v>
      </c>
      <c r="K735">
        <v>-6.0899999999999999E-3</v>
      </c>
      <c r="L735">
        <v>3.15E-3</v>
      </c>
      <c r="M735">
        <v>0.245</v>
      </c>
      <c r="N735">
        <v>3.9899999999999998E-2</v>
      </c>
      <c r="O735">
        <v>3.2799999999999999E-3</v>
      </c>
      <c r="P735" s="3">
        <f t="shared" si="44"/>
        <v>1134.4620459256103</v>
      </c>
      <c r="Q735" s="3">
        <f t="shared" si="45"/>
        <v>-6.0927102897494478E-3</v>
      </c>
      <c r="R735" s="3">
        <f t="shared" si="46"/>
        <v>3.15E-3</v>
      </c>
      <c r="S735">
        <f t="shared" si="47"/>
        <v>11</v>
      </c>
      <c r="T735">
        <f>INDEX([1]IDEN_level_ids!$B:$B,MATCH(G735,[1]IDEN_level_ids!$A:$A,0),1)</f>
        <v>1170</v>
      </c>
      <c r="U735">
        <f>INDEX([1]IDEN_level_ids!$B:$B,MATCH(H735,[1]IDEN_level_ids!$A:$A,0),1)</f>
        <v>781</v>
      </c>
    </row>
    <row r="736" spans="1:21" hidden="1" x14ac:dyDescent="0.25">
      <c r="A736">
        <v>88125.075100000002</v>
      </c>
      <c r="B736">
        <v>1134.7508</v>
      </c>
      <c r="C736">
        <v>4</v>
      </c>
      <c r="D736" t="s">
        <v>305</v>
      </c>
      <c r="F736">
        <v>1969</v>
      </c>
      <c r="G736" s="1" t="s">
        <v>73</v>
      </c>
      <c r="H736" s="1" t="s">
        <v>161</v>
      </c>
      <c r="I736">
        <v>0</v>
      </c>
      <c r="J736">
        <v>88124.6777</v>
      </c>
      <c r="K736">
        <v>-5.1200000000000004E-3</v>
      </c>
      <c r="L736">
        <v>3.15E-3</v>
      </c>
      <c r="M736">
        <v>0.245</v>
      </c>
      <c r="N736">
        <v>1.78E-2</v>
      </c>
      <c r="O736">
        <v>3.2100000000000002E-3</v>
      </c>
      <c r="P736" s="3">
        <f t="shared" si="44"/>
        <v>1134.7508060166181</v>
      </c>
      <c r="Q736" s="3">
        <f t="shared" si="45"/>
        <v>-5.1171814986901154E-3</v>
      </c>
      <c r="R736" s="3">
        <f t="shared" si="46"/>
        <v>3.15E-3</v>
      </c>
      <c r="S736">
        <f t="shared" si="47"/>
        <v>11</v>
      </c>
      <c r="T736">
        <f>INDEX([1]IDEN_level_ids!$B:$B,MATCH(G736,[1]IDEN_level_ids!$A:$A,0),1)</f>
        <v>1173</v>
      </c>
      <c r="U736">
        <f>INDEX([1]IDEN_level_ids!$B:$B,MATCH(H736,[1]IDEN_level_ids!$A:$A,0),1)</f>
        <v>785</v>
      </c>
    </row>
    <row r="737" spans="1:21" hidden="1" x14ac:dyDescent="0.25">
      <c r="A737">
        <v>88105.410199999998</v>
      </c>
      <c r="B737">
        <v>1135.0041000000001</v>
      </c>
      <c r="C737">
        <v>4</v>
      </c>
      <c r="D737" t="s">
        <v>305</v>
      </c>
      <c r="F737">
        <v>1969</v>
      </c>
      <c r="G737" s="1" t="s">
        <v>108</v>
      </c>
      <c r="H737" s="1" t="s">
        <v>99</v>
      </c>
      <c r="I737">
        <v>0</v>
      </c>
      <c r="J737">
        <v>88105.221799999999</v>
      </c>
      <c r="K737">
        <v>-2.4299999999999999E-3</v>
      </c>
      <c r="L737">
        <v>3.16E-3</v>
      </c>
      <c r="M737">
        <v>0.245</v>
      </c>
      <c r="N737">
        <v>3.27E-2</v>
      </c>
      <c r="O737">
        <v>3.2599999999999999E-3</v>
      </c>
      <c r="P737" s="3">
        <f t="shared" si="44"/>
        <v>1135.0040794657125</v>
      </c>
      <c r="Q737" s="3">
        <f t="shared" si="45"/>
        <v>-2.4270385365525726E-3</v>
      </c>
      <c r="R737" s="3">
        <f t="shared" si="46"/>
        <v>3.16E-3</v>
      </c>
      <c r="S737">
        <f t="shared" si="47"/>
        <v>11</v>
      </c>
      <c r="T737">
        <f>INDEX([1]IDEN_level_ids!$B:$B,MATCH(G737,[1]IDEN_level_ids!$A:$A,0),1)</f>
        <v>1149</v>
      </c>
      <c r="U737">
        <f>INDEX([1]IDEN_level_ids!$B:$B,MATCH(H737,[1]IDEN_level_ids!$A:$A,0),1)</f>
        <v>689</v>
      </c>
    </row>
    <row r="738" spans="1:21" hidden="1" x14ac:dyDescent="0.25">
      <c r="A738">
        <v>88084.917499999996</v>
      </c>
      <c r="B738">
        <v>1135.2681</v>
      </c>
      <c r="C738">
        <v>4</v>
      </c>
      <c r="D738" t="s">
        <v>305</v>
      </c>
      <c r="F738">
        <v>1969</v>
      </c>
      <c r="G738" s="1" t="s">
        <v>304</v>
      </c>
      <c r="H738" s="1" t="s">
        <v>70</v>
      </c>
      <c r="I738">
        <v>0</v>
      </c>
      <c r="J738">
        <v>88084.935700000002</v>
      </c>
      <c r="K738">
        <v>2.4000000000000001E-4</v>
      </c>
      <c r="L738">
        <v>3.16E-3</v>
      </c>
      <c r="M738">
        <v>0.245</v>
      </c>
      <c r="N738">
        <v>0.26069999999999999</v>
      </c>
      <c r="O738">
        <v>4.2700000000000004E-3</v>
      </c>
      <c r="P738" s="3">
        <f t="shared" si="44"/>
        <v>1135.2681348654269</v>
      </c>
      <c r="Q738" s="3">
        <f t="shared" si="45"/>
        <v>2.3456769190488558E-4</v>
      </c>
      <c r="R738" s="3">
        <f t="shared" si="46"/>
        <v>3.16E-3</v>
      </c>
      <c r="S738">
        <f t="shared" si="47"/>
        <v>11</v>
      </c>
      <c r="T738">
        <f>INDEX([1]IDEN_level_ids!$B:$B,MATCH(G738,[1]IDEN_level_ids!$A:$A,0),1)</f>
        <v>1096</v>
      </c>
      <c r="U738">
        <f>INDEX([1]IDEN_level_ids!$B:$B,MATCH(H738,[1]IDEN_level_ids!$A:$A,0),1)</f>
        <v>399</v>
      </c>
    </row>
    <row r="739" spans="1:21" hidden="1" x14ac:dyDescent="0.25">
      <c r="A739">
        <v>88054.992899999997</v>
      </c>
      <c r="B739">
        <v>1135.6539</v>
      </c>
      <c r="C739">
        <v>4</v>
      </c>
      <c r="D739" t="s">
        <v>305</v>
      </c>
      <c r="F739">
        <v>1969</v>
      </c>
      <c r="G739" s="1" t="s">
        <v>302</v>
      </c>
      <c r="H739" s="1" t="s">
        <v>264</v>
      </c>
      <c r="I739">
        <v>0</v>
      </c>
      <c r="J739">
        <v>88054.589500000002</v>
      </c>
      <c r="K739">
        <v>-5.1999999999999998E-3</v>
      </c>
      <c r="L739">
        <v>3.16E-3</v>
      </c>
      <c r="M739">
        <v>0.245</v>
      </c>
      <c r="N739">
        <v>0.34229999999999999</v>
      </c>
      <c r="O739">
        <v>4.7999999999999996E-3</v>
      </c>
      <c r="P739" s="3">
        <f t="shared" si="44"/>
        <v>1135.6539442750895</v>
      </c>
      <c r="Q739" s="3">
        <f t="shared" si="45"/>
        <v>-5.2027134952368215E-3</v>
      </c>
      <c r="R739" s="3">
        <f t="shared" si="46"/>
        <v>3.16E-3</v>
      </c>
      <c r="S739">
        <f t="shared" si="47"/>
        <v>11</v>
      </c>
      <c r="T739">
        <f>INDEX([1]IDEN_level_ids!$B:$B,MATCH(G739,[1]IDEN_level_ids!$A:$A,0),1)</f>
        <v>1100</v>
      </c>
      <c r="U739">
        <f>INDEX([1]IDEN_level_ids!$B:$B,MATCH(H739,[1]IDEN_level_ids!$A:$A,0),1)</f>
        <v>474</v>
      </c>
    </row>
    <row r="740" spans="1:21" hidden="1" x14ac:dyDescent="0.25">
      <c r="A740">
        <v>88040.972899999993</v>
      </c>
      <c r="B740">
        <v>1135.8348000000001</v>
      </c>
      <c r="C740">
        <v>4</v>
      </c>
      <c r="D740" t="s">
        <v>305</v>
      </c>
      <c r="F740">
        <v>1969</v>
      </c>
      <c r="G740" s="1" t="s">
        <v>92</v>
      </c>
      <c r="H740" s="1" t="s">
        <v>306</v>
      </c>
      <c r="I740">
        <v>0</v>
      </c>
      <c r="J740">
        <v>88040.540599999993</v>
      </c>
      <c r="K740">
        <v>-5.5799999999999999E-3</v>
      </c>
      <c r="L740">
        <v>3.16E-3</v>
      </c>
      <c r="M740">
        <v>0.245</v>
      </c>
      <c r="N740">
        <v>2.5700000000000001E-2</v>
      </c>
      <c r="O740">
        <v>3.2399999999999998E-3</v>
      </c>
      <c r="P740" s="3">
        <f t="shared" si="44"/>
        <v>1135.8347903945073</v>
      </c>
      <c r="Q740" s="3">
        <f t="shared" si="45"/>
        <v>-5.5772190464722371E-3</v>
      </c>
      <c r="R740" s="3">
        <f t="shared" si="46"/>
        <v>3.16E-3</v>
      </c>
      <c r="S740">
        <f t="shared" si="47"/>
        <v>11</v>
      </c>
      <c r="T740">
        <f>INDEX([1]IDEN_level_ids!$B:$B,MATCH(G740,[1]IDEN_level_ids!$A:$A,0),1)</f>
        <v>1224</v>
      </c>
      <c r="U740">
        <f>INDEX([1]IDEN_level_ids!$B:$B,MATCH(H740,[1]IDEN_level_ids!$A:$A,0),1)</f>
        <v>862</v>
      </c>
    </row>
    <row r="741" spans="1:21" hidden="1" x14ac:dyDescent="0.25">
      <c r="A741">
        <v>88033.816300000006</v>
      </c>
      <c r="B741">
        <v>1135.9271000000001</v>
      </c>
      <c r="C741">
        <v>4</v>
      </c>
      <c r="D741" t="s">
        <v>305</v>
      </c>
      <c r="F741">
        <v>1969</v>
      </c>
      <c r="G741" s="1" t="s">
        <v>307</v>
      </c>
      <c r="H741" s="1" t="s">
        <v>78</v>
      </c>
      <c r="I741">
        <v>0</v>
      </c>
      <c r="J741">
        <v>88033.6351</v>
      </c>
      <c r="K741">
        <v>-2.3400000000000001E-3</v>
      </c>
      <c r="L741">
        <v>3.16E-3</v>
      </c>
      <c r="M741">
        <v>0.245</v>
      </c>
      <c r="N741">
        <v>0.27679999999999999</v>
      </c>
      <c r="O741">
        <v>4.3699999999999998E-3</v>
      </c>
      <c r="P741" s="3">
        <f t="shared" si="44"/>
        <v>1135.9271266762064</v>
      </c>
      <c r="Q741" s="3">
        <f t="shared" si="45"/>
        <v>-2.3380835648367793E-3</v>
      </c>
      <c r="R741" s="3">
        <f t="shared" si="46"/>
        <v>3.16E-3</v>
      </c>
      <c r="S741">
        <f t="shared" si="47"/>
        <v>11</v>
      </c>
      <c r="T741">
        <f>INDEX([1]IDEN_level_ids!$B:$B,MATCH(G741,[1]IDEN_level_ids!$A:$A,0),1)</f>
        <v>1095</v>
      </c>
      <c r="U741">
        <f>INDEX([1]IDEN_level_ids!$B:$B,MATCH(H741,[1]IDEN_level_ids!$A:$A,0),1)</f>
        <v>323</v>
      </c>
    </row>
    <row r="742" spans="1:21" hidden="1" x14ac:dyDescent="0.25">
      <c r="A742">
        <v>87990.6875</v>
      </c>
      <c r="B742">
        <v>1136.4838999999999</v>
      </c>
      <c r="C742">
        <v>4</v>
      </c>
      <c r="D742" t="s">
        <v>305</v>
      </c>
      <c r="F742">
        <v>1969</v>
      </c>
      <c r="G742" s="1" t="s">
        <v>308</v>
      </c>
      <c r="H742" s="1" t="s">
        <v>121</v>
      </c>
      <c r="I742">
        <v>0</v>
      </c>
      <c r="J742">
        <v>87990.082500000004</v>
      </c>
      <c r="K742">
        <v>-7.8100000000000001E-3</v>
      </c>
      <c r="L742">
        <v>3.16E-3</v>
      </c>
      <c r="M742">
        <v>0.245</v>
      </c>
      <c r="N742">
        <v>2.2100000000000002E-2</v>
      </c>
      <c r="O742">
        <v>3.2399999999999998E-3</v>
      </c>
      <c r="P742" s="3">
        <f t="shared" si="44"/>
        <v>1136.4839034812633</v>
      </c>
      <c r="Q742" s="3">
        <f t="shared" si="45"/>
        <v>-7.8142074887637136E-3</v>
      </c>
      <c r="R742" s="3">
        <f t="shared" si="46"/>
        <v>3.16E-3</v>
      </c>
      <c r="S742">
        <f t="shared" si="47"/>
        <v>11</v>
      </c>
      <c r="T742">
        <f>INDEX([1]IDEN_level_ids!$B:$B,MATCH(G742,[1]IDEN_level_ids!$A:$A,0),1)</f>
        <v>1222</v>
      </c>
      <c r="U742">
        <f>INDEX([1]IDEN_level_ids!$B:$B,MATCH(H742,[1]IDEN_level_ids!$A:$A,0),1)</f>
        <v>860</v>
      </c>
    </row>
    <row r="743" spans="1:21" hidden="1" x14ac:dyDescent="0.25">
      <c r="A743">
        <v>87985.495599999995</v>
      </c>
      <c r="B743">
        <v>1136.5509999999999</v>
      </c>
      <c r="C743">
        <v>4</v>
      </c>
      <c r="D743" t="s">
        <v>305</v>
      </c>
      <c r="F743">
        <v>1969</v>
      </c>
      <c r="G743" s="1" t="s">
        <v>288</v>
      </c>
      <c r="H743" s="1" t="s">
        <v>112</v>
      </c>
      <c r="I743">
        <v>0</v>
      </c>
      <c r="J743">
        <v>87984.999899999995</v>
      </c>
      <c r="K743">
        <v>-6.4000000000000003E-3</v>
      </c>
      <c r="L743">
        <v>3.16E-3</v>
      </c>
      <c r="M743">
        <v>0.245</v>
      </c>
      <c r="N743">
        <v>4.65E-2</v>
      </c>
      <c r="O743">
        <v>3.32E-3</v>
      </c>
      <c r="P743" s="3">
        <f t="shared" si="44"/>
        <v>1136.5509657935029</v>
      </c>
      <c r="Q743" s="3">
        <f t="shared" si="45"/>
        <v>-6.4032313962343324E-3</v>
      </c>
      <c r="R743" s="3">
        <f t="shared" si="46"/>
        <v>3.16E-3</v>
      </c>
      <c r="S743">
        <f t="shared" si="47"/>
        <v>11</v>
      </c>
      <c r="T743">
        <f>INDEX([1]IDEN_level_ids!$B:$B,MATCH(G743,[1]IDEN_level_ids!$A:$A,0),1)</f>
        <v>1151</v>
      </c>
      <c r="U743">
        <f>INDEX([1]IDEN_level_ids!$B:$B,MATCH(H743,[1]IDEN_level_ids!$A:$A,0),1)</f>
        <v>732</v>
      </c>
    </row>
    <row r="744" spans="1:21" hidden="1" x14ac:dyDescent="0.25">
      <c r="A744">
        <v>87979.520300000004</v>
      </c>
      <c r="B744">
        <v>1136.6282000000001</v>
      </c>
      <c r="C744">
        <v>4</v>
      </c>
      <c r="D744" t="s">
        <v>305</v>
      </c>
      <c r="F744">
        <v>1969</v>
      </c>
      <c r="G744" s="1" t="s">
        <v>239</v>
      </c>
      <c r="H744" s="1" t="s">
        <v>237</v>
      </c>
      <c r="I744">
        <v>0</v>
      </c>
      <c r="J744">
        <v>87979.1054</v>
      </c>
      <c r="K744">
        <v>-5.3600000000000002E-3</v>
      </c>
      <c r="L744">
        <v>3.1700000000000001E-3</v>
      </c>
      <c r="M744">
        <v>0.245</v>
      </c>
      <c r="N744">
        <v>4.6600000000000003E-2</v>
      </c>
      <c r="O744">
        <v>3.32E-3</v>
      </c>
      <c r="P744" s="3">
        <f t="shared" si="44"/>
        <v>1136.6281568598185</v>
      </c>
      <c r="Q744" s="3">
        <f t="shared" si="45"/>
        <v>-5.3602161574417551E-3</v>
      </c>
      <c r="R744" s="3">
        <f t="shared" si="46"/>
        <v>3.1700000000000001E-3</v>
      </c>
      <c r="S744">
        <f t="shared" si="47"/>
        <v>11</v>
      </c>
      <c r="T744">
        <f>INDEX([1]IDEN_level_ids!$B:$B,MATCH(G744,[1]IDEN_level_ids!$A:$A,0),1)</f>
        <v>1167</v>
      </c>
      <c r="U744">
        <f>INDEX([1]IDEN_level_ids!$B:$B,MATCH(H744,[1]IDEN_level_ids!$A:$A,0),1)</f>
        <v>773</v>
      </c>
    </row>
    <row r="745" spans="1:21" hidden="1" x14ac:dyDescent="0.25">
      <c r="A745">
        <v>87973.277000000002</v>
      </c>
      <c r="B745">
        <v>1136.7088000000001</v>
      </c>
      <c r="C745">
        <v>4</v>
      </c>
      <c r="D745" t="s">
        <v>305</v>
      </c>
      <c r="F745">
        <v>1969</v>
      </c>
      <c r="G745" s="1" t="s">
        <v>302</v>
      </c>
      <c r="H745" s="1" t="s">
        <v>173</v>
      </c>
      <c r="I745">
        <v>0</v>
      </c>
      <c r="J745">
        <v>87973.052800000005</v>
      </c>
      <c r="K745">
        <v>-2.8999999999999998E-3</v>
      </c>
      <c r="L745">
        <v>3.1700000000000001E-3</v>
      </c>
      <c r="M745">
        <v>0.245</v>
      </c>
      <c r="N745">
        <v>0.16839999999999999</v>
      </c>
      <c r="O745">
        <v>3.81E-3</v>
      </c>
      <c r="P745" s="3">
        <f t="shared" si="44"/>
        <v>1136.7088212480705</v>
      </c>
      <c r="Q745" s="3">
        <f t="shared" si="45"/>
        <v>-2.8969111519927537E-3</v>
      </c>
      <c r="R745" s="3">
        <f t="shared" si="46"/>
        <v>3.1700000000000001E-3</v>
      </c>
      <c r="S745">
        <f t="shared" si="47"/>
        <v>11</v>
      </c>
      <c r="T745">
        <f>INDEX([1]IDEN_level_ids!$B:$B,MATCH(G745,[1]IDEN_level_ids!$A:$A,0),1)</f>
        <v>1100</v>
      </c>
      <c r="U745">
        <f>INDEX([1]IDEN_level_ids!$B:$B,MATCH(H745,[1]IDEN_level_ids!$A:$A,0),1)</f>
        <v>483</v>
      </c>
    </row>
    <row r="746" spans="1:21" hidden="1" x14ac:dyDescent="0.25">
      <c r="A746">
        <v>87962.198399999994</v>
      </c>
      <c r="B746">
        <v>1136.8520000000001</v>
      </c>
      <c r="C746">
        <v>4</v>
      </c>
      <c r="D746" t="s">
        <v>305</v>
      </c>
      <c r="F746">
        <v>1969</v>
      </c>
      <c r="G746" s="1" t="s">
        <v>180</v>
      </c>
      <c r="H746" s="1" t="s">
        <v>222</v>
      </c>
      <c r="I746">
        <v>0</v>
      </c>
      <c r="J746">
        <v>87961.732300000003</v>
      </c>
      <c r="K746">
        <v>-6.0200000000000002E-3</v>
      </c>
      <c r="L746">
        <v>3.1700000000000001E-3</v>
      </c>
      <c r="M746">
        <v>0.245</v>
      </c>
      <c r="N746">
        <v>2.8799999999999999E-2</v>
      </c>
      <c r="O746">
        <v>3.2599999999999999E-3</v>
      </c>
      <c r="P746" s="3">
        <f t="shared" si="44"/>
        <v>1136.8519866370234</v>
      </c>
      <c r="Q746" s="3">
        <f t="shared" si="45"/>
        <v>-6.0240595212235348E-3</v>
      </c>
      <c r="R746" s="3">
        <f t="shared" si="46"/>
        <v>3.1700000000000001E-3</v>
      </c>
      <c r="S746">
        <f t="shared" si="47"/>
        <v>11</v>
      </c>
      <c r="T746">
        <f>INDEX([1]IDEN_level_ids!$B:$B,MATCH(G746,[1]IDEN_level_ids!$A:$A,0),1)</f>
        <v>1184</v>
      </c>
      <c r="U746">
        <f>INDEX([1]IDEN_level_ids!$B:$B,MATCH(H746,[1]IDEN_level_ids!$A:$A,0),1)</f>
        <v>800</v>
      </c>
    </row>
    <row r="747" spans="1:21" hidden="1" x14ac:dyDescent="0.25">
      <c r="A747">
        <v>87935.507299999997</v>
      </c>
      <c r="B747">
        <v>1137.1971000000001</v>
      </c>
      <c r="C747">
        <v>4</v>
      </c>
      <c r="D747" t="s">
        <v>305</v>
      </c>
      <c r="F747">
        <v>1969</v>
      </c>
      <c r="G747" s="1" t="s">
        <v>84</v>
      </c>
      <c r="H747" s="1" t="s">
        <v>228</v>
      </c>
      <c r="I747">
        <v>0</v>
      </c>
      <c r="J747">
        <v>87935.067500000005</v>
      </c>
      <c r="K747">
        <v>-5.6899999999999997E-3</v>
      </c>
      <c r="L747">
        <v>3.1700000000000001E-3</v>
      </c>
      <c r="M747">
        <v>0.245</v>
      </c>
      <c r="N747">
        <v>2.8400000000000002E-2</v>
      </c>
      <c r="O747">
        <v>3.2599999999999999E-3</v>
      </c>
      <c r="P747" s="3">
        <f t="shared" si="44"/>
        <v>1137.1970557790823</v>
      </c>
      <c r="Q747" s="3">
        <f t="shared" si="45"/>
        <v>-5.6875974437389232E-3</v>
      </c>
      <c r="R747" s="3">
        <f t="shared" si="46"/>
        <v>3.1700000000000001E-3</v>
      </c>
      <c r="S747">
        <f t="shared" si="47"/>
        <v>11</v>
      </c>
      <c r="T747">
        <f>INDEX([1]IDEN_level_ids!$B:$B,MATCH(G747,[1]IDEN_level_ids!$A:$A,0),1)</f>
        <v>1191</v>
      </c>
      <c r="U747">
        <f>INDEX([1]IDEN_level_ids!$B:$B,MATCH(H747,[1]IDEN_level_ids!$A:$A,0),1)</f>
        <v>804</v>
      </c>
    </row>
    <row r="748" spans="1:21" hidden="1" x14ac:dyDescent="0.25">
      <c r="A748">
        <v>87895.569900000002</v>
      </c>
      <c r="B748">
        <v>1137.7138</v>
      </c>
      <c r="C748">
        <v>4</v>
      </c>
      <c r="D748" t="s">
        <v>305</v>
      </c>
      <c r="F748">
        <v>1969</v>
      </c>
      <c r="G748" s="1" t="s">
        <v>271</v>
      </c>
      <c r="H748" s="1" t="s">
        <v>127</v>
      </c>
      <c r="I748">
        <v>0</v>
      </c>
      <c r="J748">
        <v>87895.376099999994</v>
      </c>
      <c r="K748">
        <v>-2.5100000000000001E-3</v>
      </c>
      <c r="L748">
        <v>3.1700000000000001E-3</v>
      </c>
      <c r="M748">
        <v>0.245</v>
      </c>
      <c r="N748">
        <v>0.03</v>
      </c>
      <c r="O748">
        <v>3.2699999999999999E-3</v>
      </c>
      <c r="P748" s="3">
        <f t="shared" si="44"/>
        <v>1137.7137677561152</v>
      </c>
      <c r="Q748" s="3">
        <f t="shared" si="45"/>
        <v>-2.5085384236263053E-3</v>
      </c>
      <c r="R748" s="3">
        <f t="shared" si="46"/>
        <v>3.1700000000000001E-3</v>
      </c>
      <c r="S748">
        <f t="shared" si="47"/>
        <v>11</v>
      </c>
      <c r="T748">
        <f>INDEX([1]IDEN_level_ids!$B:$B,MATCH(G748,[1]IDEN_level_ids!$A:$A,0),1)</f>
        <v>1158</v>
      </c>
      <c r="U748">
        <f>INDEX([1]IDEN_level_ids!$B:$B,MATCH(H748,[1]IDEN_level_ids!$A:$A,0),1)</f>
        <v>760</v>
      </c>
    </row>
    <row r="749" spans="1:21" hidden="1" x14ac:dyDescent="0.25">
      <c r="A749">
        <v>87888.208299999998</v>
      </c>
      <c r="B749">
        <v>1137.8090999999999</v>
      </c>
      <c r="C749">
        <v>4</v>
      </c>
      <c r="D749" t="s">
        <v>305</v>
      </c>
      <c r="F749">
        <v>1969</v>
      </c>
      <c r="G749" s="1" t="s">
        <v>239</v>
      </c>
      <c r="H749" s="1" t="s">
        <v>241</v>
      </c>
      <c r="I749">
        <v>0</v>
      </c>
      <c r="J749">
        <v>87888.099100000007</v>
      </c>
      <c r="K749">
        <v>-1.41E-3</v>
      </c>
      <c r="L749">
        <v>3.1700000000000001E-3</v>
      </c>
      <c r="M749">
        <v>0.245</v>
      </c>
      <c r="N749">
        <v>7.5700000000000003E-2</v>
      </c>
      <c r="O749">
        <v>3.4299999999999999E-3</v>
      </c>
      <c r="P749" s="3">
        <f t="shared" si="44"/>
        <v>1137.8090637444477</v>
      </c>
      <c r="Q749" s="3">
        <f t="shared" si="45"/>
        <v>-1.4137152927560237E-3</v>
      </c>
      <c r="R749" s="3">
        <f t="shared" si="46"/>
        <v>3.1700000000000001E-3</v>
      </c>
      <c r="S749">
        <f t="shared" si="47"/>
        <v>11</v>
      </c>
      <c r="T749">
        <f>INDEX([1]IDEN_level_ids!$B:$B,MATCH(G749,[1]IDEN_level_ids!$A:$A,0),1)</f>
        <v>1167</v>
      </c>
      <c r="U749">
        <f>INDEX([1]IDEN_level_ids!$B:$B,MATCH(H749,[1]IDEN_level_ids!$A:$A,0),1)</f>
        <v>777</v>
      </c>
    </row>
    <row r="750" spans="1:21" hidden="1" x14ac:dyDescent="0.25">
      <c r="A750">
        <v>87882.278600000005</v>
      </c>
      <c r="B750">
        <v>1137.8858</v>
      </c>
      <c r="C750">
        <v>4</v>
      </c>
      <c r="D750" t="s">
        <v>305</v>
      </c>
      <c r="F750">
        <v>1969</v>
      </c>
      <c r="G750" s="1" t="s">
        <v>216</v>
      </c>
      <c r="H750" s="1" t="s">
        <v>249</v>
      </c>
      <c r="I750">
        <v>0</v>
      </c>
      <c r="J750">
        <v>87881.931100000002</v>
      </c>
      <c r="K750">
        <v>-4.4999999999999997E-3</v>
      </c>
      <c r="L750">
        <v>3.1700000000000001E-3</v>
      </c>
      <c r="M750">
        <v>0.245</v>
      </c>
      <c r="N750">
        <v>2.4E-2</v>
      </c>
      <c r="O750">
        <v>3.2499999999999999E-3</v>
      </c>
      <c r="P750" s="3">
        <f t="shared" si="44"/>
        <v>1137.8858353816056</v>
      </c>
      <c r="Q750" s="3">
        <f t="shared" si="45"/>
        <v>-4.4993927972427628E-3</v>
      </c>
      <c r="R750" s="3">
        <f t="shared" si="46"/>
        <v>3.1700000000000001E-3</v>
      </c>
      <c r="S750">
        <f t="shared" si="47"/>
        <v>11</v>
      </c>
      <c r="T750">
        <f>INDEX([1]IDEN_level_ids!$B:$B,MATCH(G750,[1]IDEN_level_ids!$A:$A,0),1)</f>
        <v>1170</v>
      </c>
      <c r="U750">
        <f>INDEX([1]IDEN_level_ids!$B:$B,MATCH(H750,[1]IDEN_level_ids!$A:$A,0),1)</f>
        <v>784</v>
      </c>
    </row>
    <row r="751" spans="1:21" hidden="1" x14ac:dyDescent="0.25">
      <c r="A751">
        <v>87855.617899999997</v>
      </c>
      <c r="B751">
        <v>1138.2311</v>
      </c>
      <c r="C751">
        <v>4</v>
      </c>
      <c r="D751" t="s">
        <v>305</v>
      </c>
      <c r="F751">
        <v>1969</v>
      </c>
      <c r="G751" s="1" t="s">
        <v>83</v>
      </c>
      <c r="H751" s="1" t="s">
        <v>179</v>
      </c>
      <c r="I751">
        <v>0</v>
      </c>
      <c r="J751">
        <v>87855.143500000006</v>
      </c>
      <c r="K751">
        <v>-6.1500000000000001E-3</v>
      </c>
      <c r="L751">
        <v>3.1700000000000001E-3</v>
      </c>
      <c r="M751">
        <v>0.245</v>
      </c>
      <c r="N751">
        <v>2.3599999999999999E-2</v>
      </c>
      <c r="O751">
        <v>3.2499999999999999E-3</v>
      </c>
      <c r="P751" s="3">
        <f t="shared" si="44"/>
        <v>1138.2311386600584</v>
      </c>
      <c r="Q751" s="3">
        <f t="shared" si="45"/>
        <v>-6.1462178609872353E-3</v>
      </c>
      <c r="R751" s="3">
        <f t="shared" si="46"/>
        <v>3.1700000000000001E-3</v>
      </c>
      <c r="S751">
        <f t="shared" si="47"/>
        <v>11</v>
      </c>
      <c r="T751">
        <f>INDEX([1]IDEN_level_ids!$B:$B,MATCH(G751,[1]IDEN_level_ids!$A:$A,0),1)</f>
        <v>1175</v>
      </c>
      <c r="U751">
        <f>INDEX([1]IDEN_level_ids!$B:$B,MATCH(H751,[1]IDEN_level_ids!$A:$A,0),1)</f>
        <v>791</v>
      </c>
    </row>
    <row r="752" spans="1:21" hidden="1" x14ac:dyDescent="0.25">
      <c r="A752">
        <v>87818.511100000003</v>
      </c>
      <c r="B752">
        <v>1138.7121</v>
      </c>
      <c r="C752">
        <v>4</v>
      </c>
      <c r="D752" t="s">
        <v>305</v>
      </c>
      <c r="F752">
        <v>1969</v>
      </c>
      <c r="G752" s="1" t="s">
        <v>297</v>
      </c>
      <c r="H752" s="1" t="s">
        <v>260</v>
      </c>
      <c r="I752">
        <v>0</v>
      </c>
      <c r="J752">
        <v>87818.329800000007</v>
      </c>
      <c r="K752">
        <v>-2.3500000000000001E-3</v>
      </c>
      <c r="L752">
        <v>3.1800000000000001E-3</v>
      </c>
      <c r="M752">
        <v>0.245</v>
      </c>
      <c r="N752">
        <v>0.25919999999999999</v>
      </c>
      <c r="O752">
        <v>4.2900000000000004E-3</v>
      </c>
      <c r="P752" s="3">
        <f t="shared" si="44"/>
        <v>1138.7120864088529</v>
      </c>
      <c r="Q752" s="3">
        <f t="shared" si="45"/>
        <v>-2.3508588892582338E-3</v>
      </c>
      <c r="R752" s="3">
        <f t="shared" si="46"/>
        <v>3.1800000000000001E-3</v>
      </c>
      <c r="S752">
        <f t="shared" si="47"/>
        <v>11</v>
      </c>
      <c r="T752">
        <f>INDEX([1]IDEN_level_ids!$B:$B,MATCH(G752,[1]IDEN_level_ids!$A:$A,0),1)</f>
        <v>1099</v>
      </c>
      <c r="U752">
        <f>INDEX([1]IDEN_level_ids!$B:$B,MATCH(H752,[1]IDEN_level_ids!$A:$A,0),1)</f>
        <v>465</v>
      </c>
    </row>
    <row r="753" spans="1:21" hidden="1" x14ac:dyDescent="0.25">
      <c r="A753">
        <v>87810.022100000002</v>
      </c>
      <c r="B753">
        <v>1138.8222000000001</v>
      </c>
      <c r="C753">
        <v>4</v>
      </c>
      <c r="D753" t="s">
        <v>305</v>
      </c>
      <c r="F753">
        <v>1969</v>
      </c>
      <c r="G753" s="1" t="s">
        <v>180</v>
      </c>
      <c r="H753" s="1" t="s">
        <v>165</v>
      </c>
      <c r="I753">
        <v>0</v>
      </c>
      <c r="J753">
        <v>87809.619699999996</v>
      </c>
      <c r="K753">
        <v>-5.2199999999999998E-3</v>
      </c>
      <c r="L753">
        <v>3.1800000000000001E-3</v>
      </c>
      <c r="M753">
        <v>0.245</v>
      </c>
      <c r="N753">
        <v>2.8400000000000002E-2</v>
      </c>
      <c r="O753">
        <v>3.2699999999999999E-3</v>
      </c>
      <c r="P753" s="3">
        <f t="shared" si="44"/>
        <v>1138.8221709603692</v>
      </c>
      <c r="Q753" s="3">
        <f t="shared" si="45"/>
        <v>-5.2188136467066215E-3</v>
      </c>
      <c r="R753" s="3">
        <f t="shared" si="46"/>
        <v>3.1800000000000001E-3</v>
      </c>
      <c r="S753">
        <f t="shared" si="47"/>
        <v>11</v>
      </c>
      <c r="T753">
        <f>INDEX([1]IDEN_level_ids!$B:$B,MATCH(G753,[1]IDEN_level_ids!$A:$A,0),1)</f>
        <v>1184</v>
      </c>
      <c r="U753">
        <f>INDEX([1]IDEN_level_ids!$B:$B,MATCH(H753,[1]IDEN_level_ids!$A:$A,0),1)</f>
        <v>802</v>
      </c>
    </row>
    <row r="754" spans="1:21" hidden="1" x14ac:dyDescent="0.25">
      <c r="A754">
        <v>87789.3848</v>
      </c>
      <c r="B754">
        <v>1139.0898999999999</v>
      </c>
      <c r="C754">
        <v>4</v>
      </c>
      <c r="D754" t="s">
        <v>305</v>
      </c>
      <c r="F754">
        <v>1969</v>
      </c>
      <c r="G754" s="1" t="s">
        <v>297</v>
      </c>
      <c r="H754" s="1" t="s">
        <v>28</v>
      </c>
      <c r="I754">
        <v>0</v>
      </c>
      <c r="J754">
        <v>87788.798299999995</v>
      </c>
      <c r="K754">
        <v>-7.6099999999999996E-3</v>
      </c>
      <c r="L754">
        <v>3.1800000000000001E-3</v>
      </c>
      <c r="M754">
        <v>0.245</v>
      </c>
      <c r="N754">
        <v>0.21590000000000001</v>
      </c>
      <c r="O754">
        <v>4.0499999999999998E-3</v>
      </c>
      <c r="P754" s="3">
        <f t="shared" si="44"/>
        <v>1139.089882311147</v>
      </c>
      <c r="Q754" s="3">
        <f t="shared" si="45"/>
        <v>-7.6100394232980761E-3</v>
      </c>
      <c r="R754" s="3">
        <f t="shared" si="46"/>
        <v>3.1800000000000001E-3</v>
      </c>
      <c r="S754">
        <f t="shared" si="47"/>
        <v>11</v>
      </c>
      <c r="T754">
        <f>INDEX([1]IDEN_level_ids!$B:$B,MATCH(G754,[1]IDEN_level_ids!$A:$A,0),1)</f>
        <v>1099</v>
      </c>
      <c r="U754">
        <f>INDEX([1]IDEN_level_ids!$B:$B,MATCH(H754,[1]IDEN_level_ids!$A:$A,0),1)</f>
        <v>458</v>
      </c>
    </row>
    <row r="755" spans="1:21" hidden="1" x14ac:dyDescent="0.25">
      <c r="A755">
        <v>87743.307700000005</v>
      </c>
      <c r="B755">
        <v>1139.6881000000001</v>
      </c>
      <c r="C755">
        <v>4</v>
      </c>
      <c r="D755" t="s">
        <v>305</v>
      </c>
      <c r="F755">
        <v>1969</v>
      </c>
      <c r="G755" s="1" t="s">
        <v>252</v>
      </c>
      <c r="H755" s="1" t="s">
        <v>222</v>
      </c>
      <c r="I755">
        <v>0</v>
      </c>
      <c r="J755">
        <v>87743.048299999995</v>
      </c>
      <c r="K755">
        <v>-3.3700000000000002E-3</v>
      </c>
      <c r="L755">
        <v>3.1800000000000001E-3</v>
      </c>
      <c r="M755">
        <v>0.245</v>
      </c>
      <c r="N755">
        <v>2.9700000000000001E-2</v>
      </c>
      <c r="O755">
        <v>3.2799999999999999E-3</v>
      </c>
      <c r="P755" s="3">
        <f t="shared" si="44"/>
        <v>1139.6880585116123</v>
      </c>
      <c r="Q755" s="3">
        <f t="shared" si="45"/>
        <v>-3.3693276916437753E-3</v>
      </c>
      <c r="R755" s="3">
        <f t="shared" si="46"/>
        <v>3.1800000000000001E-3</v>
      </c>
      <c r="S755">
        <f t="shared" si="47"/>
        <v>11</v>
      </c>
      <c r="T755">
        <f>INDEX([1]IDEN_level_ids!$B:$B,MATCH(G755,[1]IDEN_level_ids!$A:$A,0),1)</f>
        <v>1188</v>
      </c>
      <c r="U755">
        <f>INDEX([1]IDEN_level_ids!$B:$B,MATCH(H755,[1]IDEN_level_ids!$A:$A,0),1)</f>
        <v>800</v>
      </c>
    </row>
    <row r="756" spans="1:21" hidden="1" x14ac:dyDescent="0.25">
      <c r="A756">
        <v>87687.5193</v>
      </c>
      <c r="B756">
        <v>1140.4131</v>
      </c>
      <c r="C756">
        <v>4</v>
      </c>
      <c r="D756" t="s">
        <v>305</v>
      </c>
      <c r="F756">
        <v>1969</v>
      </c>
      <c r="G756" s="1" t="s">
        <v>86</v>
      </c>
      <c r="H756" s="1" t="s">
        <v>232</v>
      </c>
      <c r="I756">
        <v>0</v>
      </c>
      <c r="J756">
        <v>87687.296799999996</v>
      </c>
      <c r="K756">
        <v>-2.8900000000000002E-3</v>
      </c>
      <c r="L756">
        <v>3.1900000000000001E-3</v>
      </c>
      <c r="M756">
        <v>0.245</v>
      </c>
      <c r="N756">
        <v>4.99E-2</v>
      </c>
      <c r="O756">
        <v>3.3500000000000001E-3</v>
      </c>
      <c r="P756" s="3">
        <f t="shared" si="44"/>
        <v>1140.413148852758</v>
      </c>
      <c r="Q756" s="3">
        <f t="shared" si="45"/>
        <v>-2.8937136266904417E-3</v>
      </c>
      <c r="R756" s="3">
        <f t="shared" si="46"/>
        <v>3.1900000000000001E-3</v>
      </c>
      <c r="S756">
        <f t="shared" si="47"/>
        <v>11</v>
      </c>
      <c r="T756">
        <f>INDEX([1]IDEN_level_ids!$B:$B,MATCH(G756,[1]IDEN_level_ids!$A:$A,0),1)</f>
        <v>1183</v>
      </c>
      <c r="U756">
        <f>INDEX([1]IDEN_level_ids!$B:$B,MATCH(H756,[1]IDEN_level_ids!$A:$A,0),1)</f>
        <v>801</v>
      </c>
    </row>
    <row r="757" spans="1:21" hidden="1" x14ac:dyDescent="0.25">
      <c r="A757">
        <v>87622.299299999999</v>
      </c>
      <c r="B757">
        <v>1141.2619999999999</v>
      </c>
      <c r="C757">
        <v>4</v>
      </c>
      <c r="D757" t="s">
        <v>305</v>
      </c>
      <c r="F757">
        <v>1969</v>
      </c>
      <c r="G757" s="1" t="s">
        <v>239</v>
      </c>
      <c r="H757" s="1" t="s">
        <v>202</v>
      </c>
      <c r="I757">
        <v>0</v>
      </c>
      <c r="J757">
        <v>87621.808000000005</v>
      </c>
      <c r="K757">
        <v>-6.4000000000000003E-3</v>
      </c>
      <c r="L757">
        <v>3.1900000000000001E-3</v>
      </c>
      <c r="M757">
        <v>0.245</v>
      </c>
      <c r="N757">
        <v>4.1599999999999998E-2</v>
      </c>
      <c r="O757">
        <v>3.3300000000000001E-3</v>
      </c>
      <c r="P757" s="3">
        <f t="shared" si="44"/>
        <v>1141.2619937947691</v>
      </c>
      <c r="Q757" s="3">
        <f t="shared" si="45"/>
        <v>-6.3991149047524232E-3</v>
      </c>
      <c r="R757" s="3">
        <f t="shared" si="46"/>
        <v>3.1900000000000001E-3</v>
      </c>
      <c r="S757">
        <f t="shared" si="47"/>
        <v>11</v>
      </c>
      <c r="T757">
        <f>INDEX([1]IDEN_level_ids!$B:$B,MATCH(G757,[1]IDEN_level_ids!$A:$A,0),1)</f>
        <v>1167</v>
      </c>
      <c r="U757">
        <f>INDEX([1]IDEN_level_ids!$B:$B,MATCH(H757,[1]IDEN_level_ids!$A:$A,0),1)</f>
        <v>781</v>
      </c>
    </row>
    <row r="758" spans="1:21" hidden="1" x14ac:dyDescent="0.25">
      <c r="A758">
        <v>87606.71</v>
      </c>
      <c r="B758">
        <v>1141.4650999999999</v>
      </c>
      <c r="C758">
        <v>4</v>
      </c>
      <c r="D758" t="s">
        <v>305</v>
      </c>
      <c r="F758">
        <v>1969</v>
      </c>
      <c r="G758" s="1" t="s">
        <v>100</v>
      </c>
      <c r="H758" s="1" t="s">
        <v>227</v>
      </c>
      <c r="I758">
        <v>0</v>
      </c>
      <c r="J758">
        <v>87605.994900000005</v>
      </c>
      <c r="K758">
        <v>-9.3200000000000002E-3</v>
      </c>
      <c r="L758">
        <v>3.1900000000000001E-3</v>
      </c>
      <c r="M758">
        <v>0.245</v>
      </c>
      <c r="N758">
        <v>3.3399999999999999E-2</v>
      </c>
      <c r="O758">
        <v>3.3E-3</v>
      </c>
      <c r="P758" s="3">
        <f t="shared" si="44"/>
        <v>1141.4650772754735</v>
      </c>
      <c r="Q758" s="3">
        <f t="shared" si="45"/>
        <v>-9.3174180337882717E-3</v>
      </c>
      <c r="R758" s="3">
        <f t="shared" si="46"/>
        <v>3.1900000000000001E-3</v>
      </c>
      <c r="S758">
        <f t="shared" si="47"/>
        <v>11</v>
      </c>
      <c r="T758">
        <f>INDEX([1]IDEN_level_ids!$B:$B,MATCH(G758,[1]IDEN_level_ids!$A:$A,0),1)</f>
        <v>1146</v>
      </c>
      <c r="U758">
        <f>INDEX([1]IDEN_level_ids!$B:$B,MATCH(H758,[1]IDEN_level_ids!$A:$A,0),1)</f>
        <v>680</v>
      </c>
    </row>
    <row r="759" spans="1:21" hidden="1" x14ac:dyDescent="0.25">
      <c r="A759">
        <v>87588.908599999995</v>
      </c>
      <c r="B759">
        <v>1141.6971000000001</v>
      </c>
      <c r="C759">
        <v>4</v>
      </c>
      <c r="D759" t="s">
        <v>305</v>
      </c>
      <c r="F759">
        <v>1969</v>
      </c>
      <c r="G759" s="1" t="s">
        <v>141</v>
      </c>
      <c r="H759" s="1" t="s">
        <v>103</v>
      </c>
      <c r="I759">
        <v>0</v>
      </c>
      <c r="J759">
        <v>87588.501600000003</v>
      </c>
      <c r="K759">
        <v>-5.3E-3</v>
      </c>
      <c r="L759">
        <v>3.1900000000000001E-3</v>
      </c>
      <c r="M759">
        <v>0.245</v>
      </c>
      <c r="N759">
        <v>2.9000000000000001E-2</v>
      </c>
      <c r="O759">
        <v>3.29E-3</v>
      </c>
      <c r="P759" s="3">
        <f t="shared" si="44"/>
        <v>1141.6970664251432</v>
      </c>
      <c r="Q759" s="3">
        <f t="shared" si="45"/>
        <v>-5.3051564707402576E-3</v>
      </c>
      <c r="R759" s="3">
        <f t="shared" si="46"/>
        <v>3.1900000000000001E-3</v>
      </c>
      <c r="S759">
        <f t="shared" si="47"/>
        <v>11</v>
      </c>
      <c r="T759">
        <f>INDEX([1]IDEN_level_ids!$B:$B,MATCH(G759,[1]IDEN_level_ids!$A:$A,0),1)</f>
        <v>1155</v>
      </c>
      <c r="U759">
        <f>INDEX([1]IDEN_level_ids!$B:$B,MATCH(H759,[1]IDEN_level_ids!$A:$A,0),1)</f>
        <v>745</v>
      </c>
    </row>
    <row r="760" spans="1:21" hidden="1" x14ac:dyDescent="0.25">
      <c r="A760">
        <v>87581.397500000006</v>
      </c>
      <c r="B760">
        <v>1141.7950000000001</v>
      </c>
      <c r="C760">
        <v>4</v>
      </c>
      <c r="D760" t="s">
        <v>305</v>
      </c>
      <c r="F760">
        <v>1969</v>
      </c>
      <c r="G760" s="1" t="s">
        <v>309</v>
      </c>
      <c r="H760" s="1" t="s">
        <v>298</v>
      </c>
      <c r="I760">
        <v>0</v>
      </c>
      <c r="J760">
        <v>87580.972500000003</v>
      </c>
      <c r="K760">
        <v>-5.5399999999999998E-3</v>
      </c>
      <c r="L760">
        <v>3.1900000000000001E-3</v>
      </c>
      <c r="M760">
        <v>0.245</v>
      </c>
      <c r="N760">
        <v>0.50409999999999999</v>
      </c>
      <c r="O760">
        <v>6.4400000000000004E-3</v>
      </c>
      <c r="P760" s="3">
        <f t="shared" si="44"/>
        <v>1141.7949799213925</v>
      </c>
      <c r="Q760" s="3">
        <f t="shared" si="45"/>
        <v>-5.5407339359589969E-3</v>
      </c>
      <c r="R760" s="3">
        <f t="shared" si="46"/>
        <v>3.1900000000000001E-3</v>
      </c>
      <c r="S760">
        <f t="shared" si="47"/>
        <v>11</v>
      </c>
      <c r="T760">
        <f>INDEX([1]IDEN_level_ids!$B:$B,MATCH(G760,[1]IDEN_level_ids!$A:$A,0),1)</f>
        <v>1094</v>
      </c>
      <c r="U760">
        <f>INDEX([1]IDEN_level_ids!$B:$B,MATCH(H760,[1]IDEN_level_ids!$A:$A,0),1)</f>
        <v>338</v>
      </c>
    </row>
    <row r="761" spans="1:21" hidden="1" x14ac:dyDescent="0.25">
      <c r="A761">
        <v>87575.797999999995</v>
      </c>
      <c r="B761">
        <v>1141.8679999999999</v>
      </c>
      <c r="C761">
        <v>4</v>
      </c>
      <c r="D761" t="s">
        <v>305</v>
      </c>
      <c r="F761">
        <v>1969</v>
      </c>
      <c r="G761" s="1" t="s">
        <v>108</v>
      </c>
      <c r="H761" s="1" t="s">
        <v>176</v>
      </c>
      <c r="I761">
        <v>0</v>
      </c>
      <c r="J761">
        <v>87575.304199999999</v>
      </c>
      <c r="K761">
        <v>-6.4400000000000004E-3</v>
      </c>
      <c r="L761">
        <v>3.1900000000000001E-3</v>
      </c>
      <c r="M761">
        <v>0.245</v>
      </c>
      <c r="N761">
        <v>0.1132</v>
      </c>
      <c r="O761">
        <v>3.5999999999999999E-3</v>
      </c>
      <c r="P761" s="3">
        <f t="shared" si="44"/>
        <v>1141.8679850339474</v>
      </c>
      <c r="Q761" s="3">
        <f t="shared" si="45"/>
        <v>-6.4385093053260789E-3</v>
      </c>
      <c r="R761" s="3">
        <f t="shared" si="46"/>
        <v>3.1900000000000001E-3</v>
      </c>
      <c r="S761">
        <f t="shared" si="47"/>
        <v>11</v>
      </c>
      <c r="T761">
        <f>INDEX([1]IDEN_level_ids!$B:$B,MATCH(G761,[1]IDEN_level_ids!$A:$A,0),1)</f>
        <v>1149</v>
      </c>
      <c r="U761">
        <f>INDEX([1]IDEN_level_ids!$B:$B,MATCH(H761,[1]IDEN_level_ids!$A:$A,0),1)</f>
        <v>708</v>
      </c>
    </row>
    <row r="762" spans="1:21" hidden="1" x14ac:dyDescent="0.25">
      <c r="A762">
        <v>87564.771099999998</v>
      </c>
      <c r="B762">
        <v>1142.0118</v>
      </c>
      <c r="C762">
        <v>4</v>
      </c>
      <c r="D762" t="s">
        <v>305</v>
      </c>
      <c r="F762">
        <v>1969</v>
      </c>
      <c r="G762" s="1" t="s">
        <v>297</v>
      </c>
      <c r="H762" s="1" t="s">
        <v>109</v>
      </c>
      <c r="I762">
        <v>0</v>
      </c>
      <c r="J762">
        <v>87564.489199999996</v>
      </c>
      <c r="K762">
        <v>-3.6800000000000001E-3</v>
      </c>
      <c r="L762">
        <v>3.2000000000000002E-3</v>
      </c>
      <c r="M762">
        <v>0.245</v>
      </c>
      <c r="N762">
        <v>0.21479999999999999</v>
      </c>
      <c r="O762">
        <v>4.0699999999999998E-3</v>
      </c>
      <c r="P762" s="3">
        <f t="shared" si="44"/>
        <v>1142.0117787528825</v>
      </c>
      <c r="Q762" s="3">
        <f t="shared" si="45"/>
        <v>-3.676525991068047E-3</v>
      </c>
      <c r="R762" s="3">
        <f t="shared" si="46"/>
        <v>3.2000000000000002E-3</v>
      </c>
      <c r="S762">
        <f t="shared" si="47"/>
        <v>11</v>
      </c>
      <c r="T762">
        <f>INDEX([1]IDEN_level_ids!$B:$B,MATCH(G762,[1]IDEN_level_ids!$A:$A,0),1)</f>
        <v>1099</v>
      </c>
      <c r="U762">
        <f>INDEX([1]IDEN_level_ids!$B:$B,MATCH(H762,[1]IDEN_level_ids!$A:$A,0),1)</f>
        <v>468</v>
      </c>
    </row>
    <row r="763" spans="1:21" hidden="1" x14ac:dyDescent="0.25">
      <c r="A763">
        <v>87512.799199999994</v>
      </c>
      <c r="B763">
        <v>1142.69</v>
      </c>
      <c r="C763">
        <v>4</v>
      </c>
      <c r="D763" t="s">
        <v>305</v>
      </c>
      <c r="F763">
        <v>1969</v>
      </c>
      <c r="G763" s="1" t="s">
        <v>302</v>
      </c>
      <c r="H763" s="1" t="s">
        <v>75</v>
      </c>
      <c r="I763">
        <v>0</v>
      </c>
      <c r="J763">
        <v>87512.0239</v>
      </c>
      <c r="K763">
        <v>-1.0120000000000001E-2</v>
      </c>
      <c r="L763">
        <v>3.2000000000000002E-3</v>
      </c>
      <c r="M763">
        <v>0.245</v>
      </c>
      <c r="N763">
        <v>0.26229999999999998</v>
      </c>
      <c r="O763">
        <v>4.3400000000000001E-3</v>
      </c>
      <c r="P763" s="3">
        <f t="shared" si="44"/>
        <v>1142.6899940826029</v>
      </c>
      <c r="Q763" s="3">
        <f t="shared" si="45"/>
        <v>-1.0123495182824627E-2</v>
      </c>
      <c r="R763" s="3">
        <f t="shared" si="46"/>
        <v>3.2000000000000002E-3</v>
      </c>
      <c r="S763">
        <f t="shared" si="47"/>
        <v>11</v>
      </c>
      <c r="T763">
        <f>INDEX([1]IDEN_level_ids!$B:$B,MATCH(G763,[1]IDEN_level_ids!$A:$A,0),1)</f>
        <v>1100</v>
      </c>
      <c r="U763">
        <f>INDEX([1]IDEN_level_ids!$B:$B,MATCH(H763,[1]IDEN_level_ids!$A:$A,0),1)</f>
        <v>487</v>
      </c>
    </row>
    <row r="764" spans="1:21" hidden="1" x14ac:dyDescent="0.25">
      <c r="A764">
        <v>87505.296300000002</v>
      </c>
      <c r="B764">
        <v>1142.788</v>
      </c>
      <c r="C764">
        <v>4</v>
      </c>
      <c r="D764" t="s">
        <v>305</v>
      </c>
      <c r="F764">
        <v>1969</v>
      </c>
      <c r="G764" s="1" t="s">
        <v>245</v>
      </c>
      <c r="H764" s="1" t="s">
        <v>158</v>
      </c>
      <c r="I764">
        <v>0</v>
      </c>
      <c r="J764">
        <v>87504.974799999996</v>
      </c>
      <c r="K764">
        <v>-4.1999999999999997E-3</v>
      </c>
      <c r="L764">
        <v>3.2000000000000002E-3</v>
      </c>
      <c r="M764">
        <v>0.245</v>
      </c>
      <c r="N764">
        <v>2.4400000000000002E-2</v>
      </c>
      <c r="O764">
        <v>3.2799999999999999E-3</v>
      </c>
      <c r="P764" s="3">
        <f t="shared" si="44"/>
        <v>1142.787970880798</v>
      </c>
      <c r="Q764" s="3">
        <f t="shared" si="45"/>
        <v>-4.198690799967153E-3</v>
      </c>
      <c r="R764" s="3">
        <f t="shared" si="46"/>
        <v>3.2000000000000002E-3</v>
      </c>
      <c r="S764">
        <f t="shared" si="47"/>
        <v>11</v>
      </c>
      <c r="T764">
        <f>INDEX([1]IDEN_level_ids!$B:$B,MATCH(G764,[1]IDEN_level_ids!$A:$A,0),1)</f>
        <v>1169</v>
      </c>
      <c r="U764">
        <f>INDEX([1]IDEN_level_ids!$B:$B,MATCH(H764,[1]IDEN_level_ids!$A:$A,0),1)</f>
        <v>779</v>
      </c>
    </row>
    <row r="765" spans="1:21" hidden="1" x14ac:dyDescent="0.25">
      <c r="A765">
        <v>87487.520799999998</v>
      </c>
      <c r="B765">
        <v>1143.0201999999999</v>
      </c>
      <c r="C765">
        <v>4</v>
      </c>
      <c r="D765" t="s">
        <v>305</v>
      </c>
      <c r="F765">
        <v>1969</v>
      </c>
      <c r="G765" s="1" t="s">
        <v>285</v>
      </c>
      <c r="H765" s="1" t="s">
        <v>110</v>
      </c>
      <c r="I765">
        <v>0</v>
      </c>
      <c r="J765">
        <v>87487.924199999994</v>
      </c>
      <c r="K765">
        <v>5.2700000000000004E-3</v>
      </c>
      <c r="L765">
        <v>3.2000000000000002E-3</v>
      </c>
      <c r="M765">
        <v>0.245</v>
      </c>
      <c r="N765">
        <v>0.1565</v>
      </c>
      <c r="O765">
        <v>3.79E-3</v>
      </c>
      <c r="P765" s="3">
        <f t="shared" si="44"/>
        <v>1143.0201597391706</v>
      </c>
      <c r="Q765" s="3">
        <f t="shared" si="45"/>
        <v>5.2703768737956125E-3</v>
      </c>
      <c r="R765" s="3">
        <f t="shared" si="46"/>
        <v>3.2000000000000002E-3</v>
      </c>
      <c r="S765">
        <f t="shared" si="47"/>
        <v>11</v>
      </c>
      <c r="T765">
        <f>INDEX([1]IDEN_level_ids!$B:$B,MATCH(G765,[1]IDEN_level_ids!$A:$A,0),1)</f>
        <v>1150</v>
      </c>
      <c r="U765">
        <f>INDEX([1]IDEN_level_ids!$B:$B,MATCH(H765,[1]IDEN_level_ids!$A:$A,0),1)</f>
        <v>730</v>
      </c>
    </row>
    <row r="766" spans="1:21" hidden="1" x14ac:dyDescent="0.25">
      <c r="A766">
        <v>87470.394499999995</v>
      </c>
      <c r="B766">
        <v>1143.2439999999999</v>
      </c>
      <c r="C766">
        <v>4</v>
      </c>
      <c r="D766" t="s">
        <v>305</v>
      </c>
      <c r="F766">
        <v>1969</v>
      </c>
      <c r="G766" s="1" t="s">
        <v>204</v>
      </c>
      <c r="H766" s="1" t="s">
        <v>291</v>
      </c>
      <c r="I766">
        <v>0</v>
      </c>
      <c r="J766">
        <v>87469.995999999999</v>
      </c>
      <c r="K766">
        <v>-5.2100000000000002E-3</v>
      </c>
      <c r="L766">
        <v>3.2000000000000002E-3</v>
      </c>
      <c r="M766">
        <v>0.245</v>
      </c>
      <c r="N766">
        <v>0.33929999999999999</v>
      </c>
      <c r="O766">
        <v>4.8500000000000001E-3</v>
      </c>
      <c r="P766" s="3">
        <f t="shared" si="44"/>
        <v>1143.2439578170647</v>
      </c>
      <c r="Q766" s="3">
        <f t="shared" si="45"/>
        <v>-5.2084456158354442E-3</v>
      </c>
      <c r="R766" s="3">
        <f t="shared" si="46"/>
        <v>3.2000000000000002E-3</v>
      </c>
      <c r="S766">
        <f t="shared" si="47"/>
        <v>11</v>
      </c>
      <c r="T766">
        <f>INDEX([1]IDEN_level_ids!$B:$B,MATCH(G766,[1]IDEN_level_ids!$A:$A,0),1)</f>
        <v>1176</v>
      </c>
      <c r="U766">
        <f>INDEX([1]IDEN_level_ids!$B:$B,MATCH(H766,[1]IDEN_level_ids!$A:$A,0),1)</f>
        <v>795</v>
      </c>
    </row>
    <row r="767" spans="1:21" hidden="1" x14ac:dyDescent="0.25">
      <c r="A767">
        <v>87462.896099999998</v>
      </c>
      <c r="B767">
        <v>1143.3420000000001</v>
      </c>
      <c r="C767">
        <v>4</v>
      </c>
      <c r="D767" t="s">
        <v>305</v>
      </c>
      <c r="F767">
        <v>1969</v>
      </c>
      <c r="G767" s="1" t="s">
        <v>86</v>
      </c>
      <c r="H767" s="1" t="s">
        <v>228</v>
      </c>
      <c r="I767">
        <v>0</v>
      </c>
      <c r="J767">
        <v>87462.359700000001</v>
      </c>
      <c r="K767">
        <v>-7.0099999999999997E-3</v>
      </c>
      <c r="L767">
        <v>3.2000000000000002E-3</v>
      </c>
      <c r="M767">
        <v>0.245</v>
      </c>
      <c r="N767">
        <v>2.93E-2</v>
      </c>
      <c r="O767">
        <v>3.3E-3</v>
      </c>
      <c r="P767" s="3">
        <f t="shared" si="44"/>
        <v>1143.3419708131526</v>
      </c>
      <c r="Q767" s="3">
        <f t="shared" si="45"/>
        <v>-7.0120293489708274E-3</v>
      </c>
      <c r="R767" s="3">
        <f t="shared" si="46"/>
        <v>3.2000000000000002E-3</v>
      </c>
      <c r="S767">
        <f t="shared" si="47"/>
        <v>11</v>
      </c>
      <c r="T767">
        <f>INDEX([1]IDEN_level_ids!$B:$B,MATCH(G767,[1]IDEN_level_ids!$A:$A,0),1)</f>
        <v>1183</v>
      </c>
      <c r="U767">
        <f>INDEX([1]IDEN_level_ids!$B:$B,MATCH(H767,[1]IDEN_level_ids!$A:$A,0),1)</f>
        <v>804</v>
      </c>
    </row>
    <row r="768" spans="1:21" hidden="1" x14ac:dyDescent="0.25">
      <c r="A768">
        <v>87417.400899999993</v>
      </c>
      <c r="B768">
        <v>1143.9369999999999</v>
      </c>
      <c r="C768">
        <v>4</v>
      </c>
      <c r="D768" t="s">
        <v>305</v>
      </c>
      <c r="F768">
        <v>1969</v>
      </c>
      <c r="G768" s="1" t="s">
        <v>268</v>
      </c>
      <c r="H768" s="1" t="s">
        <v>150</v>
      </c>
      <c r="I768">
        <v>0</v>
      </c>
      <c r="J768">
        <v>87416.816699999996</v>
      </c>
      <c r="K768">
        <v>-7.6400000000000001E-3</v>
      </c>
      <c r="L768">
        <v>3.2100000000000002E-3</v>
      </c>
      <c r="M768">
        <v>0.245</v>
      </c>
      <c r="N768">
        <v>2.2700000000000001E-2</v>
      </c>
      <c r="O768">
        <v>3.2799999999999999E-3</v>
      </c>
      <c r="P768" s="3">
        <f t="shared" si="44"/>
        <v>1143.9370076261328</v>
      </c>
      <c r="Q768" s="3">
        <f t="shared" si="45"/>
        <v>-7.6448448373866995E-3</v>
      </c>
      <c r="R768" s="3">
        <f t="shared" si="46"/>
        <v>3.2100000000000002E-3</v>
      </c>
      <c r="S768">
        <f t="shared" si="47"/>
        <v>11</v>
      </c>
      <c r="T768">
        <f>INDEX([1]IDEN_level_ids!$B:$B,MATCH(G768,[1]IDEN_level_ids!$A:$A,0),1)</f>
        <v>1160</v>
      </c>
      <c r="U768">
        <f>INDEX([1]IDEN_level_ids!$B:$B,MATCH(H768,[1]IDEN_level_ids!$A:$A,0),1)</f>
        <v>769</v>
      </c>
    </row>
    <row r="769" spans="1:21" hidden="1" x14ac:dyDescent="0.25">
      <c r="A769">
        <v>87301.485100000005</v>
      </c>
      <c r="B769">
        <v>1145.4558999999999</v>
      </c>
      <c r="C769">
        <v>4</v>
      </c>
      <c r="D769" t="s">
        <v>305</v>
      </c>
      <c r="F769">
        <v>1969</v>
      </c>
      <c r="G769" s="1" t="s">
        <v>141</v>
      </c>
      <c r="H769" s="1" t="s">
        <v>191</v>
      </c>
      <c r="I769">
        <v>0</v>
      </c>
      <c r="J769">
        <v>87301.057199999996</v>
      </c>
      <c r="K769">
        <v>-5.6100000000000004E-3</v>
      </c>
      <c r="L769">
        <v>3.2100000000000002E-3</v>
      </c>
      <c r="M769">
        <v>0.245</v>
      </c>
      <c r="N769">
        <v>4.7800000000000002E-2</v>
      </c>
      <c r="O769">
        <v>3.3800000000000002E-3</v>
      </c>
      <c r="P769" s="3">
        <f t="shared" si="44"/>
        <v>1145.4558864085118</v>
      </c>
      <c r="Q769" s="3">
        <f t="shared" si="45"/>
        <v>-5.6143715728467214E-3</v>
      </c>
      <c r="R769" s="3">
        <f t="shared" si="46"/>
        <v>3.2100000000000002E-3</v>
      </c>
      <c r="S769">
        <f t="shared" si="47"/>
        <v>11</v>
      </c>
      <c r="T769">
        <f>INDEX([1]IDEN_level_ids!$B:$B,MATCH(G769,[1]IDEN_level_ids!$A:$A,0),1)</f>
        <v>1155</v>
      </c>
      <c r="U769">
        <f>INDEX([1]IDEN_level_ids!$B:$B,MATCH(H769,[1]IDEN_level_ids!$A:$A,0),1)</f>
        <v>749</v>
      </c>
    </row>
    <row r="770" spans="1:21" hidden="1" x14ac:dyDescent="0.25">
      <c r="A770">
        <v>87255.478799999997</v>
      </c>
      <c r="B770">
        <v>1146.0598</v>
      </c>
      <c r="C770">
        <v>4</v>
      </c>
      <c r="D770" t="s">
        <v>305</v>
      </c>
      <c r="F770">
        <v>1969</v>
      </c>
      <c r="G770" s="1" t="s">
        <v>310</v>
      </c>
      <c r="H770" s="1" t="s">
        <v>311</v>
      </c>
      <c r="I770">
        <v>0</v>
      </c>
      <c r="J770">
        <v>87255.207200000004</v>
      </c>
      <c r="K770">
        <v>-3.5699999999999998E-3</v>
      </c>
      <c r="L770">
        <v>3.2200000000000002E-3</v>
      </c>
      <c r="M770">
        <v>0.245</v>
      </c>
      <c r="N770">
        <v>2.2499999999999999E-2</v>
      </c>
      <c r="O770">
        <v>3.29E-3</v>
      </c>
      <c r="P770" s="3">
        <f t="shared" ref="P770:P833" si="48">100000000/$A770</f>
        <v>1146.0598391673716</v>
      </c>
      <c r="Q770" s="3">
        <f t="shared" ref="Q770:Q833" si="49">100000000/($A770)-100000000/$J770</f>
        <v>-3.5673498728101549E-3</v>
      </c>
      <c r="R770" s="3">
        <f t="shared" si="46"/>
        <v>3.2200000000000002E-3</v>
      </c>
      <c r="S770">
        <f t="shared" si="47"/>
        <v>11</v>
      </c>
      <c r="T770">
        <f>INDEX([1]IDEN_level_ids!$B:$B,MATCH(G770,[1]IDEN_level_ids!$A:$A,0),1)</f>
        <v>1230</v>
      </c>
      <c r="U770">
        <f>INDEX([1]IDEN_level_ids!$B:$B,MATCH(H770,[1]IDEN_level_ids!$A:$A,0),1)</f>
        <v>876</v>
      </c>
    </row>
    <row r="771" spans="1:21" hidden="1" x14ac:dyDescent="0.25">
      <c r="A771">
        <v>87233.698300000004</v>
      </c>
      <c r="B771">
        <v>1146.346</v>
      </c>
      <c r="C771">
        <v>4</v>
      </c>
      <c r="D771" t="s">
        <v>305</v>
      </c>
      <c r="F771">
        <v>1969</v>
      </c>
      <c r="G771" s="1" t="s">
        <v>86</v>
      </c>
      <c r="H771" s="1" t="s">
        <v>184</v>
      </c>
      <c r="I771">
        <v>0</v>
      </c>
      <c r="J771">
        <v>87233.322899999999</v>
      </c>
      <c r="K771">
        <v>-4.9300000000000004E-3</v>
      </c>
      <c r="L771">
        <v>3.2200000000000002E-3</v>
      </c>
      <c r="M771">
        <v>0.245</v>
      </c>
      <c r="N771">
        <v>3.9199999999999999E-2</v>
      </c>
      <c r="O771">
        <v>3.3500000000000001E-3</v>
      </c>
      <c r="P771" s="3">
        <f t="shared" si="48"/>
        <v>1146.3459872593753</v>
      </c>
      <c r="Q771" s="3">
        <f t="shared" si="49"/>
        <v>-4.9331868754052266E-3</v>
      </c>
      <c r="R771" s="3">
        <f t="shared" ref="R771:R834" si="50">$L771</f>
        <v>3.2200000000000002E-3</v>
      </c>
      <c r="S771">
        <f t="shared" si="47"/>
        <v>11</v>
      </c>
      <c r="T771">
        <f>INDEX([1]IDEN_level_ids!$B:$B,MATCH(G771,[1]IDEN_level_ids!$A:$A,0),1)</f>
        <v>1183</v>
      </c>
      <c r="U771">
        <f>INDEX([1]IDEN_level_ids!$B:$B,MATCH(H771,[1]IDEN_level_ids!$A:$A,0),1)</f>
        <v>810</v>
      </c>
    </row>
    <row r="772" spans="1:21" hidden="1" x14ac:dyDescent="0.25">
      <c r="A772">
        <v>87214.382899999997</v>
      </c>
      <c r="B772">
        <v>1146.5998999999999</v>
      </c>
      <c r="C772">
        <v>4</v>
      </c>
      <c r="D772" t="s">
        <v>305</v>
      </c>
      <c r="F772">
        <v>1969</v>
      </c>
      <c r="G772" s="1" t="s">
        <v>100</v>
      </c>
      <c r="H772" s="1" t="s">
        <v>132</v>
      </c>
      <c r="I772">
        <v>0</v>
      </c>
      <c r="J772">
        <v>87214.1774</v>
      </c>
      <c r="K772">
        <v>-2.7000000000000001E-3</v>
      </c>
      <c r="L772">
        <v>3.2200000000000002E-3</v>
      </c>
      <c r="M772">
        <v>0.245</v>
      </c>
      <c r="N772">
        <v>9.7299999999999998E-2</v>
      </c>
      <c r="O772">
        <v>3.5699999999999998E-3</v>
      </c>
      <c r="P772" s="3">
        <f t="shared" si="48"/>
        <v>1146.5998689076318</v>
      </c>
      <c r="Q772" s="3">
        <f t="shared" si="49"/>
        <v>-2.7016969038413663E-3</v>
      </c>
      <c r="R772" s="3">
        <f t="shared" si="50"/>
        <v>3.2200000000000002E-3</v>
      </c>
      <c r="S772">
        <f t="shared" ref="S772:S835" si="51">IF(D772=D771,S771,S771+1)</f>
        <v>11</v>
      </c>
      <c r="T772">
        <f>INDEX([1]IDEN_level_ids!$B:$B,MATCH(G772,[1]IDEN_level_ids!$A:$A,0),1)</f>
        <v>1146</v>
      </c>
      <c r="U772">
        <f>INDEX([1]IDEN_level_ids!$B:$B,MATCH(H772,[1]IDEN_level_ids!$A:$A,0),1)</f>
        <v>696</v>
      </c>
    </row>
    <row r="773" spans="1:21" hidden="1" x14ac:dyDescent="0.25">
      <c r="A773">
        <v>87209.890799999994</v>
      </c>
      <c r="B773">
        <v>1146.6588999999999</v>
      </c>
      <c r="C773">
        <v>4</v>
      </c>
      <c r="D773" t="s">
        <v>305</v>
      </c>
      <c r="F773">
        <v>1969</v>
      </c>
      <c r="G773" s="1" t="s">
        <v>285</v>
      </c>
      <c r="H773" s="1" t="s">
        <v>156</v>
      </c>
      <c r="I773">
        <v>0</v>
      </c>
      <c r="J773">
        <v>87209.496700000003</v>
      </c>
      <c r="K773">
        <v>-5.1799999999999997E-3</v>
      </c>
      <c r="L773">
        <v>3.2200000000000002E-3</v>
      </c>
      <c r="M773">
        <v>0.245</v>
      </c>
      <c r="N773">
        <v>0.10390000000000001</v>
      </c>
      <c r="O773">
        <v>3.5899999999999999E-3</v>
      </c>
      <c r="P773" s="3">
        <f t="shared" si="48"/>
        <v>1146.658929195678</v>
      </c>
      <c r="Q773" s="3">
        <f t="shared" si="49"/>
        <v>-5.1817554403896793E-3</v>
      </c>
      <c r="R773" s="3">
        <f t="shared" si="50"/>
        <v>3.2200000000000002E-3</v>
      </c>
      <c r="S773">
        <f t="shared" si="51"/>
        <v>11</v>
      </c>
      <c r="T773">
        <f>INDEX([1]IDEN_level_ids!$B:$B,MATCH(G773,[1]IDEN_level_ids!$A:$A,0),1)</f>
        <v>1150</v>
      </c>
      <c r="U773">
        <f>INDEX([1]IDEN_level_ids!$B:$B,MATCH(H773,[1]IDEN_level_ids!$A:$A,0),1)</f>
        <v>734</v>
      </c>
    </row>
    <row r="774" spans="1:21" hidden="1" x14ac:dyDescent="0.25">
      <c r="A774">
        <v>87205.483800000002</v>
      </c>
      <c r="B774">
        <v>1146.7168999999999</v>
      </c>
      <c r="C774">
        <v>4</v>
      </c>
      <c r="D774" t="s">
        <v>305</v>
      </c>
      <c r="F774">
        <v>1969</v>
      </c>
      <c r="G774" s="1" t="s">
        <v>83</v>
      </c>
      <c r="H774" s="1" t="s">
        <v>152</v>
      </c>
      <c r="I774">
        <v>0</v>
      </c>
      <c r="J774">
        <v>87205.005600000004</v>
      </c>
      <c r="K774">
        <v>-6.2899999999999996E-3</v>
      </c>
      <c r="L774">
        <v>3.2200000000000002E-3</v>
      </c>
      <c r="M774">
        <v>0.245</v>
      </c>
      <c r="N774">
        <v>2.0799999999999999E-2</v>
      </c>
      <c r="O774">
        <v>3.29E-3</v>
      </c>
      <c r="P774" s="3">
        <f t="shared" si="48"/>
        <v>1146.7168765366107</v>
      </c>
      <c r="Q774" s="3">
        <f t="shared" si="49"/>
        <v>-6.2881712647140375E-3</v>
      </c>
      <c r="R774" s="3">
        <f t="shared" si="50"/>
        <v>3.2200000000000002E-3</v>
      </c>
      <c r="S774">
        <f t="shared" si="51"/>
        <v>11</v>
      </c>
      <c r="T774">
        <f>INDEX([1]IDEN_level_ids!$B:$B,MATCH(G774,[1]IDEN_level_ids!$A:$A,0),1)</f>
        <v>1175</v>
      </c>
      <c r="U774">
        <f>INDEX([1]IDEN_level_ids!$B:$B,MATCH(H774,[1]IDEN_level_ids!$A:$A,0),1)</f>
        <v>793</v>
      </c>
    </row>
    <row r="775" spans="1:21" hidden="1" x14ac:dyDescent="0.25">
      <c r="A775">
        <v>87097.6973</v>
      </c>
      <c r="B775">
        <v>1148.136</v>
      </c>
      <c r="C775">
        <v>4</v>
      </c>
      <c r="D775" t="s">
        <v>305</v>
      </c>
      <c r="F775">
        <v>1969</v>
      </c>
      <c r="G775" s="1" t="s">
        <v>297</v>
      </c>
      <c r="H775" s="1" t="s">
        <v>257</v>
      </c>
      <c r="I775">
        <v>0</v>
      </c>
      <c r="J775">
        <v>87097.199099999998</v>
      </c>
      <c r="K775">
        <v>-6.5700000000000003E-3</v>
      </c>
      <c r="L775">
        <v>3.2299999999999998E-3</v>
      </c>
      <c r="M775">
        <v>0.245</v>
      </c>
      <c r="N775">
        <v>0.25869999999999999</v>
      </c>
      <c r="O775">
        <v>4.3600000000000002E-3</v>
      </c>
      <c r="P775" s="3">
        <f t="shared" si="48"/>
        <v>1148.1359794801372</v>
      </c>
      <c r="Q775" s="3">
        <f t="shared" si="49"/>
        <v>-6.5673908104599832E-3</v>
      </c>
      <c r="R775" s="3">
        <f t="shared" si="50"/>
        <v>3.2299999999999998E-3</v>
      </c>
      <c r="S775">
        <f t="shared" si="51"/>
        <v>11</v>
      </c>
      <c r="T775">
        <f>INDEX([1]IDEN_level_ids!$B:$B,MATCH(G775,[1]IDEN_level_ids!$A:$A,0),1)</f>
        <v>1099</v>
      </c>
      <c r="U775">
        <f>INDEX([1]IDEN_level_ids!$B:$B,MATCH(H775,[1]IDEN_level_ids!$A:$A,0),1)</f>
        <v>479</v>
      </c>
    </row>
    <row r="776" spans="1:21" hidden="1" x14ac:dyDescent="0.25">
      <c r="A776">
        <v>87070.614000000001</v>
      </c>
      <c r="B776">
        <v>1148.4930999999999</v>
      </c>
      <c r="C776">
        <v>4</v>
      </c>
      <c r="D776" t="s">
        <v>305</v>
      </c>
      <c r="E776" t="s">
        <v>45</v>
      </c>
      <c r="F776">
        <v>1969</v>
      </c>
      <c r="G776" s="1" t="s">
        <v>297</v>
      </c>
      <c r="H776" s="1" t="s">
        <v>173</v>
      </c>
      <c r="I776">
        <v>0</v>
      </c>
      <c r="J776">
        <v>87070.433300000004</v>
      </c>
      <c r="K776">
        <v>-2.3800000000000002E-3</v>
      </c>
      <c r="L776">
        <v>6.3600000000000002E-3</v>
      </c>
      <c r="M776">
        <v>0.48199999999999998</v>
      </c>
      <c r="N776">
        <v>4.3900000000000002E-2</v>
      </c>
      <c r="O776">
        <v>6.6499999999999997E-3</v>
      </c>
      <c r="P776" s="3">
        <f t="shared" si="48"/>
        <v>1148.4931069855554</v>
      </c>
      <c r="Q776" s="3">
        <f t="shared" si="49"/>
        <v>-2.3835037516164448E-3</v>
      </c>
      <c r="R776" s="3">
        <f t="shared" si="50"/>
        <v>6.3600000000000002E-3</v>
      </c>
      <c r="S776">
        <f t="shared" si="51"/>
        <v>11</v>
      </c>
      <c r="T776">
        <f>INDEX([1]IDEN_level_ids!$B:$B,MATCH(G776,[1]IDEN_level_ids!$A:$A,0),1)</f>
        <v>1099</v>
      </c>
      <c r="U776">
        <f>INDEX([1]IDEN_level_ids!$B:$B,MATCH(H776,[1]IDEN_level_ids!$A:$A,0),1)</f>
        <v>483</v>
      </c>
    </row>
    <row r="777" spans="1:21" hidden="1" x14ac:dyDescent="0.25">
      <c r="A777">
        <v>87044.616500000004</v>
      </c>
      <c r="B777">
        <v>1148.8361</v>
      </c>
      <c r="C777">
        <v>4</v>
      </c>
      <c r="D777" t="s">
        <v>305</v>
      </c>
      <c r="F777">
        <v>1969</v>
      </c>
      <c r="G777" s="1" t="s">
        <v>85</v>
      </c>
      <c r="H777" s="1" t="s">
        <v>242</v>
      </c>
      <c r="I777">
        <v>0</v>
      </c>
      <c r="J777">
        <v>87044.341400000005</v>
      </c>
      <c r="K777">
        <v>-3.63E-3</v>
      </c>
      <c r="L777">
        <v>3.2299999999999998E-3</v>
      </c>
      <c r="M777">
        <v>0.245</v>
      </c>
      <c r="N777">
        <v>0.11990000000000001</v>
      </c>
      <c r="O777">
        <v>3.6700000000000001E-3</v>
      </c>
      <c r="P777" s="3">
        <f t="shared" si="48"/>
        <v>1148.8361258964246</v>
      </c>
      <c r="Q777" s="3">
        <f t="shared" si="49"/>
        <v>-3.6308485209701757E-3</v>
      </c>
      <c r="R777" s="3">
        <f t="shared" si="50"/>
        <v>3.2299999999999998E-3</v>
      </c>
      <c r="S777">
        <f t="shared" si="51"/>
        <v>11</v>
      </c>
      <c r="T777">
        <f>INDEX([1]IDEN_level_ids!$B:$B,MATCH(G777,[1]IDEN_level_ids!$A:$A,0),1)</f>
        <v>1168</v>
      </c>
      <c r="U777">
        <f>INDEX([1]IDEN_level_ids!$B:$B,MATCH(H777,[1]IDEN_level_ids!$A:$A,0),1)</f>
        <v>786</v>
      </c>
    </row>
    <row r="778" spans="1:21" hidden="1" x14ac:dyDescent="0.25">
      <c r="A778">
        <v>87033.795299999998</v>
      </c>
      <c r="B778">
        <v>1148.979</v>
      </c>
      <c r="C778">
        <v>4</v>
      </c>
      <c r="D778" t="s">
        <v>305</v>
      </c>
      <c r="F778">
        <v>1969</v>
      </c>
      <c r="G778" s="1" t="s">
        <v>207</v>
      </c>
      <c r="H778" s="1" t="s">
        <v>222</v>
      </c>
      <c r="I778">
        <v>0</v>
      </c>
      <c r="J778">
        <v>87033.349199999997</v>
      </c>
      <c r="K778">
        <v>-5.8900000000000003E-3</v>
      </c>
      <c r="L778">
        <v>3.2299999999999998E-3</v>
      </c>
      <c r="M778">
        <v>0.245</v>
      </c>
      <c r="N778">
        <v>3.6700000000000003E-2</v>
      </c>
      <c r="O778">
        <v>3.3600000000000001E-3</v>
      </c>
      <c r="P778" s="3">
        <f t="shared" si="48"/>
        <v>1148.9789644965649</v>
      </c>
      <c r="Q778" s="3">
        <f t="shared" si="49"/>
        <v>-5.8892312058560492E-3</v>
      </c>
      <c r="R778" s="3">
        <f t="shared" si="50"/>
        <v>3.2299999999999998E-3</v>
      </c>
      <c r="S778">
        <f t="shared" si="51"/>
        <v>11</v>
      </c>
      <c r="T778">
        <f>INDEX([1]IDEN_level_ids!$B:$B,MATCH(G778,[1]IDEN_level_ids!$A:$A,0),1)</f>
        <v>1177</v>
      </c>
      <c r="U778">
        <f>INDEX([1]IDEN_level_ids!$B:$B,MATCH(H778,[1]IDEN_level_ids!$A:$A,0),1)</f>
        <v>800</v>
      </c>
    </row>
    <row r="779" spans="1:21" hidden="1" x14ac:dyDescent="0.25">
      <c r="A779">
        <v>87018.580799999996</v>
      </c>
      <c r="B779">
        <v>1149.1799000000001</v>
      </c>
      <c r="C779">
        <v>4</v>
      </c>
      <c r="D779" t="s">
        <v>305</v>
      </c>
      <c r="F779">
        <v>1969</v>
      </c>
      <c r="G779" s="1" t="s">
        <v>283</v>
      </c>
      <c r="H779" s="1" t="s">
        <v>303</v>
      </c>
      <c r="I779">
        <v>0</v>
      </c>
      <c r="J779">
        <v>87017.930900000007</v>
      </c>
      <c r="K779">
        <v>-8.5800000000000008E-3</v>
      </c>
      <c r="L779">
        <v>3.2399999999999998E-3</v>
      </c>
      <c r="M779">
        <v>0.245</v>
      </c>
      <c r="N779">
        <v>7.2599999999999998E-2</v>
      </c>
      <c r="O779">
        <v>3.49E-3</v>
      </c>
      <c r="P779" s="3">
        <f t="shared" si="48"/>
        <v>1149.1798542409692</v>
      </c>
      <c r="Q779" s="3">
        <f t="shared" si="49"/>
        <v>-8.582736678818037E-3</v>
      </c>
      <c r="R779" s="3">
        <f t="shared" si="50"/>
        <v>3.2399999999999998E-3</v>
      </c>
      <c r="S779">
        <f t="shared" si="51"/>
        <v>11</v>
      </c>
      <c r="T779">
        <f>INDEX([1]IDEN_level_ids!$B:$B,MATCH(G779,[1]IDEN_level_ids!$A:$A,0),1)</f>
        <v>1178</v>
      </c>
      <c r="U779">
        <f>INDEX([1]IDEN_level_ids!$B:$B,MATCH(H779,[1]IDEN_level_ids!$A:$A,0),1)</f>
        <v>805</v>
      </c>
    </row>
    <row r="780" spans="1:21" hidden="1" x14ac:dyDescent="0.25">
      <c r="A780">
        <v>86976.191000000006</v>
      </c>
      <c r="B780">
        <v>1149.7399</v>
      </c>
      <c r="C780">
        <v>4</v>
      </c>
      <c r="D780" t="s">
        <v>305</v>
      </c>
      <c r="F780">
        <v>1969</v>
      </c>
      <c r="G780" s="1" t="s">
        <v>288</v>
      </c>
      <c r="H780" s="1" t="s">
        <v>211</v>
      </c>
      <c r="I780">
        <v>0</v>
      </c>
      <c r="J780">
        <v>86975.840899999996</v>
      </c>
      <c r="K780">
        <v>-4.6299999999999996E-3</v>
      </c>
      <c r="L780">
        <v>3.2399999999999998E-3</v>
      </c>
      <c r="M780">
        <v>0.245</v>
      </c>
      <c r="N780">
        <v>3.3799999999999997E-2</v>
      </c>
      <c r="O780">
        <v>3.3500000000000001E-3</v>
      </c>
      <c r="P780" s="3">
        <f t="shared" si="48"/>
        <v>1149.7399328512788</v>
      </c>
      <c r="Q780" s="3">
        <f t="shared" si="49"/>
        <v>-4.627997226862135E-3</v>
      </c>
      <c r="R780" s="3">
        <f t="shared" si="50"/>
        <v>3.2399999999999998E-3</v>
      </c>
      <c r="S780">
        <f t="shared" si="51"/>
        <v>11</v>
      </c>
      <c r="T780">
        <f>INDEX([1]IDEN_level_ids!$B:$B,MATCH(G780,[1]IDEN_level_ids!$A:$A,0),1)</f>
        <v>1151</v>
      </c>
      <c r="U780">
        <f>INDEX([1]IDEN_level_ids!$B:$B,MATCH(H780,[1]IDEN_level_ids!$A:$A,0),1)</f>
        <v>744</v>
      </c>
    </row>
    <row r="781" spans="1:21" hidden="1" x14ac:dyDescent="0.25">
      <c r="A781">
        <v>86917.381599999993</v>
      </c>
      <c r="B781">
        <v>1150.5179000000001</v>
      </c>
      <c r="C781">
        <v>4</v>
      </c>
      <c r="D781" t="s">
        <v>312</v>
      </c>
      <c r="F781">
        <v>1969</v>
      </c>
      <c r="G781" s="1" t="s">
        <v>85</v>
      </c>
      <c r="H781" s="1" t="s">
        <v>201</v>
      </c>
      <c r="I781">
        <v>0</v>
      </c>
      <c r="J781">
        <v>86916.997099999993</v>
      </c>
      <c r="K781">
        <v>-5.0899999999999999E-3</v>
      </c>
      <c r="L781">
        <v>3.2399999999999998E-3</v>
      </c>
      <c r="M781">
        <v>0.245</v>
      </c>
      <c r="N781">
        <v>8.6300000000000002E-2</v>
      </c>
      <c r="O781">
        <v>3.5500000000000002E-3</v>
      </c>
      <c r="P781" s="3">
        <f t="shared" si="48"/>
        <v>1150.5178614354393</v>
      </c>
      <c r="Q781" s="3">
        <f t="shared" si="49"/>
        <v>-5.0896157540591958E-3</v>
      </c>
      <c r="R781" s="3">
        <f t="shared" si="50"/>
        <v>3.2399999999999998E-3</v>
      </c>
      <c r="S781">
        <f t="shared" si="51"/>
        <v>12</v>
      </c>
      <c r="T781">
        <f>INDEX([1]IDEN_level_ids!$B:$B,MATCH(G781,[1]IDEN_level_ids!$A:$A,0),1)</f>
        <v>1168</v>
      </c>
      <c r="U781">
        <f>INDEX([1]IDEN_level_ids!$B:$B,MATCH(H781,[1]IDEN_level_ids!$A:$A,0),1)</f>
        <v>788</v>
      </c>
    </row>
    <row r="782" spans="1:21" hidden="1" x14ac:dyDescent="0.25">
      <c r="A782">
        <v>86884.296499999997</v>
      </c>
      <c r="B782">
        <v>1150.9559999999999</v>
      </c>
      <c r="C782">
        <v>4</v>
      </c>
      <c r="D782" t="s">
        <v>312</v>
      </c>
      <c r="F782">
        <v>1969</v>
      </c>
      <c r="G782" s="1" t="s">
        <v>313</v>
      </c>
      <c r="H782" s="1" t="s">
        <v>314</v>
      </c>
      <c r="I782">
        <v>0</v>
      </c>
      <c r="J782">
        <v>86884.078299999994</v>
      </c>
      <c r="K782">
        <v>-2.8900000000000002E-3</v>
      </c>
      <c r="L782">
        <v>3.2499999999999999E-3</v>
      </c>
      <c r="M782">
        <v>0.245</v>
      </c>
      <c r="N782">
        <v>3.0200000000000001E-2</v>
      </c>
      <c r="O782">
        <v>3.3500000000000001E-3</v>
      </c>
      <c r="P782" s="3">
        <f t="shared" si="48"/>
        <v>1150.9559728091947</v>
      </c>
      <c r="Q782" s="3">
        <f t="shared" si="49"/>
        <v>-2.8905018982641195E-3</v>
      </c>
      <c r="R782" s="3">
        <f t="shared" si="50"/>
        <v>3.2499999999999999E-3</v>
      </c>
      <c r="S782">
        <f t="shared" si="51"/>
        <v>12</v>
      </c>
      <c r="T782">
        <f>INDEX([1]IDEN_level_ids!$B:$B,MATCH(G782,[1]IDEN_level_ids!$A:$A,0),1)</f>
        <v>1239</v>
      </c>
      <c r="U782">
        <f>INDEX([1]IDEN_level_ids!$B:$B,MATCH(H782,[1]IDEN_level_ids!$A:$A,0),1)</f>
        <v>889</v>
      </c>
    </row>
    <row r="783" spans="1:21" hidden="1" x14ac:dyDescent="0.25">
      <c r="A783">
        <v>86845.205600000001</v>
      </c>
      <c r="B783">
        <v>1151.4739999999999</v>
      </c>
      <c r="C783">
        <v>4</v>
      </c>
      <c r="D783" t="s">
        <v>312</v>
      </c>
      <c r="F783">
        <v>1969</v>
      </c>
      <c r="G783" s="1" t="s">
        <v>238</v>
      </c>
      <c r="H783" s="1" t="s">
        <v>249</v>
      </c>
      <c r="I783">
        <v>0</v>
      </c>
      <c r="J783">
        <v>86844.720700000005</v>
      </c>
      <c r="K783">
        <v>-6.43E-3</v>
      </c>
      <c r="L783">
        <v>3.2499999999999999E-3</v>
      </c>
      <c r="M783">
        <v>0.245</v>
      </c>
      <c r="N783">
        <v>3.4799999999999998E-2</v>
      </c>
      <c r="O783">
        <v>3.3700000000000002E-3</v>
      </c>
      <c r="P783" s="3">
        <f t="shared" si="48"/>
        <v>1151.4740429148112</v>
      </c>
      <c r="Q783" s="3">
        <f t="shared" si="49"/>
        <v>-6.4292884921997029E-3</v>
      </c>
      <c r="R783" s="3">
        <f t="shared" si="50"/>
        <v>3.2499999999999999E-3</v>
      </c>
      <c r="S783">
        <f t="shared" si="51"/>
        <v>12</v>
      </c>
      <c r="T783">
        <f>INDEX([1]IDEN_level_ids!$B:$B,MATCH(G783,[1]IDEN_level_ids!$A:$A,0),1)</f>
        <v>1165</v>
      </c>
      <c r="U783">
        <f>INDEX([1]IDEN_level_ids!$B:$B,MATCH(H783,[1]IDEN_level_ids!$A:$A,0),1)</f>
        <v>784</v>
      </c>
    </row>
    <row r="784" spans="1:21" hidden="1" x14ac:dyDescent="0.25">
      <c r="A784">
        <v>86840.990699999995</v>
      </c>
      <c r="B784">
        <v>1151.5299</v>
      </c>
      <c r="C784">
        <v>4</v>
      </c>
      <c r="D784" t="s">
        <v>312</v>
      </c>
      <c r="F784">
        <v>1969</v>
      </c>
      <c r="G784" s="1" t="s">
        <v>304</v>
      </c>
      <c r="H784" s="1" t="s">
        <v>260</v>
      </c>
      <c r="I784">
        <v>0</v>
      </c>
      <c r="J784">
        <v>86840.552299999996</v>
      </c>
      <c r="K784">
        <v>-5.8100000000000001E-3</v>
      </c>
      <c r="L784">
        <v>3.2499999999999999E-3</v>
      </c>
      <c r="M784">
        <v>0.245</v>
      </c>
      <c r="N784">
        <v>0.26600000000000001</v>
      </c>
      <c r="O784">
        <v>4.4299999999999999E-3</v>
      </c>
      <c r="P784" s="3">
        <f t="shared" si="48"/>
        <v>1151.5299306690199</v>
      </c>
      <c r="Q784" s="3">
        <f t="shared" si="49"/>
        <v>-5.8133062059368967E-3</v>
      </c>
      <c r="R784" s="3">
        <f t="shared" si="50"/>
        <v>3.2499999999999999E-3</v>
      </c>
      <c r="S784">
        <f t="shared" si="51"/>
        <v>12</v>
      </c>
      <c r="T784">
        <f>INDEX([1]IDEN_level_ids!$B:$B,MATCH(G784,[1]IDEN_level_ids!$A:$A,0),1)</f>
        <v>1096</v>
      </c>
      <c r="U784">
        <f>INDEX([1]IDEN_level_ids!$B:$B,MATCH(H784,[1]IDEN_level_ids!$A:$A,0),1)</f>
        <v>465</v>
      </c>
    </row>
    <row r="785" spans="1:21" hidden="1" x14ac:dyDescent="0.25">
      <c r="A785">
        <v>86826.806400000001</v>
      </c>
      <c r="B785">
        <v>1151.7180000000001</v>
      </c>
      <c r="C785">
        <v>4</v>
      </c>
      <c r="D785" t="s">
        <v>312</v>
      </c>
      <c r="F785">
        <v>1969</v>
      </c>
      <c r="G785" s="1" t="s">
        <v>100</v>
      </c>
      <c r="H785" s="1" t="s">
        <v>176</v>
      </c>
      <c r="I785">
        <v>0</v>
      </c>
      <c r="J785">
        <v>86826.293600000005</v>
      </c>
      <c r="K785">
        <v>-6.7999999999999996E-3</v>
      </c>
      <c r="L785">
        <v>3.2499999999999999E-3</v>
      </c>
      <c r="M785">
        <v>0.245</v>
      </c>
      <c r="N785">
        <v>0.1201</v>
      </c>
      <c r="O785">
        <v>3.6900000000000001E-3</v>
      </c>
      <c r="P785" s="3">
        <f t="shared" si="48"/>
        <v>1151.7180482178831</v>
      </c>
      <c r="Q785" s="3">
        <f t="shared" si="49"/>
        <v>-6.8020986573174014E-3</v>
      </c>
      <c r="R785" s="3">
        <f t="shared" si="50"/>
        <v>3.2499999999999999E-3</v>
      </c>
      <c r="S785">
        <f t="shared" si="51"/>
        <v>12</v>
      </c>
      <c r="T785">
        <f>INDEX([1]IDEN_level_ids!$B:$B,MATCH(G785,[1]IDEN_level_ids!$A:$A,0),1)</f>
        <v>1146</v>
      </c>
      <c r="U785">
        <f>INDEX([1]IDEN_level_ids!$B:$B,MATCH(H785,[1]IDEN_level_ids!$A:$A,0),1)</f>
        <v>708</v>
      </c>
    </row>
    <row r="786" spans="1:21" hidden="1" x14ac:dyDescent="0.25">
      <c r="A786">
        <v>86815.887300000002</v>
      </c>
      <c r="B786">
        <v>1151.8629000000001</v>
      </c>
      <c r="C786">
        <v>4</v>
      </c>
      <c r="D786" t="s">
        <v>312</v>
      </c>
      <c r="F786">
        <v>1969</v>
      </c>
      <c r="G786" s="1" t="s">
        <v>288</v>
      </c>
      <c r="H786" s="1" t="s">
        <v>170</v>
      </c>
      <c r="I786">
        <v>0</v>
      </c>
      <c r="J786">
        <v>86815.554600000003</v>
      </c>
      <c r="K786">
        <v>-4.4099999999999999E-3</v>
      </c>
      <c r="L786">
        <v>3.2499999999999999E-3</v>
      </c>
      <c r="M786">
        <v>0.245</v>
      </c>
      <c r="N786">
        <v>3.1899999999999998E-2</v>
      </c>
      <c r="O786">
        <v>3.3600000000000001E-3</v>
      </c>
      <c r="P786" s="3">
        <f t="shared" si="48"/>
        <v>1151.8629033236869</v>
      </c>
      <c r="Q786" s="3">
        <f t="shared" si="49"/>
        <v>-4.4142410849872249E-3</v>
      </c>
      <c r="R786" s="3">
        <f t="shared" si="50"/>
        <v>3.2499999999999999E-3</v>
      </c>
      <c r="S786">
        <f t="shared" si="51"/>
        <v>12</v>
      </c>
      <c r="T786">
        <f>INDEX([1]IDEN_level_ids!$B:$B,MATCH(G786,[1]IDEN_level_ids!$A:$A,0),1)</f>
        <v>1151</v>
      </c>
      <c r="U786">
        <f>INDEX([1]IDEN_level_ids!$B:$B,MATCH(H786,[1]IDEN_level_ids!$A:$A,0),1)</f>
        <v>746</v>
      </c>
    </row>
    <row r="787" spans="1:21" hidden="1" x14ac:dyDescent="0.25">
      <c r="A787">
        <v>86811.421300000002</v>
      </c>
      <c r="B787">
        <v>1151.9222</v>
      </c>
      <c r="C787">
        <v>4</v>
      </c>
      <c r="D787" t="s">
        <v>312</v>
      </c>
      <c r="F787">
        <v>1969</v>
      </c>
      <c r="G787" s="1" t="s">
        <v>304</v>
      </c>
      <c r="H787" s="1" t="s">
        <v>28</v>
      </c>
      <c r="I787">
        <v>0</v>
      </c>
      <c r="J787">
        <v>86811.020900000003</v>
      </c>
      <c r="K787">
        <v>-5.3099999999999996E-3</v>
      </c>
      <c r="L787">
        <v>3.2499999999999999E-3</v>
      </c>
      <c r="M787">
        <v>0.245</v>
      </c>
      <c r="N787">
        <v>0.22520000000000001</v>
      </c>
      <c r="O787">
        <v>4.1999999999999997E-3</v>
      </c>
      <c r="P787" s="3">
        <f t="shared" si="48"/>
        <v>1151.9221607307102</v>
      </c>
      <c r="Q787" s="3">
        <f t="shared" si="49"/>
        <v>-5.3130308615436661E-3</v>
      </c>
      <c r="R787" s="3">
        <f t="shared" si="50"/>
        <v>3.2499999999999999E-3</v>
      </c>
      <c r="S787">
        <f t="shared" si="51"/>
        <v>12</v>
      </c>
      <c r="T787">
        <f>INDEX([1]IDEN_level_ids!$B:$B,MATCH(G787,[1]IDEN_level_ids!$A:$A,0),1)</f>
        <v>1096</v>
      </c>
      <c r="U787">
        <f>INDEX([1]IDEN_level_ids!$B:$B,MATCH(H787,[1]IDEN_level_ids!$A:$A,0),1)</f>
        <v>458</v>
      </c>
    </row>
    <row r="788" spans="1:21" hidden="1" x14ac:dyDescent="0.25">
      <c r="A788">
        <v>86779.410399999993</v>
      </c>
      <c r="B788">
        <v>1152.3471</v>
      </c>
      <c r="C788">
        <v>4</v>
      </c>
      <c r="D788" t="s">
        <v>312</v>
      </c>
      <c r="F788">
        <v>1969</v>
      </c>
      <c r="G788" s="1" t="s">
        <v>141</v>
      </c>
      <c r="H788" s="1" t="s">
        <v>127</v>
      </c>
      <c r="I788">
        <v>0</v>
      </c>
      <c r="J788">
        <v>86778.945800000001</v>
      </c>
      <c r="K788">
        <v>-6.1700000000000001E-3</v>
      </c>
      <c r="L788">
        <v>3.2499999999999999E-3</v>
      </c>
      <c r="M788">
        <v>0.245</v>
      </c>
      <c r="N788">
        <v>4.1799999999999997E-2</v>
      </c>
      <c r="O788">
        <v>3.3999999999999998E-3</v>
      </c>
      <c r="P788" s="3">
        <f t="shared" si="48"/>
        <v>1152.3470779423503</v>
      </c>
      <c r="Q788" s="3">
        <f t="shared" si="49"/>
        <v>-6.1694740293205541E-3</v>
      </c>
      <c r="R788" s="3">
        <f t="shared" si="50"/>
        <v>3.2499999999999999E-3</v>
      </c>
      <c r="S788">
        <f t="shared" si="51"/>
        <v>12</v>
      </c>
      <c r="T788">
        <f>INDEX([1]IDEN_level_ids!$B:$B,MATCH(G788,[1]IDEN_level_ids!$A:$A,0),1)</f>
        <v>1155</v>
      </c>
      <c r="U788">
        <f>INDEX([1]IDEN_level_ids!$B:$B,MATCH(H788,[1]IDEN_level_ids!$A:$A,0),1)</f>
        <v>760</v>
      </c>
    </row>
    <row r="789" spans="1:21" hidden="1" x14ac:dyDescent="0.25">
      <c r="A789">
        <v>86670.421700000006</v>
      </c>
      <c r="B789">
        <v>1153.7962</v>
      </c>
      <c r="C789">
        <v>4</v>
      </c>
      <c r="D789" t="s">
        <v>312</v>
      </c>
      <c r="F789">
        <v>1969</v>
      </c>
      <c r="G789" s="1" t="s">
        <v>288</v>
      </c>
      <c r="H789" s="1" t="s">
        <v>122</v>
      </c>
      <c r="I789">
        <v>0</v>
      </c>
      <c r="J789">
        <v>86670.122199999998</v>
      </c>
      <c r="K789">
        <v>-3.9899999999999996E-3</v>
      </c>
      <c r="L789">
        <v>3.2599999999999999E-3</v>
      </c>
      <c r="M789">
        <v>0.245</v>
      </c>
      <c r="N789">
        <v>3.7900000000000003E-2</v>
      </c>
      <c r="O789">
        <v>3.3899999999999998E-3</v>
      </c>
      <c r="P789" s="3">
        <f t="shared" si="48"/>
        <v>1153.7961629647868</v>
      </c>
      <c r="Q789" s="3">
        <f t="shared" si="49"/>
        <v>-3.9870943069217901E-3</v>
      </c>
      <c r="R789" s="3">
        <f t="shared" si="50"/>
        <v>3.2599999999999999E-3</v>
      </c>
      <c r="S789">
        <f t="shared" si="51"/>
        <v>12</v>
      </c>
      <c r="T789">
        <f>INDEX([1]IDEN_level_ids!$B:$B,MATCH(G789,[1]IDEN_level_ids!$A:$A,0),1)</f>
        <v>1151</v>
      </c>
      <c r="U789">
        <f>INDEX([1]IDEN_level_ids!$B:$B,MATCH(H789,[1]IDEN_level_ids!$A:$A,0),1)</f>
        <v>750</v>
      </c>
    </row>
    <row r="790" spans="1:21" hidden="1" x14ac:dyDescent="0.25">
      <c r="A790">
        <v>86602.203699999998</v>
      </c>
      <c r="B790">
        <v>1154.7049999999999</v>
      </c>
      <c r="C790">
        <v>4</v>
      </c>
      <c r="D790" t="s">
        <v>312</v>
      </c>
      <c r="F790">
        <v>1969</v>
      </c>
      <c r="G790" s="1" t="s">
        <v>313</v>
      </c>
      <c r="H790" s="1" t="s">
        <v>126</v>
      </c>
      <c r="I790">
        <v>0</v>
      </c>
      <c r="J790">
        <v>86601.630600000004</v>
      </c>
      <c r="K790">
        <v>-7.6400000000000001E-3</v>
      </c>
      <c r="L790">
        <v>3.2699999999999999E-3</v>
      </c>
      <c r="M790">
        <v>0.245</v>
      </c>
      <c r="N790">
        <v>3.6900000000000002E-2</v>
      </c>
      <c r="O790">
        <v>3.3899999999999998E-3</v>
      </c>
      <c r="P790" s="3">
        <f t="shared" si="48"/>
        <v>1154.7050274426215</v>
      </c>
      <c r="Q790" s="3">
        <f t="shared" si="49"/>
        <v>-7.641443315151264E-3</v>
      </c>
      <c r="R790" s="3">
        <f t="shared" si="50"/>
        <v>3.2699999999999999E-3</v>
      </c>
      <c r="S790">
        <f t="shared" si="51"/>
        <v>12</v>
      </c>
      <c r="T790">
        <f>INDEX([1]IDEN_level_ids!$B:$B,MATCH(G790,[1]IDEN_level_ids!$A:$A,0),1)</f>
        <v>1239</v>
      </c>
      <c r="U790">
        <f>INDEX([1]IDEN_level_ids!$B:$B,MATCH(H790,[1]IDEN_level_ids!$A:$A,0),1)</f>
        <v>892</v>
      </c>
    </row>
    <row r="791" spans="1:21" hidden="1" x14ac:dyDescent="0.25">
      <c r="A791">
        <v>86524.117199999993</v>
      </c>
      <c r="B791">
        <v>1155.7471</v>
      </c>
      <c r="C791">
        <v>4</v>
      </c>
      <c r="D791" t="s">
        <v>312</v>
      </c>
      <c r="F791">
        <v>1969</v>
      </c>
      <c r="G791" s="1" t="s">
        <v>304</v>
      </c>
      <c r="H791" s="1" t="s">
        <v>217</v>
      </c>
      <c r="I791">
        <v>0</v>
      </c>
      <c r="J791">
        <v>86523.656700000007</v>
      </c>
      <c r="K791">
        <v>-6.1500000000000001E-3</v>
      </c>
      <c r="L791">
        <v>3.2699999999999999E-3</v>
      </c>
      <c r="M791">
        <v>0.245</v>
      </c>
      <c r="N791">
        <v>0.51049999999999995</v>
      </c>
      <c r="O791">
        <v>6.6899999999999998E-3</v>
      </c>
      <c r="P791" s="3">
        <f t="shared" si="48"/>
        <v>1155.7471285011852</v>
      </c>
      <c r="Q791" s="3">
        <f t="shared" si="49"/>
        <v>-6.1511680498824717E-3</v>
      </c>
      <c r="R791" s="3">
        <f t="shared" si="50"/>
        <v>3.2699999999999999E-3</v>
      </c>
      <c r="S791">
        <f t="shared" si="51"/>
        <v>12</v>
      </c>
      <c r="T791">
        <f>INDEX([1]IDEN_level_ids!$B:$B,MATCH(G791,[1]IDEN_level_ids!$A:$A,0),1)</f>
        <v>1096</v>
      </c>
      <c r="U791">
        <f>INDEX([1]IDEN_level_ids!$B:$B,MATCH(H791,[1]IDEN_level_ids!$A:$A,0),1)</f>
        <v>469</v>
      </c>
    </row>
    <row r="792" spans="1:21" hidden="1" x14ac:dyDescent="0.25">
      <c r="A792">
        <v>86514.828599999993</v>
      </c>
      <c r="B792">
        <v>1155.8712</v>
      </c>
      <c r="C792">
        <v>4</v>
      </c>
      <c r="D792" t="s">
        <v>312</v>
      </c>
      <c r="F792">
        <v>1969</v>
      </c>
      <c r="G792" s="1" t="s">
        <v>268</v>
      </c>
      <c r="H792" s="1" t="s">
        <v>123</v>
      </c>
      <c r="I792">
        <v>0</v>
      </c>
      <c r="J792">
        <v>86514.4133</v>
      </c>
      <c r="K792">
        <v>-5.5500000000000002E-3</v>
      </c>
      <c r="L792">
        <v>3.2699999999999999E-3</v>
      </c>
      <c r="M792">
        <v>0.245</v>
      </c>
      <c r="N792">
        <v>4.1599999999999998E-2</v>
      </c>
      <c r="O792">
        <v>3.4199999999999999E-3</v>
      </c>
      <c r="P792" s="3">
        <f t="shared" si="48"/>
        <v>1155.8712144290141</v>
      </c>
      <c r="Q792" s="3">
        <f t="shared" si="49"/>
        <v>-5.5485935467913805E-3</v>
      </c>
      <c r="R792" s="3">
        <f t="shared" si="50"/>
        <v>3.2699999999999999E-3</v>
      </c>
      <c r="S792">
        <f t="shared" si="51"/>
        <v>12</v>
      </c>
      <c r="T792">
        <f>INDEX([1]IDEN_level_ids!$B:$B,MATCH(G792,[1]IDEN_level_ids!$A:$A,0),1)</f>
        <v>1160</v>
      </c>
      <c r="U792">
        <f>INDEX([1]IDEN_level_ids!$B:$B,MATCH(H792,[1]IDEN_level_ids!$A:$A,0),1)</f>
        <v>775</v>
      </c>
    </row>
    <row r="793" spans="1:21" hidden="1" x14ac:dyDescent="0.25">
      <c r="A793">
        <v>86474.513000000006</v>
      </c>
      <c r="B793">
        <v>1156.4101000000001</v>
      </c>
      <c r="C793">
        <v>4</v>
      </c>
      <c r="D793" t="s">
        <v>312</v>
      </c>
      <c r="F793">
        <v>1969</v>
      </c>
      <c r="G793" s="1" t="s">
        <v>285</v>
      </c>
      <c r="H793" s="1" t="s">
        <v>103</v>
      </c>
      <c r="I793">
        <v>0</v>
      </c>
      <c r="J793">
        <v>86474.096300000005</v>
      </c>
      <c r="K793">
        <v>-5.5700000000000003E-3</v>
      </c>
      <c r="L793">
        <v>3.2799999999999999E-3</v>
      </c>
      <c r="M793">
        <v>0.245</v>
      </c>
      <c r="N793">
        <v>4.87E-2</v>
      </c>
      <c r="O793">
        <v>3.4399999999999999E-3</v>
      </c>
      <c r="P793" s="3">
        <f t="shared" si="48"/>
        <v>1156.4100973890422</v>
      </c>
      <c r="Q793" s="3">
        <f t="shared" si="49"/>
        <v>-5.5724905862462037E-3</v>
      </c>
      <c r="R793" s="3">
        <f t="shared" si="50"/>
        <v>3.2799999999999999E-3</v>
      </c>
      <c r="S793">
        <f t="shared" si="51"/>
        <v>12</v>
      </c>
      <c r="T793">
        <f>INDEX([1]IDEN_level_ids!$B:$B,MATCH(G793,[1]IDEN_level_ids!$A:$A,0),1)</f>
        <v>1150</v>
      </c>
      <c r="U793">
        <f>INDEX([1]IDEN_level_ids!$B:$B,MATCH(H793,[1]IDEN_level_ids!$A:$A,0),1)</f>
        <v>745</v>
      </c>
    </row>
    <row r="794" spans="1:21" hidden="1" x14ac:dyDescent="0.25">
      <c r="A794">
        <v>86409.591400000005</v>
      </c>
      <c r="B794">
        <v>1157.2789</v>
      </c>
      <c r="C794">
        <v>4</v>
      </c>
      <c r="D794" t="s">
        <v>312</v>
      </c>
      <c r="F794">
        <v>1969</v>
      </c>
      <c r="G794" s="1" t="s">
        <v>288</v>
      </c>
      <c r="H794" s="1" t="s">
        <v>162</v>
      </c>
      <c r="I794">
        <v>0</v>
      </c>
      <c r="J794">
        <v>86409.228400000007</v>
      </c>
      <c r="K794">
        <v>-4.8599999999999997E-3</v>
      </c>
      <c r="L794">
        <v>3.2799999999999999E-3</v>
      </c>
      <c r="M794">
        <v>0.245</v>
      </c>
      <c r="N794">
        <v>4.5199999999999997E-2</v>
      </c>
      <c r="O794">
        <v>3.4399999999999999E-3</v>
      </c>
      <c r="P794" s="3">
        <f t="shared" si="48"/>
        <v>1157.2789360510735</v>
      </c>
      <c r="Q794" s="3">
        <f t="shared" si="49"/>
        <v>-4.8616595884141134E-3</v>
      </c>
      <c r="R794" s="3">
        <f t="shared" si="50"/>
        <v>3.2799999999999999E-3</v>
      </c>
      <c r="S794">
        <f t="shared" si="51"/>
        <v>12</v>
      </c>
      <c r="T794">
        <f>INDEX([1]IDEN_level_ids!$B:$B,MATCH(G794,[1]IDEN_level_ids!$A:$A,0),1)</f>
        <v>1151</v>
      </c>
      <c r="U794">
        <f>INDEX([1]IDEN_level_ids!$B:$B,MATCH(H794,[1]IDEN_level_ids!$A:$A,0),1)</f>
        <v>754</v>
      </c>
    </row>
    <row r="795" spans="1:21" hidden="1" x14ac:dyDescent="0.25">
      <c r="A795">
        <v>86358.481100000005</v>
      </c>
      <c r="B795">
        <v>1157.9639</v>
      </c>
      <c r="C795">
        <v>4</v>
      </c>
      <c r="D795" t="s">
        <v>312</v>
      </c>
      <c r="F795">
        <v>1969</v>
      </c>
      <c r="G795" s="1" t="s">
        <v>275</v>
      </c>
      <c r="H795" s="1" t="s">
        <v>139</v>
      </c>
      <c r="I795">
        <v>0</v>
      </c>
      <c r="J795">
        <v>86358.076100000006</v>
      </c>
      <c r="K795">
        <v>-5.4299999999999999E-3</v>
      </c>
      <c r="L795">
        <v>3.2799999999999999E-3</v>
      </c>
      <c r="M795">
        <v>0.245</v>
      </c>
      <c r="N795">
        <v>0.14169999999999999</v>
      </c>
      <c r="O795">
        <v>3.8300000000000001E-3</v>
      </c>
      <c r="P795" s="3">
        <f t="shared" si="48"/>
        <v>1157.9638586302092</v>
      </c>
      <c r="Q795" s="3">
        <f t="shared" si="49"/>
        <v>-5.43059067467766E-3</v>
      </c>
      <c r="R795" s="3">
        <f t="shared" si="50"/>
        <v>3.2799999999999999E-3</v>
      </c>
      <c r="S795">
        <f t="shared" si="51"/>
        <v>12</v>
      </c>
      <c r="T795">
        <f>INDEX([1]IDEN_level_ids!$B:$B,MATCH(G795,[1]IDEN_level_ids!$A:$A,0),1)</f>
        <v>1134</v>
      </c>
      <c r="U795">
        <f>INDEX([1]IDEN_level_ids!$B:$B,MATCH(H795,[1]IDEN_level_ids!$A:$A,0),1)</f>
        <v>642</v>
      </c>
    </row>
    <row r="796" spans="1:21" hidden="1" x14ac:dyDescent="0.25">
      <c r="A796">
        <v>86290.888000000006</v>
      </c>
      <c r="B796">
        <v>1158.8708999999999</v>
      </c>
      <c r="C796">
        <v>4</v>
      </c>
      <c r="D796" t="s">
        <v>312</v>
      </c>
      <c r="F796">
        <v>1969</v>
      </c>
      <c r="G796" s="1" t="s">
        <v>271</v>
      </c>
      <c r="H796" s="1" t="s">
        <v>123</v>
      </c>
      <c r="I796">
        <v>0</v>
      </c>
      <c r="J796">
        <v>86290.453599999993</v>
      </c>
      <c r="K796">
        <v>-5.8300000000000001E-3</v>
      </c>
      <c r="L796">
        <v>3.29E-3</v>
      </c>
      <c r="M796">
        <v>0.245</v>
      </c>
      <c r="N796">
        <v>5.2499999999999998E-2</v>
      </c>
      <c r="O796">
        <v>3.47E-3</v>
      </c>
      <c r="P796" s="3">
        <f t="shared" si="48"/>
        <v>1158.8709111441754</v>
      </c>
      <c r="Q796" s="3">
        <f t="shared" si="49"/>
        <v>-5.8339422591870971E-3</v>
      </c>
      <c r="R796" s="3">
        <f t="shared" si="50"/>
        <v>3.29E-3</v>
      </c>
      <c r="S796">
        <f t="shared" si="51"/>
        <v>12</v>
      </c>
      <c r="T796">
        <f>INDEX([1]IDEN_level_ids!$B:$B,MATCH(G796,[1]IDEN_level_ids!$A:$A,0),1)</f>
        <v>1158</v>
      </c>
      <c r="U796">
        <f>INDEX([1]IDEN_level_ids!$B:$B,MATCH(H796,[1]IDEN_level_ids!$A:$A,0),1)</f>
        <v>775</v>
      </c>
    </row>
    <row r="797" spans="1:21" hidden="1" x14ac:dyDescent="0.25">
      <c r="A797">
        <v>86244.296000000002</v>
      </c>
      <c r="B797">
        <v>1159.4970000000001</v>
      </c>
      <c r="C797">
        <v>4</v>
      </c>
      <c r="D797" t="s">
        <v>312</v>
      </c>
      <c r="F797">
        <v>1969</v>
      </c>
      <c r="G797" s="1" t="s">
        <v>285</v>
      </c>
      <c r="H797" s="1" t="s">
        <v>170</v>
      </c>
      <c r="I797">
        <v>0</v>
      </c>
      <c r="J797">
        <v>86243.5003</v>
      </c>
      <c r="K797">
        <v>-1.0699999999999999E-2</v>
      </c>
      <c r="L797">
        <v>3.29E-3</v>
      </c>
      <c r="M797">
        <v>0.245</v>
      </c>
      <c r="N797">
        <v>5.4300000000000001E-2</v>
      </c>
      <c r="O797">
        <v>3.48E-3</v>
      </c>
      <c r="P797" s="3">
        <f t="shared" si="48"/>
        <v>1159.4969712547713</v>
      </c>
      <c r="Q797" s="3">
        <f t="shared" si="49"/>
        <v>-1.0697753881004246E-2</v>
      </c>
      <c r="R797" s="3">
        <f t="shared" si="50"/>
        <v>3.29E-3</v>
      </c>
      <c r="S797">
        <f t="shared" si="51"/>
        <v>12</v>
      </c>
      <c r="T797">
        <f>INDEX([1]IDEN_level_ids!$B:$B,MATCH(G797,[1]IDEN_level_ids!$A:$A,0),1)</f>
        <v>1150</v>
      </c>
      <c r="U797">
        <f>INDEX([1]IDEN_level_ids!$B:$B,MATCH(H797,[1]IDEN_level_ids!$A:$A,0),1)</f>
        <v>746</v>
      </c>
    </row>
    <row r="798" spans="1:21" hidden="1" x14ac:dyDescent="0.25">
      <c r="A798">
        <v>86220.415599999993</v>
      </c>
      <c r="B798">
        <v>1159.8181</v>
      </c>
      <c r="C798">
        <v>4</v>
      </c>
      <c r="D798" t="s">
        <v>312</v>
      </c>
      <c r="F798">
        <v>1969</v>
      </c>
      <c r="G798" s="1" t="s">
        <v>268</v>
      </c>
      <c r="H798" s="1" t="s">
        <v>158</v>
      </c>
      <c r="I798">
        <v>0</v>
      </c>
      <c r="J798">
        <v>86219.896699999998</v>
      </c>
      <c r="K798">
        <v>-6.9800000000000001E-3</v>
      </c>
      <c r="L798">
        <v>3.3E-3</v>
      </c>
      <c r="M798">
        <v>0.245</v>
      </c>
      <c r="N798">
        <v>5.79E-2</v>
      </c>
      <c r="O798">
        <v>3.5000000000000001E-3</v>
      </c>
      <c r="P798" s="3">
        <f t="shared" si="48"/>
        <v>1159.8181162095907</v>
      </c>
      <c r="Q798" s="3">
        <f t="shared" si="49"/>
        <v>-6.9801709760213271E-3</v>
      </c>
      <c r="R798" s="3">
        <f t="shared" si="50"/>
        <v>3.3E-3</v>
      </c>
      <c r="S798">
        <f t="shared" si="51"/>
        <v>12</v>
      </c>
      <c r="T798">
        <f>INDEX([1]IDEN_level_ids!$B:$B,MATCH(G798,[1]IDEN_level_ids!$A:$A,0),1)</f>
        <v>1160</v>
      </c>
      <c r="U798">
        <f>INDEX([1]IDEN_level_ids!$B:$B,MATCH(H798,[1]IDEN_level_ids!$A:$A,0),1)</f>
        <v>779</v>
      </c>
    </row>
    <row r="799" spans="1:21" hidden="1" x14ac:dyDescent="0.25">
      <c r="A799">
        <v>86176.507700000002</v>
      </c>
      <c r="B799">
        <v>1160.4091000000001</v>
      </c>
      <c r="C799">
        <v>4</v>
      </c>
      <c r="D799" t="s">
        <v>312</v>
      </c>
      <c r="F799">
        <v>1969</v>
      </c>
      <c r="G799" s="1" t="s">
        <v>271</v>
      </c>
      <c r="H799" s="1" t="s">
        <v>124</v>
      </c>
      <c r="I799">
        <v>0</v>
      </c>
      <c r="J799">
        <v>86176.067999999999</v>
      </c>
      <c r="K799">
        <v>-5.9199999999999999E-3</v>
      </c>
      <c r="L799">
        <v>3.3E-3</v>
      </c>
      <c r="M799">
        <v>0.245</v>
      </c>
      <c r="N799">
        <v>5.8299999999999998E-2</v>
      </c>
      <c r="O799">
        <v>3.5000000000000001E-3</v>
      </c>
      <c r="P799" s="3">
        <f t="shared" si="48"/>
        <v>1160.4090565856152</v>
      </c>
      <c r="Q799" s="3">
        <f t="shared" si="49"/>
        <v>-5.9208069480973791E-3</v>
      </c>
      <c r="R799" s="3">
        <f t="shared" si="50"/>
        <v>3.3E-3</v>
      </c>
      <c r="S799">
        <f t="shared" si="51"/>
        <v>12</v>
      </c>
      <c r="T799">
        <f>INDEX([1]IDEN_level_ids!$B:$B,MATCH(G799,[1]IDEN_level_ids!$A:$A,0),1)</f>
        <v>1158</v>
      </c>
      <c r="U799">
        <f>INDEX([1]IDEN_level_ids!$B:$B,MATCH(H799,[1]IDEN_level_ids!$A:$A,0),1)</f>
        <v>776</v>
      </c>
    </row>
    <row r="800" spans="1:21" hidden="1" x14ac:dyDescent="0.25">
      <c r="A800">
        <v>86145.916800000006</v>
      </c>
      <c r="B800">
        <v>1160.8210999999999</v>
      </c>
      <c r="C800">
        <v>4</v>
      </c>
      <c r="D800" t="s">
        <v>312</v>
      </c>
      <c r="F800">
        <v>1969</v>
      </c>
      <c r="G800" s="1" t="s">
        <v>288</v>
      </c>
      <c r="H800" s="1" t="s">
        <v>174</v>
      </c>
      <c r="I800">
        <v>0</v>
      </c>
      <c r="J800">
        <v>86145.374299999996</v>
      </c>
      <c r="K800">
        <v>-7.3099999999999997E-3</v>
      </c>
      <c r="L800">
        <v>3.3E-3</v>
      </c>
      <c r="M800">
        <v>0.245</v>
      </c>
      <c r="N800">
        <v>5.4800000000000001E-2</v>
      </c>
      <c r="O800">
        <v>3.49E-3</v>
      </c>
      <c r="P800" s="3">
        <f t="shared" si="48"/>
        <v>1160.8211243739413</v>
      </c>
      <c r="Q800" s="3">
        <f t="shared" si="49"/>
        <v>-7.3102643652873667E-3</v>
      </c>
      <c r="R800" s="3">
        <f t="shared" si="50"/>
        <v>3.3E-3</v>
      </c>
      <c r="S800">
        <f t="shared" si="51"/>
        <v>12</v>
      </c>
      <c r="T800">
        <f>INDEX([1]IDEN_level_ids!$B:$B,MATCH(G800,[1]IDEN_level_ids!$A:$A,0),1)</f>
        <v>1151</v>
      </c>
      <c r="U800">
        <f>INDEX([1]IDEN_level_ids!$B:$B,MATCH(H800,[1]IDEN_level_ids!$A:$A,0),1)</f>
        <v>758</v>
      </c>
    </row>
    <row r="801" spans="1:21" hidden="1" x14ac:dyDescent="0.25">
      <c r="A801">
        <v>86140.672500000001</v>
      </c>
      <c r="B801">
        <v>1160.8918000000001</v>
      </c>
      <c r="C801">
        <v>4</v>
      </c>
      <c r="D801" t="s">
        <v>312</v>
      </c>
      <c r="F801">
        <v>1969</v>
      </c>
      <c r="G801" s="1" t="s">
        <v>288</v>
      </c>
      <c r="H801" s="1" t="s">
        <v>130</v>
      </c>
      <c r="I801">
        <v>0</v>
      </c>
      <c r="J801">
        <v>86140.1345</v>
      </c>
      <c r="K801">
        <v>-7.2500000000000004E-3</v>
      </c>
      <c r="L801">
        <v>3.3E-3</v>
      </c>
      <c r="M801">
        <v>0.245</v>
      </c>
      <c r="N801">
        <v>7.6600000000000001E-2</v>
      </c>
      <c r="O801">
        <v>3.5799999999999998E-3</v>
      </c>
      <c r="P801" s="3">
        <f t="shared" si="48"/>
        <v>1160.8917959167313</v>
      </c>
      <c r="Q801" s="3">
        <f t="shared" si="49"/>
        <v>-7.2505086025103083E-3</v>
      </c>
      <c r="R801" s="3">
        <f t="shared" si="50"/>
        <v>3.3E-3</v>
      </c>
      <c r="S801">
        <f t="shared" si="51"/>
        <v>12</v>
      </c>
      <c r="T801">
        <f>INDEX([1]IDEN_level_ids!$B:$B,MATCH(G801,[1]IDEN_level_ids!$A:$A,0),1)</f>
        <v>1151</v>
      </c>
      <c r="U801">
        <f>INDEX([1]IDEN_level_ids!$B:$B,MATCH(H801,[1]IDEN_level_ids!$A:$A,0),1)</f>
        <v>761</v>
      </c>
    </row>
    <row r="802" spans="1:21" hidden="1" x14ac:dyDescent="0.25">
      <c r="A802">
        <v>86098.520099999994</v>
      </c>
      <c r="B802">
        <v>1161.4601</v>
      </c>
      <c r="C802">
        <v>4</v>
      </c>
      <c r="D802" t="s">
        <v>312</v>
      </c>
      <c r="F802">
        <v>1969</v>
      </c>
      <c r="G802" s="1" t="s">
        <v>285</v>
      </c>
      <c r="H802" s="1" t="s">
        <v>122</v>
      </c>
      <c r="I802">
        <v>0</v>
      </c>
      <c r="J802">
        <v>86098.067899999995</v>
      </c>
      <c r="K802">
        <v>-6.1000000000000004E-3</v>
      </c>
      <c r="L802">
        <v>3.3E-3</v>
      </c>
      <c r="M802">
        <v>0.245</v>
      </c>
      <c r="N802">
        <v>6.6100000000000006E-2</v>
      </c>
      <c r="O802">
        <v>3.5400000000000002E-3</v>
      </c>
      <c r="P802" s="3">
        <f t="shared" si="48"/>
        <v>1161.4601491855376</v>
      </c>
      <c r="Q802" s="3">
        <f t="shared" si="49"/>
        <v>-6.1001633632713492E-3</v>
      </c>
      <c r="R802" s="3">
        <f t="shared" si="50"/>
        <v>3.3E-3</v>
      </c>
      <c r="S802">
        <f t="shared" si="51"/>
        <v>12</v>
      </c>
      <c r="T802">
        <f>INDEX([1]IDEN_level_ids!$B:$B,MATCH(G802,[1]IDEN_level_ids!$A:$A,0),1)</f>
        <v>1150</v>
      </c>
      <c r="U802">
        <f>INDEX([1]IDEN_level_ids!$B:$B,MATCH(H802,[1]IDEN_level_ids!$A:$A,0),1)</f>
        <v>750</v>
      </c>
    </row>
    <row r="803" spans="1:21" hidden="1" x14ac:dyDescent="0.25">
      <c r="A803">
        <v>86093.196200000006</v>
      </c>
      <c r="B803">
        <v>1161.5319999999999</v>
      </c>
      <c r="C803">
        <v>4</v>
      </c>
      <c r="D803" t="s">
        <v>312</v>
      </c>
      <c r="F803">
        <v>1969</v>
      </c>
      <c r="G803" s="1" t="s">
        <v>304</v>
      </c>
      <c r="H803" s="1" t="s">
        <v>173</v>
      </c>
      <c r="I803">
        <v>0</v>
      </c>
      <c r="J803">
        <v>86092.655799999993</v>
      </c>
      <c r="K803">
        <v>-7.2899999999999996E-3</v>
      </c>
      <c r="L803">
        <v>3.31E-3</v>
      </c>
      <c r="M803">
        <v>0.245</v>
      </c>
      <c r="N803">
        <v>0.20130000000000001</v>
      </c>
      <c r="O803">
        <v>4.1399999999999996E-3</v>
      </c>
      <c r="P803" s="3">
        <f t="shared" si="48"/>
        <v>1161.5319724882045</v>
      </c>
      <c r="Q803" s="3">
        <f t="shared" si="49"/>
        <v>-7.2908876154542668E-3</v>
      </c>
      <c r="R803" s="3">
        <f t="shared" si="50"/>
        <v>3.31E-3</v>
      </c>
      <c r="S803">
        <f t="shared" si="51"/>
        <v>12</v>
      </c>
      <c r="T803">
        <f>INDEX([1]IDEN_level_ids!$B:$B,MATCH(G803,[1]IDEN_level_ids!$A:$A,0),1)</f>
        <v>1096</v>
      </c>
      <c r="U803">
        <f>INDEX([1]IDEN_level_ids!$B:$B,MATCH(H803,[1]IDEN_level_ids!$A:$A,0),1)</f>
        <v>483</v>
      </c>
    </row>
    <row r="804" spans="1:21" hidden="1" x14ac:dyDescent="0.25">
      <c r="A804">
        <v>85925.030799999993</v>
      </c>
      <c r="B804">
        <v>1163.8052</v>
      </c>
      <c r="C804">
        <v>4</v>
      </c>
      <c r="D804" t="s">
        <v>312</v>
      </c>
      <c r="F804">
        <v>1969</v>
      </c>
      <c r="G804" s="1" t="s">
        <v>92</v>
      </c>
      <c r="H804" s="1" t="s">
        <v>315</v>
      </c>
      <c r="I804">
        <v>0</v>
      </c>
      <c r="J804">
        <v>85925.437099999996</v>
      </c>
      <c r="K804">
        <v>5.4999999999999997E-3</v>
      </c>
      <c r="L804">
        <v>3.32E-3</v>
      </c>
      <c r="M804">
        <v>0.245</v>
      </c>
      <c r="N804">
        <v>8.0799999999999997E-2</v>
      </c>
      <c r="O804">
        <v>3.6099999999999999E-3</v>
      </c>
      <c r="P804" s="3">
        <f t="shared" si="48"/>
        <v>1163.8052272889031</v>
      </c>
      <c r="Q804" s="3">
        <f t="shared" si="49"/>
        <v>5.5030742910275876E-3</v>
      </c>
      <c r="R804" s="3">
        <f t="shared" si="50"/>
        <v>3.32E-3</v>
      </c>
      <c r="S804">
        <f t="shared" si="51"/>
        <v>12</v>
      </c>
      <c r="T804">
        <f>INDEX([1]IDEN_level_ids!$B:$B,MATCH(G804,[1]IDEN_level_ids!$A:$A,0),1)</f>
        <v>1224</v>
      </c>
      <c r="U804">
        <f>INDEX([1]IDEN_level_ids!$B:$B,MATCH(H804,[1]IDEN_level_ids!$A:$A,0),1)</f>
        <v>877</v>
      </c>
    </row>
    <row r="805" spans="1:21" hidden="1" x14ac:dyDescent="0.25">
      <c r="A805">
        <v>85862.027199999997</v>
      </c>
      <c r="B805">
        <v>1164.6592000000001</v>
      </c>
      <c r="C805">
        <v>5</v>
      </c>
      <c r="D805" t="s">
        <v>316</v>
      </c>
      <c r="F805">
        <v>1969</v>
      </c>
      <c r="G805" s="1" t="s">
        <v>71</v>
      </c>
      <c r="H805" s="1" t="s">
        <v>234</v>
      </c>
      <c r="I805">
        <v>0</v>
      </c>
      <c r="J805">
        <v>85862.641300000003</v>
      </c>
      <c r="K805">
        <v>8.3300000000000006E-3</v>
      </c>
      <c r="L805">
        <v>3.32E-3</v>
      </c>
      <c r="M805">
        <v>0.245</v>
      </c>
      <c r="N805">
        <v>4.5499999999999999E-2</v>
      </c>
      <c r="O805">
        <v>3.48E-3</v>
      </c>
      <c r="P805" s="3">
        <f t="shared" si="48"/>
        <v>1164.6592010583231</v>
      </c>
      <c r="Q805" s="3">
        <f t="shared" si="49"/>
        <v>8.3297835303710599E-3</v>
      </c>
      <c r="R805" s="3">
        <f t="shared" si="50"/>
        <v>3.32E-3</v>
      </c>
      <c r="S805">
        <f t="shared" si="51"/>
        <v>13</v>
      </c>
      <c r="T805">
        <f>INDEX([1]IDEN_level_ids!$B:$B,MATCH(G805,[1]IDEN_level_ids!$A:$A,0),1)</f>
        <v>1179</v>
      </c>
      <c r="U805">
        <f>INDEX([1]IDEN_level_ids!$B:$B,MATCH(H805,[1]IDEN_level_ids!$A:$A,0),1)</f>
        <v>818</v>
      </c>
    </row>
    <row r="806" spans="1:21" hidden="1" x14ac:dyDescent="0.25">
      <c r="A806">
        <v>85804.074900000007</v>
      </c>
      <c r="B806">
        <v>1165.4458</v>
      </c>
      <c r="C806">
        <v>5</v>
      </c>
      <c r="D806" t="s">
        <v>316</v>
      </c>
      <c r="F806">
        <v>1969</v>
      </c>
      <c r="G806" s="1" t="s">
        <v>108</v>
      </c>
      <c r="H806" s="1" t="s">
        <v>103</v>
      </c>
      <c r="I806">
        <v>0</v>
      </c>
      <c r="J806">
        <v>85803.492700000003</v>
      </c>
      <c r="K806">
        <v>-7.9100000000000004E-3</v>
      </c>
      <c r="L806">
        <v>3.3300000000000001E-3</v>
      </c>
      <c r="M806">
        <v>0.245</v>
      </c>
      <c r="N806">
        <v>3.4599999999999999E-2</v>
      </c>
      <c r="O806">
        <v>3.4499999999999999E-3</v>
      </c>
      <c r="P806" s="3">
        <f t="shared" si="48"/>
        <v>1165.4458149749248</v>
      </c>
      <c r="Q806" s="3">
        <f t="shared" si="49"/>
        <v>-7.907866359801119E-3</v>
      </c>
      <c r="R806" s="3">
        <f t="shared" si="50"/>
        <v>3.3300000000000001E-3</v>
      </c>
      <c r="S806">
        <f t="shared" si="51"/>
        <v>13</v>
      </c>
      <c r="T806">
        <f>INDEX([1]IDEN_level_ids!$B:$B,MATCH(G806,[1]IDEN_level_ids!$A:$A,0),1)</f>
        <v>1149</v>
      </c>
      <c r="U806">
        <f>INDEX([1]IDEN_level_ids!$B:$B,MATCH(H806,[1]IDEN_level_ids!$A:$A,0),1)</f>
        <v>745</v>
      </c>
    </row>
    <row r="807" spans="1:21" hidden="1" x14ac:dyDescent="0.25">
      <c r="A807">
        <v>85704.198099999994</v>
      </c>
      <c r="B807">
        <v>1166.8040000000001</v>
      </c>
      <c r="C807">
        <v>5</v>
      </c>
      <c r="D807" t="s">
        <v>316</v>
      </c>
      <c r="F807">
        <v>1969</v>
      </c>
      <c r="G807" s="1" t="s">
        <v>282</v>
      </c>
      <c r="H807" s="1" t="s">
        <v>104</v>
      </c>
      <c r="I807">
        <v>0</v>
      </c>
      <c r="J807">
        <v>85704.261199999994</v>
      </c>
      <c r="K807">
        <v>8.5999999999999998E-4</v>
      </c>
      <c r="L807">
        <v>3.3400000000000001E-3</v>
      </c>
      <c r="M807">
        <v>0.245</v>
      </c>
      <c r="N807">
        <v>4.8099999999999997E-2</v>
      </c>
      <c r="O807">
        <v>3.5000000000000001E-3</v>
      </c>
      <c r="P807" s="3">
        <f t="shared" si="48"/>
        <v>1166.8039864665627</v>
      </c>
      <c r="Q807" s="3">
        <f t="shared" si="49"/>
        <v>8.5906267099744582E-4</v>
      </c>
      <c r="R807" s="3">
        <f t="shared" si="50"/>
        <v>3.3400000000000001E-3</v>
      </c>
      <c r="S807">
        <f t="shared" si="51"/>
        <v>13</v>
      </c>
      <c r="T807">
        <f>INDEX([1]IDEN_level_ids!$B:$B,MATCH(G807,[1]IDEN_level_ids!$A:$A,0),1)</f>
        <v>1128</v>
      </c>
      <c r="U807">
        <f>INDEX([1]IDEN_level_ids!$B:$B,MATCH(H807,[1]IDEN_level_ids!$A:$A,0),1)</f>
        <v>636</v>
      </c>
    </row>
    <row r="808" spans="1:21" hidden="1" x14ac:dyDescent="0.25">
      <c r="A808">
        <v>85076.697799999994</v>
      </c>
      <c r="B808">
        <v>1175.4100000000001</v>
      </c>
      <c r="C808">
        <v>6</v>
      </c>
      <c r="D808" t="s">
        <v>317</v>
      </c>
      <c r="F808">
        <v>1969</v>
      </c>
      <c r="G808" s="1" t="s">
        <v>310</v>
      </c>
      <c r="H808" s="1" t="s">
        <v>318</v>
      </c>
      <c r="I808">
        <v>0</v>
      </c>
      <c r="J808">
        <v>85076.180900000007</v>
      </c>
      <c r="K808">
        <v>-7.1399999999999996E-3</v>
      </c>
      <c r="L808">
        <v>3.3800000000000002E-3</v>
      </c>
      <c r="M808">
        <v>0.245</v>
      </c>
      <c r="N808">
        <v>7.0400000000000004E-2</v>
      </c>
      <c r="O808">
        <v>3.64E-3</v>
      </c>
      <c r="P808" s="3">
        <f t="shared" si="48"/>
        <v>1175.4099840015183</v>
      </c>
      <c r="Q808" s="3">
        <f t="shared" si="49"/>
        <v>-7.141475020262078E-3</v>
      </c>
      <c r="R808" s="3">
        <f t="shared" si="50"/>
        <v>3.3800000000000002E-3</v>
      </c>
      <c r="S808">
        <f t="shared" si="51"/>
        <v>14</v>
      </c>
      <c r="T808">
        <f>INDEX([1]IDEN_level_ids!$B:$B,MATCH(G808,[1]IDEN_level_ids!$A:$A,0),1)</f>
        <v>1230</v>
      </c>
      <c r="U808">
        <f>INDEX([1]IDEN_level_ids!$B:$B,MATCH(H808,[1]IDEN_level_ids!$A:$A,0),1)</f>
        <v>888</v>
      </c>
    </row>
    <row r="809" spans="1:21" hidden="1" x14ac:dyDescent="0.25">
      <c r="A809">
        <v>85073.214800000002</v>
      </c>
      <c r="B809">
        <v>1175.4581000000001</v>
      </c>
      <c r="C809">
        <v>6</v>
      </c>
      <c r="D809" t="s">
        <v>317</v>
      </c>
      <c r="F809">
        <v>1969</v>
      </c>
      <c r="G809" s="1" t="s">
        <v>100</v>
      </c>
      <c r="H809" s="1" t="s">
        <v>119</v>
      </c>
      <c r="I809">
        <v>0</v>
      </c>
      <c r="J809">
        <v>85072.744999999995</v>
      </c>
      <c r="K809">
        <v>-6.4900000000000001E-3</v>
      </c>
      <c r="L809">
        <v>3.3800000000000002E-3</v>
      </c>
      <c r="M809">
        <v>0.245</v>
      </c>
      <c r="N809">
        <v>0.17979999999999999</v>
      </c>
      <c r="O809">
        <v>4.13E-3</v>
      </c>
      <c r="P809" s="3">
        <f t="shared" si="48"/>
        <v>1175.458106703639</v>
      </c>
      <c r="Q809" s="3">
        <f t="shared" si="49"/>
        <v>-6.4912707182429585E-3</v>
      </c>
      <c r="R809" s="3">
        <f t="shared" si="50"/>
        <v>3.3800000000000002E-3</v>
      </c>
      <c r="S809">
        <f t="shared" si="51"/>
        <v>14</v>
      </c>
      <c r="T809">
        <f>INDEX([1]IDEN_level_ids!$B:$B,MATCH(G809,[1]IDEN_level_ids!$A:$A,0),1)</f>
        <v>1146</v>
      </c>
      <c r="U809">
        <f>INDEX([1]IDEN_level_ids!$B:$B,MATCH(H809,[1]IDEN_level_ids!$A:$A,0),1)</f>
        <v>741</v>
      </c>
    </row>
    <row r="810" spans="1:21" hidden="1" x14ac:dyDescent="0.25">
      <c r="A810">
        <v>85060.198099999994</v>
      </c>
      <c r="B810">
        <v>1175.6379999999999</v>
      </c>
      <c r="C810">
        <v>6</v>
      </c>
      <c r="D810" t="s">
        <v>317</v>
      </c>
      <c r="F810">
        <v>1969</v>
      </c>
      <c r="G810" s="1" t="s">
        <v>141</v>
      </c>
      <c r="H810" s="1" t="s">
        <v>124</v>
      </c>
      <c r="I810">
        <v>0</v>
      </c>
      <c r="J810">
        <v>85059.637600000002</v>
      </c>
      <c r="K810">
        <v>-7.7499999999999999E-3</v>
      </c>
      <c r="L810">
        <v>3.3899999999999998E-3</v>
      </c>
      <c r="M810">
        <v>0.245</v>
      </c>
      <c r="N810">
        <v>7.0499999999999993E-2</v>
      </c>
      <c r="O810">
        <v>3.64E-3</v>
      </c>
      <c r="P810" s="3">
        <f t="shared" si="48"/>
        <v>1175.6379861993291</v>
      </c>
      <c r="Q810" s="3">
        <f t="shared" si="49"/>
        <v>-7.7468598485666007E-3</v>
      </c>
      <c r="R810" s="3">
        <f t="shared" si="50"/>
        <v>3.3899999999999998E-3</v>
      </c>
      <c r="S810">
        <f t="shared" si="51"/>
        <v>14</v>
      </c>
      <c r="T810">
        <f>INDEX([1]IDEN_level_ids!$B:$B,MATCH(G810,[1]IDEN_level_ids!$A:$A,0),1)</f>
        <v>1155</v>
      </c>
      <c r="U810">
        <f>INDEX([1]IDEN_level_ids!$B:$B,MATCH(H810,[1]IDEN_level_ids!$A:$A,0),1)</f>
        <v>776</v>
      </c>
    </row>
    <row r="811" spans="1:21" hidden="1" x14ac:dyDescent="0.25">
      <c r="A811">
        <v>84994.404800000004</v>
      </c>
      <c r="B811">
        <v>1176.548</v>
      </c>
      <c r="C811">
        <v>6</v>
      </c>
      <c r="D811" t="s">
        <v>317</v>
      </c>
      <c r="F811">
        <v>1969</v>
      </c>
      <c r="G811" s="1" t="s">
        <v>108</v>
      </c>
      <c r="H811" s="1" t="s">
        <v>127</v>
      </c>
      <c r="I811">
        <v>0</v>
      </c>
      <c r="J811">
        <v>84993.936799999996</v>
      </c>
      <c r="K811">
        <v>-6.4799999999999996E-3</v>
      </c>
      <c r="L811">
        <v>3.3899999999999998E-3</v>
      </c>
      <c r="M811">
        <v>0.245</v>
      </c>
      <c r="N811">
        <v>7.9000000000000001E-2</v>
      </c>
      <c r="O811">
        <v>3.6800000000000001E-3</v>
      </c>
      <c r="P811" s="3">
        <f t="shared" si="48"/>
        <v>1176.5480355478646</v>
      </c>
      <c r="Q811" s="3">
        <f t="shared" si="49"/>
        <v>-6.4783971818087593E-3</v>
      </c>
      <c r="R811" s="3">
        <f t="shared" si="50"/>
        <v>3.3899999999999998E-3</v>
      </c>
      <c r="S811">
        <f t="shared" si="51"/>
        <v>14</v>
      </c>
      <c r="T811">
        <f>INDEX([1]IDEN_level_ids!$B:$B,MATCH(G811,[1]IDEN_level_ids!$A:$A,0),1)</f>
        <v>1149</v>
      </c>
      <c r="U811">
        <f>INDEX([1]IDEN_level_ids!$B:$B,MATCH(H811,[1]IDEN_level_ids!$A:$A,0),1)</f>
        <v>760</v>
      </c>
    </row>
    <row r="812" spans="1:21" hidden="1" x14ac:dyDescent="0.25">
      <c r="A812">
        <v>84897.873300000007</v>
      </c>
      <c r="B812">
        <v>1177.8858</v>
      </c>
      <c r="C812">
        <v>6</v>
      </c>
      <c r="D812" t="s">
        <v>317</v>
      </c>
      <c r="E812" t="s">
        <v>52</v>
      </c>
      <c r="F812">
        <v>1969</v>
      </c>
      <c r="G812" s="1" t="s">
        <v>108</v>
      </c>
      <c r="H812" s="1" t="s">
        <v>130</v>
      </c>
      <c r="I812">
        <v>0</v>
      </c>
      <c r="J812">
        <v>84897.476500000004</v>
      </c>
      <c r="K812">
        <v>-5.4999999999999997E-3</v>
      </c>
      <c r="L812">
        <v>3.8300000000000001E-3</v>
      </c>
      <c r="M812">
        <v>0.27600000000000002</v>
      </c>
      <c r="N812">
        <v>6.2700000000000006E-2</v>
      </c>
      <c r="O812">
        <v>4.0899999999999999E-3</v>
      </c>
      <c r="P812" s="3">
        <f t="shared" si="48"/>
        <v>1177.8858069463561</v>
      </c>
      <c r="Q812" s="3">
        <f t="shared" si="49"/>
        <v>-5.505288348558679E-3</v>
      </c>
      <c r="R812" s="3">
        <f t="shared" si="50"/>
        <v>3.8300000000000001E-3</v>
      </c>
      <c r="S812">
        <f t="shared" si="51"/>
        <v>14</v>
      </c>
      <c r="T812">
        <f>INDEX([1]IDEN_level_ids!$B:$B,MATCH(G812,[1]IDEN_level_ids!$A:$A,0),1)</f>
        <v>1149</v>
      </c>
      <c r="U812">
        <f>INDEX([1]IDEN_level_ids!$B:$B,MATCH(H812,[1]IDEN_level_ids!$A:$A,0),1)</f>
        <v>761</v>
      </c>
    </row>
    <row r="813" spans="1:21" hidden="1" x14ac:dyDescent="0.25">
      <c r="A813">
        <v>84896.072</v>
      </c>
      <c r="B813">
        <v>1177.9108000000001</v>
      </c>
      <c r="C813">
        <v>6</v>
      </c>
      <c r="D813" t="s">
        <v>317</v>
      </c>
      <c r="E813" t="s">
        <v>52</v>
      </c>
      <c r="F813">
        <v>1969</v>
      </c>
      <c r="G813" s="1" t="s">
        <v>238</v>
      </c>
      <c r="H813" s="1" t="s">
        <v>165</v>
      </c>
      <c r="I813">
        <v>0</v>
      </c>
      <c r="J813">
        <v>84895.504400000005</v>
      </c>
      <c r="K813">
        <v>-7.8799999999999999E-3</v>
      </c>
      <c r="L813">
        <v>3.8300000000000001E-3</v>
      </c>
      <c r="M813">
        <v>0.27600000000000002</v>
      </c>
      <c r="N813">
        <v>5.4699999999999999E-2</v>
      </c>
      <c r="O813">
        <v>4.0499999999999998E-3</v>
      </c>
      <c r="P813" s="3">
        <f t="shared" si="48"/>
        <v>1177.9107989825488</v>
      </c>
      <c r="Q813" s="3">
        <f t="shared" si="49"/>
        <v>-7.8753542279628164E-3</v>
      </c>
      <c r="R813" s="3">
        <f t="shared" si="50"/>
        <v>3.8300000000000001E-3</v>
      </c>
      <c r="S813">
        <f t="shared" si="51"/>
        <v>14</v>
      </c>
      <c r="T813">
        <f>INDEX([1]IDEN_level_ids!$B:$B,MATCH(G813,[1]IDEN_level_ids!$A:$A,0),1)</f>
        <v>1165</v>
      </c>
      <c r="U813">
        <f>INDEX([1]IDEN_level_ids!$B:$B,MATCH(H813,[1]IDEN_level_ids!$A:$A,0),1)</f>
        <v>802</v>
      </c>
    </row>
    <row r="814" spans="1:21" hidden="1" x14ac:dyDescent="0.25">
      <c r="A814">
        <v>84879.570999999996</v>
      </c>
      <c r="B814">
        <v>1178.1397999999999</v>
      </c>
      <c r="C814">
        <v>6</v>
      </c>
      <c r="D814" t="s">
        <v>317</v>
      </c>
      <c r="F814">
        <v>1969</v>
      </c>
      <c r="G814" s="1" t="s">
        <v>309</v>
      </c>
      <c r="H814" s="1" t="s">
        <v>260</v>
      </c>
      <c r="I814">
        <v>0</v>
      </c>
      <c r="J814">
        <v>84878.810100000002</v>
      </c>
      <c r="K814">
        <v>-1.056E-2</v>
      </c>
      <c r="L814">
        <v>3.3999999999999998E-3</v>
      </c>
      <c r="M814">
        <v>0.245</v>
      </c>
      <c r="N814">
        <v>0.28260000000000002</v>
      </c>
      <c r="O814">
        <v>4.7400000000000003E-3</v>
      </c>
      <c r="P814" s="3">
        <f t="shared" si="48"/>
        <v>1178.139790551015</v>
      </c>
      <c r="Q814" s="3">
        <f t="shared" si="49"/>
        <v>-1.0561488380517403E-2</v>
      </c>
      <c r="R814" s="3">
        <f t="shared" si="50"/>
        <v>3.3999999999999998E-3</v>
      </c>
      <c r="S814">
        <f t="shared" si="51"/>
        <v>14</v>
      </c>
      <c r="T814">
        <f>INDEX([1]IDEN_level_ids!$B:$B,MATCH(G814,[1]IDEN_level_ids!$A:$A,0),1)</f>
        <v>1094</v>
      </c>
      <c r="U814">
        <f>INDEX([1]IDEN_level_ids!$B:$B,MATCH(H814,[1]IDEN_level_ids!$A:$A,0),1)</f>
        <v>465</v>
      </c>
    </row>
    <row r="815" spans="1:21" hidden="1" x14ac:dyDescent="0.25">
      <c r="A815">
        <v>84849.889200000005</v>
      </c>
      <c r="B815">
        <v>1178.5518999999999</v>
      </c>
      <c r="C815">
        <v>6</v>
      </c>
      <c r="D815" t="s">
        <v>317</v>
      </c>
      <c r="F815">
        <v>1969</v>
      </c>
      <c r="G815" s="1" t="s">
        <v>309</v>
      </c>
      <c r="H815" s="1" t="s">
        <v>28</v>
      </c>
      <c r="I815">
        <v>0</v>
      </c>
      <c r="J815">
        <v>84849.278600000005</v>
      </c>
      <c r="K815">
        <v>-8.4799999999999997E-3</v>
      </c>
      <c r="L815">
        <v>3.3999999999999998E-3</v>
      </c>
      <c r="M815">
        <v>0.245</v>
      </c>
      <c r="N815">
        <v>0.24260000000000001</v>
      </c>
      <c r="O815">
        <v>4.4900000000000001E-3</v>
      </c>
      <c r="P815" s="3">
        <f t="shared" si="48"/>
        <v>1178.551922021838</v>
      </c>
      <c r="Q815" s="3">
        <f t="shared" si="49"/>
        <v>-8.481201201220756E-3</v>
      </c>
      <c r="R815" s="3">
        <f t="shared" si="50"/>
        <v>3.3999999999999998E-3</v>
      </c>
      <c r="S815">
        <f t="shared" si="51"/>
        <v>14</v>
      </c>
      <c r="T815">
        <f>INDEX([1]IDEN_level_ids!$B:$B,MATCH(G815,[1]IDEN_level_ids!$A:$A,0),1)</f>
        <v>1094</v>
      </c>
      <c r="U815">
        <f>INDEX([1]IDEN_level_ids!$B:$B,MATCH(H815,[1]IDEN_level_ids!$A:$A,0),1)</f>
        <v>458</v>
      </c>
    </row>
    <row r="816" spans="1:21" hidden="1" x14ac:dyDescent="0.25">
      <c r="A816">
        <v>84764.507599999997</v>
      </c>
      <c r="B816">
        <v>1179.7391</v>
      </c>
      <c r="C816">
        <v>6</v>
      </c>
      <c r="D816" t="s">
        <v>317</v>
      </c>
      <c r="F816">
        <v>1969</v>
      </c>
      <c r="G816" s="1" t="s">
        <v>117</v>
      </c>
      <c r="H816" s="1" t="s">
        <v>214</v>
      </c>
      <c r="I816">
        <v>0</v>
      </c>
      <c r="J816">
        <v>84764.409799999994</v>
      </c>
      <c r="K816">
        <v>-1.3600000000000001E-3</v>
      </c>
      <c r="L816">
        <v>3.4099999999999998E-3</v>
      </c>
      <c r="M816">
        <v>0.245</v>
      </c>
      <c r="N816">
        <v>8.2100000000000006E-2</v>
      </c>
      <c r="O816">
        <v>3.7100000000000002E-3</v>
      </c>
      <c r="P816" s="3">
        <f t="shared" si="48"/>
        <v>1179.7390538961852</v>
      </c>
      <c r="Q816" s="3">
        <f t="shared" si="49"/>
        <v>-1.3611665526696015E-3</v>
      </c>
      <c r="R816" s="3">
        <f t="shared" si="50"/>
        <v>3.4099999999999998E-3</v>
      </c>
      <c r="S816">
        <f t="shared" si="51"/>
        <v>14</v>
      </c>
      <c r="T816">
        <f>INDEX([1]IDEN_level_ids!$B:$B,MATCH(G816,[1]IDEN_level_ids!$A:$A,0),1)</f>
        <v>1162</v>
      </c>
      <c r="U816">
        <f>INDEX([1]IDEN_level_ids!$B:$B,MATCH(H816,[1]IDEN_level_ids!$A:$A,0),1)</f>
        <v>794</v>
      </c>
    </row>
    <row r="817" spans="1:21" hidden="1" x14ac:dyDescent="0.25">
      <c r="A817">
        <v>84761.122900000002</v>
      </c>
      <c r="B817">
        <v>1179.7862</v>
      </c>
      <c r="C817">
        <v>6</v>
      </c>
      <c r="D817" t="s">
        <v>317</v>
      </c>
      <c r="F817">
        <v>1969</v>
      </c>
      <c r="G817" s="1" t="s">
        <v>203</v>
      </c>
      <c r="H817" s="1" t="s">
        <v>105</v>
      </c>
      <c r="I817">
        <v>0</v>
      </c>
      <c r="J817">
        <v>84760.616299999994</v>
      </c>
      <c r="K817">
        <v>-7.0499999999999998E-3</v>
      </c>
      <c r="L817">
        <v>3.4099999999999998E-3</v>
      </c>
      <c r="M817">
        <v>0.245</v>
      </c>
      <c r="N817">
        <v>0.1636</v>
      </c>
      <c r="O817">
        <v>4.0800000000000003E-3</v>
      </c>
      <c r="P817" s="3">
        <f t="shared" si="48"/>
        <v>1179.786163498313</v>
      </c>
      <c r="Q817" s="3">
        <f t="shared" si="49"/>
        <v>-7.0513841983483871E-3</v>
      </c>
      <c r="R817" s="3">
        <f t="shared" si="50"/>
        <v>3.4099999999999998E-3</v>
      </c>
      <c r="S817">
        <f t="shared" si="51"/>
        <v>14</v>
      </c>
      <c r="T817">
        <f>INDEX([1]IDEN_level_ids!$B:$B,MATCH(G817,[1]IDEN_level_ids!$A:$A,0),1)</f>
        <v>1127</v>
      </c>
      <c r="U817">
        <f>INDEX([1]IDEN_level_ids!$B:$B,MATCH(H817,[1]IDEN_level_ids!$A:$A,0),1)</f>
        <v>640</v>
      </c>
    </row>
    <row r="818" spans="1:21" hidden="1" x14ac:dyDescent="0.25">
      <c r="A818">
        <v>84616.4</v>
      </c>
      <c r="B818">
        <v>1181.8040000000001</v>
      </c>
      <c r="C818">
        <v>6</v>
      </c>
      <c r="D818" t="s">
        <v>317</v>
      </c>
      <c r="F818">
        <v>1969</v>
      </c>
      <c r="G818" s="1" t="s">
        <v>319</v>
      </c>
      <c r="H818" s="1" t="s">
        <v>169</v>
      </c>
      <c r="I818">
        <v>-0.74770000000000003</v>
      </c>
      <c r="J818">
        <v>84616.100999999995</v>
      </c>
      <c r="K818">
        <v>-4.1799999999999997E-3</v>
      </c>
      <c r="L818">
        <v>3.4199999999999999E-3</v>
      </c>
      <c r="M818">
        <v>0.245</v>
      </c>
      <c r="N818">
        <v>7.3999999999999996E-2</v>
      </c>
      <c r="O818">
        <v>3.6900000000000001E-3</v>
      </c>
      <c r="P818" s="3">
        <f t="shared" si="48"/>
        <v>1181.80400017018</v>
      </c>
      <c r="Q818" s="3">
        <f t="shared" si="49"/>
        <v>-4.1760302337934263E-3</v>
      </c>
      <c r="R818" s="3">
        <f t="shared" si="50"/>
        <v>3.4199999999999999E-3</v>
      </c>
      <c r="S818">
        <f t="shared" si="51"/>
        <v>14</v>
      </c>
      <c r="T818">
        <f>INDEX([1]IDEN_level_ids!$B:$B,MATCH(G818,[1]IDEN_level_ids!$A:$A,0),1)</f>
        <v>1141</v>
      </c>
      <c r="U818">
        <f>INDEX([1]IDEN_level_ids!$B:$B,MATCH(H818,[1]IDEN_level_ids!$A:$A,0),1)</f>
        <v>727</v>
      </c>
    </row>
    <row r="819" spans="1:21" hidden="1" x14ac:dyDescent="0.25">
      <c r="A819">
        <v>84612.9758</v>
      </c>
      <c r="B819">
        <v>1181.8517999999999</v>
      </c>
      <c r="C819">
        <v>6</v>
      </c>
      <c r="D819" t="s">
        <v>317</v>
      </c>
      <c r="F819">
        <v>1969</v>
      </c>
      <c r="G819" s="1" t="s">
        <v>268</v>
      </c>
      <c r="H819" s="1" t="s">
        <v>152</v>
      </c>
      <c r="I819">
        <v>0</v>
      </c>
      <c r="J819">
        <v>84612.709099999993</v>
      </c>
      <c r="K819">
        <v>-3.7299999999999998E-3</v>
      </c>
      <c r="L819">
        <v>3.4199999999999999E-3</v>
      </c>
      <c r="M819">
        <v>0.245</v>
      </c>
      <c r="N819">
        <v>4.4200000000000003E-2</v>
      </c>
      <c r="O819">
        <v>3.5799999999999998E-3</v>
      </c>
      <c r="P819" s="3">
        <f t="shared" si="48"/>
        <v>1181.8518265610983</v>
      </c>
      <c r="Q819" s="3">
        <f t="shared" si="49"/>
        <v>-3.7252073063882563E-3</v>
      </c>
      <c r="R819" s="3">
        <f t="shared" si="50"/>
        <v>3.4199999999999999E-3</v>
      </c>
      <c r="S819">
        <f t="shared" si="51"/>
        <v>14</v>
      </c>
      <c r="T819">
        <f>INDEX([1]IDEN_level_ids!$B:$B,MATCH(G819,[1]IDEN_level_ids!$A:$A,0),1)</f>
        <v>1160</v>
      </c>
      <c r="U819">
        <f>INDEX([1]IDEN_level_ids!$B:$B,MATCH(H819,[1]IDEN_level_ids!$A:$A,0),1)</f>
        <v>793</v>
      </c>
    </row>
    <row r="820" spans="1:21" hidden="1" x14ac:dyDescent="0.25">
      <c r="A820">
        <v>84571.973599999998</v>
      </c>
      <c r="B820">
        <v>1182.4248</v>
      </c>
      <c r="C820">
        <v>6</v>
      </c>
      <c r="D820" t="s">
        <v>317</v>
      </c>
      <c r="E820" t="s">
        <v>45</v>
      </c>
      <c r="F820">
        <v>1969</v>
      </c>
      <c r="G820" s="1" t="s">
        <v>141</v>
      </c>
      <c r="H820" s="1" t="s">
        <v>249</v>
      </c>
      <c r="I820">
        <v>0</v>
      </c>
      <c r="J820">
        <v>84570.998399999997</v>
      </c>
      <c r="K820">
        <v>-1.363E-2</v>
      </c>
      <c r="L820">
        <v>6.7400000000000003E-3</v>
      </c>
      <c r="M820">
        <v>0.48199999999999998</v>
      </c>
      <c r="N820">
        <v>1.32E-2</v>
      </c>
      <c r="O820">
        <v>6.8300000000000001E-3</v>
      </c>
      <c r="P820" s="3">
        <f t="shared" si="48"/>
        <v>1182.4248121838793</v>
      </c>
      <c r="Q820" s="3">
        <f t="shared" si="49"/>
        <v>-1.363470573437553E-2</v>
      </c>
      <c r="R820" s="3">
        <f t="shared" si="50"/>
        <v>6.7400000000000003E-3</v>
      </c>
      <c r="S820">
        <f t="shared" si="51"/>
        <v>14</v>
      </c>
      <c r="T820">
        <f>INDEX([1]IDEN_level_ids!$B:$B,MATCH(G820,[1]IDEN_level_ids!$A:$A,0),1)</f>
        <v>1155</v>
      </c>
      <c r="U820">
        <f>INDEX([1]IDEN_level_ids!$B:$B,MATCH(H820,[1]IDEN_level_ids!$A:$A,0),1)</f>
        <v>784</v>
      </c>
    </row>
    <row r="821" spans="1:21" hidden="1" x14ac:dyDescent="0.25">
      <c r="A821">
        <v>84555.508499999996</v>
      </c>
      <c r="B821">
        <v>1182.6550999999999</v>
      </c>
      <c r="C821">
        <v>6</v>
      </c>
      <c r="D821" t="s">
        <v>317</v>
      </c>
      <c r="F821">
        <v>1969</v>
      </c>
      <c r="G821" s="1" t="s">
        <v>295</v>
      </c>
      <c r="H821" s="1" t="s">
        <v>241</v>
      </c>
      <c r="I821">
        <v>0</v>
      </c>
      <c r="J821">
        <v>84555.234100000001</v>
      </c>
      <c r="K821">
        <v>-3.8400000000000001E-3</v>
      </c>
      <c r="L821">
        <v>3.4299999999999999E-3</v>
      </c>
      <c r="M821">
        <v>0.245</v>
      </c>
      <c r="N821">
        <v>0.1009</v>
      </c>
      <c r="O821">
        <v>3.81E-3</v>
      </c>
      <c r="P821" s="3">
        <f t="shared" si="48"/>
        <v>1182.6550602554771</v>
      </c>
      <c r="Q821" s="3">
        <f t="shared" si="49"/>
        <v>-3.8379711436391517E-3</v>
      </c>
      <c r="R821" s="3">
        <f t="shared" si="50"/>
        <v>3.4299999999999999E-3</v>
      </c>
      <c r="S821">
        <f t="shared" si="51"/>
        <v>14</v>
      </c>
      <c r="T821">
        <f>INDEX([1]IDEN_level_ids!$B:$B,MATCH(G821,[1]IDEN_level_ids!$A:$A,0),1)</f>
        <v>1152</v>
      </c>
      <c r="U821">
        <f>INDEX([1]IDEN_level_ids!$B:$B,MATCH(H821,[1]IDEN_level_ids!$A:$A,0),1)</f>
        <v>777</v>
      </c>
    </row>
    <row r="822" spans="1:21" hidden="1" x14ac:dyDescent="0.25">
      <c r="A822">
        <v>84545.584099999993</v>
      </c>
      <c r="B822">
        <v>1182.7938999999999</v>
      </c>
      <c r="C822">
        <v>6</v>
      </c>
      <c r="D822" t="s">
        <v>317</v>
      </c>
      <c r="F822">
        <v>1969</v>
      </c>
      <c r="G822" s="1" t="s">
        <v>100</v>
      </c>
      <c r="H822" s="1" t="s">
        <v>258</v>
      </c>
      <c r="I822">
        <v>0</v>
      </c>
      <c r="J822">
        <v>84545.308600000004</v>
      </c>
      <c r="K822">
        <v>-3.8500000000000001E-3</v>
      </c>
      <c r="L822">
        <v>3.4299999999999999E-3</v>
      </c>
      <c r="M822">
        <v>0.245</v>
      </c>
      <c r="N822">
        <v>7.2800000000000004E-2</v>
      </c>
      <c r="O822">
        <v>3.7000000000000002E-3</v>
      </c>
      <c r="P822" s="3">
        <f t="shared" si="48"/>
        <v>1182.7938864520779</v>
      </c>
      <c r="Q822" s="3">
        <f t="shared" si="49"/>
        <v>-3.8542613554000127E-3</v>
      </c>
      <c r="R822" s="3">
        <f t="shared" si="50"/>
        <v>3.4299999999999999E-3</v>
      </c>
      <c r="S822">
        <f t="shared" si="51"/>
        <v>14</v>
      </c>
      <c r="T822">
        <f>INDEX([1]IDEN_level_ids!$B:$B,MATCH(G822,[1]IDEN_level_ids!$A:$A,0),1)</f>
        <v>1146</v>
      </c>
      <c r="U822">
        <f>INDEX([1]IDEN_level_ids!$B:$B,MATCH(H822,[1]IDEN_level_ids!$A:$A,0),1)</f>
        <v>755</v>
      </c>
    </row>
    <row r="823" spans="1:21" hidden="1" x14ac:dyDescent="0.25">
      <c r="A823">
        <v>84477.216799999995</v>
      </c>
      <c r="B823">
        <v>1183.7511</v>
      </c>
      <c r="C823">
        <v>6</v>
      </c>
      <c r="D823" t="s">
        <v>317</v>
      </c>
      <c r="F823">
        <v>1969</v>
      </c>
      <c r="G823" s="1" t="s">
        <v>138</v>
      </c>
      <c r="H823" s="1" t="s">
        <v>114</v>
      </c>
      <c r="I823">
        <v>0</v>
      </c>
      <c r="J823">
        <v>84477.236199999999</v>
      </c>
      <c r="K823">
        <v>2.7E-4</v>
      </c>
      <c r="L823">
        <v>3.4299999999999999E-3</v>
      </c>
      <c r="M823">
        <v>0.245</v>
      </c>
      <c r="N823">
        <v>6.6299999999999998E-2</v>
      </c>
      <c r="O823">
        <v>3.6800000000000001E-3</v>
      </c>
      <c r="P823" s="3">
        <f t="shared" si="48"/>
        <v>1183.7511199824473</v>
      </c>
      <c r="Q823" s="3">
        <f t="shared" si="49"/>
        <v>2.7184568034499534E-4</v>
      </c>
      <c r="R823" s="3">
        <f t="shared" si="50"/>
        <v>3.4299999999999999E-3</v>
      </c>
      <c r="S823">
        <f t="shared" si="51"/>
        <v>14</v>
      </c>
      <c r="T823">
        <f>INDEX([1]IDEN_level_ids!$B:$B,MATCH(G823,[1]IDEN_level_ids!$A:$A,0),1)</f>
        <v>1126</v>
      </c>
      <c r="U823">
        <f>INDEX([1]IDEN_level_ids!$B:$B,MATCH(H823,[1]IDEN_level_ids!$A:$A,0),1)</f>
        <v>645</v>
      </c>
    </row>
    <row r="824" spans="1:21" hidden="1" x14ac:dyDescent="0.25">
      <c r="A824">
        <v>84341.079100000003</v>
      </c>
      <c r="B824">
        <v>1185.6619000000001</v>
      </c>
      <c r="C824">
        <v>6</v>
      </c>
      <c r="D824" t="s">
        <v>317</v>
      </c>
      <c r="F824">
        <v>1969</v>
      </c>
      <c r="G824" s="1" t="s">
        <v>172</v>
      </c>
      <c r="H824" s="1" t="s">
        <v>227</v>
      </c>
      <c r="I824">
        <v>0</v>
      </c>
      <c r="J824">
        <v>84340.426300000006</v>
      </c>
      <c r="K824">
        <v>-9.1800000000000007E-3</v>
      </c>
      <c r="L824">
        <v>3.4399999999999999E-3</v>
      </c>
      <c r="M824">
        <v>0.245</v>
      </c>
      <c r="N824">
        <v>4.99E-2</v>
      </c>
      <c r="O824">
        <v>3.62E-3</v>
      </c>
      <c r="P824" s="3">
        <f t="shared" si="48"/>
        <v>1185.6618514618933</v>
      </c>
      <c r="Q824" s="3">
        <f t="shared" si="49"/>
        <v>-9.1770944325162418E-3</v>
      </c>
      <c r="R824" s="3">
        <f t="shared" si="50"/>
        <v>3.4399999999999999E-3</v>
      </c>
      <c r="S824">
        <f t="shared" si="51"/>
        <v>14</v>
      </c>
      <c r="T824">
        <f>INDEX([1]IDEN_level_ids!$B:$B,MATCH(G824,[1]IDEN_level_ids!$A:$A,0),1)</f>
        <v>1136</v>
      </c>
      <c r="U824">
        <f>INDEX([1]IDEN_level_ids!$B:$B,MATCH(H824,[1]IDEN_level_ids!$A:$A,0),1)</f>
        <v>680</v>
      </c>
    </row>
    <row r="825" spans="1:21" hidden="1" x14ac:dyDescent="0.25">
      <c r="A825">
        <v>84233.505799999999</v>
      </c>
      <c r="B825">
        <v>1187.1759999999999</v>
      </c>
      <c r="C825">
        <v>6</v>
      </c>
      <c r="D825" t="s">
        <v>317</v>
      </c>
      <c r="F825">
        <v>1969</v>
      </c>
      <c r="G825" s="1" t="s">
        <v>299</v>
      </c>
      <c r="H825" s="1" t="s">
        <v>286</v>
      </c>
      <c r="I825">
        <v>0</v>
      </c>
      <c r="J825">
        <v>84233.081200000001</v>
      </c>
      <c r="K825">
        <v>-5.9800000000000001E-3</v>
      </c>
      <c r="L825">
        <v>3.4499999999999999E-3</v>
      </c>
      <c r="M825">
        <v>0.245</v>
      </c>
      <c r="N825">
        <v>0.21510000000000001</v>
      </c>
      <c r="O825">
        <v>4.4000000000000003E-3</v>
      </c>
      <c r="P825" s="3">
        <f t="shared" si="48"/>
        <v>1187.1760417693549</v>
      </c>
      <c r="Q825" s="3">
        <f t="shared" si="49"/>
        <v>-5.9842871726232261E-3</v>
      </c>
      <c r="R825" s="3">
        <f t="shared" si="50"/>
        <v>3.4499999999999999E-3</v>
      </c>
      <c r="S825">
        <f t="shared" si="51"/>
        <v>14</v>
      </c>
      <c r="T825">
        <f>INDEX([1]IDEN_level_ids!$B:$B,MATCH(G825,[1]IDEN_level_ids!$A:$A,0),1)</f>
        <v>1101</v>
      </c>
      <c r="U825">
        <f>INDEX([1]IDEN_level_ids!$B:$B,MATCH(H825,[1]IDEN_level_ids!$A:$A,0),1)</f>
        <v>532</v>
      </c>
    </row>
    <row r="826" spans="1:21" hidden="1" x14ac:dyDescent="0.25">
      <c r="A826">
        <v>84216.327699999994</v>
      </c>
      <c r="B826">
        <v>1187.4182000000001</v>
      </c>
      <c r="C826">
        <v>6</v>
      </c>
      <c r="D826" t="s">
        <v>317</v>
      </c>
      <c r="F826">
        <v>1969</v>
      </c>
      <c r="G826" s="1" t="s">
        <v>320</v>
      </c>
      <c r="H826" s="1" t="s">
        <v>321</v>
      </c>
      <c r="I826">
        <v>0</v>
      </c>
      <c r="J826">
        <v>84216.040999999997</v>
      </c>
      <c r="K826">
        <v>-4.0400000000000002E-3</v>
      </c>
      <c r="L826">
        <v>3.4499999999999999E-3</v>
      </c>
      <c r="M826">
        <v>0.245</v>
      </c>
      <c r="N826">
        <v>3.7999999999999999E-2</v>
      </c>
      <c r="O826">
        <v>3.5899999999999999E-3</v>
      </c>
      <c r="P826" s="3">
        <f t="shared" si="48"/>
        <v>1187.4181970534914</v>
      </c>
      <c r="Q826" s="3">
        <f t="shared" si="49"/>
        <v>-4.0423747429940704E-3</v>
      </c>
      <c r="R826" s="3">
        <f t="shared" si="50"/>
        <v>3.4499999999999999E-3</v>
      </c>
      <c r="S826">
        <f t="shared" si="51"/>
        <v>14</v>
      </c>
      <c r="T826">
        <f>INDEX([1]IDEN_level_ids!$B:$B,MATCH(G826,[1]IDEN_level_ids!$A:$A,0),1)</f>
        <v>1180</v>
      </c>
      <c r="U826">
        <f>INDEX([1]IDEN_level_ids!$B:$B,MATCH(H826,[1]IDEN_level_ids!$A:$A,0),1)</f>
        <v>823</v>
      </c>
    </row>
    <row r="827" spans="1:21" hidden="1" x14ac:dyDescent="0.25">
      <c r="A827">
        <v>84212.635800000004</v>
      </c>
      <c r="B827">
        <v>1187.4703</v>
      </c>
      <c r="C827">
        <v>6</v>
      </c>
      <c r="D827" t="s">
        <v>317</v>
      </c>
      <c r="F827">
        <v>1969</v>
      </c>
      <c r="G827" s="1" t="s">
        <v>309</v>
      </c>
      <c r="H827" s="1" t="s">
        <v>264</v>
      </c>
      <c r="I827">
        <v>0</v>
      </c>
      <c r="J827">
        <v>84212.450299999997</v>
      </c>
      <c r="K827">
        <v>-2.6199999999999999E-3</v>
      </c>
      <c r="L827">
        <v>3.4499999999999999E-3</v>
      </c>
      <c r="M827">
        <v>0.245</v>
      </c>
      <c r="N827">
        <v>0.34689999999999999</v>
      </c>
      <c r="O827">
        <v>5.2900000000000004E-3</v>
      </c>
      <c r="P827" s="3">
        <f t="shared" si="48"/>
        <v>1187.4702537217104</v>
      </c>
      <c r="Q827" s="3">
        <f t="shared" si="49"/>
        <v>-2.6157145564411621E-3</v>
      </c>
      <c r="R827" s="3">
        <f t="shared" si="50"/>
        <v>3.4499999999999999E-3</v>
      </c>
      <c r="S827">
        <f t="shared" si="51"/>
        <v>14</v>
      </c>
      <c r="T827">
        <f>INDEX([1]IDEN_level_ids!$B:$B,MATCH(G827,[1]IDEN_level_ids!$A:$A,0),1)</f>
        <v>1094</v>
      </c>
      <c r="U827">
        <f>INDEX([1]IDEN_level_ids!$B:$B,MATCH(H827,[1]IDEN_level_ids!$A:$A,0),1)</f>
        <v>474</v>
      </c>
    </row>
    <row r="828" spans="1:21" hidden="1" x14ac:dyDescent="0.25">
      <c r="A828">
        <v>84204.210300000006</v>
      </c>
      <c r="B828">
        <v>1187.5890999999999</v>
      </c>
      <c r="C828">
        <v>6</v>
      </c>
      <c r="D828" t="s">
        <v>317</v>
      </c>
      <c r="F828">
        <v>1969</v>
      </c>
      <c r="G828" s="1" t="s">
        <v>117</v>
      </c>
      <c r="H828" s="1" t="s">
        <v>165</v>
      </c>
      <c r="I828">
        <v>0</v>
      </c>
      <c r="J828">
        <v>84203.926000000007</v>
      </c>
      <c r="K828">
        <v>-4.0099999999999997E-3</v>
      </c>
      <c r="L828">
        <v>3.46E-3</v>
      </c>
      <c r="M828">
        <v>0.245</v>
      </c>
      <c r="N828">
        <v>4.41E-2</v>
      </c>
      <c r="O828">
        <v>3.6099999999999999E-3</v>
      </c>
      <c r="P828" s="3">
        <f t="shared" si="48"/>
        <v>1187.5890723720734</v>
      </c>
      <c r="Q828" s="3">
        <f t="shared" si="49"/>
        <v>-4.0096892071233015E-3</v>
      </c>
      <c r="R828" s="3">
        <f t="shared" si="50"/>
        <v>3.46E-3</v>
      </c>
      <c r="S828">
        <f t="shared" si="51"/>
        <v>14</v>
      </c>
      <c r="T828">
        <f>INDEX([1]IDEN_level_ids!$B:$B,MATCH(G828,[1]IDEN_level_ids!$A:$A,0),1)</f>
        <v>1162</v>
      </c>
      <c r="U828">
        <f>INDEX([1]IDEN_level_ids!$B:$B,MATCH(H828,[1]IDEN_level_ids!$A:$A,0),1)</f>
        <v>802</v>
      </c>
    </row>
    <row r="829" spans="1:21" hidden="1" x14ac:dyDescent="0.25">
      <c r="A829">
        <v>84131.023799999995</v>
      </c>
      <c r="B829">
        <v>1188.6222</v>
      </c>
      <c r="C829">
        <v>6</v>
      </c>
      <c r="D829" t="s">
        <v>317</v>
      </c>
      <c r="F829">
        <v>1969</v>
      </c>
      <c r="G829" s="1" t="s">
        <v>309</v>
      </c>
      <c r="H829" s="1" t="s">
        <v>173</v>
      </c>
      <c r="I829">
        <v>0</v>
      </c>
      <c r="J829">
        <v>84130.9136</v>
      </c>
      <c r="K829">
        <v>-1.56E-3</v>
      </c>
      <c r="L829">
        <v>3.46E-3</v>
      </c>
      <c r="M829">
        <v>0.245</v>
      </c>
      <c r="N829">
        <v>0.18110000000000001</v>
      </c>
      <c r="O829">
        <v>4.2300000000000003E-3</v>
      </c>
      <c r="P829" s="3">
        <f t="shared" si="48"/>
        <v>1188.6221691266285</v>
      </c>
      <c r="Q829" s="3">
        <f t="shared" si="49"/>
        <v>-1.5569326117201854E-3</v>
      </c>
      <c r="R829" s="3">
        <f t="shared" si="50"/>
        <v>3.46E-3</v>
      </c>
      <c r="S829">
        <f t="shared" si="51"/>
        <v>14</v>
      </c>
      <c r="T829">
        <f>INDEX([1]IDEN_level_ids!$B:$B,MATCH(G829,[1]IDEN_level_ids!$A:$A,0),1)</f>
        <v>1094</v>
      </c>
      <c r="U829">
        <f>INDEX([1]IDEN_level_ids!$B:$B,MATCH(H829,[1]IDEN_level_ids!$A:$A,0),1)</f>
        <v>483</v>
      </c>
    </row>
    <row r="830" spans="1:21" hidden="1" x14ac:dyDescent="0.25">
      <c r="A830">
        <v>84024.295400000003</v>
      </c>
      <c r="B830">
        <v>1190.1320000000001</v>
      </c>
      <c r="C830">
        <v>6</v>
      </c>
      <c r="D830" t="s">
        <v>317</v>
      </c>
      <c r="F830">
        <v>1969</v>
      </c>
      <c r="G830" s="1" t="s">
        <v>295</v>
      </c>
      <c r="H830" s="1" t="s">
        <v>249</v>
      </c>
      <c r="I830">
        <v>0</v>
      </c>
      <c r="J830">
        <v>84023.841499999995</v>
      </c>
      <c r="K830">
        <v>-6.43E-3</v>
      </c>
      <c r="L830">
        <v>3.47E-3</v>
      </c>
      <c r="M830">
        <v>0.245</v>
      </c>
      <c r="N830">
        <v>3.7999999999999999E-2</v>
      </c>
      <c r="O830">
        <v>3.6099999999999999E-3</v>
      </c>
      <c r="P830" s="3">
        <f t="shared" si="48"/>
        <v>1190.131967473779</v>
      </c>
      <c r="Q830" s="3">
        <f t="shared" si="49"/>
        <v>-6.4291383303043403E-3</v>
      </c>
      <c r="R830" s="3">
        <f t="shared" si="50"/>
        <v>3.47E-3</v>
      </c>
      <c r="S830">
        <f t="shared" si="51"/>
        <v>14</v>
      </c>
      <c r="T830">
        <f>INDEX([1]IDEN_level_ids!$B:$B,MATCH(G830,[1]IDEN_level_ids!$A:$A,0),1)</f>
        <v>1152</v>
      </c>
      <c r="U830">
        <f>INDEX([1]IDEN_level_ids!$B:$B,MATCH(H830,[1]IDEN_level_ids!$A:$A,0),1)</f>
        <v>784</v>
      </c>
    </row>
    <row r="831" spans="1:21" hidden="1" x14ac:dyDescent="0.25">
      <c r="A831">
        <v>83889.306500000006</v>
      </c>
      <c r="B831">
        <v>1192.047</v>
      </c>
      <c r="C831">
        <v>6</v>
      </c>
      <c r="D831" t="s">
        <v>317</v>
      </c>
      <c r="F831">
        <v>1969</v>
      </c>
      <c r="G831" s="1" t="s">
        <v>299</v>
      </c>
      <c r="H831" s="1" t="s">
        <v>95</v>
      </c>
      <c r="I831">
        <v>0</v>
      </c>
      <c r="J831">
        <v>83888.595499999996</v>
      </c>
      <c r="K831">
        <v>-1.01E-2</v>
      </c>
      <c r="L831">
        <v>3.48E-3</v>
      </c>
      <c r="M831">
        <v>0.245</v>
      </c>
      <c r="N831">
        <v>0.1489</v>
      </c>
      <c r="O831">
        <v>4.0899999999999999E-3</v>
      </c>
      <c r="P831" s="3">
        <f t="shared" si="48"/>
        <v>1192.0470459485798</v>
      </c>
      <c r="Q831" s="3">
        <f t="shared" si="49"/>
        <v>-1.0103226125465881E-2</v>
      </c>
      <c r="R831" s="3">
        <f t="shared" si="50"/>
        <v>3.48E-3</v>
      </c>
      <c r="S831">
        <f t="shared" si="51"/>
        <v>14</v>
      </c>
      <c r="T831">
        <f>INDEX([1]IDEN_level_ids!$B:$B,MATCH(G831,[1]IDEN_level_ids!$A:$A,0),1)</f>
        <v>1101</v>
      </c>
      <c r="U831">
        <f>INDEX([1]IDEN_level_ids!$B:$B,MATCH(H831,[1]IDEN_level_ids!$A:$A,0),1)</f>
        <v>538</v>
      </c>
    </row>
    <row r="832" spans="1:21" hidden="1" x14ac:dyDescent="0.25">
      <c r="A832">
        <v>83836.782000000007</v>
      </c>
      <c r="B832">
        <v>1192.7938999999999</v>
      </c>
      <c r="C832">
        <v>6</v>
      </c>
      <c r="D832" t="s">
        <v>317</v>
      </c>
      <c r="F832">
        <v>1969</v>
      </c>
      <c r="G832" s="1" t="s">
        <v>275</v>
      </c>
      <c r="H832" s="1" t="s">
        <v>227</v>
      </c>
      <c r="I832">
        <v>0</v>
      </c>
      <c r="J832">
        <v>83836.211599999995</v>
      </c>
      <c r="K832">
        <v>-8.1200000000000005E-3</v>
      </c>
      <c r="L832">
        <v>3.49E-3</v>
      </c>
      <c r="M832">
        <v>0.245</v>
      </c>
      <c r="N832">
        <v>4.0399999999999998E-2</v>
      </c>
      <c r="O832">
        <v>3.63E-3</v>
      </c>
      <c r="P832" s="3">
        <f t="shared" si="48"/>
        <v>1192.7938741732714</v>
      </c>
      <c r="Q832" s="3">
        <f t="shared" si="49"/>
        <v>-8.1154624340342707E-3</v>
      </c>
      <c r="R832" s="3">
        <f t="shared" si="50"/>
        <v>3.49E-3</v>
      </c>
      <c r="S832">
        <f t="shared" si="51"/>
        <v>14</v>
      </c>
      <c r="T832">
        <f>INDEX([1]IDEN_level_ids!$B:$B,MATCH(G832,[1]IDEN_level_ids!$A:$A,0),1)</f>
        <v>1134</v>
      </c>
      <c r="U832">
        <f>INDEX([1]IDEN_level_ids!$B:$B,MATCH(H832,[1]IDEN_level_ids!$A:$A,0),1)</f>
        <v>680</v>
      </c>
    </row>
    <row r="833" spans="1:21" hidden="1" x14ac:dyDescent="0.25">
      <c r="A833">
        <v>83730.369699999996</v>
      </c>
      <c r="B833">
        <v>1194.3098</v>
      </c>
      <c r="C833">
        <v>6</v>
      </c>
      <c r="D833" t="s">
        <v>317</v>
      </c>
      <c r="F833">
        <v>1969</v>
      </c>
      <c r="G833" s="1" t="s">
        <v>268</v>
      </c>
      <c r="H833" s="1" t="s">
        <v>228</v>
      </c>
      <c r="I833">
        <v>0</v>
      </c>
      <c r="J833">
        <v>83729.8174</v>
      </c>
      <c r="K833">
        <v>-7.8799999999999999E-3</v>
      </c>
      <c r="L833">
        <v>3.49E-3</v>
      </c>
      <c r="M833">
        <v>0.245</v>
      </c>
      <c r="N833">
        <v>3.6499999999999998E-2</v>
      </c>
      <c r="O833">
        <v>3.63E-3</v>
      </c>
      <c r="P833" s="3">
        <f t="shared" si="48"/>
        <v>1194.3097869780456</v>
      </c>
      <c r="Q833" s="3">
        <f t="shared" si="49"/>
        <v>-7.8779258790291351E-3</v>
      </c>
      <c r="R833" s="3">
        <f t="shared" si="50"/>
        <v>3.49E-3</v>
      </c>
      <c r="S833">
        <f t="shared" si="51"/>
        <v>14</v>
      </c>
      <c r="T833">
        <f>INDEX([1]IDEN_level_ids!$B:$B,MATCH(G833,[1]IDEN_level_ids!$A:$A,0),1)</f>
        <v>1160</v>
      </c>
      <c r="U833">
        <f>INDEX([1]IDEN_level_ids!$B:$B,MATCH(H833,[1]IDEN_level_ids!$A:$A,0),1)</f>
        <v>804</v>
      </c>
    </row>
    <row r="834" spans="1:21" hidden="1" x14ac:dyDescent="0.25">
      <c r="A834">
        <v>83633.585099999997</v>
      </c>
      <c r="B834">
        <v>1195.6919</v>
      </c>
      <c r="C834">
        <v>6</v>
      </c>
      <c r="D834" t="s">
        <v>317</v>
      </c>
      <c r="F834">
        <v>1969</v>
      </c>
      <c r="G834" s="1" t="s">
        <v>288</v>
      </c>
      <c r="H834" s="1" t="s">
        <v>201</v>
      </c>
      <c r="I834">
        <v>0</v>
      </c>
      <c r="J834">
        <v>83633.231</v>
      </c>
      <c r="K834">
        <v>-5.0600000000000003E-3</v>
      </c>
      <c r="L834">
        <v>3.5000000000000001E-3</v>
      </c>
      <c r="M834">
        <v>0.245</v>
      </c>
      <c r="N834">
        <v>8.6300000000000002E-2</v>
      </c>
      <c r="O834">
        <v>3.8300000000000001E-3</v>
      </c>
      <c r="P834" s="3">
        <f t="shared" ref="P834:P897" si="52">100000000/$A834</f>
        <v>1195.6918967473512</v>
      </c>
      <c r="Q834" s="3">
        <f t="shared" ref="Q834:Q897" si="53">100000000/($A834)-100000000/$J834</f>
        <v>-5.0625151698113768E-3</v>
      </c>
      <c r="R834" s="3">
        <f t="shared" si="50"/>
        <v>3.5000000000000001E-3</v>
      </c>
      <c r="S834">
        <f t="shared" si="51"/>
        <v>14</v>
      </c>
      <c r="T834">
        <f>INDEX([1]IDEN_level_ids!$B:$B,MATCH(G834,[1]IDEN_level_ids!$A:$A,0),1)</f>
        <v>1151</v>
      </c>
      <c r="U834">
        <f>INDEX([1]IDEN_level_ids!$B:$B,MATCH(H834,[1]IDEN_level_ids!$A:$A,0),1)</f>
        <v>788</v>
      </c>
    </row>
    <row r="835" spans="1:21" hidden="1" x14ac:dyDescent="0.25">
      <c r="A835">
        <v>83576.194499999998</v>
      </c>
      <c r="B835">
        <v>1196.5129999999999</v>
      </c>
      <c r="C835">
        <v>6</v>
      </c>
      <c r="D835" t="s">
        <v>317</v>
      </c>
      <c r="F835">
        <v>1969</v>
      </c>
      <c r="G835" s="1" t="s">
        <v>302</v>
      </c>
      <c r="H835" s="1" t="s">
        <v>281</v>
      </c>
      <c r="I835">
        <v>0</v>
      </c>
      <c r="J835">
        <v>83576.2399</v>
      </c>
      <c r="K835">
        <v>6.4999999999999997E-4</v>
      </c>
      <c r="L835">
        <v>3.5100000000000001E-3</v>
      </c>
      <c r="M835">
        <v>0.245</v>
      </c>
      <c r="N835">
        <v>0.50649999999999995</v>
      </c>
      <c r="O835">
        <v>7.11E-3</v>
      </c>
      <c r="P835" s="3">
        <f t="shared" si="52"/>
        <v>1196.5129615945843</v>
      </c>
      <c r="Q835" s="3">
        <f t="shared" si="53"/>
        <v>6.4996569039976748E-4</v>
      </c>
      <c r="R835" s="3">
        <f t="shared" ref="R835:R898" si="54">$L835</f>
        <v>3.5100000000000001E-3</v>
      </c>
      <c r="S835">
        <f t="shared" si="51"/>
        <v>14</v>
      </c>
      <c r="T835">
        <f>INDEX([1]IDEN_level_ids!$B:$B,MATCH(G835,[1]IDEN_level_ids!$A:$A,0),1)</f>
        <v>1100</v>
      </c>
      <c r="U835">
        <f>INDEX([1]IDEN_level_ids!$B:$B,MATCH(H835,[1]IDEN_level_ids!$A:$A,0),1)</f>
        <v>541</v>
      </c>
    </row>
    <row r="836" spans="1:21" hidden="1" x14ac:dyDescent="0.25">
      <c r="A836">
        <v>83542.272200000007</v>
      </c>
      <c r="B836">
        <v>1196.9988000000001</v>
      </c>
      <c r="C836">
        <v>6</v>
      </c>
      <c r="D836" t="s">
        <v>317</v>
      </c>
      <c r="F836">
        <v>1969</v>
      </c>
      <c r="G836" s="1" t="s">
        <v>268</v>
      </c>
      <c r="H836" s="1" t="s">
        <v>226</v>
      </c>
      <c r="I836">
        <v>0</v>
      </c>
      <c r="J836">
        <v>83542.133700000006</v>
      </c>
      <c r="K836">
        <v>-1.98E-3</v>
      </c>
      <c r="L836">
        <v>3.5100000000000001E-3</v>
      </c>
      <c r="M836">
        <v>0.245</v>
      </c>
      <c r="N836">
        <v>4.4299999999999999E-2</v>
      </c>
      <c r="O836">
        <v>3.6700000000000001E-3</v>
      </c>
      <c r="P836" s="3">
        <f t="shared" si="52"/>
        <v>1196.9988051150947</v>
      </c>
      <c r="Q836" s="3">
        <f t="shared" si="53"/>
        <v>-1.984439792977355E-3</v>
      </c>
      <c r="R836" s="3">
        <f t="shared" si="54"/>
        <v>3.5100000000000001E-3</v>
      </c>
      <c r="S836">
        <f t="shared" ref="S836:S899" si="55">IF(D836=D835,S835,S835+1)</f>
        <v>14</v>
      </c>
      <c r="T836">
        <f>INDEX([1]IDEN_level_ids!$B:$B,MATCH(G836,[1]IDEN_level_ids!$A:$A,0),1)</f>
        <v>1160</v>
      </c>
      <c r="U836">
        <f>INDEX([1]IDEN_level_ids!$B:$B,MATCH(H836,[1]IDEN_level_ids!$A:$A,0),1)</f>
        <v>811</v>
      </c>
    </row>
    <row r="837" spans="1:21" hidden="1" x14ac:dyDescent="0.25">
      <c r="A837">
        <v>83506.971900000004</v>
      </c>
      <c r="B837">
        <v>1197.5047999999999</v>
      </c>
      <c r="C837">
        <v>6</v>
      </c>
      <c r="D837" t="s">
        <v>317</v>
      </c>
      <c r="F837">
        <v>1969</v>
      </c>
      <c r="G837" s="1" t="s">
        <v>288</v>
      </c>
      <c r="H837" s="1" t="s">
        <v>189</v>
      </c>
      <c r="I837">
        <v>0</v>
      </c>
      <c r="J837">
        <v>83506.701499999996</v>
      </c>
      <c r="K837">
        <v>-3.8800000000000002E-3</v>
      </c>
      <c r="L837">
        <v>3.5100000000000001E-3</v>
      </c>
      <c r="M837">
        <v>0.245</v>
      </c>
      <c r="N837">
        <v>3.2399999999999998E-2</v>
      </c>
      <c r="O837">
        <v>3.63E-3</v>
      </c>
      <c r="P837" s="3">
        <f t="shared" si="52"/>
        <v>1197.5048037875265</v>
      </c>
      <c r="Q837" s="3">
        <f t="shared" si="53"/>
        <v>-3.8775965658714995E-3</v>
      </c>
      <c r="R837" s="3">
        <f t="shared" si="54"/>
        <v>3.5100000000000001E-3</v>
      </c>
      <c r="S837">
        <f t="shared" si="55"/>
        <v>14</v>
      </c>
      <c r="T837">
        <f>INDEX([1]IDEN_level_ids!$B:$B,MATCH(G837,[1]IDEN_level_ids!$A:$A,0),1)</f>
        <v>1151</v>
      </c>
      <c r="U837">
        <f>INDEX([1]IDEN_level_ids!$B:$B,MATCH(H837,[1]IDEN_level_ids!$A:$A,0),1)</f>
        <v>789</v>
      </c>
    </row>
    <row r="838" spans="1:21" hidden="1" x14ac:dyDescent="0.25">
      <c r="A838">
        <v>83501.100600000005</v>
      </c>
      <c r="B838">
        <v>1197.5889999999999</v>
      </c>
      <c r="C838">
        <v>6</v>
      </c>
      <c r="D838" t="s">
        <v>317</v>
      </c>
      <c r="F838">
        <v>1969</v>
      </c>
      <c r="G838" s="1" t="s">
        <v>268</v>
      </c>
      <c r="H838" s="1" t="s">
        <v>184</v>
      </c>
      <c r="I838">
        <v>0</v>
      </c>
      <c r="J838">
        <v>83500.780599999998</v>
      </c>
      <c r="K838">
        <v>-4.5900000000000003E-3</v>
      </c>
      <c r="L838">
        <v>3.5100000000000001E-3</v>
      </c>
      <c r="M838">
        <v>0.245</v>
      </c>
      <c r="N838">
        <v>4.24E-2</v>
      </c>
      <c r="O838">
        <v>3.6700000000000001E-3</v>
      </c>
      <c r="P838" s="3">
        <f t="shared" si="52"/>
        <v>1197.5890051921062</v>
      </c>
      <c r="Q838" s="3">
        <f t="shared" si="53"/>
        <v>-4.5895197497429763E-3</v>
      </c>
      <c r="R838" s="3">
        <f t="shared" si="54"/>
        <v>3.5100000000000001E-3</v>
      </c>
      <c r="S838">
        <f t="shared" si="55"/>
        <v>14</v>
      </c>
      <c r="T838">
        <f>INDEX([1]IDEN_level_ids!$B:$B,MATCH(G838,[1]IDEN_level_ids!$A:$A,0),1)</f>
        <v>1160</v>
      </c>
      <c r="U838">
        <f>INDEX([1]IDEN_level_ids!$B:$B,MATCH(H838,[1]IDEN_level_ids!$A:$A,0),1)</f>
        <v>810</v>
      </c>
    </row>
    <row r="839" spans="1:21" hidden="1" x14ac:dyDescent="0.25">
      <c r="A839">
        <v>83496.785399999993</v>
      </c>
      <c r="B839">
        <v>1197.6509000000001</v>
      </c>
      <c r="C839">
        <v>6</v>
      </c>
      <c r="D839" t="s">
        <v>317</v>
      </c>
      <c r="F839">
        <v>1969</v>
      </c>
      <c r="G839" s="1" t="s">
        <v>320</v>
      </c>
      <c r="H839" s="1" t="s">
        <v>322</v>
      </c>
      <c r="I839">
        <v>0</v>
      </c>
      <c r="J839">
        <v>83496.464900000006</v>
      </c>
      <c r="K839">
        <v>-4.5999999999999999E-3</v>
      </c>
      <c r="L839">
        <v>3.5100000000000001E-3</v>
      </c>
      <c r="M839">
        <v>0.245</v>
      </c>
      <c r="N839">
        <v>2.8299999999999999E-2</v>
      </c>
      <c r="O839">
        <v>3.62E-3</v>
      </c>
      <c r="P839" s="3">
        <f t="shared" si="52"/>
        <v>1197.6508978272595</v>
      </c>
      <c r="Q839" s="3">
        <f t="shared" si="53"/>
        <v>-4.597166037910938E-3</v>
      </c>
      <c r="R839" s="3">
        <f t="shared" si="54"/>
        <v>3.5100000000000001E-3</v>
      </c>
      <c r="S839">
        <f t="shared" si="55"/>
        <v>14</v>
      </c>
      <c r="T839">
        <f>INDEX([1]IDEN_level_ids!$B:$B,MATCH(G839,[1]IDEN_level_ids!$A:$A,0),1)</f>
        <v>1180</v>
      </c>
      <c r="U839">
        <f>INDEX([1]IDEN_level_ids!$B:$B,MATCH(H839,[1]IDEN_level_ids!$A:$A,0),1)</f>
        <v>830</v>
      </c>
    </row>
    <row r="840" spans="1:21" hidden="1" x14ac:dyDescent="0.25">
      <c r="A840">
        <v>83444.674700000003</v>
      </c>
      <c r="B840">
        <v>1198.3987999999999</v>
      </c>
      <c r="C840">
        <v>6</v>
      </c>
      <c r="D840" t="s">
        <v>317</v>
      </c>
      <c r="F840">
        <v>1969</v>
      </c>
      <c r="G840" s="1" t="s">
        <v>275</v>
      </c>
      <c r="H840" s="1" t="s">
        <v>132</v>
      </c>
      <c r="I840">
        <v>0</v>
      </c>
      <c r="J840">
        <v>83444.394100000005</v>
      </c>
      <c r="K840">
        <v>-4.0299999999999997E-3</v>
      </c>
      <c r="L840">
        <v>3.5200000000000001E-3</v>
      </c>
      <c r="M840">
        <v>0.245</v>
      </c>
      <c r="N840">
        <v>0.1011</v>
      </c>
      <c r="O840">
        <v>3.9100000000000003E-3</v>
      </c>
      <c r="P840" s="3">
        <f t="shared" si="52"/>
        <v>1198.3988236459622</v>
      </c>
      <c r="Q840" s="3">
        <f t="shared" si="53"/>
        <v>-4.0298777832958876E-3</v>
      </c>
      <c r="R840" s="3">
        <f t="shared" si="54"/>
        <v>3.5200000000000001E-3</v>
      </c>
      <c r="S840">
        <f t="shared" si="55"/>
        <v>14</v>
      </c>
      <c r="T840">
        <f>INDEX([1]IDEN_level_ids!$B:$B,MATCH(G840,[1]IDEN_level_ids!$A:$A,0),1)</f>
        <v>1134</v>
      </c>
      <c r="U840">
        <f>INDEX([1]IDEN_level_ids!$B:$B,MATCH(H840,[1]IDEN_level_ids!$A:$A,0),1)</f>
        <v>696</v>
      </c>
    </row>
    <row r="841" spans="1:21" hidden="1" x14ac:dyDescent="0.25">
      <c r="A841">
        <v>83323.608300000007</v>
      </c>
      <c r="B841">
        <v>1200.1401000000001</v>
      </c>
      <c r="C841">
        <v>6</v>
      </c>
      <c r="D841" t="s">
        <v>323</v>
      </c>
      <c r="F841">
        <v>1969</v>
      </c>
      <c r="G841" s="1" t="s">
        <v>285</v>
      </c>
      <c r="H841" s="1" t="s">
        <v>161</v>
      </c>
      <c r="I841">
        <v>0</v>
      </c>
      <c r="J841">
        <v>83323.479399999997</v>
      </c>
      <c r="K841">
        <v>-1.8600000000000001E-3</v>
      </c>
      <c r="L841">
        <v>3.5300000000000002E-3</v>
      </c>
      <c r="M841">
        <v>0.245</v>
      </c>
      <c r="N841">
        <v>2.6100000000000002E-2</v>
      </c>
      <c r="O841">
        <v>3.62E-3</v>
      </c>
      <c r="P841" s="3">
        <f t="shared" si="52"/>
        <v>1200.1400568246875</v>
      </c>
      <c r="Q841" s="3">
        <f t="shared" si="53"/>
        <v>-1.8565961772765149E-3</v>
      </c>
      <c r="R841" s="3">
        <f t="shared" si="54"/>
        <v>3.5300000000000002E-3</v>
      </c>
      <c r="S841">
        <f t="shared" si="55"/>
        <v>15</v>
      </c>
      <c r="T841">
        <f>INDEX([1]IDEN_level_ids!$B:$B,MATCH(G841,[1]IDEN_level_ids!$A:$A,0),1)</f>
        <v>1150</v>
      </c>
      <c r="U841">
        <f>INDEX([1]IDEN_level_ids!$B:$B,MATCH(H841,[1]IDEN_level_ids!$A:$A,0),1)</f>
        <v>785</v>
      </c>
    </row>
    <row r="842" spans="1:21" hidden="1" x14ac:dyDescent="0.25">
      <c r="A842">
        <v>83294.1106</v>
      </c>
      <c r="B842">
        <v>1200.5651</v>
      </c>
      <c r="C842">
        <v>6</v>
      </c>
      <c r="D842" t="s">
        <v>323</v>
      </c>
      <c r="F842">
        <v>1969</v>
      </c>
      <c r="G842" s="1" t="s">
        <v>275</v>
      </c>
      <c r="H842" s="1" t="s">
        <v>136</v>
      </c>
      <c r="I842">
        <v>0</v>
      </c>
      <c r="J842">
        <v>83294.087899999999</v>
      </c>
      <c r="K842">
        <v>-3.3E-4</v>
      </c>
      <c r="L842">
        <v>3.5300000000000002E-3</v>
      </c>
      <c r="M842">
        <v>0.245</v>
      </c>
      <c r="N842">
        <v>0.106</v>
      </c>
      <c r="O842">
        <v>3.9500000000000004E-3</v>
      </c>
      <c r="P842" s="3">
        <f t="shared" si="52"/>
        <v>1200.5650733246439</v>
      </c>
      <c r="Q842" s="3">
        <f t="shared" si="53"/>
        <v>-3.2718801367082051E-4</v>
      </c>
      <c r="R842" s="3">
        <f t="shared" si="54"/>
        <v>3.5300000000000002E-3</v>
      </c>
      <c r="S842">
        <f t="shared" si="55"/>
        <v>15</v>
      </c>
      <c r="T842">
        <f>INDEX([1]IDEN_level_ids!$B:$B,MATCH(G842,[1]IDEN_level_ids!$A:$A,0),1)</f>
        <v>1134</v>
      </c>
      <c r="U842">
        <f>INDEX([1]IDEN_level_ids!$B:$B,MATCH(H842,[1]IDEN_level_ids!$A:$A,0),1)</f>
        <v>700</v>
      </c>
    </row>
    <row r="843" spans="1:21" hidden="1" x14ac:dyDescent="0.25">
      <c r="A843">
        <v>83272.324500000002</v>
      </c>
      <c r="B843">
        <v>1200.8792000000001</v>
      </c>
      <c r="C843">
        <v>6</v>
      </c>
      <c r="D843" t="s">
        <v>323</v>
      </c>
      <c r="F843">
        <v>1969</v>
      </c>
      <c r="G843" s="1" t="s">
        <v>141</v>
      </c>
      <c r="H843" s="1" t="s">
        <v>152</v>
      </c>
      <c r="I843">
        <v>0</v>
      </c>
      <c r="J843">
        <v>83272.319000000003</v>
      </c>
      <c r="K843">
        <v>-8.0000000000000007E-5</v>
      </c>
      <c r="L843">
        <v>3.5300000000000002E-3</v>
      </c>
      <c r="M843">
        <v>0.245</v>
      </c>
      <c r="N843">
        <v>2.2599999999999999E-2</v>
      </c>
      <c r="O843">
        <v>3.6099999999999999E-3</v>
      </c>
      <c r="P843" s="3">
        <f t="shared" si="52"/>
        <v>1200.8791708462516</v>
      </c>
      <c r="Q843" s="3">
        <f t="shared" si="53"/>
        <v>-7.9316098208437325E-5</v>
      </c>
      <c r="R843" s="3">
        <f t="shared" si="54"/>
        <v>3.5300000000000002E-3</v>
      </c>
      <c r="S843">
        <f t="shared" si="55"/>
        <v>15</v>
      </c>
      <c r="T843">
        <f>INDEX([1]IDEN_level_ids!$B:$B,MATCH(G843,[1]IDEN_level_ids!$A:$A,0),1)</f>
        <v>1155</v>
      </c>
      <c r="U843">
        <f>INDEX([1]IDEN_level_ids!$B:$B,MATCH(H843,[1]IDEN_level_ids!$A:$A,0),1)</f>
        <v>793</v>
      </c>
    </row>
    <row r="844" spans="1:21" hidden="1" x14ac:dyDescent="0.25">
      <c r="A844">
        <v>83194.762600000002</v>
      </c>
      <c r="B844">
        <v>1201.9987000000001</v>
      </c>
      <c r="C844">
        <v>6</v>
      </c>
      <c r="D844" t="s">
        <v>323</v>
      </c>
      <c r="F844">
        <v>1969</v>
      </c>
      <c r="G844" s="1" t="s">
        <v>117</v>
      </c>
      <c r="H844" s="1" t="s">
        <v>234</v>
      </c>
      <c r="I844">
        <v>0</v>
      </c>
      <c r="J844">
        <v>83194.999400000001</v>
      </c>
      <c r="K844">
        <v>3.4199999999999999E-3</v>
      </c>
      <c r="L844">
        <v>3.5400000000000002E-3</v>
      </c>
      <c r="M844">
        <v>0.245</v>
      </c>
      <c r="N844">
        <v>4.36E-2</v>
      </c>
      <c r="O844">
        <v>3.7000000000000002E-3</v>
      </c>
      <c r="P844" s="3">
        <f t="shared" si="52"/>
        <v>1201.9987421660123</v>
      </c>
      <c r="Q844" s="3">
        <f t="shared" si="53"/>
        <v>3.4212789735192928E-3</v>
      </c>
      <c r="R844" s="3">
        <f t="shared" si="54"/>
        <v>3.5400000000000002E-3</v>
      </c>
      <c r="S844">
        <f t="shared" si="55"/>
        <v>15</v>
      </c>
      <c r="T844">
        <f>INDEX([1]IDEN_level_ids!$B:$B,MATCH(G844,[1]IDEN_level_ids!$A:$A,0),1)</f>
        <v>1162</v>
      </c>
      <c r="U844">
        <f>INDEX([1]IDEN_level_ids!$B:$B,MATCH(H844,[1]IDEN_level_ids!$A:$A,0),1)</f>
        <v>818</v>
      </c>
    </row>
    <row r="845" spans="1:21" hidden="1" x14ac:dyDescent="0.25">
      <c r="A845">
        <v>83167.773100000006</v>
      </c>
      <c r="B845">
        <v>1202.3887999999999</v>
      </c>
      <c r="C845">
        <v>6</v>
      </c>
      <c r="D845" t="s">
        <v>323</v>
      </c>
      <c r="F845">
        <v>1969</v>
      </c>
      <c r="G845" s="1" t="s">
        <v>324</v>
      </c>
      <c r="H845" s="1" t="s">
        <v>325</v>
      </c>
      <c r="I845">
        <v>0</v>
      </c>
      <c r="J845">
        <v>83167.647899999996</v>
      </c>
      <c r="K845">
        <v>-1.81E-3</v>
      </c>
      <c r="L845">
        <v>3.5400000000000002E-3</v>
      </c>
      <c r="M845">
        <v>0.245</v>
      </c>
      <c r="N845">
        <v>3.04E-2</v>
      </c>
      <c r="O845">
        <v>3.65E-3</v>
      </c>
      <c r="P845" s="3">
        <f t="shared" si="52"/>
        <v>1202.388813269788</v>
      </c>
      <c r="Q845" s="3">
        <f t="shared" si="53"/>
        <v>-1.8100677755228389E-3</v>
      </c>
      <c r="R845" s="3">
        <f t="shared" si="54"/>
        <v>3.5400000000000002E-3</v>
      </c>
      <c r="S845">
        <f t="shared" si="55"/>
        <v>15</v>
      </c>
      <c r="T845">
        <f>INDEX([1]IDEN_level_ids!$B:$B,MATCH(G845,[1]IDEN_level_ids!$A:$A,0),1)</f>
        <v>1171</v>
      </c>
      <c r="U845">
        <f>INDEX([1]IDEN_level_ids!$B:$B,MATCH(H845,[1]IDEN_level_ids!$A:$A,0),1)</f>
        <v>822</v>
      </c>
    </row>
    <row r="846" spans="1:21" hidden="1" x14ac:dyDescent="0.25">
      <c r="A846">
        <v>83159.031000000003</v>
      </c>
      <c r="B846">
        <v>1202.5152</v>
      </c>
      <c r="C846">
        <v>6</v>
      </c>
      <c r="D846" t="s">
        <v>323</v>
      </c>
      <c r="F846">
        <v>1969</v>
      </c>
      <c r="G846" s="1" t="s">
        <v>108</v>
      </c>
      <c r="H846" s="1" t="s">
        <v>157</v>
      </c>
      <c r="I846">
        <v>0</v>
      </c>
      <c r="J846">
        <v>83158.853300000002</v>
      </c>
      <c r="K846">
        <v>-2.5699999999999998E-3</v>
      </c>
      <c r="L846">
        <v>3.5400000000000002E-3</v>
      </c>
      <c r="M846">
        <v>0.245</v>
      </c>
      <c r="N846">
        <v>2.5899999999999999E-2</v>
      </c>
      <c r="O846">
        <v>3.64E-3</v>
      </c>
      <c r="P846" s="3">
        <f t="shared" si="52"/>
        <v>1202.5152144930596</v>
      </c>
      <c r="Q846" s="3">
        <f t="shared" si="53"/>
        <v>-2.5696236195926758E-3</v>
      </c>
      <c r="R846" s="3">
        <f t="shared" si="54"/>
        <v>3.5400000000000002E-3</v>
      </c>
      <c r="S846">
        <f t="shared" si="55"/>
        <v>15</v>
      </c>
      <c r="T846">
        <f>INDEX([1]IDEN_level_ids!$B:$B,MATCH(G846,[1]IDEN_level_ids!$A:$A,0),1)</f>
        <v>1149</v>
      </c>
      <c r="U846">
        <f>INDEX([1]IDEN_level_ids!$B:$B,MATCH(H846,[1]IDEN_level_ids!$A:$A,0),1)</f>
        <v>778</v>
      </c>
    </row>
    <row r="847" spans="1:21" hidden="1" x14ac:dyDescent="0.25">
      <c r="A847">
        <v>83121.792100000006</v>
      </c>
      <c r="B847">
        <v>1203.0539000000001</v>
      </c>
      <c r="C847">
        <v>6</v>
      </c>
      <c r="D847" t="s">
        <v>323</v>
      </c>
      <c r="E847" t="s">
        <v>45</v>
      </c>
      <c r="F847">
        <v>1969</v>
      </c>
      <c r="G847" s="1" t="s">
        <v>326</v>
      </c>
      <c r="H847" s="1" t="s">
        <v>149</v>
      </c>
      <c r="I847">
        <v>-0.73750000000000004</v>
      </c>
      <c r="J847">
        <v>83121.629300000001</v>
      </c>
      <c r="K847">
        <v>-2.3600000000000001E-3</v>
      </c>
      <c r="L847">
        <v>6.9800000000000001E-3</v>
      </c>
      <c r="M847">
        <v>0.48199999999999998</v>
      </c>
      <c r="N847">
        <v>1.4E-2</v>
      </c>
      <c r="O847">
        <v>7.0800000000000004E-3</v>
      </c>
      <c r="P847" s="3">
        <f t="shared" si="52"/>
        <v>1203.0539461865139</v>
      </c>
      <c r="Q847" s="3">
        <f t="shared" si="53"/>
        <v>-2.3562721771668294E-3</v>
      </c>
      <c r="R847" s="3">
        <f t="shared" si="54"/>
        <v>6.9800000000000001E-3</v>
      </c>
      <c r="S847">
        <f t="shared" si="55"/>
        <v>15</v>
      </c>
      <c r="T847">
        <f>INDEX([1]IDEN_level_ids!$B:$B,MATCH(G847,[1]IDEN_level_ids!$A:$A,0),1)</f>
        <v>1148</v>
      </c>
      <c r="U847">
        <f>INDEX([1]IDEN_level_ids!$B:$B,MATCH(H847,[1]IDEN_level_ids!$A:$A,0),1)</f>
        <v>772</v>
      </c>
    </row>
    <row r="848" spans="1:21" hidden="1" x14ac:dyDescent="0.25">
      <c r="A848">
        <v>83118.197100000005</v>
      </c>
      <c r="B848">
        <v>1203.106</v>
      </c>
      <c r="C848">
        <v>6</v>
      </c>
      <c r="D848" t="s">
        <v>323</v>
      </c>
      <c r="E848" t="s">
        <v>45</v>
      </c>
      <c r="F848">
        <v>1969</v>
      </c>
      <c r="G848" s="1" t="s">
        <v>255</v>
      </c>
      <c r="H848" s="1" t="s">
        <v>167</v>
      </c>
      <c r="I848">
        <v>0</v>
      </c>
      <c r="J848">
        <v>83117.317800000004</v>
      </c>
      <c r="K848">
        <v>-1.273E-2</v>
      </c>
      <c r="L848">
        <v>6.9800000000000001E-3</v>
      </c>
      <c r="M848">
        <v>0.48199999999999998</v>
      </c>
      <c r="N848">
        <v>4.6199999999999998E-2</v>
      </c>
      <c r="O848">
        <v>7.3099999999999997E-3</v>
      </c>
      <c r="P848" s="3">
        <f t="shared" si="52"/>
        <v>1203.1059802667446</v>
      </c>
      <c r="Q848" s="3">
        <f t="shared" si="53"/>
        <v>-1.2727685594882132E-2</v>
      </c>
      <c r="R848" s="3">
        <f t="shared" si="54"/>
        <v>6.9800000000000001E-3</v>
      </c>
      <c r="S848">
        <f t="shared" si="55"/>
        <v>15</v>
      </c>
      <c r="T848">
        <f>INDEX([1]IDEN_level_ids!$B:$B,MATCH(G848,[1]IDEN_level_ids!$A:$A,0),1)</f>
        <v>1111</v>
      </c>
      <c r="U848">
        <f>INDEX([1]IDEN_level_ids!$B:$B,MATCH(H848,[1]IDEN_level_ids!$A:$A,0),1)</f>
        <v>628</v>
      </c>
    </row>
    <row r="849" spans="1:21" hidden="1" x14ac:dyDescent="0.25">
      <c r="A849">
        <v>83107.129400000005</v>
      </c>
      <c r="B849">
        <v>1203.2662</v>
      </c>
      <c r="C849">
        <v>6</v>
      </c>
      <c r="D849" t="s">
        <v>323</v>
      </c>
      <c r="F849">
        <v>1969</v>
      </c>
      <c r="G849" s="1" t="s">
        <v>297</v>
      </c>
      <c r="H849" s="1" t="s">
        <v>286</v>
      </c>
      <c r="I849">
        <v>0</v>
      </c>
      <c r="J849">
        <v>83107.032900000006</v>
      </c>
      <c r="K849">
        <v>-1.4E-3</v>
      </c>
      <c r="L849">
        <v>3.5500000000000002E-3</v>
      </c>
      <c r="M849">
        <v>0.245</v>
      </c>
      <c r="N849">
        <v>0.21</v>
      </c>
      <c r="O849">
        <v>4.4900000000000001E-3</v>
      </c>
      <c r="P849" s="3">
        <f t="shared" si="52"/>
        <v>1203.2662025744328</v>
      </c>
      <c r="Q849" s="3">
        <f t="shared" si="53"/>
        <v>-1.3971764421967237E-3</v>
      </c>
      <c r="R849" s="3">
        <f t="shared" si="54"/>
        <v>3.5500000000000002E-3</v>
      </c>
      <c r="S849">
        <f t="shared" si="55"/>
        <v>15</v>
      </c>
      <c r="T849">
        <f>INDEX([1]IDEN_level_ids!$B:$B,MATCH(G849,[1]IDEN_level_ids!$A:$A,0),1)</f>
        <v>1099</v>
      </c>
      <c r="U849">
        <f>INDEX([1]IDEN_level_ids!$B:$B,MATCH(H849,[1]IDEN_level_ids!$A:$A,0),1)</f>
        <v>532</v>
      </c>
    </row>
    <row r="850" spans="1:21" hidden="1" x14ac:dyDescent="0.25">
      <c r="A850">
        <v>83094.582999999999</v>
      </c>
      <c r="B850">
        <v>1203.4478999999999</v>
      </c>
      <c r="C850">
        <v>6</v>
      </c>
      <c r="D850" t="s">
        <v>323</v>
      </c>
      <c r="F850">
        <v>1969</v>
      </c>
      <c r="G850" s="1" t="s">
        <v>108</v>
      </c>
      <c r="H850" s="1" t="s">
        <v>158</v>
      </c>
      <c r="I850">
        <v>0</v>
      </c>
      <c r="J850">
        <v>83094.497700000007</v>
      </c>
      <c r="K850">
        <v>-1.24E-3</v>
      </c>
      <c r="L850">
        <v>3.5500000000000002E-3</v>
      </c>
      <c r="M850">
        <v>0.245</v>
      </c>
      <c r="N850">
        <v>3.04E-2</v>
      </c>
      <c r="O850">
        <v>3.6600000000000001E-3</v>
      </c>
      <c r="P850" s="3">
        <f t="shared" si="52"/>
        <v>1203.4478829985826</v>
      </c>
      <c r="Q850" s="3">
        <f t="shared" si="53"/>
        <v>-1.2353899144272873E-3</v>
      </c>
      <c r="R850" s="3">
        <f t="shared" si="54"/>
        <v>3.5500000000000002E-3</v>
      </c>
      <c r="S850">
        <f t="shared" si="55"/>
        <v>15</v>
      </c>
      <c r="T850">
        <f>INDEX([1]IDEN_level_ids!$B:$B,MATCH(G850,[1]IDEN_level_ids!$A:$A,0),1)</f>
        <v>1149</v>
      </c>
      <c r="U850">
        <f>INDEX([1]IDEN_level_ids!$B:$B,MATCH(H850,[1]IDEN_level_ids!$A:$A,0),1)</f>
        <v>779</v>
      </c>
    </row>
    <row r="851" spans="1:21" hidden="1" x14ac:dyDescent="0.25">
      <c r="A851">
        <v>83051.098700000002</v>
      </c>
      <c r="B851">
        <v>1204.078</v>
      </c>
      <c r="C851">
        <v>6</v>
      </c>
      <c r="D851" t="s">
        <v>323</v>
      </c>
      <c r="F851">
        <v>1969</v>
      </c>
      <c r="G851" s="1" t="s">
        <v>282</v>
      </c>
      <c r="H851" s="1" t="s">
        <v>151</v>
      </c>
      <c r="I851">
        <v>0</v>
      </c>
      <c r="J851">
        <v>83050.617700000003</v>
      </c>
      <c r="K851">
        <v>-6.9699999999999996E-3</v>
      </c>
      <c r="L851">
        <v>3.5500000000000002E-3</v>
      </c>
      <c r="M851">
        <v>0.245</v>
      </c>
      <c r="N851">
        <v>4.9200000000000001E-2</v>
      </c>
      <c r="O851">
        <v>3.7399999999999998E-3</v>
      </c>
      <c r="P851" s="3">
        <f t="shared" si="52"/>
        <v>1204.0779901205569</v>
      </c>
      <c r="Q851" s="3">
        <f t="shared" si="53"/>
        <v>-6.9735966965254192E-3</v>
      </c>
      <c r="R851" s="3">
        <f t="shared" si="54"/>
        <v>3.5500000000000002E-3</v>
      </c>
      <c r="S851">
        <f t="shared" si="55"/>
        <v>15</v>
      </c>
      <c r="T851">
        <f>INDEX([1]IDEN_level_ids!$B:$B,MATCH(G851,[1]IDEN_level_ids!$A:$A,0),1)</f>
        <v>1128</v>
      </c>
      <c r="U851">
        <f>INDEX([1]IDEN_level_ids!$B:$B,MATCH(H851,[1]IDEN_level_ids!$A:$A,0),1)</f>
        <v>685</v>
      </c>
    </row>
    <row r="852" spans="1:21" hidden="1" x14ac:dyDescent="0.25">
      <c r="A852">
        <v>83021.228900000002</v>
      </c>
      <c r="B852">
        <v>1204.5111999999999</v>
      </c>
      <c r="C852">
        <v>6</v>
      </c>
      <c r="D852" t="s">
        <v>323</v>
      </c>
      <c r="E852" t="s">
        <v>45</v>
      </c>
      <c r="F852">
        <v>1969</v>
      </c>
      <c r="G852" s="1" t="s">
        <v>172</v>
      </c>
      <c r="H852" s="1" t="s">
        <v>270</v>
      </c>
      <c r="I852">
        <v>0</v>
      </c>
      <c r="J852">
        <v>83020.260699999999</v>
      </c>
      <c r="K852">
        <v>-1.405E-2</v>
      </c>
      <c r="L852">
        <v>6.9899999999999997E-3</v>
      </c>
      <c r="M852">
        <v>0.48199999999999998</v>
      </c>
      <c r="N852">
        <v>3.5200000000000002E-2</v>
      </c>
      <c r="O852">
        <v>7.2500000000000004E-3</v>
      </c>
      <c r="P852" s="3">
        <f t="shared" si="52"/>
        <v>1204.5111994240788</v>
      </c>
      <c r="Q852" s="3">
        <f t="shared" si="53"/>
        <v>-1.4047266696707084E-2</v>
      </c>
      <c r="R852" s="3">
        <f t="shared" si="54"/>
        <v>6.9899999999999997E-3</v>
      </c>
      <c r="S852">
        <f t="shared" si="55"/>
        <v>15</v>
      </c>
      <c r="T852">
        <f>INDEX([1]IDEN_level_ids!$B:$B,MATCH(G852,[1]IDEN_level_ids!$A:$A,0),1)</f>
        <v>1136</v>
      </c>
      <c r="U852">
        <f>INDEX([1]IDEN_level_ids!$B:$B,MATCH(H852,[1]IDEN_level_ids!$A:$A,0),1)</f>
        <v>725</v>
      </c>
    </row>
    <row r="853" spans="1:21" hidden="1" x14ac:dyDescent="0.25">
      <c r="A853">
        <v>82941.093999999997</v>
      </c>
      <c r="B853">
        <v>1205.675</v>
      </c>
      <c r="C853">
        <v>6</v>
      </c>
      <c r="D853" t="s">
        <v>323</v>
      </c>
      <c r="E853" t="s">
        <v>45</v>
      </c>
      <c r="F853">
        <v>1969</v>
      </c>
      <c r="G853" s="1" t="s">
        <v>327</v>
      </c>
      <c r="H853" s="1" t="s">
        <v>328</v>
      </c>
      <c r="I853">
        <v>0</v>
      </c>
      <c r="J853">
        <v>82940.800499999998</v>
      </c>
      <c r="K853">
        <v>-4.2700000000000004E-3</v>
      </c>
      <c r="L853">
        <v>7.0099999999999997E-3</v>
      </c>
      <c r="M853">
        <v>0.48199999999999998</v>
      </c>
      <c r="N853">
        <v>7.9899999999999999E-2</v>
      </c>
      <c r="O853">
        <v>7.62E-3</v>
      </c>
      <c r="P853" s="3">
        <f t="shared" si="52"/>
        <v>1205.6749576994969</v>
      </c>
      <c r="Q853" s="3">
        <f t="shared" si="53"/>
        <v>-4.2664840218549216E-3</v>
      </c>
      <c r="R853" s="3">
        <f t="shared" si="54"/>
        <v>7.0099999999999997E-3</v>
      </c>
      <c r="S853">
        <f t="shared" si="55"/>
        <v>15</v>
      </c>
      <c r="T853">
        <f>INDEX([1]IDEN_level_ids!$B:$B,MATCH(G853,[1]IDEN_level_ids!$A:$A,0),1)</f>
        <v>1086</v>
      </c>
      <c r="U853">
        <f>INDEX([1]IDEN_level_ids!$B:$B,MATCH(H853,[1]IDEN_level_ids!$A:$A,0),1)</f>
        <v>366</v>
      </c>
    </row>
    <row r="854" spans="1:21" hidden="1" x14ac:dyDescent="0.25">
      <c r="A854">
        <v>82762.814700000003</v>
      </c>
      <c r="B854">
        <v>1208.2720999999999</v>
      </c>
      <c r="C854">
        <v>6</v>
      </c>
      <c r="D854" t="s">
        <v>323</v>
      </c>
      <c r="F854">
        <v>1969</v>
      </c>
      <c r="G854" s="1" t="s">
        <v>297</v>
      </c>
      <c r="H854" s="1" t="s">
        <v>95</v>
      </c>
      <c r="I854">
        <v>0</v>
      </c>
      <c r="J854">
        <v>82762.547200000001</v>
      </c>
      <c r="K854">
        <v>-3.9100000000000003E-3</v>
      </c>
      <c r="L854">
        <v>3.5799999999999998E-3</v>
      </c>
      <c r="M854">
        <v>0.245</v>
      </c>
      <c r="N854">
        <v>0.14699999999999999</v>
      </c>
      <c r="O854">
        <v>4.1900000000000001E-3</v>
      </c>
      <c r="P854" s="3">
        <f t="shared" si="52"/>
        <v>1208.2721009729023</v>
      </c>
      <c r="Q854" s="3">
        <f t="shared" si="53"/>
        <v>-3.9053025545854325E-3</v>
      </c>
      <c r="R854" s="3">
        <f t="shared" si="54"/>
        <v>3.5799999999999998E-3</v>
      </c>
      <c r="S854">
        <f t="shared" si="55"/>
        <v>15</v>
      </c>
      <c r="T854">
        <f>INDEX([1]IDEN_level_ids!$B:$B,MATCH(G854,[1]IDEN_level_ids!$A:$A,0),1)</f>
        <v>1099</v>
      </c>
      <c r="U854">
        <f>INDEX([1]IDEN_level_ids!$B:$B,MATCH(H854,[1]IDEN_level_ids!$A:$A,0),1)</f>
        <v>538</v>
      </c>
    </row>
    <row r="855" spans="1:21" hidden="1" x14ac:dyDescent="0.25">
      <c r="A855">
        <v>82608.305300000007</v>
      </c>
      <c r="B855">
        <v>1210.5319999999999</v>
      </c>
      <c r="C855">
        <v>6</v>
      </c>
      <c r="D855" t="s">
        <v>323</v>
      </c>
      <c r="F855">
        <v>1969</v>
      </c>
      <c r="G855" s="1" t="s">
        <v>329</v>
      </c>
      <c r="H855" s="1" t="s">
        <v>163</v>
      </c>
      <c r="I855">
        <v>0.2006</v>
      </c>
      <c r="J855">
        <v>82608.477700000003</v>
      </c>
      <c r="K855">
        <v>2.5300000000000001E-3</v>
      </c>
      <c r="L855">
        <v>3.5899999999999999E-3</v>
      </c>
      <c r="M855">
        <v>0.245</v>
      </c>
      <c r="N855">
        <v>3.0499999999999999E-2</v>
      </c>
      <c r="O855">
        <v>3.7000000000000002E-3</v>
      </c>
      <c r="P855" s="3">
        <f t="shared" si="52"/>
        <v>1210.5320359356167</v>
      </c>
      <c r="Q855" s="3">
        <f t="shared" si="53"/>
        <v>2.5263233121677331E-3</v>
      </c>
      <c r="R855" s="3">
        <f t="shared" si="54"/>
        <v>3.5899999999999999E-3</v>
      </c>
      <c r="S855">
        <f t="shared" si="55"/>
        <v>15</v>
      </c>
      <c r="T855">
        <f>INDEX([1]IDEN_level_ids!$B:$B,MATCH(G855,[1]IDEN_level_ids!$A:$A,0),1)</f>
        <v>1138</v>
      </c>
      <c r="U855">
        <f>INDEX([1]IDEN_level_ids!$B:$B,MATCH(H855,[1]IDEN_level_ids!$A:$A,0),1)</f>
        <v>747</v>
      </c>
    </row>
    <row r="856" spans="1:21" hidden="1" x14ac:dyDescent="0.25">
      <c r="A856">
        <v>82568.810200000007</v>
      </c>
      <c r="B856">
        <v>1211.1111000000001</v>
      </c>
      <c r="C856">
        <v>6</v>
      </c>
      <c r="D856" t="s">
        <v>323</v>
      </c>
      <c r="F856">
        <v>1969</v>
      </c>
      <c r="G856" s="1" t="s">
        <v>275</v>
      </c>
      <c r="H856" s="1" t="s">
        <v>146</v>
      </c>
      <c r="I856">
        <v>0</v>
      </c>
      <c r="J856">
        <v>82568.712700000004</v>
      </c>
      <c r="K856">
        <v>-1.4300000000000001E-3</v>
      </c>
      <c r="L856">
        <v>3.5899999999999999E-3</v>
      </c>
      <c r="M856">
        <v>0.245</v>
      </c>
      <c r="N856">
        <v>0.18010000000000001</v>
      </c>
      <c r="O856">
        <v>4.3800000000000002E-3</v>
      </c>
      <c r="P856" s="3">
        <f t="shared" si="52"/>
        <v>1211.1110691528409</v>
      </c>
      <c r="Q856" s="3">
        <f t="shared" si="53"/>
        <v>-1.4301219600838522E-3</v>
      </c>
      <c r="R856" s="3">
        <f t="shared" si="54"/>
        <v>3.5899999999999999E-3</v>
      </c>
      <c r="S856">
        <f t="shared" si="55"/>
        <v>15</v>
      </c>
      <c r="T856">
        <f>INDEX([1]IDEN_level_ids!$B:$B,MATCH(G856,[1]IDEN_level_ids!$A:$A,0),1)</f>
        <v>1134</v>
      </c>
      <c r="U856">
        <f>INDEX([1]IDEN_level_ids!$B:$B,MATCH(H856,[1]IDEN_level_ids!$A:$A,0),1)</f>
        <v>723</v>
      </c>
    </row>
    <row r="857" spans="1:21" hidden="1" x14ac:dyDescent="0.25">
      <c r="A857">
        <v>82508.391099999993</v>
      </c>
      <c r="B857">
        <v>1211.9979000000001</v>
      </c>
      <c r="C857">
        <v>6</v>
      </c>
      <c r="D857" t="s">
        <v>323</v>
      </c>
      <c r="F857">
        <v>1969</v>
      </c>
      <c r="G857" s="1" t="s">
        <v>255</v>
      </c>
      <c r="H857" s="1" t="s">
        <v>104</v>
      </c>
      <c r="I857">
        <v>0</v>
      </c>
      <c r="J857">
        <v>82508.4231</v>
      </c>
      <c r="K857">
        <v>4.6999999999999999E-4</v>
      </c>
      <c r="L857">
        <v>3.5999999999999999E-3</v>
      </c>
      <c r="M857">
        <v>0.245</v>
      </c>
      <c r="N857">
        <v>4.99E-2</v>
      </c>
      <c r="O857">
        <v>3.79E-3</v>
      </c>
      <c r="P857" s="3">
        <f t="shared" si="52"/>
        <v>1211.9979394435193</v>
      </c>
      <c r="Q857" s="3">
        <f t="shared" si="53"/>
        <v>4.7006029944896E-4</v>
      </c>
      <c r="R857" s="3">
        <f t="shared" si="54"/>
        <v>3.5999999999999999E-3</v>
      </c>
      <c r="S857">
        <f t="shared" si="55"/>
        <v>15</v>
      </c>
      <c r="T857">
        <f>INDEX([1]IDEN_level_ids!$B:$B,MATCH(G857,[1]IDEN_level_ids!$A:$A,0),1)</f>
        <v>1111</v>
      </c>
      <c r="U857">
        <f>INDEX([1]IDEN_level_ids!$B:$B,MATCH(H857,[1]IDEN_level_ids!$A:$A,0),1)</f>
        <v>636</v>
      </c>
    </row>
    <row r="858" spans="1:21" hidden="1" x14ac:dyDescent="0.25">
      <c r="A858">
        <v>82504.629300000001</v>
      </c>
      <c r="B858">
        <v>1212.0532000000001</v>
      </c>
      <c r="C858">
        <v>6</v>
      </c>
      <c r="D858" t="s">
        <v>323</v>
      </c>
      <c r="F858">
        <v>1969</v>
      </c>
      <c r="G858" s="1" t="s">
        <v>295</v>
      </c>
      <c r="H858" s="1" t="s">
        <v>292</v>
      </c>
      <c r="I858">
        <v>0</v>
      </c>
      <c r="J858">
        <v>82504.793900000004</v>
      </c>
      <c r="K858">
        <v>2.4199999999999998E-3</v>
      </c>
      <c r="L858">
        <v>3.5999999999999999E-3</v>
      </c>
      <c r="M858">
        <v>0.245</v>
      </c>
      <c r="N858">
        <v>6.5500000000000003E-2</v>
      </c>
      <c r="O858">
        <v>3.8500000000000001E-3</v>
      </c>
      <c r="P858" s="3">
        <f t="shared" si="52"/>
        <v>1212.0532005105317</v>
      </c>
      <c r="Q858" s="3">
        <f t="shared" si="53"/>
        <v>2.4180892694403155E-3</v>
      </c>
      <c r="R858" s="3">
        <f t="shared" si="54"/>
        <v>3.5999999999999999E-3</v>
      </c>
      <c r="S858">
        <f t="shared" si="55"/>
        <v>15</v>
      </c>
      <c r="T858">
        <f>INDEX([1]IDEN_level_ids!$B:$B,MATCH(G858,[1]IDEN_level_ids!$A:$A,0),1)</f>
        <v>1152</v>
      </c>
      <c r="U858">
        <f>INDEX([1]IDEN_level_ids!$B:$B,MATCH(H858,[1]IDEN_level_ids!$A:$A,0),1)</f>
        <v>796</v>
      </c>
    </row>
    <row r="859" spans="1:21" hidden="1" x14ac:dyDescent="0.25">
      <c r="A859">
        <v>82489.804300000003</v>
      </c>
      <c r="B859">
        <v>1212.271</v>
      </c>
      <c r="C859">
        <v>6</v>
      </c>
      <c r="D859" t="s">
        <v>323</v>
      </c>
      <c r="F859">
        <v>1969</v>
      </c>
      <c r="G859" s="1" t="s">
        <v>282</v>
      </c>
      <c r="H859" s="1" t="s">
        <v>136</v>
      </c>
      <c r="I859">
        <v>0</v>
      </c>
      <c r="J859">
        <v>82490.134900000005</v>
      </c>
      <c r="K859">
        <v>4.8599999999999997E-3</v>
      </c>
      <c r="L859">
        <v>3.5999999999999999E-3</v>
      </c>
      <c r="M859">
        <v>0.245</v>
      </c>
      <c r="N859">
        <v>0.1074</v>
      </c>
      <c r="O859">
        <v>4.0299999999999997E-3</v>
      </c>
      <c r="P859" s="3">
        <f t="shared" si="52"/>
        <v>1212.2710297180327</v>
      </c>
      <c r="Q859" s="3">
        <f t="shared" si="53"/>
        <v>4.8584815979211271E-3</v>
      </c>
      <c r="R859" s="3">
        <f t="shared" si="54"/>
        <v>3.5999999999999999E-3</v>
      </c>
      <c r="S859">
        <f t="shared" si="55"/>
        <v>15</v>
      </c>
      <c r="T859">
        <f>INDEX([1]IDEN_level_ids!$B:$B,MATCH(G859,[1]IDEN_level_ids!$A:$A,0),1)</f>
        <v>1128</v>
      </c>
      <c r="U859">
        <f>INDEX([1]IDEN_level_ids!$B:$B,MATCH(H859,[1]IDEN_level_ids!$A:$A,0),1)</f>
        <v>700</v>
      </c>
    </row>
    <row r="860" spans="1:21" hidden="1" x14ac:dyDescent="0.25">
      <c r="A860">
        <v>82237.108699999997</v>
      </c>
      <c r="B860">
        <v>1215.9961000000001</v>
      </c>
      <c r="C860">
        <v>6</v>
      </c>
      <c r="D860" t="s">
        <v>323</v>
      </c>
      <c r="F860">
        <v>1969</v>
      </c>
      <c r="G860" s="1" t="s">
        <v>138</v>
      </c>
      <c r="H860" s="1" t="s">
        <v>151</v>
      </c>
      <c r="I860">
        <v>0</v>
      </c>
      <c r="J860">
        <v>82236.955799999996</v>
      </c>
      <c r="K860">
        <v>-2.2599999999999999E-3</v>
      </c>
      <c r="L860">
        <v>3.62E-3</v>
      </c>
      <c r="M860">
        <v>0.245</v>
      </c>
      <c r="N860">
        <v>5.0900000000000001E-2</v>
      </c>
      <c r="O860">
        <v>3.82E-3</v>
      </c>
      <c r="P860" s="3">
        <f t="shared" si="52"/>
        <v>1215.9960579937072</v>
      </c>
      <c r="Q860" s="3">
        <f t="shared" si="53"/>
        <v>-2.2608545691582549E-3</v>
      </c>
      <c r="R860" s="3">
        <f t="shared" si="54"/>
        <v>3.62E-3</v>
      </c>
      <c r="S860">
        <f t="shared" si="55"/>
        <v>15</v>
      </c>
      <c r="T860">
        <f>INDEX([1]IDEN_level_ids!$B:$B,MATCH(G860,[1]IDEN_level_ids!$A:$A,0),1)</f>
        <v>1126</v>
      </c>
      <c r="U860">
        <f>INDEX([1]IDEN_level_ids!$B:$B,MATCH(H860,[1]IDEN_level_ids!$A:$A,0),1)</f>
        <v>685</v>
      </c>
    </row>
    <row r="861" spans="1:21" hidden="1" x14ac:dyDescent="0.25">
      <c r="A861">
        <v>82157.872399999993</v>
      </c>
      <c r="B861">
        <v>1217.1687999999999</v>
      </c>
      <c r="C861">
        <v>6</v>
      </c>
      <c r="D861" t="s">
        <v>323</v>
      </c>
      <c r="F861">
        <v>1969</v>
      </c>
      <c r="G861" s="1" t="s">
        <v>285</v>
      </c>
      <c r="H861" s="1" t="s">
        <v>152</v>
      </c>
      <c r="I861">
        <v>0</v>
      </c>
      <c r="J861">
        <v>82157.913700000005</v>
      </c>
      <c r="K861">
        <v>6.0999999999999997E-4</v>
      </c>
      <c r="L861">
        <v>3.63E-3</v>
      </c>
      <c r="M861">
        <v>0.245</v>
      </c>
      <c r="N861">
        <v>2.4899999999999999E-2</v>
      </c>
      <c r="O861">
        <v>3.7200000000000002E-3</v>
      </c>
      <c r="P861" s="3">
        <f t="shared" si="52"/>
        <v>1217.1688126626805</v>
      </c>
      <c r="Q861" s="3">
        <f t="shared" si="53"/>
        <v>6.1185915888017917E-4</v>
      </c>
      <c r="R861" s="3">
        <f t="shared" si="54"/>
        <v>3.63E-3</v>
      </c>
      <c r="S861">
        <f t="shared" si="55"/>
        <v>15</v>
      </c>
      <c r="T861">
        <f>INDEX([1]IDEN_level_ids!$B:$B,MATCH(G861,[1]IDEN_level_ids!$A:$A,0),1)</f>
        <v>1150</v>
      </c>
      <c r="U861">
        <f>INDEX([1]IDEN_level_ids!$B:$B,MATCH(H861,[1]IDEN_level_ids!$A:$A,0),1)</f>
        <v>793</v>
      </c>
    </row>
    <row r="862" spans="1:21" hidden="1" x14ac:dyDescent="0.25">
      <c r="A862">
        <v>82137.331000000006</v>
      </c>
      <c r="B862">
        <v>1217.4731999999999</v>
      </c>
      <c r="C862">
        <v>6</v>
      </c>
      <c r="D862" t="s">
        <v>323</v>
      </c>
      <c r="F862">
        <v>1969</v>
      </c>
      <c r="G862" s="1" t="s">
        <v>108</v>
      </c>
      <c r="H862" s="1" t="s">
        <v>179</v>
      </c>
      <c r="I862">
        <v>0</v>
      </c>
      <c r="J862">
        <v>82137.448000000004</v>
      </c>
      <c r="K862">
        <v>1.73E-3</v>
      </c>
      <c r="L862">
        <v>3.63E-3</v>
      </c>
      <c r="M862">
        <v>0.245</v>
      </c>
      <c r="N862">
        <v>3.2300000000000002E-2</v>
      </c>
      <c r="O862">
        <v>3.7499999999999999E-3</v>
      </c>
      <c r="P862" s="3">
        <f t="shared" si="52"/>
        <v>1217.4732095933332</v>
      </c>
      <c r="Q862" s="3">
        <f t="shared" si="53"/>
        <v>1.7342195183118747E-3</v>
      </c>
      <c r="R862" s="3">
        <f t="shared" si="54"/>
        <v>3.63E-3</v>
      </c>
      <c r="S862">
        <f t="shared" si="55"/>
        <v>15</v>
      </c>
      <c r="T862">
        <f>INDEX([1]IDEN_level_ids!$B:$B,MATCH(G862,[1]IDEN_level_ids!$A:$A,0),1)</f>
        <v>1149</v>
      </c>
      <c r="U862">
        <f>INDEX([1]IDEN_level_ids!$B:$B,MATCH(H862,[1]IDEN_level_ids!$A:$A,0),1)</f>
        <v>791</v>
      </c>
    </row>
    <row r="863" spans="1:21" hidden="1" x14ac:dyDescent="0.25">
      <c r="A863">
        <v>82074.6345</v>
      </c>
      <c r="B863">
        <v>1218.4032</v>
      </c>
      <c r="C863">
        <v>6</v>
      </c>
      <c r="D863" t="s">
        <v>323</v>
      </c>
      <c r="F863">
        <v>1969</v>
      </c>
      <c r="G863" s="1" t="s">
        <v>295</v>
      </c>
      <c r="H863" s="1" t="s">
        <v>165</v>
      </c>
      <c r="I863">
        <v>0</v>
      </c>
      <c r="J863">
        <v>82074.625199999995</v>
      </c>
      <c r="K863">
        <v>-1.3999999999999999E-4</v>
      </c>
      <c r="L863">
        <v>3.64E-3</v>
      </c>
      <c r="M863">
        <v>0.245</v>
      </c>
      <c r="N863">
        <v>3.8100000000000002E-2</v>
      </c>
      <c r="O863">
        <v>3.7799999999999999E-3</v>
      </c>
      <c r="P863" s="3">
        <f t="shared" si="52"/>
        <v>1218.4032327308141</v>
      </c>
      <c r="Q863" s="3">
        <f t="shared" si="53"/>
        <v>-1.380591143060883E-4</v>
      </c>
      <c r="R863" s="3">
        <f t="shared" si="54"/>
        <v>3.64E-3</v>
      </c>
      <c r="S863">
        <f t="shared" si="55"/>
        <v>15</v>
      </c>
      <c r="T863">
        <f>INDEX([1]IDEN_level_ids!$B:$B,MATCH(G863,[1]IDEN_level_ids!$A:$A,0),1)</f>
        <v>1152</v>
      </c>
      <c r="U863">
        <f>INDEX([1]IDEN_level_ids!$B:$B,MATCH(H863,[1]IDEN_level_ids!$A:$A,0),1)</f>
        <v>802</v>
      </c>
    </row>
    <row r="864" spans="1:21" hidden="1" x14ac:dyDescent="0.25">
      <c r="A864">
        <v>82065.895900000003</v>
      </c>
      <c r="B864">
        <v>1218.5329999999999</v>
      </c>
      <c r="C864">
        <v>6</v>
      </c>
      <c r="D864" t="s">
        <v>323</v>
      </c>
      <c r="F864">
        <v>1969</v>
      </c>
      <c r="G864" s="1" t="s">
        <v>289</v>
      </c>
      <c r="H864" s="1" t="s">
        <v>188</v>
      </c>
      <c r="I864">
        <v>0</v>
      </c>
      <c r="J864">
        <v>82065.589600000007</v>
      </c>
      <c r="K864">
        <v>-4.5500000000000002E-3</v>
      </c>
      <c r="L864">
        <v>3.64E-3</v>
      </c>
      <c r="M864">
        <v>0.245</v>
      </c>
      <c r="N864">
        <v>0.27829999999999999</v>
      </c>
      <c r="O864">
        <v>5.0400000000000002E-3</v>
      </c>
      <c r="P864" s="3">
        <f t="shared" si="52"/>
        <v>1218.5329716238434</v>
      </c>
      <c r="Q864" s="3">
        <f t="shared" si="53"/>
        <v>-4.5480286078145582E-3</v>
      </c>
      <c r="R864" s="3">
        <f t="shared" si="54"/>
        <v>3.64E-3</v>
      </c>
      <c r="S864">
        <f t="shared" si="55"/>
        <v>15</v>
      </c>
      <c r="T864">
        <f>INDEX([1]IDEN_level_ids!$B:$B,MATCH(G864,[1]IDEN_level_ids!$A:$A,0),1)</f>
        <v>1122</v>
      </c>
      <c r="U864">
        <f>INDEX([1]IDEN_level_ids!$B:$B,MATCH(H864,[1]IDEN_level_ids!$A:$A,0),1)</f>
        <v>679</v>
      </c>
    </row>
    <row r="865" spans="1:21" hidden="1" x14ac:dyDescent="0.25">
      <c r="A865">
        <v>82000.813800000004</v>
      </c>
      <c r="B865">
        <v>1219.5001</v>
      </c>
      <c r="C865">
        <v>6</v>
      </c>
      <c r="D865" t="s">
        <v>323</v>
      </c>
      <c r="F865">
        <v>1969</v>
      </c>
      <c r="G865" s="1" t="s">
        <v>295</v>
      </c>
      <c r="H865" s="1" t="s">
        <v>303</v>
      </c>
      <c r="I865">
        <v>0</v>
      </c>
      <c r="J865">
        <v>82000.681299999997</v>
      </c>
      <c r="K865">
        <v>-1.97E-3</v>
      </c>
      <c r="L865">
        <v>3.64E-3</v>
      </c>
      <c r="M865">
        <v>0.245</v>
      </c>
      <c r="N865">
        <v>7.2999999999999995E-2</v>
      </c>
      <c r="O865">
        <v>3.9300000000000003E-3</v>
      </c>
      <c r="P865" s="3">
        <f t="shared" si="52"/>
        <v>1219.5000923271325</v>
      </c>
      <c r="Q865" s="3">
        <f t="shared" si="53"/>
        <v>-1.9705173137936072E-3</v>
      </c>
      <c r="R865" s="3">
        <f t="shared" si="54"/>
        <v>3.64E-3</v>
      </c>
      <c r="S865">
        <f t="shared" si="55"/>
        <v>15</v>
      </c>
      <c r="T865">
        <f>INDEX([1]IDEN_level_ids!$B:$B,MATCH(G865,[1]IDEN_level_ids!$A:$A,0),1)</f>
        <v>1152</v>
      </c>
      <c r="U865">
        <f>INDEX([1]IDEN_level_ids!$B:$B,MATCH(H865,[1]IDEN_level_ids!$A:$A,0),1)</f>
        <v>805</v>
      </c>
    </row>
    <row r="866" spans="1:21" hidden="1" x14ac:dyDescent="0.25">
      <c r="A866">
        <v>81968.895000000004</v>
      </c>
      <c r="B866">
        <v>1219.9749999999999</v>
      </c>
      <c r="C866">
        <v>6</v>
      </c>
      <c r="D866" t="s">
        <v>323</v>
      </c>
      <c r="F866">
        <v>1969</v>
      </c>
      <c r="G866" s="1" t="s">
        <v>138</v>
      </c>
      <c r="H866" s="1" t="s">
        <v>99</v>
      </c>
      <c r="I866">
        <v>0</v>
      </c>
      <c r="J866">
        <v>81968.812999999995</v>
      </c>
      <c r="K866">
        <v>-1.2199999999999999E-3</v>
      </c>
      <c r="L866">
        <v>3.65E-3</v>
      </c>
      <c r="M866">
        <v>0.245</v>
      </c>
      <c r="N866">
        <v>4.0099999999999997E-2</v>
      </c>
      <c r="O866">
        <v>3.8E-3</v>
      </c>
      <c r="P866" s="3">
        <f t="shared" si="52"/>
        <v>1219.9749673336453</v>
      </c>
      <c r="Q866" s="3">
        <f t="shared" si="53"/>
        <v>-1.2204391362047318E-3</v>
      </c>
      <c r="R866" s="3">
        <f t="shared" si="54"/>
        <v>3.65E-3</v>
      </c>
      <c r="S866">
        <f t="shared" si="55"/>
        <v>15</v>
      </c>
      <c r="T866">
        <f>INDEX([1]IDEN_level_ids!$B:$B,MATCH(G866,[1]IDEN_level_ids!$A:$A,0),1)</f>
        <v>1126</v>
      </c>
      <c r="U866">
        <f>INDEX([1]IDEN_level_ids!$B:$B,MATCH(H866,[1]IDEN_level_ids!$A:$A,0),1)</f>
        <v>689</v>
      </c>
    </row>
    <row r="867" spans="1:21" hidden="1" x14ac:dyDescent="0.25">
      <c r="A867">
        <v>81940.487399999998</v>
      </c>
      <c r="B867">
        <v>1220.3978999999999</v>
      </c>
      <c r="C867">
        <v>6</v>
      </c>
      <c r="D867" t="s">
        <v>323</v>
      </c>
      <c r="F867">
        <v>1969</v>
      </c>
      <c r="G867" s="1" t="s">
        <v>203</v>
      </c>
      <c r="H867" s="1" t="s">
        <v>99</v>
      </c>
      <c r="I867">
        <v>0</v>
      </c>
      <c r="J867">
        <v>81940.356199999995</v>
      </c>
      <c r="K867">
        <v>-1.9499999999999999E-3</v>
      </c>
      <c r="L867">
        <v>3.65E-3</v>
      </c>
      <c r="M867">
        <v>0.245</v>
      </c>
      <c r="N867">
        <v>4.0899999999999999E-2</v>
      </c>
      <c r="O867">
        <v>3.8E-3</v>
      </c>
      <c r="P867" s="3">
        <f t="shared" si="52"/>
        <v>1220.3979152801573</v>
      </c>
      <c r="Q867" s="3">
        <f t="shared" si="53"/>
        <v>-1.9540579748991149E-3</v>
      </c>
      <c r="R867" s="3">
        <f t="shared" si="54"/>
        <v>3.65E-3</v>
      </c>
      <c r="S867">
        <f t="shared" si="55"/>
        <v>15</v>
      </c>
      <c r="T867">
        <f>INDEX([1]IDEN_level_ids!$B:$B,MATCH(G867,[1]IDEN_level_ids!$A:$A,0),1)</f>
        <v>1127</v>
      </c>
      <c r="U867">
        <f>INDEX([1]IDEN_level_ids!$B:$B,MATCH(H867,[1]IDEN_level_ids!$A:$A,0),1)</f>
        <v>689</v>
      </c>
    </row>
    <row r="868" spans="1:21" hidden="1" x14ac:dyDescent="0.25">
      <c r="A868">
        <v>81821.484100000001</v>
      </c>
      <c r="B868">
        <v>1222.1729</v>
      </c>
      <c r="C868">
        <v>6</v>
      </c>
      <c r="D868" t="s">
        <v>323</v>
      </c>
      <c r="F868">
        <v>1969</v>
      </c>
      <c r="G868" s="1" t="s">
        <v>293</v>
      </c>
      <c r="H868" s="1" t="s">
        <v>254</v>
      </c>
      <c r="I868">
        <v>0</v>
      </c>
      <c r="J868">
        <v>81821.636499999993</v>
      </c>
      <c r="K868">
        <v>2.2799999999999999E-3</v>
      </c>
      <c r="L868">
        <v>3.6600000000000001E-3</v>
      </c>
      <c r="M868">
        <v>0.245</v>
      </c>
      <c r="N868">
        <v>0.2114</v>
      </c>
      <c r="O868">
        <v>4.64E-3</v>
      </c>
      <c r="P868" s="3">
        <f t="shared" si="52"/>
        <v>1222.1728938304602</v>
      </c>
      <c r="Q868" s="3">
        <f t="shared" si="53"/>
        <v>2.2764045913845621E-3</v>
      </c>
      <c r="R868" s="3">
        <f t="shared" si="54"/>
        <v>3.6600000000000001E-3</v>
      </c>
      <c r="S868">
        <f t="shared" si="55"/>
        <v>15</v>
      </c>
      <c r="T868">
        <f>INDEX([1]IDEN_level_ids!$B:$B,MATCH(G868,[1]IDEN_level_ids!$A:$A,0),1)</f>
        <v>1121</v>
      </c>
      <c r="U868">
        <f>INDEX([1]IDEN_level_ids!$B:$B,MATCH(H868,[1]IDEN_level_ids!$A:$A,0),1)</f>
        <v>684</v>
      </c>
    </row>
    <row r="869" spans="1:21" hidden="1" x14ac:dyDescent="0.25">
      <c r="A869">
        <v>81818.722299999994</v>
      </c>
      <c r="B869">
        <v>1222.2140999999999</v>
      </c>
      <c r="C869">
        <v>6</v>
      </c>
      <c r="D869" t="s">
        <v>323</v>
      </c>
      <c r="F869">
        <v>1969</v>
      </c>
      <c r="G869" s="1" t="s">
        <v>282</v>
      </c>
      <c r="H869" s="1" t="s">
        <v>145</v>
      </c>
      <c r="I869">
        <v>0</v>
      </c>
      <c r="J869">
        <v>81818.833599999998</v>
      </c>
      <c r="K869">
        <v>1.66E-3</v>
      </c>
      <c r="L869">
        <v>3.6600000000000001E-3</v>
      </c>
      <c r="M869">
        <v>0.245</v>
      </c>
      <c r="N869">
        <v>0.13239999999999999</v>
      </c>
      <c r="O869">
        <v>4.2199999999999998E-3</v>
      </c>
      <c r="P869" s="3">
        <f t="shared" si="52"/>
        <v>1222.2141484113595</v>
      </c>
      <c r="Q869" s="3">
        <f t="shared" si="53"/>
        <v>1.6626054018615832E-3</v>
      </c>
      <c r="R869" s="3">
        <f t="shared" si="54"/>
        <v>3.6600000000000001E-3</v>
      </c>
      <c r="S869">
        <f t="shared" si="55"/>
        <v>15</v>
      </c>
      <c r="T869">
        <f>INDEX([1]IDEN_level_ids!$B:$B,MATCH(G869,[1]IDEN_level_ids!$A:$A,0),1)</f>
        <v>1128</v>
      </c>
      <c r="U869">
        <f>INDEX([1]IDEN_level_ids!$B:$B,MATCH(H869,[1]IDEN_level_ids!$A:$A,0),1)</f>
        <v>720</v>
      </c>
    </row>
    <row r="870" spans="1:21" hidden="1" x14ac:dyDescent="0.25">
      <c r="A870">
        <v>81799.794299999994</v>
      </c>
      <c r="B870">
        <v>1222.4970000000001</v>
      </c>
      <c r="C870">
        <v>6</v>
      </c>
      <c r="D870" t="s">
        <v>323</v>
      </c>
      <c r="F870">
        <v>1969</v>
      </c>
      <c r="G870" s="1" t="s">
        <v>250</v>
      </c>
      <c r="H870" s="1" t="s">
        <v>104</v>
      </c>
      <c r="I870">
        <v>0</v>
      </c>
      <c r="J870">
        <v>81799.672200000001</v>
      </c>
      <c r="K870">
        <v>-1.82E-3</v>
      </c>
      <c r="L870">
        <v>3.6600000000000001E-3</v>
      </c>
      <c r="M870">
        <v>0.245</v>
      </c>
      <c r="N870">
        <v>5.11E-2</v>
      </c>
      <c r="O870">
        <v>3.8600000000000001E-3</v>
      </c>
      <c r="P870" s="3">
        <f t="shared" si="52"/>
        <v>1222.4969617069075</v>
      </c>
      <c r="Q870" s="3">
        <f t="shared" si="53"/>
        <v>-1.824785784492633E-3</v>
      </c>
      <c r="R870" s="3">
        <f t="shared" si="54"/>
        <v>3.6600000000000001E-3</v>
      </c>
      <c r="S870">
        <f t="shared" si="55"/>
        <v>15</v>
      </c>
      <c r="T870">
        <f>INDEX([1]IDEN_level_ids!$B:$B,MATCH(G870,[1]IDEN_level_ids!$A:$A,0),1)</f>
        <v>1107</v>
      </c>
      <c r="U870">
        <f>INDEX([1]IDEN_level_ids!$B:$B,MATCH(H870,[1]IDEN_level_ids!$A:$A,0),1)</f>
        <v>636</v>
      </c>
    </row>
    <row r="871" spans="1:21" hidden="1" x14ac:dyDescent="0.25">
      <c r="A871">
        <v>81698.331300000005</v>
      </c>
      <c r="B871">
        <v>1224.0152</v>
      </c>
      <c r="C871">
        <v>6</v>
      </c>
      <c r="D871" t="s">
        <v>323</v>
      </c>
      <c r="F871">
        <v>1969</v>
      </c>
      <c r="G871" s="1" t="s">
        <v>250</v>
      </c>
      <c r="H871" s="1" t="s">
        <v>105</v>
      </c>
      <c r="I871">
        <v>0</v>
      </c>
      <c r="J871">
        <v>81698.145999999993</v>
      </c>
      <c r="K871">
        <v>-2.7799999999999999E-3</v>
      </c>
      <c r="L871">
        <v>3.6700000000000001E-3</v>
      </c>
      <c r="M871">
        <v>0.245</v>
      </c>
      <c r="N871">
        <v>0.14349999999999999</v>
      </c>
      <c r="O871">
        <v>4.2900000000000004E-3</v>
      </c>
      <c r="P871" s="3">
        <f t="shared" si="52"/>
        <v>1224.0152082518728</v>
      </c>
      <c r="Q871" s="3">
        <f t="shared" si="53"/>
        <v>-2.7761954120251175E-3</v>
      </c>
      <c r="R871" s="3">
        <f t="shared" si="54"/>
        <v>3.6700000000000001E-3</v>
      </c>
      <c r="S871">
        <f t="shared" si="55"/>
        <v>15</v>
      </c>
      <c r="T871">
        <f>INDEX([1]IDEN_level_ids!$B:$B,MATCH(G871,[1]IDEN_level_ids!$A:$A,0),1)</f>
        <v>1107</v>
      </c>
      <c r="U871">
        <f>INDEX([1]IDEN_level_ids!$B:$B,MATCH(H871,[1]IDEN_level_ids!$A:$A,0),1)</f>
        <v>640</v>
      </c>
    </row>
    <row r="872" spans="1:21" hidden="1" x14ac:dyDescent="0.25">
      <c r="A872">
        <v>81392.795499999993</v>
      </c>
      <c r="B872">
        <v>1228.6099999999999</v>
      </c>
      <c r="C872">
        <v>6</v>
      </c>
      <c r="D872" t="s">
        <v>330</v>
      </c>
      <c r="E872" t="s">
        <v>52</v>
      </c>
      <c r="F872">
        <v>1969</v>
      </c>
      <c r="G872" s="1" t="s">
        <v>272</v>
      </c>
      <c r="H872" s="1" t="s">
        <v>114</v>
      </c>
      <c r="I872">
        <v>0</v>
      </c>
      <c r="J872">
        <v>81393.340599999996</v>
      </c>
      <c r="K872">
        <v>8.2299999999999995E-3</v>
      </c>
      <c r="L872">
        <v>4.1700000000000001E-3</v>
      </c>
      <c r="M872">
        <v>0.27600000000000002</v>
      </c>
      <c r="N872">
        <v>4.2599999999999999E-2</v>
      </c>
      <c r="O872">
        <v>4.3499999999999997E-3</v>
      </c>
      <c r="P872" s="3">
        <f t="shared" si="52"/>
        <v>1228.609969539626</v>
      </c>
      <c r="Q872" s="3">
        <f t="shared" si="53"/>
        <v>8.2281337695349066E-3</v>
      </c>
      <c r="R872" s="3">
        <f t="shared" si="54"/>
        <v>4.1700000000000001E-3</v>
      </c>
      <c r="S872">
        <f t="shared" si="55"/>
        <v>16</v>
      </c>
      <c r="T872">
        <f>INDEX([1]IDEN_level_ids!$B:$B,MATCH(G872,[1]IDEN_level_ids!$A:$A,0),1)</f>
        <v>1109</v>
      </c>
      <c r="U872">
        <f>INDEX([1]IDEN_level_ids!$B:$B,MATCH(H872,[1]IDEN_level_ids!$A:$A,0),1)</f>
        <v>645</v>
      </c>
    </row>
    <row r="873" spans="1:21" hidden="1" x14ac:dyDescent="0.25">
      <c r="A873">
        <v>81087.090200000006</v>
      </c>
      <c r="B873">
        <v>1233.2419</v>
      </c>
      <c r="C873">
        <v>6</v>
      </c>
      <c r="D873" t="s">
        <v>330</v>
      </c>
      <c r="F873">
        <v>1969</v>
      </c>
      <c r="G873" s="1" t="s">
        <v>285</v>
      </c>
      <c r="H873" s="1" t="s">
        <v>226</v>
      </c>
      <c r="I873">
        <v>0</v>
      </c>
      <c r="J873">
        <v>81087.338399999993</v>
      </c>
      <c r="K873">
        <v>3.7799999999999999E-3</v>
      </c>
      <c r="L873">
        <v>3.7299999999999998E-3</v>
      </c>
      <c r="M873">
        <v>0.245</v>
      </c>
      <c r="N873">
        <v>4.6800000000000001E-2</v>
      </c>
      <c r="O873">
        <v>3.9100000000000003E-3</v>
      </c>
      <c r="P873" s="3">
        <f t="shared" si="52"/>
        <v>1233.2419347315536</v>
      </c>
      <c r="Q873" s="3">
        <f t="shared" si="53"/>
        <v>3.7748266772723582E-3</v>
      </c>
      <c r="R873" s="3">
        <f t="shared" si="54"/>
        <v>3.7299999999999998E-3</v>
      </c>
      <c r="S873">
        <f t="shared" si="55"/>
        <v>16</v>
      </c>
      <c r="T873">
        <f>INDEX([1]IDEN_level_ids!$B:$B,MATCH(G873,[1]IDEN_level_ids!$A:$A,0),1)</f>
        <v>1150</v>
      </c>
      <c r="U873">
        <f>INDEX([1]IDEN_level_ids!$B:$B,MATCH(H873,[1]IDEN_level_ids!$A:$A,0),1)</f>
        <v>811</v>
      </c>
    </row>
    <row r="874" spans="1:21" hidden="1" x14ac:dyDescent="0.25">
      <c r="A874">
        <v>81065.319600000003</v>
      </c>
      <c r="B874">
        <v>1233.5731000000001</v>
      </c>
      <c r="C874">
        <v>6</v>
      </c>
      <c r="D874" t="s">
        <v>330</v>
      </c>
      <c r="F874">
        <v>1969</v>
      </c>
      <c r="G874" s="1" t="s">
        <v>295</v>
      </c>
      <c r="H874" s="1" t="s">
        <v>234</v>
      </c>
      <c r="I874">
        <v>0</v>
      </c>
      <c r="J874">
        <v>81065.698600000003</v>
      </c>
      <c r="K874">
        <v>5.77E-3</v>
      </c>
      <c r="L874">
        <v>3.7299999999999998E-3</v>
      </c>
      <c r="M874">
        <v>0.245</v>
      </c>
      <c r="N874">
        <v>4.7E-2</v>
      </c>
      <c r="O874">
        <v>3.9100000000000003E-3</v>
      </c>
      <c r="P874" s="3">
        <f t="shared" si="52"/>
        <v>1233.5731295877108</v>
      </c>
      <c r="Q874" s="3">
        <f t="shared" si="53"/>
        <v>5.7672261411880754E-3</v>
      </c>
      <c r="R874" s="3">
        <f t="shared" si="54"/>
        <v>3.7299999999999998E-3</v>
      </c>
      <c r="S874">
        <f t="shared" si="55"/>
        <v>16</v>
      </c>
      <c r="T874">
        <f>INDEX([1]IDEN_level_ids!$B:$B,MATCH(G874,[1]IDEN_level_ids!$A:$A,0),1)</f>
        <v>1152</v>
      </c>
      <c r="U874">
        <f>INDEX([1]IDEN_level_ids!$B:$B,MATCH(H874,[1]IDEN_level_ids!$A:$A,0),1)</f>
        <v>818</v>
      </c>
    </row>
    <row r="875" spans="1:21" hidden="1" x14ac:dyDescent="0.25">
      <c r="A875">
        <v>81027.419399999999</v>
      </c>
      <c r="B875">
        <v>1234.1501000000001</v>
      </c>
      <c r="C875">
        <v>6</v>
      </c>
      <c r="D875" t="s">
        <v>330</v>
      </c>
      <c r="F875">
        <v>1969</v>
      </c>
      <c r="G875" s="1" t="s">
        <v>331</v>
      </c>
      <c r="H875" s="1" t="s">
        <v>332</v>
      </c>
      <c r="I875">
        <v>0</v>
      </c>
      <c r="J875">
        <v>81027.546499999997</v>
      </c>
      <c r="K875">
        <v>1.9400000000000001E-3</v>
      </c>
      <c r="L875">
        <v>3.7299999999999998E-3</v>
      </c>
      <c r="M875">
        <v>0.245</v>
      </c>
      <c r="N875">
        <v>4.0800000000000003E-2</v>
      </c>
      <c r="O875">
        <v>3.8899999999999998E-3</v>
      </c>
      <c r="P875" s="3">
        <f t="shared" si="52"/>
        <v>1234.1501277035611</v>
      </c>
      <c r="Q875" s="3">
        <f t="shared" si="53"/>
        <v>1.935890792765349E-3</v>
      </c>
      <c r="R875" s="3">
        <f t="shared" si="54"/>
        <v>3.7299999999999998E-3</v>
      </c>
      <c r="S875">
        <f t="shared" si="55"/>
        <v>16</v>
      </c>
      <c r="T875">
        <f>INDEX([1]IDEN_level_ids!$B:$B,MATCH(G875,[1]IDEN_level_ids!$A:$A,0),1)</f>
        <v>1163</v>
      </c>
      <c r="U875">
        <f>INDEX([1]IDEN_level_ids!$B:$B,MATCH(H875,[1]IDEN_level_ids!$A:$A,0),1)</f>
        <v>828</v>
      </c>
    </row>
    <row r="876" spans="1:21" hidden="1" x14ac:dyDescent="0.25">
      <c r="A876">
        <v>81014.223299999998</v>
      </c>
      <c r="B876">
        <v>1234.3512000000001</v>
      </c>
      <c r="C876">
        <v>6</v>
      </c>
      <c r="D876" t="s">
        <v>330</v>
      </c>
      <c r="F876">
        <v>1969</v>
      </c>
      <c r="G876" s="1" t="s">
        <v>280</v>
      </c>
      <c r="H876" s="1" t="s">
        <v>235</v>
      </c>
      <c r="I876">
        <v>0</v>
      </c>
      <c r="J876">
        <v>81014.580199999997</v>
      </c>
      <c r="K876">
        <v>5.4400000000000004E-3</v>
      </c>
      <c r="L876">
        <v>3.7299999999999998E-3</v>
      </c>
      <c r="M876">
        <v>0.245</v>
      </c>
      <c r="N876">
        <v>0.26500000000000001</v>
      </c>
      <c r="O876">
        <v>5.0800000000000003E-3</v>
      </c>
      <c r="P876" s="3">
        <f t="shared" si="52"/>
        <v>1234.3511537436416</v>
      </c>
      <c r="Q876" s="3">
        <f t="shared" si="53"/>
        <v>5.4377857131839846E-3</v>
      </c>
      <c r="R876" s="3">
        <f t="shared" si="54"/>
        <v>3.7299999999999998E-3</v>
      </c>
      <c r="S876">
        <f t="shared" si="55"/>
        <v>16</v>
      </c>
      <c r="T876">
        <f>INDEX([1]IDEN_level_ids!$B:$B,MATCH(G876,[1]IDEN_level_ids!$A:$A,0),1)</f>
        <v>1130</v>
      </c>
      <c r="U876">
        <f>INDEX([1]IDEN_level_ids!$B:$B,MATCH(H876,[1]IDEN_level_ids!$A:$A,0),1)</f>
        <v>737</v>
      </c>
    </row>
    <row r="877" spans="1:21" hidden="1" x14ac:dyDescent="0.25">
      <c r="A877">
        <v>81002.217000000004</v>
      </c>
      <c r="B877">
        <v>1234.5341000000001</v>
      </c>
      <c r="C877">
        <v>6</v>
      </c>
      <c r="D877" t="s">
        <v>330</v>
      </c>
      <c r="F877">
        <v>1969</v>
      </c>
      <c r="G877" s="1" t="s">
        <v>324</v>
      </c>
      <c r="H877" s="1" t="s">
        <v>333</v>
      </c>
      <c r="I877">
        <v>0</v>
      </c>
      <c r="J877">
        <v>81002.345400000006</v>
      </c>
      <c r="K877">
        <v>1.9599999999999999E-3</v>
      </c>
      <c r="L877">
        <v>3.7299999999999998E-3</v>
      </c>
      <c r="M877">
        <v>0.245</v>
      </c>
      <c r="N877">
        <v>3.49E-2</v>
      </c>
      <c r="O877">
        <v>3.8700000000000002E-3</v>
      </c>
      <c r="P877" s="3">
        <f t="shared" si="52"/>
        <v>1234.5341115786991</v>
      </c>
      <c r="Q877" s="3">
        <f t="shared" si="53"/>
        <v>1.9569085209241166E-3</v>
      </c>
      <c r="R877" s="3">
        <f t="shared" si="54"/>
        <v>3.7299999999999998E-3</v>
      </c>
      <c r="S877">
        <f t="shared" si="55"/>
        <v>16</v>
      </c>
      <c r="T877">
        <f>INDEX([1]IDEN_level_ids!$B:$B,MATCH(G877,[1]IDEN_level_ids!$A:$A,0),1)</f>
        <v>1171</v>
      </c>
      <c r="U877">
        <f>INDEX([1]IDEN_level_ids!$B:$B,MATCH(H877,[1]IDEN_level_ids!$A:$A,0),1)</f>
        <v>848</v>
      </c>
    </row>
    <row r="878" spans="1:21" hidden="1" x14ac:dyDescent="0.25">
      <c r="A878">
        <v>80994.685599999997</v>
      </c>
      <c r="B878">
        <v>1234.6488999999999</v>
      </c>
      <c r="C878">
        <v>6</v>
      </c>
      <c r="D878" t="s">
        <v>330</v>
      </c>
      <c r="F878">
        <v>1969</v>
      </c>
      <c r="G878" s="1" t="s">
        <v>334</v>
      </c>
      <c r="H878" s="1" t="s">
        <v>145</v>
      </c>
      <c r="I878">
        <v>0</v>
      </c>
      <c r="J878">
        <v>80994.986699999994</v>
      </c>
      <c r="K878">
        <v>4.5900000000000003E-3</v>
      </c>
      <c r="L878">
        <v>3.7299999999999998E-3</v>
      </c>
      <c r="M878">
        <v>0.245</v>
      </c>
      <c r="N878">
        <v>0.13300000000000001</v>
      </c>
      <c r="O878">
        <v>4.3099999999999996E-3</v>
      </c>
      <c r="P878" s="3">
        <f t="shared" si="52"/>
        <v>1234.6489063968909</v>
      </c>
      <c r="Q878" s="3">
        <f t="shared" si="53"/>
        <v>4.5898246405613463E-3</v>
      </c>
      <c r="R878" s="3">
        <f t="shared" si="54"/>
        <v>3.7299999999999998E-3</v>
      </c>
      <c r="S878">
        <f t="shared" si="55"/>
        <v>16</v>
      </c>
      <c r="T878">
        <f>INDEX([1]IDEN_level_ids!$B:$B,MATCH(G878,[1]IDEN_level_ids!$A:$A,0),1)</f>
        <v>1124</v>
      </c>
      <c r="U878">
        <f>INDEX([1]IDEN_level_ids!$B:$B,MATCH(H878,[1]IDEN_level_ids!$A:$A,0),1)</f>
        <v>720</v>
      </c>
    </row>
    <row r="879" spans="1:21" hidden="1" x14ac:dyDescent="0.25">
      <c r="A879">
        <v>80867.168300000005</v>
      </c>
      <c r="B879">
        <v>1236.5958000000001</v>
      </c>
      <c r="C879">
        <v>6</v>
      </c>
      <c r="D879" t="s">
        <v>330</v>
      </c>
      <c r="F879">
        <v>1969</v>
      </c>
      <c r="G879" s="1" t="s">
        <v>212</v>
      </c>
      <c r="H879" s="1" t="s">
        <v>106</v>
      </c>
      <c r="I879">
        <v>0</v>
      </c>
      <c r="J879">
        <v>80867.567500000005</v>
      </c>
      <c r="K879">
        <v>6.11E-3</v>
      </c>
      <c r="L879">
        <v>3.7499999999999999E-3</v>
      </c>
      <c r="M879">
        <v>0.245</v>
      </c>
      <c r="N879">
        <v>0.1091</v>
      </c>
      <c r="O879">
        <v>4.2100000000000002E-3</v>
      </c>
      <c r="P879" s="3">
        <f t="shared" si="52"/>
        <v>1236.5957916199225</v>
      </c>
      <c r="Q879" s="3">
        <f t="shared" si="53"/>
        <v>6.1044131198286777E-3</v>
      </c>
      <c r="R879" s="3">
        <f t="shared" si="54"/>
        <v>3.7499999999999999E-3</v>
      </c>
      <c r="S879">
        <f t="shared" si="55"/>
        <v>16</v>
      </c>
      <c r="T879">
        <f>INDEX([1]IDEN_level_ids!$B:$B,MATCH(G879,[1]IDEN_level_ids!$A:$A,0),1)</f>
        <v>1123</v>
      </c>
      <c r="U879">
        <f>INDEX([1]IDEN_level_ids!$B:$B,MATCH(H879,[1]IDEN_level_ids!$A:$A,0),1)</f>
        <v>726</v>
      </c>
    </row>
    <row r="880" spans="1:21" hidden="1" x14ac:dyDescent="0.25">
      <c r="A880">
        <v>80774.991299999994</v>
      </c>
      <c r="B880">
        <v>1238.0069000000001</v>
      </c>
      <c r="C880">
        <v>6</v>
      </c>
      <c r="D880" t="s">
        <v>330</v>
      </c>
      <c r="F880">
        <v>1969</v>
      </c>
      <c r="G880" s="1" t="s">
        <v>275</v>
      </c>
      <c r="H880" s="1" t="s">
        <v>258</v>
      </c>
      <c r="I880">
        <v>0</v>
      </c>
      <c r="J880">
        <v>80775.525299999994</v>
      </c>
      <c r="K880">
        <v>8.1799999999999998E-3</v>
      </c>
      <c r="L880">
        <v>3.7499999999999999E-3</v>
      </c>
      <c r="M880">
        <v>0.245</v>
      </c>
      <c r="N880">
        <v>5.3499999999999999E-2</v>
      </c>
      <c r="O880">
        <v>3.9699999999999996E-3</v>
      </c>
      <c r="P880" s="3">
        <f t="shared" si="52"/>
        <v>1238.0069423789589</v>
      </c>
      <c r="Q880" s="3">
        <f t="shared" si="53"/>
        <v>8.1843566449606442E-3</v>
      </c>
      <c r="R880" s="3">
        <f t="shared" si="54"/>
        <v>3.7499999999999999E-3</v>
      </c>
      <c r="S880">
        <f t="shared" si="55"/>
        <v>16</v>
      </c>
      <c r="T880">
        <f>INDEX([1]IDEN_level_ids!$B:$B,MATCH(G880,[1]IDEN_level_ids!$A:$A,0),1)</f>
        <v>1134</v>
      </c>
      <c r="U880">
        <f>INDEX([1]IDEN_level_ids!$B:$B,MATCH(H880,[1]IDEN_level_ids!$A:$A,0),1)</f>
        <v>755</v>
      </c>
    </row>
    <row r="881" spans="1:21" hidden="1" x14ac:dyDescent="0.25">
      <c r="A881">
        <v>80679.828500000003</v>
      </c>
      <c r="B881">
        <v>1239.4672</v>
      </c>
      <c r="C881">
        <v>6</v>
      </c>
      <c r="D881" t="s">
        <v>330</v>
      </c>
      <c r="F881">
        <v>1969</v>
      </c>
      <c r="G881" s="1" t="s">
        <v>335</v>
      </c>
      <c r="H881" s="1" t="s">
        <v>336</v>
      </c>
      <c r="I881">
        <v>0</v>
      </c>
      <c r="J881">
        <v>80680.100300000006</v>
      </c>
      <c r="K881">
        <v>4.1799999999999997E-3</v>
      </c>
      <c r="L881">
        <v>3.7599999999999999E-3</v>
      </c>
      <c r="M881">
        <v>0.245</v>
      </c>
      <c r="N881">
        <v>3.3300000000000003E-2</v>
      </c>
      <c r="O881">
        <v>3.8899999999999998E-3</v>
      </c>
      <c r="P881" s="3">
        <f t="shared" si="52"/>
        <v>1239.4671860265544</v>
      </c>
      <c r="Q881" s="3">
        <f t="shared" si="53"/>
        <v>4.1755919976367295E-3</v>
      </c>
      <c r="R881" s="3">
        <f t="shared" si="54"/>
        <v>3.7599999999999999E-3</v>
      </c>
      <c r="S881">
        <f t="shared" si="55"/>
        <v>16</v>
      </c>
      <c r="T881">
        <f>INDEX([1]IDEN_level_ids!$B:$B,MATCH(G881,[1]IDEN_level_ids!$A:$A,0),1)</f>
        <v>1174</v>
      </c>
      <c r="U881">
        <f>INDEX([1]IDEN_level_ids!$B:$B,MATCH(H881,[1]IDEN_level_ids!$A:$A,0),1)</f>
        <v>861</v>
      </c>
    </row>
    <row r="882" spans="1:21" hidden="1" x14ac:dyDescent="0.25">
      <c r="A882">
        <v>80472.086899999995</v>
      </c>
      <c r="B882">
        <v>1242.6668999999999</v>
      </c>
      <c r="C882">
        <v>6</v>
      </c>
      <c r="D882" t="s">
        <v>330</v>
      </c>
      <c r="F882">
        <v>1969</v>
      </c>
      <c r="G882" s="1" t="s">
        <v>337</v>
      </c>
      <c r="H882" s="1" t="s">
        <v>321</v>
      </c>
      <c r="I882">
        <v>0</v>
      </c>
      <c r="J882">
        <v>80472.232900000003</v>
      </c>
      <c r="K882">
        <v>2.2499999999999998E-3</v>
      </c>
      <c r="L882">
        <v>3.7799999999999999E-3</v>
      </c>
      <c r="M882">
        <v>0.245</v>
      </c>
      <c r="N882">
        <v>3.2500000000000001E-2</v>
      </c>
      <c r="O882">
        <v>3.9100000000000003E-3</v>
      </c>
      <c r="P882" s="3">
        <f t="shared" si="52"/>
        <v>1242.6669153524836</v>
      </c>
      <c r="Q882" s="3">
        <f t="shared" si="53"/>
        <v>2.2545586609794555E-3</v>
      </c>
      <c r="R882" s="3">
        <f t="shared" si="54"/>
        <v>3.7799999999999999E-3</v>
      </c>
      <c r="S882">
        <f t="shared" si="55"/>
        <v>16</v>
      </c>
      <c r="T882">
        <f>INDEX([1]IDEN_level_ids!$B:$B,MATCH(G882,[1]IDEN_level_ids!$A:$A,0),1)</f>
        <v>1157</v>
      </c>
      <c r="U882">
        <f>INDEX([1]IDEN_level_ids!$B:$B,MATCH(H882,[1]IDEN_level_ids!$A:$A,0),1)</f>
        <v>823</v>
      </c>
    </row>
    <row r="883" spans="1:21" hidden="1" x14ac:dyDescent="0.25">
      <c r="A883">
        <v>80342.631999999998</v>
      </c>
      <c r="B883">
        <v>1244.6692</v>
      </c>
      <c r="C883">
        <v>6</v>
      </c>
      <c r="D883" t="s">
        <v>330</v>
      </c>
      <c r="F883">
        <v>1969</v>
      </c>
      <c r="G883" s="1" t="s">
        <v>293</v>
      </c>
      <c r="H883" s="1" t="s">
        <v>270</v>
      </c>
      <c r="I883">
        <v>0</v>
      </c>
      <c r="J883">
        <v>80342.900599999994</v>
      </c>
      <c r="K883">
        <v>4.1599999999999996E-3</v>
      </c>
      <c r="L883">
        <v>3.8E-3</v>
      </c>
      <c r="M883">
        <v>0.245</v>
      </c>
      <c r="N883">
        <v>0.1358</v>
      </c>
      <c r="O883">
        <v>4.3899999999999998E-3</v>
      </c>
      <c r="P883" s="3">
        <f t="shared" si="52"/>
        <v>1244.6692062565239</v>
      </c>
      <c r="Q883" s="3">
        <f t="shared" si="53"/>
        <v>4.161141137501545E-3</v>
      </c>
      <c r="R883" s="3">
        <f t="shared" si="54"/>
        <v>3.8E-3</v>
      </c>
      <c r="S883">
        <f t="shared" si="55"/>
        <v>16</v>
      </c>
      <c r="T883">
        <f>INDEX([1]IDEN_level_ids!$B:$B,MATCH(G883,[1]IDEN_level_ids!$A:$A,0),1)</f>
        <v>1121</v>
      </c>
      <c r="U883">
        <f>INDEX([1]IDEN_level_ids!$B:$B,MATCH(H883,[1]IDEN_level_ids!$A:$A,0),1)</f>
        <v>725</v>
      </c>
    </row>
    <row r="884" spans="1:21" hidden="1" x14ac:dyDescent="0.25">
      <c r="A884">
        <v>80287.690700000006</v>
      </c>
      <c r="B884">
        <v>1245.5209</v>
      </c>
      <c r="C884">
        <v>6</v>
      </c>
      <c r="D884" t="s">
        <v>330</v>
      </c>
      <c r="F884">
        <v>1969</v>
      </c>
      <c r="G884" s="1" t="s">
        <v>22</v>
      </c>
      <c r="H884" s="1" t="s">
        <v>338</v>
      </c>
      <c r="I884">
        <v>0</v>
      </c>
      <c r="J884">
        <v>80287.799700000003</v>
      </c>
      <c r="K884">
        <v>1.6900000000000001E-3</v>
      </c>
      <c r="L884">
        <v>3.8E-3</v>
      </c>
      <c r="M884">
        <v>0.245</v>
      </c>
      <c r="N884">
        <v>5.7200000000000001E-2</v>
      </c>
      <c r="O884">
        <v>4.0299999999999997E-3</v>
      </c>
      <c r="P884" s="3">
        <f t="shared" si="52"/>
        <v>1245.5209401109353</v>
      </c>
      <c r="Q884" s="3">
        <f t="shared" si="53"/>
        <v>1.690939133595748E-3</v>
      </c>
      <c r="R884" s="3">
        <f t="shared" si="54"/>
        <v>3.8E-3</v>
      </c>
      <c r="S884">
        <f t="shared" si="55"/>
        <v>16</v>
      </c>
      <c r="T884">
        <f>INDEX([1]IDEN_level_ids!$B:$B,MATCH(G884,[1]IDEN_level_ids!$A:$A,0),1)</f>
        <v>1236</v>
      </c>
      <c r="U884">
        <f>INDEX([1]IDEN_level_ids!$B:$B,MATCH(H884,[1]IDEN_level_ids!$A:$A,0),1)</f>
        <v>904</v>
      </c>
    </row>
    <row r="885" spans="1:21" hidden="1" x14ac:dyDescent="0.25">
      <c r="A885">
        <v>80062.434500000003</v>
      </c>
      <c r="B885">
        <v>1249.0252</v>
      </c>
      <c r="C885">
        <v>6</v>
      </c>
      <c r="D885" t="s">
        <v>330</v>
      </c>
      <c r="F885">
        <v>1969</v>
      </c>
      <c r="G885" s="1" t="s">
        <v>339</v>
      </c>
      <c r="H885" s="1" t="s">
        <v>340</v>
      </c>
      <c r="I885">
        <v>0</v>
      </c>
      <c r="J885">
        <v>80062.543699999995</v>
      </c>
      <c r="K885">
        <v>1.6999999999999999E-3</v>
      </c>
      <c r="L885">
        <v>3.82E-3</v>
      </c>
      <c r="M885">
        <v>0.245</v>
      </c>
      <c r="N885">
        <v>2.9600000000000001E-2</v>
      </c>
      <c r="O885">
        <v>3.9399999999999999E-3</v>
      </c>
      <c r="P885" s="3">
        <f t="shared" si="52"/>
        <v>1249.0252216849588</v>
      </c>
      <c r="Q885" s="3">
        <f t="shared" si="53"/>
        <v>1.70358756895439E-3</v>
      </c>
      <c r="R885" s="3">
        <f t="shared" si="54"/>
        <v>3.82E-3</v>
      </c>
      <c r="S885">
        <f t="shared" si="55"/>
        <v>16</v>
      </c>
      <c r="T885">
        <f>INDEX([1]IDEN_level_ids!$B:$B,MATCH(G885,[1]IDEN_level_ids!$A:$A,0),1)</f>
        <v>1189</v>
      </c>
      <c r="U885">
        <f>INDEX([1]IDEN_level_ids!$B:$B,MATCH(H885,[1]IDEN_level_ids!$A:$A,0),1)</f>
        <v>875</v>
      </c>
    </row>
    <row r="886" spans="1:21" hidden="1" x14ac:dyDescent="0.25">
      <c r="A886">
        <v>79686.679999999993</v>
      </c>
      <c r="B886">
        <v>1254.9149</v>
      </c>
      <c r="C886">
        <v>6</v>
      </c>
      <c r="D886" t="s">
        <v>341</v>
      </c>
      <c r="F886">
        <v>1969</v>
      </c>
      <c r="G886" s="1" t="s">
        <v>212</v>
      </c>
      <c r="H886" s="1" t="s">
        <v>119</v>
      </c>
      <c r="I886">
        <v>0</v>
      </c>
      <c r="J886">
        <v>79687.050799999997</v>
      </c>
      <c r="K886">
        <v>5.8399999999999997E-3</v>
      </c>
      <c r="L886">
        <v>3.8600000000000001E-3</v>
      </c>
      <c r="M886">
        <v>0.245</v>
      </c>
      <c r="N886">
        <v>0.14699999999999999</v>
      </c>
      <c r="O886">
        <v>4.5199999999999997E-3</v>
      </c>
      <c r="P886" s="3">
        <f t="shared" si="52"/>
        <v>1254.9148741044301</v>
      </c>
      <c r="Q886" s="3">
        <f t="shared" si="53"/>
        <v>5.8393732815602561E-3</v>
      </c>
      <c r="R886" s="3">
        <f t="shared" si="54"/>
        <v>3.8600000000000001E-3</v>
      </c>
      <c r="S886">
        <f t="shared" si="55"/>
        <v>17</v>
      </c>
      <c r="T886">
        <f>INDEX([1]IDEN_level_ids!$B:$B,MATCH(G886,[1]IDEN_level_ids!$A:$A,0),1)</f>
        <v>1123</v>
      </c>
      <c r="U886">
        <f>INDEX([1]IDEN_level_ids!$B:$B,MATCH(H886,[1]IDEN_level_ids!$A:$A,0),1)</f>
        <v>741</v>
      </c>
    </row>
    <row r="887" spans="1:21" hidden="1" x14ac:dyDescent="0.25">
      <c r="A887">
        <v>79670.993400000007</v>
      </c>
      <c r="B887">
        <v>1255.162</v>
      </c>
      <c r="C887">
        <v>6</v>
      </c>
      <c r="D887" t="s">
        <v>341</v>
      </c>
      <c r="F887">
        <v>1969</v>
      </c>
      <c r="G887" s="1" t="s">
        <v>282</v>
      </c>
      <c r="H887" s="1" t="s">
        <v>127</v>
      </c>
      <c r="I887">
        <v>0</v>
      </c>
      <c r="J887">
        <v>79671.189899999998</v>
      </c>
      <c r="K887">
        <v>3.0999999999999999E-3</v>
      </c>
      <c r="L887">
        <v>3.8600000000000001E-3</v>
      </c>
      <c r="M887">
        <v>0.245</v>
      </c>
      <c r="N887">
        <v>3.7600000000000001E-2</v>
      </c>
      <c r="O887">
        <v>4.0099999999999997E-3</v>
      </c>
      <c r="P887" s="3">
        <f t="shared" si="52"/>
        <v>1255.1619570994328</v>
      </c>
      <c r="Q887" s="3">
        <f t="shared" si="53"/>
        <v>3.0957153378494695E-3</v>
      </c>
      <c r="R887" s="3">
        <f t="shared" si="54"/>
        <v>3.8600000000000001E-3</v>
      </c>
      <c r="S887">
        <f t="shared" si="55"/>
        <v>17</v>
      </c>
      <c r="T887">
        <f>INDEX([1]IDEN_level_ids!$B:$B,MATCH(G887,[1]IDEN_level_ids!$A:$A,0),1)</f>
        <v>1128</v>
      </c>
      <c r="U887">
        <f>INDEX([1]IDEN_level_ids!$B:$B,MATCH(H887,[1]IDEN_level_ids!$A:$A,0),1)</f>
        <v>760</v>
      </c>
    </row>
    <row r="888" spans="1:21" hidden="1" x14ac:dyDescent="0.25">
      <c r="A888">
        <v>79651.580199999997</v>
      </c>
      <c r="B888">
        <v>1255.4679000000001</v>
      </c>
      <c r="C888">
        <v>6</v>
      </c>
      <c r="D888" t="s">
        <v>341</v>
      </c>
      <c r="F888">
        <v>1969</v>
      </c>
      <c r="G888" s="1" t="s">
        <v>342</v>
      </c>
      <c r="H888" s="1" t="s">
        <v>183</v>
      </c>
      <c r="I888">
        <v>0</v>
      </c>
      <c r="J888">
        <v>79651.706200000001</v>
      </c>
      <c r="K888">
        <v>1.99E-3</v>
      </c>
      <c r="L888">
        <v>3.8600000000000001E-3</v>
      </c>
      <c r="M888">
        <v>0.245</v>
      </c>
      <c r="N888">
        <v>0.22320000000000001</v>
      </c>
      <c r="O888">
        <v>4.9699999999999996E-3</v>
      </c>
      <c r="P888" s="3">
        <f t="shared" si="52"/>
        <v>1255.4678733165924</v>
      </c>
      <c r="Q888" s="3">
        <f t="shared" si="53"/>
        <v>1.9860083302774001E-3</v>
      </c>
      <c r="R888" s="3">
        <f t="shared" si="54"/>
        <v>3.8600000000000001E-3</v>
      </c>
      <c r="S888">
        <f t="shared" si="55"/>
        <v>17</v>
      </c>
      <c r="T888">
        <f>INDEX([1]IDEN_level_ids!$B:$B,MATCH(G888,[1]IDEN_level_ids!$A:$A,0),1)</f>
        <v>1119</v>
      </c>
      <c r="U888">
        <f>INDEX([1]IDEN_level_ids!$B:$B,MATCH(H888,[1]IDEN_level_ids!$A:$A,0),1)</f>
        <v>707</v>
      </c>
    </row>
    <row r="889" spans="1:21" hidden="1" x14ac:dyDescent="0.25">
      <c r="A889">
        <v>79594.895600000003</v>
      </c>
      <c r="B889">
        <v>1256.3620000000001</v>
      </c>
      <c r="C889">
        <v>6</v>
      </c>
      <c r="D889" t="s">
        <v>341</v>
      </c>
      <c r="F889">
        <v>1969</v>
      </c>
      <c r="G889" s="1" t="s">
        <v>27</v>
      </c>
      <c r="H889" s="1" t="s">
        <v>343</v>
      </c>
      <c r="I889">
        <v>0</v>
      </c>
      <c r="J889">
        <v>79595.000700000004</v>
      </c>
      <c r="K889">
        <v>1.66E-3</v>
      </c>
      <c r="L889">
        <v>3.8700000000000002E-3</v>
      </c>
      <c r="M889">
        <v>0.245</v>
      </c>
      <c r="N889">
        <v>6.7500000000000004E-2</v>
      </c>
      <c r="O889">
        <v>4.15E-3</v>
      </c>
      <c r="P889" s="3">
        <f t="shared" si="52"/>
        <v>1256.3619720358047</v>
      </c>
      <c r="Q889" s="3">
        <f t="shared" si="53"/>
        <v>1.65894392989685E-3</v>
      </c>
      <c r="R889" s="3">
        <f t="shared" si="54"/>
        <v>3.8700000000000002E-3</v>
      </c>
      <c r="S889">
        <f t="shared" si="55"/>
        <v>17</v>
      </c>
      <c r="T889">
        <f>INDEX([1]IDEN_level_ids!$B:$B,MATCH(G889,[1]IDEN_level_ids!$A:$A,0),1)</f>
        <v>1242</v>
      </c>
      <c r="U889">
        <f>INDEX([1]IDEN_level_ids!$B:$B,MATCH(H889,[1]IDEN_level_ids!$A:$A,0),1)</f>
        <v>912</v>
      </c>
    </row>
    <row r="890" spans="1:21" hidden="1" x14ac:dyDescent="0.25">
      <c r="A890">
        <v>79495.300199999998</v>
      </c>
      <c r="B890">
        <v>1257.9359999999999</v>
      </c>
      <c r="C890">
        <v>6</v>
      </c>
      <c r="D890" t="s">
        <v>341</v>
      </c>
      <c r="F890">
        <v>1969</v>
      </c>
      <c r="G890" s="1" t="s">
        <v>282</v>
      </c>
      <c r="H890" s="1" t="s">
        <v>131</v>
      </c>
      <c r="I890">
        <v>0</v>
      </c>
      <c r="J890">
        <v>79495.990099999995</v>
      </c>
      <c r="K890">
        <v>1.0919999999999999E-2</v>
      </c>
      <c r="L890">
        <v>3.8800000000000002E-3</v>
      </c>
      <c r="M890">
        <v>0.245</v>
      </c>
      <c r="N890">
        <v>3.8100000000000002E-2</v>
      </c>
      <c r="O890">
        <v>4.0299999999999997E-3</v>
      </c>
      <c r="P890" s="3">
        <f t="shared" si="52"/>
        <v>1257.9360005989386</v>
      </c>
      <c r="Q890" s="3">
        <f t="shared" si="53"/>
        <v>1.0916903427641955E-2</v>
      </c>
      <c r="R890" s="3">
        <f t="shared" si="54"/>
        <v>3.8800000000000002E-3</v>
      </c>
      <c r="S890">
        <f t="shared" si="55"/>
        <v>17</v>
      </c>
      <c r="T890">
        <f>INDEX([1]IDEN_level_ids!$B:$B,MATCH(G890,[1]IDEN_level_ids!$A:$A,0),1)</f>
        <v>1128</v>
      </c>
      <c r="U890">
        <f>INDEX([1]IDEN_level_ids!$B:$B,MATCH(H890,[1]IDEN_level_ids!$A:$A,0),1)</f>
        <v>764</v>
      </c>
    </row>
    <row r="891" spans="1:21" hidden="1" x14ac:dyDescent="0.25">
      <c r="A891">
        <v>79447.034700000004</v>
      </c>
      <c r="B891">
        <v>1258.7002</v>
      </c>
      <c r="C891">
        <v>6</v>
      </c>
      <c r="D891" t="s">
        <v>341</v>
      </c>
      <c r="F891">
        <v>1969</v>
      </c>
      <c r="G891" s="1" t="s">
        <v>320</v>
      </c>
      <c r="H891" s="1" t="s">
        <v>344</v>
      </c>
      <c r="I891">
        <v>0</v>
      </c>
      <c r="J891">
        <v>79447.405599999998</v>
      </c>
      <c r="K891">
        <v>5.8799999999999998E-3</v>
      </c>
      <c r="L891">
        <v>3.8800000000000002E-3</v>
      </c>
      <c r="M891">
        <v>0.245</v>
      </c>
      <c r="N891">
        <v>2.8799999999999999E-2</v>
      </c>
      <c r="O891">
        <v>4.0000000000000001E-3</v>
      </c>
      <c r="P891" s="3">
        <f t="shared" si="52"/>
        <v>1258.7002193047238</v>
      </c>
      <c r="Q891" s="3">
        <f t="shared" si="53"/>
        <v>5.8762385983754939E-3</v>
      </c>
      <c r="R891" s="3">
        <f t="shared" si="54"/>
        <v>3.8800000000000002E-3</v>
      </c>
      <c r="S891">
        <f t="shared" si="55"/>
        <v>17</v>
      </c>
      <c r="T891">
        <f>INDEX([1]IDEN_level_ids!$B:$B,MATCH(G891,[1]IDEN_level_ids!$A:$A,0),1)</f>
        <v>1180</v>
      </c>
      <c r="U891">
        <f>INDEX([1]IDEN_level_ids!$B:$B,MATCH(H891,[1]IDEN_level_ids!$A:$A,0),1)</f>
        <v>872</v>
      </c>
    </row>
    <row r="892" spans="1:21" hidden="1" x14ac:dyDescent="0.25">
      <c r="A892">
        <v>79381.013300000006</v>
      </c>
      <c r="B892">
        <v>1259.7471</v>
      </c>
      <c r="C892">
        <v>6</v>
      </c>
      <c r="D892" t="s">
        <v>341</v>
      </c>
      <c r="F892">
        <v>1969</v>
      </c>
      <c r="G892" s="1" t="s">
        <v>212</v>
      </c>
      <c r="H892" s="1" t="s">
        <v>191</v>
      </c>
      <c r="I892">
        <v>0</v>
      </c>
      <c r="J892">
        <v>79381.343299999993</v>
      </c>
      <c r="K892">
        <v>5.2399999999999999E-3</v>
      </c>
      <c r="L892">
        <v>3.8899999999999998E-3</v>
      </c>
      <c r="M892">
        <v>0.245</v>
      </c>
      <c r="N892">
        <v>5.1900000000000002E-2</v>
      </c>
      <c r="O892">
        <v>4.1000000000000003E-3</v>
      </c>
      <c r="P892" s="3">
        <f t="shared" si="52"/>
        <v>1259.7470836266082</v>
      </c>
      <c r="Q892" s="3">
        <f t="shared" si="53"/>
        <v>5.2369551874562603E-3</v>
      </c>
      <c r="R892" s="3">
        <f t="shared" si="54"/>
        <v>3.8899999999999998E-3</v>
      </c>
      <c r="S892">
        <f t="shared" si="55"/>
        <v>17</v>
      </c>
      <c r="T892">
        <f>INDEX([1]IDEN_level_ids!$B:$B,MATCH(G892,[1]IDEN_level_ids!$A:$A,0),1)</f>
        <v>1123</v>
      </c>
      <c r="U892">
        <f>INDEX([1]IDEN_level_ids!$B:$B,MATCH(H892,[1]IDEN_level_ids!$A:$A,0),1)</f>
        <v>749</v>
      </c>
    </row>
    <row r="893" spans="1:21" hidden="1" x14ac:dyDescent="0.25">
      <c r="A893">
        <v>79302.705100000006</v>
      </c>
      <c r="B893">
        <v>1260.991</v>
      </c>
      <c r="C893">
        <v>6</v>
      </c>
      <c r="D893" t="s">
        <v>341</v>
      </c>
      <c r="F893">
        <v>1969</v>
      </c>
      <c r="G893" s="1" t="s">
        <v>172</v>
      </c>
      <c r="H893" s="1" t="s">
        <v>241</v>
      </c>
      <c r="I893">
        <v>0</v>
      </c>
      <c r="J893">
        <v>79302.8027</v>
      </c>
      <c r="K893">
        <v>1.5499999999999999E-3</v>
      </c>
      <c r="L893">
        <v>3.8999999999999998E-3</v>
      </c>
      <c r="M893">
        <v>0.245</v>
      </c>
      <c r="N893">
        <v>8.2799999999999999E-2</v>
      </c>
      <c r="O893">
        <v>4.2500000000000003E-3</v>
      </c>
      <c r="P893" s="3">
        <f t="shared" si="52"/>
        <v>1260.9910327005982</v>
      </c>
      <c r="Q893" s="3">
        <f t="shared" si="53"/>
        <v>1.551934113194875E-3</v>
      </c>
      <c r="R893" s="3">
        <f t="shared" si="54"/>
        <v>3.8999999999999998E-3</v>
      </c>
      <c r="S893">
        <f t="shared" si="55"/>
        <v>17</v>
      </c>
      <c r="T893">
        <f>INDEX([1]IDEN_level_ids!$B:$B,MATCH(G893,[1]IDEN_level_ids!$A:$A,0),1)</f>
        <v>1136</v>
      </c>
      <c r="U893">
        <f>INDEX([1]IDEN_level_ids!$B:$B,MATCH(H893,[1]IDEN_level_ids!$A:$A,0),1)</f>
        <v>777</v>
      </c>
    </row>
    <row r="894" spans="1:21" hidden="1" x14ac:dyDescent="0.25">
      <c r="A894">
        <v>79247.402300000002</v>
      </c>
      <c r="B894">
        <v>1261.8710000000001</v>
      </c>
      <c r="C894">
        <v>6</v>
      </c>
      <c r="D894" t="s">
        <v>341</v>
      </c>
      <c r="F894">
        <v>1969</v>
      </c>
      <c r="G894" s="1" t="s">
        <v>255</v>
      </c>
      <c r="H894" s="1" t="s">
        <v>215</v>
      </c>
      <c r="I894">
        <v>0</v>
      </c>
      <c r="J894">
        <v>79247.308300000004</v>
      </c>
      <c r="K894">
        <v>-1.5E-3</v>
      </c>
      <c r="L894">
        <v>3.8999999999999998E-3</v>
      </c>
      <c r="M894">
        <v>0.245</v>
      </c>
      <c r="N894">
        <v>3.5799999999999998E-2</v>
      </c>
      <c r="O894">
        <v>4.0499999999999998E-3</v>
      </c>
      <c r="P894" s="3">
        <f t="shared" si="52"/>
        <v>1261.8710152976207</v>
      </c>
      <c r="Q894" s="3">
        <f t="shared" si="53"/>
        <v>-1.4967811271162645E-3</v>
      </c>
      <c r="R894" s="3">
        <f t="shared" si="54"/>
        <v>3.8999999999999998E-3</v>
      </c>
      <c r="S894">
        <f t="shared" si="55"/>
        <v>17</v>
      </c>
      <c r="T894">
        <f>INDEX([1]IDEN_level_ids!$B:$B,MATCH(G894,[1]IDEN_level_ids!$A:$A,0),1)</f>
        <v>1111</v>
      </c>
      <c r="U894">
        <f>INDEX([1]IDEN_level_ids!$B:$B,MATCH(H894,[1]IDEN_level_ids!$A:$A,0),1)</f>
        <v>699</v>
      </c>
    </row>
    <row r="895" spans="1:21" hidden="1" x14ac:dyDescent="0.25">
      <c r="A895">
        <v>79159.393200000006</v>
      </c>
      <c r="B895">
        <v>1263.2739999999999</v>
      </c>
      <c r="C895">
        <v>6</v>
      </c>
      <c r="D895" t="s">
        <v>341</v>
      </c>
      <c r="F895">
        <v>1969</v>
      </c>
      <c r="G895" s="1" t="s">
        <v>212</v>
      </c>
      <c r="H895" s="1" t="s">
        <v>258</v>
      </c>
      <c r="I895">
        <v>0</v>
      </c>
      <c r="J895">
        <v>79159.614300000001</v>
      </c>
      <c r="K895">
        <v>3.5300000000000002E-3</v>
      </c>
      <c r="L895">
        <v>3.9100000000000003E-3</v>
      </c>
      <c r="M895">
        <v>0.245</v>
      </c>
      <c r="N895">
        <v>5.0299999999999997E-2</v>
      </c>
      <c r="O895">
        <v>4.1200000000000004E-3</v>
      </c>
      <c r="P895" s="3">
        <f t="shared" si="52"/>
        <v>1263.2739584971957</v>
      </c>
      <c r="Q895" s="3">
        <f t="shared" si="53"/>
        <v>3.5284390239667118E-3</v>
      </c>
      <c r="R895" s="3">
        <f t="shared" si="54"/>
        <v>3.9100000000000003E-3</v>
      </c>
      <c r="S895">
        <f t="shared" si="55"/>
        <v>17</v>
      </c>
      <c r="T895">
        <f>INDEX([1]IDEN_level_ids!$B:$B,MATCH(G895,[1]IDEN_level_ids!$A:$A,0),1)</f>
        <v>1123</v>
      </c>
      <c r="U895">
        <f>INDEX([1]IDEN_level_ids!$B:$B,MATCH(H895,[1]IDEN_level_ids!$A:$A,0),1)</f>
        <v>755</v>
      </c>
    </row>
    <row r="896" spans="1:21" hidden="1" x14ac:dyDescent="0.25">
      <c r="A896">
        <v>79145.914799999999</v>
      </c>
      <c r="B896">
        <v>1263.4891</v>
      </c>
      <c r="C896">
        <v>6</v>
      </c>
      <c r="D896" t="s">
        <v>341</v>
      </c>
      <c r="F896">
        <v>1969</v>
      </c>
      <c r="G896" s="1" t="s">
        <v>250</v>
      </c>
      <c r="H896" s="1" t="s">
        <v>151</v>
      </c>
      <c r="I896">
        <v>0</v>
      </c>
      <c r="J896">
        <v>79146.028699999995</v>
      </c>
      <c r="K896">
        <v>1.82E-3</v>
      </c>
      <c r="L896">
        <v>3.9100000000000003E-3</v>
      </c>
      <c r="M896">
        <v>0.245</v>
      </c>
      <c r="N896">
        <v>4.8899999999999999E-2</v>
      </c>
      <c r="O896">
        <v>4.1099999999999999E-3</v>
      </c>
      <c r="P896" s="3">
        <f t="shared" si="52"/>
        <v>1263.4890916694542</v>
      </c>
      <c r="Q896" s="3">
        <f t="shared" si="53"/>
        <v>1.8183023191795655E-3</v>
      </c>
      <c r="R896" s="3">
        <f t="shared" si="54"/>
        <v>3.9100000000000003E-3</v>
      </c>
      <c r="S896">
        <f t="shared" si="55"/>
        <v>17</v>
      </c>
      <c r="T896">
        <f>INDEX([1]IDEN_level_ids!$B:$B,MATCH(G896,[1]IDEN_level_ids!$A:$A,0),1)</f>
        <v>1107</v>
      </c>
      <c r="U896">
        <f>INDEX([1]IDEN_level_ids!$B:$B,MATCH(H896,[1]IDEN_level_ids!$A:$A,0),1)</f>
        <v>685</v>
      </c>
    </row>
    <row r="897" spans="1:21" hidden="1" x14ac:dyDescent="0.25">
      <c r="A897">
        <v>78877.837599999999</v>
      </c>
      <c r="B897">
        <v>1267.7832000000001</v>
      </c>
      <c r="C897">
        <v>6</v>
      </c>
      <c r="D897" t="s">
        <v>341</v>
      </c>
      <c r="F897">
        <v>1969</v>
      </c>
      <c r="G897" s="1" t="s">
        <v>250</v>
      </c>
      <c r="H897" s="1" t="s">
        <v>99</v>
      </c>
      <c r="I897">
        <v>0</v>
      </c>
      <c r="J897">
        <v>78877.885899999994</v>
      </c>
      <c r="K897">
        <v>7.7999999999999999E-4</v>
      </c>
      <c r="L897">
        <v>3.9399999999999999E-3</v>
      </c>
      <c r="M897">
        <v>0.245</v>
      </c>
      <c r="N897">
        <v>3.6700000000000003E-2</v>
      </c>
      <c r="O897">
        <v>4.0899999999999999E-3</v>
      </c>
      <c r="P897" s="3">
        <f t="shared" si="52"/>
        <v>1267.7832334490874</v>
      </c>
      <c r="Q897" s="3">
        <f t="shared" si="53"/>
        <v>7.7631302451663942E-4</v>
      </c>
      <c r="R897" s="3">
        <f t="shared" si="54"/>
        <v>3.9399999999999999E-3</v>
      </c>
      <c r="S897">
        <f t="shared" si="55"/>
        <v>17</v>
      </c>
      <c r="T897">
        <f>INDEX([1]IDEN_level_ids!$B:$B,MATCH(G897,[1]IDEN_level_ids!$A:$A,0),1)</f>
        <v>1107</v>
      </c>
      <c r="U897">
        <f>INDEX([1]IDEN_level_ids!$B:$B,MATCH(H897,[1]IDEN_level_ids!$A:$A,0),1)</f>
        <v>689</v>
      </c>
    </row>
    <row r="898" spans="1:21" hidden="1" x14ac:dyDescent="0.25">
      <c r="A898">
        <v>78859.121100000004</v>
      </c>
      <c r="B898">
        <v>1268.0841</v>
      </c>
      <c r="C898">
        <v>6</v>
      </c>
      <c r="D898" t="s">
        <v>341</v>
      </c>
      <c r="F898">
        <v>1969</v>
      </c>
      <c r="G898" s="1" t="s">
        <v>212</v>
      </c>
      <c r="H898" s="1" t="s">
        <v>127</v>
      </c>
      <c r="I898">
        <v>0</v>
      </c>
      <c r="J898">
        <v>78859.231899999999</v>
      </c>
      <c r="K898">
        <v>1.7799999999999999E-3</v>
      </c>
      <c r="L898">
        <v>3.9399999999999999E-3</v>
      </c>
      <c r="M898">
        <v>0.245</v>
      </c>
      <c r="N898">
        <v>3.5499999999999997E-2</v>
      </c>
      <c r="O898">
        <v>4.0800000000000003E-3</v>
      </c>
      <c r="P898" s="3">
        <f t="shared" ref="P898:P961" si="56">100000000/$A898</f>
        <v>1268.0841303467178</v>
      </c>
      <c r="Q898" s="3">
        <f t="shared" ref="Q898:Q961" si="57">100000000/($A898)-100000000/$J898</f>
        <v>1.7817028933677648E-3</v>
      </c>
      <c r="R898" s="3">
        <f t="shared" si="54"/>
        <v>3.9399999999999999E-3</v>
      </c>
      <c r="S898">
        <f t="shared" si="55"/>
        <v>17</v>
      </c>
      <c r="T898">
        <f>INDEX([1]IDEN_level_ids!$B:$B,MATCH(G898,[1]IDEN_level_ids!$A:$A,0),1)</f>
        <v>1123</v>
      </c>
      <c r="U898">
        <f>INDEX([1]IDEN_level_ids!$B:$B,MATCH(H898,[1]IDEN_level_ids!$A:$A,0),1)</f>
        <v>760</v>
      </c>
    </row>
    <row r="899" spans="1:21" hidden="1" x14ac:dyDescent="0.25">
      <c r="A899">
        <v>78813.434500000003</v>
      </c>
      <c r="B899">
        <v>1268.8191999999999</v>
      </c>
      <c r="C899">
        <v>6</v>
      </c>
      <c r="D899" t="s">
        <v>341</v>
      </c>
      <c r="F899">
        <v>1969</v>
      </c>
      <c r="G899" s="1" t="s">
        <v>345</v>
      </c>
      <c r="H899" s="1" t="s">
        <v>254</v>
      </c>
      <c r="I899">
        <v>0</v>
      </c>
      <c r="J899">
        <v>78813.520799999998</v>
      </c>
      <c r="K899">
        <v>1.39E-3</v>
      </c>
      <c r="L899">
        <v>3.9399999999999999E-3</v>
      </c>
      <c r="M899">
        <v>0.245</v>
      </c>
      <c r="N899">
        <v>0.2092</v>
      </c>
      <c r="O899">
        <v>4.9899999999999996E-3</v>
      </c>
      <c r="P899" s="3">
        <f t="shared" si="56"/>
        <v>1268.8192138105592</v>
      </c>
      <c r="Q899" s="3">
        <f t="shared" si="57"/>
        <v>1.389344075050758E-3</v>
      </c>
      <c r="R899" s="3">
        <f t="shared" ref="R899:R962" si="58">$L899</f>
        <v>3.9399999999999999E-3</v>
      </c>
      <c r="S899">
        <f t="shared" si="55"/>
        <v>17</v>
      </c>
      <c r="T899">
        <f>INDEX([1]IDEN_level_ids!$B:$B,MATCH(G899,[1]IDEN_level_ids!$A:$A,0),1)</f>
        <v>1106</v>
      </c>
      <c r="U899">
        <f>INDEX([1]IDEN_level_ids!$B:$B,MATCH(H899,[1]IDEN_level_ids!$A:$A,0),1)</f>
        <v>684</v>
      </c>
    </row>
    <row r="900" spans="1:21" hidden="1" x14ac:dyDescent="0.25">
      <c r="A900">
        <v>78787.801699999996</v>
      </c>
      <c r="B900">
        <v>1269.232</v>
      </c>
      <c r="C900">
        <v>6</v>
      </c>
      <c r="D900" t="s">
        <v>341</v>
      </c>
      <c r="F900">
        <v>1969</v>
      </c>
      <c r="G900" s="1" t="s">
        <v>289</v>
      </c>
      <c r="H900" s="1" t="s">
        <v>258</v>
      </c>
      <c r="I900">
        <v>0</v>
      </c>
      <c r="J900">
        <v>78788.096300000005</v>
      </c>
      <c r="K900">
        <v>4.7499999999999999E-3</v>
      </c>
      <c r="L900">
        <v>3.9500000000000004E-3</v>
      </c>
      <c r="M900">
        <v>0.245</v>
      </c>
      <c r="N900">
        <v>5.0500000000000003E-2</v>
      </c>
      <c r="O900">
        <v>4.1599999999999996E-3</v>
      </c>
      <c r="P900" s="3">
        <f t="shared" si="56"/>
        <v>1269.2320110766589</v>
      </c>
      <c r="Q900" s="3">
        <f t="shared" si="57"/>
        <v>4.7458406540954456E-3</v>
      </c>
      <c r="R900" s="3">
        <f t="shared" si="58"/>
        <v>3.9500000000000004E-3</v>
      </c>
      <c r="S900">
        <f t="shared" ref="S900:S963" si="59">IF(D900=D899,S899,S899+1)</f>
        <v>17</v>
      </c>
      <c r="T900">
        <f>INDEX([1]IDEN_level_ids!$B:$B,MATCH(G900,[1]IDEN_level_ids!$A:$A,0),1)</f>
        <v>1122</v>
      </c>
      <c r="U900">
        <f>INDEX([1]IDEN_level_ids!$B:$B,MATCH(H900,[1]IDEN_level_ids!$A:$A,0),1)</f>
        <v>755</v>
      </c>
    </row>
    <row r="901" spans="1:21" hidden="1" x14ac:dyDescent="0.25">
      <c r="A901">
        <v>78771.222999999998</v>
      </c>
      <c r="B901">
        <v>1269.4991</v>
      </c>
      <c r="C901">
        <v>6</v>
      </c>
      <c r="D901" t="s">
        <v>341</v>
      </c>
      <c r="F901">
        <v>1969</v>
      </c>
      <c r="G901" s="1" t="s">
        <v>172</v>
      </c>
      <c r="H901" s="1" t="s">
        <v>249</v>
      </c>
      <c r="I901">
        <v>0</v>
      </c>
      <c r="J901">
        <v>78771.410199999998</v>
      </c>
      <c r="K901">
        <v>3.0200000000000001E-3</v>
      </c>
      <c r="L901">
        <v>3.9500000000000004E-3</v>
      </c>
      <c r="M901">
        <v>0.245</v>
      </c>
      <c r="N901">
        <v>3.09E-2</v>
      </c>
      <c r="O901">
        <v>4.0699999999999998E-3</v>
      </c>
      <c r="P901" s="3">
        <f t="shared" si="56"/>
        <v>1269.4991418376226</v>
      </c>
      <c r="Q901" s="3">
        <f t="shared" si="57"/>
        <v>3.0169605793162191E-3</v>
      </c>
      <c r="R901" s="3">
        <f t="shared" si="58"/>
        <v>3.9500000000000004E-3</v>
      </c>
      <c r="S901">
        <f t="shared" si="59"/>
        <v>17</v>
      </c>
      <c r="T901">
        <f>INDEX([1]IDEN_level_ids!$B:$B,MATCH(G901,[1]IDEN_level_ids!$A:$A,0),1)</f>
        <v>1136</v>
      </c>
      <c r="U901">
        <f>INDEX([1]IDEN_level_ids!$B:$B,MATCH(H901,[1]IDEN_level_ids!$A:$A,0),1)</f>
        <v>784</v>
      </c>
    </row>
    <row r="902" spans="1:21" hidden="1" x14ac:dyDescent="0.25">
      <c r="A902">
        <v>78626.916200000007</v>
      </c>
      <c r="B902">
        <v>1271.8290999999999</v>
      </c>
      <c r="C902">
        <v>6</v>
      </c>
      <c r="D902" t="s">
        <v>341</v>
      </c>
      <c r="F902">
        <v>1969</v>
      </c>
      <c r="G902" s="1" t="s">
        <v>346</v>
      </c>
      <c r="H902" s="1" t="s">
        <v>347</v>
      </c>
      <c r="I902">
        <v>0</v>
      </c>
      <c r="J902">
        <v>78627.044599999994</v>
      </c>
      <c r="K902">
        <v>2.0799999999999998E-3</v>
      </c>
      <c r="L902">
        <v>3.96E-3</v>
      </c>
      <c r="M902">
        <v>0.245</v>
      </c>
      <c r="N902">
        <v>2.7799999999999998E-2</v>
      </c>
      <c r="O902">
        <v>4.0800000000000003E-3</v>
      </c>
      <c r="P902" s="3">
        <f t="shared" si="56"/>
        <v>1271.8290991552331</v>
      </c>
      <c r="Q902" s="3">
        <f t="shared" si="57"/>
        <v>2.0769298548657389E-3</v>
      </c>
      <c r="R902" s="3">
        <f t="shared" si="58"/>
        <v>3.96E-3</v>
      </c>
      <c r="S902">
        <f t="shared" si="59"/>
        <v>17</v>
      </c>
      <c r="T902">
        <f>INDEX([1]IDEN_level_ids!$B:$B,MATCH(G902,[1]IDEN_level_ids!$A:$A,0),1)</f>
        <v>1159</v>
      </c>
      <c r="U902">
        <f>INDEX([1]IDEN_level_ids!$B:$B,MATCH(H902,[1]IDEN_level_ids!$A:$A,0),1)</f>
        <v>851</v>
      </c>
    </row>
    <row r="903" spans="1:21" hidden="1" x14ac:dyDescent="0.25">
      <c r="A903">
        <v>78573.7215</v>
      </c>
      <c r="B903">
        <v>1272.6901</v>
      </c>
      <c r="C903">
        <v>6</v>
      </c>
      <c r="D903" t="s">
        <v>341</v>
      </c>
      <c r="F903">
        <v>1969</v>
      </c>
      <c r="G903" s="1" t="s">
        <v>348</v>
      </c>
      <c r="H903" s="1" t="s">
        <v>349</v>
      </c>
      <c r="I903">
        <v>0</v>
      </c>
      <c r="J903">
        <v>78573.860799999995</v>
      </c>
      <c r="K903">
        <v>2.2599999999999999E-3</v>
      </c>
      <c r="L903">
        <v>3.9699999999999996E-3</v>
      </c>
      <c r="M903">
        <v>0.245</v>
      </c>
      <c r="N903">
        <v>3.5900000000000001E-2</v>
      </c>
      <c r="O903">
        <v>4.1200000000000004E-3</v>
      </c>
      <c r="P903" s="3">
        <f t="shared" si="56"/>
        <v>1272.6901321582432</v>
      </c>
      <c r="Q903" s="3">
        <f t="shared" si="57"/>
        <v>2.2562940600892034E-3</v>
      </c>
      <c r="R903" s="3">
        <f t="shared" si="58"/>
        <v>3.9699999999999996E-3</v>
      </c>
      <c r="S903">
        <f t="shared" si="59"/>
        <v>17</v>
      </c>
      <c r="T903">
        <f>INDEX([1]IDEN_level_ids!$B:$B,MATCH(G903,[1]IDEN_level_ids!$A:$A,0),1)</f>
        <v>1190</v>
      </c>
      <c r="U903">
        <f>INDEX([1]IDEN_level_ids!$B:$B,MATCH(H903,[1]IDEN_level_ids!$A:$A,0),1)</f>
        <v>886</v>
      </c>
    </row>
    <row r="904" spans="1:21" hidden="1" x14ac:dyDescent="0.25">
      <c r="A904">
        <v>78565.703299999994</v>
      </c>
      <c r="B904">
        <v>1272.82</v>
      </c>
      <c r="C904">
        <v>6</v>
      </c>
      <c r="D904" t="s">
        <v>341</v>
      </c>
      <c r="F904">
        <v>1969</v>
      </c>
      <c r="G904" s="1" t="s">
        <v>350</v>
      </c>
      <c r="H904" s="1" t="s">
        <v>144</v>
      </c>
      <c r="I904">
        <v>0</v>
      </c>
      <c r="J904">
        <v>78566.017999999996</v>
      </c>
      <c r="K904">
        <v>5.1000000000000004E-3</v>
      </c>
      <c r="L904">
        <v>3.9699999999999996E-3</v>
      </c>
      <c r="M904">
        <v>0.245</v>
      </c>
      <c r="N904">
        <v>0.15590000000000001</v>
      </c>
      <c r="O904">
        <v>4.7000000000000002E-3</v>
      </c>
      <c r="P904" s="3">
        <f t="shared" si="56"/>
        <v>1272.8200194193387</v>
      </c>
      <c r="Q904" s="3">
        <f t="shared" si="57"/>
        <v>5.0983423916477477E-3</v>
      </c>
      <c r="R904" s="3">
        <f t="shared" si="58"/>
        <v>3.9699999999999996E-3</v>
      </c>
      <c r="S904">
        <f t="shared" si="59"/>
        <v>17</v>
      </c>
      <c r="T904">
        <f>INDEX([1]IDEN_level_ids!$B:$B,MATCH(G904,[1]IDEN_level_ids!$A:$A,0),1)</f>
        <v>1112</v>
      </c>
      <c r="U904">
        <f>INDEX([1]IDEN_level_ids!$B:$B,MATCH(H904,[1]IDEN_level_ids!$A:$A,0),1)</f>
        <v>721</v>
      </c>
    </row>
    <row r="905" spans="1:21" hidden="1" x14ac:dyDescent="0.25">
      <c r="A905">
        <v>78560.703599999993</v>
      </c>
      <c r="B905">
        <v>1272.9010000000001</v>
      </c>
      <c r="C905">
        <v>6</v>
      </c>
      <c r="D905" t="s">
        <v>341</v>
      </c>
      <c r="F905">
        <v>1969</v>
      </c>
      <c r="G905" s="1" t="s">
        <v>351</v>
      </c>
      <c r="H905" s="1" t="s">
        <v>344</v>
      </c>
      <c r="I905">
        <v>0</v>
      </c>
      <c r="J905">
        <v>78560.762799999997</v>
      </c>
      <c r="K905">
        <v>9.6000000000000002E-4</v>
      </c>
      <c r="L905">
        <v>3.9699999999999996E-3</v>
      </c>
      <c r="M905">
        <v>0.245</v>
      </c>
      <c r="N905">
        <v>3.3000000000000002E-2</v>
      </c>
      <c r="O905">
        <v>4.1000000000000003E-3</v>
      </c>
      <c r="P905" s="3">
        <f t="shared" si="56"/>
        <v>1272.9010232540738</v>
      </c>
      <c r="Q905" s="3">
        <f t="shared" si="57"/>
        <v>9.5920326998566452E-4</v>
      </c>
      <c r="R905" s="3">
        <f t="shared" si="58"/>
        <v>3.9699999999999996E-3</v>
      </c>
      <c r="S905">
        <f t="shared" si="59"/>
        <v>17</v>
      </c>
      <c r="T905">
        <f>INDEX([1]IDEN_level_ids!$B:$B,MATCH(G905,[1]IDEN_level_ids!$A:$A,0),1)</f>
        <v>1172</v>
      </c>
      <c r="U905">
        <f>INDEX([1]IDEN_level_ids!$B:$B,MATCH(H905,[1]IDEN_level_ids!$A:$A,0),1)</f>
        <v>872</v>
      </c>
    </row>
    <row r="906" spans="1:21" hidden="1" x14ac:dyDescent="0.25">
      <c r="A906">
        <v>78532.318199999994</v>
      </c>
      <c r="B906">
        <v>1273.3611000000001</v>
      </c>
      <c r="C906">
        <v>6</v>
      </c>
      <c r="D906" t="s">
        <v>341</v>
      </c>
      <c r="F906">
        <v>1969</v>
      </c>
      <c r="G906" s="1" t="s">
        <v>275</v>
      </c>
      <c r="H906" s="1" t="s">
        <v>202</v>
      </c>
      <c r="I906">
        <v>0</v>
      </c>
      <c r="J906">
        <v>78532.297099999996</v>
      </c>
      <c r="K906">
        <v>-3.4000000000000002E-4</v>
      </c>
      <c r="L906">
        <v>3.9699999999999996E-3</v>
      </c>
      <c r="M906">
        <v>0.245</v>
      </c>
      <c r="N906">
        <v>4.6300000000000001E-2</v>
      </c>
      <c r="O906">
        <v>4.1700000000000001E-3</v>
      </c>
      <c r="P906" s="3">
        <f t="shared" si="56"/>
        <v>1273.3611116041143</v>
      </c>
      <c r="Q906" s="3">
        <f t="shared" si="57"/>
        <v>-3.4212572973046917E-4</v>
      </c>
      <c r="R906" s="3">
        <f t="shared" si="58"/>
        <v>3.9699999999999996E-3</v>
      </c>
      <c r="S906">
        <f t="shared" si="59"/>
        <v>17</v>
      </c>
      <c r="T906">
        <f>INDEX([1]IDEN_level_ids!$B:$B,MATCH(G906,[1]IDEN_level_ids!$A:$A,0),1)</f>
        <v>1134</v>
      </c>
      <c r="U906">
        <f>INDEX([1]IDEN_level_ids!$B:$B,MATCH(H906,[1]IDEN_level_ids!$A:$A,0),1)</f>
        <v>781</v>
      </c>
    </row>
    <row r="907" spans="1:21" hidden="1" x14ac:dyDescent="0.25">
      <c r="A907">
        <v>78436.034799999994</v>
      </c>
      <c r="B907">
        <v>1274.9241999999999</v>
      </c>
      <c r="C907">
        <v>6</v>
      </c>
      <c r="D907" t="s">
        <v>341</v>
      </c>
      <c r="F907">
        <v>1969</v>
      </c>
      <c r="G907" s="1" t="s">
        <v>22</v>
      </c>
      <c r="H907" s="1" t="s">
        <v>352</v>
      </c>
      <c r="I907">
        <v>0</v>
      </c>
      <c r="J907">
        <v>78436.394400000005</v>
      </c>
      <c r="K907">
        <v>5.8500000000000002E-3</v>
      </c>
      <c r="L907">
        <v>3.98E-3</v>
      </c>
      <c r="M907">
        <v>0.245</v>
      </c>
      <c r="N907">
        <v>0.1244</v>
      </c>
      <c r="O907">
        <v>4.5500000000000002E-3</v>
      </c>
      <c r="P907" s="3">
        <f t="shared" si="56"/>
        <v>1274.9242137875131</v>
      </c>
      <c r="Q907" s="3">
        <f t="shared" si="57"/>
        <v>5.8450257793083438E-3</v>
      </c>
      <c r="R907" s="3">
        <f t="shared" si="58"/>
        <v>3.98E-3</v>
      </c>
      <c r="S907">
        <f t="shared" si="59"/>
        <v>17</v>
      </c>
      <c r="T907">
        <f>INDEX([1]IDEN_level_ids!$B:$B,MATCH(G907,[1]IDEN_level_ids!$A:$A,0),1)</f>
        <v>1236</v>
      </c>
      <c r="U907">
        <f>INDEX([1]IDEN_level_ids!$B:$B,MATCH(H907,[1]IDEN_level_ids!$A:$A,0),1)</f>
        <v>909</v>
      </c>
    </row>
    <row r="908" spans="1:21" hidden="1" x14ac:dyDescent="0.25">
      <c r="A908">
        <v>78349.819799999997</v>
      </c>
      <c r="B908">
        <v>1276.3271</v>
      </c>
      <c r="C908">
        <v>6</v>
      </c>
      <c r="D908" t="s">
        <v>353</v>
      </c>
      <c r="F908">
        <v>1969</v>
      </c>
      <c r="G908" s="1" t="s">
        <v>259</v>
      </c>
      <c r="H908" s="1" t="s">
        <v>156</v>
      </c>
      <c r="I908">
        <v>0</v>
      </c>
      <c r="J908">
        <v>78350.090800000005</v>
      </c>
      <c r="K908">
        <v>4.4200000000000003E-3</v>
      </c>
      <c r="L908">
        <v>3.9899999999999996E-3</v>
      </c>
      <c r="M908">
        <v>0.245</v>
      </c>
      <c r="N908">
        <v>0.1052</v>
      </c>
      <c r="O908">
        <v>4.4600000000000004E-3</v>
      </c>
      <c r="P908" s="3">
        <f t="shared" si="56"/>
        <v>1276.3271218142611</v>
      </c>
      <c r="Q908" s="3">
        <f t="shared" si="57"/>
        <v>4.4146043289856607E-3</v>
      </c>
      <c r="R908" s="3">
        <f t="shared" si="58"/>
        <v>3.9899999999999996E-3</v>
      </c>
      <c r="S908">
        <f t="shared" si="59"/>
        <v>18</v>
      </c>
      <c r="T908">
        <f>INDEX([1]IDEN_level_ids!$B:$B,MATCH(G908,[1]IDEN_level_ids!$A:$A,0),1)</f>
        <v>1117</v>
      </c>
      <c r="U908">
        <f>INDEX([1]IDEN_level_ids!$B:$B,MATCH(H908,[1]IDEN_level_ids!$A:$A,0),1)</f>
        <v>734</v>
      </c>
    </row>
    <row r="909" spans="1:21" hidden="1" x14ac:dyDescent="0.25">
      <c r="A909">
        <v>78332.326100000006</v>
      </c>
      <c r="B909">
        <v>1276.6122</v>
      </c>
      <c r="C909">
        <v>6</v>
      </c>
      <c r="D909" t="s">
        <v>353</v>
      </c>
      <c r="E909" t="s">
        <v>45</v>
      </c>
      <c r="F909">
        <v>1969</v>
      </c>
      <c r="G909" s="1" t="s">
        <v>354</v>
      </c>
      <c r="H909" s="1" t="s">
        <v>161</v>
      </c>
      <c r="I909">
        <v>-0.57169999999999999</v>
      </c>
      <c r="J909">
        <v>78333.333700000003</v>
      </c>
      <c r="K909">
        <v>1.6420000000000001E-2</v>
      </c>
      <c r="L909">
        <v>7.8600000000000007E-3</v>
      </c>
      <c r="M909">
        <v>0.48199999999999998</v>
      </c>
      <c r="N909">
        <v>1.0699999999999999E-2</v>
      </c>
      <c r="O909">
        <v>7.9399999999999991E-3</v>
      </c>
      <c r="P909" s="3">
        <f t="shared" si="56"/>
        <v>1276.6121597402685</v>
      </c>
      <c r="Q909" s="3">
        <f t="shared" si="57"/>
        <v>1.6421034971926929E-2</v>
      </c>
      <c r="R909" s="3">
        <f t="shared" si="58"/>
        <v>7.8600000000000007E-3</v>
      </c>
      <c r="S909">
        <f t="shared" si="59"/>
        <v>18</v>
      </c>
      <c r="T909">
        <f>INDEX([1]IDEN_level_ids!$B:$B,MATCH(G909,[1]IDEN_level_ids!$A:$A,0),1)</f>
        <v>1135</v>
      </c>
      <c r="U909">
        <f>INDEX([1]IDEN_level_ids!$B:$B,MATCH(H909,[1]IDEN_level_ids!$A:$A,0),1)</f>
        <v>785</v>
      </c>
    </row>
    <row r="910" spans="1:21" hidden="1" x14ac:dyDescent="0.25">
      <c r="A910">
        <v>78312.399399999995</v>
      </c>
      <c r="B910">
        <v>1276.9369999999999</v>
      </c>
      <c r="C910">
        <v>6</v>
      </c>
      <c r="D910" t="s">
        <v>353</v>
      </c>
      <c r="F910">
        <v>1969</v>
      </c>
      <c r="G910" s="1" t="s">
        <v>355</v>
      </c>
      <c r="H910" s="1" t="s">
        <v>356</v>
      </c>
      <c r="I910">
        <v>0</v>
      </c>
      <c r="J910">
        <v>78312.515899999999</v>
      </c>
      <c r="K910">
        <v>1.9E-3</v>
      </c>
      <c r="L910">
        <v>3.9899999999999996E-3</v>
      </c>
      <c r="M910">
        <v>0.245</v>
      </c>
      <c r="N910">
        <v>6.2899999999999998E-2</v>
      </c>
      <c r="O910">
        <v>4.2599999999999999E-3</v>
      </c>
      <c r="P910" s="3">
        <f t="shared" si="56"/>
        <v>1276.9369954970375</v>
      </c>
      <c r="Q910" s="3">
        <f t="shared" si="57"/>
        <v>1.8996089995653165E-3</v>
      </c>
      <c r="R910" s="3">
        <f t="shared" si="58"/>
        <v>3.9899999999999996E-3</v>
      </c>
      <c r="S910">
        <f t="shared" si="59"/>
        <v>18</v>
      </c>
      <c r="T910">
        <f>INDEX([1]IDEN_level_ids!$B:$B,MATCH(G910,[1]IDEN_level_ids!$A:$A,0),1)</f>
        <v>1185</v>
      </c>
      <c r="U910">
        <f>INDEX([1]IDEN_level_ids!$B:$B,MATCH(H910,[1]IDEN_level_ids!$A:$A,0),1)</f>
        <v>885</v>
      </c>
    </row>
    <row r="911" spans="1:21" hidden="1" x14ac:dyDescent="0.25">
      <c r="A911">
        <v>77880.218200000003</v>
      </c>
      <c r="B911">
        <v>1284.0231000000001</v>
      </c>
      <c r="C911">
        <v>6</v>
      </c>
      <c r="D911" t="s">
        <v>353</v>
      </c>
      <c r="F911">
        <v>1969</v>
      </c>
      <c r="G911" s="1" t="s">
        <v>256</v>
      </c>
      <c r="H911" s="1" t="s">
        <v>258</v>
      </c>
      <c r="I911">
        <v>0</v>
      </c>
      <c r="J911">
        <v>77880.413</v>
      </c>
      <c r="K911">
        <v>3.2100000000000002E-3</v>
      </c>
      <c r="L911">
        <v>4.0400000000000002E-3</v>
      </c>
      <c r="M911">
        <v>0.245</v>
      </c>
      <c r="N911">
        <v>4.9099999999999998E-2</v>
      </c>
      <c r="O911">
        <v>4.2500000000000003E-3</v>
      </c>
      <c r="P911" s="3">
        <f t="shared" si="56"/>
        <v>1284.0231102485534</v>
      </c>
      <c r="Q911" s="3">
        <f t="shared" si="57"/>
        <v>3.2116894637965743E-3</v>
      </c>
      <c r="R911" s="3">
        <f t="shared" si="58"/>
        <v>4.0400000000000002E-3</v>
      </c>
      <c r="S911">
        <f t="shared" si="59"/>
        <v>18</v>
      </c>
      <c r="T911">
        <f>INDEX([1]IDEN_level_ids!$B:$B,MATCH(G911,[1]IDEN_level_ids!$A:$A,0),1)</f>
        <v>1120</v>
      </c>
      <c r="U911">
        <f>INDEX([1]IDEN_level_ids!$B:$B,MATCH(H911,[1]IDEN_level_ids!$A:$A,0),1)</f>
        <v>755</v>
      </c>
    </row>
    <row r="912" spans="1:21" hidden="1" x14ac:dyDescent="0.25">
      <c r="A912">
        <v>77579.584700000007</v>
      </c>
      <c r="B912">
        <v>1288.9989</v>
      </c>
      <c r="C912">
        <v>6</v>
      </c>
      <c r="D912" t="s">
        <v>353</v>
      </c>
      <c r="F912">
        <v>1969</v>
      </c>
      <c r="G912" s="1" t="s">
        <v>256</v>
      </c>
      <c r="H912" s="1" t="s">
        <v>127</v>
      </c>
      <c r="I912">
        <v>0</v>
      </c>
      <c r="J912">
        <v>77580.030599999998</v>
      </c>
      <c r="K912">
        <v>7.4099999999999999E-3</v>
      </c>
      <c r="L912">
        <v>4.0699999999999998E-3</v>
      </c>
      <c r="M912">
        <v>0.245</v>
      </c>
      <c r="N912">
        <v>3.4500000000000003E-2</v>
      </c>
      <c r="O912">
        <v>4.2199999999999998E-3</v>
      </c>
      <c r="P912" s="3">
        <f t="shared" si="56"/>
        <v>1288.9989084976371</v>
      </c>
      <c r="Q912" s="3">
        <f t="shared" si="57"/>
        <v>7.4086670092583518E-3</v>
      </c>
      <c r="R912" s="3">
        <f t="shared" si="58"/>
        <v>4.0699999999999998E-3</v>
      </c>
      <c r="S912">
        <f t="shared" si="59"/>
        <v>18</v>
      </c>
      <c r="T912">
        <f>INDEX([1]IDEN_level_ids!$B:$B,MATCH(G912,[1]IDEN_level_ids!$A:$A,0),1)</f>
        <v>1120</v>
      </c>
      <c r="U912">
        <f>INDEX([1]IDEN_level_ids!$B:$B,MATCH(H912,[1]IDEN_level_ids!$A:$A,0),1)</f>
        <v>760</v>
      </c>
    </row>
    <row r="913" spans="1:21" hidden="1" x14ac:dyDescent="0.25">
      <c r="A913">
        <v>77530.384099999996</v>
      </c>
      <c r="B913">
        <v>1289.8169</v>
      </c>
      <c r="C913">
        <v>6</v>
      </c>
      <c r="D913" t="s">
        <v>353</v>
      </c>
      <c r="F913">
        <v>1969</v>
      </c>
      <c r="G913" s="1" t="s">
        <v>337</v>
      </c>
      <c r="H913" s="1" t="s">
        <v>121</v>
      </c>
      <c r="I913">
        <v>0</v>
      </c>
      <c r="J913">
        <v>77530.329700000002</v>
      </c>
      <c r="K913">
        <v>-8.9999999999999998E-4</v>
      </c>
      <c r="L913">
        <v>4.0800000000000003E-3</v>
      </c>
      <c r="M913">
        <v>0.245</v>
      </c>
      <c r="N913">
        <v>2.3300000000000001E-2</v>
      </c>
      <c r="O913">
        <v>4.1700000000000001E-3</v>
      </c>
      <c r="P913" s="3">
        <f t="shared" si="56"/>
        <v>1289.8169041832466</v>
      </c>
      <c r="Q913" s="3">
        <f t="shared" si="57"/>
        <v>-9.0501407453302818E-4</v>
      </c>
      <c r="R913" s="3">
        <f t="shared" si="58"/>
        <v>4.0800000000000003E-3</v>
      </c>
      <c r="S913">
        <f t="shared" si="59"/>
        <v>18</v>
      </c>
      <c r="T913">
        <f>INDEX([1]IDEN_level_ids!$B:$B,MATCH(G913,[1]IDEN_level_ids!$A:$A,0),1)</f>
        <v>1157</v>
      </c>
      <c r="U913">
        <f>INDEX([1]IDEN_level_ids!$B:$B,MATCH(H913,[1]IDEN_level_ids!$A:$A,0),1)</f>
        <v>860</v>
      </c>
    </row>
    <row r="914" spans="1:21" hidden="1" x14ac:dyDescent="0.25">
      <c r="A914">
        <v>77395.675499999998</v>
      </c>
      <c r="B914">
        <v>1292.0618999999999</v>
      </c>
      <c r="C914">
        <v>6</v>
      </c>
      <c r="D914" t="s">
        <v>353</v>
      </c>
      <c r="F914">
        <v>1969</v>
      </c>
      <c r="G914" s="1" t="s">
        <v>118</v>
      </c>
      <c r="H914" s="1" t="s">
        <v>343</v>
      </c>
      <c r="I914">
        <v>0</v>
      </c>
      <c r="J914">
        <v>77395.815300000002</v>
      </c>
      <c r="K914">
        <v>2.33E-3</v>
      </c>
      <c r="L914">
        <v>4.0899999999999999E-3</v>
      </c>
      <c r="M914">
        <v>0.245</v>
      </c>
      <c r="N914">
        <v>6.6699999999999995E-2</v>
      </c>
      <c r="O914">
        <v>4.3800000000000002E-3</v>
      </c>
      <c r="P914" s="3">
        <f t="shared" si="56"/>
        <v>1292.0618542828017</v>
      </c>
      <c r="Q914" s="3">
        <f t="shared" si="57"/>
        <v>2.3338503062859672E-3</v>
      </c>
      <c r="R914" s="3">
        <f t="shared" si="58"/>
        <v>4.0899999999999999E-3</v>
      </c>
      <c r="S914">
        <f t="shared" si="59"/>
        <v>18</v>
      </c>
      <c r="T914">
        <f>INDEX([1]IDEN_level_ids!$B:$B,MATCH(G914,[1]IDEN_level_ids!$A:$A,0),1)</f>
        <v>1237</v>
      </c>
      <c r="U914">
        <f>INDEX([1]IDEN_level_ids!$B:$B,MATCH(H914,[1]IDEN_level_ids!$A:$A,0),1)</f>
        <v>912</v>
      </c>
    </row>
    <row r="915" spans="1:21" hidden="1" x14ac:dyDescent="0.25">
      <c r="A915">
        <v>77334.796700000006</v>
      </c>
      <c r="B915">
        <v>1293.079</v>
      </c>
      <c r="C915">
        <v>6</v>
      </c>
      <c r="D915" t="s">
        <v>353</v>
      </c>
      <c r="F915">
        <v>1969</v>
      </c>
      <c r="G915" s="1" t="s">
        <v>345</v>
      </c>
      <c r="H915" s="1" t="s">
        <v>270</v>
      </c>
      <c r="I915">
        <v>0</v>
      </c>
      <c r="J915">
        <v>77334.784899999999</v>
      </c>
      <c r="K915">
        <v>-2.0000000000000001E-4</v>
      </c>
      <c r="L915">
        <v>4.1000000000000003E-3</v>
      </c>
      <c r="M915">
        <v>0.245</v>
      </c>
      <c r="N915">
        <v>0.13159999999999999</v>
      </c>
      <c r="O915">
        <v>4.7200000000000002E-3</v>
      </c>
      <c r="P915" s="3">
        <f t="shared" si="56"/>
        <v>1293.0789795429823</v>
      </c>
      <c r="Q915" s="3">
        <f t="shared" si="57"/>
        <v>-1.9730231338144222E-4</v>
      </c>
      <c r="R915" s="3">
        <f t="shared" si="58"/>
        <v>4.1000000000000003E-3</v>
      </c>
      <c r="S915">
        <f t="shared" si="59"/>
        <v>18</v>
      </c>
      <c r="T915">
        <f>INDEX([1]IDEN_level_ids!$B:$B,MATCH(G915,[1]IDEN_level_ids!$A:$A,0),1)</f>
        <v>1106</v>
      </c>
      <c r="U915">
        <f>INDEX([1]IDEN_level_ids!$B:$B,MATCH(H915,[1]IDEN_level_ids!$A:$A,0),1)</f>
        <v>725</v>
      </c>
    </row>
    <row r="916" spans="1:21" hidden="1" x14ac:dyDescent="0.25">
      <c r="A916">
        <v>77277.188800000004</v>
      </c>
      <c r="B916">
        <v>1294.0428999999999</v>
      </c>
      <c r="C916">
        <v>6</v>
      </c>
      <c r="D916" t="s">
        <v>353</v>
      </c>
      <c r="F916">
        <v>1969</v>
      </c>
      <c r="G916" s="1" t="s">
        <v>24</v>
      </c>
      <c r="H916" s="1" t="s">
        <v>357</v>
      </c>
      <c r="I916">
        <v>0</v>
      </c>
      <c r="J916">
        <v>77277.145300000004</v>
      </c>
      <c r="K916">
        <v>-7.2999999999999996E-4</v>
      </c>
      <c r="L916">
        <v>4.1000000000000003E-3</v>
      </c>
      <c r="M916">
        <v>0.245</v>
      </c>
      <c r="N916">
        <v>9.9900000000000003E-2</v>
      </c>
      <c r="O916">
        <v>4.5599999999999998E-3</v>
      </c>
      <c r="P916" s="3">
        <f t="shared" si="56"/>
        <v>1294.042932369196</v>
      </c>
      <c r="Q916" s="3">
        <f t="shared" si="57"/>
        <v>-7.2842840336306836E-4</v>
      </c>
      <c r="R916" s="3">
        <f t="shared" si="58"/>
        <v>4.1000000000000003E-3</v>
      </c>
      <c r="S916">
        <f t="shared" si="59"/>
        <v>18</v>
      </c>
      <c r="T916">
        <f>INDEX([1]IDEN_level_ids!$B:$B,MATCH(G916,[1]IDEN_level_ids!$A:$A,0),1)</f>
        <v>1241</v>
      </c>
      <c r="U916">
        <f>INDEX([1]IDEN_level_ids!$B:$B,MATCH(H916,[1]IDEN_level_ids!$A:$A,0),1)</f>
        <v>916</v>
      </c>
    </row>
    <row r="917" spans="1:21" hidden="1" x14ac:dyDescent="0.25">
      <c r="A917">
        <v>77273.6014</v>
      </c>
      <c r="B917">
        <v>1294.1030000000001</v>
      </c>
      <c r="C917">
        <v>6</v>
      </c>
      <c r="D917" t="s">
        <v>353</v>
      </c>
      <c r="F917">
        <v>1969</v>
      </c>
      <c r="G917" s="1" t="s">
        <v>212</v>
      </c>
      <c r="H917" s="1" t="s">
        <v>237</v>
      </c>
      <c r="I917">
        <v>0</v>
      </c>
      <c r="J917">
        <v>77273.683499999999</v>
      </c>
      <c r="K917">
        <v>1.3799999999999999E-3</v>
      </c>
      <c r="L917">
        <v>4.1000000000000003E-3</v>
      </c>
      <c r="M917">
        <v>0.245</v>
      </c>
      <c r="N917">
        <v>5.21E-2</v>
      </c>
      <c r="O917">
        <v>4.3299999999999996E-3</v>
      </c>
      <c r="P917" s="3">
        <f t="shared" si="56"/>
        <v>1294.1030078611038</v>
      </c>
      <c r="Q917" s="3">
        <f t="shared" si="57"/>
        <v>1.3749293696037057E-3</v>
      </c>
      <c r="R917" s="3">
        <f t="shared" si="58"/>
        <v>4.1000000000000003E-3</v>
      </c>
      <c r="S917">
        <f t="shared" si="59"/>
        <v>18</v>
      </c>
      <c r="T917">
        <f>INDEX([1]IDEN_level_ids!$B:$B,MATCH(G917,[1]IDEN_level_ids!$A:$A,0),1)</f>
        <v>1123</v>
      </c>
      <c r="U917">
        <f>INDEX([1]IDEN_level_ids!$B:$B,MATCH(H917,[1]IDEN_level_ids!$A:$A,0),1)</f>
        <v>773</v>
      </c>
    </row>
    <row r="918" spans="1:21" hidden="1" x14ac:dyDescent="0.25">
      <c r="A918">
        <v>77252.521599999993</v>
      </c>
      <c r="B918">
        <v>1294.4561000000001</v>
      </c>
      <c r="C918">
        <v>6</v>
      </c>
      <c r="D918" t="s">
        <v>353</v>
      </c>
      <c r="F918">
        <v>1969</v>
      </c>
      <c r="G918" s="1" t="s">
        <v>172</v>
      </c>
      <c r="H918" s="1" t="s">
        <v>292</v>
      </c>
      <c r="I918">
        <v>0</v>
      </c>
      <c r="J918">
        <v>77252.362599999993</v>
      </c>
      <c r="K918">
        <v>-2.66E-3</v>
      </c>
      <c r="L918">
        <v>4.1099999999999999E-3</v>
      </c>
      <c r="M918">
        <v>0.245</v>
      </c>
      <c r="N918">
        <v>6.2399999999999997E-2</v>
      </c>
      <c r="O918">
        <v>4.3800000000000002E-3</v>
      </c>
      <c r="P918" s="3">
        <f t="shared" si="56"/>
        <v>1294.4561281479259</v>
      </c>
      <c r="Q918" s="3">
        <f t="shared" si="57"/>
        <v>-2.6642359850939101E-3</v>
      </c>
      <c r="R918" s="3">
        <f t="shared" si="58"/>
        <v>4.1099999999999999E-3</v>
      </c>
      <c r="S918">
        <f t="shared" si="59"/>
        <v>18</v>
      </c>
      <c r="T918">
        <f>INDEX([1]IDEN_level_ids!$B:$B,MATCH(G918,[1]IDEN_level_ids!$A:$A,0),1)</f>
        <v>1136</v>
      </c>
      <c r="U918">
        <f>INDEX([1]IDEN_level_ids!$B:$B,MATCH(H918,[1]IDEN_level_ids!$A:$A,0),1)</f>
        <v>796</v>
      </c>
    </row>
    <row r="919" spans="1:21" hidden="1" x14ac:dyDescent="0.25">
      <c r="A919">
        <v>77191.887300000002</v>
      </c>
      <c r="B919">
        <v>1295.4729</v>
      </c>
      <c r="C919">
        <v>6</v>
      </c>
      <c r="D919" t="s">
        <v>353</v>
      </c>
      <c r="F919">
        <v>1969</v>
      </c>
      <c r="G919" s="1" t="s">
        <v>138</v>
      </c>
      <c r="H919" s="1" t="s">
        <v>171</v>
      </c>
      <c r="I919">
        <v>0</v>
      </c>
      <c r="J919">
        <v>77191.746400000004</v>
      </c>
      <c r="K919">
        <v>-2.3600000000000001E-3</v>
      </c>
      <c r="L919">
        <v>4.1099999999999999E-3</v>
      </c>
      <c r="M919">
        <v>0.245</v>
      </c>
      <c r="N919">
        <v>0.1018</v>
      </c>
      <c r="O919">
        <v>4.5799999999999999E-3</v>
      </c>
      <c r="P919" s="3">
        <f t="shared" si="56"/>
        <v>1295.4729246527957</v>
      </c>
      <c r="Q919" s="3">
        <f t="shared" si="57"/>
        <v>-2.3646587051189272E-3</v>
      </c>
      <c r="R919" s="3">
        <f t="shared" si="58"/>
        <v>4.1099999999999999E-3</v>
      </c>
      <c r="S919">
        <f t="shared" si="59"/>
        <v>18</v>
      </c>
      <c r="T919">
        <f>INDEX([1]IDEN_level_ids!$B:$B,MATCH(G919,[1]IDEN_level_ids!$A:$A,0),1)</f>
        <v>1126</v>
      </c>
      <c r="U919">
        <f>INDEX([1]IDEN_level_ids!$B:$B,MATCH(H919,[1]IDEN_level_ids!$A:$A,0),1)</f>
        <v>774</v>
      </c>
    </row>
    <row r="920" spans="1:21" hidden="1" x14ac:dyDescent="0.25">
      <c r="A920">
        <v>76970.869000000006</v>
      </c>
      <c r="B920">
        <v>1299.1928</v>
      </c>
      <c r="C920">
        <v>6</v>
      </c>
      <c r="D920" t="s">
        <v>353</v>
      </c>
      <c r="F920">
        <v>1969</v>
      </c>
      <c r="G920" s="1" t="s">
        <v>262</v>
      </c>
      <c r="H920" s="1" t="s">
        <v>162</v>
      </c>
      <c r="I920">
        <v>0</v>
      </c>
      <c r="J920">
        <v>76970.689299999998</v>
      </c>
      <c r="K920">
        <v>-3.0300000000000001E-3</v>
      </c>
      <c r="L920">
        <v>4.1399999999999996E-3</v>
      </c>
      <c r="M920">
        <v>0.245</v>
      </c>
      <c r="N920">
        <v>2.4899999999999999E-2</v>
      </c>
      <c r="O920">
        <v>4.2399999999999998E-3</v>
      </c>
      <c r="P920" s="3">
        <f t="shared" si="56"/>
        <v>1299.1928154013694</v>
      </c>
      <c r="Q920" s="3">
        <f t="shared" si="57"/>
        <v>-3.0331669245242665E-3</v>
      </c>
      <c r="R920" s="3">
        <f t="shared" si="58"/>
        <v>4.1399999999999996E-3</v>
      </c>
      <c r="S920">
        <f t="shared" si="59"/>
        <v>18</v>
      </c>
      <c r="T920">
        <f>INDEX([1]IDEN_level_ids!$B:$B,MATCH(G920,[1]IDEN_level_ids!$A:$A,0),1)</f>
        <v>1115</v>
      </c>
      <c r="U920">
        <f>INDEX([1]IDEN_level_ids!$B:$B,MATCH(H920,[1]IDEN_level_ids!$A:$A,0),1)</f>
        <v>754</v>
      </c>
    </row>
    <row r="921" spans="1:21" hidden="1" x14ac:dyDescent="0.25">
      <c r="A921">
        <v>76958.186400000006</v>
      </c>
      <c r="B921">
        <v>1299.4069</v>
      </c>
      <c r="C921">
        <v>6</v>
      </c>
      <c r="D921" t="s">
        <v>353</v>
      </c>
      <c r="F921">
        <v>1969</v>
      </c>
      <c r="G921" s="1" t="s">
        <v>138</v>
      </c>
      <c r="H921" s="1" t="s">
        <v>158</v>
      </c>
      <c r="I921">
        <v>0</v>
      </c>
      <c r="J921">
        <v>76958.088900000002</v>
      </c>
      <c r="K921">
        <v>-1.65E-3</v>
      </c>
      <c r="L921">
        <v>4.1399999999999996E-3</v>
      </c>
      <c r="M921">
        <v>0.245</v>
      </c>
      <c r="N921">
        <v>2.7400000000000001E-2</v>
      </c>
      <c r="O921">
        <v>4.2500000000000003E-3</v>
      </c>
      <c r="P921" s="3">
        <f t="shared" si="56"/>
        <v>1299.4069205352271</v>
      </c>
      <c r="Q921" s="3">
        <f t="shared" si="57"/>
        <v>-1.6462489722925966E-3</v>
      </c>
      <c r="R921" s="3">
        <f t="shared" si="58"/>
        <v>4.1399999999999996E-3</v>
      </c>
      <c r="S921">
        <f t="shared" si="59"/>
        <v>18</v>
      </c>
      <c r="T921">
        <f>INDEX([1]IDEN_level_ids!$B:$B,MATCH(G921,[1]IDEN_level_ids!$A:$A,0),1)</f>
        <v>1126</v>
      </c>
      <c r="U921">
        <f>INDEX([1]IDEN_level_ids!$B:$B,MATCH(H921,[1]IDEN_level_ids!$A:$A,0),1)</f>
        <v>779</v>
      </c>
    </row>
    <row r="922" spans="1:21" hidden="1" x14ac:dyDescent="0.25">
      <c r="A922">
        <v>76906.212400000004</v>
      </c>
      <c r="B922">
        <v>1300.2851000000001</v>
      </c>
      <c r="C922">
        <v>6</v>
      </c>
      <c r="D922" t="s">
        <v>358</v>
      </c>
      <c r="F922">
        <v>1969</v>
      </c>
      <c r="G922" s="1" t="s">
        <v>33</v>
      </c>
      <c r="H922" s="1" t="s">
        <v>338</v>
      </c>
      <c r="I922">
        <v>0</v>
      </c>
      <c r="J922">
        <v>76906.269</v>
      </c>
      <c r="K922">
        <v>9.6000000000000002E-4</v>
      </c>
      <c r="L922">
        <v>4.1399999999999996E-3</v>
      </c>
      <c r="M922">
        <v>0.245</v>
      </c>
      <c r="N922">
        <v>4.9099999999999998E-2</v>
      </c>
      <c r="O922">
        <v>4.3600000000000002E-3</v>
      </c>
      <c r="P922" s="3">
        <f t="shared" si="56"/>
        <v>1300.2850729390491</v>
      </c>
      <c r="Q922" s="3">
        <f t="shared" si="57"/>
        <v>9.5695885511304368E-4</v>
      </c>
      <c r="R922" s="3">
        <f t="shared" si="58"/>
        <v>4.1399999999999996E-3</v>
      </c>
      <c r="S922">
        <f t="shared" si="59"/>
        <v>19</v>
      </c>
      <c r="T922">
        <f>INDEX([1]IDEN_level_ids!$B:$B,MATCH(G922,[1]IDEN_level_ids!$A:$A,0),1)</f>
        <v>1220</v>
      </c>
      <c r="U922">
        <f>INDEX([1]IDEN_level_ids!$B:$B,MATCH(H922,[1]IDEN_level_ids!$A:$A,0),1)</f>
        <v>904</v>
      </c>
    </row>
    <row r="923" spans="1:21" hidden="1" x14ac:dyDescent="0.25">
      <c r="A923">
        <v>76886.589200000002</v>
      </c>
      <c r="B923">
        <v>1300.6169</v>
      </c>
      <c r="C923">
        <v>6</v>
      </c>
      <c r="D923" t="s">
        <v>358</v>
      </c>
      <c r="F923">
        <v>1969</v>
      </c>
      <c r="G923" s="1" t="s">
        <v>134</v>
      </c>
      <c r="H923" s="1" t="s">
        <v>162</v>
      </c>
      <c r="I923">
        <v>0</v>
      </c>
      <c r="J923">
        <v>76886.499299999996</v>
      </c>
      <c r="K923">
        <v>-1.5200000000000001E-3</v>
      </c>
      <c r="L923">
        <v>4.1399999999999996E-3</v>
      </c>
      <c r="M923">
        <v>0.245</v>
      </c>
      <c r="N923">
        <v>2.6499999999999999E-2</v>
      </c>
      <c r="O923">
        <v>4.2599999999999999E-3</v>
      </c>
      <c r="P923" s="3">
        <f t="shared" si="56"/>
        <v>1300.6169351572692</v>
      </c>
      <c r="Q923" s="3">
        <f t="shared" si="57"/>
        <v>-1.5207541448489792E-3</v>
      </c>
      <c r="R923" s="3">
        <f t="shared" si="58"/>
        <v>4.1399999999999996E-3</v>
      </c>
      <c r="S923">
        <f t="shared" si="59"/>
        <v>19</v>
      </c>
      <c r="T923">
        <f>INDEX([1]IDEN_level_ids!$B:$B,MATCH(G923,[1]IDEN_level_ids!$A:$A,0),1)</f>
        <v>1114</v>
      </c>
      <c r="U923">
        <f>INDEX([1]IDEN_level_ids!$B:$B,MATCH(H923,[1]IDEN_level_ids!$A:$A,0),1)</f>
        <v>754</v>
      </c>
    </row>
    <row r="924" spans="1:21" hidden="1" x14ac:dyDescent="0.25">
      <c r="A924">
        <v>76763.885500000004</v>
      </c>
      <c r="B924">
        <v>1302.6958999999999</v>
      </c>
      <c r="C924">
        <v>6</v>
      </c>
      <c r="D924" t="s">
        <v>358</v>
      </c>
      <c r="F924">
        <v>1969</v>
      </c>
      <c r="G924" s="1" t="s">
        <v>272</v>
      </c>
      <c r="H924" s="1" t="s">
        <v>154</v>
      </c>
      <c r="I924">
        <v>0</v>
      </c>
      <c r="J924">
        <v>76763.762900000002</v>
      </c>
      <c r="K924">
        <v>-2.0799999999999998E-3</v>
      </c>
      <c r="L924">
        <v>4.1599999999999996E-3</v>
      </c>
      <c r="M924">
        <v>0.245</v>
      </c>
      <c r="N924">
        <v>4.3900000000000002E-2</v>
      </c>
      <c r="O924">
        <v>4.3499999999999997E-3</v>
      </c>
      <c r="P924" s="3">
        <f t="shared" si="56"/>
        <v>1302.6959142134617</v>
      </c>
      <c r="Q924" s="3">
        <f t="shared" si="57"/>
        <v>-2.0805457295409724E-3</v>
      </c>
      <c r="R924" s="3">
        <f t="shared" si="58"/>
        <v>4.1599999999999996E-3</v>
      </c>
      <c r="S924">
        <f t="shared" si="59"/>
        <v>19</v>
      </c>
      <c r="T924">
        <f>INDEX([1]IDEN_level_ids!$B:$B,MATCH(G924,[1]IDEN_level_ids!$A:$A,0),1)</f>
        <v>1109</v>
      </c>
      <c r="U924">
        <f>INDEX([1]IDEN_level_ids!$B:$B,MATCH(H924,[1]IDEN_level_ids!$A:$A,0),1)</f>
        <v>739</v>
      </c>
    </row>
    <row r="925" spans="1:21" hidden="1" x14ac:dyDescent="0.25">
      <c r="A925">
        <v>76748.276199999993</v>
      </c>
      <c r="B925">
        <v>1302.9609</v>
      </c>
      <c r="C925">
        <v>6</v>
      </c>
      <c r="D925" t="s">
        <v>358</v>
      </c>
      <c r="F925">
        <v>1969</v>
      </c>
      <c r="G925" s="1" t="s">
        <v>172</v>
      </c>
      <c r="H925" s="1" t="s">
        <v>303</v>
      </c>
      <c r="I925">
        <v>0</v>
      </c>
      <c r="J925">
        <v>76748.25</v>
      </c>
      <c r="K925">
        <v>-4.4000000000000002E-4</v>
      </c>
      <c r="L925">
        <v>4.1599999999999996E-3</v>
      </c>
      <c r="M925">
        <v>0.245</v>
      </c>
      <c r="N925">
        <v>6.8199999999999997E-2</v>
      </c>
      <c r="O925">
        <v>4.4600000000000004E-3</v>
      </c>
      <c r="P925" s="3">
        <f t="shared" si="56"/>
        <v>1302.960860507249</v>
      </c>
      <c r="Q925" s="3">
        <f t="shared" si="57"/>
        <v>-4.4479938674157893E-4</v>
      </c>
      <c r="R925" s="3">
        <f t="shared" si="58"/>
        <v>4.1599999999999996E-3</v>
      </c>
      <c r="S925">
        <f t="shared" si="59"/>
        <v>19</v>
      </c>
      <c r="T925">
        <f>INDEX([1]IDEN_level_ids!$B:$B,MATCH(G925,[1]IDEN_level_ids!$A:$A,0),1)</f>
        <v>1136</v>
      </c>
      <c r="U925">
        <f>INDEX([1]IDEN_level_ids!$B:$B,MATCH(H925,[1]IDEN_level_ids!$A:$A,0),1)</f>
        <v>805</v>
      </c>
    </row>
    <row r="926" spans="1:21" hidden="1" x14ac:dyDescent="0.25">
      <c r="A926">
        <v>76716.4804</v>
      </c>
      <c r="B926">
        <v>1303.5009</v>
      </c>
      <c r="C926">
        <v>6</v>
      </c>
      <c r="D926" t="s">
        <v>358</v>
      </c>
      <c r="F926">
        <v>1969</v>
      </c>
      <c r="G926" s="1" t="s">
        <v>293</v>
      </c>
      <c r="H926" s="1" t="s">
        <v>237</v>
      </c>
      <c r="I926">
        <v>0</v>
      </c>
      <c r="J926">
        <v>76716.448999999993</v>
      </c>
      <c r="K926">
        <v>-5.2999999999999998E-4</v>
      </c>
      <c r="L926">
        <v>4.1599999999999996E-3</v>
      </c>
      <c r="M926">
        <v>0.245</v>
      </c>
      <c r="N926">
        <v>5.3400000000000003E-2</v>
      </c>
      <c r="O926">
        <v>4.4000000000000003E-3</v>
      </c>
      <c r="P926" s="3">
        <f t="shared" si="56"/>
        <v>1303.5008837553501</v>
      </c>
      <c r="Q926" s="3">
        <f t="shared" si="57"/>
        <v>-5.3352218856161926E-4</v>
      </c>
      <c r="R926" s="3">
        <f t="shared" si="58"/>
        <v>4.1599999999999996E-3</v>
      </c>
      <c r="S926">
        <f t="shared" si="59"/>
        <v>19</v>
      </c>
      <c r="T926">
        <f>INDEX([1]IDEN_level_ids!$B:$B,MATCH(G926,[1]IDEN_level_ids!$A:$A,0),1)</f>
        <v>1121</v>
      </c>
      <c r="U926">
        <f>INDEX([1]IDEN_level_ids!$B:$B,MATCH(H926,[1]IDEN_level_ids!$A:$A,0),1)</f>
        <v>773</v>
      </c>
    </row>
    <row r="927" spans="1:21" hidden="1" x14ac:dyDescent="0.25">
      <c r="A927">
        <v>76591.791100000002</v>
      </c>
      <c r="B927">
        <v>1305.6229000000001</v>
      </c>
      <c r="C927">
        <v>6</v>
      </c>
      <c r="D927" t="s">
        <v>358</v>
      </c>
      <c r="F927">
        <v>1969</v>
      </c>
      <c r="G927" s="1" t="s">
        <v>187</v>
      </c>
      <c r="H927" s="1" t="s">
        <v>359</v>
      </c>
      <c r="I927">
        <v>0</v>
      </c>
      <c r="J927">
        <v>76591.887000000002</v>
      </c>
      <c r="K927">
        <v>1.64E-3</v>
      </c>
      <c r="L927">
        <v>4.1799999999999997E-3</v>
      </c>
      <c r="M927">
        <v>0.245</v>
      </c>
      <c r="N927">
        <v>0.1244</v>
      </c>
      <c r="O927">
        <v>4.7699999999999999E-3</v>
      </c>
      <c r="P927" s="3">
        <f t="shared" si="56"/>
        <v>1305.622946843451</v>
      </c>
      <c r="Q927" s="3">
        <f t="shared" si="57"/>
        <v>1.6347585301446088E-3</v>
      </c>
      <c r="R927" s="3">
        <f t="shared" si="58"/>
        <v>4.1799999999999997E-3</v>
      </c>
      <c r="S927">
        <f t="shared" si="59"/>
        <v>19</v>
      </c>
      <c r="T927">
        <f>INDEX([1]IDEN_level_ids!$B:$B,MATCH(G927,[1]IDEN_level_ids!$A:$A,0),1)</f>
        <v>1204</v>
      </c>
      <c r="U927">
        <f>INDEX([1]IDEN_level_ids!$B:$B,MATCH(H927,[1]IDEN_level_ids!$A:$A,0),1)</f>
        <v>900</v>
      </c>
    </row>
    <row r="928" spans="1:21" hidden="1" x14ac:dyDescent="0.25">
      <c r="A928">
        <v>76583.105100000001</v>
      </c>
      <c r="B928">
        <v>1305.771</v>
      </c>
      <c r="C928">
        <v>6</v>
      </c>
      <c r="D928" t="s">
        <v>358</v>
      </c>
      <c r="F928">
        <v>1969</v>
      </c>
      <c r="G928" s="1" t="s">
        <v>273</v>
      </c>
      <c r="H928" s="1" t="s">
        <v>199</v>
      </c>
      <c r="I928">
        <v>0</v>
      </c>
      <c r="J928">
        <v>76583.128700000001</v>
      </c>
      <c r="K928">
        <v>4.0000000000000002E-4</v>
      </c>
      <c r="L928">
        <v>4.1799999999999997E-3</v>
      </c>
      <c r="M928">
        <v>0.245</v>
      </c>
      <c r="N928">
        <v>0.1246</v>
      </c>
      <c r="O928">
        <v>4.7699999999999999E-3</v>
      </c>
      <c r="P928" s="3">
        <f t="shared" si="56"/>
        <v>1305.7710296471121</v>
      </c>
      <c r="Q928" s="3">
        <f t="shared" si="57"/>
        <v>4.0238883980237006E-4</v>
      </c>
      <c r="R928" s="3">
        <f t="shared" si="58"/>
        <v>4.1799999999999997E-3</v>
      </c>
      <c r="S928">
        <f t="shared" si="59"/>
        <v>19</v>
      </c>
      <c r="T928">
        <f>INDEX([1]IDEN_level_ids!$B:$B,MATCH(G928,[1]IDEN_level_ids!$A:$A,0),1)</f>
        <v>1105</v>
      </c>
      <c r="U928">
        <f>INDEX([1]IDEN_level_ids!$B:$B,MATCH(H928,[1]IDEN_level_ids!$A:$A,0),1)</f>
        <v>743</v>
      </c>
    </row>
    <row r="929" spans="1:21" hidden="1" x14ac:dyDescent="0.25">
      <c r="A929">
        <v>76576.008100000006</v>
      </c>
      <c r="B929">
        <v>1305.8920000000001</v>
      </c>
      <c r="C929">
        <v>6</v>
      </c>
      <c r="D929" t="s">
        <v>358</v>
      </c>
      <c r="F929">
        <v>1969</v>
      </c>
      <c r="G929" s="1" t="s">
        <v>250</v>
      </c>
      <c r="H929" s="1" t="s">
        <v>103</v>
      </c>
      <c r="I929">
        <v>0</v>
      </c>
      <c r="J929">
        <v>76576.156799999997</v>
      </c>
      <c r="K929">
        <v>2.5400000000000002E-3</v>
      </c>
      <c r="L929">
        <v>4.1799999999999997E-3</v>
      </c>
      <c r="M929">
        <v>0.245</v>
      </c>
      <c r="N929">
        <v>3.2199999999999999E-2</v>
      </c>
      <c r="O929">
        <v>4.3200000000000001E-3</v>
      </c>
      <c r="P929" s="3">
        <f t="shared" si="56"/>
        <v>1305.8920474074698</v>
      </c>
      <c r="Q929" s="3">
        <f t="shared" si="57"/>
        <v>2.5358565321766946E-3</v>
      </c>
      <c r="R929" s="3">
        <f t="shared" si="58"/>
        <v>4.1799999999999997E-3</v>
      </c>
      <c r="S929">
        <f t="shared" si="59"/>
        <v>19</v>
      </c>
      <c r="T929">
        <f>INDEX([1]IDEN_level_ids!$B:$B,MATCH(G929,[1]IDEN_level_ids!$A:$A,0),1)</f>
        <v>1107</v>
      </c>
      <c r="U929">
        <f>INDEX([1]IDEN_level_ids!$B:$B,MATCH(H929,[1]IDEN_level_ids!$A:$A,0),1)</f>
        <v>745</v>
      </c>
    </row>
    <row r="930" spans="1:21" hidden="1" x14ac:dyDescent="0.25">
      <c r="A930">
        <v>76545.071800000005</v>
      </c>
      <c r="B930">
        <v>1306.4197999999999</v>
      </c>
      <c r="C930">
        <v>6</v>
      </c>
      <c r="D930" t="s">
        <v>358</v>
      </c>
      <c r="F930">
        <v>1969</v>
      </c>
      <c r="G930" s="1" t="s">
        <v>289</v>
      </c>
      <c r="H930" s="1" t="s">
        <v>202</v>
      </c>
      <c r="I930">
        <v>0</v>
      </c>
      <c r="J930">
        <v>76544.868100000007</v>
      </c>
      <c r="K930">
        <v>-3.48E-3</v>
      </c>
      <c r="L930">
        <v>4.1799999999999997E-3</v>
      </c>
      <c r="M930">
        <v>0.245</v>
      </c>
      <c r="N930">
        <v>4.7300000000000002E-2</v>
      </c>
      <c r="O930">
        <v>4.3899999999999998E-3</v>
      </c>
      <c r="P930" s="3">
        <f t="shared" si="56"/>
        <v>1306.4198340721916</v>
      </c>
      <c r="Q930" s="3">
        <f t="shared" si="57"/>
        <v>-3.4766239305099589E-3</v>
      </c>
      <c r="R930" s="3">
        <f t="shared" si="58"/>
        <v>4.1799999999999997E-3</v>
      </c>
      <c r="S930">
        <f t="shared" si="59"/>
        <v>19</v>
      </c>
      <c r="T930">
        <f>INDEX([1]IDEN_level_ids!$B:$B,MATCH(G930,[1]IDEN_level_ids!$A:$A,0),1)</f>
        <v>1122</v>
      </c>
      <c r="U930">
        <f>INDEX([1]IDEN_level_ids!$B:$B,MATCH(H930,[1]IDEN_level_ids!$A:$A,0),1)</f>
        <v>781</v>
      </c>
    </row>
    <row r="931" spans="1:21" hidden="1" x14ac:dyDescent="0.25">
      <c r="A931">
        <v>76438.918300000005</v>
      </c>
      <c r="B931">
        <v>1308.2340999999999</v>
      </c>
      <c r="C931">
        <v>6</v>
      </c>
      <c r="D931" t="s">
        <v>358</v>
      </c>
      <c r="F931">
        <v>1969</v>
      </c>
      <c r="G931" s="1" t="s">
        <v>273</v>
      </c>
      <c r="H931" s="1" t="s">
        <v>103</v>
      </c>
      <c r="I931">
        <v>0</v>
      </c>
      <c r="J931">
        <v>76438.972399999999</v>
      </c>
      <c r="K931">
        <v>9.3000000000000005E-4</v>
      </c>
      <c r="L931">
        <v>4.1900000000000001E-3</v>
      </c>
      <c r="M931">
        <v>0.245</v>
      </c>
      <c r="N931">
        <v>3.2599999999999997E-2</v>
      </c>
      <c r="O931">
        <v>4.3299999999999996E-3</v>
      </c>
      <c r="P931" s="3">
        <f t="shared" si="56"/>
        <v>1308.2341067089642</v>
      </c>
      <c r="Q931" s="3">
        <f t="shared" si="57"/>
        <v>9.2590811914305959E-4</v>
      </c>
      <c r="R931" s="3">
        <f t="shared" si="58"/>
        <v>4.1900000000000001E-3</v>
      </c>
      <c r="S931">
        <f t="shared" si="59"/>
        <v>19</v>
      </c>
      <c r="T931">
        <f>INDEX([1]IDEN_level_ids!$B:$B,MATCH(G931,[1]IDEN_level_ids!$A:$A,0),1)</f>
        <v>1105</v>
      </c>
      <c r="U931">
        <f>INDEX([1]IDEN_level_ids!$B:$B,MATCH(H931,[1]IDEN_level_ids!$A:$A,0),1)</f>
        <v>745</v>
      </c>
    </row>
    <row r="932" spans="1:21" hidden="1" x14ac:dyDescent="0.25">
      <c r="A932">
        <v>76418.891499999998</v>
      </c>
      <c r="B932">
        <v>1308.577</v>
      </c>
      <c r="C932">
        <v>6</v>
      </c>
      <c r="D932" t="s">
        <v>358</v>
      </c>
      <c r="F932">
        <v>1969</v>
      </c>
      <c r="G932" s="1" t="s">
        <v>53</v>
      </c>
      <c r="H932" s="1" t="s">
        <v>360</v>
      </c>
      <c r="I932">
        <v>0</v>
      </c>
      <c r="J932">
        <v>76418.762799999997</v>
      </c>
      <c r="K932">
        <v>-2.2000000000000001E-3</v>
      </c>
      <c r="L932">
        <v>4.1999999999999997E-3</v>
      </c>
      <c r="M932">
        <v>0.245</v>
      </c>
      <c r="N932">
        <v>8.3699999999999997E-2</v>
      </c>
      <c r="O932">
        <v>4.5799999999999999E-3</v>
      </c>
      <c r="P932" s="3">
        <f t="shared" si="56"/>
        <v>1308.5769505044443</v>
      </c>
      <c r="Q932" s="3">
        <f t="shared" si="57"/>
        <v>-2.2038285803773761E-3</v>
      </c>
      <c r="R932" s="3">
        <f t="shared" si="58"/>
        <v>4.1999999999999997E-3</v>
      </c>
      <c r="S932">
        <f t="shared" si="59"/>
        <v>19</v>
      </c>
      <c r="T932">
        <f>INDEX([1]IDEN_level_ids!$B:$B,MATCH(G932,[1]IDEN_level_ids!$A:$A,0),1)</f>
        <v>1231</v>
      </c>
      <c r="U932">
        <f>INDEX([1]IDEN_level_ids!$B:$B,MATCH(H932,[1]IDEN_level_ids!$A:$A,0),1)</f>
        <v>911</v>
      </c>
    </row>
    <row r="933" spans="1:21" hidden="1" x14ac:dyDescent="0.25">
      <c r="A933">
        <v>76335.814599999998</v>
      </c>
      <c r="B933">
        <v>1310.0011</v>
      </c>
      <c r="C933">
        <v>6</v>
      </c>
      <c r="D933" t="s">
        <v>358</v>
      </c>
      <c r="F933">
        <v>1969</v>
      </c>
      <c r="G933" s="1" t="s">
        <v>297</v>
      </c>
      <c r="H933" s="1" t="s">
        <v>167</v>
      </c>
      <c r="I933">
        <v>0</v>
      </c>
      <c r="J933">
        <v>76335.611300000004</v>
      </c>
      <c r="K933">
        <v>-3.49E-3</v>
      </c>
      <c r="L933">
        <v>4.1999999999999997E-3</v>
      </c>
      <c r="M933">
        <v>0.245</v>
      </c>
      <c r="N933">
        <v>0.1731</v>
      </c>
      <c r="O933">
        <v>5.0800000000000003E-3</v>
      </c>
      <c r="P933" s="3">
        <f t="shared" si="56"/>
        <v>1310.0010856502997</v>
      </c>
      <c r="Q933" s="3">
        <f t="shared" si="57"/>
        <v>-3.4888463742390741E-3</v>
      </c>
      <c r="R933" s="3">
        <f t="shared" si="58"/>
        <v>4.1999999999999997E-3</v>
      </c>
      <c r="S933">
        <f t="shared" si="59"/>
        <v>19</v>
      </c>
      <c r="T933">
        <f>INDEX([1]IDEN_level_ids!$B:$B,MATCH(G933,[1]IDEN_level_ids!$A:$A,0),1)</f>
        <v>1099</v>
      </c>
      <c r="U933">
        <f>INDEX([1]IDEN_level_ids!$B:$B,MATCH(H933,[1]IDEN_level_ids!$A:$A,0),1)</f>
        <v>628</v>
      </c>
    </row>
    <row r="934" spans="1:21" hidden="1" x14ac:dyDescent="0.25">
      <c r="A934">
        <v>76317.994500000001</v>
      </c>
      <c r="B934">
        <v>1310.307</v>
      </c>
      <c r="C934">
        <v>6</v>
      </c>
      <c r="D934" t="s">
        <v>358</v>
      </c>
      <c r="F934">
        <v>1969</v>
      </c>
      <c r="G934" s="1" t="s">
        <v>275</v>
      </c>
      <c r="H934" s="1" t="s">
        <v>165</v>
      </c>
      <c r="I934">
        <v>0</v>
      </c>
      <c r="J934">
        <v>76317.979200000002</v>
      </c>
      <c r="K934">
        <v>-2.5999999999999998E-4</v>
      </c>
      <c r="L934">
        <v>4.2100000000000002E-3</v>
      </c>
      <c r="M934">
        <v>0.245</v>
      </c>
      <c r="N934">
        <v>3.4099999999999998E-2</v>
      </c>
      <c r="O934">
        <v>4.3499999999999997E-3</v>
      </c>
      <c r="P934" s="3">
        <f t="shared" si="56"/>
        <v>1310.3069682995929</v>
      </c>
      <c r="Q934" s="3">
        <f t="shared" si="57"/>
        <v>-2.6268641840943019E-4</v>
      </c>
      <c r="R934" s="3">
        <f t="shared" si="58"/>
        <v>4.2100000000000002E-3</v>
      </c>
      <c r="S934">
        <f t="shared" si="59"/>
        <v>19</v>
      </c>
      <c r="T934">
        <f>INDEX([1]IDEN_level_ids!$B:$B,MATCH(G934,[1]IDEN_level_ids!$A:$A,0),1)</f>
        <v>1134</v>
      </c>
      <c r="U934">
        <f>INDEX([1]IDEN_level_ids!$B:$B,MATCH(H934,[1]IDEN_level_ids!$A:$A,0),1)</f>
        <v>802</v>
      </c>
    </row>
    <row r="935" spans="1:21" hidden="1" x14ac:dyDescent="0.25">
      <c r="A935">
        <v>76279.284899999999</v>
      </c>
      <c r="B935">
        <v>1310.9719</v>
      </c>
      <c r="C935">
        <v>6</v>
      </c>
      <c r="D935" t="s">
        <v>358</v>
      </c>
      <c r="E935" t="s">
        <v>45</v>
      </c>
      <c r="F935">
        <v>1969</v>
      </c>
      <c r="G935" s="1" t="s">
        <v>289</v>
      </c>
      <c r="H935" s="1" t="s">
        <v>249</v>
      </c>
      <c r="I935">
        <v>0</v>
      </c>
      <c r="J935">
        <v>76279.766600000003</v>
      </c>
      <c r="K935">
        <v>8.2799999999999992E-3</v>
      </c>
      <c r="L935">
        <v>8.2799999999999992E-3</v>
      </c>
      <c r="M935">
        <v>0.48199999999999998</v>
      </c>
      <c r="N935">
        <v>8.0000000000000002E-3</v>
      </c>
      <c r="O935">
        <v>8.3499999999999998E-3</v>
      </c>
      <c r="P935" s="3">
        <f t="shared" si="56"/>
        <v>1310.9719123756495</v>
      </c>
      <c r="Q935" s="3">
        <f t="shared" si="57"/>
        <v>8.2786720299736771E-3</v>
      </c>
      <c r="R935" s="3">
        <f t="shared" si="58"/>
        <v>8.2799999999999992E-3</v>
      </c>
      <c r="S935">
        <f t="shared" si="59"/>
        <v>19</v>
      </c>
      <c r="T935">
        <f>INDEX([1]IDEN_level_ids!$B:$B,MATCH(G935,[1]IDEN_level_ids!$A:$A,0),1)</f>
        <v>1122</v>
      </c>
      <c r="U935">
        <f>INDEX([1]IDEN_level_ids!$B:$B,MATCH(H935,[1]IDEN_level_ids!$A:$A,0),1)</f>
        <v>784</v>
      </c>
    </row>
    <row r="936" spans="1:21" hidden="1" x14ac:dyDescent="0.25">
      <c r="A936">
        <v>76199.998200000002</v>
      </c>
      <c r="B936">
        <v>1312.336</v>
      </c>
      <c r="C936">
        <v>6</v>
      </c>
      <c r="D936" t="s">
        <v>358</v>
      </c>
      <c r="F936">
        <v>1969</v>
      </c>
      <c r="G936" s="1" t="s">
        <v>250</v>
      </c>
      <c r="H936" s="1" t="s">
        <v>122</v>
      </c>
      <c r="I936">
        <v>0</v>
      </c>
      <c r="J936">
        <v>76200.128400000001</v>
      </c>
      <c r="K936">
        <v>2.2399999999999998E-3</v>
      </c>
      <c r="L936">
        <v>4.2199999999999998E-3</v>
      </c>
      <c r="M936">
        <v>0.245</v>
      </c>
      <c r="N936">
        <v>2.8899999999999999E-2</v>
      </c>
      <c r="O936">
        <v>4.3400000000000001E-3</v>
      </c>
      <c r="P936" s="3">
        <f t="shared" si="56"/>
        <v>1312.3359890053121</v>
      </c>
      <c r="Q936" s="3">
        <f t="shared" si="57"/>
        <v>2.2423340926707169E-3</v>
      </c>
      <c r="R936" s="3">
        <f t="shared" si="58"/>
        <v>4.2199999999999998E-3</v>
      </c>
      <c r="S936">
        <f t="shared" si="59"/>
        <v>19</v>
      </c>
      <c r="T936">
        <f>INDEX([1]IDEN_level_ids!$B:$B,MATCH(G936,[1]IDEN_level_ids!$A:$A,0),1)</f>
        <v>1107</v>
      </c>
      <c r="U936">
        <f>INDEX([1]IDEN_level_ids!$B:$B,MATCH(H936,[1]IDEN_level_ids!$A:$A,0),1)</f>
        <v>750</v>
      </c>
    </row>
    <row r="937" spans="1:21" hidden="1" x14ac:dyDescent="0.25">
      <c r="A937">
        <v>76130.276100000003</v>
      </c>
      <c r="B937">
        <v>1313.5379</v>
      </c>
      <c r="C937">
        <v>6</v>
      </c>
      <c r="D937" t="s">
        <v>358</v>
      </c>
      <c r="F937">
        <v>1969</v>
      </c>
      <c r="G937" s="1" t="s">
        <v>361</v>
      </c>
      <c r="H937" s="1" t="s">
        <v>303</v>
      </c>
      <c r="I937">
        <v>0</v>
      </c>
      <c r="J937">
        <v>76130.683199999999</v>
      </c>
      <c r="K937">
        <v>7.0299999999999998E-3</v>
      </c>
      <c r="L937">
        <v>4.2300000000000003E-3</v>
      </c>
      <c r="M937">
        <v>0.245</v>
      </c>
      <c r="N937">
        <v>7.0300000000000001E-2</v>
      </c>
      <c r="O937">
        <v>4.5500000000000002E-3</v>
      </c>
      <c r="P937" s="3">
        <f t="shared" si="56"/>
        <v>1313.5378606619818</v>
      </c>
      <c r="Q937" s="3">
        <f t="shared" si="57"/>
        <v>7.023991386859052E-3</v>
      </c>
      <c r="R937" s="3">
        <f t="shared" si="58"/>
        <v>4.2300000000000003E-3</v>
      </c>
      <c r="S937">
        <f t="shared" si="59"/>
        <v>19</v>
      </c>
      <c r="T937">
        <f>INDEX([1]IDEN_level_ids!$B:$B,MATCH(G937,[1]IDEN_level_ids!$A:$A,0),1)</f>
        <v>1133</v>
      </c>
      <c r="U937">
        <f>INDEX([1]IDEN_level_ids!$B:$B,MATCH(H937,[1]IDEN_level_ids!$A:$A,0),1)</f>
        <v>805</v>
      </c>
    </row>
    <row r="938" spans="1:21" hidden="1" x14ac:dyDescent="0.25">
      <c r="A938">
        <v>76127.713399999993</v>
      </c>
      <c r="B938">
        <v>1313.5821000000001</v>
      </c>
      <c r="C938">
        <v>6</v>
      </c>
      <c r="D938" t="s">
        <v>358</v>
      </c>
      <c r="F938">
        <v>1969</v>
      </c>
      <c r="G938" s="1" t="s">
        <v>138</v>
      </c>
      <c r="H938" s="1" t="s">
        <v>189</v>
      </c>
      <c r="I938">
        <v>0</v>
      </c>
      <c r="J938">
        <v>76127.6348</v>
      </c>
      <c r="K938">
        <v>-1.3600000000000001E-3</v>
      </c>
      <c r="L938">
        <v>4.2300000000000003E-3</v>
      </c>
      <c r="M938">
        <v>0.245</v>
      </c>
      <c r="N938">
        <v>2.8299999999999999E-2</v>
      </c>
      <c r="O938">
        <v>4.3499999999999997E-3</v>
      </c>
      <c r="P938" s="3">
        <f t="shared" si="56"/>
        <v>1313.5820785075623</v>
      </c>
      <c r="Q938" s="3">
        <f t="shared" si="57"/>
        <v>-1.3562427316173853E-3</v>
      </c>
      <c r="R938" s="3">
        <f t="shared" si="58"/>
        <v>4.2300000000000003E-3</v>
      </c>
      <c r="S938">
        <f t="shared" si="59"/>
        <v>19</v>
      </c>
      <c r="T938">
        <f>INDEX([1]IDEN_level_ids!$B:$B,MATCH(G938,[1]IDEN_level_ids!$A:$A,0),1)</f>
        <v>1126</v>
      </c>
      <c r="U938">
        <f>INDEX([1]IDEN_level_ids!$B:$B,MATCH(H938,[1]IDEN_level_ids!$A:$A,0),1)</f>
        <v>789</v>
      </c>
    </row>
    <row r="939" spans="1:21" hidden="1" x14ac:dyDescent="0.25">
      <c r="A939">
        <v>76095.618600000002</v>
      </c>
      <c r="B939">
        <v>1314.1360999999999</v>
      </c>
      <c r="C939">
        <v>6</v>
      </c>
      <c r="D939" t="s">
        <v>358</v>
      </c>
      <c r="F939">
        <v>1969</v>
      </c>
      <c r="G939" s="1" t="s">
        <v>262</v>
      </c>
      <c r="H939" s="1" t="s">
        <v>150</v>
      </c>
      <c r="I939">
        <v>0</v>
      </c>
      <c r="J939">
        <v>76095.536600000007</v>
      </c>
      <c r="K939">
        <v>-1.42E-3</v>
      </c>
      <c r="L939">
        <v>4.2300000000000003E-3</v>
      </c>
      <c r="M939">
        <v>0.245</v>
      </c>
      <c r="N939">
        <v>2.5499999999999998E-2</v>
      </c>
      <c r="O939">
        <v>4.3400000000000001E-3</v>
      </c>
      <c r="P939" s="3">
        <f t="shared" si="56"/>
        <v>1314.1361071739811</v>
      </c>
      <c r="Q939" s="3">
        <f t="shared" si="57"/>
        <v>-1.4161035667257238E-3</v>
      </c>
      <c r="R939" s="3">
        <f t="shared" si="58"/>
        <v>4.2300000000000003E-3</v>
      </c>
      <c r="S939">
        <f t="shared" si="59"/>
        <v>19</v>
      </c>
      <c r="T939">
        <f>INDEX([1]IDEN_level_ids!$B:$B,MATCH(G939,[1]IDEN_level_ids!$A:$A,0),1)</f>
        <v>1115</v>
      </c>
      <c r="U939">
        <f>INDEX([1]IDEN_level_ids!$B:$B,MATCH(H939,[1]IDEN_level_ids!$A:$A,0),1)</f>
        <v>769</v>
      </c>
    </row>
    <row r="940" spans="1:21" hidden="1" x14ac:dyDescent="0.25">
      <c r="A940">
        <v>76070.321400000001</v>
      </c>
      <c r="B940">
        <v>1314.5731000000001</v>
      </c>
      <c r="C940">
        <v>6</v>
      </c>
      <c r="D940" t="s">
        <v>358</v>
      </c>
      <c r="F940">
        <v>1969</v>
      </c>
      <c r="G940" s="1" t="s">
        <v>41</v>
      </c>
      <c r="H940" s="1" t="s">
        <v>357</v>
      </c>
      <c r="I940">
        <v>0</v>
      </c>
      <c r="J940">
        <v>76070.4283</v>
      </c>
      <c r="K940">
        <v>1.8500000000000001E-3</v>
      </c>
      <c r="L940">
        <v>4.2300000000000003E-3</v>
      </c>
      <c r="M940">
        <v>0.245</v>
      </c>
      <c r="N940">
        <v>9.0300000000000005E-2</v>
      </c>
      <c r="O940">
        <v>4.6499999999999996E-3</v>
      </c>
      <c r="P940" s="3">
        <f t="shared" si="56"/>
        <v>1314.5731233889594</v>
      </c>
      <c r="Q940" s="3">
        <f t="shared" si="57"/>
        <v>1.8473389729933842E-3</v>
      </c>
      <c r="R940" s="3">
        <f t="shared" si="58"/>
        <v>4.2300000000000003E-3</v>
      </c>
      <c r="S940">
        <f t="shared" si="59"/>
        <v>19</v>
      </c>
      <c r="T940">
        <f>INDEX([1]IDEN_level_ids!$B:$B,MATCH(G940,[1]IDEN_level_ids!$A:$A,0),1)</f>
        <v>1238</v>
      </c>
      <c r="U940">
        <f>INDEX([1]IDEN_level_ids!$B:$B,MATCH(H940,[1]IDEN_level_ids!$A:$A,0),1)</f>
        <v>916</v>
      </c>
    </row>
    <row r="941" spans="1:21" hidden="1" x14ac:dyDescent="0.25">
      <c r="A941">
        <v>76011.182499999995</v>
      </c>
      <c r="B941">
        <v>1315.5959</v>
      </c>
      <c r="C941">
        <v>6</v>
      </c>
      <c r="D941" t="s">
        <v>358</v>
      </c>
      <c r="F941">
        <v>1969</v>
      </c>
      <c r="G941" s="1" t="s">
        <v>134</v>
      </c>
      <c r="H941" s="1" t="s">
        <v>150</v>
      </c>
      <c r="I941">
        <v>0</v>
      </c>
      <c r="J941">
        <v>76011.346600000004</v>
      </c>
      <c r="K941">
        <v>2.8400000000000001E-3</v>
      </c>
      <c r="L941">
        <v>4.2399999999999998E-3</v>
      </c>
      <c r="M941">
        <v>0.245</v>
      </c>
      <c r="N941">
        <v>2.7199999999999998E-2</v>
      </c>
      <c r="O941">
        <v>4.3600000000000002E-3</v>
      </c>
      <c r="P941" s="3">
        <f t="shared" si="56"/>
        <v>1315.5958993270497</v>
      </c>
      <c r="Q941" s="3">
        <f t="shared" si="57"/>
        <v>2.8402244761309703E-3</v>
      </c>
      <c r="R941" s="3">
        <f t="shared" si="58"/>
        <v>4.2399999999999998E-3</v>
      </c>
      <c r="S941">
        <f t="shared" si="59"/>
        <v>19</v>
      </c>
      <c r="T941">
        <f>INDEX([1]IDEN_level_ids!$B:$B,MATCH(G941,[1]IDEN_level_ids!$A:$A,0),1)</f>
        <v>1114</v>
      </c>
      <c r="U941">
        <f>INDEX([1]IDEN_level_ids!$B:$B,MATCH(H941,[1]IDEN_level_ids!$A:$A,0),1)</f>
        <v>769</v>
      </c>
    </row>
    <row r="942" spans="1:21" hidden="1" x14ac:dyDescent="0.25">
      <c r="A942">
        <v>75972.600900000005</v>
      </c>
      <c r="B942">
        <v>1316.2639999999999</v>
      </c>
      <c r="C942">
        <v>6</v>
      </c>
      <c r="D942" t="s">
        <v>358</v>
      </c>
      <c r="F942">
        <v>1969</v>
      </c>
      <c r="G942" s="1" t="s">
        <v>203</v>
      </c>
      <c r="H942" s="1" t="s">
        <v>179</v>
      </c>
      <c r="I942">
        <v>0</v>
      </c>
      <c r="J942">
        <v>75972.582399999999</v>
      </c>
      <c r="K942">
        <v>-3.2000000000000003E-4</v>
      </c>
      <c r="L942">
        <v>4.2399999999999998E-3</v>
      </c>
      <c r="M942">
        <v>0.245</v>
      </c>
      <c r="N942">
        <v>2.93E-2</v>
      </c>
      <c r="O942">
        <v>4.3699999999999998E-3</v>
      </c>
      <c r="P942" s="3">
        <f t="shared" si="56"/>
        <v>1316.2640059095304</v>
      </c>
      <c r="Q942" s="3">
        <f t="shared" si="57"/>
        <v>-3.2052200072030246E-4</v>
      </c>
      <c r="R942" s="3">
        <f t="shared" si="58"/>
        <v>4.2399999999999998E-3</v>
      </c>
      <c r="S942">
        <f t="shared" si="59"/>
        <v>19</v>
      </c>
      <c r="T942">
        <f>INDEX([1]IDEN_level_ids!$B:$B,MATCH(G942,[1]IDEN_level_ids!$A:$A,0),1)</f>
        <v>1127</v>
      </c>
      <c r="U942">
        <f>INDEX([1]IDEN_level_ids!$B:$B,MATCH(H942,[1]IDEN_level_ids!$A:$A,0),1)</f>
        <v>791</v>
      </c>
    </row>
    <row r="943" spans="1:21" hidden="1" x14ac:dyDescent="0.25">
      <c r="A943">
        <v>75946.361300000004</v>
      </c>
      <c r="B943">
        <v>1316.7188000000001</v>
      </c>
      <c r="C943">
        <v>6</v>
      </c>
      <c r="D943" t="s">
        <v>358</v>
      </c>
      <c r="F943">
        <v>1969</v>
      </c>
      <c r="G943" s="1" t="s">
        <v>272</v>
      </c>
      <c r="H943" s="1" t="s">
        <v>162</v>
      </c>
      <c r="I943">
        <v>0</v>
      </c>
      <c r="J943">
        <v>75946.266000000003</v>
      </c>
      <c r="K943">
        <v>-1.65E-3</v>
      </c>
      <c r="L943">
        <v>4.2500000000000003E-3</v>
      </c>
      <c r="M943">
        <v>0.245</v>
      </c>
      <c r="N943">
        <v>2.6800000000000001E-2</v>
      </c>
      <c r="O943">
        <v>4.3600000000000002E-3</v>
      </c>
      <c r="P943" s="3">
        <f t="shared" si="56"/>
        <v>1316.7187774142906</v>
      </c>
      <c r="Q943" s="3">
        <f t="shared" si="57"/>
        <v>-1.6522642401923804E-3</v>
      </c>
      <c r="R943" s="3">
        <f t="shared" si="58"/>
        <v>4.2500000000000003E-3</v>
      </c>
      <c r="S943">
        <f t="shared" si="59"/>
        <v>19</v>
      </c>
      <c r="T943">
        <f>INDEX([1]IDEN_level_ids!$B:$B,MATCH(G943,[1]IDEN_level_ids!$A:$A,0),1)</f>
        <v>1109</v>
      </c>
      <c r="U943">
        <f>INDEX([1]IDEN_level_ids!$B:$B,MATCH(H943,[1]IDEN_level_ids!$A:$A,0),1)</f>
        <v>754</v>
      </c>
    </row>
    <row r="944" spans="1:21" hidden="1" x14ac:dyDescent="0.25">
      <c r="A944">
        <v>75769.289099999995</v>
      </c>
      <c r="B944">
        <v>1319.7959000000001</v>
      </c>
      <c r="C944">
        <v>6</v>
      </c>
      <c r="D944" t="s">
        <v>358</v>
      </c>
      <c r="F944">
        <v>1969</v>
      </c>
      <c r="G944" s="1" t="s">
        <v>22</v>
      </c>
      <c r="H944" s="1" t="s">
        <v>357</v>
      </c>
      <c r="I944">
        <v>0</v>
      </c>
      <c r="J944">
        <v>75769.224400000006</v>
      </c>
      <c r="K944">
        <v>-1.1299999999999999E-3</v>
      </c>
      <c r="L944">
        <v>4.2700000000000004E-3</v>
      </c>
      <c r="M944">
        <v>0.245</v>
      </c>
      <c r="N944">
        <v>8.9499999999999996E-2</v>
      </c>
      <c r="O944">
        <v>4.6899999999999997E-3</v>
      </c>
      <c r="P944" s="3">
        <f t="shared" si="56"/>
        <v>1319.7959382728327</v>
      </c>
      <c r="Q944" s="3">
        <f t="shared" si="57"/>
        <v>-1.1269852352597809E-3</v>
      </c>
      <c r="R944" s="3">
        <f t="shared" si="58"/>
        <v>4.2700000000000004E-3</v>
      </c>
      <c r="S944">
        <f t="shared" si="59"/>
        <v>19</v>
      </c>
      <c r="T944">
        <f>INDEX([1]IDEN_level_ids!$B:$B,MATCH(G944,[1]IDEN_level_ids!$A:$A,0),1)</f>
        <v>1236</v>
      </c>
      <c r="U944">
        <f>INDEX([1]IDEN_level_ids!$B:$B,MATCH(H944,[1]IDEN_level_ids!$A:$A,0),1)</f>
        <v>916</v>
      </c>
    </row>
    <row r="945" spans="1:21" hidden="1" x14ac:dyDescent="0.25">
      <c r="A945">
        <v>75766.522599999997</v>
      </c>
      <c r="B945">
        <v>1319.8441</v>
      </c>
      <c r="C945">
        <v>6</v>
      </c>
      <c r="D945" t="s">
        <v>358</v>
      </c>
      <c r="F945">
        <v>1969</v>
      </c>
      <c r="G945" s="1" t="s">
        <v>250</v>
      </c>
      <c r="H945" s="1" t="s">
        <v>127</v>
      </c>
      <c r="I945">
        <v>0</v>
      </c>
      <c r="J945">
        <v>75766.600900000005</v>
      </c>
      <c r="K945">
        <v>1.3600000000000001E-3</v>
      </c>
      <c r="L945">
        <v>4.2700000000000004E-3</v>
      </c>
      <c r="M945">
        <v>0.245</v>
      </c>
      <c r="N945">
        <v>3.5099999999999999E-2</v>
      </c>
      <c r="O945">
        <v>4.4200000000000003E-3</v>
      </c>
      <c r="P945" s="3">
        <f t="shared" si="56"/>
        <v>1319.8441286257475</v>
      </c>
      <c r="Q945" s="3">
        <f t="shared" si="57"/>
        <v>1.3639756048178242E-3</v>
      </c>
      <c r="R945" s="3">
        <f t="shared" si="58"/>
        <v>4.2700000000000004E-3</v>
      </c>
      <c r="S945">
        <f t="shared" si="59"/>
        <v>19</v>
      </c>
      <c r="T945">
        <f>INDEX([1]IDEN_level_ids!$B:$B,MATCH(G945,[1]IDEN_level_ids!$A:$A,0),1)</f>
        <v>1107</v>
      </c>
      <c r="U945">
        <f>INDEX([1]IDEN_level_ids!$B:$B,MATCH(H945,[1]IDEN_level_ids!$A:$A,0),1)</f>
        <v>760</v>
      </c>
    </row>
    <row r="946" spans="1:21" hidden="1" x14ac:dyDescent="0.25">
      <c r="A946">
        <v>75670.430200000003</v>
      </c>
      <c r="B946">
        <v>1321.5201999999999</v>
      </c>
      <c r="C946">
        <v>6</v>
      </c>
      <c r="D946" t="s">
        <v>358</v>
      </c>
      <c r="F946">
        <v>1969</v>
      </c>
      <c r="G946" s="1" t="s">
        <v>250</v>
      </c>
      <c r="H946" s="1" t="s">
        <v>130</v>
      </c>
      <c r="I946">
        <v>0</v>
      </c>
      <c r="J946">
        <v>75670.140599999999</v>
      </c>
      <c r="K946">
        <v>-5.0600000000000003E-3</v>
      </c>
      <c r="L946">
        <v>4.28E-3</v>
      </c>
      <c r="M946">
        <v>0.245</v>
      </c>
      <c r="N946">
        <v>4.3499999999999997E-2</v>
      </c>
      <c r="O946">
        <v>4.47E-3</v>
      </c>
      <c r="P946" s="3">
        <f t="shared" si="56"/>
        <v>1321.5201728825377</v>
      </c>
      <c r="Q946" s="3">
        <f t="shared" si="57"/>
        <v>-5.0576388391618821E-3</v>
      </c>
      <c r="R946" s="3">
        <f t="shared" si="58"/>
        <v>4.28E-3</v>
      </c>
      <c r="S946">
        <f t="shared" si="59"/>
        <v>19</v>
      </c>
      <c r="T946">
        <f>INDEX([1]IDEN_level_ids!$B:$B,MATCH(G946,[1]IDEN_level_ids!$A:$A,0),1)</f>
        <v>1107</v>
      </c>
      <c r="U946">
        <f>INDEX([1]IDEN_level_ids!$B:$B,MATCH(H946,[1]IDEN_level_ids!$A:$A,0),1)</f>
        <v>761</v>
      </c>
    </row>
    <row r="947" spans="1:21" hidden="1" x14ac:dyDescent="0.25">
      <c r="A947">
        <v>75621.443100000004</v>
      </c>
      <c r="B947">
        <v>1322.3761999999999</v>
      </c>
      <c r="C947">
        <v>6</v>
      </c>
      <c r="D947" t="s">
        <v>358</v>
      </c>
      <c r="F947">
        <v>1969</v>
      </c>
      <c r="G947" s="1" t="s">
        <v>362</v>
      </c>
      <c r="H947" s="1" t="s">
        <v>347</v>
      </c>
      <c r="I947">
        <v>0</v>
      </c>
      <c r="J947">
        <v>75621.362599999993</v>
      </c>
      <c r="K947">
        <v>-1.41E-3</v>
      </c>
      <c r="L947">
        <v>4.28E-3</v>
      </c>
      <c r="M947">
        <v>0.245</v>
      </c>
      <c r="N947">
        <v>3.1600000000000003E-2</v>
      </c>
      <c r="O947">
        <v>4.4200000000000003E-3</v>
      </c>
      <c r="P947" s="3">
        <f t="shared" si="56"/>
        <v>1322.3762454223779</v>
      </c>
      <c r="Q947" s="3">
        <f t="shared" si="57"/>
        <v>-1.4076880411266757E-3</v>
      </c>
      <c r="R947" s="3">
        <f t="shared" si="58"/>
        <v>4.28E-3</v>
      </c>
      <c r="S947">
        <f t="shared" si="59"/>
        <v>19</v>
      </c>
      <c r="T947">
        <f>INDEX([1]IDEN_level_ids!$B:$B,MATCH(G947,[1]IDEN_level_ids!$A:$A,0),1)</f>
        <v>1147</v>
      </c>
      <c r="U947">
        <f>INDEX([1]IDEN_level_ids!$B:$B,MATCH(H947,[1]IDEN_level_ids!$A:$A,0),1)</f>
        <v>851</v>
      </c>
    </row>
    <row r="948" spans="1:21" hidden="1" x14ac:dyDescent="0.25">
      <c r="A948">
        <v>75289.476699999999</v>
      </c>
      <c r="B948">
        <v>1328.2068999999999</v>
      </c>
      <c r="C948">
        <v>6</v>
      </c>
      <c r="D948" t="s">
        <v>363</v>
      </c>
      <c r="F948">
        <v>1969</v>
      </c>
      <c r="G948" s="1" t="s">
        <v>297</v>
      </c>
      <c r="H948" s="1" t="s">
        <v>195</v>
      </c>
      <c r="I948">
        <v>0</v>
      </c>
      <c r="J948">
        <v>75289.318400000004</v>
      </c>
      <c r="K948">
        <v>-2.7899999999999999E-3</v>
      </c>
      <c r="L948">
        <v>4.3200000000000001E-3</v>
      </c>
      <c r="M948">
        <v>0.245</v>
      </c>
      <c r="N948">
        <v>0.21240000000000001</v>
      </c>
      <c r="O948">
        <v>5.4900000000000001E-3</v>
      </c>
      <c r="P948" s="3">
        <f t="shared" si="56"/>
        <v>1328.206867454559</v>
      </c>
      <c r="Q948" s="3">
        <f t="shared" si="57"/>
        <v>-2.7926291747917276E-3</v>
      </c>
      <c r="R948" s="3">
        <f t="shared" si="58"/>
        <v>4.3200000000000001E-3</v>
      </c>
      <c r="S948">
        <f t="shared" si="59"/>
        <v>20</v>
      </c>
      <c r="T948">
        <f>INDEX([1]IDEN_level_ids!$B:$B,MATCH(G948,[1]IDEN_level_ids!$A:$A,0),1)</f>
        <v>1099</v>
      </c>
      <c r="U948">
        <f>INDEX([1]IDEN_level_ids!$B:$B,MATCH(H948,[1]IDEN_level_ids!$A:$A,0),1)</f>
        <v>646</v>
      </c>
    </row>
    <row r="949" spans="1:21" hidden="1" x14ac:dyDescent="0.25">
      <c r="A949">
        <v>75275.587799999994</v>
      </c>
      <c r="B949">
        <v>1328.4519</v>
      </c>
      <c r="C949">
        <v>6</v>
      </c>
      <c r="D949" t="s">
        <v>363</v>
      </c>
      <c r="F949">
        <v>1969</v>
      </c>
      <c r="G949" s="1" t="s">
        <v>94</v>
      </c>
      <c r="H949" s="1" t="s">
        <v>338</v>
      </c>
      <c r="I949">
        <v>0</v>
      </c>
      <c r="J949">
        <v>75275.325299999997</v>
      </c>
      <c r="K949">
        <v>-4.6299999999999996E-3</v>
      </c>
      <c r="L949">
        <v>4.3200000000000001E-3</v>
      </c>
      <c r="M949">
        <v>0.245</v>
      </c>
      <c r="N949">
        <v>4.7500000000000001E-2</v>
      </c>
      <c r="O949">
        <v>4.5399999999999998E-3</v>
      </c>
      <c r="P949" s="3">
        <f t="shared" si="56"/>
        <v>1328.4519313976052</v>
      </c>
      <c r="Q949" s="3">
        <f t="shared" si="57"/>
        <v>-4.6325755563429993E-3</v>
      </c>
      <c r="R949" s="3">
        <f t="shared" si="58"/>
        <v>4.3200000000000001E-3</v>
      </c>
      <c r="S949">
        <f t="shared" si="59"/>
        <v>20</v>
      </c>
      <c r="T949">
        <f>INDEX([1]IDEN_level_ids!$B:$B,MATCH(G949,[1]IDEN_level_ids!$A:$A,0),1)</f>
        <v>1207</v>
      </c>
      <c r="U949">
        <f>INDEX([1]IDEN_level_ids!$B:$B,MATCH(H949,[1]IDEN_level_ids!$A:$A,0),1)</f>
        <v>904</v>
      </c>
    </row>
    <row r="950" spans="1:21" hidden="1" x14ac:dyDescent="0.25">
      <c r="A950">
        <v>75132.320300000007</v>
      </c>
      <c r="B950">
        <v>1330.9851000000001</v>
      </c>
      <c r="C950">
        <v>6</v>
      </c>
      <c r="D950" t="s">
        <v>363</v>
      </c>
      <c r="F950">
        <v>1969</v>
      </c>
      <c r="G950" s="1" t="s">
        <v>262</v>
      </c>
      <c r="H950" s="1" t="s">
        <v>171</v>
      </c>
      <c r="I950">
        <v>0</v>
      </c>
      <c r="J950">
        <v>75132.274099999995</v>
      </c>
      <c r="K950">
        <v>-8.1999999999999998E-4</v>
      </c>
      <c r="L950">
        <v>4.3400000000000001E-3</v>
      </c>
      <c r="M950">
        <v>0.245</v>
      </c>
      <c r="N950">
        <v>0.1027</v>
      </c>
      <c r="O950">
        <v>4.8399999999999997E-3</v>
      </c>
      <c r="P950" s="3">
        <f t="shared" si="56"/>
        <v>1330.9851153365748</v>
      </c>
      <c r="Q950" s="3">
        <f t="shared" si="57"/>
        <v>-8.1844337978509429E-4</v>
      </c>
      <c r="R950" s="3">
        <f t="shared" si="58"/>
        <v>4.3400000000000001E-3</v>
      </c>
      <c r="S950">
        <f t="shared" si="59"/>
        <v>20</v>
      </c>
      <c r="T950">
        <f>INDEX([1]IDEN_level_ids!$B:$B,MATCH(G950,[1]IDEN_level_ids!$A:$A,0),1)</f>
        <v>1115</v>
      </c>
      <c r="U950">
        <f>INDEX([1]IDEN_level_ids!$B:$B,MATCH(H950,[1]IDEN_level_ids!$A:$A,0),1)</f>
        <v>774</v>
      </c>
    </row>
    <row r="951" spans="1:21" hidden="1" x14ac:dyDescent="0.25">
      <c r="A951">
        <v>75103.823600000003</v>
      </c>
      <c r="B951">
        <v>1331.4901</v>
      </c>
      <c r="C951">
        <v>6</v>
      </c>
      <c r="D951" t="s">
        <v>363</v>
      </c>
      <c r="F951">
        <v>1969</v>
      </c>
      <c r="G951" s="1" t="s">
        <v>55</v>
      </c>
      <c r="H951" s="1" t="s">
        <v>357</v>
      </c>
      <c r="I951">
        <v>0</v>
      </c>
      <c r="J951">
        <v>75103.723199999993</v>
      </c>
      <c r="K951">
        <v>-1.7799999999999999E-3</v>
      </c>
      <c r="L951">
        <v>4.3400000000000001E-3</v>
      </c>
      <c r="M951">
        <v>0.245</v>
      </c>
      <c r="N951">
        <v>8.9300000000000004E-2</v>
      </c>
      <c r="O951">
        <v>4.7699999999999999E-3</v>
      </c>
      <c r="P951" s="3">
        <f t="shared" si="56"/>
        <v>1331.490132015063</v>
      </c>
      <c r="Q951" s="3">
        <f t="shared" si="57"/>
        <v>-1.7799598151668761E-3</v>
      </c>
      <c r="R951" s="3">
        <f t="shared" si="58"/>
        <v>4.3400000000000001E-3</v>
      </c>
      <c r="S951">
        <f t="shared" si="59"/>
        <v>20</v>
      </c>
      <c r="T951">
        <f>INDEX([1]IDEN_level_ids!$B:$B,MATCH(G951,[1]IDEN_level_ids!$A:$A,0),1)</f>
        <v>1233</v>
      </c>
      <c r="U951">
        <f>INDEX([1]IDEN_level_ids!$B:$B,MATCH(H951,[1]IDEN_level_ids!$A:$A,0),1)</f>
        <v>916</v>
      </c>
    </row>
    <row r="952" spans="1:21" hidden="1" x14ac:dyDescent="0.25">
      <c r="A952">
        <v>75054.835200000001</v>
      </c>
      <c r="B952">
        <v>1332.3592000000001</v>
      </c>
      <c r="C952">
        <v>6</v>
      </c>
      <c r="D952" t="s">
        <v>363</v>
      </c>
      <c r="F952">
        <v>1969</v>
      </c>
      <c r="G952" s="1" t="s">
        <v>33</v>
      </c>
      <c r="H952" s="1" t="s">
        <v>352</v>
      </c>
      <c r="I952">
        <v>0</v>
      </c>
      <c r="J952">
        <v>75054.863700000002</v>
      </c>
      <c r="K952">
        <v>5.1000000000000004E-4</v>
      </c>
      <c r="L952">
        <v>4.3499999999999997E-3</v>
      </c>
      <c r="M952">
        <v>0.245</v>
      </c>
      <c r="N952">
        <v>0.11849999999999999</v>
      </c>
      <c r="O952">
        <v>4.9300000000000004E-3</v>
      </c>
      <c r="P952" s="3">
        <f t="shared" si="56"/>
        <v>1332.3591975590668</v>
      </c>
      <c r="Q952" s="3">
        <f t="shared" si="57"/>
        <v>5.0592640195645799E-4</v>
      </c>
      <c r="R952" s="3">
        <f t="shared" si="58"/>
        <v>4.3499999999999997E-3</v>
      </c>
      <c r="S952">
        <f t="shared" si="59"/>
        <v>20</v>
      </c>
      <c r="T952">
        <f>INDEX([1]IDEN_level_ids!$B:$B,MATCH(G952,[1]IDEN_level_ids!$A:$A,0),1)</f>
        <v>1220</v>
      </c>
      <c r="U952">
        <f>INDEX([1]IDEN_level_ids!$B:$B,MATCH(H952,[1]IDEN_level_ids!$A:$A,0),1)</f>
        <v>909</v>
      </c>
    </row>
    <row r="953" spans="1:21" hidden="1" x14ac:dyDescent="0.25">
      <c r="A953">
        <v>74907.315900000001</v>
      </c>
      <c r="B953">
        <v>1334.9830999999999</v>
      </c>
      <c r="C953">
        <v>6</v>
      </c>
      <c r="D953" t="s">
        <v>363</v>
      </c>
      <c r="F953">
        <v>1969</v>
      </c>
      <c r="G953" s="1" t="s">
        <v>230</v>
      </c>
      <c r="H953" s="1" t="s">
        <v>364</v>
      </c>
      <c r="I953">
        <v>0</v>
      </c>
      <c r="J953">
        <v>74907.103900000002</v>
      </c>
      <c r="K953">
        <v>-3.7799999999999999E-3</v>
      </c>
      <c r="L953">
        <v>4.3699999999999998E-3</v>
      </c>
      <c r="M953">
        <v>0.245</v>
      </c>
      <c r="N953">
        <v>0.13039999999999999</v>
      </c>
      <c r="O953">
        <v>5.0200000000000002E-3</v>
      </c>
      <c r="P953" s="3">
        <f t="shared" si="56"/>
        <v>1334.9830894154359</v>
      </c>
      <c r="Q953" s="3">
        <f t="shared" si="57"/>
        <v>-3.7782319730013114E-3</v>
      </c>
      <c r="R953" s="3">
        <f t="shared" si="58"/>
        <v>4.3699999999999998E-3</v>
      </c>
      <c r="S953">
        <f t="shared" si="59"/>
        <v>20</v>
      </c>
      <c r="T953">
        <f>INDEX([1]IDEN_level_ids!$B:$B,MATCH(G953,[1]IDEN_level_ids!$A:$A,0),1)</f>
        <v>1208</v>
      </c>
      <c r="U953">
        <f>INDEX([1]IDEN_level_ids!$B:$B,MATCH(H953,[1]IDEN_level_ids!$A:$A,0),1)</f>
        <v>903</v>
      </c>
    </row>
    <row r="954" spans="1:21" hidden="1" x14ac:dyDescent="0.25">
      <c r="A954">
        <v>74898.837400000004</v>
      </c>
      <c r="B954">
        <v>1335.1342</v>
      </c>
      <c r="C954">
        <v>6</v>
      </c>
      <c r="D954" t="s">
        <v>363</v>
      </c>
      <c r="F954">
        <v>1969</v>
      </c>
      <c r="G954" s="1" t="s">
        <v>262</v>
      </c>
      <c r="H954" s="1" t="s">
        <v>158</v>
      </c>
      <c r="I954">
        <v>0</v>
      </c>
      <c r="J954">
        <v>74898.616599999994</v>
      </c>
      <c r="K954">
        <v>-3.9399999999999999E-3</v>
      </c>
      <c r="L954">
        <v>4.3699999999999998E-3</v>
      </c>
      <c r="M954">
        <v>0.245</v>
      </c>
      <c r="N954">
        <v>2.87E-2</v>
      </c>
      <c r="O954">
        <v>4.4999999999999997E-3</v>
      </c>
      <c r="P954" s="3">
        <f t="shared" si="56"/>
        <v>1335.1342086385976</v>
      </c>
      <c r="Q954" s="3">
        <f t="shared" si="57"/>
        <v>-3.9359556512863492E-3</v>
      </c>
      <c r="R954" s="3">
        <f t="shared" si="58"/>
        <v>4.3699999999999998E-3</v>
      </c>
      <c r="S954">
        <f t="shared" si="59"/>
        <v>20</v>
      </c>
      <c r="T954">
        <f>INDEX([1]IDEN_level_ids!$B:$B,MATCH(G954,[1]IDEN_level_ids!$A:$A,0),1)</f>
        <v>1115</v>
      </c>
      <c r="U954">
        <f>INDEX([1]IDEN_level_ids!$B:$B,MATCH(H954,[1]IDEN_level_ids!$A:$A,0),1)</f>
        <v>779</v>
      </c>
    </row>
    <row r="955" spans="1:21" hidden="1" x14ac:dyDescent="0.25">
      <c r="A955">
        <v>74693.198199999999</v>
      </c>
      <c r="B955">
        <v>1338.81</v>
      </c>
      <c r="C955">
        <v>6</v>
      </c>
      <c r="D955" t="s">
        <v>363</v>
      </c>
      <c r="F955">
        <v>1969</v>
      </c>
      <c r="G955" s="1" t="s">
        <v>138</v>
      </c>
      <c r="H955" s="1" t="s">
        <v>232</v>
      </c>
      <c r="I955">
        <v>0</v>
      </c>
      <c r="J955">
        <v>74692.9467</v>
      </c>
      <c r="K955">
        <v>-4.5100000000000001E-3</v>
      </c>
      <c r="L955">
        <v>4.3899999999999998E-3</v>
      </c>
      <c r="M955">
        <v>0.245</v>
      </c>
      <c r="N955">
        <v>5.3699999999999998E-2</v>
      </c>
      <c r="O955">
        <v>4.64E-3</v>
      </c>
      <c r="P955" s="3">
        <f t="shared" si="56"/>
        <v>1338.8099908674149</v>
      </c>
      <c r="Q955" s="3">
        <f t="shared" si="57"/>
        <v>-4.5079318406351376E-3</v>
      </c>
      <c r="R955" s="3">
        <f t="shared" si="58"/>
        <v>4.3899999999999998E-3</v>
      </c>
      <c r="S955">
        <f t="shared" si="59"/>
        <v>20</v>
      </c>
      <c r="T955">
        <f>INDEX([1]IDEN_level_ids!$B:$B,MATCH(G955,[1]IDEN_level_ids!$A:$A,0),1)</f>
        <v>1126</v>
      </c>
      <c r="U955">
        <f>INDEX([1]IDEN_level_ids!$B:$B,MATCH(H955,[1]IDEN_level_ids!$A:$A,0),1)</f>
        <v>801</v>
      </c>
    </row>
    <row r="956" spans="1:21" hidden="1" x14ac:dyDescent="0.25">
      <c r="A956">
        <v>74468.202999999994</v>
      </c>
      <c r="B956">
        <v>1342.855</v>
      </c>
      <c r="C956">
        <v>6</v>
      </c>
      <c r="D956" t="s">
        <v>363</v>
      </c>
      <c r="F956">
        <v>1969</v>
      </c>
      <c r="G956" s="1" t="s">
        <v>138</v>
      </c>
      <c r="H956" s="1" t="s">
        <v>228</v>
      </c>
      <c r="I956">
        <v>0</v>
      </c>
      <c r="J956">
        <v>74468.009600000005</v>
      </c>
      <c r="K956">
        <v>-3.49E-3</v>
      </c>
      <c r="L956">
        <v>4.4200000000000003E-3</v>
      </c>
      <c r="M956">
        <v>0.245</v>
      </c>
      <c r="N956">
        <v>3.27E-2</v>
      </c>
      <c r="O956">
        <v>4.5700000000000003E-3</v>
      </c>
      <c r="P956" s="3">
        <f t="shared" si="56"/>
        <v>1342.8550169258147</v>
      </c>
      <c r="Q956" s="3">
        <f t="shared" si="57"/>
        <v>-3.4875131168519147E-3</v>
      </c>
      <c r="R956" s="3">
        <f t="shared" si="58"/>
        <v>4.4200000000000003E-3</v>
      </c>
      <c r="S956">
        <f t="shared" si="59"/>
        <v>20</v>
      </c>
      <c r="T956">
        <f>INDEX([1]IDEN_level_ids!$B:$B,MATCH(G956,[1]IDEN_level_ids!$A:$A,0),1)</f>
        <v>1126</v>
      </c>
      <c r="U956">
        <f>INDEX([1]IDEN_level_ids!$B:$B,MATCH(H956,[1]IDEN_level_ids!$A:$A,0),1)</f>
        <v>804</v>
      </c>
    </row>
    <row r="957" spans="1:21" hidden="1" x14ac:dyDescent="0.25">
      <c r="A957">
        <v>74365.806400000001</v>
      </c>
      <c r="B957">
        <v>1344.704</v>
      </c>
      <c r="C957">
        <v>6</v>
      </c>
      <c r="D957" t="s">
        <v>363</v>
      </c>
      <c r="F957">
        <v>1969</v>
      </c>
      <c r="G957" s="1" t="s">
        <v>365</v>
      </c>
      <c r="H957" s="1" t="s">
        <v>366</v>
      </c>
      <c r="I957">
        <v>0</v>
      </c>
      <c r="J957">
        <v>74365.782500000001</v>
      </c>
      <c r="K957">
        <v>-4.2999999999999999E-4</v>
      </c>
      <c r="L957">
        <v>4.4299999999999999E-3</v>
      </c>
      <c r="M957">
        <v>0.245</v>
      </c>
      <c r="N957">
        <v>3.0099999999999998E-2</v>
      </c>
      <c r="O957">
        <v>4.5700000000000003E-3</v>
      </c>
      <c r="P957" s="3">
        <f t="shared" si="56"/>
        <v>1344.7040359129353</v>
      </c>
      <c r="Q957" s="3">
        <f t="shared" si="57"/>
        <v>-4.3216685662628151E-4</v>
      </c>
      <c r="R957" s="3">
        <f t="shared" si="58"/>
        <v>4.4299999999999999E-3</v>
      </c>
      <c r="S957">
        <f t="shared" si="59"/>
        <v>20</v>
      </c>
      <c r="T957">
        <f>INDEX([1]IDEN_level_ids!$B:$B,MATCH(G957,[1]IDEN_level_ids!$A:$A,0),1)</f>
        <v>1143</v>
      </c>
      <c r="U957">
        <f>INDEX([1]IDEN_level_ids!$B:$B,MATCH(H957,[1]IDEN_level_ids!$A:$A,0),1)</f>
        <v>853</v>
      </c>
    </row>
    <row r="958" spans="1:21" hidden="1" x14ac:dyDescent="0.25">
      <c r="A958">
        <v>74230.117100000003</v>
      </c>
      <c r="B958">
        <v>1347.1621</v>
      </c>
      <c r="C958">
        <v>6</v>
      </c>
      <c r="D958" t="s">
        <v>363</v>
      </c>
      <c r="F958">
        <v>1969</v>
      </c>
      <c r="G958" s="1" t="s">
        <v>69</v>
      </c>
      <c r="H958" s="1" t="s">
        <v>343</v>
      </c>
      <c r="I958">
        <v>0</v>
      </c>
      <c r="J958">
        <v>74229.882500000007</v>
      </c>
      <c r="K958">
        <v>-4.2599999999999999E-3</v>
      </c>
      <c r="L958">
        <v>4.45E-3</v>
      </c>
      <c r="M958">
        <v>0.245</v>
      </c>
      <c r="N958">
        <v>5.8599999999999999E-2</v>
      </c>
      <c r="O958">
        <v>4.7200000000000002E-3</v>
      </c>
      <c r="P958" s="3">
        <f t="shared" si="56"/>
        <v>1347.1620941306585</v>
      </c>
      <c r="Q958" s="3">
        <f t="shared" si="57"/>
        <v>-4.257641486447028E-3</v>
      </c>
      <c r="R958" s="3">
        <f t="shared" si="58"/>
        <v>4.45E-3</v>
      </c>
      <c r="S958">
        <f t="shared" si="59"/>
        <v>20</v>
      </c>
      <c r="T958">
        <f>INDEX([1]IDEN_level_ids!$B:$B,MATCH(G958,[1]IDEN_level_ids!$A:$A,0),1)</f>
        <v>1218</v>
      </c>
      <c r="U958">
        <f>INDEX([1]IDEN_level_ids!$B:$B,MATCH(H958,[1]IDEN_level_ids!$A:$A,0),1)</f>
        <v>912</v>
      </c>
    </row>
    <row r="959" spans="1:21" hidden="1" x14ac:dyDescent="0.25">
      <c r="A959">
        <v>74210.789900000003</v>
      </c>
      <c r="B959">
        <v>1347.5128999999999</v>
      </c>
      <c r="C959">
        <v>6</v>
      </c>
      <c r="D959" t="s">
        <v>363</v>
      </c>
      <c r="F959">
        <v>1969</v>
      </c>
      <c r="G959" s="1" t="s">
        <v>203</v>
      </c>
      <c r="H959" s="1" t="s">
        <v>184</v>
      </c>
      <c r="I959">
        <v>0</v>
      </c>
      <c r="J959">
        <v>74210.515899999999</v>
      </c>
      <c r="K959">
        <v>-4.9699999999999996E-3</v>
      </c>
      <c r="L959">
        <v>4.45E-3</v>
      </c>
      <c r="M959">
        <v>0.245</v>
      </c>
      <c r="N959">
        <v>4.1300000000000003E-2</v>
      </c>
      <c r="O959">
        <v>4.64E-3</v>
      </c>
      <c r="P959" s="3">
        <f t="shared" si="56"/>
        <v>1347.5129443407259</v>
      </c>
      <c r="Q959" s="3">
        <f t="shared" si="57"/>
        <v>-4.9752860800253984E-3</v>
      </c>
      <c r="R959" s="3">
        <f t="shared" si="58"/>
        <v>4.45E-3</v>
      </c>
      <c r="S959">
        <f t="shared" si="59"/>
        <v>20</v>
      </c>
      <c r="T959">
        <f>INDEX([1]IDEN_level_ids!$B:$B,MATCH(G959,[1]IDEN_level_ids!$A:$A,0),1)</f>
        <v>1127</v>
      </c>
      <c r="U959">
        <f>INDEX([1]IDEN_level_ids!$B:$B,MATCH(H959,[1]IDEN_level_ids!$A:$A,0),1)</f>
        <v>810</v>
      </c>
    </row>
    <row r="960" spans="1:21" hidden="1" x14ac:dyDescent="0.25">
      <c r="A960">
        <v>74110.627099999998</v>
      </c>
      <c r="B960">
        <v>1349.3341</v>
      </c>
      <c r="C960">
        <v>6</v>
      </c>
      <c r="D960" t="s">
        <v>363</v>
      </c>
      <c r="F960">
        <v>1969</v>
      </c>
      <c r="G960" s="1" t="s">
        <v>134</v>
      </c>
      <c r="H960" s="1" t="s">
        <v>201</v>
      </c>
      <c r="I960">
        <v>0</v>
      </c>
      <c r="J960">
        <v>74110.501900000003</v>
      </c>
      <c r="K960">
        <v>-2.2799999999999999E-3</v>
      </c>
      <c r="L960">
        <v>4.4600000000000004E-3</v>
      </c>
      <c r="M960">
        <v>0.245</v>
      </c>
      <c r="N960">
        <v>8.2299999999999998E-2</v>
      </c>
      <c r="O960">
        <v>4.8599999999999997E-3</v>
      </c>
      <c r="P960" s="3">
        <f t="shared" si="56"/>
        <v>1349.3341496768958</v>
      </c>
      <c r="Q960" s="3">
        <f t="shared" si="57"/>
        <v>-2.2795235654484713E-3</v>
      </c>
      <c r="R960" s="3">
        <f t="shared" si="58"/>
        <v>4.4600000000000004E-3</v>
      </c>
      <c r="S960">
        <f t="shared" si="59"/>
        <v>20</v>
      </c>
      <c r="T960">
        <f>INDEX([1]IDEN_level_ids!$B:$B,MATCH(G960,[1]IDEN_level_ids!$A:$A,0),1)</f>
        <v>1114</v>
      </c>
      <c r="U960">
        <f>INDEX([1]IDEN_level_ids!$B:$B,MATCH(H960,[1]IDEN_level_ids!$A:$A,0),1)</f>
        <v>788</v>
      </c>
    </row>
    <row r="961" spans="1:21" hidden="1" x14ac:dyDescent="0.25">
      <c r="A961">
        <v>74095.030899999998</v>
      </c>
      <c r="B961">
        <v>1349.6181999999999</v>
      </c>
      <c r="C961">
        <v>6</v>
      </c>
      <c r="D961" t="s">
        <v>363</v>
      </c>
      <c r="F961">
        <v>1969</v>
      </c>
      <c r="G961" s="1" t="s">
        <v>94</v>
      </c>
      <c r="H961" s="1" t="s">
        <v>367</v>
      </c>
      <c r="I961">
        <v>0</v>
      </c>
      <c r="J961">
        <v>74094.918399999995</v>
      </c>
      <c r="K961">
        <v>-2.0500000000000002E-3</v>
      </c>
      <c r="L961">
        <v>4.4600000000000004E-3</v>
      </c>
      <c r="M961">
        <v>0.245</v>
      </c>
      <c r="N961">
        <v>9.1700000000000004E-2</v>
      </c>
      <c r="O961">
        <v>4.9100000000000003E-3</v>
      </c>
      <c r="P961" s="3">
        <f t="shared" si="56"/>
        <v>1349.6181698737912</v>
      </c>
      <c r="Q961" s="3">
        <f t="shared" si="57"/>
        <v>-2.0491559662332293E-3</v>
      </c>
      <c r="R961" s="3">
        <f t="shared" si="58"/>
        <v>4.4600000000000004E-3</v>
      </c>
      <c r="S961">
        <f t="shared" si="59"/>
        <v>20</v>
      </c>
      <c r="T961">
        <f>INDEX([1]IDEN_level_ids!$B:$B,MATCH(G961,[1]IDEN_level_ids!$A:$A,0),1)</f>
        <v>1207</v>
      </c>
      <c r="U961">
        <f>INDEX([1]IDEN_level_ids!$B:$B,MATCH(H961,[1]IDEN_level_ids!$A:$A,0),1)</f>
        <v>907</v>
      </c>
    </row>
    <row r="962" spans="1:21" hidden="1" x14ac:dyDescent="0.25">
      <c r="A962">
        <v>74024.438699999999</v>
      </c>
      <c r="B962">
        <v>1350.9051999999999</v>
      </c>
      <c r="C962">
        <v>6</v>
      </c>
      <c r="D962" t="s">
        <v>368</v>
      </c>
      <c r="F962">
        <v>1969</v>
      </c>
      <c r="G962" s="1" t="s">
        <v>273</v>
      </c>
      <c r="H962" s="1" t="s">
        <v>123</v>
      </c>
      <c r="I962">
        <v>0</v>
      </c>
      <c r="J962">
        <v>74024.494000000006</v>
      </c>
      <c r="K962">
        <v>1.01E-3</v>
      </c>
      <c r="L962">
        <v>4.47E-3</v>
      </c>
      <c r="M962">
        <v>0.245</v>
      </c>
      <c r="N962">
        <v>2.7400000000000001E-2</v>
      </c>
      <c r="O962">
        <v>4.5999999999999999E-3</v>
      </c>
      <c r="P962" s="3">
        <f t="shared" ref="P962:P1025" si="60">100000000/$A962</f>
        <v>1350.9052112542395</v>
      </c>
      <c r="Q962" s="3">
        <f t="shared" ref="Q962:Q1025" si="61">100000000/($A962)-100000000/$J962</f>
        <v>1.0091937701872666E-3</v>
      </c>
      <c r="R962" s="3">
        <f t="shared" si="58"/>
        <v>4.47E-3</v>
      </c>
      <c r="S962">
        <f t="shared" si="59"/>
        <v>21</v>
      </c>
      <c r="T962">
        <f>INDEX([1]IDEN_level_ids!$B:$B,MATCH(G962,[1]IDEN_level_ids!$A:$A,0),1)</f>
        <v>1105</v>
      </c>
      <c r="U962">
        <f>INDEX([1]IDEN_level_ids!$B:$B,MATCH(H962,[1]IDEN_level_ids!$A:$A,0),1)</f>
        <v>775</v>
      </c>
    </row>
    <row r="963" spans="1:21" hidden="1" x14ac:dyDescent="0.25">
      <c r="A963">
        <v>73936.540099999998</v>
      </c>
      <c r="B963">
        <v>1352.5111999999999</v>
      </c>
      <c r="C963">
        <v>6</v>
      </c>
      <c r="D963" t="s">
        <v>368</v>
      </c>
      <c r="F963">
        <v>1969</v>
      </c>
      <c r="G963" s="1" t="s">
        <v>51</v>
      </c>
      <c r="H963" s="1" t="s">
        <v>352</v>
      </c>
      <c r="I963">
        <v>0</v>
      </c>
      <c r="J963">
        <v>73936.314700000003</v>
      </c>
      <c r="K963">
        <v>-4.1200000000000004E-3</v>
      </c>
      <c r="L963">
        <v>4.4799999999999996E-3</v>
      </c>
      <c r="M963">
        <v>0.245</v>
      </c>
      <c r="N963">
        <v>0.1177</v>
      </c>
      <c r="O963">
        <v>5.0800000000000003E-3</v>
      </c>
      <c r="P963" s="3">
        <f t="shared" si="60"/>
        <v>1352.5112192800593</v>
      </c>
      <c r="Q963" s="3">
        <f t="shared" si="61"/>
        <v>-4.123224562363248E-3</v>
      </c>
      <c r="R963" s="3">
        <f t="shared" ref="R963:R1026" si="62">$L963</f>
        <v>4.4799999999999996E-3</v>
      </c>
      <c r="S963">
        <f t="shared" si="59"/>
        <v>21</v>
      </c>
      <c r="T963">
        <f>INDEX([1]IDEN_level_ids!$B:$B,MATCH(G963,[1]IDEN_level_ids!$A:$A,0),1)</f>
        <v>1213</v>
      </c>
      <c r="U963">
        <f>INDEX([1]IDEN_level_ids!$B:$B,MATCH(H963,[1]IDEN_level_ids!$A:$A,0),1)</f>
        <v>909</v>
      </c>
    </row>
    <row r="964" spans="1:21" hidden="1" x14ac:dyDescent="0.25">
      <c r="A964">
        <v>73910.530899999998</v>
      </c>
      <c r="B964">
        <v>1352.9872</v>
      </c>
      <c r="C964">
        <v>6</v>
      </c>
      <c r="D964" t="s">
        <v>368</v>
      </c>
      <c r="F964">
        <v>1969</v>
      </c>
      <c r="G964" s="1" t="s">
        <v>273</v>
      </c>
      <c r="H964" s="1" t="s">
        <v>124</v>
      </c>
      <c r="I964">
        <v>0</v>
      </c>
      <c r="J964">
        <v>73910.108399999997</v>
      </c>
      <c r="K964">
        <v>-7.7299999999999999E-3</v>
      </c>
      <c r="L964">
        <v>4.4799999999999996E-3</v>
      </c>
      <c r="M964">
        <v>0.245</v>
      </c>
      <c r="N964">
        <v>2.4899999999999999E-2</v>
      </c>
      <c r="O964">
        <v>4.5999999999999999E-3</v>
      </c>
      <c r="P964" s="3">
        <f t="shared" si="60"/>
        <v>1352.9871695184916</v>
      </c>
      <c r="Q964" s="3">
        <f t="shared" si="61"/>
        <v>-7.734220548400117E-3</v>
      </c>
      <c r="R964" s="3">
        <f t="shared" si="62"/>
        <v>4.4799999999999996E-3</v>
      </c>
      <c r="S964">
        <f t="shared" ref="S964:S1027" si="63">IF(D964=D963,S963,S963+1)</f>
        <v>21</v>
      </c>
      <c r="T964">
        <f>INDEX([1]IDEN_level_ids!$B:$B,MATCH(G964,[1]IDEN_level_ids!$A:$A,0),1)</f>
        <v>1105</v>
      </c>
      <c r="U964">
        <f>INDEX([1]IDEN_level_ids!$B:$B,MATCH(H964,[1]IDEN_level_ids!$A:$A,0),1)</f>
        <v>776</v>
      </c>
    </row>
    <row r="965" spans="1:21" hidden="1" x14ac:dyDescent="0.25">
      <c r="A965">
        <v>73855.405700000003</v>
      </c>
      <c r="B965">
        <v>1353.9970000000001</v>
      </c>
      <c r="C965">
        <v>6</v>
      </c>
      <c r="D965" t="s">
        <v>368</v>
      </c>
      <c r="F965">
        <v>1969</v>
      </c>
      <c r="G965" s="1" t="s">
        <v>187</v>
      </c>
      <c r="H965" s="1" t="s">
        <v>364</v>
      </c>
      <c r="I965">
        <v>0</v>
      </c>
      <c r="J965">
        <v>73855.395600000003</v>
      </c>
      <c r="K965">
        <v>-1.8000000000000001E-4</v>
      </c>
      <c r="L965">
        <v>4.4900000000000001E-3</v>
      </c>
      <c r="M965">
        <v>0.245</v>
      </c>
      <c r="N965">
        <v>0.1188</v>
      </c>
      <c r="O965">
        <v>5.1000000000000004E-3</v>
      </c>
      <c r="P965" s="3">
        <f t="shared" si="60"/>
        <v>1353.9970304435008</v>
      </c>
      <c r="Q965" s="3">
        <f t="shared" si="61"/>
        <v>-1.8516412910685176E-4</v>
      </c>
      <c r="R965" s="3">
        <f t="shared" si="62"/>
        <v>4.4900000000000001E-3</v>
      </c>
      <c r="S965">
        <f t="shared" si="63"/>
        <v>21</v>
      </c>
      <c r="T965">
        <f>INDEX([1]IDEN_level_ids!$B:$B,MATCH(G965,[1]IDEN_level_ids!$A:$A,0),1)</f>
        <v>1204</v>
      </c>
      <c r="U965">
        <f>INDEX([1]IDEN_level_ids!$B:$B,MATCH(H965,[1]IDEN_level_ids!$A:$A,0),1)</f>
        <v>903</v>
      </c>
    </row>
    <row r="966" spans="1:21" hidden="1" x14ac:dyDescent="0.25">
      <c r="A966">
        <v>73789.087799999994</v>
      </c>
      <c r="B966">
        <v>1355.2139</v>
      </c>
      <c r="C966">
        <v>6</v>
      </c>
      <c r="D966" t="s">
        <v>368</v>
      </c>
      <c r="F966">
        <v>1969</v>
      </c>
      <c r="G966" s="1" t="s">
        <v>299</v>
      </c>
      <c r="H966" s="1" t="s">
        <v>132</v>
      </c>
      <c r="I966">
        <v>0</v>
      </c>
      <c r="J966">
        <v>73788.944799999997</v>
      </c>
      <c r="K966">
        <v>-2.63E-3</v>
      </c>
      <c r="L966">
        <v>4.4999999999999997E-3</v>
      </c>
      <c r="M966">
        <v>0.245</v>
      </c>
      <c r="N966">
        <v>9.9699999999999997E-2</v>
      </c>
      <c r="O966">
        <v>5.0000000000000001E-3</v>
      </c>
      <c r="P966" s="3">
        <f t="shared" si="60"/>
        <v>1355.2139344918153</v>
      </c>
      <c r="Q966" s="3">
        <f t="shared" si="61"/>
        <v>-2.6263499655669875E-3</v>
      </c>
      <c r="R966" s="3">
        <f t="shared" si="62"/>
        <v>4.4999999999999997E-3</v>
      </c>
      <c r="S966">
        <f t="shared" si="63"/>
        <v>21</v>
      </c>
      <c r="T966">
        <f>INDEX([1]IDEN_level_ids!$B:$B,MATCH(G966,[1]IDEN_level_ids!$A:$A,0),1)</f>
        <v>1101</v>
      </c>
      <c r="U966">
        <f>INDEX([1]IDEN_level_ids!$B:$B,MATCH(H966,[1]IDEN_level_ids!$A:$A,0),1)</f>
        <v>696</v>
      </c>
    </row>
    <row r="967" spans="1:21" hidden="1" x14ac:dyDescent="0.25">
      <c r="A967">
        <v>73625.077000000005</v>
      </c>
      <c r="B967">
        <v>1358.2329</v>
      </c>
      <c r="C967">
        <v>6</v>
      </c>
      <c r="D967" t="s">
        <v>368</v>
      </c>
      <c r="F967">
        <v>1969</v>
      </c>
      <c r="G967" s="1" t="s">
        <v>203</v>
      </c>
      <c r="H967" s="1" t="s">
        <v>200</v>
      </c>
      <c r="I967">
        <v>0</v>
      </c>
      <c r="J967">
        <v>73624.830400000006</v>
      </c>
      <c r="K967">
        <v>-4.5500000000000002E-3</v>
      </c>
      <c r="L967">
        <v>4.5199999999999997E-3</v>
      </c>
      <c r="M967">
        <v>0.245</v>
      </c>
      <c r="N967">
        <v>3.5900000000000001E-2</v>
      </c>
      <c r="O967">
        <v>4.6899999999999997E-3</v>
      </c>
      <c r="P967" s="3">
        <f t="shared" si="60"/>
        <v>1358.2328749211358</v>
      </c>
      <c r="Q967" s="3">
        <f t="shared" si="61"/>
        <v>-4.5492835110962915E-3</v>
      </c>
      <c r="R967" s="3">
        <f t="shared" si="62"/>
        <v>4.5199999999999997E-3</v>
      </c>
      <c r="S967">
        <f t="shared" si="63"/>
        <v>21</v>
      </c>
      <c r="T967">
        <f>INDEX([1]IDEN_level_ids!$B:$B,MATCH(G967,[1]IDEN_level_ids!$A:$A,0),1)</f>
        <v>1127</v>
      </c>
      <c r="U967">
        <f>INDEX([1]IDEN_level_ids!$B:$B,MATCH(H967,[1]IDEN_level_ids!$A:$A,0),1)</f>
        <v>817</v>
      </c>
    </row>
    <row r="968" spans="1:21" hidden="1" x14ac:dyDescent="0.25">
      <c r="A968">
        <v>73579.082699999999</v>
      </c>
      <c r="B968">
        <v>1359.0818999999999</v>
      </c>
      <c r="C968">
        <v>6</v>
      </c>
      <c r="D968" t="s">
        <v>368</v>
      </c>
      <c r="E968" t="s">
        <v>45</v>
      </c>
      <c r="F968">
        <v>1969</v>
      </c>
      <c r="G968" s="1" t="s">
        <v>337</v>
      </c>
      <c r="H968" s="1" t="s">
        <v>369</v>
      </c>
      <c r="I968">
        <v>0</v>
      </c>
      <c r="J968">
        <v>73578.643299999996</v>
      </c>
      <c r="K968">
        <v>-8.1200000000000005E-3</v>
      </c>
      <c r="L968">
        <v>8.8999999999999999E-3</v>
      </c>
      <c r="M968">
        <v>0.48199999999999998</v>
      </c>
      <c r="N968">
        <v>6.3E-3</v>
      </c>
      <c r="O968">
        <v>8.9599999999999992E-3</v>
      </c>
      <c r="P968" s="3">
        <f t="shared" si="60"/>
        <v>1359.0819065756034</v>
      </c>
      <c r="Q968" s="3">
        <f t="shared" si="61"/>
        <v>-8.1162218134522846E-3</v>
      </c>
      <c r="R968" s="3">
        <f t="shared" si="62"/>
        <v>8.8999999999999999E-3</v>
      </c>
      <c r="S968">
        <f t="shared" si="63"/>
        <v>21</v>
      </c>
      <c r="T968">
        <f>INDEX([1]IDEN_level_ids!$B:$B,MATCH(G968,[1]IDEN_level_ids!$A:$A,0),1)</f>
        <v>1157</v>
      </c>
      <c r="U968">
        <f>INDEX([1]IDEN_level_ids!$B:$B,MATCH(H968,[1]IDEN_level_ids!$A:$A,0),1)</f>
        <v>884</v>
      </c>
    </row>
    <row r="969" spans="1:21" hidden="1" x14ac:dyDescent="0.25">
      <c r="A969">
        <v>73431.516300000003</v>
      </c>
      <c r="B969">
        <v>1361.8131000000001</v>
      </c>
      <c r="C969">
        <v>6</v>
      </c>
      <c r="D969" t="s">
        <v>368</v>
      </c>
      <c r="F969">
        <v>1969</v>
      </c>
      <c r="G969" s="1" t="s">
        <v>204</v>
      </c>
      <c r="H969" s="1" t="s">
        <v>359</v>
      </c>
      <c r="I969">
        <v>0</v>
      </c>
      <c r="J969">
        <v>73431.1005</v>
      </c>
      <c r="K969">
        <v>-7.7099999999999998E-3</v>
      </c>
      <c r="L969">
        <v>4.5399999999999998E-3</v>
      </c>
      <c r="M969">
        <v>0.245</v>
      </c>
      <c r="N969">
        <v>0.1188</v>
      </c>
      <c r="O969">
        <v>5.1599999999999997E-3</v>
      </c>
      <c r="P969" s="3">
        <f t="shared" si="60"/>
        <v>1361.8130884218169</v>
      </c>
      <c r="Q969" s="3">
        <f t="shared" si="61"/>
        <v>-7.7111997275096655E-3</v>
      </c>
      <c r="R969" s="3">
        <f t="shared" si="62"/>
        <v>4.5399999999999998E-3</v>
      </c>
      <c r="S969">
        <f t="shared" si="63"/>
        <v>21</v>
      </c>
      <c r="T969">
        <f>INDEX([1]IDEN_level_ids!$B:$B,MATCH(G969,[1]IDEN_level_ids!$A:$A,0),1)</f>
        <v>1176</v>
      </c>
      <c r="U969">
        <f>INDEX([1]IDEN_level_ids!$B:$B,MATCH(H969,[1]IDEN_level_ids!$A:$A,0),1)</f>
        <v>900</v>
      </c>
    </row>
    <row r="970" spans="1:21" hidden="1" x14ac:dyDescent="0.25">
      <c r="A970">
        <v>73415.359800000006</v>
      </c>
      <c r="B970">
        <v>1362.1128000000001</v>
      </c>
      <c r="C970">
        <v>6</v>
      </c>
      <c r="D970" t="s">
        <v>368</v>
      </c>
      <c r="F970">
        <v>1969</v>
      </c>
      <c r="G970" s="1" t="s">
        <v>302</v>
      </c>
      <c r="H970" s="1" t="s">
        <v>136</v>
      </c>
      <c r="I970">
        <v>0</v>
      </c>
      <c r="J970">
        <v>73415.209900000002</v>
      </c>
      <c r="K970">
        <v>-2.7799999999999999E-3</v>
      </c>
      <c r="L970">
        <v>4.5500000000000002E-3</v>
      </c>
      <c r="M970">
        <v>0.245</v>
      </c>
      <c r="N970">
        <v>0.1061</v>
      </c>
      <c r="O970">
        <v>5.0800000000000003E-3</v>
      </c>
      <c r="P970" s="3">
        <f t="shared" si="60"/>
        <v>1362.1127822900078</v>
      </c>
      <c r="Q970" s="3">
        <f t="shared" si="61"/>
        <v>-2.7811771749384206E-3</v>
      </c>
      <c r="R970" s="3">
        <f t="shared" si="62"/>
        <v>4.5500000000000002E-3</v>
      </c>
      <c r="S970">
        <f t="shared" si="63"/>
        <v>21</v>
      </c>
      <c r="T970">
        <f>INDEX([1]IDEN_level_ids!$B:$B,MATCH(G970,[1]IDEN_level_ids!$A:$A,0),1)</f>
        <v>1100</v>
      </c>
      <c r="U970">
        <f>INDEX([1]IDEN_level_ids!$B:$B,MATCH(H970,[1]IDEN_level_ids!$A:$A,0),1)</f>
        <v>700</v>
      </c>
    </row>
    <row r="971" spans="1:21" hidden="1" x14ac:dyDescent="0.25">
      <c r="A971">
        <v>73401.434899999993</v>
      </c>
      <c r="B971">
        <v>1362.3712</v>
      </c>
      <c r="C971">
        <v>6</v>
      </c>
      <c r="D971" t="s">
        <v>368</v>
      </c>
      <c r="E971" t="s">
        <v>45</v>
      </c>
      <c r="F971">
        <v>1969</v>
      </c>
      <c r="G971" s="1" t="s">
        <v>299</v>
      </c>
      <c r="H971" s="1" t="s">
        <v>176</v>
      </c>
      <c r="I971">
        <v>0</v>
      </c>
      <c r="J971">
        <v>73401.061000000002</v>
      </c>
      <c r="K971">
        <v>-6.94E-3</v>
      </c>
      <c r="L971">
        <v>8.9499999999999996E-3</v>
      </c>
      <c r="M971">
        <v>0.48199999999999998</v>
      </c>
      <c r="N971">
        <v>3.0300000000000001E-2</v>
      </c>
      <c r="O971">
        <v>9.2300000000000004E-3</v>
      </c>
      <c r="P971" s="3">
        <f t="shared" si="60"/>
        <v>1362.3711871060441</v>
      </c>
      <c r="Q971" s="3">
        <f t="shared" si="61"/>
        <v>-6.9398259358877112E-3</v>
      </c>
      <c r="R971" s="3">
        <f t="shared" si="62"/>
        <v>8.9499999999999996E-3</v>
      </c>
      <c r="S971">
        <f t="shared" si="63"/>
        <v>21</v>
      </c>
      <c r="T971">
        <f>INDEX([1]IDEN_level_ids!$B:$B,MATCH(G971,[1]IDEN_level_ids!$A:$A,0),1)</f>
        <v>1101</v>
      </c>
      <c r="U971">
        <f>INDEX([1]IDEN_level_ids!$B:$B,MATCH(H971,[1]IDEN_level_ids!$A:$A,0),1)</f>
        <v>708</v>
      </c>
    </row>
    <row r="972" spans="1:21" hidden="1" x14ac:dyDescent="0.25">
      <c r="A972">
        <v>73293.243900000001</v>
      </c>
      <c r="B972">
        <v>1364.3822</v>
      </c>
      <c r="C972">
        <v>6</v>
      </c>
      <c r="D972" t="s">
        <v>368</v>
      </c>
      <c r="F972">
        <v>1969</v>
      </c>
      <c r="G972" s="1" t="s">
        <v>362</v>
      </c>
      <c r="H972" s="1" t="s">
        <v>370</v>
      </c>
      <c r="I972">
        <v>0</v>
      </c>
      <c r="J972">
        <v>73293.011499999993</v>
      </c>
      <c r="K972">
        <v>-4.3299999999999996E-3</v>
      </c>
      <c r="L972">
        <v>4.5599999999999998E-3</v>
      </c>
      <c r="M972">
        <v>0.245</v>
      </c>
      <c r="N972">
        <v>3.2099999999999997E-2</v>
      </c>
      <c r="O972">
        <v>4.7099999999999998E-3</v>
      </c>
      <c r="P972" s="3">
        <f t="shared" si="60"/>
        <v>1364.3822360549113</v>
      </c>
      <c r="Q972" s="3">
        <f t="shared" si="61"/>
        <v>-4.3262300891910854E-3</v>
      </c>
      <c r="R972" s="3">
        <f t="shared" si="62"/>
        <v>4.5599999999999998E-3</v>
      </c>
      <c r="S972">
        <f t="shared" si="63"/>
        <v>21</v>
      </c>
      <c r="T972">
        <f>INDEX([1]IDEN_level_ids!$B:$B,MATCH(G972,[1]IDEN_level_ids!$A:$A,0),1)</f>
        <v>1147</v>
      </c>
      <c r="U972">
        <f>INDEX([1]IDEN_level_ids!$B:$B,MATCH(H972,[1]IDEN_level_ids!$A:$A,0),1)</f>
        <v>873</v>
      </c>
    </row>
    <row r="973" spans="1:21" hidden="1" x14ac:dyDescent="0.25">
      <c r="A973">
        <v>73279.124200000006</v>
      </c>
      <c r="B973">
        <v>1364.6451</v>
      </c>
      <c r="C973">
        <v>6</v>
      </c>
      <c r="D973" t="s">
        <v>368</v>
      </c>
      <c r="F973">
        <v>1969</v>
      </c>
      <c r="G973" s="1" t="s">
        <v>207</v>
      </c>
      <c r="H973" s="1" t="s">
        <v>359</v>
      </c>
      <c r="I973">
        <v>0</v>
      </c>
      <c r="J973">
        <v>73279.064100000003</v>
      </c>
      <c r="K973">
        <v>-1.1199999999999999E-3</v>
      </c>
      <c r="L973">
        <v>4.5599999999999998E-3</v>
      </c>
      <c r="M973">
        <v>0.245</v>
      </c>
      <c r="N973">
        <v>0.1177</v>
      </c>
      <c r="O973">
        <v>5.1700000000000001E-3</v>
      </c>
      <c r="P973" s="3">
        <f t="shared" si="60"/>
        <v>1364.6451304067305</v>
      </c>
      <c r="Q973" s="3">
        <f t="shared" si="61"/>
        <v>-1.1192169733931223E-3</v>
      </c>
      <c r="R973" s="3">
        <f t="shared" si="62"/>
        <v>4.5599999999999998E-3</v>
      </c>
      <c r="S973">
        <f t="shared" si="63"/>
        <v>21</v>
      </c>
      <c r="T973">
        <f>INDEX([1]IDEN_level_ids!$B:$B,MATCH(G973,[1]IDEN_level_ids!$A:$A,0),1)</f>
        <v>1177</v>
      </c>
      <c r="U973">
        <f>INDEX([1]IDEN_level_ids!$B:$B,MATCH(H973,[1]IDEN_level_ids!$A:$A,0),1)</f>
        <v>900</v>
      </c>
    </row>
    <row r="974" spans="1:21" hidden="1" x14ac:dyDescent="0.25">
      <c r="A974">
        <v>73178.482799999998</v>
      </c>
      <c r="B974">
        <v>1366.5219</v>
      </c>
      <c r="C974">
        <v>6</v>
      </c>
      <c r="D974" t="s">
        <v>368</v>
      </c>
      <c r="F974">
        <v>1969</v>
      </c>
      <c r="G974" s="1" t="s">
        <v>166</v>
      </c>
      <c r="H974" s="1" t="s">
        <v>371</v>
      </c>
      <c r="I974">
        <v>0</v>
      </c>
      <c r="J974">
        <v>73178.304699999993</v>
      </c>
      <c r="K974">
        <v>-3.3300000000000001E-3</v>
      </c>
      <c r="L974">
        <v>4.5700000000000003E-3</v>
      </c>
      <c r="M974">
        <v>0.245</v>
      </c>
      <c r="N974">
        <v>0.1022</v>
      </c>
      <c r="O974">
        <v>5.1000000000000004E-3</v>
      </c>
      <c r="P974" s="3">
        <f t="shared" si="60"/>
        <v>1366.5219088144308</v>
      </c>
      <c r="Q974" s="3">
        <f t="shared" si="61"/>
        <v>-3.3258156631745805E-3</v>
      </c>
      <c r="R974" s="3">
        <f t="shared" si="62"/>
        <v>4.5700000000000003E-3</v>
      </c>
      <c r="S974">
        <f t="shared" si="63"/>
        <v>21</v>
      </c>
      <c r="T974">
        <f>INDEX([1]IDEN_level_ids!$B:$B,MATCH(G974,[1]IDEN_level_ids!$A:$A,0),1)</f>
        <v>1186</v>
      </c>
      <c r="U974">
        <f>INDEX([1]IDEN_level_ids!$B:$B,MATCH(H974,[1]IDEN_level_ids!$A:$A,0),1)</f>
        <v>902</v>
      </c>
    </row>
    <row r="975" spans="1:21" hidden="1" x14ac:dyDescent="0.25">
      <c r="A975">
        <v>72985.822100000005</v>
      </c>
      <c r="B975">
        <v>1370.1291000000001</v>
      </c>
      <c r="C975">
        <v>6</v>
      </c>
      <c r="D975" t="s">
        <v>368</v>
      </c>
      <c r="F975">
        <v>1969</v>
      </c>
      <c r="G975" s="1" t="s">
        <v>197</v>
      </c>
      <c r="H975" s="1" t="s">
        <v>371</v>
      </c>
      <c r="I975">
        <v>0</v>
      </c>
      <c r="J975">
        <v>72985.603799999997</v>
      </c>
      <c r="K975">
        <v>-4.1000000000000003E-3</v>
      </c>
      <c r="L975">
        <v>4.5999999999999999E-3</v>
      </c>
      <c r="M975">
        <v>0.245</v>
      </c>
      <c r="N975">
        <v>0.1016</v>
      </c>
      <c r="O975">
        <v>5.1200000000000004E-3</v>
      </c>
      <c r="P975" s="3">
        <f t="shared" si="60"/>
        <v>1370.1291171727446</v>
      </c>
      <c r="Q975" s="3">
        <f t="shared" si="61"/>
        <v>-4.098057297824198E-3</v>
      </c>
      <c r="R975" s="3">
        <f t="shared" si="62"/>
        <v>4.5999999999999999E-3</v>
      </c>
      <c r="S975">
        <f t="shared" si="63"/>
        <v>21</v>
      </c>
      <c r="T975">
        <f>INDEX([1]IDEN_level_ids!$B:$B,MATCH(G975,[1]IDEN_level_ids!$A:$A,0),1)</f>
        <v>1182</v>
      </c>
      <c r="U975">
        <f>INDEX([1]IDEN_level_ids!$B:$B,MATCH(H975,[1]IDEN_level_ids!$A:$A,0),1)</f>
        <v>902</v>
      </c>
    </row>
    <row r="976" spans="1:21" hidden="1" x14ac:dyDescent="0.25">
      <c r="A976">
        <v>72967.611499999999</v>
      </c>
      <c r="B976">
        <v>1370.4711</v>
      </c>
      <c r="C976">
        <v>6</v>
      </c>
      <c r="D976" t="s">
        <v>368</v>
      </c>
      <c r="F976">
        <v>1969</v>
      </c>
      <c r="G976" s="1" t="s">
        <v>299</v>
      </c>
      <c r="H976" s="1" t="s">
        <v>145</v>
      </c>
      <c r="I976">
        <v>0</v>
      </c>
      <c r="J976">
        <v>72967.337299999999</v>
      </c>
      <c r="K976">
        <v>-5.1500000000000001E-3</v>
      </c>
      <c r="L976">
        <v>4.5999999999999999E-3</v>
      </c>
      <c r="M976">
        <v>0.245</v>
      </c>
      <c r="N976">
        <v>0.1333</v>
      </c>
      <c r="O976">
        <v>5.3099999999999996E-3</v>
      </c>
      <c r="P976" s="3">
        <f t="shared" si="60"/>
        <v>1370.4710616709717</v>
      </c>
      <c r="Q976" s="3">
        <f t="shared" si="61"/>
        <v>-5.1500188853879081E-3</v>
      </c>
      <c r="R976" s="3">
        <f t="shared" si="62"/>
        <v>4.5999999999999999E-3</v>
      </c>
      <c r="S976">
        <f t="shared" si="63"/>
        <v>21</v>
      </c>
      <c r="T976">
        <f>INDEX([1]IDEN_level_ids!$B:$B,MATCH(G976,[1]IDEN_level_ids!$A:$A,0),1)</f>
        <v>1101</v>
      </c>
      <c r="U976">
        <f>INDEX([1]IDEN_level_ids!$B:$B,MATCH(H976,[1]IDEN_level_ids!$A:$A,0),1)</f>
        <v>720</v>
      </c>
    </row>
    <row r="977" spans="1:21" hidden="1" x14ac:dyDescent="0.25">
      <c r="A977">
        <v>72927.767099999997</v>
      </c>
      <c r="B977">
        <v>1371.2198000000001</v>
      </c>
      <c r="C977">
        <v>6</v>
      </c>
      <c r="D977" t="s">
        <v>368</v>
      </c>
      <c r="E977" t="s">
        <v>45</v>
      </c>
      <c r="F977">
        <v>1969</v>
      </c>
      <c r="G977" s="1" t="s">
        <v>309</v>
      </c>
      <c r="H977" s="1" t="s">
        <v>185</v>
      </c>
      <c r="I977">
        <v>0</v>
      </c>
      <c r="J977">
        <v>72927.702600000004</v>
      </c>
      <c r="K977">
        <v>-1.2099999999999999E-3</v>
      </c>
      <c r="L977">
        <v>9.0600000000000003E-3</v>
      </c>
      <c r="M977">
        <v>0.48199999999999998</v>
      </c>
      <c r="N977">
        <v>6.4699999999999994E-2</v>
      </c>
      <c r="O977">
        <v>9.6900000000000007E-3</v>
      </c>
      <c r="P977" s="3">
        <f t="shared" si="60"/>
        <v>1371.2198244446181</v>
      </c>
      <c r="Q977" s="3">
        <f t="shared" si="61"/>
        <v>-1.2127583281653642E-3</v>
      </c>
      <c r="R977" s="3">
        <f t="shared" si="62"/>
        <v>9.0600000000000003E-3</v>
      </c>
      <c r="S977">
        <f t="shared" si="63"/>
        <v>21</v>
      </c>
      <c r="T977">
        <f>INDEX([1]IDEN_level_ids!$B:$B,MATCH(G977,[1]IDEN_level_ids!$A:$A,0),1)</f>
        <v>1094</v>
      </c>
      <c r="U977">
        <f>INDEX([1]IDEN_level_ids!$B:$B,MATCH(H977,[1]IDEN_level_ids!$A:$A,0),1)</f>
        <v>633</v>
      </c>
    </row>
    <row r="978" spans="1:21" hidden="1" x14ac:dyDescent="0.25">
      <c r="A978">
        <v>72783.4274</v>
      </c>
      <c r="B978">
        <v>1373.9391000000001</v>
      </c>
      <c r="C978">
        <v>6</v>
      </c>
      <c r="D978" t="s">
        <v>368</v>
      </c>
      <c r="F978">
        <v>1969</v>
      </c>
      <c r="G978" s="1" t="s">
        <v>302</v>
      </c>
      <c r="H978" s="1" t="s">
        <v>144</v>
      </c>
      <c r="I978">
        <v>0</v>
      </c>
      <c r="J978">
        <v>72783.146699999998</v>
      </c>
      <c r="K978">
        <v>-5.3E-3</v>
      </c>
      <c r="L978">
        <v>4.62E-3</v>
      </c>
      <c r="M978">
        <v>0.245</v>
      </c>
      <c r="N978">
        <v>0.15409999999999999</v>
      </c>
      <c r="O978">
        <v>5.47E-3</v>
      </c>
      <c r="P978" s="3">
        <f t="shared" si="60"/>
        <v>1373.939144833402</v>
      </c>
      <c r="Q978" s="3">
        <f t="shared" si="61"/>
        <v>-5.2988189634106675E-3</v>
      </c>
      <c r="R978" s="3">
        <f t="shared" si="62"/>
        <v>4.62E-3</v>
      </c>
      <c r="S978">
        <f t="shared" si="63"/>
        <v>21</v>
      </c>
      <c r="T978">
        <f>INDEX([1]IDEN_level_ids!$B:$B,MATCH(G978,[1]IDEN_level_ids!$A:$A,0),1)</f>
        <v>1100</v>
      </c>
      <c r="U978">
        <f>INDEX([1]IDEN_level_ids!$B:$B,MATCH(H978,[1]IDEN_level_ids!$A:$A,0),1)</f>
        <v>721</v>
      </c>
    </row>
    <row r="979" spans="1:21" hidden="1" x14ac:dyDescent="0.25">
      <c r="A979">
        <v>72682.500199999995</v>
      </c>
      <c r="B979">
        <v>1375.847</v>
      </c>
      <c r="C979">
        <v>6</v>
      </c>
      <c r="D979" t="s">
        <v>372</v>
      </c>
      <c r="F979">
        <v>1969</v>
      </c>
      <c r="G979" s="1" t="s">
        <v>94</v>
      </c>
      <c r="H979" s="1" t="s">
        <v>360</v>
      </c>
      <c r="I979">
        <v>0</v>
      </c>
      <c r="J979">
        <v>72682.2408</v>
      </c>
      <c r="K979">
        <v>-4.9100000000000003E-3</v>
      </c>
      <c r="L979">
        <v>4.64E-3</v>
      </c>
      <c r="M979">
        <v>0.245</v>
      </c>
      <c r="N979">
        <v>7.3200000000000001E-2</v>
      </c>
      <c r="O979">
        <v>5.0000000000000001E-3</v>
      </c>
      <c r="P979" s="3">
        <f t="shared" si="60"/>
        <v>1375.8470020270438</v>
      </c>
      <c r="Q979" s="3">
        <f t="shared" si="61"/>
        <v>-4.9103427245427156E-3</v>
      </c>
      <c r="R979" s="3">
        <f t="shared" si="62"/>
        <v>4.64E-3</v>
      </c>
      <c r="S979">
        <f t="shared" si="63"/>
        <v>22</v>
      </c>
      <c r="T979">
        <f>INDEX([1]IDEN_level_ids!$B:$B,MATCH(G979,[1]IDEN_level_ids!$A:$A,0),1)</f>
        <v>1207</v>
      </c>
      <c r="U979">
        <f>INDEX([1]IDEN_level_ids!$B:$B,MATCH(H979,[1]IDEN_level_ids!$A:$A,0),1)</f>
        <v>911</v>
      </c>
    </row>
    <row r="980" spans="1:21" hidden="1" x14ac:dyDescent="0.25">
      <c r="A980">
        <v>72672.722299999994</v>
      </c>
      <c r="B980">
        <v>1376.0320999999999</v>
      </c>
      <c r="C980">
        <v>6</v>
      </c>
      <c r="D980" t="s">
        <v>372</v>
      </c>
      <c r="F980">
        <v>1969</v>
      </c>
      <c r="G980" s="1" t="s">
        <v>38</v>
      </c>
      <c r="H980" s="1" t="s">
        <v>367</v>
      </c>
      <c r="I980">
        <v>0</v>
      </c>
      <c r="J980">
        <v>72672.478499999997</v>
      </c>
      <c r="K980">
        <v>-4.62E-3</v>
      </c>
      <c r="L980">
        <v>4.64E-3</v>
      </c>
      <c r="M980">
        <v>0.245</v>
      </c>
      <c r="N980">
        <v>8.7900000000000006E-2</v>
      </c>
      <c r="O980">
        <v>5.0899999999999999E-3</v>
      </c>
      <c r="P980" s="3">
        <f t="shared" si="60"/>
        <v>1376.0321181748272</v>
      </c>
      <c r="Q980" s="3">
        <f t="shared" si="61"/>
        <v>-4.6162816699961695E-3</v>
      </c>
      <c r="R980" s="3">
        <f t="shared" si="62"/>
        <v>4.64E-3</v>
      </c>
      <c r="S980">
        <f t="shared" si="63"/>
        <v>22</v>
      </c>
      <c r="T980">
        <f>INDEX([1]IDEN_level_ids!$B:$B,MATCH(G980,[1]IDEN_level_ids!$A:$A,0),1)</f>
        <v>1201</v>
      </c>
      <c r="U980">
        <f>INDEX([1]IDEN_level_ids!$B:$B,MATCH(H980,[1]IDEN_level_ids!$A:$A,0),1)</f>
        <v>907</v>
      </c>
    </row>
    <row r="981" spans="1:21" hidden="1" x14ac:dyDescent="0.25">
      <c r="A981">
        <v>72633.7791</v>
      </c>
      <c r="B981">
        <v>1376.7699</v>
      </c>
      <c r="C981">
        <v>6</v>
      </c>
      <c r="D981" t="s">
        <v>372</v>
      </c>
      <c r="F981">
        <v>1969</v>
      </c>
      <c r="G981" s="1" t="s">
        <v>262</v>
      </c>
      <c r="H981" s="1" t="s">
        <v>232</v>
      </c>
      <c r="I981">
        <v>0</v>
      </c>
      <c r="J981">
        <v>72633.474400000006</v>
      </c>
      <c r="K981">
        <v>-5.7800000000000004E-3</v>
      </c>
      <c r="L981">
        <v>4.64E-3</v>
      </c>
      <c r="M981">
        <v>0.245</v>
      </c>
      <c r="N981">
        <v>5.1900000000000002E-2</v>
      </c>
      <c r="O981">
        <v>4.8999999999999998E-3</v>
      </c>
      <c r="P981" s="3">
        <f t="shared" si="60"/>
        <v>1376.769889149276</v>
      </c>
      <c r="Q981" s="3">
        <f t="shared" si="61"/>
        <v>-5.7755984921641357E-3</v>
      </c>
      <c r="R981" s="3">
        <f t="shared" si="62"/>
        <v>4.64E-3</v>
      </c>
      <c r="S981">
        <f t="shared" si="63"/>
        <v>22</v>
      </c>
      <c r="T981">
        <f>INDEX([1]IDEN_level_ids!$B:$B,MATCH(G981,[1]IDEN_level_ids!$A:$A,0),1)</f>
        <v>1115</v>
      </c>
      <c r="U981">
        <f>INDEX([1]IDEN_level_ids!$B:$B,MATCH(H981,[1]IDEN_level_ids!$A:$A,0),1)</f>
        <v>801</v>
      </c>
    </row>
    <row r="982" spans="1:21" hidden="1" x14ac:dyDescent="0.25">
      <c r="A982">
        <v>72599.226699999999</v>
      </c>
      <c r="B982">
        <v>1377.4250999999999</v>
      </c>
      <c r="C982">
        <v>6</v>
      </c>
      <c r="D982" t="s">
        <v>372</v>
      </c>
      <c r="F982">
        <v>1969</v>
      </c>
      <c r="G982" s="1" t="s">
        <v>244</v>
      </c>
      <c r="H982" s="1" t="s">
        <v>373</v>
      </c>
      <c r="I982">
        <v>0</v>
      </c>
      <c r="J982">
        <v>72598.941900000005</v>
      </c>
      <c r="K982">
        <v>-5.4000000000000003E-3</v>
      </c>
      <c r="L982">
        <v>4.6499999999999996E-3</v>
      </c>
      <c r="M982">
        <v>0.245</v>
      </c>
      <c r="N982">
        <v>0.1193</v>
      </c>
      <c r="O982">
        <v>5.28E-3</v>
      </c>
      <c r="P982" s="3">
        <f t="shared" si="60"/>
        <v>1377.4251399843079</v>
      </c>
      <c r="Q982" s="3">
        <f t="shared" si="61"/>
        <v>-5.4035316436511494E-3</v>
      </c>
      <c r="R982" s="3">
        <f t="shared" si="62"/>
        <v>4.6499999999999996E-3</v>
      </c>
      <c r="S982">
        <f t="shared" si="63"/>
        <v>22</v>
      </c>
      <c r="T982">
        <f>INDEX([1]IDEN_level_ids!$B:$B,MATCH(G982,[1]IDEN_level_ids!$A:$A,0),1)</f>
        <v>1195</v>
      </c>
      <c r="U982">
        <f>INDEX([1]IDEN_level_ids!$B:$B,MATCH(H982,[1]IDEN_level_ids!$A:$A,0),1)</f>
        <v>906</v>
      </c>
    </row>
    <row r="983" spans="1:21" hidden="1" x14ac:dyDescent="0.25">
      <c r="A983">
        <v>72569.3701</v>
      </c>
      <c r="B983">
        <v>1377.9918</v>
      </c>
      <c r="C983">
        <v>6</v>
      </c>
      <c r="D983" t="s">
        <v>372</v>
      </c>
      <c r="F983">
        <v>1969</v>
      </c>
      <c r="G983" s="1" t="s">
        <v>94</v>
      </c>
      <c r="H983" s="1" t="s">
        <v>343</v>
      </c>
      <c r="I983">
        <v>0</v>
      </c>
      <c r="J983">
        <v>72569.190700000006</v>
      </c>
      <c r="K983">
        <v>-3.4099999999999998E-3</v>
      </c>
      <c r="L983">
        <v>4.6499999999999996E-3</v>
      </c>
      <c r="M983">
        <v>0.245</v>
      </c>
      <c r="N983">
        <v>5.2699999999999997E-2</v>
      </c>
      <c r="O983">
        <v>4.9100000000000003E-3</v>
      </c>
      <c r="P983" s="3">
        <f t="shared" si="60"/>
        <v>1377.9918423186093</v>
      </c>
      <c r="Q983" s="3">
        <f t="shared" si="61"/>
        <v>-3.4065659835960105E-3</v>
      </c>
      <c r="R983" s="3">
        <f t="shared" si="62"/>
        <v>4.6499999999999996E-3</v>
      </c>
      <c r="S983">
        <f t="shared" si="63"/>
        <v>22</v>
      </c>
      <c r="T983">
        <f>INDEX([1]IDEN_level_ids!$B:$B,MATCH(G983,[1]IDEN_level_ids!$A:$A,0),1)</f>
        <v>1207</v>
      </c>
      <c r="U983">
        <f>INDEX([1]IDEN_level_ids!$B:$B,MATCH(H983,[1]IDEN_level_ids!$A:$A,0),1)</f>
        <v>912</v>
      </c>
    </row>
    <row r="984" spans="1:21" hidden="1" x14ac:dyDescent="0.25">
      <c r="A984">
        <v>72465.979300000006</v>
      </c>
      <c r="B984">
        <v>1379.9579000000001</v>
      </c>
      <c r="C984">
        <v>6</v>
      </c>
      <c r="D984" t="s">
        <v>372</v>
      </c>
      <c r="F984">
        <v>1969</v>
      </c>
      <c r="G984" s="1" t="s">
        <v>297</v>
      </c>
      <c r="H984" s="1" t="s">
        <v>215</v>
      </c>
      <c r="I984">
        <v>0</v>
      </c>
      <c r="J984">
        <v>72465.601800000004</v>
      </c>
      <c r="K984">
        <v>-7.1900000000000002E-3</v>
      </c>
      <c r="L984">
        <v>4.6699999999999997E-3</v>
      </c>
      <c r="M984">
        <v>0.245</v>
      </c>
      <c r="N984">
        <v>3.27E-2</v>
      </c>
      <c r="O984">
        <v>4.8199999999999996E-3</v>
      </c>
      <c r="P984" s="3">
        <f t="shared" si="60"/>
        <v>1379.9578914957131</v>
      </c>
      <c r="Q984" s="3">
        <f t="shared" si="61"/>
        <v>-7.188708726744153E-3</v>
      </c>
      <c r="R984" s="3">
        <f t="shared" si="62"/>
        <v>4.6699999999999997E-3</v>
      </c>
      <c r="S984">
        <f t="shared" si="63"/>
        <v>22</v>
      </c>
      <c r="T984">
        <f>INDEX([1]IDEN_level_ids!$B:$B,MATCH(G984,[1]IDEN_level_ids!$A:$A,0),1)</f>
        <v>1099</v>
      </c>
      <c r="U984">
        <f>INDEX([1]IDEN_level_ids!$B:$B,MATCH(H984,[1]IDEN_level_ids!$A:$A,0),1)</f>
        <v>699</v>
      </c>
    </row>
    <row r="985" spans="1:21" hidden="1" x14ac:dyDescent="0.25">
      <c r="A985">
        <v>72400.330700000006</v>
      </c>
      <c r="B985">
        <v>1381.2092</v>
      </c>
      <c r="C985">
        <v>6</v>
      </c>
      <c r="D985" t="s">
        <v>372</v>
      </c>
      <c r="F985">
        <v>1969</v>
      </c>
      <c r="G985" s="1" t="s">
        <v>76</v>
      </c>
      <c r="H985" s="1" t="s">
        <v>338</v>
      </c>
      <c r="I985">
        <v>0</v>
      </c>
      <c r="J985">
        <v>72400.066300000006</v>
      </c>
      <c r="K985">
        <v>-5.0400000000000002E-3</v>
      </c>
      <c r="L985">
        <v>4.6699999999999997E-3</v>
      </c>
      <c r="M985">
        <v>0.245</v>
      </c>
      <c r="N985">
        <v>4.2299999999999997E-2</v>
      </c>
      <c r="O985">
        <v>4.8799999999999998E-3</v>
      </c>
      <c r="P985" s="3">
        <f t="shared" si="60"/>
        <v>1381.2091606924109</v>
      </c>
      <c r="Q985" s="3">
        <f t="shared" si="61"/>
        <v>-5.0440796637758467E-3</v>
      </c>
      <c r="R985" s="3">
        <f t="shared" si="62"/>
        <v>4.6699999999999997E-3</v>
      </c>
      <c r="S985">
        <f t="shared" si="63"/>
        <v>22</v>
      </c>
      <c r="T985">
        <f>INDEX([1]IDEN_level_ids!$B:$B,MATCH(G985,[1]IDEN_level_ids!$A:$A,0),1)</f>
        <v>1194</v>
      </c>
      <c r="U985">
        <f>INDEX([1]IDEN_level_ids!$B:$B,MATCH(H985,[1]IDEN_level_ids!$A:$A,0),1)</f>
        <v>904</v>
      </c>
    </row>
    <row r="986" spans="1:21" hidden="1" x14ac:dyDescent="0.25">
      <c r="A986">
        <v>72387.914300000004</v>
      </c>
      <c r="B986">
        <v>1381.4460999999999</v>
      </c>
      <c r="C986">
        <v>6</v>
      </c>
      <c r="D986" t="s">
        <v>372</v>
      </c>
      <c r="F986">
        <v>1969</v>
      </c>
      <c r="G986" s="1" t="s">
        <v>33</v>
      </c>
      <c r="H986" s="1" t="s">
        <v>357</v>
      </c>
      <c r="I986">
        <v>0</v>
      </c>
      <c r="J986">
        <v>72387.693799999994</v>
      </c>
      <c r="K986">
        <v>-4.2100000000000002E-3</v>
      </c>
      <c r="L986">
        <v>4.6800000000000001E-3</v>
      </c>
      <c r="M986">
        <v>0.245</v>
      </c>
      <c r="N986">
        <v>8.5000000000000006E-2</v>
      </c>
      <c r="O986">
        <v>5.11E-3</v>
      </c>
      <c r="P986" s="3">
        <f t="shared" si="60"/>
        <v>1381.4460737957745</v>
      </c>
      <c r="Q986" s="3">
        <f t="shared" si="61"/>
        <v>-4.2080199450538203E-3</v>
      </c>
      <c r="R986" s="3">
        <f t="shared" si="62"/>
        <v>4.6800000000000001E-3</v>
      </c>
      <c r="S986">
        <f t="shared" si="63"/>
        <v>22</v>
      </c>
      <c r="T986">
        <f>INDEX([1]IDEN_level_ids!$B:$B,MATCH(G986,[1]IDEN_level_ids!$A:$A,0),1)</f>
        <v>1220</v>
      </c>
      <c r="U986">
        <f>INDEX([1]IDEN_level_ids!$B:$B,MATCH(H986,[1]IDEN_level_ids!$A:$A,0),1)</f>
        <v>916</v>
      </c>
    </row>
    <row r="987" spans="1:21" hidden="1" x14ac:dyDescent="0.25">
      <c r="A987">
        <v>72364.876000000004</v>
      </c>
      <c r="B987">
        <v>1381.8859</v>
      </c>
      <c r="C987">
        <v>6</v>
      </c>
      <c r="D987" t="s">
        <v>372</v>
      </c>
      <c r="F987">
        <v>1969</v>
      </c>
      <c r="G987" s="1" t="s">
        <v>299</v>
      </c>
      <c r="H987" s="1" t="s">
        <v>156</v>
      </c>
      <c r="I987">
        <v>0</v>
      </c>
      <c r="J987">
        <v>72364.649799999999</v>
      </c>
      <c r="K987">
        <v>-4.3200000000000001E-3</v>
      </c>
      <c r="L987">
        <v>4.6800000000000001E-3</v>
      </c>
      <c r="M987">
        <v>0.245</v>
      </c>
      <c r="N987">
        <v>0.1009</v>
      </c>
      <c r="O987">
        <v>5.1999999999999998E-3</v>
      </c>
      <c r="P987" s="3">
        <f t="shared" si="60"/>
        <v>1381.8858751309128</v>
      </c>
      <c r="Q987" s="3">
        <f t="shared" si="61"/>
        <v>-4.3195480918711837E-3</v>
      </c>
      <c r="R987" s="3">
        <f t="shared" si="62"/>
        <v>4.6800000000000001E-3</v>
      </c>
      <c r="S987">
        <f t="shared" si="63"/>
        <v>22</v>
      </c>
      <c r="T987">
        <f>INDEX([1]IDEN_level_ids!$B:$B,MATCH(G987,[1]IDEN_level_ids!$A:$A,0),1)</f>
        <v>1101</v>
      </c>
      <c r="U987">
        <f>INDEX([1]IDEN_level_ids!$B:$B,MATCH(H987,[1]IDEN_level_ids!$A:$A,0),1)</f>
        <v>734</v>
      </c>
    </row>
    <row r="988" spans="1:21" hidden="1" x14ac:dyDescent="0.25">
      <c r="A988">
        <v>72348.797200000001</v>
      </c>
      <c r="B988">
        <v>1382.193</v>
      </c>
      <c r="C988">
        <v>6</v>
      </c>
      <c r="D988" t="s">
        <v>372</v>
      </c>
      <c r="F988">
        <v>1969</v>
      </c>
      <c r="G988" s="1" t="s">
        <v>82</v>
      </c>
      <c r="H988" s="1" t="s">
        <v>373</v>
      </c>
      <c r="I988">
        <v>0</v>
      </c>
      <c r="J988">
        <v>72348.891300000003</v>
      </c>
      <c r="K988">
        <v>1.8E-3</v>
      </c>
      <c r="L988">
        <v>4.6800000000000001E-3</v>
      </c>
      <c r="M988">
        <v>0.245</v>
      </c>
      <c r="N988">
        <v>0.1173</v>
      </c>
      <c r="O988">
        <v>5.3E-3</v>
      </c>
      <c r="P988" s="3">
        <f t="shared" si="60"/>
        <v>1382.1929855110293</v>
      </c>
      <c r="Q988" s="3">
        <f t="shared" si="61"/>
        <v>1.7977381214677735E-3</v>
      </c>
      <c r="R988" s="3">
        <f t="shared" si="62"/>
        <v>4.6800000000000001E-3</v>
      </c>
      <c r="S988">
        <f t="shared" si="63"/>
        <v>22</v>
      </c>
      <c r="T988">
        <f>INDEX([1]IDEN_level_ids!$B:$B,MATCH(G988,[1]IDEN_level_ids!$A:$A,0),1)</f>
        <v>1193</v>
      </c>
      <c r="U988">
        <f>INDEX([1]IDEN_level_ids!$B:$B,MATCH(H988,[1]IDEN_level_ids!$A:$A,0),1)</f>
        <v>906</v>
      </c>
    </row>
    <row r="989" spans="1:21" hidden="1" x14ac:dyDescent="0.25">
      <c r="A989">
        <v>72340.521299999993</v>
      </c>
      <c r="B989">
        <v>1382.3511000000001</v>
      </c>
      <c r="C989">
        <v>6</v>
      </c>
      <c r="D989" t="s">
        <v>372</v>
      </c>
      <c r="F989">
        <v>1969</v>
      </c>
      <c r="G989" s="1" t="s">
        <v>27</v>
      </c>
      <c r="H989" s="1" t="s">
        <v>374</v>
      </c>
      <c r="I989">
        <v>0</v>
      </c>
      <c r="J989">
        <v>72340.079100000003</v>
      </c>
      <c r="K989">
        <v>-8.4499999999999992E-3</v>
      </c>
      <c r="L989">
        <v>4.6800000000000001E-3</v>
      </c>
      <c r="M989">
        <v>0.245</v>
      </c>
      <c r="N989">
        <v>3.49E-2</v>
      </c>
      <c r="O989">
        <v>4.8500000000000001E-3</v>
      </c>
      <c r="P989" s="3">
        <f t="shared" si="60"/>
        <v>1382.3511111468865</v>
      </c>
      <c r="Q989" s="3">
        <f t="shared" si="61"/>
        <v>-8.4500275495429378E-3</v>
      </c>
      <c r="R989" s="3">
        <f t="shared" si="62"/>
        <v>4.6800000000000001E-3</v>
      </c>
      <c r="S989">
        <f t="shared" si="63"/>
        <v>22</v>
      </c>
      <c r="T989">
        <f>INDEX([1]IDEN_level_ids!$B:$B,MATCH(G989,[1]IDEN_level_ids!$A:$A,0),1)</f>
        <v>1242</v>
      </c>
      <c r="U989">
        <f>INDEX([1]IDEN_level_ids!$B:$B,MATCH(H989,[1]IDEN_level_ids!$A:$A,0),1)</f>
        <v>936</v>
      </c>
    </row>
    <row r="990" spans="1:21" hidden="1" x14ac:dyDescent="0.25">
      <c r="A990">
        <v>72274.804799999998</v>
      </c>
      <c r="B990">
        <v>1383.6079999999999</v>
      </c>
      <c r="C990">
        <v>6</v>
      </c>
      <c r="D990" t="s">
        <v>372</v>
      </c>
      <c r="F990">
        <v>1969</v>
      </c>
      <c r="G990" s="1" t="s">
        <v>297</v>
      </c>
      <c r="H990" s="1" t="s">
        <v>176</v>
      </c>
      <c r="I990">
        <v>0</v>
      </c>
      <c r="J990">
        <v>72275.012700000007</v>
      </c>
      <c r="K990">
        <v>3.98E-3</v>
      </c>
      <c r="L990">
        <v>4.6899999999999997E-3</v>
      </c>
      <c r="M990">
        <v>0.245</v>
      </c>
      <c r="N990">
        <v>0.1168</v>
      </c>
      <c r="O990">
        <v>5.3099999999999996E-3</v>
      </c>
      <c r="P990" s="3">
        <f t="shared" si="60"/>
        <v>1383.6080260157271</v>
      </c>
      <c r="Q990" s="3">
        <f t="shared" si="61"/>
        <v>3.9799662133646052E-3</v>
      </c>
      <c r="R990" s="3">
        <f t="shared" si="62"/>
        <v>4.6899999999999997E-3</v>
      </c>
      <c r="S990">
        <f t="shared" si="63"/>
        <v>22</v>
      </c>
      <c r="T990">
        <f>INDEX([1]IDEN_level_ids!$B:$B,MATCH(G990,[1]IDEN_level_ids!$A:$A,0),1)</f>
        <v>1099</v>
      </c>
      <c r="U990">
        <f>INDEX([1]IDEN_level_ids!$B:$B,MATCH(H990,[1]IDEN_level_ids!$A:$A,0),1)</f>
        <v>708</v>
      </c>
    </row>
    <row r="991" spans="1:21" hidden="1" x14ac:dyDescent="0.25">
      <c r="A991">
        <v>72264.989799999996</v>
      </c>
      <c r="B991">
        <v>1383.7959000000001</v>
      </c>
      <c r="C991">
        <v>6</v>
      </c>
      <c r="D991" t="s">
        <v>372</v>
      </c>
      <c r="F991">
        <v>1969</v>
      </c>
      <c r="G991" s="1" t="s">
        <v>375</v>
      </c>
      <c r="H991" s="1" t="s">
        <v>328</v>
      </c>
      <c r="I991">
        <v>-0.21110000000000001</v>
      </c>
      <c r="J991">
        <v>72265.010500000004</v>
      </c>
      <c r="K991">
        <v>4.0000000000000002E-4</v>
      </c>
      <c r="L991">
        <v>4.6899999999999997E-3</v>
      </c>
      <c r="M991">
        <v>0.245</v>
      </c>
      <c r="N991">
        <v>0.29020000000000001</v>
      </c>
      <c r="O991">
        <v>6.6100000000000004E-3</v>
      </c>
      <c r="P991" s="3">
        <f t="shared" si="60"/>
        <v>1383.7959470659193</v>
      </c>
      <c r="Q991" s="3">
        <f t="shared" si="61"/>
        <v>3.9638236967221019E-4</v>
      </c>
      <c r="R991" s="3">
        <f t="shared" si="62"/>
        <v>4.6899999999999997E-3</v>
      </c>
      <c r="S991">
        <f t="shared" si="63"/>
        <v>22</v>
      </c>
      <c r="T991">
        <f>INDEX([1]IDEN_level_ids!$B:$B,MATCH(G991,[1]IDEN_level_ids!$A:$A,0),1)</f>
        <v>1065</v>
      </c>
      <c r="U991">
        <f>INDEX([1]IDEN_level_ids!$B:$B,MATCH(H991,[1]IDEN_level_ids!$A:$A,0),1)</f>
        <v>366</v>
      </c>
    </row>
    <row r="992" spans="1:21" hidden="1" x14ac:dyDescent="0.25">
      <c r="A992">
        <v>72219.420199999993</v>
      </c>
      <c r="B992">
        <v>1384.6691000000001</v>
      </c>
      <c r="C992">
        <v>6</v>
      </c>
      <c r="D992" t="s">
        <v>372</v>
      </c>
      <c r="F992">
        <v>1969</v>
      </c>
      <c r="G992" s="1" t="s">
        <v>94</v>
      </c>
      <c r="H992" s="1" t="s">
        <v>376</v>
      </c>
      <c r="I992">
        <v>0</v>
      </c>
      <c r="J992">
        <v>72219.203200000004</v>
      </c>
      <c r="K992">
        <v>-4.1599999999999996E-3</v>
      </c>
      <c r="L992">
        <v>4.7000000000000002E-3</v>
      </c>
      <c r="M992">
        <v>0.245</v>
      </c>
      <c r="N992">
        <v>6.0100000000000001E-2</v>
      </c>
      <c r="O992">
        <v>5.0000000000000001E-3</v>
      </c>
      <c r="P992" s="3">
        <f t="shared" si="60"/>
        <v>1384.6691059422269</v>
      </c>
      <c r="Q992" s="3">
        <f t="shared" si="61"/>
        <v>-4.1605720177813055E-3</v>
      </c>
      <c r="R992" s="3">
        <f t="shared" si="62"/>
        <v>4.7000000000000002E-3</v>
      </c>
      <c r="S992">
        <f t="shared" si="63"/>
        <v>22</v>
      </c>
      <c r="T992">
        <f>INDEX([1]IDEN_level_ids!$B:$B,MATCH(G992,[1]IDEN_level_ids!$A:$A,0),1)</f>
        <v>1207</v>
      </c>
      <c r="U992">
        <f>INDEX([1]IDEN_level_ids!$B:$B,MATCH(H992,[1]IDEN_level_ids!$A:$A,0),1)</f>
        <v>913</v>
      </c>
    </row>
    <row r="993" spans="1:21" hidden="1" x14ac:dyDescent="0.25">
      <c r="A993">
        <v>72141.590500000006</v>
      </c>
      <c r="B993">
        <v>1386.163</v>
      </c>
      <c r="C993">
        <v>6</v>
      </c>
      <c r="D993" t="s">
        <v>372</v>
      </c>
      <c r="F993">
        <v>1969</v>
      </c>
      <c r="G993" s="1" t="s">
        <v>302</v>
      </c>
      <c r="H993" s="1" t="s">
        <v>156</v>
      </c>
      <c r="I993">
        <v>0</v>
      </c>
      <c r="J993">
        <v>72141.221099999995</v>
      </c>
      <c r="K993">
        <v>-7.1000000000000004E-3</v>
      </c>
      <c r="L993">
        <v>4.7099999999999998E-3</v>
      </c>
      <c r="M993">
        <v>0.245</v>
      </c>
      <c r="N993">
        <v>0.10100000000000001</v>
      </c>
      <c r="O993">
        <v>5.2399999999999999E-3</v>
      </c>
      <c r="P993" s="3">
        <f t="shared" si="60"/>
        <v>1386.1629513144708</v>
      </c>
      <c r="Q993" s="3">
        <f t="shared" si="61"/>
        <v>-7.0978642504542222E-3</v>
      </c>
      <c r="R993" s="3">
        <f t="shared" si="62"/>
        <v>4.7099999999999998E-3</v>
      </c>
      <c r="S993">
        <f t="shared" si="63"/>
        <v>22</v>
      </c>
      <c r="T993">
        <f>INDEX([1]IDEN_level_ids!$B:$B,MATCH(G993,[1]IDEN_level_ids!$A:$A,0),1)</f>
        <v>1100</v>
      </c>
      <c r="U993">
        <f>INDEX([1]IDEN_level_ids!$B:$B,MATCH(H993,[1]IDEN_level_ids!$A:$A,0),1)</f>
        <v>734</v>
      </c>
    </row>
    <row r="994" spans="1:21" hidden="1" x14ac:dyDescent="0.25">
      <c r="A994">
        <v>72057.792400000006</v>
      </c>
      <c r="B994">
        <v>1387.7750000000001</v>
      </c>
      <c r="C994">
        <v>6</v>
      </c>
      <c r="D994" t="s">
        <v>372</v>
      </c>
      <c r="F994">
        <v>1969</v>
      </c>
      <c r="G994" s="1" t="s">
        <v>62</v>
      </c>
      <c r="H994" s="1" t="s">
        <v>352</v>
      </c>
      <c r="I994">
        <v>0</v>
      </c>
      <c r="J994">
        <v>72057.653900000005</v>
      </c>
      <c r="K994">
        <v>-2.6700000000000001E-3</v>
      </c>
      <c r="L994">
        <v>4.7200000000000002E-3</v>
      </c>
      <c r="M994">
        <v>0.245</v>
      </c>
      <c r="N994">
        <v>0.1158</v>
      </c>
      <c r="O994">
        <v>5.3400000000000001E-3</v>
      </c>
      <c r="P994" s="3">
        <f t="shared" si="60"/>
        <v>1387.7749604774181</v>
      </c>
      <c r="Q994" s="3">
        <f t="shared" si="61"/>
        <v>-2.6674034140796721E-3</v>
      </c>
      <c r="R994" s="3">
        <f t="shared" si="62"/>
        <v>4.7200000000000002E-3</v>
      </c>
      <c r="S994">
        <f t="shared" si="63"/>
        <v>22</v>
      </c>
      <c r="T994">
        <f>INDEX([1]IDEN_level_ids!$B:$B,MATCH(G994,[1]IDEN_level_ids!$A:$A,0),1)</f>
        <v>1203</v>
      </c>
      <c r="U994">
        <f>INDEX([1]IDEN_level_ids!$B:$B,MATCH(H994,[1]IDEN_level_ids!$A:$A,0),1)</f>
        <v>909</v>
      </c>
    </row>
    <row r="995" spans="1:21" hidden="1" x14ac:dyDescent="0.25">
      <c r="A995">
        <v>72045.901500000007</v>
      </c>
      <c r="B995">
        <v>1388.0039999999999</v>
      </c>
      <c r="C995">
        <v>6</v>
      </c>
      <c r="D995" t="s">
        <v>372</v>
      </c>
      <c r="F995">
        <v>1969</v>
      </c>
      <c r="G995" s="1" t="s">
        <v>377</v>
      </c>
      <c r="H995" s="1" t="s">
        <v>378</v>
      </c>
      <c r="I995">
        <v>-0.2485</v>
      </c>
      <c r="J995">
        <v>72045.627900000007</v>
      </c>
      <c r="K995">
        <v>-5.2700000000000004E-3</v>
      </c>
      <c r="L995">
        <v>4.7200000000000002E-3</v>
      </c>
      <c r="M995">
        <v>0.245</v>
      </c>
      <c r="N995">
        <v>3.4000000000000002E-2</v>
      </c>
      <c r="O995">
        <v>4.8900000000000002E-3</v>
      </c>
      <c r="P995" s="3">
        <f t="shared" si="60"/>
        <v>1388.0040074174101</v>
      </c>
      <c r="Q995" s="3">
        <f t="shared" si="61"/>
        <v>-5.2710748382196471E-3</v>
      </c>
      <c r="R995" s="3">
        <f t="shared" si="62"/>
        <v>4.7200000000000002E-3</v>
      </c>
      <c r="S995">
        <f t="shared" si="63"/>
        <v>22</v>
      </c>
      <c r="T995">
        <f>INDEX([1]IDEN_level_ids!$B:$B,MATCH(G995,[1]IDEN_level_ids!$A:$A,0),1)</f>
        <v>1057</v>
      </c>
      <c r="U995">
        <f>INDEX([1]IDEN_level_ids!$B:$B,MATCH(H995,[1]IDEN_level_ids!$A:$A,0),1)</f>
        <v>319</v>
      </c>
    </row>
    <row r="996" spans="1:21" hidden="1" x14ac:dyDescent="0.25">
      <c r="A996">
        <v>72042.316200000001</v>
      </c>
      <c r="B996">
        <v>1388.0731000000001</v>
      </c>
      <c r="C996">
        <v>6</v>
      </c>
      <c r="D996" t="s">
        <v>372</v>
      </c>
      <c r="F996">
        <v>1969</v>
      </c>
      <c r="G996" s="1" t="s">
        <v>83</v>
      </c>
      <c r="H996" s="1" t="s">
        <v>371</v>
      </c>
      <c r="I996">
        <v>0</v>
      </c>
      <c r="J996">
        <v>72042.188800000004</v>
      </c>
      <c r="K996">
        <v>-2.4499999999999999E-3</v>
      </c>
      <c r="L996">
        <v>4.7200000000000002E-3</v>
      </c>
      <c r="M996">
        <v>0.245</v>
      </c>
      <c r="N996">
        <v>9.9199999999999997E-2</v>
      </c>
      <c r="O996">
        <v>5.2399999999999999E-3</v>
      </c>
      <c r="P996" s="3">
        <f t="shared" si="60"/>
        <v>1388.0730836358091</v>
      </c>
      <c r="Q996" s="3">
        <f t="shared" si="61"/>
        <v>-2.4546798729261354E-3</v>
      </c>
      <c r="R996" s="3">
        <f t="shared" si="62"/>
        <v>4.7200000000000002E-3</v>
      </c>
      <c r="S996">
        <f t="shared" si="63"/>
        <v>22</v>
      </c>
      <c r="T996">
        <f>INDEX([1]IDEN_level_ids!$B:$B,MATCH(G996,[1]IDEN_level_ids!$A:$A,0),1)</f>
        <v>1175</v>
      </c>
      <c r="U996">
        <f>INDEX([1]IDEN_level_ids!$B:$B,MATCH(H996,[1]IDEN_level_ids!$A:$A,0),1)</f>
        <v>902</v>
      </c>
    </row>
    <row r="997" spans="1:21" hidden="1" x14ac:dyDescent="0.25">
      <c r="A997">
        <v>71953.518800000005</v>
      </c>
      <c r="B997">
        <v>1389.7861</v>
      </c>
      <c r="C997">
        <v>6</v>
      </c>
      <c r="D997" t="s">
        <v>372</v>
      </c>
      <c r="F997">
        <v>1969</v>
      </c>
      <c r="G997" s="1" t="s">
        <v>251</v>
      </c>
      <c r="H997" s="1" t="s">
        <v>364</v>
      </c>
      <c r="I997">
        <v>0</v>
      </c>
      <c r="J997">
        <v>71953.203299999994</v>
      </c>
      <c r="K997">
        <v>-6.0899999999999999E-3</v>
      </c>
      <c r="L997">
        <v>4.7299999999999998E-3</v>
      </c>
      <c r="M997">
        <v>0.245</v>
      </c>
      <c r="N997">
        <v>0.1198</v>
      </c>
      <c r="O997">
        <v>5.3800000000000002E-3</v>
      </c>
      <c r="P997" s="3">
        <f t="shared" si="60"/>
        <v>1389.786096187418</v>
      </c>
      <c r="Q997" s="3">
        <f t="shared" si="61"/>
        <v>-6.0939262361898727E-3</v>
      </c>
      <c r="R997" s="3">
        <f t="shared" si="62"/>
        <v>4.7299999999999998E-3</v>
      </c>
      <c r="S997">
        <f t="shared" si="63"/>
        <v>22</v>
      </c>
      <c r="T997">
        <f>INDEX([1]IDEN_level_ids!$B:$B,MATCH(G997,[1]IDEN_level_ids!$A:$A,0),1)</f>
        <v>1192</v>
      </c>
      <c r="U997">
        <f>INDEX([1]IDEN_level_ids!$B:$B,MATCH(H997,[1]IDEN_level_ids!$A:$A,0),1)</f>
        <v>903</v>
      </c>
    </row>
    <row r="998" spans="1:21" hidden="1" x14ac:dyDescent="0.25">
      <c r="A998">
        <v>71937.8315</v>
      </c>
      <c r="B998">
        <v>1390.0891999999999</v>
      </c>
      <c r="C998">
        <v>6</v>
      </c>
      <c r="D998" t="s">
        <v>372</v>
      </c>
      <c r="F998">
        <v>1969</v>
      </c>
      <c r="G998" s="1" t="s">
        <v>299</v>
      </c>
      <c r="H998" s="1" t="s">
        <v>266</v>
      </c>
      <c r="I998">
        <v>0</v>
      </c>
      <c r="J998">
        <v>71937.170899999997</v>
      </c>
      <c r="K998">
        <v>-1.277E-2</v>
      </c>
      <c r="L998">
        <v>4.7299999999999998E-3</v>
      </c>
      <c r="M998">
        <v>0.245</v>
      </c>
      <c r="N998">
        <v>5.9700000000000003E-2</v>
      </c>
      <c r="O998">
        <v>5.0299999999999997E-3</v>
      </c>
      <c r="P998" s="3">
        <f t="shared" si="60"/>
        <v>1390.0891633076262</v>
      </c>
      <c r="Q998" s="3">
        <f t="shared" si="61"/>
        <v>-1.2765207330176054E-2</v>
      </c>
      <c r="R998" s="3">
        <f t="shared" si="62"/>
        <v>4.7299999999999998E-3</v>
      </c>
      <c r="S998">
        <f t="shared" si="63"/>
        <v>22</v>
      </c>
      <c r="T998">
        <f>INDEX([1]IDEN_level_ids!$B:$B,MATCH(G998,[1]IDEN_level_ids!$A:$A,0),1)</f>
        <v>1101</v>
      </c>
      <c r="U998">
        <f>INDEX([1]IDEN_level_ids!$B:$B,MATCH(H998,[1]IDEN_level_ids!$A:$A,0),1)</f>
        <v>742</v>
      </c>
    </row>
    <row r="999" spans="1:21" hidden="1" x14ac:dyDescent="0.25">
      <c r="A999">
        <v>71805.499200000006</v>
      </c>
      <c r="B999">
        <v>1392.6510000000001</v>
      </c>
      <c r="C999">
        <v>6</v>
      </c>
      <c r="D999" t="s">
        <v>372</v>
      </c>
      <c r="F999">
        <v>1969</v>
      </c>
      <c r="G999" s="1" t="s">
        <v>239</v>
      </c>
      <c r="H999" s="1" t="s">
        <v>359</v>
      </c>
      <c r="I999">
        <v>0</v>
      </c>
      <c r="J999">
        <v>71805.317500000005</v>
      </c>
      <c r="K999">
        <v>-3.5200000000000001E-3</v>
      </c>
      <c r="L999">
        <v>4.7499999999999999E-3</v>
      </c>
      <c r="M999">
        <v>0.245</v>
      </c>
      <c r="N999">
        <v>0.11509999999999999</v>
      </c>
      <c r="O999">
        <v>5.3699999999999998E-3</v>
      </c>
      <c r="P999" s="3">
        <f t="shared" si="60"/>
        <v>1392.6509962902674</v>
      </c>
      <c r="Q999" s="3">
        <f t="shared" si="61"/>
        <v>-3.5240382583197061E-3</v>
      </c>
      <c r="R999" s="3">
        <f t="shared" si="62"/>
        <v>4.7499999999999999E-3</v>
      </c>
      <c r="S999">
        <f t="shared" si="63"/>
        <v>22</v>
      </c>
      <c r="T999">
        <f>INDEX([1]IDEN_level_ids!$B:$B,MATCH(G999,[1]IDEN_level_ids!$A:$A,0),1)</f>
        <v>1167</v>
      </c>
      <c r="U999">
        <f>INDEX([1]IDEN_level_ids!$B:$B,MATCH(H999,[1]IDEN_level_ids!$A:$A,0),1)</f>
        <v>900</v>
      </c>
    </row>
    <row r="1000" spans="1:21" hidden="1" x14ac:dyDescent="0.25">
      <c r="A1000">
        <v>71796.522599999997</v>
      </c>
      <c r="B1000">
        <v>1392.8251</v>
      </c>
      <c r="C1000">
        <v>6</v>
      </c>
      <c r="D1000" t="s">
        <v>372</v>
      </c>
      <c r="F1000">
        <v>1969</v>
      </c>
      <c r="G1000" s="1" t="s">
        <v>73</v>
      </c>
      <c r="H1000" s="1" t="s">
        <v>371</v>
      </c>
      <c r="I1000">
        <v>0</v>
      </c>
      <c r="J1000">
        <v>71796.295199999993</v>
      </c>
      <c r="K1000">
        <v>-4.4099999999999999E-3</v>
      </c>
      <c r="L1000">
        <v>4.7499999999999999E-3</v>
      </c>
      <c r="M1000">
        <v>0.245</v>
      </c>
      <c r="N1000">
        <v>9.8299999999999998E-2</v>
      </c>
      <c r="O1000">
        <v>5.2700000000000004E-3</v>
      </c>
      <c r="P1000" s="3">
        <f t="shared" si="60"/>
        <v>1392.8251171317872</v>
      </c>
      <c r="Q1000" s="3">
        <f t="shared" si="61"/>
        <v>-4.4114871213878359E-3</v>
      </c>
      <c r="R1000" s="3">
        <f t="shared" si="62"/>
        <v>4.7499999999999999E-3</v>
      </c>
      <c r="S1000">
        <f t="shared" si="63"/>
        <v>22</v>
      </c>
      <c r="T1000">
        <f>INDEX([1]IDEN_level_ids!$B:$B,MATCH(G1000,[1]IDEN_level_ids!$A:$A,0),1)</f>
        <v>1173</v>
      </c>
      <c r="U1000">
        <f>INDEX([1]IDEN_level_ids!$B:$B,MATCH(H1000,[1]IDEN_level_ids!$A:$A,0),1)</f>
        <v>902</v>
      </c>
    </row>
    <row r="1001" spans="1:21" hidden="1" x14ac:dyDescent="0.25">
      <c r="A1001">
        <v>71760.409499999994</v>
      </c>
      <c r="B1001">
        <v>1393.5260000000001</v>
      </c>
      <c r="C1001">
        <v>6</v>
      </c>
      <c r="D1001" t="s">
        <v>372</v>
      </c>
      <c r="F1001">
        <v>1969</v>
      </c>
      <c r="G1001" s="1" t="s">
        <v>379</v>
      </c>
      <c r="H1001" s="1" t="s">
        <v>380</v>
      </c>
      <c r="I1001">
        <v>-0.3453</v>
      </c>
      <c r="J1001">
        <v>71760.410600000003</v>
      </c>
      <c r="K1001">
        <v>2.0000000000000002E-5</v>
      </c>
      <c r="L1001">
        <v>4.7600000000000003E-3</v>
      </c>
      <c r="M1001">
        <v>0.245</v>
      </c>
      <c r="N1001">
        <v>3.5200000000000002E-2</v>
      </c>
      <c r="O1001">
        <v>4.9300000000000004E-3</v>
      </c>
      <c r="P1001" s="3">
        <f t="shared" si="60"/>
        <v>1393.5260500429558</v>
      </c>
      <c r="Q1001" s="3">
        <f t="shared" si="61"/>
        <v>2.1361063090807875E-5</v>
      </c>
      <c r="R1001" s="3">
        <f t="shared" si="62"/>
        <v>4.7600000000000003E-3</v>
      </c>
      <c r="S1001">
        <f t="shared" si="63"/>
        <v>22</v>
      </c>
      <c r="T1001">
        <f>INDEX([1]IDEN_level_ids!$B:$B,MATCH(G1001,[1]IDEN_level_ids!$A:$A,0),1)</f>
        <v>1083</v>
      </c>
      <c r="U1001">
        <f>INDEX([1]IDEN_level_ids!$B:$B,MATCH(H1001,[1]IDEN_level_ids!$A:$A,0),1)</f>
        <v>520</v>
      </c>
    </row>
    <row r="1002" spans="1:21" hidden="1" x14ac:dyDescent="0.25">
      <c r="A1002">
        <v>71719.394899999999</v>
      </c>
      <c r="B1002">
        <v>1394.3230000000001</v>
      </c>
      <c r="C1002">
        <v>6</v>
      </c>
      <c r="D1002" t="s">
        <v>372</v>
      </c>
      <c r="F1002">
        <v>1969</v>
      </c>
      <c r="G1002" s="1" t="s">
        <v>381</v>
      </c>
      <c r="H1002" s="1" t="s">
        <v>382</v>
      </c>
      <c r="I1002">
        <v>-0.17019999999999999</v>
      </c>
      <c r="J1002">
        <v>71719.149300000005</v>
      </c>
      <c r="K1002">
        <v>-4.7800000000000004E-3</v>
      </c>
      <c r="L1002">
        <v>4.7600000000000003E-3</v>
      </c>
      <c r="M1002">
        <v>0.245</v>
      </c>
      <c r="N1002">
        <v>5.6099999999999997E-2</v>
      </c>
      <c r="O1002">
        <v>5.0499999999999998E-3</v>
      </c>
      <c r="P1002" s="3">
        <f t="shared" si="60"/>
        <v>1394.3229741331797</v>
      </c>
      <c r="Q1002" s="3">
        <f t="shared" si="61"/>
        <v>-4.7748157330715912E-3</v>
      </c>
      <c r="R1002" s="3">
        <f t="shared" si="62"/>
        <v>4.7600000000000003E-3</v>
      </c>
      <c r="S1002">
        <f t="shared" si="63"/>
        <v>22</v>
      </c>
      <c r="T1002">
        <f>INDEX([1]IDEN_level_ids!$B:$B,MATCH(G1002,[1]IDEN_level_ids!$A:$A,0),1)</f>
        <v>1084</v>
      </c>
      <c r="U1002">
        <f>INDEX([1]IDEN_level_ids!$B:$B,MATCH(H1002,[1]IDEN_level_ids!$A:$A,0),1)</f>
        <v>518</v>
      </c>
    </row>
    <row r="1003" spans="1:21" hidden="1" x14ac:dyDescent="0.25">
      <c r="A1003">
        <v>71713.626199999999</v>
      </c>
      <c r="B1003">
        <v>1394.4350999999999</v>
      </c>
      <c r="C1003">
        <v>6</v>
      </c>
      <c r="D1003" t="s">
        <v>372</v>
      </c>
      <c r="F1003">
        <v>1969</v>
      </c>
      <c r="G1003" s="1" t="s">
        <v>302</v>
      </c>
      <c r="H1003" s="1" t="s">
        <v>266</v>
      </c>
      <c r="I1003">
        <v>0</v>
      </c>
      <c r="J1003">
        <v>71713.742100000003</v>
      </c>
      <c r="K1003">
        <v>2.2499999999999998E-3</v>
      </c>
      <c r="L1003">
        <v>4.7600000000000003E-3</v>
      </c>
      <c r="M1003">
        <v>0.245</v>
      </c>
      <c r="N1003">
        <v>5.9799999999999999E-2</v>
      </c>
      <c r="O1003">
        <v>5.0699999999999999E-3</v>
      </c>
      <c r="P1003" s="3">
        <f t="shared" si="60"/>
        <v>1394.4351345602436</v>
      </c>
      <c r="Q1003" s="3">
        <f t="shared" si="61"/>
        <v>2.2536131482411292E-3</v>
      </c>
      <c r="R1003" s="3">
        <f t="shared" si="62"/>
        <v>4.7600000000000003E-3</v>
      </c>
      <c r="S1003">
        <f t="shared" si="63"/>
        <v>22</v>
      </c>
      <c r="T1003">
        <f>INDEX([1]IDEN_level_ids!$B:$B,MATCH(G1003,[1]IDEN_level_ids!$A:$A,0),1)</f>
        <v>1100</v>
      </c>
      <c r="U1003">
        <f>INDEX([1]IDEN_level_ids!$B:$B,MATCH(H1003,[1]IDEN_level_ids!$A:$A,0),1)</f>
        <v>742</v>
      </c>
    </row>
    <row r="1004" spans="1:21" hidden="1" x14ac:dyDescent="0.25">
      <c r="A1004">
        <v>71695.691399999996</v>
      </c>
      <c r="B1004">
        <v>1394.7840000000001</v>
      </c>
      <c r="C1004">
        <v>6</v>
      </c>
      <c r="D1004" t="s">
        <v>372</v>
      </c>
      <c r="F1004">
        <v>1969</v>
      </c>
      <c r="G1004" s="1" t="s">
        <v>383</v>
      </c>
      <c r="H1004" s="1" t="s">
        <v>270</v>
      </c>
      <c r="I1004">
        <v>0.2334</v>
      </c>
      <c r="J1004">
        <v>71695.791700000002</v>
      </c>
      <c r="K1004">
        <v>1.9499999999999999E-3</v>
      </c>
      <c r="L1004">
        <v>4.7699999999999999E-3</v>
      </c>
      <c r="M1004">
        <v>0.245</v>
      </c>
      <c r="N1004">
        <v>0.13600000000000001</v>
      </c>
      <c r="O1004">
        <v>5.5199999999999997E-3</v>
      </c>
      <c r="P1004" s="3">
        <f t="shared" si="60"/>
        <v>1394.7839548974628</v>
      </c>
      <c r="Q1004" s="3">
        <f t="shared" si="61"/>
        <v>1.9512558180849737E-3</v>
      </c>
      <c r="R1004" s="3">
        <f t="shared" si="62"/>
        <v>4.7699999999999999E-3</v>
      </c>
      <c r="S1004">
        <f t="shared" si="63"/>
        <v>22</v>
      </c>
      <c r="T1004">
        <f>INDEX([1]IDEN_level_ids!$B:$B,MATCH(G1004,[1]IDEN_level_ids!$A:$A,0),1)</f>
        <v>1097</v>
      </c>
      <c r="U1004">
        <f>INDEX([1]IDEN_level_ids!$B:$B,MATCH(H1004,[1]IDEN_level_ids!$A:$A,0),1)</f>
        <v>725</v>
      </c>
    </row>
    <row r="1005" spans="1:21" hidden="1" x14ac:dyDescent="0.25">
      <c r="A1005">
        <v>71650.793099999995</v>
      </c>
      <c r="B1005">
        <v>1395.6579999999999</v>
      </c>
      <c r="C1005">
        <v>6</v>
      </c>
      <c r="D1005" t="s">
        <v>372</v>
      </c>
      <c r="F1005">
        <v>1969</v>
      </c>
      <c r="G1005" s="1" t="s">
        <v>384</v>
      </c>
      <c r="H1005" s="1" t="s">
        <v>385</v>
      </c>
      <c r="I1005">
        <v>-0.33350000000000002</v>
      </c>
      <c r="J1005">
        <v>71650.526500000007</v>
      </c>
      <c r="K1005">
        <v>-5.1900000000000002E-3</v>
      </c>
      <c r="L1005">
        <v>4.7699999999999999E-3</v>
      </c>
      <c r="M1005">
        <v>0.245</v>
      </c>
      <c r="N1005">
        <v>4.9200000000000001E-2</v>
      </c>
      <c r="O1005">
        <v>5.0200000000000002E-3</v>
      </c>
      <c r="P1005" s="3">
        <f t="shared" si="60"/>
        <v>1395.6579637636978</v>
      </c>
      <c r="Q1005" s="3">
        <f t="shared" si="61"/>
        <v>-5.1930171528056235E-3</v>
      </c>
      <c r="R1005" s="3">
        <f t="shared" si="62"/>
        <v>4.7699999999999999E-3</v>
      </c>
      <c r="S1005">
        <f t="shared" si="63"/>
        <v>22</v>
      </c>
      <c r="T1005">
        <f>INDEX([1]IDEN_level_ids!$B:$B,MATCH(G1005,[1]IDEN_level_ids!$A:$A,0),1)</f>
        <v>1080</v>
      </c>
      <c r="U1005">
        <f>INDEX([1]IDEN_level_ids!$B:$B,MATCH(H1005,[1]IDEN_level_ids!$A:$A,0),1)</f>
        <v>494</v>
      </c>
    </row>
    <row r="1006" spans="1:21" hidden="1" x14ac:dyDescent="0.25">
      <c r="A1006">
        <v>71647.504499999995</v>
      </c>
      <c r="B1006">
        <v>1395.722</v>
      </c>
      <c r="C1006">
        <v>6</v>
      </c>
      <c r="D1006" t="s">
        <v>372</v>
      </c>
      <c r="F1006">
        <v>1969</v>
      </c>
      <c r="G1006" s="1" t="s">
        <v>299</v>
      </c>
      <c r="H1006" s="1" t="s">
        <v>119</v>
      </c>
      <c r="I1006">
        <v>0</v>
      </c>
      <c r="J1006">
        <v>71647.512400000007</v>
      </c>
      <c r="K1006">
        <v>1.4999999999999999E-4</v>
      </c>
      <c r="L1006">
        <v>4.7699999999999999E-3</v>
      </c>
      <c r="M1006">
        <v>0.245</v>
      </c>
      <c r="N1006">
        <v>0.13919999999999999</v>
      </c>
      <c r="O1006">
        <v>5.5399999999999998E-3</v>
      </c>
      <c r="P1006" s="3">
        <f t="shared" si="60"/>
        <v>1395.7220240657512</v>
      </c>
      <c r="Q1006" s="3">
        <f t="shared" si="61"/>
        <v>1.5389514078378852E-4</v>
      </c>
      <c r="R1006" s="3">
        <f t="shared" si="62"/>
        <v>4.7699999999999999E-3</v>
      </c>
      <c r="S1006">
        <f t="shared" si="63"/>
        <v>22</v>
      </c>
      <c r="T1006">
        <f>INDEX([1]IDEN_level_ids!$B:$B,MATCH(G1006,[1]IDEN_level_ids!$A:$A,0),1)</f>
        <v>1101</v>
      </c>
      <c r="U1006">
        <f>INDEX([1]IDEN_level_ids!$B:$B,MATCH(H1006,[1]IDEN_level_ids!$A:$A,0),1)</f>
        <v>741</v>
      </c>
    </row>
    <row r="1007" spans="1:21" hidden="1" x14ac:dyDescent="0.25">
      <c r="A1007">
        <v>71610.469899999996</v>
      </c>
      <c r="B1007">
        <v>1396.4438</v>
      </c>
      <c r="C1007">
        <v>6</v>
      </c>
      <c r="D1007" t="s">
        <v>372</v>
      </c>
      <c r="F1007">
        <v>1969</v>
      </c>
      <c r="G1007" s="1" t="s">
        <v>386</v>
      </c>
      <c r="H1007" s="1" t="s">
        <v>387</v>
      </c>
      <c r="I1007">
        <v>-0.16489999999999999</v>
      </c>
      <c r="J1007">
        <v>71610.257800000007</v>
      </c>
      <c r="K1007">
        <v>-4.1399999999999996E-3</v>
      </c>
      <c r="L1007">
        <v>4.7800000000000004E-3</v>
      </c>
      <c r="M1007">
        <v>0.245</v>
      </c>
      <c r="N1007">
        <v>3.5200000000000002E-2</v>
      </c>
      <c r="O1007">
        <v>4.9500000000000004E-3</v>
      </c>
      <c r="P1007" s="3">
        <f t="shared" si="60"/>
        <v>1396.4438459857111</v>
      </c>
      <c r="Q1007" s="3">
        <f t="shared" si="61"/>
        <v>-4.1360797856668796E-3</v>
      </c>
      <c r="R1007" s="3">
        <f t="shared" si="62"/>
        <v>4.7800000000000004E-3</v>
      </c>
      <c r="S1007">
        <f t="shared" si="63"/>
        <v>22</v>
      </c>
      <c r="T1007">
        <f>INDEX([1]IDEN_level_ids!$B:$B,MATCH(G1007,[1]IDEN_level_ids!$A:$A,0),1)</f>
        <v>1082</v>
      </c>
      <c r="U1007">
        <f>INDEX([1]IDEN_level_ids!$B:$B,MATCH(H1007,[1]IDEN_level_ids!$A:$A,0),1)</f>
        <v>497</v>
      </c>
    </row>
    <row r="1008" spans="1:21" hidden="1" x14ac:dyDescent="0.25">
      <c r="A1008">
        <v>71570.325200000007</v>
      </c>
      <c r="B1008">
        <v>1397.2271000000001</v>
      </c>
      <c r="C1008">
        <v>6</v>
      </c>
      <c r="D1008" t="s">
        <v>372</v>
      </c>
      <c r="F1008">
        <v>1969</v>
      </c>
      <c r="G1008" s="1" t="s">
        <v>379</v>
      </c>
      <c r="H1008" s="1" t="s">
        <v>388</v>
      </c>
      <c r="I1008">
        <v>-0.3453</v>
      </c>
      <c r="J1008">
        <v>71570.059699999998</v>
      </c>
      <c r="K1008">
        <v>-5.1799999999999997E-3</v>
      </c>
      <c r="L1008">
        <v>4.7800000000000004E-3</v>
      </c>
      <c r="M1008">
        <v>0.245</v>
      </c>
      <c r="N1008">
        <v>3.4500000000000003E-2</v>
      </c>
      <c r="O1008">
        <v>4.9500000000000004E-3</v>
      </c>
      <c r="P1008" s="3">
        <f t="shared" si="60"/>
        <v>1397.2271289889288</v>
      </c>
      <c r="Q1008" s="3">
        <f t="shared" si="61"/>
        <v>-5.1832261187882978E-3</v>
      </c>
      <c r="R1008" s="3">
        <f t="shared" si="62"/>
        <v>4.7800000000000004E-3</v>
      </c>
      <c r="S1008">
        <f t="shared" si="63"/>
        <v>22</v>
      </c>
      <c r="T1008">
        <f>INDEX([1]IDEN_level_ids!$B:$B,MATCH(G1008,[1]IDEN_level_ids!$A:$A,0),1)</f>
        <v>1083</v>
      </c>
      <c r="U1008">
        <f>INDEX([1]IDEN_level_ids!$B:$B,MATCH(H1008,[1]IDEN_level_ids!$A:$A,0),1)</f>
        <v>519</v>
      </c>
    </row>
    <row r="1009" spans="1:21" hidden="1" x14ac:dyDescent="0.25">
      <c r="A1009">
        <v>71564.331099999996</v>
      </c>
      <c r="B1009">
        <v>1397.3442</v>
      </c>
      <c r="C1009">
        <v>6</v>
      </c>
      <c r="D1009" t="s">
        <v>372</v>
      </c>
      <c r="F1009">
        <v>1969</v>
      </c>
      <c r="G1009" s="1" t="s">
        <v>27</v>
      </c>
      <c r="H1009" s="1" t="s">
        <v>389</v>
      </c>
      <c r="I1009">
        <v>0.23219999999999999</v>
      </c>
      <c r="J1009">
        <v>71563.961200000005</v>
      </c>
      <c r="K1009">
        <v>-7.2199999999999999E-3</v>
      </c>
      <c r="L1009">
        <v>4.7800000000000004E-3</v>
      </c>
      <c r="M1009">
        <v>0.245</v>
      </c>
      <c r="N1009">
        <v>2.5999999999999999E-2</v>
      </c>
      <c r="O1009">
        <v>4.9100000000000003E-3</v>
      </c>
      <c r="P1009" s="3">
        <f t="shared" si="60"/>
        <v>1397.3441582268908</v>
      </c>
      <c r="Q1009" s="3">
        <f t="shared" si="61"/>
        <v>-7.22259633835165E-3</v>
      </c>
      <c r="R1009" s="3">
        <f t="shared" si="62"/>
        <v>4.7800000000000004E-3</v>
      </c>
      <c r="S1009">
        <f t="shared" si="63"/>
        <v>22</v>
      </c>
      <c r="T1009">
        <f>INDEX([1]IDEN_level_ids!$B:$B,MATCH(G1009,[1]IDEN_level_ids!$A:$A,0),1)</f>
        <v>1242</v>
      </c>
      <c r="U1009">
        <f>INDEX([1]IDEN_level_ids!$B:$B,MATCH(H1009,[1]IDEN_level_ids!$A:$A,0),1)</f>
        <v>942</v>
      </c>
    </row>
    <row r="1010" spans="1:21" hidden="1" x14ac:dyDescent="0.25">
      <c r="A1010">
        <v>71534.902300000002</v>
      </c>
      <c r="B1010">
        <v>1397.9190000000001</v>
      </c>
      <c r="C1010">
        <v>6</v>
      </c>
      <c r="D1010" t="s">
        <v>372</v>
      </c>
      <c r="F1010">
        <v>1969</v>
      </c>
      <c r="G1010" s="1" t="s">
        <v>304</v>
      </c>
      <c r="H1010" s="1" t="s">
        <v>136</v>
      </c>
      <c r="I1010">
        <v>0</v>
      </c>
      <c r="J1010">
        <v>71534.812900000004</v>
      </c>
      <c r="K1010">
        <v>-1.75E-3</v>
      </c>
      <c r="L1010">
        <v>4.79E-3</v>
      </c>
      <c r="M1010">
        <v>0.245</v>
      </c>
      <c r="N1010">
        <v>0.1103</v>
      </c>
      <c r="O1010">
        <v>5.3800000000000002E-3</v>
      </c>
      <c r="P1010" s="3">
        <f t="shared" si="60"/>
        <v>1397.9190127446361</v>
      </c>
      <c r="Q1010" s="3">
        <f t="shared" si="61"/>
        <v>-1.7470369273269171E-3</v>
      </c>
      <c r="R1010" s="3">
        <f t="shared" si="62"/>
        <v>4.79E-3</v>
      </c>
      <c r="S1010">
        <f t="shared" si="63"/>
        <v>22</v>
      </c>
      <c r="T1010">
        <f>INDEX([1]IDEN_level_ids!$B:$B,MATCH(G1010,[1]IDEN_level_ids!$A:$A,0),1)</f>
        <v>1096</v>
      </c>
      <c r="U1010">
        <f>INDEX([1]IDEN_level_ids!$B:$B,MATCH(H1010,[1]IDEN_level_ids!$A:$A,0),1)</f>
        <v>700</v>
      </c>
    </row>
    <row r="1011" spans="1:21" hidden="1" x14ac:dyDescent="0.25">
      <c r="A1011">
        <v>71499.100099999996</v>
      </c>
      <c r="B1011">
        <v>1398.6189999999999</v>
      </c>
      <c r="C1011">
        <v>6</v>
      </c>
      <c r="D1011" t="s">
        <v>372</v>
      </c>
      <c r="F1011">
        <v>1969</v>
      </c>
      <c r="G1011" s="1" t="s">
        <v>386</v>
      </c>
      <c r="H1011" s="1" t="s">
        <v>390</v>
      </c>
      <c r="I1011">
        <v>-0.16489999999999999</v>
      </c>
      <c r="J1011">
        <v>71498.903099999996</v>
      </c>
      <c r="K1011">
        <v>-3.8500000000000001E-3</v>
      </c>
      <c r="L1011">
        <v>4.79E-3</v>
      </c>
      <c r="M1011">
        <v>0.245</v>
      </c>
      <c r="N1011">
        <v>4.9799999999999997E-2</v>
      </c>
      <c r="O1011">
        <v>5.0400000000000002E-3</v>
      </c>
      <c r="P1011" s="3">
        <f t="shared" si="60"/>
        <v>1398.6190016397145</v>
      </c>
      <c r="Q1011" s="3">
        <f t="shared" si="61"/>
        <v>-3.8535967878488009E-3</v>
      </c>
      <c r="R1011" s="3">
        <f t="shared" si="62"/>
        <v>4.79E-3</v>
      </c>
      <c r="S1011">
        <f t="shared" si="63"/>
        <v>22</v>
      </c>
      <c r="T1011">
        <f>INDEX([1]IDEN_level_ids!$B:$B,MATCH(G1011,[1]IDEN_level_ids!$A:$A,0),1)</f>
        <v>1082</v>
      </c>
      <c r="U1011">
        <f>INDEX([1]IDEN_level_ids!$B:$B,MATCH(H1011,[1]IDEN_level_ids!$A:$A,0),1)</f>
        <v>499</v>
      </c>
    </row>
    <row r="1012" spans="1:21" hidden="1" x14ac:dyDescent="0.25">
      <c r="A1012">
        <v>71472.419699999999</v>
      </c>
      <c r="B1012">
        <v>1399.1411000000001</v>
      </c>
      <c r="C1012">
        <v>6</v>
      </c>
      <c r="D1012" t="s">
        <v>372</v>
      </c>
      <c r="F1012">
        <v>1969</v>
      </c>
      <c r="G1012" s="1" t="s">
        <v>273</v>
      </c>
      <c r="H1012" s="1" t="s">
        <v>165</v>
      </c>
      <c r="I1012">
        <v>0</v>
      </c>
      <c r="J1012">
        <v>71472.252900000007</v>
      </c>
      <c r="K1012">
        <v>-3.2699999999999999E-3</v>
      </c>
      <c r="L1012">
        <v>4.7999999999999996E-3</v>
      </c>
      <c r="M1012">
        <v>0.245</v>
      </c>
      <c r="N1012">
        <v>3.2899999999999999E-2</v>
      </c>
      <c r="O1012">
        <v>4.96E-3</v>
      </c>
      <c r="P1012" s="3">
        <f t="shared" si="60"/>
        <v>1399.1411011372265</v>
      </c>
      <c r="Q1012" s="3">
        <f t="shared" si="61"/>
        <v>-3.2652774493726611E-3</v>
      </c>
      <c r="R1012" s="3">
        <f t="shared" si="62"/>
        <v>4.7999999999999996E-3</v>
      </c>
      <c r="S1012">
        <f t="shared" si="63"/>
        <v>22</v>
      </c>
      <c r="T1012">
        <f>INDEX([1]IDEN_level_ids!$B:$B,MATCH(G1012,[1]IDEN_level_ids!$A:$A,0),1)</f>
        <v>1105</v>
      </c>
      <c r="U1012">
        <f>INDEX([1]IDEN_level_ids!$B:$B,MATCH(H1012,[1]IDEN_level_ids!$A:$A,0),1)</f>
        <v>802</v>
      </c>
    </row>
    <row r="1013" spans="1:21" hidden="1" x14ac:dyDescent="0.25">
      <c r="A1013">
        <v>71420.407200000001</v>
      </c>
      <c r="B1013">
        <v>1400.16</v>
      </c>
      <c r="C1013">
        <v>6</v>
      </c>
      <c r="D1013" t="s">
        <v>391</v>
      </c>
      <c r="F1013">
        <v>1969</v>
      </c>
      <c r="G1013" s="1" t="s">
        <v>216</v>
      </c>
      <c r="H1013" s="1" t="s">
        <v>371</v>
      </c>
      <c r="I1013">
        <v>0</v>
      </c>
      <c r="J1013">
        <v>71420.434899999993</v>
      </c>
      <c r="K1013">
        <v>5.4000000000000001E-4</v>
      </c>
      <c r="L1013">
        <v>4.7999999999999996E-3</v>
      </c>
      <c r="M1013">
        <v>0.245</v>
      </c>
      <c r="N1013">
        <v>9.7799999999999998E-2</v>
      </c>
      <c r="O1013">
        <v>5.3200000000000001E-3</v>
      </c>
      <c r="P1013" s="3">
        <f t="shared" si="60"/>
        <v>1400.1600371721206</v>
      </c>
      <c r="Q1013" s="3">
        <f t="shared" si="61"/>
        <v>5.4304392097037635E-4</v>
      </c>
      <c r="R1013" s="3">
        <f t="shared" si="62"/>
        <v>4.7999999999999996E-3</v>
      </c>
      <c r="S1013">
        <f t="shared" si="63"/>
        <v>23</v>
      </c>
      <c r="T1013">
        <f>INDEX([1]IDEN_level_ids!$B:$B,MATCH(G1013,[1]IDEN_level_ids!$A:$A,0),1)</f>
        <v>1170</v>
      </c>
      <c r="U1013">
        <f>INDEX([1]IDEN_level_ids!$B:$B,MATCH(H1013,[1]IDEN_level_ids!$A:$A,0),1)</f>
        <v>902</v>
      </c>
    </row>
    <row r="1014" spans="1:21" hidden="1" x14ac:dyDescent="0.25">
      <c r="A1014">
        <v>71406.428100000005</v>
      </c>
      <c r="B1014">
        <v>1400.4340999999999</v>
      </c>
      <c r="C1014">
        <v>6</v>
      </c>
      <c r="D1014" t="s">
        <v>391</v>
      </c>
      <c r="F1014">
        <v>1969</v>
      </c>
      <c r="G1014" s="1" t="s">
        <v>187</v>
      </c>
      <c r="H1014" s="1" t="s">
        <v>360</v>
      </c>
      <c r="I1014">
        <v>0</v>
      </c>
      <c r="J1014">
        <v>71406.276100000003</v>
      </c>
      <c r="K1014">
        <v>-2.98E-3</v>
      </c>
      <c r="L1014">
        <v>4.7999999999999996E-3</v>
      </c>
      <c r="M1014">
        <v>0.245</v>
      </c>
      <c r="N1014">
        <v>7.1999999999999995E-2</v>
      </c>
      <c r="O1014">
        <v>5.1799999999999997E-3</v>
      </c>
      <c r="P1014" s="3">
        <f t="shared" si="60"/>
        <v>1400.4341438274519</v>
      </c>
      <c r="Q1014" s="3">
        <f t="shared" si="61"/>
        <v>-2.9810543483108631E-3</v>
      </c>
      <c r="R1014" s="3">
        <f t="shared" si="62"/>
        <v>4.7999999999999996E-3</v>
      </c>
      <c r="S1014">
        <f t="shared" si="63"/>
        <v>23</v>
      </c>
      <c r="T1014">
        <f>INDEX([1]IDEN_level_ids!$B:$B,MATCH(G1014,[1]IDEN_level_ids!$A:$A,0),1)</f>
        <v>1204</v>
      </c>
      <c r="U1014">
        <f>INDEX([1]IDEN_level_ids!$B:$B,MATCH(H1014,[1]IDEN_level_ids!$A:$A,0),1)</f>
        <v>911</v>
      </c>
    </row>
    <row r="1015" spans="1:21" hidden="1" x14ac:dyDescent="0.25">
      <c r="A1015">
        <v>71368.617299999998</v>
      </c>
      <c r="B1015">
        <v>1401.1760999999999</v>
      </c>
      <c r="C1015">
        <v>6</v>
      </c>
      <c r="D1015" t="s">
        <v>391</v>
      </c>
      <c r="F1015">
        <v>1969</v>
      </c>
      <c r="G1015" s="1" t="s">
        <v>384</v>
      </c>
      <c r="H1015" s="1" t="s">
        <v>392</v>
      </c>
      <c r="I1015">
        <v>-0.33350000000000002</v>
      </c>
      <c r="J1015">
        <v>71368.467600000004</v>
      </c>
      <c r="K1015">
        <v>-2.9399999999999999E-3</v>
      </c>
      <c r="L1015">
        <v>4.81E-3</v>
      </c>
      <c r="M1015">
        <v>0.245</v>
      </c>
      <c r="N1015">
        <v>3.4700000000000002E-2</v>
      </c>
      <c r="O1015">
        <v>4.9800000000000001E-3</v>
      </c>
      <c r="P1015" s="3">
        <f t="shared" si="60"/>
        <v>1401.1760880787024</v>
      </c>
      <c r="Q1015" s="3">
        <f t="shared" si="61"/>
        <v>-2.939057926141686E-3</v>
      </c>
      <c r="R1015" s="3">
        <f t="shared" si="62"/>
        <v>4.81E-3</v>
      </c>
      <c r="S1015">
        <f t="shared" si="63"/>
        <v>23</v>
      </c>
      <c r="T1015">
        <f>INDEX([1]IDEN_level_ids!$B:$B,MATCH(G1015,[1]IDEN_level_ids!$A:$A,0),1)</f>
        <v>1080</v>
      </c>
      <c r="U1015">
        <f>INDEX([1]IDEN_level_ids!$B:$B,MATCH(H1015,[1]IDEN_level_ids!$A:$A,0),1)</f>
        <v>498</v>
      </c>
    </row>
    <row r="1016" spans="1:21" hidden="1" x14ac:dyDescent="0.25">
      <c r="A1016">
        <v>71356.967900000003</v>
      </c>
      <c r="B1016">
        <v>1401.4048</v>
      </c>
      <c r="C1016">
        <v>6</v>
      </c>
      <c r="D1016" t="s">
        <v>391</v>
      </c>
      <c r="F1016">
        <v>1969</v>
      </c>
      <c r="G1016" s="1" t="s">
        <v>384</v>
      </c>
      <c r="H1016" s="1" t="s">
        <v>387</v>
      </c>
      <c r="I1016">
        <v>-0.33350000000000002</v>
      </c>
      <c r="J1016">
        <v>71356.782300000006</v>
      </c>
      <c r="K1016">
        <v>-3.65E-3</v>
      </c>
      <c r="L1016">
        <v>4.81E-3</v>
      </c>
      <c r="M1016">
        <v>0.245</v>
      </c>
      <c r="N1016">
        <v>3.7699999999999997E-2</v>
      </c>
      <c r="O1016">
        <v>5.0000000000000001E-3</v>
      </c>
      <c r="P1016" s="3">
        <f t="shared" si="60"/>
        <v>1401.4048374384472</v>
      </c>
      <c r="Q1016" s="3">
        <f t="shared" si="61"/>
        <v>-3.645073802999832E-3</v>
      </c>
      <c r="R1016" s="3">
        <f t="shared" si="62"/>
        <v>4.81E-3</v>
      </c>
      <c r="S1016">
        <f t="shared" si="63"/>
        <v>23</v>
      </c>
      <c r="T1016">
        <f>INDEX([1]IDEN_level_ids!$B:$B,MATCH(G1016,[1]IDEN_level_ids!$A:$A,0),1)</f>
        <v>1080</v>
      </c>
      <c r="U1016">
        <f>INDEX([1]IDEN_level_ids!$B:$B,MATCH(H1016,[1]IDEN_level_ids!$A:$A,0),1)</f>
        <v>497</v>
      </c>
    </row>
    <row r="1017" spans="1:21" hidden="1" x14ac:dyDescent="0.25">
      <c r="A1017">
        <v>71338.180800000002</v>
      </c>
      <c r="B1017">
        <v>1401.7738999999999</v>
      </c>
      <c r="C1017">
        <v>6</v>
      </c>
      <c r="D1017" t="s">
        <v>391</v>
      </c>
      <c r="F1017">
        <v>1969</v>
      </c>
      <c r="G1017" s="1" t="s">
        <v>24</v>
      </c>
      <c r="H1017" s="1" t="s">
        <v>393</v>
      </c>
      <c r="I1017">
        <v>0</v>
      </c>
      <c r="J1017">
        <v>71338.2255</v>
      </c>
      <c r="K1017">
        <v>8.8000000000000003E-4</v>
      </c>
      <c r="L1017">
        <v>4.81E-3</v>
      </c>
      <c r="M1017">
        <v>0.245</v>
      </c>
      <c r="N1017">
        <v>6.3600000000000004E-2</v>
      </c>
      <c r="O1017">
        <v>5.1399999999999996E-3</v>
      </c>
      <c r="P1017" s="3">
        <f t="shared" si="60"/>
        <v>1401.7739011365425</v>
      </c>
      <c r="Q1017" s="3">
        <f t="shared" si="61"/>
        <v>8.7834107080198009E-4</v>
      </c>
      <c r="R1017" s="3">
        <f t="shared" si="62"/>
        <v>4.81E-3</v>
      </c>
      <c r="S1017">
        <f t="shared" si="63"/>
        <v>23</v>
      </c>
      <c r="T1017">
        <f>INDEX([1]IDEN_level_ids!$B:$B,MATCH(G1017,[1]IDEN_level_ids!$A:$A,0),1)</f>
        <v>1241</v>
      </c>
      <c r="U1017">
        <f>INDEX([1]IDEN_level_ids!$B:$B,MATCH(H1017,[1]IDEN_level_ids!$A:$A,0),1)</f>
        <v>938</v>
      </c>
    </row>
    <row r="1018" spans="1:21" hidden="1" x14ac:dyDescent="0.25">
      <c r="A1018">
        <v>71324.288199999995</v>
      </c>
      <c r="B1018">
        <v>1402.0469000000001</v>
      </c>
      <c r="C1018">
        <v>6</v>
      </c>
      <c r="D1018" t="s">
        <v>391</v>
      </c>
      <c r="E1018" t="s">
        <v>52</v>
      </c>
      <c r="F1018">
        <v>1969</v>
      </c>
      <c r="G1018" s="1" t="s">
        <v>379</v>
      </c>
      <c r="H1018" s="1" t="s">
        <v>394</v>
      </c>
      <c r="I1018">
        <v>-0.3453</v>
      </c>
      <c r="J1018">
        <v>71324.035799999998</v>
      </c>
      <c r="K1018">
        <v>-4.96E-3</v>
      </c>
      <c r="L1018">
        <v>5.4299999999999999E-3</v>
      </c>
      <c r="M1018">
        <v>0.27600000000000002</v>
      </c>
      <c r="N1018">
        <v>2.9700000000000001E-2</v>
      </c>
      <c r="O1018">
        <v>5.5900000000000004E-3</v>
      </c>
      <c r="P1018" s="3">
        <f t="shared" si="60"/>
        <v>1402.046939740788</v>
      </c>
      <c r="Q1018" s="3">
        <f t="shared" si="61"/>
        <v>-4.9615342657034489E-3</v>
      </c>
      <c r="R1018" s="3">
        <f t="shared" si="62"/>
        <v>5.4299999999999999E-3</v>
      </c>
      <c r="S1018">
        <f t="shared" si="63"/>
        <v>23</v>
      </c>
      <c r="T1018">
        <f>INDEX([1]IDEN_level_ids!$B:$B,MATCH(G1018,[1]IDEN_level_ids!$A:$A,0),1)</f>
        <v>1083</v>
      </c>
      <c r="U1018">
        <f>INDEX([1]IDEN_level_ids!$B:$B,MATCH(H1018,[1]IDEN_level_ids!$A:$A,0),1)</f>
        <v>522</v>
      </c>
    </row>
    <row r="1019" spans="1:21" hidden="1" x14ac:dyDescent="0.25">
      <c r="A1019">
        <v>71320.4761</v>
      </c>
      <c r="B1019">
        <v>1402.1219000000001</v>
      </c>
      <c r="C1019">
        <v>6</v>
      </c>
      <c r="D1019" t="s">
        <v>391</v>
      </c>
      <c r="F1019">
        <v>1969</v>
      </c>
      <c r="G1019" s="1" t="s">
        <v>49</v>
      </c>
      <c r="H1019" s="1" t="s">
        <v>357</v>
      </c>
      <c r="I1019">
        <v>0</v>
      </c>
      <c r="J1019">
        <v>71320.300900000002</v>
      </c>
      <c r="K1019">
        <v>-3.4399999999999999E-3</v>
      </c>
      <c r="L1019">
        <v>4.8199999999999996E-3</v>
      </c>
      <c r="M1019">
        <v>0.245</v>
      </c>
      <c r="N1019">
        <v>8.4599999999999995E-2</v>
      </c>
      <c r="O1019">
        <v>5.2599999999999999E-3</v>
      </c>
      <c r="P1019" s="3">
        <f t="shared" si="60"/>
        <v>1402.1218795537457</v>
      </c>
      <c r="Q1019" s="3">
        <f t="shared" si="61"/>
        <v>-3.4443454417214525E-3</v>
      </c>
      <c r="R1019" s="3">
        <f t="shared" si="62"/>
        <v>4.8199999999999996E-3</v>
      </c>
      <c r="S1019">
        <f t="shared" si="63"/>
        <v>23</v>
      </c>
      <c r="T1019">
        <f>INDEX([1]IDEN_level_ids!$B:$B,MATCH(G1019,[1]IDEN_level_ids!$A:$A,0),1)</f>
        <v>1214</v>
      </c>
      <c r="U1019">
        <f>INDEX([1]IDEN_level_ids!$B:$B,MATCH(H1019,[1]IDEN_level_ids!$A:$A,0),1)</f>
        <v>916</v>
      </c>
    </row>
    <row r="1020" spans="1:21" hidden="1" x14ac:dyDescent="0.25">
      <c r="A1020">
        <v>71303.386499999993</v>
      </c>
      <c r="B1020">
        <v>1402.4579000000001</v>
      </c>
      <c r="C1020">
        <v>6</v>
      </c>
      <c r="D1020" t="s">
        <v>391</v>
      </c>
      <c r="F1020">
        <v>1969</v>
      </c>
      <c r="G1020" s="1" t="s">
        <v>197</v>
      </c>
      <c r="H1020" s="1" t="s">
        <v>338</v>
      </c>
      <c r="I1020">
        <v>0</v>
      </c>
      <c r="J1020">
        <v>71303.184599999993</v>
      </c>
      <c r="K1020">
        <v>-3.9699999999999996E-3</v>
      </c>
      <c r="L1020">
        <v>4.8199999999999996E-3</v>
      </c>
      <c r="M1020">
        <v>0.245</v>
      </c>
      <c r="N1020">
        <v>3.9300000000000002E-2</v>
      </c>
      <c r="O1020">
        <v>5.0200000000000002E-3</v>
      </c>
      <c r="P1020" s="3">
        <f t="shared" si="60"/>
        <v>1402.457932345191</v>
      </c>
      <c r="Q1020" s="3">
        <f t="shared" si="61"/>
        <v>-3.9711586255180009E-3</v>
      </c>
      <c r="R1020" s="3">
        <f t="shared" si="62"/>
        <v>4.8199999999999996E-3</v>
      </c>
      <c r="S1020">
        <f t="shared" si="63"/>
        <v>23</v>
      </c>
      <c r="T1020">
        <f>INDEX([1]IDEN_level_ids!$B:$B,MATCH(G1020,[1]IDEN_level_ids!$A:$A,0),1)</f>
        <v>1182</v>
      </c>
      <c r="U1020">
        <f>INDEX([1]IDEN_level_ids!$B:$B,MATCH(H1020,[1]IDEN_level_ids!$A:$A,0),1)</f>
        <v>904</v>
      </c>
    </row>
    <row r="1021" spans="1:21" hidden="1" x14ac:dyDescent="0.25">
      <c r="A1021">
        <v>71296.212</v>
      </c>
      <c r="B1021">
        <v>1402.5990999999999</v>
      </c>
      <c r="C1021">
        <v>6</v>
      </c>
      <c r="D1021" t="s">
        <v>391</v>
      </c>
      <c r="F1021">
        <v>1969</v>
      </c>
      <c r="G1021" s="1" t="s">
        <v>381</v>
      </c>
      <c r="H1021" s="1" t="s">
        <v>395</v>
      </c>
      <c r="I1021">
        <v>-0.17019999999999999</v>
      </c>
      <c r="J1021">
        <v>71296.459600000002</v>
      </c>
      <c r="K1021">
        <v>4.8700000000000002E-3</v>
      </c>
      <c r="L1021">
        <v>4.8199999999999996E-3</v>
      </c>
      <c r="M1021">
        <v>0.245</v>
      </c>
      <c r="N1021">
        <v>2.6700000000000002E-2</v>
      </c>
      <c r="O1021">
        <v>4.9500000000000004E-3</v>
      </c>
      <c r="P1021" s="3">
        <f t="shared" si="60"/>
        <v>1402.5990609430976</v>
      </c>
      <c r="Q1021" s="3">
        <f t="shared" si="61"/>
        <v>4.8709785794471827E-3</v>
      </c>
      <c r="R1021" s="3">
        <f t="shared" si="62"/>
        <v>4.8199999999999996E-3</v>
      </c>
      <c r="S1021">
        <f t="shared" si="63"/>
        <v>23</v>
      </c>
      <c r="T1021">
        <f>INDEX([1]IDEN_level_ids!$B:$B,MATCH(G1021,[1]IDEN_level_ids!$A:$A,0),1)</f>
        <v>1084</v>
      </c>
      <c r="U1021">
        <f>INDEX([1]IDEN_level_ids!$B:$B,MATCH(H1021,[1]IDEN_level_ids!$A:$A,0),1)</f>
        <v>523</v>
      </c>
    </row>
    <row r="1022" spans="1:21" hidden="1" x14ac:dyDescent="0.25">
      <c r="A1022">
        <v>71280.570099999997</v>
      </c>
      <c r="B1022">
        <v>1402.9068</v>
      </c>
      <c r="C1022">
        <v>6</v>
      </c>
      <c r="D1022" t="s">
        <v>391</v>
      </c>
      <c r="F1022">
        <v>1969</v>
      </c>
      <c r="G1022" s="1" t="s">
        <v>379</v>
      </c>
      <c r="H1022" s="1" t="s">
        <v>395</v>
      </c>
      <c r="I1022">
        <v>-0.3453</v>
      </c>
      <c r="J1022">
        <v>71280.432499999995</v>
      </c>
      <c r="K1022">
        <v>-2.7100000000000002E-3</v>
      </c>
      <c r="L1022">
        <v>4.8199999999999996E-3</v>
      </c>
      <c r="M1022">
        <v>0.245</v>
      </c>
      <c r="N1022">
        <v>3.04E-2</v>
      </c>
      <c r="O1022">
        <v>4.9699999999999996E-3</v>
      </c>
      <c r="P1022" s="3">
        <f t="shared" si="60"/>
        <v>1402.9068490853724</v>
      </c>
      <c r="Q1022" s="3">
        <f t="shared" si="61"/>
        <v>-2.7081763628302724E-3</v>
      </c>
      <c r="R1022" s="3">
        <f t="shared" si="62"/>
        <v>4.8199999999999996E-3</v>
      </c>
      <c r="S1022">
        <f t="shared" si="63"/>
        <v>23</v>
      </c>
      <c r="T1022">
        <f>INDEX([1]IDEN_level_ids!$B:$B,MATCH(G1022,[1]IDEN_level_ids!$A:$A,0),1)</f>
        <v>1083</v>
      </c>
      <c r="U1022">
        <f>INDEX([1]IDEN_level_ids!$B:$B,MATCH(H1022,[1]IDEN_level_ids!$A:$A,0),1)</f>
        <v>523</v>
      </c>
    </row>
    <row r="1023" spans="1:21" hidden="1" x14ac:dyDescent="0.25">
      <c r="A1023">
        <v>71267.161300000007</v>
      </c>
      <c r="B1023">
        <v>1403.1708000000001</v>
      </c>
      <c r="C1023">
        <v>6</v>
      </c>
      <c r="D1023" t="s">
        <v>391</v>
      </c>
      <c r="F1023">
        <v>1969</v>
      </c>
      <c r="G1023" s="1" t="s">
        <v>396</v>
      </c>
      <c r="H1023" s="1" t="s">
        <v>397</v>
      </c>
      <c r="I1023">
        <v>-0.31509999999999999</v>
      </c>
      <c r="J1023">
        <v>71266.837700000004</v>
      </c>
      <c r="K1023">
        <v>-6.3699999999999998E-3</v>
      </c>
      <c r="L1023">
        <v>4.8199999999999996E-3</v>
      </c>
      <c r="M1023">
        <v>0.245</v>
      </c>
      <c r="N1023">
        <v>3.4200000000000001E-2</v>
      </c>
      <c r="O1023">
        <v>4.9899999999999996E-3</v>
      </c>
      <c r="P1023" s="3">
        <f t="shared" si="60"/>
        <v>1403.1708037177004</v>
      </c>
      <c r="Q1023" s="3">
        <f t="shared" si="61"/>
        <v>-6.3713514832670626E-3</v>
      </c>
      <c r="R1023" s="3">
        <f t="shared" si="62"/>
        <v>4.8199999999999996E-3</v>
      </c>
      <c r="S1023">
        <f t="shared" si="63"/>
        <v>23</v>
      </c>
      <c r="T1023">
        <f>INDEX([1]IDEN_level_ids!$B:$B,MATCH(G1023,[1]IDEN_level_ids!$A:$A,0),1)</f>
        <v>1072</v>
      </c>
      <c r="U1023">
        <f>INDEX([1]IDEN_level_ids!$B:$B,MATCH(H1023,[1]IDEN_level_ids!$A:$A,0),1)</f>
        <v>446</v>
      </c>
    </row>
    <row r="1024" spans="1:21" hidden="1" x14ac:dyDescent="0.25">
      <c r="A1024">
        <v>71260.093800000002</v>
      </c>
      <c r="B1024">
        <v>1403.31</v>
      </c>
      <c r="C1024">
        <v>6</v>
      </c>
      <c r="D1024" t="s">
        <v>391</v>
      </c>
      <c r="F1024">
        <v>1969</v>
      </c>
      <c r="G1024" s="1" t="s">
        <v>38</v>
      </c>
      <c r="H1024" s="1" t="s">
        <v>360</v>
      </c>
      <c r="I1024">
        <v>0</v>
      </c>
      <c r="J1024">
        <v>71259.801000000007</v>
      </c>
      <c r="K1024">
        <v>-5.77E-3</v>
      </c>
      <c r="L1024">
        <v>4.8199999999999996E-3</v>
      </c>
      <c r="M1024">
        <v>0.245</v>
      </c>
      <c r="N1024">
        <v>7.0599999999999996E-2</v>
      </c>
      <c r="O1024">
        <v>5.1900000000000002E-3</v>
      </c>
      <c r="P1024" s="3">
        <f t="shared" si="60"/>
        <v>1403.3099686994799</v>
      </c>
      <c r="Q1024" s="3">
        <f t="shared" si="61"/>
        <v>-5.7660722181935853E-3</v>
      </c>
      <c r="R1024" s="3">
        <f t="shared" si="62"/>
        <v>4.8199999999999996E-3</v>
      </c>
      <c r="S1024">
        <f t="shared" si="63"/>
        <v>23</v>
      </c>
      <c r="T1024">
        <f>INDEX([1]IDEN_level_ids!$B:$B,MATCH(G1024,[1]IDEN_level_ids!$A:$A,0),1)</f>
        <v>1201</v>
      </c>
      <c r="U1024">
        <f>INDEX([1]IDEN_level_ids!$B:$B,MATCH(H1024,[1]IDEN_level_ids!$A:$A,0),1)</f>
        <v>911</v>
      </c>
    </row>
    <row r="1025" spans="1:21" hidden="1" x14ac:dyDescent="0.25">
      <c r="A1025">
        <v>71245.476599999995</v>
      </c>
      <c r="B1025">
        <v>1403.5979</v>
      </c>
      <c r="C1025">
        <v>6</v>
      </c>
      <c r="D1025" t="s">
        <v>391</v>
      </c>
      <c r="F1025">
        <v>1969</v>
      </c>
      <c r="G1025" s="1" t="s">
        <v>384</v>
      </c>
      <c r="H1025" s="1" t="s">
        <v>390</v>
      </c>
      <c r="I1025">
        <v>-0.33350000000000002</v>
      </c>
      <c r="J1025">
        <v>71245.4277</v>
      </c>
      <c r="K1025">
        <v>-9.6000000000000002E-4</v>
      </c>
      <c r="L1025">
        <v>4.8300000000000001E-3</v>
      </c>
      <c r="M1025">
        <v>0.245</v>
      </c>
      <c r="N1025">
        <v>5.16E-2</v>
      </c>
      <c r="O1025">
        <v>5.0899999999999999E-3</v>
      </c>
      <c r="P1025" s="3">
        <f t="shared" si="60"/>
        <v>1403.5978811881512</v>
      </c>
      <c r="Q1025" s="3">
        <f t="shared" si="61"/>
        <v>-9.6337320997008646E-4</v>
      </c>
      <c r="R1025" s="3">
        <f t="shared" si="62"/>
        <v>4.8300000000000001E-3</v>
      </c>
      <c r="S1025">
        <f t="shared" si="63"/>
        <v>23</v>
      </c>
      <c r="T1025">
        <f>INDEX([1]IDEN_level_ids!$B:$B,MATCH(G1025,[1]IDEN_level_ids!$A:$A,0),1)</f>
        <v>1080</v>
      </c>
      <c r="U1025">
        <f>INDEX([1]IDEN_level_ids!$B:$B,MATCH(H1025,[1]IDEN_level_ids!$A:$A,0),1)</f>
        <v>499</v>
      </c>
    </row>
    <row r="1026" spans="1:21" hidden="1" x14ac:dyDescent="0.25">
      <c r="A1026">
        <v>71219.897700000001</v>
      </c>
      <c r="B1026">
        <v>1404.1020000000001</v>
      </c>
      <c r="C1026">
        <v>6</v>
      </c>
      <c r="D1026" t="s">
        <v>391</v>
      </c>
      <c r="F1026">
        <v>1969</v>
      </c>
      <c r="G1026" s="1" t="s">
        <v>76</v>
      </c>
      <c r="H1026" s="1" t="s">
        <v>367</v>
      </c>
      <c r="I1026">
        <v>0</v>
      </c>
      <c r="J1026">
        <v>71219.659400000004</v>
      </c>
      <c r="K1026">
        <v>-4.7000000000000002E-3</v>
      </c>
      <c r="L1026">
        <v>4.8300000000000001E-3</v>
      </c>
      <c r="M1026">
        <v>0.245</v>
      </c>
      <c r="N1026">
        <v>8.4500000000000006E-2</v>
      </c>
      <c r="O1026">
        <v>5.28E-3</v>
      </c>
      <c r="P1026" s="3">
        <f t="shared" ref="P1026:P1089" si="64">100000000/$A1026</f>
        <v>1404.1019887620535</v>
      </c>
      <c r="Q1026" s="3">
        <f t="shared" ref="Q1026:Q1089" si="65">100000000/($A1026)-100000000/$J1026</f>
        <v>-4.6981059265363001E-3</v>
      </c>
      <c r="R1026" s="3">
        <f t="shared" si="62"/>
        <v>4.8300000000000001E-3</v>
      </c>
      <c r="S1026">
        <f t="shared" si="63"/>
        <v>23</v>
      </c>
      <c r="T1026">
        <f>INDEX([1]IDEN_level_ids!$B:$B,MATCH(G1026,[1]IDEN_level_ids!$A:$A,0),1)</f>
        <v>1194</v>
      </c>
      <c r="U1026">
        <f>INDEX([1]IDEN_level_ids!$B:$B,MATCH(H1026,[1]IDEN_level_ids!$A:$A,0),1)</f>
        <v>907</v>
      </c>
    </row>
    <row r="1027" spans="1:21" hidden="1" x14ac:dyDescent="0.25">
      <c r="A1027">
        <v>71152.398799999995</v>
      </c>
      <c r="B1027">
        <v>1405.434</v>
      </c>
      <c r="C1027">
        <v>6</v>
      </c>
      <c r="D1027" t="s">
        <v>391</v>
      </c>
      <c r="F1027">
        <v>1969</v>
      </c>
      <c r="G1027" s="1" t="s">
        <v>398</v>
      </c>
      <c r="H1027" s="1" t="s">
        <v>399</v>
      </c>
      <c r="I1027">
        <v>-0.2341</v>
      </c>
      <c r="J1027">
        <v>71152.151199999993</v>
      </c>
      <c r="K1027">
        <v>-4.8900000000000002E-3</v>
      </c>
      <c r="L1027">
        <v>4.8399999999999997E-3</v>
      </c>
      <c r="M1027">
        <v>0.245</v>
      </c>
      <c r="N1027">
        <v>2.4400000000000002E-2</v>
      </c>
      <c r="O1027">
        <v>4.96E-3</v>
      </c>
      <c r="P1027" s="3">
        <f t="shared" si="64"/>
        <v>1405.4339936041624</v>
      </c>
      <c r="Q1027" s="3">
        <f t="shared" si="65"/>
        <v>-4.8907229218002612E-3</v>
      </c>
      <c r="R1027" s="3">
        <f t="shared" ref="R1027:R1090" si="66">$L1027</f>
        <v>4.8399999999999997E-3</v>
      </c>
      <c r="S1027">
        <f t="shared" si="63"/>
        <v>23</v>
      </c>
      <c r="T1027">
        <f>INDEX([1]IDEN_level_ids!$B:$B,MATCH(G1027,[1]IDEN_level_ids!$A:$A,0),1)</f>
        <v>1075</v>
      </c>
      <c r="U1027">
        <f>INDEX([1]IDEN_level_ids!$B:$B,MATCH(H1027,[1]IDEN_level_ids!$A:$A,0),1)</f>
        <v>467</v>
      </c>
    </row>
    <row r="1028" spans="1:21" hidden="1" x14ac:dyDescent="0.25">
      <c r="A1028">
        <v>71146.823900000003</v>
      </c>
      <c r="B1028">
        <v>1405.5441000000001</v>
      </c>
      <c r="C1028">
        <v>6</v>
      </c>
      <c r="D1028" t="s">
        <v>391</v>
      </c>
      <c r="F1028">
        <v>1969</v>
      </c>
      <c r="G1028" s="1" t="s">
        <v>38</v>
      </c>
      <c r="H1028" s="1" t="s">
        <v>343</v>
      </c>
      <c r="I1028">
        <v>0</v>
      </c>
      <c r="J1028">
        <v>71146.750899999999</v>
      </c>
      <c r="K1028">
        <v>-1.4400000000000001E-3</v>
      </c>
      <c r="L1028">
        <v>4.8399999999999997E-3</v>
      </c>
      <c r="M1028">
        <v>0.245</v>
      </c>
      <c r="N1028">
        <v>0.05</v>
      </c>
      <c r="O1028">
        <v>5.0899999999999999E-3</v>
      </c>
      <c r="P1028" s="3">
        <f t="shared" si="64"/>
        <v>1405.5441201501055</v>
      </c>
      <c r="Q1028" s="3">
        <f t="shared" si="65"/>
        <v>-1.4421560995288019E-3</v>
      </c>
      <c r="R1028" s="3">
        <f t="shared" si="66"/>
        <v>4.8399999999999997E-3</v>
      </c>
      <c r="S1028">
        <f t="shared" ref="S1028:S1091" si="67">IF(D1028=D1027,S1027,S1027+1)</f>
        <v>23</v>
      </c>
      <c r="T1028">
        <f>INDEX([1]IDEN_level_ids!$B:$B,MATCH(G1028,[1]IDEN_level_ids!$A:$A,0),1)</f>
        <v>1201</v>
      </c>
      <c r="U1028">
        <f>INDEX([1]IDEN_level_ids!$B:$B,MATCH(H1028,[1]IDEN_level_ids!$A:$A,0),1)</f>
        <v>912</v>
      </c>
    </row>
    <row r="1029" spans="1:21" hidden="1" x14ac:dyDescent="0.25">
      <c r="A1029">
        <v>71120.171300000002</v>
      </c>
      <c r="B1029">
        <v>1406.0708999999999</v>
      </c>
      <c r="C1029">
        <v>6</v>
      </c>
      <c r="D1029" t="s">
        <v>391</v>
      </c>
      <c r="F1029">
        <v>1969</v>
      </c>
      <c r="G1029" s="1" t="s">
        <v>299</v>
      </c>
      <c r="H1029" s="1" t="s">
        <v>258</v>
      </c>
      <c r="I1029">
        <v>0</v>
      </c>
      <c r="J1029">
        <v>71120.075899999996</v>
      </c>
      <c r="K1029">
        <v>-1.89E-3</v>
      </c>
      <c r="L1029">
        <v>4.8399999999999997E-3</v>
      </c>
      <c r="M1029">
        <v>0.245</v>
      </c>
      <c r="N1029">
        <v>4.8000000000000001E-2</v>
      </c>
      <c r="O1029">
        <v>5.0899999999999999E-3</v>
      </c>
      <c r="P1029" s="3">
        <f t="shared" si="64"/>
        <v>1406.0708540503754</v>
      </c>
      <c r="Q1029" s="3">
        <f t="shared" si="65"/>
        <v>-1.886094155452156E-3</v>
      </c>
      <c r="R1029" s="3">
        <f t="shared" si="66"/>
        <v>4.8399999999999997E-3</v>
      </c>
      <c r="S1029">
        <f t="shared" si="67"/>
        <v>23</v>
      </c>
      <c r="T1029">
        <f>INDEX([1]IDEN_level_ids!$B:$B,MATCH(G1029,[1]IDEN_level_ids!$A:$A,0),1)</f>
        <v>1101</v>
      </c>
      <c r="U1029">
        <f>INDEX([1]IDEN_level_ids!$B:$B,MATCH(H1029,[1]IDEN_level_ids!$A:$A,0),1)</f>
        <v>755</v>
      </c>
    </row>
    <row r="1030" spans="1:21" hidden="1" x14ac:dyDescent="0.25">
      <c r="A1030">
        <v>71062.498399999997</v>
      </c>
      <c r="B1030">
        <v>1407.212</v>
      </c>
      <c r="C1030">
        <v>6</v>
      </c>
      <c r="D1030" t="s">
        <v>391</v>
      </c>
      <c r="F1030">
        <v>1969</v>
      </c>
      <c r="G1030" s="1" t="s">
        <v>362</v>
      </c>
      <c r="H1030" s="1" t="s">
        <v>349</v>
      </c>
      <c r="I1030">
        <v>0</v>
      </c>
      <c r="J1030">
        <v>71062.740300000005</v>
      </c>
      <c r="K1030">
        <v>4.79E-3</v>
      </c>
      <c r="L1030">
        <v>4.8500000000000001E-3</v>
      </c>
      <c r="M1030">
        <v>0.245</v>
      </c>
      <c r="N1030">
        <v>3.4599999999999999E-2</v>
      </c>
      <c r="O1030">
        <v>5.0299999999999997E-3</v>
      </c>
      <c r="P1030" s="3">
        <f t="shared" si="64"/>
        <v>1407.2119929855999</v>
      </c>
      <c r="Q1030" s="3">
        <f t="shared" si="65"/>
        <v>4.7901977841320331E-3</v>
      </c>
      <c r="R1030" s="3">
        <f t="shared" si="66"/>
        <v>4.8500000000000001E-3</v>
      </c>
      <c r="S1030">
        <f t="shared" si="67"/>
        <v>23</v>
      </c>
      <c r="T1030">
        <f>INDEX([1]IDEN_level_ids!$B:$B,MATCH(G1030,[1]IDEN_level_ids!$A:$A,0),1)</f>
        <v>1147</v>
      </c>
      <c r="U1030">
        <f>INDEX([1]IDEN_level_ids!$B:$B,MATCH(H1030,[1]IDEN_level_ids!$A:$A,0),1)</f>
        <v>886</v>
      </c>
    </row>
    <row r="1031" spans="1:21" hidden="1" x14ac:dyDescent="0.25">
      <c r="A1031">
        <v>71060.079400000002</v>
      </c>
      <c r="B1031">
        <v>1407.2599</v>
      </c>
      <c r="C1031">
        <v>6</v>
      </c>
      <c r="D1031" t="s">
        <v>391</v>
      </c>
      <c r="E1031" t="s">
        <v>52</v>
      </c>
      <c r="F1031">
        <v>1969</v>
      </c>
      <c r="G1031" s="1" t="s">
        <v>386</v>
      </c>
      <c r="H1031" s="1" t="s">
        <v>400</v>
      </c>
      <c r="I1031">
        <v>-0.16489999999999999</v>
      </c>
      <c r="J1031">
        <v>71059.922900000005</v>
      </c>
      <c r="K1031">
        <v>-3.0999999999999999E-3</v>
      </c>
      <c r="L1031">
        <v>5.47E-3</v>
      </c>
      <c r="M1031">
        <v>0.27600000000000002</v>
      </c>
      <c r="N1031">
        <v>1.6199999999999999E-2</v>
      </c>
      <c r="O1031">
        <v>5.5599999999999998E-3</v>
      </c>
      <c r="P1031" s="3">
        <f t="shared" si="64"/>
        <v>1407.2598967571657</v>
      </c>
      <c r="Q1031" s="3">
        <f t="shared" si="65"/>
        <v>-3.099302178270591E-3</v>
      </c>
      <c r="R1031" s="3">
        <f t="shared" si="66"/>
        <v>5.47E-3</v>
      </c>
      <c r="S1031">
        <f t="shared" si="67"/>
        <v>23</v>
      </c>
      <c r="T1031">
        <f>INDEX([1]IDEN_level_ids!$B:$B,MATCH(G1031,[1]IDEN_level_ids!$A:$A,0),1)</f>
        <v>1082</v>
      </c>
      <c r="U1031">
        <f>INDEX([1]IDEN_level_ids!$B:$B,MATCH(H1031,[1]IDEN_level_ids!$A:$A,0),1)</f>
        <v>503</v>
      </c>
    </row>
    <row r="1032" spans="1:21" hidden="1" x14ac:dyDescent="0.25">
      <c r="A1032">
        <v>71058.910199999998</v>
      </c>
      <c r="B1032">
        <v>1407.2831000000001</v>
      </c>
      <c r="C1032">
        <v>6</v>
      </c>
      <c r="D1032" t="s">
        <v>391</v>
      </c>
      <c r="E1032" t="s">
        <v>52</v>
      </c>
      <c r="F1032">
        <v>1969</v>
      </c>
      <c r="G1032" s="1" t="s">
        <v>24</v>
      </c>
      <c r="H1032" s="1" t="s">
        <v>389</v>
      </c>
      <c r="I1032">
        <v>0.23219999999999999</v>
      </c>
      <c r="J1032">
        <v>71058.546400000007</v>
      </c>
      <c r="K1032">
        <v>-7.1999999999999998E-3</v>
      </c>
      <c r="L1032">
        <v>5.47E-3</v>
      </c>
      <c r="M1032">
        <v>0.27600000000000002</v>
      </c>
      <c r="N1032">
        <v>2.7099999999999999E-2</v>
      </c>
      <c r="O1032">
        <v>5.62E-3</v>
      </c>
      <c r="P1032" s="3">
        <f t="shared" si="64"/>
        <v>1407.2830517459863</v>
      </c>
      <c r="Q1032" s="3">
        <f t="shared" si="65"/>
        <v>-7.2048979350256559E-3</v>
      </c>
      <c r="R1032" s="3">
        <f t="shared" si="66"/>
        <v>5.47E-3</v>
      </c>
      <c r="S1032">
        <f t="shared" si="67"/>
        <v>23</v>
      </c>
      <c r="T1032">
        <f>INDEX([1]IDEN_level_ids!$B:$B,MATCH(G1032,[1]IDEN_level_ids!$A:$A,0),1)</f>
        <v>1241</v>
      </c>
      <c r="U1032">
        <f>INDEX([1]IDEN_level_ids!$B:$B,MATCH(H1032,[1]IDEN_level_ids!$A:$A,0),1)</f>
        <v>942</v>
      </c>
    </row>
    <row r="1033" spans="1:21" hidden="1" x14ac:dyDescent="0.25">
      <c r="A1033">
        <v>71044.217699999994</v>
      </c>
      <c r="B1033">
        <v>1407.5741</v>
      </c>
      <c r="C1033">
        <v>6</v>
      </c>
      <c r="D1033" t="s">
        <v>391</v>
      </c>
      <c r="F1033">
        <v>1969</v>
      </c>
      <c r="G1033" s="1" t="s">
        <v>401</v>
      </c>
      <c r="H1033" s="1" t="s">
        <v>402</v>
      </c>
      <c r="I1033">
        <v>-5.0500000000000003E-2</v>
      </c>
      <c r="J1033">
        <v>71044.053499999995</v>
      </c>
      <c r="K1033">
        <v>-3.2499999999999999E-3</v>
      </c>
      <c r="L1033">
        <v>4.8500000000000001E-3</v>
      </c>
      <c r="M1033">
        <v>0.245</v>
      </c>
      <c r="N1033">
        <v>0.17519999999999999</v>
      </c>
      <c r="O1033">
        <v>5.8799999999999998E-3</v>
      </c>
      <c r="P1033" s="3">
        <f t="shared" si="64"/>
        <v>1407.5740888902772</v>
      </c>
      <c r="Q1033" s="3">
        <f t="shared" si="65"/>
        <v>-3.2532443465242977E-3</v>
      </c>
      <c r="R1033" s="3">
        <f t="shared" si="66"/>
        <v>4.8500000000000001E-3</v>
      </c>
      <c r="S1033">
        <f t="shared" si="67"/>
        <v>23</v>
      </c>
      <c r="T1033">
        <f>INDEX([1]IDEN_level_ids!$B:$B,MATCH(G1033,[1]IDEN_level_ids!$A:$A,0),1)</f>
        <v>1063</v>
      </c>
      <c r="U1033">
        <f>INDEX([1]IDEN_level_ids!$B:$B,MATCH(H1033,[1]IDEN_level_ids!$A:$A,0),1)</f>
        <v>383</v>
      </c>
    </row>
    <row r="1034" spans="1:21" hidden="1" x14ac:dyDescent="0.25">
      <c r="A1034">
        <v>71034.183699999994</v>
      </c>
      <c r="B1034">
        <v>1407.7728999999999</v>
      </c>
      <c r="C1034">
        <v>6</v>
      </c>
      <c r="D1034" t="s">
        <v>391</v>
      </c>
      <c r="F1034">
        <v>1969</v>
      </c>
      <c r="G1034" s="1" t="s">
        <v>386</v>
      </c>
      <c r="H1034" s="1" t="s">
        <v>403</v>
      </c>
      <c r="I1034">
        <v>-0.16489999999999999</v>
      </c>
      <c r="J1034">
        <v>71034.016300000003</v>
      </c>
      <c r="K1034">
        <v>-3.32E-3</v>
      </c>
      <c r="L1034">
        <v>4.8599999999999997E-3</v>
      </c>
      <c r="M1034">
        <v>0.245</v>
      </c>
      <c r="N1034">
        <v>2.4299999999999999E-2</v>
      </c>
      <c r="O1034">
        <v>4.9800000000000001E-3</v>
      </c>
      <c r="P1034" s="3">
        <f t="shared" si="64"/>
        <v>1407.7729170835817</v>
      </c>
      <c r="Q1034" s="3">
        <f t="shared" si="65"/>
        <v>-3.317582175213829E-3</v>
      </c>
      <c r="R1034" s="3">
        <f t="shared" si="66"/>
        <v>4.8599999999999997E-3</v>
      </c>
      <c r="S1034">
        <f t="shared" si="67"/>
        <v>23</v>
      </c>
      <c r="T1034">
        <f>INDEX([1]IDEN_level_ids!$B:$B,MATCH(G1034,[1]IDEN_level_ids!$A:$A,0),1)</f>
        <v>1082</v>
      </c>
      <c r="U1034">
        <f>INDEX([1]IDEN_level_ids!$B:$B,MATCH(H1034,[1]IDEN_level_ids!$A:$A,0),1)</f>
        <v>505</v>
      </c>
    </row>
    <row r="1035" spans="1:21" hidden="1" x14ac:dyDescent="0.25">
      <c r="A1035">
        <v>71027.576100000006</v>
      </c>
      <c r="B1035">
        <v>1407.9039</v>
      </c>
      <c r="C1035">
        <v>6</v>
      </c>
      <c r="D1035" t="s">
        <v>391</v>
      </c>
      <c r="F1035">
        <v>1969</v>
      </c>
      <c r="G1035" s="1" t="s">
        <v>381</v>
      </c>
      <c r="H1035" s="1" t="s">
        <v>404</v>
      </c>
      <c r="I1035">
        <v>-0.17019999999999999</v>
      </c>
      <c r="J1035">
        <v>71027.702999999994</v>
      </c>
      <c r="K1035">
        <v>2.5200000000000001E-3</v>
      </c>
      <c r="L1035">
        <v>4.8599999999999997E-3</v>
      </c>
      <c r="M1035">
        <v>0.245</v>
      </c>
      <c r="N1035">
        <v>4.9000000000000002E-2</v>
      </c>
      <c r="O1035">
        <v>5.11E-3</v>
      </c>
      <c r="P1035" s="3">
        <f t="shared" si="64"/>
        <v>1407.9038803071303</v>
      </c>
      <c r="Q1035" s="3">
        <f t="shared" si="65"/>
        <v>2.5153988492547796E-3</v>
      </c>
      <c r="R1035" s="3">
        <f t="shared" si="66"/>
        <v>4.8599999999999997E-3</v>
      </c>
      <c r="S1035">
        <f t="shared" si="67"/>
        <v>23</v>
      </c>
      <c r="T1035">
        <f>INDEX([1]IDEN_level_ids!$B:$B,MATCH(G1035,[1]IDEN_level_ids!$A:$A,0),1)</f>
        <v>1084</v>
      </c>
      <c r="U1035">
        <f>INDEX([1]IDEN_level_ids!$B:$B,MATCH(H1035,[1]IDEN_level_ids!$A:$A,0),1)</f>
        <v>525</v>
      </c>
    </row>
    <row r="1036" spans="1:21" hidden="1" x14ac:dyDescent="0.25">
      <c r="A1036">
        <v>70995.2978</v>
      </c>
      <c r="B1036">
        <v>1408.5440000000001</v>
      </c>
      <c r="C1036">
        <v>6</v>
      </c>
      <c r="D1036" t="s">
        <v>391</v>
      </c>
      <c r="F1036">
        <v>1969</v>
      </c>
      <c r="G1036" s="1" t="s">
        <v>68</v>
      </c>
      <c r="H1036" s="1" t="s">
        <v>405</v>
      </c>
      <c r="I1036">
        <v>0</v>
      </c>
      <c r="J1036">
        <v>70995.257899999997</v>
      </c>
      <c r="K1036">
        <v>-7.9000000000000001E-4</v>
      </c>
      <c r="L1036">
        <v>4.8599999999999997E-3</v>
      </c>
      <c r="M1036">
        <v>0.245</v>
      </c>
      <c r="N1036">
        <v>6.1600000000000002E-2</v>
      </c>
      <c r="O1036">
        <v>5.1799999999999997E-3</v>
      </c>
      <c r="P1036" s="3">
        <f t="shared" si="64"/>
        <v>1408.5439895147535</v>
      </c>
      <c r="Q1036" s="3">
        <f t="shared" si="65"/>
        <v>-7.9161491680679319E-4</v>
      </c>
      <c r="R1036" s="3">
        <f t="shared" si="66"/>
        <v>4.8599999999999997E-3</v>
      </c>
      <c r="S1036">
        <f t="shared" si="67"/>
        <v>23</v>
      </c>
      <c r="T1036">
        <f>INDEX([1]IDEN_level_ids!$B:$B,MATCH(G1036,[1]IDEN_level_ids!$A:$A,0),1)</f>
        <v>1229</v>
      </c>
      <c r="U1036">
        <f>INDEX([1]IDEN_level_ids!$B:$B,MATCH(H1036,[1]IDEN_level_ids!$A:$A,0),1)</f>
        <v>927</v>
      </c>
    </row>
    <row r="1037" spans="1:21" hidden="1" x14ac:dyDescent="0.25">
      <c r="A1037">
        <v>70948.201100000006</v>
      </c>
      <c r="B1037">
        <v>1409.479</v>
      </c>
      <c r="C1037">
        <v>6</v>
      </c>
      <c r="D1037" t="s">
        <v>391</v>
      </c>
      <c r="F1037">
        <v>1969</v>
      </c>
      <c r="G1037" s="1" t="s">
        <v>381</v>
      </c>
      <c r="H1037" s="1" t="s">
        <v>406</v>
      </c>
      <c r="I1037">
        <v>-0.17019999999999999</v>
      </c>
      <c r="J1037">
        <v>70947.901400000002</v>
      </c>
      <c r="K1037">
        <v>-5.9500000000000004E-3</v>
      </c>
      <c r="L1037">
        <v>4.8700000000000002E-3</v>
      </c>
      <c r="M1037">
        <v>0.245</v>
      </c>
      <c r="N1037">
        <v>3.1199999999999999E-2</v>
      </c>
      <c r="O1037">
        <v>5.0200000000000002E-3</v>
      </c>
      <c r="P1037" s="3">
        <f t="shared" si="64"/>
        <v>1409.4790065085947</v>
      </c>
      <c r="Q1037" s="3">
        <f t="shared" si="65"/>
        <v>-5.9539584669892065E-3</v>
      </c>
      <c r="R1037" s="3">
        <f t="shared" si="66"/>
        <v>4.8700000000000002E-3</v>
      </c>
      <c r="S1037">
        <f t="shared" si="67"/>
        <v>23</v>
      </c>
      <c r="T1037">
        <f>INDEX([1]IDEN_level_ids!$B:$B,MATCH(G1037,[1]IDEN_level_ids!$A:$A,0),1)</f>
        <v>1084</v>
      </c>
      <c r="U1037">
        <f>INDEX([1]IDEN_level_ids!$B:$B,MATCH(H1037,[1]IDEN_level_ids!$A:$A,0),1)</f>
        <v>527</v>
      </c>
    </row>
    <row r="1038" spans="1:21" hidden="1" x14ac:dyDescent="0.25">
      <c r="A1038">
        <v>70945.386199999994</v>
      </c>
      <c r="B1038">
        <v>1409.5349000000001</v>
      </c>
      <c r="C1038">
        <v>6</v>
      </c>
      <c r="D1038" t="s">
        <v>391</v>
      </c>
      <c r="F1038">
        <v>1969</v>
      </c>
      <c r="G1038" s="1" t="s">
        <v>407</v>
      </c>
      <c r="H1038" s="1" t="s">
        <v>408</v>
      </c>
      <c r="I1038">
        <v>-0.20150000000000001</v>
      </c>
      <c r="J1038">
        <v>70945.14</v>
      </c>
      <c r="K1038">
        <v>-4.8900000000000002E-3</v>
      </c>
      <c r="L1038">
        <v>4.8700000000000002E-3</v>
      </c>
      <c r="M1038">
        <v>0.245</v>
      </c>
      <c r="N1038">
        <v>2.4799999999999999E-2</v>
      </c>
      <c r="O1038">
        <v>4.9899999999999996E-3</v>
      </c>
      <c r="P1038" s="3">
        <f t="shared" si="64"/>
        <v>1409.534930405383</v>
      </c>
      <c r="Q1038" s="3">
        <f t="shared" si="65"/>
        <v>-4.8914908034021209E-3</v>
      </c>
      <c r="R1038" s="3">
        <f t="shared" si="66"/>
        <v>4.8700000000000002E-3</v>
      </c>
      <c r="S1038">
        <f t="shared" si="67"/>
        <v>23</v>
      </c>
      <c r="T1038">
        <f>INDEX([1]IDEN_level_ids!$B:$B,MATCH(G1038,[1]IDEN_level_ids!$A:$A,0),1)</f>
        <v>1073</v>
      </c>
      <c r="U1038">
        <f>INDEX([1]IDEN_level_ids!$B:$B,MATCH(H1038,[1]IDEN_level_ids!$A:$A,0),1)</f>
        <v>461</v>
      </c>
    </row>
    <row r="1039" spans="1:21" hidden="1" x14ac:dyDescent="0.25">
      <c r="A1039">
        <v>70936.680999999997</v>
      </c>
      <c r="B1039">
        <v>1409.7079000000001</v>
      </c>
      <c r="C1039">
        <v>6</v>
      </c>
      <c r="D1039" t="s">
        <v>391</v>
      </c>
      <c r="F1039">
        <v>1969</v>
      </c>
      <c r="G1039" s="1" t="s">
        <v>118</v>
      </c>
      <c r="H1039" s="1" t="s">
        <v>409</v>
      </c>
      <c r="I1039">
        <v>0</v>
      </c>
      <c r="J1039">
        <v>70936.341199999995</v>
      </c>
      <c r="K1039">
        <v>-6.7499999999999999E-3</v>
      </c>
      <c r="L1039">
        <v>4.8700000000000002E-3</v>
      </c>
      <c r="M1039">
        <v>0.245</v>
      </c>
      <c r="N1039">
        <v>0.17480000000000001</v>
      </c>
      <c r="O1039">
        <v>5.8999999999999999E-3</v>
      </c>
      <c r="P1039" s="3">
        <f t="shared" si="64"/>
        <v>1409.7079055615811</v>
      </c>
      <c r="Q1039" s="3">
        <f t="shared" si="65"/>
        <v>-6.7527974829317827E-3</v>
      </c>
      <c r="R1039" s="3">
        <f t="shared" si="66"/>
        <v>4.8700000000000002E-3</v>
      </c>
      <c r="S1039">
        <f t="shared" si="67"/>
        <v>23</v>
      </c>
      <c r="T1039">
        <f>INDEX([1]IDEN_level_ids!$B:$B,MATCH(G1039,[1]IDEN_level_ids!$A:$A,0),1)</f>
        <v>1237</v>
      </c>
      <c r="U1039">
        <f>INDEX([1]IDEN_level_ids!$B:$B,MATCH(H1039,[1]IDEN_level_ids!$A:$A,0),1)</f>
        <v>933</v>
      </c>
    </row>
    <row r="1040" spans="1:21" hidden="1" x14ac:dyDescent="0.25">
      <c r="A1040">
        <v>70931.997399999993</v>
      </c>
      <c r="B1040">
        <v>1409.8009999999999</v>
      </c>
      <c r="C1040">
        <v>6</v>
      </c>
      <c r="D1040" t="s">
        <v>391</v>
      </c>
      <c r="E1040" t="s">
        <v>45</v>
      </c>
      <c r="F1040">
        <v>1969</v>
      </c>
      <c r="G1040" s="1" t="s">
        <v>379</v>
      </c>
      <c r="H1040" s="1" t="s">
        <v>406</v>
      </c>
      <c r="I1040">
        <v>-0.3453</v>
      </c>
      <c r="J1040">
        <v>70931.874299999996</v>
      </c>
      <c r="K1040">
        <v>-2.4499999999999999E-3</v>
      </c>
      <c r="L1040">
        <v>9.58E-3</v>
      </c>
      <c r="M1040">
        <v>0.48199999999999998</v>
      </c>
      <c r="N1040">
        <v>8.9999999999999993E-3</v>
      </c>
      <c r="O1040">
        <v>9.6699999999999998E-3</v>
      </c>
      <c r="P1040" s="3">
        <f t="shared" si="64"/>
        <v>1409.8009877838292</v>
      </c>
      <c r="Q1040" s="3">
        <f t="shared" si="65"/>
        <v>-2.4466645397751563E-3</v>
      </c>
      <c r="R1040" s="3">
        <f t="shared" si="66"/>
        <v>9.58E-3</v>
      </c>
      <c r="S1040">
        <f t="shared" si="67"/>
        <v>23</v>
      </c>
      <c r="T1040">
        <f>INDEX([1]IDEN_level_ids!$B:$B,MATCH(G1040,[1]IDEN_level_ids!$A:$A,0),1)</f>
        <v>1083</v>
      </c>
      <c r="U1040">
        <f>INDEX([1]IDEN_level_ids!$B:$B,MATCH(H1040,[1]IDEN_level_ids!$A:$A,0),1)</f>
        <v>527</v>
      </c>
    </row>
    <row r="1041" spans="1:21" hidden="1" x14ac:dyDescent="0.25">
      <c r="A1041">
        <v>70906.698499999999</v>
      </c>
      <c r="B1041">
        <v>1410.3040000000001</v>
      </c>
      <c r="C1041">
        <v>6</v>
      </c>
      <c r="D1041" t="s">
        <v>391</v>
      </c>
      <c r="F1041">
        <v>1969</v>
      </c>
      <c r="G1041" s="1" t="s">
        <v>40</v>
      </c>
      <c r="H1041" s="1" t="s">
        <v>343</v>
      </c>
      <c r="I1041">
        <v>0</v>
      </c>
      <c r="J1041">
        <v>70906.488800000006</v>
      </c>
      <c r="K1041">
        <v>-4.1700000000000001E-3</v>
      </c>
      <c r="L1041">
        <v>4.8700000000000002E-3</v>
      </c>
      <c r="M1041">
        <v>0.245</v>
      </c>
      <c r="N1041">
        <v>4.9099999999999998E-2</v>
      </c>
      <c r="O1041">
        <v>5.1200000000000004E-3</v>
      </c>
      <c r="P1041" s="3">
        <f t="shared" si="64"/>
        <v>1410.3039926474648</v>
      </c>
      <c r="Q1041" s="3">
        <f t="shared" si="65"/>
        <v>-4.1708559010658064E-3</v>
      </c>
      <c r="R1041" s="3">
        <f t="shared" si="66"/>
        <v>4.8700000000000002E-3</v>
      </c>
      <c r="S1041">
        <f t="shared" si="67"/>
        <v>23</v>
      </c>
      <c r="T1041">
        <f>INDEX([1]IDEN_level_ids!$B:$B,MATCH(G1041,[1]IDEN_level_ids!$A:$A,0),1)</f>
        <v>1199</v>
      </c>
      <c r="U1041">
        <f>INDEX([1]IDEN_level_ids!$B:$B,MATCH(H1041,[1]IDEN_level_ids!$A:$A,0),1)</f>
        <v>912</v>
      </c>
    </row>
    <row r="1042" spans="1:21" hidden="1" x14ac:dyDescent="0.25">
      <c r="A1042">
        <v>70895.430099999998</v>
      </c>
      <c r="B1042">
        <v>1410.5282</v>
      </c>
      <c r="C1042">
        <v>6</v>
      </c>
      <c r="D1042" t="s">
        <v>391</v>
      </c>
      <c r="E1042" t="s">
        <v>66</v>
      </c>
      <c r="F1042">
        <v>1969</v>
      </c>
      <c r="G1042" s="1" t="s">
        <v>239</v>
      </c>
      <c r="H1042" s="1" t="s">
        <v>371</v>
      </c>
      <c r="I1042">
        <v>0</v>
      </c>
      <c r="J1042">
        <v>70895.210300000006</v>
      </c>
      <c r="K1042">
        <v>-4.3699999999999998E-3</v>
      </c>
      <c r="L1042">
        <v>1.277E-2</v>
      </c>
      <c r="M1042">
        <v>0.64200000000000002</v>
      </c>
      <c r="N1042">
        <v>1.43E-2</v>
      </c>
      <c r="O1042">
        <v>1.2959999999999999E-2</v>
      </c>
      <c r="P1042" s="3">
        <f t="shared" si="64"/>
        <v>1410.5281519407836</v>
      </c>
      <c r="Q1042" s="3">
        <f t="shared" si="65"/>
        <v>-4.3731316470712045E-3</v>
      </c>
      <c r="R1042" s="3">
        <f t="shared" si="66"/>
        <v>1.277E-2</v>
      </c>
      <c r="S1042">
        <f t="shared" si="67"/>
        <v>23</v>
      </c>
      <c r="T1042">
        <f>INDEX([1]IDEN_level_ids!$B:$B,MATCH(G1042,[1]IDEN_level_ids!$A:$A,0),1)</f>
        <v>1167</v>
      </c>
      <c r="U1042">
        <f>INDEX([1]IDEN_level_ids!$B:$B,MATCH(H1042,[1]IDEN_level_ids!$A:$A,0),1)</f>
        <v>902</v>
      </c>
    </row>
    <row r="1043" spans="1:21" hidden="1" x14ac:dyDescent="0.25">
      <c r="A1043">
        <v>70889.264899999995</v>
      </c>
      <c r="B1043">
        <v>1410.6507999999999</v>
      </c>
      <c r="C1043">
        <v>6</v>
      </c>
      <c r="D1043" t="s">
        <v>391</v>
      </c>
      <c r="F1043">
        <v>1969</v>
      </c>
      <c r="G1043" s="1" t="s">
        <v>410</v>
      </c>
      <c r="H1043" s="1" t="s">
        <v>411</v>
      </c>
      <c r="I1043">
        <v>-7.6499999999999999E-2</v>
      </c>
      <c r="J1043">
        <v>70889.056400000001</v>
      </c>
      <c r="K1043">
        <v>-4.15E-3</v>
      </c>
      <c r="L1043">
        <v>4.8799999999999998E-3</v>
      </c>
      <c r="M1043">
        <v>0.245</v>
      </c>
      <c r="N1043">
        <v>3.2599999999999997E-2</v>
      </c>
      <c r="O1043">
        <v>5.0400000000000002E-3</v>
      </c>
      <c r="P1043" s="3">
        <f t="shared" si="64"/>
        <v>1410.6508247908212</v>
      </c>
      <c r="Q1043" s="3">
        <f t="shared" si="65"/>
        <v>-4.149028240590269E-3</v>
      </c>
      <c r="R1043" s="3">
        <f t="shared" si="66"/>
        <v>4.8799999999999998E-3</v>
      </c>
      <c r="S1043">
        <f t="shared" si="67"/>
        <v>23</v>
      </c>
      <c r="T1043">
        <f>INDEX([1]IDEN_level_ids!$B:$B,MATCH(G1043,[1]IDEN_level_ids!$A:$A,0),1)</f>
        <v>1056</v>
      </c>
      <c r="U1043">
        <f>INDEX([1]IDEN_level_ids!$B:$B,MATCH(H1043,[1]IDEN_level_ids!$A:$A,0),1)</f>
        <v>374</v>
      </c>
    </row>
    <row r="1044" spans="1:21" hidden="1" x14ac:dyDescent="0.25">
      <c r="A1044">
        <v>70884.526100000003</v>
      </c>
      <c r="B1044">
        <v>1410.7451000000001</v>
      </c>
      <c r="C1044">
        <v>6</v>
      </c>
      <c r="D1044" t="s">
        <v>391</v>
      </c>
      <c r="F1044">
        <v>1969</v>
      </c>
      <c r="G1044" s="1" t="s">
        <v>56</v>
      </c>
      <c r="H1044" s="1" t="s">
        <v>412</v>
      </c>
      <c r="I1044">
        <v>0</v>
      </c>
      <c r="J1044">
        <v>70884.634900000005</v>
      </c>
      <c r="K1044">
        <v>2.1700000000000001E-3</v>
      </c>
      <c r="L1044">
        <v>4.8799999999999998E-3</v>
      </c>
      <c r="M1044">
        <v>0.245</v>
      </c>
      <c r="N1044">
        <v>0.1115</v>
      </c>
      <c r="O1044">
        <v>5.4900000000000001E-3</v>
      </c>
      <c r="P1044" s="3">
        <f t="shared" si="64"/>
        <v>1410.7451301702361</v>
      </c>
      <c r="Q1044" s="3">
        <f t="shared" si="65"/>
        <v>2.165336259167816E-3</v>
      </c>
      <c r="R1044" s="3">
        <f t="shared" si="66"/>
        <v>4.8799999999999998E-3</v>
      </c>
      <c r="S1044">
        <f t="shared" si="67"/>
        <v>23</v>
      </c>
      <c r="T1044">
        <f>INDEX([1]IDEN_level_ids!$B:$B,MATCH(G1044,[1]IDEN_level_ids!$A:$A,0),1)</f>
        <v>1221</v>
      </c>
      <c r="U1044">
        <f>INDEX([1]IDEN_level_ids!$B:$B,MATCH(H1044,[1]IDEN_level_ids!$A:$A,0),1)</f>
        <v>923</v>
      </c>
    </row>
    <row r="1045" spans="1:21" hidden="1" x14ac:dyDescent="0.25">
      <c r="A1045">
        <v>70853.033800000005</v>
      </c>
      <c r="B1045">
        <v>1411.3722</v>
      </c>
      <c r="C1045">
        <v>6</v>
      </c>
      <c r="D1045" t="s">
        <v>391</v>
      </c>
      <c r="E1045" t="s">
        <v>52</v>
      </c>
      <c r="F1045">
        <v>1969</v>
      </c>
      <c r="G1045" s="1" t="s">
        <v>413</v>
      </c>
      <c r="H1045" s="1" t="s">
        <v>414</v>
      </c>
      <c r="I1045">
        <v>-4.7300000000000002E-2</v>
      </c>
      <c r="J1045">
        <v>70852.997000000003</v>
      </c>
      <c r="K1045">
        <v>-7.2999999999999996E-4</v>
      </c>
      <c r="L1045">
        <v>5.4999999999999997E-3</v>
      </c>
      <c r="M1045">
        <v>0.27600000000000002</v>
      </c>
      <c r="N1045">
        <v>0.21260000000000001</v>
      </c>
      <c r="O1045">
        <v>6.9800000000000001E-3</v>
      </c>
      <c r="P1045" s="3">
        <f t="shared" si="64"/>
        <v>1411.3721690771129</v>
      </c>
      <c r="Q1045" s="3">
        <f t="shared" si="65"/>
        <v>-7.3304585589539784E-4</v>
      </c>
      <c r="R1045" s="3">
        <f t="shared" si="66"/>
        <v>5.4999999999999997E-3</v>
      </c>
      <c r="S1045">
        <f t="shared" si="67"/>
        <v>23</v>
      </c>
      <c r="T1045">
        <f>INDEX([1]IDEN_level_ids!$B:$B,MATCH(G1045,[1]IDEN_level_ids!$A:$A,0),1)</f>
        <v>1071</v>
      </c>
      <c r="U1045">
        <f>INDEX([1]IDEN_level_ids!$B:$B,MATCH(H1045,[1]IDEN_level_ids!$A:$A,0),1)</f>
        <v>441</v>
      </c>
    </row>
    <row r="1046" spans="1:21" hidden="1" x14ac:dyDescent="0.25">
      <c r="A1046">
        <v>70851.689499999993</v>
      </c>
      <c r="B1046">
        <v>1411.3988999999999</v>
      </c>
      <c r="C1046">
        <v>6</v>
      </c>
      <c r="D1046" t="s">
        <v>391</v>
      </c>
      <c r="E1046" t="s">
        <v>52</v>
      </c>
      <c r="F1046">
        <v>1969</v>
      </c>
      <c r="G1046" s="1" t="s">
        <v>381</v>
      </c>
      <c r="H1046" s="1" t="s">
        <v>415</v>
      </c>
      <c r="I1046">
        <v>-0.17019999999999999</v>
      </c>
      <c r="J1046">
        <v>70851.184899999993</v>
      </c>
      <c r="K1046">
        <v>-1.005E-2</v>
      </c>
      <c r="L1046">
        <v>5.4999999999999997E-3</v>
      </c>
      <c r="M1046">
        <v>0.27600000000000002</v>
      </c>
      <c r="N1046">
        <v>2.7099999999999999E-2</v>
      </c>
      <c r="O1046">
        <v>5.6499999999999996E-3</v>
      </c>
      <c r="P1046" s="3">
        <f t="shared" si="64"/>
        <v>1411.3989476567106</v>
      </c>
      <c r="Q1046" s="3">
        <f t="shared" si="65"/>
        <v>-1.0051940697849204E-2</v>
      </c>
      <c r="R1046" s="3">
        <f t="shared" si="66"/>
        <v>5.4999999999999997E-3</v>
      </c>
      <c r="S1046">
        <f t="shared" si="67"/>
        <v>23</v>
      </c>
      <c r="T1046">
        <f>INDEX([1]IDEN_level_ids!$B:$B,MATCH(G1046,[1]IDEN_level_ids!$A:$A,0),1)</f>
        <v>1084</v>
      </c>
      <c r="U1046">
        <f>INDEX([1]IDEN_level_ids!$B:$B,MATCH(H1046,[1]IDEN_level_ids!$A:$A,0),1)</f>
        <v>530</v>
      </c>
    </row>
    <row r="1047" spans="1:21" hidden="1" x14ac:dyDescent="0.25">
      <c r="A1047">
        <v>70830.607399999994</v>
      </c>
      <c r="B1047">
        <v>1411.819</v>
      </c>
      <c r="C1047">
        <v>6</v>
      </c>
      <c r="D1047" t="s">
        <v>391</v>
      </c>
      <c r="F1047">
        <v>1969</v>
      </c>
      <c r="G1047" s="1" t="s">
        <v>77</v>
      </c>
      <c r="H1047" s="1" t="s">
        <v>343</v>
      </c>
      <c r="I1047">
        <v>0</v>
      </c>
      <c r="J1047">
        <v>70830.464300000007</v>
      </c>
      <c r="K1047">
        <v>-2.8500000000000001E-3</v>
      </c>
      <c r="L1047">
        <v>4.8799999999999998E-3</v>
      </c>
      <c r="M1047">
        <v>0.245</v>
      </c>
      <c r="N1047">
        <v>5.0299999999999997E-2</v>
      </c>
      <c r="O1047">
        <v>5.1399999999999996E-3</v>
      </c>
      <c r="P1047" s="3">
        <f t="shared" si="64"/>
        <v>1411.8190379940186</v>
      </c>
      <c r="Q1047" s="3">
        <f t="shared" si="65"/>
        <v>-2.8523221797058795E-3</v>
      </c>
      <c r="R1047" s="3">
        <f t="shared" si="66"/>
        <v>4.8799999999999998E-3</v>
      </c>
      <c r="S1047">
        <f t="shared" si="67"/>
        <v>23</v>
      </c>
      <c r="T1047">
        <f>INDEX([1]IDEN_level_ids!$B:$B,MATCH(G1047,[1]IDEN_level_ids!$A:$A,0),1)</f>
        <v>1197</v>
      </c>
      <c r="U1047">
        <f>INDEX([1]IDEN_level_ids!$B:$B,MATCH(H1047,[1]IDEN_level_ids!$A:$A,0),1)</f>
        <v>912</v>
      </c>
    </row>
    <row r="1048" spans="1:21" hidden="1" x14ac:dyDescent="0.25">
      <c r="A1048">
        <v>70825.333499999993</v>
      </c>
      <c r="B1048">
        <v>1411.9241999999999</v>
      </c>
      <c r="C1048">
        <v>6</v>
      </c>
      <c r="D1048" t="s">
        <v>391</v>
      </c>
      <c r="F1048">
        <v>1969</v>
      </c>
      <c r="G1048" s="1" t="s">
        <v>396</v>
      </c>
      <c r="H1048" s="1" t="s">
        <v>408</v>
      </c>
      <c r="I1048">
        <v>-0.31509999999999999</v>
      </c>
      <c r="J1048">
        <v>70825.171900000001</v>
      </c>
      <c r="K1048">
        <v>-3.2200000000000002E-3</v>
      </c>
      <c r="L1048">
        <v>4.8799999999999998E-3</v>
      </c>
      <c r="M1048">
        <v>0.245</v>
      </c>
      <c r="N1048">
        <v>2.6700000000000002E-2</v>
      </c>
      <c r="O1048">
        <v>5.0200000000000002E-3</v>
      </c>
      <c r="P1048" s="3">
        <f t="shared" si="64"/>
        <v>1411.9241669366797</v>
      </c>
      <c r="Q1048" s="3">
        <f t="shared" si="65"/>
        <v>-3.2215515930147376E-3</v>
      </c>
      <c r="R1048" s="3">
        <f t="shared" si="66"/>
        <v>4.8799999999999998E-3</v>
      </c>
      <c r="S1048">
        <f t="shared" si="67"/>
        <v>23</v>
      </c>
      <c r="T1048">
        <f>INDEX([1]IDEN_level_ids!$B:$B,MATCH(G1048,[1]IDEN_level_ids!$A:$A,0),1)</f>
        <v>1072</v>
      </c>
      <c r="U1048">
        <f>INDEX([1]IDEN_level_ids!$B:$B,MATCH(H1048,[1]IDEN_level_ids!$A:$A,0),1)</f>
        <v>461</v>
      </c>
    </row>
    <row r="1049" spans="1:21" hidden="1" x14ac:dyDescent="0.25">
      <c r="A1049">
        <v>70806.629000000001</v>
      </c>
      <c r="B1049">
        <v>1412.2971</v>
      </c>
      <c r="C1049">
        <v>6</v>
      </c>
      <c r="D1049" t="s">
        <v>391</v>
      </c>
      <c r="F1049">
        <v>1969</v>
      </c>
      <c r="G1049" s="1" t="s">
        <v>384</v>
      </c>
      <c r="H1049" s="1" t="s">
        <v>400</v>
      </c>
      <c r="I1049">
        <v>-0.33350000000000002</v>
      </c>
      <c r="J1049">
        <v>70806.447400000005</v>
      </c>
      <c r="K1049">
        <v>-3.62E-3</v>
      </c>
      <c r="L1049">
        <v>4.8900000000000002E-3</v>
      </c>
      <c r="M1049">
        <v>0.245</v>
      </c>
      <c r="N1049">
        <v>2.3099999999999999E-2</v>
      </c>
      <c r="O1049">
        <v>5.0000000000000001E-3</v>
      </c>
      <c r="P1049" s="3">
        <f t="shared" si="64"/>
        <v>1412.2971452291565</v>
      </c>
      <c r="Q1049" s="3">
        <f t="shared" si="65"/>
        <v>-3.6221724290044222E-3</v>
      </c>
      <c r="R1049" s="3">
        <f t="shared" si="66"/>
        <v>4.8900000000000002E-3</v>
      </c>
      <c r="S1049">
        <f t="shared" si="67"/>
        <v>23</v>
      </c>
      <c r="T1049">
        <f>INDEX([1]IDEN_level_ids!$B:$B,MATCH(G1049,[1]IDEN_level_ids!$A:$A,0),1)</f>
        <v>1080</v>
      </c>
      <c r="U1049">
        <f>INDEX([1]IDEN_level_ids!$B:$B,MATCH(H1049,[1]IDEN_level_ids!$A:$A,0),1)</f>
        <v>503</v>
      </c>
    </row>
    <row r="1050" spans="1:21" hidden="1" x14ac:dyDescent="0.25">
      <c r="A1050">
        <v>70796.869000000006</v>
      </c>
      <c r="B1050">
        <v>1412.4918</v>
      </c>
      <c r="C1050">
        <v>6</v>
      </c>
      <c r="D1050" t="s">
        <v>391</v>
      </c>
      <c r="F1050">
        <v>1969</v>
      </c>
      <c r="G1050" s="1" t="s">
        <v>38</v>
      </c>
      <c r="H1050" s="1" t="s">
        <v>376</v>
      </c>
      <c r="I1050">
        <v>0</v>
      </c>
      <c r="J1050">
        <v>70796.763399999996</v>
      </c>
      <c r="K1050">
        <v>-2.1099999999999999E-3</v>
      </c>
      <c r="L1050">
        <v>4.8900000000000002E-3</v>
      </c>
      <c r="M1050">
        <v>0.245</v>
      </c>
      <c r="N1050">
        <v>5.7700000000000001E-2</v>
      </c>
      <c r="O1050">
        <v>5.1900000000000002E-3</v>
      </c>
      <c r="P1050" s="3">
        <f t="shared" si="64"/>
        <v>1412.4918433892888</v>
      </c>
      <c r="Q1050" s="3">
        <f t="shared" si="65"/>
        <v>-2.1068638100132375E-3</v>
      </c>
      <c r="R1050" s="3">
        <f t="shared" si="66"/>
        <v>4.8900000000000002E-3</v>
      </c>
      <c r="S1050">
        <f t="shared" si="67"/>
        <v>23</v>
      </c>
      <c r="T1050">
        <f>INDEX([1]IDEN_level_ids!$B:$B,MATCH(G1050,[1]IDEN_level_ids!$A:$A,0),1)</f>
        <v>1201</v>
      </c>
      <c r="U1050">
        <f>INDEX([1]IDEN_level_ids!$B:$B,MATCH(H1050,[1]IDEN_level_ids!$A:$A,0),1)</f>
        <v>913</v>
      </c>
    </row>
    <row r="1051" spans="1:21" hidden="1" x14ac:dyDescent="0.25">
      <c r="A1051">
        <v>70780.179600000003</v>
      </c>
      <c r="B1051">
        <v>1412.8249000000001</v>
      </c>
      <c r="C1051">
        <v>6</v>
      </c>
      <c r="D1051" t="s">
        <v>391</v>
      </c>
      <c r="F1051">
        <v>1969</v>
      </c>
      <c r="G1051" s="1" t="s">
        <v>384</v>
      </c>
      <c r="H1051" s="1" t="s">
        <v>403</v>
      </c>
      <c r="I1051">
        <v>-0.33350000000000002</v>
      </c>
      <c r="J1051">
        <v>70780.540800000002</v>
      </c>
      <c r="K1051">
        <v>7.2100000000000003E-3</v>
      </c>
      <c r="L1051">
        <v>4.8900000000000002E-3</v>
      </c>
      <c r="M1051">
        <v>0.245</v>
      </c>
      <c r="N1051">
        <v>2.6700000000000002E-2</v>
      </c>
      <c r="O1051">
        <v>5.0200000000000002E-3</v>
      </c>
      <c r="P1051" s="3">
        <f t="shared" si="64"/>
        <v>1412.8248976638652</v>
      </c>
      <c r="Q1051" s="3">
        <f t="shared" si="65"/>
        <v>7.209783187136054E-3</v>
      </c>
      <c r="R1051" s="3">
        <f t="shared" si="66"/>
        <v>4.8900000000000002E-3</v>
      </c>
      <c r="S1051">
        <f t="shared" si="67"/>
        <v>23</v>
      </c>
      <c r="T1051">
        <f>INDEX([1]IDEN_level_ids!$B:$B,MATCH(G1051,[1]IDEN_level_ids!$A:$A,0),1)</f>
        <v>1080</v>
      </c>
      <c r="U1051">
        <f>INDEX([1]IDEN_level_ids!$B:$B,MATCH(H1051,[1]IDEN_level_ids!$A:$A,0),1)</f>
        <v>505</v>
      </c>
    </row>
    <row r="1052" spans="1:21" hidden="1" x14ac:dyDescent="0.25">
      <c r="A1052">
        <v>70753.425600000002</v>
      </c>
      <c r="B1052">
        <v>1413.3590999999999</v>
      </c>
      <c r="C1052">
        <v>6</v>
      </c>
      <c r="D1052" t="s">
        <v>391</v>
      </c>
      <c r="F1052">
        <v>1969</v>
      </c>
      <c r="G1052" s="1" t="s">
        <v>283</v>
      </c>
      <c r="H1052" s="1" t="s">
        <v>364</v>
      </c>
      <c r="I1052">
        <v>0</v>
      </c>
      <c r="J1052">
        <v>70753.210699999996</v>
      </c>
      <c r="K1052">
        <v>-4.2900000000000004E-3</v>
      </c>
      <c r="L1052">
        <v>4.8900000000000002E-3</v>
      </c>
      <c r="M1052">
        <v>0.245</v>
      </c>
      <c r="N1052">
        <v>0.1203</v>
      </c>
      <c r="O1052">
        <v>5.5599999999999998E-3</v>
      </c>
      <c r="P1052" s="3">
        <f t="shared" si="64"/>
        <v>1413.3591292857486</v>
      </c>
      <c r="Q1052" s="3">
        <f t="shared" si="65"/>
        <v>-4.292821115541301E-3</v>
      </c>
      <c r="R1052" s="3">
        <f t="shared" si="66"/>
        <v>4.8900000000000002E-3</v>
      </c>
      <c r="S1052">
        <f t="shared" si="67"/>
        <v>23</v>
      </c>
      <c r="T1052">
        <f>INDEX([1]IDEN_level_ids!$B:$B,MATCH(G1052,[1]IDEN_level_ids!$A:$A,0),1)</f>
        <v>1178</v>
      </c>
      <c r="U1052">
        <f>INDEX([1]IDEN_level_ids!$B:$B,MATCH(H1052,[1]IDEN_level_ids!$A:$A,0),1)</f>
        <v>903</v>
      </c>
    </row>
    <row r="1053" spans="1:21" hidden="1" x14ac:dyDescent="0.25">
      <c r="A1053">
        <v>70737.673200000005</v>
      </c>
      <c r="B1053">
        <v>1413.6739</v>
      </c>
      <c r="C1053">
        <v>6</v>
      </c>
      <c r="D1053" t="s">
        <v>391</v>
      </c>
      <c r="F1053">
        <v>1969</v>
      </c>
      <c r="G1053" s="1" t="s">
        <v>416</v>
      </c>
      <c r="H1053" s="1" t="s">
        <v>328</v>
      </c>
      <c r="I1053">
        <v>-0.1961</v>
      </c>
      <c r="J1053">
        <v>70737.767800000001</v>
      </c>
      <c r="K1053">
        <v>1.89E-3</v>
      </c>
      <c r="L1053">
        <v>4.8999999999999998E-3</v>
      </c>
      <c r="M1053">
        <v>0.245</v>
      </c>
      <c r="N1053">
        <v>0.28699999999999998</v>
      </c>
      <c r="O1053">
        <v>6.8700000000000002E-3</v>
      </c>
      <c r="P1053" s="3">
        <f t="shared" si="64"/>
        <v>1413.6738667847501</v>
      </c>
      <c r="Q1053" s="3">
        <f t="shared" si="65"/>
        <v>1.8905536878719431E-3</v>
      </c>
      <c r="R1053" s="3">
        <f t="shared" si="66"/>
        <v>4.8999999999999998E-3</v>
      </c>
      <c r="S1053">
        <f t="shared" si="67"/>
        <v>23</v>
      </c>
      <c r="T1053">
        <f>INDEX([1]IDEN_level_ids!$B:$B,MATCH(G1053,[1]IDEN_level_ids!$A:$A,0),1)</f>
        <v>1055</v>
      </c>
      <c r="U1053">
        <f>INDEX([1]IDEN_level_ids!$B:$B,MATCH(H1053,[1]IDEN_level_ids!$A:$A,0),1)</f>
        <v>366</v>
      </c>
    </row>
    <row r="1054" spans="1:21" hidden="1" x14ac:dyDescent="0.25">
      <c r="A1054">
        <v>70714.5052</v>
      </c>
      <c r="B1054">
        <v>1414.1369999999999</v>
      </c>
      <c r="C1054">
        <v>6</v>
      </c>
      <c r="D1054" t="s">
        <v>391</v>
      </c>
      <c r="F1054">
        <v>1969</v>
      </c>
      <c r="G1054" s="1" t="s">
        <v>396</v>
      </c>
      <c r="H1054" s="1" t="s">
        <v>399</v>
      </c>
      <c r="I1054">
        <v>-0.31509999999999999</v>
      </c>
      <c r="J1054">
        <v>70714.331600000005</v>
      </c>
      <c r="K1054">
        <v>-3.47E-3</v>
      </c>
      <c r="L1054">
        <v>4.8999999999999998E-3</v>
      </c>
      <c r="M1054">
        <v>0.245</v>
      </c>
      <c r="N1054">
        <v>2.53E-2</v>
      </c>
      <c r="O1054">
        <v>5.0299999999999997E-3</v>
      </c>
      <c r="P1054" s="3">
        <f t="shared" si="64"/>
        <v>1414.1370248886362</v>
      </c>
      <c r="Q1054" s="3">
        <f t="shared" si="65"/>
        <v>-3.4716327222668042E-3</v>
      </c>
      <c r="R1054" s="3">
        <f t="shared" si="66"/>
        <v>4.8999999999999998E-3</v>
      </c>
      <c r="S1054">
        <f t="shared" si="67"/>
        <v>23</v>
      </c>
      <c r="T1054">
        <f>INDEX([1]IDEN_level_ids!$B:$B,MATCH(G1054,[1]IDEN_level_ids!$A:$A,0),1)</f>
        <v>1072</v>
      </c>
      <c r="U1054">
        <f>INDEX([1]IDEN_level_ids!$B:$B,MATCH(H1054,[1]IDEN_level_ids!$A:$A,0),1)</f>
        <v>467</v>
      </c>
    </row>
    <row r="1055" spans="1:21" hidden="1" x14ac:dyDescent="0.25">
      <c r="A1055">
        <v>70613.232600000003</v>
      </c>
      <c r="B1055">
        <v>1416.1651999999999</v>
      </c>
      <c r="C1055">
        <v>6</v>
      </c>
      <c r="D1055" t="s">
        <v>391</v>
      </c>
      <c r="F1055">
        <v>1969</v>
      </c>
      <c r="G1055" s="1" t="s">
        <v>18</v>
      </c>
      <c r="H1055" s="1" t="s">
        <v>417</v>
      </c>
      <c r="I1055">
        <v>0</v>
      </c>
      <c r="J1055">
        <v>70613.652199999997</v>
      </c>
      <c r="K1055">
        <v>8.4200000000000004E-3</v>
      </c>
      <c r="L1055">
        <v>4.9100000000000003E-3</v>
      </c>
      <c r="M1055">
        <v>0.245</v>
      </c>
      <c r="N1055">
        <v>5.6599999999999998E-2</v>
      </c>
      <c r="O1055">
        <v>5.2100000000000002E-3</v>
      </c>
      <c r="P1055" s="3">
        <f t="shared" si="64"/>
        <v>1416.1651622220168</v>
      </c>
      <c r="Q1055" s="3">
        <f t="shared" si="65"/>
        <v>8.415127720354576E-3</v>
      </c>
      <c r="R1055" s="3">
        <f t="shared" si="66"/>
        <v>4.9100000000000003E-3</v>
      </c>
      <c r="S1055">
        <f t="shared" si="67"/>
        <v>23</v>
      </c>
      <c r="T1055">
        <f>INDEX([1]IDEN_level_ids!$B:$B,MATCH(G1055,[1]IDEN_level_ids!$A:$A,0),1)</f>
        <v>1226</v>
      </c>
      <c r="U1055">
        <f>INDEX([1]IDEN_level_ids!$B:$B,MATCH(H1055,[1]IDEN_level_ids!$A:$A,0),1)</f>
        <v>926</v>
      </c>
    </row>
    <row r="1056" spans="1:21" hidden="1" x14ac:dyDescent="0.25">
      <c r="A1056">
        <v>70582.630799999999</v>
      </c>
      <c r="B1056">
        <v>1416.7791999999999</v>
      </c>
      <c r="C1056">
        <v>6</v>
      </c>
      <c r="D1056" t="s">
        <v>391</v>
      </c>
      <c r="F1056">
        <v>1969</v>
      </c>
      <c r="G1056" s="1" t="s">
        <v>72</v>
      </c>
      <c r="H1056" s="1" t="s">
        <v>418</v>
      </c>
      <c r="I1056">
        <v>0</v>
      </c>
      <c r="J1056">
        <v>70582.750100000005</v>
      </c>
      <c r="K1056">
        <v>2.3900000000000002E-3</v>
      </c>
      <c r="L1056">
        <v>4.9199999999999999E-3</v>
      </c>
      <c r="M1056">
        <v>0.245</v>
      </c>
      <c r="N1056">
        <v>0.24829999999999999</v>
      </c>
      <c r="O1056">
        <v>6.5399999999999998E-3</v>
      </c>
      <c r="P1056" s="3">
        <f t="shared" si="64"/>
        <v>1416.7791546812109</v>
      </c>
      <c r="Q1056" s="3">
        <f t="shared" si="65"/>
        <v>2.3946609180711675E-3</v>
      </c>
      <c r="R1056" s="3">
        <f t="shared" si="66"/>
        <v>4.9199999999999999E-3</v>
      </c>
      <c r="S1056">
        <f t="shared" si="67"/>
        <v>23</v>
      </c>
      <c r="T1056">
        <f>INDEX([1]IDEN_level_ids!$B:$B,MATCH(G1056,[1]IDEN_level_ids!$A:$A,0),1)</f>
        <v>1225</v>
      </c>
      <c r="U1056">
        <f>INDEX([1]IDEN_level_ids!$B:$B,MATCH(H1056,[1]IDEN_level_ids!$A:$A,0),1)</f>
        <v>925</v>
      </c>
    </row>
    <row r="1057" spans="1:21" hidden="1" x14ac:dyDescent="0.25">
      <c r="A1057">
        <v>70567.597099999999</v>
      </c>
      <c r="B1057">
        <v>1417.0809999999999</v>
      </c>
      <c r="C1057">
        <v>6</v>
      </c>
      <c r="D1057" t="s">
        <v>391</v>
      </c>
      <c r="F1057">
        <v>1969</v>
      </c>
      <c r="G1057" s="1" t="s">
        <v>204</v>
      </c>
      <c r="H1057" s="1" t="s">
        <v>373</v>
      </c>
      <c r="I1057">
        <v>0</v>
      </c>
      <c r="J1057">
        <v>70567.410099999994</v>
      </c>
      <c r="K1057">
        <v>-3.7499999999999999E-3</v>
      </c>
      <c r="L1057">
        <v>4.9199999999999999E-3</v>
      </c>
      <c r="M1057">
        <v>0.245</v>
      </c>
      <c r="N1057">
        <v>0.1152</v>
      </c>
      <c r="O1057">
        <v>5.5599999999999998E-3</v>
      </c>
      <c r="P1057" s="3">
        <f t="shared" si="64"/>
        <v>1417.0809848929941</v>
      </c>
      <c r="Q1057" s="3">
        <f t="shared" si="65"/>
        <v>-3.7551915793301305E-3</v>
      </c>
      <c r="R1057" s="3">
        <f t="shared" si="66"/>
        <v>4.9199999999999999E-3</v>
      </c>
      <c r="S1057">
        <f t="shared" si="67"/>
        <v>23</v>
      </c>
      <c r="T1057">
        <f>INDEX([1]IDEN_level_ids!$B:$B,MATCH(G1057,[1]IDEN_level_ids!$A:$A,0),1)</f>
        <v>1176</v>
      </c>
      <c r="U1057">
        <f>INDEX([1]IDEN_level_ids!$B:$B,MATCH(H1057,[1]IDEN_level_ids!$A:$A,0),1)</f>
        <v>906</v>
      </c>
    </row>
    <row r="1058" spans="1:21" hidden="1" x14ac:dyDescent="0.25">
      <c r="A1058">
        <v>70548.822100000005</v>
      </c>
      <c r="B1058">
        <v>1417.4581000000001</v>
      </c>
      <c r="C1058">
        <v>6</v>
      </c>
      <c r="D1058" t="s">
        <v>391</v>
      </c>
      <c r="F1058">
        <v>1969</v>
      </c>
      <c r="G1058" s="1" t="s">
        <v>76</v>
      </c>
      <c r="H1058" s="1" t="s">
        <v>352</v>
      </c>
      <c r="I1058">
        <v>0</v>
      </c>
      <c r="J1058">
        <v>70548.660999999993</v>
      </c>
      <c r="K1058">
        <v>-3.2399999999999998E-3</v>
      </c>
      <c r="L1058">
        <v>4.9199999999999999E-3</v>
      </c>
      <c r="M1058">
        <v>0.245</v>
      </c>
      <c r="N1058">
        <v>0.11360000000000001</v>
      </c>
      <c r="O1058">
        <v>5.5500000000000002E-3</v>
      </c>
      <c r="P1058" s="3">
        <f t="shared" si="64"/>
        <v>1417.4581094813204</v>
      </c>
      <c r="Q1058" s="3">
        <f t="shared" si="65"/>
        <v>-3.236808441215544E-3</v>
      </c>
      <c r="R1058" s="3">
        <f t="shared" si="66"/>
        <v>4.9199999999999999E-3</v>
      </c>
      <c r="S1058">
        <f t="shared" si="67"/>
        <v>23</v>
      </c>
      <c r="T1058">
        <f>INDEX([1]IDEN_level_ids!$B:$B,MATCH(G1058,[1]IDEN_level_ids!$A:$A,0),1)</f>
        <v>1194</v>
      </c>
      <c r="U1058">
        <f>INDEX([1]IDEN_level_ids!$B:$B,MATCH(H1058,[1]IDEN_level_ids!$A:$A,0),1)</f>
        <v>909</v>
      </c>
    </row>
    <row r="1059" spans="1:21" hidden="1" x14ac:dyDescent="0.25">
      <c r="A1059">
        <v>70498.137700000007</v>
      </c>
      <c r="B1059">
        <v>1418.4772</v>
      </c>
      <c r="C1059">
        <v>6</v>
      </c>
      <c r="D1059" t="s">
        <v>391</v>
      </c>
      <c r="F1059">
        <v>1969</v>
      </c>
      <c r="G1059" s="1" t="s">
        <v>419</v>
      </c>
      <c r="H1059" s="1" t="s">
        <v>414</v>
      </c>
      <c r="I1059">
        <v>-0.20910000000000001</v>
      </c>
      <c r="J1059">
        <v>70498.067899999995</v>
      </c>
      <c r="K1059">
        <v>-1.4E-3</v>
      </c>
      <c r="L1059">
        <v>4.9300000000000004E-3</v>
      </c>
      <c r="M1059">
        <v>0.245</v>
      </c>
      <c r="N1059">
        <v>0.26950000000000002</v>
      </c>
      <c r="O1059">
        <v>6.7499999999999999E-3</v>
      </c>
      <c r="P1059" s="3">
        <f t="shared" si="64"/>
        <v>1418.4771862420416</v>
      </c>
      <c r="Q1059" s="3">
        <f t="shared" si="65"/>
        <v>-1.4044315050796286E-3</v>
      </c>
      <c r="R1059" s="3">
        <f t="shared" si="66"/>
        <v>4.9300000000000004E-3</v>
      </c>
      <c r="S1059">
        <f t="shared" si="67"/>
        <v>23</v>
      </c>
      <c r="T1059">
        <f>INDEX([1]IDEN_level_ids!$B:$B,MATCH(G1059,[1]IDEN_level_ids!$A:$A,0),1)</f>
        <v>1068</v>
      </c>
      <c r="U1059">
        <f>INDEX([1]IDEN_level_ids!$B:$B,MATCH(H1059,[1]IDEN_level_ids!$A:$A,0),1)</f>
        <v>441</v>
      </c>
    </row>
    <row r="1060" spans="1:21" hidden="1" x14ac:dyDescent="0.25">
      <c r="A1060">
        <v>70473.841799999995</v>
      </c>
      <c r="B1060">
        <v>1418.9662000000001</v>
      </c>
      <c r="C1060">
        <v>6</v>
      </c>
      <c r="D1060" t="s">
        <v>391</v>
      </c>
      <c r="F1060">
        <v>1969</v>
      </c>
      <c r="G1060" s="1" t="s">
        <v>81</v>
      </c>
      <c r="H1060" s="1" t="s">
        <v>360</v>
      </c>
      <c r="I1060">
        <v>0</v>
      </c>
      <c r="J1060">
        <v>70473.741800000003</v>
      </c>
      <c r="K1060">
        <v>-2.0100000000000001E-3</v>
      </c>
      <c r="L1060">
        <v>4.9300000000000004E-3</v>
      </c>
      <c r="M1060">
        <v>0.245</v>
      </c>
      <c r="N1060">
        <v>6.9800000000000001E-2</v>
      </c>
      <c r="O1060">
        <v>5.3E-3</v>
      </c>
      <c r="P1060" s="3">
        <f t="shared" si="64"/>
        <v>1418.9662071182843</v>
      </c>
      <c r="Q1060" s="3">
        <f t="shared" si="65"/>
        <v>-2.0134679539296485E-3</v>
      </c>
      <c r="R1060" s="3">
        <f t="shared" si="66"/>
        <v>4.9300000000000004E-3</v>
      </c>
      <c r="S1060">
        <f t="shared" si="67"/>
        <v>23</v>
      </c>
      <c r="T1060">
        <f>INDEX([1]IDEN_level_ids!$B:$B,MATCH(G1060,[1]IDEN_level_ids!$A:$A,0),1)</f>
        <v>1196</v>
      </c>
      <c r="U1060">
        <f>INDEX([1]IDEN_level_ids!$B:$B,MATCH(H1060,[1]IDEN_level_ids!$A:$A,0),1)</f>
        <v>911</v>
      </c>
    </row>
    <row r="1061" spans="1:21" hidden="1" x14ac:dyDescent="0.25">
      <c r="A1061">
        <v>70405.979900000006</v>
      </c>
      <c r="B1061">
        <v>1420.3339000000001</v>
      </c>
      <c r="C1061">
        <v>6</v>
      </c>
      <c r="D1061" t="s">
        <v>391</v>
      </c>
      <c r="F1061">
        <v>1969</v>
      </c>
      <c r="G1061" s="1" t="s">
        <v>71</v>
      </c>
      <c r="H1061" s="1" t="s">
        <v>373</v>
      </c>
      <c r="I1061">
        <v>0</v>
      </c>
      <c r="J1061">
        <v>70405.704899999997</v>
      </c>
      <c r="K1061">
        <v>-5.5500000000000002E-3</v>
      </c>
      <c r="L1061">
        <v>4.9399999999999999E-3</v>
      </c>
      <c r="M1061">
        <v>0.245</v>
      </c>
      <c r="N1061">
        <v>0.1145</v>
      </c>
      <c r="O1061">
        <v>5.5799999999999999E-3</v>
      </c>
      <c r="P1061" s="3">
        <f t="shared" si="64"/>
        <v>1420.3338997913727</v>
      </c>
      <c r="Q1061" s="3">
        <f t="shared" si="65"/>
        <v>-5.5477297330526198E-3</v>
      </c>
      <c r="R1061" s="3">
        <f t="shared" si="66"/>
        <v>4.9399999999999999E-3</v>
      </c>
      <c r="S1061">
        <f t="shared" si="67"/>
        <v>23</v>
      </c>
      <c r="T1061">
        <f>INDEX([1]IDEN_level_ids!$B:$B,MATCH(G1061,[1]IDEN_level_ids!$A:$A,0),1)</f>
        <v>1179</v>
      </c>
      <c r="U1061">
        <f>INDEX([1]IDEN_level_ids!$B:$B,MATCH(H1061,[1]IDEN_level_ids!$A:$A,0),1)</f>
        <v>906</v>
      </c>
    </row>
    <row r="1062" spans="1:21" hidden="1" x14ac:dyDescent="0.25">
      <c r="A1062">
        <v>70383.124500000005</v>
      </c>
      <c r="B1062">
        <v>1420.7951</v>
      </c>
      <c r="C1062">
        <v>6</v>
      </c>
      <c r="D1062" t="s">
        <v>391</v>
      </c>
      <c r="F1062">
        <v>1969</v>
      </c>
      <c r="G1062" s="1" t="s">
        <v>238</v>
      </c>
      <c r="H1062" s="1" t="s">
        <v>371</v>
      </c>
      <c r="I1062">
        <v>0</v>
      </c>
      <c r="J1062">
        <v>70383.224600000001</v>
      </c>
      <c r="K1062">
        <v>2.0200000000000001E-3</v>
      </c>
      <c r="L1062">
        <v>4.9500000000000004E-3</v>
      </c>
      <c r="M1062">
        <v>0.245</v>
      </c>
      <c r="N1062">
        <v>9.7900000000000001E-2</v>
      </c>
      <c r="O1062">
        <v>5.4799999999999996E-3</v>
      </c>
      <c r="P1062" s="3">
        <f t="shared" si="64"/>
        <v>1420.7951225581069</v>
      </c>
      <c r="Q1062" s="3">
        <f t="shared" si="65"/>
        <v>2.0206745650739322E-3</v>
      </c>
      <c r="R1062" s="3">
        <f t="shared" si="66"/>
        <v>4.9500000000000004E-3</v>
      </c>
      <c r="S1062">
        <f t="shared" si="67"/>
        <v>23</v>
      </c>
      <c r="T1062">
        <f>INDEX([1]IDEN_level_ids!$B:$B,MATCH(G1062,[1]IDEN_level_ids!$A:$A,0),1)</f>
        <v>1165</v>
      </c>
      <c r="U1062">
        <f>INDEX([1]IDEN_level_ids!$B:$B,MATCH(H1062,[1]IDEN_level_ids!$A:$A,0),1)</f>
        <v>902</v>
      </c>
    </row>
    <row r="1063" spans="1:21" hidden="1" x14ac:dyDescent="0.25">
      <c r="A1063">
        <v>70360.003200000006</v>
      </c>
      <c r="B1063">
        <v>1421.2619999999999</v>
      </c>
      <c r="C1063">
        <v>6</v>
      </c>
      <c r="D1063" t="s">
        <v>391</v>
      </c>
      <c r="F1063">
        <v>1969</v>
      </c>
      <c r="G1063" s="1" t="s">
        <v>83</v>
      </c>
      <c r="H1063" s="1" t="s">
        <v>338</v>
      </c>
      <c r="I1063">
        <v>0</v>
      </c>
      <c r="J1063">
        <v>70359.7696</v>
      </c>
      <c r="K1063">
        <v>-4.7200000000000002E-3</v>
      </c>
      <c r="L1063">
        <v>4.9500000000000004E-3</v>
      </c>
      <c r="M1063">
        <v>0.245</v>
      </c>
      <c r="N1063">
        <v>3.9E-2</v>
      </c>
      <c r="O1063">
        <v>5.1500000000000001E-3</v>
      </c>
      <c r="P1063" s="3">
        <f t="shared" si="64"/>
        <v>1421.2620160881402</v>
      </c>
      <c r="Q1063" s="3">
        <f t="shared" si="65"/>
        <v>-4.7187023046717513E-3</v>
      </c>
      <c r="R1063" s="3">
        <f t="shared" si="66"/>
        <v>4.9500000000000004E-3</v>
      </c>
      <c r="S1063">
        <f t="shared" si="67"/>
        <v>23</v>
      </c>
      <c r="T1063">
        <f>INDEX([1]IDEN_level_ids!$B:$B,MATCH(G1063,[1]IDEN_level_ids!$A:$A,0),1)</f>
        <v>1175</v>
      </c>
      <c r="U1063">
        <f>INDEX([1]IDEN_level_ids!$B:$B,MATCH(H1063,[1]IDEN_level_ids!$A:$A,0),1)</f>
        <v>904</v>
      </c>
    </row>
    <row r="1064" spans="1:21" hidden="1" x14ac:dyDescent="0.25">
      <c r="A1064">
        <v>70349.270300000004</v>
      </c>
      <c r="B1064">
        <v>1421.4789000000001</v>
      </c>
      <c r="C1064">
        <v>6</v>
      </c>
      <c r="D1064" t="s">
        <v>391</v>
      </c>
      <c r="F1064">
        <v>1969</v>
      </c>
      <c r="G1064" s="1" t="s">
        <v>243</v>
      </c>
      <c r="H1064" s="1" t="s">
        <v>420</v>
      </c>
      <c r="I1064">
        <v>0</v>
      </c>
      <c r="J1064">
        <v>70349.487699999998</v>
      </c>
      <c r="K1064">
        <v>4.3899999999999998E-3</v>
      </c>
      <c r="L1064">
        <v>4.9500000000000004E-3</v>
      </c>
      <c r="M1064">
        <v>0.245</v>
      </c>
      <c r="N1064">
        <v>0.12720000000000001</v>
      </c>
      <c r="O1064">
        <v>5.6699999999999997E-3</v>
      </c>
      <c r="P1064" s="3">
        <f t="shared" si="64"/>
        <v>1421.4788522120605</v>
      </c>
      <c r="Q1064" s="3">
        <f t="shared" si="65"/>
        <v>4.3927754495598492E-3</v>
      </c>
      <c r="R1064" s="3">
        <f t="shared" si="66"/>
        <v>4.9500000000000004E-3</v>
      </c>
      <c r="S1064">
        <f t="shared" si="67"/>
        <v>23</v>
      </c>
      <c r="T1064">
        <f>INDEX([1]IDEN_level_ids!$B:$B,MATCH(G1064,[1]IDEN_level_ids!$A:$A,0),1)</f>
        <v>1205</v>
      </c>
      <c r="U1064">
        <f>INDEX([1]IDEN_level_ids!$B:$B,MATCH(H1064,[1]IDEN_level_ids!$A:$A,0),1)</f>
        <v>914</v>
      </c>
    </row>
    <row r="1065" spans="1:21" hidden="1" x14ac:dyDescent="0.25">
      <c r="A1065">
        <v>70319.585099999997</v>
      </c>
      <c r="B1065">
        <v>1422.0789</v>
      </c>
      <c r="C1065">
        <v>6</v>
      </c>
      <c r="D1065" t="s">
        <v>391</v>
      </c>
      <c r="E1065" t="s">
        <v>45</v>
      </c>
      <c r="F1065">
        <v>1969</v>
      </c>
      <c r="G1065" s="1" t="s">
        <v>53</v>
      </c>
      <c r="H1065" s="1" t="s">
        <v>421</v>
      </c>
      <c r="I1065">
        <v>0</v>
      </c>
      <c r="J1065">
        <v>70319.5527</v>
      </c>
      <c r="K1065">
        <v>-6.4999999999999997E-4</v>
      </c>
      <c r="L1065">
        <v>9.75E-3</v>
      </c>
      <c r="M1065">
        <v>0.48199999999999998</v>
      </c>
      <c r="N1065">
        <v>4.5499999999999999E-2</v>
      </c>
      <c r="O1065">
        <v>1.021E-2</v>
      </c>
      <c r="P1065" s="3">
        <f t="shared" si="64"/>
        <v>1422.0789252068555</v>
      </c>
      <c r="Q1065" s="3">
        <f t="shared" si="65"/>
        <v>-6.5522824593244877E-4</v>
      </c>
      <c r="R1065" s="3">
        <f t="shared" si="66"/>
        <v>9.75E-3</v>
      </c>
      <c r="S1065">
        <f t="shared" si="67"/>
        <v>23</v>
      </c>
      <c r="T1065">
        <f>INDEX([1]IDEN_level_ids!$B:$B,MATCH(G1065,[1]IDEN_level_ids!$A:$A,0),1)</f>
        <v>1231</v>
      </c>
      <c r="U1065">
        <f>INDEX([1]IDEN_level_ids!$B:$B,MATCH(H1065,[1]IDEN_level_ids!$A:$A,0),1)</f>
        <v>930</v>
      </c>
    </row>
    <row r="1066" spans="1:21" hidden="1" x14ac:dyDescent="0.25">
      <c r="A1066">
        <v>70287.998399999997</v>
      </c>
      <c r="B1066">
        <v>1422.7180000000001</v>
      </c>
      <c r="C1066">
        <v>6</v>
      </c>
      <c r="D1066" t="s">
        <v>391</v>
      </c>
      <c r="F1066">
        <v>1969</v>
      </c>
      <c r="G1066" s="1" t="s">
        <v>265</v>
      </c>
      <c r="H1066" s="1" t="s">
        <v>359</v>
      </c>
      <c r="I1066">
        <v>0</v>
      </c>
      <c r="J1066">
        <v>70287.855100000001</v>
      </c>
      <c r="K1066">
        <v>-2.8999999999999998E-3</v>
      </c>
      <c r="L1066">
        <v>4.96E-3</v>
      </c>
      <c r="M1066">
        <v>0.245</v>
      </c>
      <c r="N1066">
        <v>0.11609999999999999</v>
      </c>
      <c r="O1066">
        <v>5.6100000000000004E-3</v>
      </c>
      <c r="P1066" s="3">
        <f t="shared" si="64"/>
        <v>1422.7179927775551</v>
      </c>
      <c r="Q1066" s="3">
        <f t="shared" si="65"/>
        <v>-2.9005791693634819E-3</v>
      </c>
      <c r="R1066" s="3">
        <f t="shared" si="66"/>
        <v>4.96E-3</v>
      </c>
      <c r="S1066">
        <f t="shared" si="67"/>
        <v>23</v>
      </c>
      <c r="T1066">
        <f>INDEX([1]IDEN_level_ids!$B:$B,MATCH(G1066,[1]IDEN_level_ids!$A:$A,0),1)</f>
        <v>1161</v>
      </c>
      <c r="U1066">
        <f>INDEX([1]IDEN_level_ids!$B:$B,MATCH(H1066,[1]IDEN_level_ids!$A:$A,0),1)</f>
        <v>900</v>
      </c>
    </row>
    <row r="1067" spans="1:21" hidden="1" x14ac:dyDescent="0.25">
      <c r="A1067">
        <v>70276.887100000007</v>
      </c>
      <c r="B1067">
        <v>1422.9429</v>
      </c>
      <c r="C1067">
        <v>6</v>
      </c>
      <c r="D1067" t="s">
        <v>391</v>
      </c>
      <c r="F1067">
        <v>1969</v>
      </c>
      <c r="G1067" s="1" t="s">
        <v>244</v>
      </c>
      <c r="H1067" s="1" t="s">
        <v>360</v>
      </c>
      <c r="I1067">
        <v>0</v>
      </c>
      <c r="J1067">
        <v>70277.021399999998</v>
      </c>
      <c r="K1067">
        <v>2.7200000000000002E-3</v>
      </c>
      <c r="L1067">
        <v>4.96E-3</v>
      </c>
      <c r="M1067">
        <v>0.245</v>
      </c>
      <c r="N1067">
        <v>7.1499999999999994E-2</v>
      </c>
      <c r="O1067">
        <v>5.3400000000000001E-3</v>
      </c>
      <c r="P1067" s="3">
        <f t="shared" si="64"/>
        <v>1422.9429351033391</v>
      </c>
      <c r="Q1067" s="3">
        <f t="shared" si="65"/>
        <v>2.7192563425160188E-3</v>
      </c>
      <c r="R1067" s="3">
        <f t="shared" si="66"/>
        <v>4.96E-3</v>
      </c>
      <c r="S1067">
        <f t="shared" si="67"/>
        <v>23</v>
      </c>
      <c r="T1067">
        <f>INDEX([1]IDEN_level_ids!$B:$B,MATCH(G1067,[1]IDEN_level_ids!$A:$A,0),1)</f>
        <v>1195</v>
      </c>
      <c r="U1067">
        <f>INDEX([1]IDEN_level_ids!$B:$B,MATCH(H1067,[1]IDEN_level_ids!$A:$A,0),1)</f>
        <v>911</v>
      </c>
    </row>
    <row r="1068" spans="1:21" hidden="1" x14ac:dyDescent="0.25">
      <c r="A1068">
        <v>70268.431800000006</v>
      </c>
      <c r="B1068">
        <v>1423.1142</v>
      </c>
      <c r="C1068">
        <v>6</v>
      </c>
      <c r="D1068" t="s">
        <v>391</v>
      </c>
      <c r="E1068" t="s">
        <v>45</v>
      </c>
      <c r="F1068">
        <v>1969</v>
      </c>
      <c r="G1068" s="1" t="s">
        <v>46</v>
      </c>
      <c r="H1068" s="1" t="s">
        <v>422</v>
      </c>
      <c r="I1068">
        <v>0</v>
      </c>
      <c r="J1068">
        <v>70268.680500000002</v>
      </c>
      <c r="K1068">
        <v>5.0400000000000002E-3</v>
      </c>
      <c r="L1068">
        <v>9.7599999999999996E-3</v>
      </c>
      <c r="M1068">
        <v>0.48199999999999998</v>
      </c>
      <c r="N1068">
        <v>9.6000000000000002E-2</v>
      </c>
      <c r="O1068">
        <v>1.0800000000000001E-2</v>
      </c>
      <c r="P1068" s="3">
        <f t="shared" si="64"/>
        <v>1423.1141557936403</v>
      </c>
      <c r="Q1068" s="3">
        <f t="shared" si="65"/>
        <v>5.0367886235562764E-3</v>
      </c>
      <c r="R1068" s="3">
        <f t="shared" si="66"/>
        <v>9.7599999999999996E-3</v>
      </c>
      <c r="S1068">
        <f t="shared" si="67"/>
        <v>23</v>
      </c>
      <c r="T1068">
        <f>INDEX([1]IDEN_level_ids!$B:$B,MATCH(G1068,[1]IDEN_level_ids!$A:$A,0),1)</f>
        <v>1212</v>
      </c>
      <c r="U1068">
        <f>INDEX([1]IDEN_level_ids!$B:$B,MATCH(H1068,[1]IDEN_level_ids!$A:$A,0),1)</f>
        <v>920</v>
      </c>
    </row>
    <row r="1069" spans="1:21" hidden="1" x14ac:dyDescent="0.25">
      <c r="A1069">
        <v>70241.828599999993</v>
      </c>
      <c r="B1069">
        <v>1423.6531</v>
      </c>
      <c r="C1069">
        <v>6</v>
      </c>
      <c r="D1069" t="s">
        <v>391</v>
      </c>
      <c r="F1069">
        <v>1969</v>
      </c>
      <c r="G1069" s="1" t="s">
        <v>309</v>
      </c>
      <c r="H1069" s="1" t="s">
        <v>153</v>
      </c>
      <c r="I1069">
        <v>0</v>
      </c>
      <c r="J1069">
        <v>70241.6878</v>
      </c>
      <c r="K1069">
        <v>-2.8500000000000001E-3</v>
      </c>
      <c r="L1069">
        <v>4.9699999999999996E-3</v>
      </c>
      <c r="M1069">
        <v>0.245</v>
      </c>
      <c r="N1069">
        <v>0.1593</v>
      </c>
      <c r="O1069">
        <v>5.9100000000000003E-3</v>
      </c>
      <c r="P1069" s="3">
        <f t="shared" si="64"/>
        <v>1423.6531421962441</v>
      </c>
      <c r="Q1069" s="3">
        <f t="shared" si="65"/>
        <v>-2.8537236034935631E-3</v>
      </c>
      <c r="R1069" s="3">
        <f t="shared" si="66"/>
        <v>4.9699999999999996E-3</v>
      </c>
      <c r="S1069">
        <f t="shared" si="67"/>
        <v>23</v>
      </c>
      <c r="T1069">
        <f>INDEX([1]IDEN_level_ids!$B:$B,MATCH(G1069,[1]IDEN_level_ids!$A:$A,0),1)</f>
        <v>1094</v>
      </c>
      <c r="U1069">
        <f>INDEX([1]IDEN_level_ids!$B:$B,MATCH(H1069,[1]IDEN_level_ids!$A:$A,0),1)</f>
        <v>681</v>
      </c>
    </row>
    <row r="1070" spans="1:21" hidden="1" x14ac:dyDescent="0.25">
      <c r="A1070">
        <v>70224.675700000007</v>
      </c>
      <c r="B1070">
        <v>1424.0009</v>
      </c>
      <c r="C1070">
        <v>6</v>
      </c>
      <c r="D1070" t="s">
        <v>391</v>
      </c>
      <c r="F1070">
        <v>1969</v>
      </c>
      <c r="G1070" s="1" t="s">
        <v>230</v>
      </c>
      <c r="H1070" s="1" t="s">
        <v>423</v>
      </c>
      <c r="I1070">
        <v>0</v>
      </c>
      <c r="J1070">
        <v>70224.329500000007</v>
      </c>
      <c r="K1070">
        <v>-7.0200000000000002E-3</v>
      </c>
      <c r="L1070">
        <v>4.9699999999999996E-3</v>
      </c>
      <c r="M1070">
        <v>0.245</v>
      </c>
      <c r="N1070">
        <v>0.1484</v>
      </c>
      <c r="O1070">
        <v>5.8300000000000001E-3</v>
      </c>
      <c r="P1070" s="3">
        <f t="shared" si="64"/>
        <v>1424.0008800781118</v>
      </c>
      <c r="Q1070" s="3">
        <f t="shared" si="65"/>
        <v>-7.0202037982198817E-3</v>
      </c>
      <c r="R1070" s="3">
        <f t="shared" si="66"/>
        <v>4.9699999999999996E-3</v>
      </c>
      <c r="S1070">
        <f t="shared" si="67"/>
        <v>23</v>
      </c>
      <c r="T1070">
        <f>INDEX([1]IDEN_level_ids!$B:$B,MATCH(G1070,[1]IDEN_level_ids!$A:$A,0),1)</f>
        <v>1208</v>
      </c>
      <c r="U1070">
        <f>INDEX([1]IDEN_level_ids!$B:$B,MATCH(H1070,[1]IDEN_level_ids!$A:$A,0),1)</f>
        <v>915</v>
      </c>
    </row>
    <row r="1071" spans="1:21" hidden="1" x14ac:dyDescent="0.25">
      <c r="A1071">
        <v>70122.926200000002</v>
      </c>
      <c r="B1071">
        <v>1426.0671</v>
      </c>
      <c r="C1071">
        <v>6</v>
      </c>
      <c r="D1071" t="s">
        <v>424</v>
      </c>
      <c r="F1071">
        <v>1969</v>
      </c>
      <c r="G1071" s="1" t="s">
        <v>197</v>
      </c>
      <c r="H1071" s="1" t="s">
        <v>367</v>
      </c>
      <c r="I1071">
        <v>0</v>
      </c>
      <c r="J1071">
        <v>70122.777700000006</v>
      </c>
      <c r="K1071">
        <v>-3.0200000000000001E-3</v>
      </c>
      <c r="L1071">
        <v>4.9800000000000001E-3</v>
      </c>
      <c r="M1071">
        <v>0.245</v>
      </c>
      <c r="N1071">
        <v>8.3500000000000005E-2</v>
      </c>
      <c r="O1071">
        <v>5.4400000000000004E-3</v>
      </c>
      <c r="P1071" s="3">
        <f t="shared" si="64"/>
        <v>1426.0671283851814</v>
      </c>
      <c r="Q1071" s="3">
        <f t="shared" si="65"/>
        <v>-3.020002565563118E-3</v>
      </c>
      <c r="R1071" s="3">
        <f t="shared" si="66"/>
        <v>4.9800000000000001E-3</v>
      </c>
      <c r="S1071">
        <f t="shared" si="67"/>
        <v>24</v>
      </c>
      <c r="T1071">
        <f>INDEX([1]IDEN_level_ids!$B:$B,MATCH(G1071,[1]IDEN_level_ids!$A:$A,0),1)</f>
        <v>1182</v>
      </c>
      <c r="U1071">
        <f>INDEX([1]IDEN_level_ids!$B:$B,MATCH(H1071,[1]IDEN_level_ids!$A:$A,0),1)</f>
        <v>907</v>
      </c>
    </row>
    <row r="1072" spans="1:21" hidden="1" x14ac:dyDescent="0.25">
      <c r="A1072">
        <v>70049.537100000001</v>
      </c>
      <c r="B1072">
        <v>1427.5612000000001</v>
      </c>
      <c r="C1072">
        <v>6</v>
      </c>
      <c r="D1072" t="s">
        <v>424</v>
      </c>
      <c r="F1072">
        <v>1969</v>
      </c>
      <c r="G1072" s="1" t="s">
        <v>187</v>
      </c>
      <c r="H1072" s="1" t="s">
        <v>420</v>
      </c>
      <c r="I1072">
        <v>0</v>
      </c>
      <c r="J1072">
        <v>70049.465500000006</v>
      </c>
      <c r="K1072">
        <v>-1.4599999999999999E-3</v>
      </c>
      <c r="L1072">
        <v>4.9899999999999996E-3</v>
      </c>
      <c r="M1072">
        <v>0.245</v>
      </c>
      <c r="N1072">
        <v>0.12809999999999999</v>
      </c>
      <c r="O1072">
        <v>5.7299999999999999E-3</v>
      </c>
      <c r="P1072" s="3">
        <f t="shared" si="64"/>
        <v>1427.5611822708247</v>
      </c>
      <c r="Q1072" s="3">
        <f t="shared" si="65"/>
        <v>-1.4591600365747581E-3</v>
      </c>
      <c r="R1072" s="3">
        <f t="shared" si="66"/>
        <v>4.9899999999999996E-3</v>
      </c>
      <c r="S1072">
        <f t="shared" si="67"/>
        <v>24</v>
      </c>
      <c r="T1072">
        <f>INDEX([1]IDEN_level_ids!$B:$B,MATCH(G1072,[1]IDEN_level_ids!$A:$A,0),1)</f>
        <v>1204</v>
      </c>
      <c r="U1072">
        <f>INDEX([1]IDEN_level_ids!$B:$B,MATCH(H1072,[1]IDEN_level_ids!$A:$A,0),1)</f>
        <v>914</v>
      </c>
    </row>
    <row r="1073" spans="1:21" hidden="1" x14ac:dyDescent="0.25">
      <c r="A1073">
        <v>70027.123000000007</v>
      </c>
      <c r="B1073">
        <v>1428.0181</v>
      </c>
      <c r="C1073">
        <v>6</v>
      </c>
      <c r="D1073" t="s">
        <v>424</v>
      </c>
      <c r="F1073">
        <v>1969</v>
      </c>
      <c r="G1073" s="1" t="s">
        <v>82</v>
      </c>
      <c r="H1073" s="1" t="s">
        <v>360</v>
      </c>
      <c r="I1073">
        <v>0</v>
      </c>
      <c r="J1073">
        <v>70026.970799999996</v>
      </c>
      <c r="K1073">
        <v>-3.0999999999999999E-3</v>
      </c>
      <c r="L1073">
        <v>5.0000000000000001E-3</v>
      </c>
      <c r="M1073">
        <v>0.245</v>
      </c>
      <c r="N1073">
        <v>7.0300000000000001E-2</v>
      </c>
      <c r="O1073">
        <v>5.3699999999999998E-3</v>
      </c>
      <c r="P1073" s="3">
        <f t="shared" si="64"/>
        <v>1428.0181123534089</v>
      </c>
      <c r="Q1073" s="3">
        <f t="shared" si="65"/>
        <v>-3.1037235260100715E-3</v>
      </c>
      <c r="R1073" s="3">
        <f t="shared" si="66"/>
        <v>5.0000000000000001E-3</v>
      </c>
      <c r="S1073">
        <f t="shared" si="67"/>
        <v>24</v>
      </c>
      <c r="T1073">
        <f>INDEX([1]IDEN_level_ids!$B:$B,MATCH(G1073,[1]IDEN_level_ids!$A:$A,0),1)</f>
        <v>1193</v>
      </c>
      <c r="U1073">
        <f>INDEX([1]IDEN_level_ids!$B:$B,MATCH(H1073,[1]IDEN_level_ids!$A:$A,0),1)</f>
        <v>911</v>
      </c>
    </row>
    <row r="1074" spans="1:21" hidden="1" x14ac:dyDescent="0.25">
      <c r="A1074">
        <v>69993.562600000005</v>
      </c>
      <c r="B1074">
        <v>1428.7028</v>
      </c>
      <c r="C1074">
        <v>6</v>
      </c>
      <c r="D1074" t="s">
        <v>424</v>
      </c>
      <c r="F1074">
        <v>1969</v>
      </c>
      <c r="G1074" s="1" t="s">
        <v>425</v>
      </c>
      <c r="H1074" s="1" t="s">
        <v>258</v>
      </c>
      <c r="I1074">
        <v>-0.61419999999999997</v>
      </c>
      <c r="J1074">
        <v>69993.099700000006</v>
      </c>
      <c r="K1074">
        <v>-9.4500000000000001E-3</v>
      </c>
      <c r="L1074">
        <v>5.0000000000000001E-3</v>
      </c>
      <c r="M1074">
        <v>0.245</v>
      </c>
      <c r="N1074">
        <v>6.4899999999999999E-2</v>
      </c>
      <c r="O1074">
        <v>5.3499999999999997E-3</v>
      </c>
      <c r="P1074" s="3">
        <f t="shared" si="64"/>
        <v>1428.7028161644109</v>
      </c>
      <c r="Q1074" s="3">
        <f t="shared" si="65"/>
        <v>-9.4487390390440851E-3</v>
      </c>
      <c r="R1074" s="3">
        <f t="shared" si="66"/>
        <v>5.0000000000000001E-3</v>
      </c>
      <c r="S1074">
        <f t="shared" si="67"/>
        <v>24</v>
      </c>
      <c r="T1074">
        <f>INDEX([1]IDEN_level_ids!$B:$B,MATCH(G1074,[1]IDEN_level_ids!$A:$A,0),1)</f>
        <v>1098</v>
      </c>
      <c r="U1074">
        <f>INDEX([1]IDEN_level_ids!$B:$B,MATCH(H1074,[1]IDEN_level_ids!$A:$A,0),1)</f>
        <v>755</v>
      </c>
    </row>
    <row r="1075" spans="1:21" hidden="1" x14ac:dyDescent="0.25">
      <c r="A1075">
        <v>69913.987800000003</v>
      </c>
      <c r="B1075">
        <v>1430.3289</v>
      </c>
      <c r="C1075">
        <v>6</v>
      </c>
      <c r="D1075" t="s">
        <v>424</v>
      </c>
      <c r="F1075">
        <v>1969</v>
      </c>
      <c r="G1075" s="1" t="s">
        <v>82</v>
      </c>
      <c r="H1075" s="1" t="s">
        <v>343</v>
      </c>
      <c r="I1075">
        <v>0</v>
      </c>
      <c r="J1075">
        <v>69913.920700000002</v>
      </c>
      <c r="K1075">
        <v>-1.3699999999999999E-3</v>
      </c>
      <c r="L1075">
        <v>5.0099999999999997E-3</v>
      </c>
      <c r="M1075">
        <v>0.245</v>
      </c>
      <c r="N1075">
        <v>4.9399999999999999E-2</v>
      </c>
      <c r="O1075">
        <v>5.2700000000000004E-3</v>
      </c>
      <c r="P1075" s="3">
        <f t="shared" si="64"/>
        <v>1430.3289391253977</v>
      </c>
      <c r="Q1075" s="3">
        <f t="shared" si="65"/>
        <v>-1.3727605439726176E-3</v>
      </c>
      <c r="R1075" s="3">
        <f t="shared" si="66"/>
        <v>5.0099999999999997E-3</v>
      </c>
      <c r="S1075">
        <f t="shared" si="67"/>
        <v>24</v>
      </c>
      <c r="T1075">
        <f>INDEX([1]IDEN_level_ids!$B:$B,MATCH(G1075,[1]IDEN_level_ids!$A:$A,0),1)</f>
        <v>1193</v>
      </c>
      <c r="U1075">
        <f>INDEX([1]IDEN_level_ids!$B:$B,MATCH(H1075,[1]IDEN_level_ids!$A:$A,0),1)</f>
        <v>912</v>
      </c>
    </row>
    <row r="1076" spans="1:21" hidden="1" x14ac:dyDescent="0.25">
      <c r="A1076">
        <v>69903.521099999998</v>
      </c>
      <c r="B1076">
        <v>1430.5431000000001</v>
      </c>
      <c r="C1076">
        <v>6</v>
      </c>
      <c r="D1076" t="s">
        <v>424</v>
      </c>
      <c r="F1076">
        <v>1969</v>
      </c>
      <c r="G1076" s="1" t="s">
        <v>38</v>
      </c>
      <c r="H1076" s="1" t="s">
        <v>420</v>
      </c>
      <c r="I1076">
        <v>0</v>
      </c>
      <c r="J1076">
        <v>69902.990300000005</v>
      </c>
      <c r="K1076">
        <v>-1.086E-2</v>
      </c>
      <c r="L1076">
        <v>5.0099999999999997E-3</v>
      </c>
      <c r="M1076">
        <v>0.245</v>
      </c>
      <c r="N1076">
        <v>0.127</v>
      </c>
      <c r="O1076">
        <v>5.7400000000000003E-3</v>
      </c>
      <c r="P1076" s="3">
        <f t="shared" si="64"/>
        <v>1430.5431032142958</v>
      </c>
      <c r="Q1076" s="3">
        <f t="shared" si="65"/>
        <v>-1.0862658033829575E-2</v>
      </c>
      <c r="R1076" s="3">
        <f t="shared" si="66"/>
        <v>5.0099999999999997E-3</v>
      </c>
      <c r="S1076">
        <f t="shared" si="67"/>
        <v>24</v>
      </c>
      <c r="T1076">
        <f>INDEX([1]IDEN_level_ids!$B:$B,MATCH(G1076,[1]IDEN_level_ids!$A:$A,0),1)</f>
        <v>1201</v>
      </c>
      <c r="U1076">
        <f>INDEX([1]IDEN_level_ids!$B:$B,MATCH(H1076,[1]IDEN_level_ids!$A:$A,0),1)</f>
        <v>914</v>
      </c>
    </row>
    <row r="1077" spans="1:21" hidden="1" x14ac:dyDescent="0.25">
      <c r="A1077">
        <v>69884.616500000004</v>
      </c>
      <c r="B1077">
        <v>1430.9301</v>
      </c>
      <c r="C1077">
        <v>6</v>
      </c>
      <c r="D1077" t="s">
        <v>424</v>
      </c>
      <c r="F1077">
        <v>1969</v>
      </c>
      <c r="G1077" s="1" t="s">
        <v>72</v>
      </c>
      <c r="H1077" s="1" t="s">
        <v>405</v>
      </c>
      <c r="I1077">
        <v>0</v>
      </c>
      <c r="J1077">
        <v>69884.420299999998</v>
      </c>
      <c r="K1077">
        <v>-4.0200000000000001E-3</v>
      </c>
      <c r="L1077">
        <v>5.0200000000000002E-3</v>
      </c>
      <c r="M1077">
        <v>0.245</v>
      </c>
      <c r="N1077">
        <v>6.0999999999999999E-2</v>
      </c>
      <c r="O1077">
        <v>5.3400000000000001E-3</v>
      </c>
      <c r="P1077" s="3">
        <f t="shared" si="64"/>
        <v>1430.9300817297894</v>
      </c>
      <c r="Q1077" s="3">
        <f t="shared" si="65"/>
        <v>-4.0173257621063385E-3</v>
      </c>
      <c r="R1077" s="3">
        <f t="shared" si="66"/>
        <v>5.0200000000000002E-3</v>
      </c>
      <c r="S1077">
        <f t="shared" si="67"/>
        <v>24</v>
      </c>
      <c r="T1077">
        <f>INDEX([1]IDEN_level_ids!$B:$B,MATCH(G1077,[1]IDEN_level_ids!$A:$A,0),1)</f>
        <v>1225</v>
      </c>
      <c r="U1077">
        <f>INDEX([1]IDEN_level_ids!$B:$B,MATCH(H1077,[1]IDEN_level_ids!$A:$A,0),1)</f>
        <v>927</v>
      </c>
    </row>
    <row r="1078" spans="1:21" hidden="1" x14ac:dyDescent="0.25">
      <c r="A1078">
        <v>69876.1777</v>
      </c>
      <c r="B1078">
        <v>1431.1029000000001</v>
      </c>
      <c r="C1078">
        <v>6</v>
      </c>
      <c r="D1078" t="s">
        <v>424</v>
      </c>
      <c r="F1078">
        <v>1969</v>
      </c>
      <c r="G1078" s="1" t="s">
        <v>53</v>
      </c>
      <c r="H1078" s="1" t="s">
        <v>426</v>
      </c>
      <c r="I1078">
        <v>0</v>
      </c>
      <c r="J1078">
        <v>69875.939599999998</v>
      </c>
      <c r="K1078">
        <v>-4.8799999999999998E-3</v>
      </c>
      <c r="L1078">
        <v>5.0200000000000002E-3</v>
      </c>
      <c r="M1078">
        <v>0.245</v>
      </c>
      <c r="N1078">
        <v>0.2021</v>
      </c>
      <c r="O1078">
        <v>6.2899999999999996E-3</v>
      </c>
      <c r="P1078" s="3">
        <f t="shared" si="64"/>
        <v>1431.1028921663526</v>
      </c>
      <c r="Q1078" s="3">
        <f t="shared" si="65"/>
        <v>-4.876436733184164E-3</v>
      </c>
      <c r="R1078" s="3">
        <f t="shared" si="66"/>
        <v>5.0200000000000002E-3</v>
      </c>
      <c r="S1078">
        <f t="shared" si="67"/>
        <v>24</v>
      </c>
      <c r="T1078">
        <f>INDEX([1]IDEN_level_ids!$B:$B,MATCH(G1078,[1]IDEN_level_ids!$A:$A,0),1)</f>
        <v>1231</v>
      </c>
      <c r="U1078">
        <f>INDEX([1]IDEN_level_ids!$B:$B,MATCH(H1078,[1]IDEN_level_ids!$A:$A,0),1)</f>
        <v>932</v>
      </c>
    </row>
    <row r="1079" spans="1:21" hidden="1" x14ac:dyDescent="0.25">
      <c r="A1079">
        <v>69854.147200000007</v>
      </c>
      <c r="B1079">
        <v>1431.5542</v>
      </c>
      <c r="C1079">
        <v>6</v>
      </c>
      <c r="D1079" t="s">
        <v>424</v>
      </c>
      <c r="F1079">
        <v>1969</v>
      </c>
      <c r="G1079" s="1" t="s">
        <v>194</v>
      </c>
      <c r="H1079" s="1" t="s">
        <v>352</v>
      </c>
      <c r="I1079">
        <v>0</v>
      </c>
      <c r="J1079">
        <v>69854.125899999999</v>
      </c>
      <c r="K1079">
        <v>-4.4000000000000002E-4</v>
      </c>
      <c r="L1079">
        <v>5.0200000000000002E-3</v>
      </c>
      <c r="M1079">
        <v>0.245</v>
      </c>
      <c r="N1079">
        <v>0.1144</v>
      </c>
      <c r="O1079">
        <v>5.6699999999999997E-3</v>
      </c>
      <c r="P1079" s="3">
        <f t="shared" si="64"/>
        <v>1431.5542313284441</v>
      </c>
      <c r="Q1079" s="3">
        <f t="shared" si="65"/>
        <v>-4.3651115447573829E-4</v>
      </c>
      <c r="R1079" s="3">
        <f t="shared" si="66"/>
        <v>5.0200000000000002E-3</v>
      </c>
      <c r="S1079">
        <f t="shared" si="67"/>
        <v>24</v>
      </c>
      <c r="T1079">
        <f>INDEX([1]IDEN_level_ids!$B:$B,MATCH(G1079,[1]IDEN_level_ids!$A:$A,0),1)</f>
        <v>1187</v>
      </c>
      <c r="U1079">
        <f>INDEX([1]IDEN_level_ids!$B:$B,MATCH(H1079,[1]IDEN_level_ids!$A:$A,0),1)</f>
        <v>909</v>
      </c>
    </row>
    <row r="1080" spans="1:21" hidden="1" x14ac:dyDescent="0.25">
      <c r="A1080">
        <v>69846.498699999996</v>
      </c>
      <c r="B1080">
        <v>1431.711</v>
      </c>
      <c r="C1080">
        <v>6</v>
      </c>
      <c r="D1080" t="s">
        <v>424</v>
      </c>
      <c r="E1080" t="s">
        <v>427</v>
      </c>
      <c r="F1080">
        <v>1969</v>
      </c>
      <c r="G1080" s="1" t="s">
        <v>53</v>
      </c>
      <c r="H1080" s="1" t="s">
        <v>409</v>
      </c>
      <c r="I1080">
        <v>0</v>
      </c>
      <c r="J1080">
        <v>69846.238599999997</v>
      </c>
      <c r="K1080">
        <v>-5.3299999999999997E-3</v>
      </c>
      <c r="L1080">
        <v>7.7000000000000002E-3</v>
      </c>
      <c r="M1080">
        <v>0.37580000000000002</v>
      </c>
      <c r="N1080">
        <v>7.3400000000000007E-2</v>
      </c>
      <c r="O1080">
        <v>8.3099999999999997E-3</v>
      </c>
      <c r="P1080" s="3">
        <f t="shared" si="64"/>
        <v>1431.7109928374978</v>
      </c>
      <c r="Q1080" s="3">
        <f t="shared" si="65"/>
        <v>-5.331540204679186E-3</v>
      </c>
      <c r="R1080" s="3">
        <f t="shared" si="66"/>
        <v>7.7000000000000002E-3</v>
      </c>
      <c r="S1080">
        <f t="shared" si="67"/>
        <v>24</v>
      </c>
      <c r="T1080">
        <f>INDEX([1]IDEN_level_ids!$B:$B,MATCH(G1080,[1]IDEN_level_ids!$A:$A,0),1)</f>
        <v>1231</v>
      </c>
      <c r="U1080">
        <f>INDEX([1]IDEN_level_ids!$B:$B,MATCH(H1080,[1]IDEN_level_ids!$A:$A,0),1)</f>
        <v>933</v>
      </c>
    </row>
    <row r="1081" spans="1:21" hidden="1" x14ac:dyDescent="0.25">
      <c r="A1081">
        <v>69831.676399999997</v>
      </c>
      <c r="B1081">
        <v>1432.0148999999999</v>
      </c>
      <c r="C1081">
        <v>6</v>
      </c>
      <c r="D1081" t="s">
        <v>424</v>
      </c>
      <c r="E1081" t="s">
        <v>45</v>
      </c>
      <c r="F1081">
        <v>1969</v>
      </c>
      <c r="G1081" s="1" t="s">
        <v>428</v>
      </c>
      <c r="H1081" s="1" t="s">
        <v>429</v>
      </c>
      <c r="I1081">
        <v>-0.2928</v>
      </c>
      <c r="J1081">
        <v>69831.585800000001</v>
      </c>
      <c r="K1081">
        <v>-1.8600000000000001E-3</v>
      </c>
      <c r="L1081">
        <v>9.8799999999999999E-3</v>
      </c>
      <c r="M1081">
        <v>0.48199999999999998</v>
      </c>
      <c r="N1081">
        <v>8.8999999999999999E-3</v>
      </c>
      <c r="O1081">
        <v>9.9699999999999997E-3</v>
      </c>
      <c r="P1081" s="3">
        <f t="shared" si="64"/>
        <v>1432.0148842939707</v>
      </c>
      <c r="Q1081" s="3">
        <f t="shared" si="65"/>
        <v>-1.8579063760171266E-3</v>
      </c>
      <c r="R1081" s="3">
        <f t="shared" si="66"/>
        <v>9.8799999999999999E-3</v>
      </c>
      <c r="S1081">
        <f t="shared" si="67"/>
        <v>24</v>
      </c>
      <c r="T1081">
        <f>INDEX([1]IDEN_level_ids!$B:$B,MATCH(G1081,[1]IDEN_level_ids!$A:$A,0),1)</f>
        <v>1060</v>
      </c>
      <c r="U1081">
        <f>INDEX([1]IDEN_level_ids!$B:$B,MATCH(H1081,[1]IDEN_level_ids!$A:$A,0),1)</f>
        <v>406</v>
      </c>
    </row>
    <row r="1082" spans="1:21" hidden="1" x14ac:dyDescent="0.25">
      <c r="A1082">
        <v>69738.115699999995</v>
      </c>
      <c r="B1082">
        <v>1433.9360999999999</v>
      </c>
      <c r="C1082">
        <v>6</v>
      </c>
      <c r="D1082" t="s">
        <v>424</v>
      </c>
      <c r="F1082">
        <v>1969</v>
      </c>
      <c r="G1082" s="1" t="s">
        <v>216</v>
      </c>
      <c r="H1082" s="1" t="s">
        <v>338</v>
      </c>
      <c r="I1082">
        <v>0</v>
      </c>
      <c r="J1082">
        <v>69738.015700000004</v>
      </c>
      <c r="K1082">
        <v>-2.0600000000000002E-3</v>
      </c>
      <c r="L1082">
        <v>5.0400000000000002E-3</v>
      </c>
      <c r="M1082">
        <v>0.245</v>
      </c>
      <c r="N1082">
        <v>3.9E-2</v>
      </c>
      <c r="O1082">
        <v>5.2399999999999999E-3</v>
      </c>
      <c r="P1082" s="3">
        <f t="shared" si="64"/>
        <v>1433.9360763657687</v>
      </c>
      <c r="Q1082" s="3">
        <f t="shared" si="65"/>
        <v>-2.0561756191455061E-3</v>
      </c>
      <c r="R1082" s="3">
        <f t="shared" si="66"/>
        <v>5.0400000000000002E-3</v>
      </c>
      <c r="S1082">
        <f t="shared" si="67"/>
        <v>24</v>
      </c>
      <c r="T1082">
        <f>INDEX([1]IDEN_level_ids!$B:$B,MATCH(G1082,[1]IDEN_level_ids!$A:$A,0),1)</f>
        <v>1170</v>
      </c>
      <c r="U1082">
        <f>INDEX([1]IDEN_level_ids!$B:$B,MATCH(H1082,[1]IDEN_level_ids!$A:$A,0),1)</f>
        <v>904</v>
      </c>
    </row>
    <row r="1083" spans="1:21" hidden="1" x14ac:dyDescent="0.25">
      <c r="A1083">
        <v>69638.998699999996</v>
      </c>
      <c r="B1083">
        <v>1435.9770000000001</v>
      </c>
      <c r="C1083">
        <v>6</v>
      </c>
      <c r="D1083" t="s">
        <v>424</v>
      </c>
      <c r="F1083">
        <v>1969</v>
      </c>
      <c r="G1083" s="1" t="s">
        <v>49</v>
      </c>
      <c r="H1083" s="1" t="s">
        <v>412</v>
      </c>
      <c r="I1083">
        <v>0</v>
      </c>
      <c r="J1083">
        <v>69639.063200000004</v>
      </c>
      <c r="K1083">
        <v>1.33E-3</v>
      </c>
      <c r="L1083">
        <v>5.0499999999999998E-3</v>
      </c>
      <c r="M1083">
        <v>0.245</v>
      </c>
      <c r="N1083">
        <v>0.1103</v>
      </c>
      <c r="O1083">
        <v>5.6800000000000002E-3</v>
      </c>
      <c r="P1083" s="3">
        <f t="shared" si="64"/>
        <v>1435.976993735839</v>
      </c>
      <c r="Q1083" s="3">
        <f t="shared" si="65"/>
        <v>1.3300080709086615E-3</v>
      </c>
      <c r="R1083" s="3">
        <f t="shared" si="66"/>
        <v>5.0499999999999998E-3</v>
      </c>
      <c r="S1083">
        <f t="shared" si="67"/>
        <v>24</v>
      </c>
      <c r="T1083">
        <f>INDEX([1]IDEN_level_ids!$B:$B,MATCH(G1083,[1]IDEN_level_ids!$A:$A,0),1)</f>
        <v>1214</v>
      </c>
      <c r="U1083">
        <f>INDEX([1]IDEN_level_ids!$B:$B,MATCH(H1083,[1]IDEN_level_ids!$A:$A,0),1)</f>
        <v>923</v>
      </c>
    </row>
    <row r="1084" spans="1:21" hidden="1" x14ac:dyDescent="0.25">
      <c r="A1084">
        <v>69547.2742</v>
      </c>
      <c r="B1084">
        <v>1437.8708999999999</v>
      </c>
      <c r="C1084">
        <v>6</v>
      </c>
      <c r="D1084" t="s">
        <v>424</v>
      </c>
      <c r="F1084">
        <v>1969</v>
      </c>
      <c r="G1084" s="1" t="s">
        <v>398</v>
      </c>
      <c r="H1084" s="1" t="s">
        <v>392</v>
      </c>
      <c r="I1084">
        <v>-0.2341</v>
      </c>
      <c r="J1084">
        <v>69547.328999999998</v>
      </c>
      <c r="K1084">
        <v>1.1299999999999999E-3</v>
      </c>
      <c r="L1084">
        <v>5.0600000000000003E-3</v>
      </c>
      <c r="M1084">
        <v>0.245</v>
      </c>
      <c r="N1084">
        <v>3.3700000000000001E-2</v>
      </c>
      <c r="O1084">
        <v>5.2399999999999999E-3</v>
      </c>
      <c r="P1084" s="3">
        <f t="shared" si="64"/>
        <v>1437.870874887574</v>
      </c>
      <c r="Q1084" s="3">
        <f t="shared" si="65"/>
        <v>1.132974120992003E-3</v>
      </c>
      <c r="R1084" s="3">
        <f t="shared" si="66"/>
        <v>5.0600000000000003E-3</v>
      </c>
      <c r="S1084">
        <f t="shared" si="67"/>
        <v>24</v>
      </c>
      <c r="T1084">
        <f>INDEX([1]IDEN_level_ids!$B:$B,MATCH(G1084,[1]IDEN_level_ids!$A:$A,0),1)</f>
        <v>1075</v>
      </c>
      <c r="U1084">
        <f>INDEX([1]IDEN_level_ids!$B:$B,MATCH(H1084,[1]IDEN_level_ids!$A:$A,0),1)</f>
        <v>498</v>
      </c>
    </row>
    <row r="1085" spans="1:21" hidden="1" x14ac:dyDescent="0.25">
      <c r="A1085">
        <v>69506.280599999998</v>
      </c>
      <c r="B1085">
        <v>1438.7189000000001</v>
      </c>
      <c r="C1085">
        <v>6</v>
      </c>
      <c r="D1085" t="s">
        <v>424</v>
      </c>
      <c r="F1085">
        <v>1969</v>
      </c>
      <c r="G1085" s="1" t="s">
        <v>207</v>
      </c>
      <c r="H1085" s="1" t="s">
        <v>367</v>
      </c>
      <c r="I1085">
        <v>0</v>
      </c>
      <c r="J1085">
        <v>69506.130799999999</v>
      </c>
      <c r="K1085">
        <v>-3.0999999999999999E-3</v>
      </c>
      <c r="L1085">
        <v>5.0699999999999999E-3</v>
      </c>
      <c r="M1085">
        <v>0.245</v>
      </c>
      <c r="N1085">
        <v>8.4199999999999997E-2</v>
      </c>
      <c r="O1085">
        <v>5.5399999999999998E-3</v>
      </c>
      <c r="P1085" s="3">
        <f t="shared" si="64"/>
        <v>1438.7189062163686</v>
      </c>
      <c r="Q1085" s="3">
        <f t="shared" si="65"/>
        <v>-3.1007349950868957E-3</v>
      </c>
      <c r="R1085" s="3">
        <f t="shared" si="66"/>
        <v>5.0699999999999999E-3</v>
      </c>
      <c r="S1085">
        <f t="shared" si="67"/>
        <v>24</v>
      </c>
      <c r="T1085">
        <f>INDEX([1]IDEN_level_ids!$B:$B,MATCH(G1085,[1]IDEN_level_ids!$A:$A,0),1)</f>
        <v>1177</v>
      </c>
      <c r="U1085">
        <f>INDEX([1]IDEN_level_ids!$B:$B,MATCH(H1085,[1]IDEN_level_ids!$A:$A,0),1)</f>
        <v>907</v>
      </c>
    </row>
    <row r="1086" spans="1:21" hidden="1" x14ac:dyDescent="0.25">
      <c r="A1086">
        <v>69504.004499999995</v>
      </c>
      <c r="B1086">
        <v>1438.7660000000001</v>
      </c>
      <c r="C1086">
        <v>6</v>
      </c>
      <c r="D1086" t="s">
        <v>424</v>
      </c>
      <c r="F1086">
        <v>1969</v>
      </c>
      <c r="G1086" s="1" t="s">
        <v>251</v>
      </c>
      <c r="H1086" s="1" t="s">
        <v>360</v>
      </c>
      <c r="I1086">
        <v>0</v>
      </c>
      <c r="J1086">
        <v>69504.083899999998</v>
      </c>
      <c r="K1086">
        <v>1.64E-3</v>
      </c>
      <c r="L1086">
        <v>5.0699999999999999E-3</v>
      </c>
      <c r="M1086">
        <v>0.245</v>
      </c>
      <c r="N1086">
        <v>7.4099999999999999E-2</v>
      </c>
      <c r="O1086">
        <v>5.4799999999999996E-3</v>
      </c>
      <c r="P1086" s="3">
        <f t="shared" si="64"/>
        <v>1438.7660210283279</v>
      </c>
      <c r="Q1086" s="3">
        <f t="shared" si="65"/>
        <v>1.6436159669410699E-3</v>
      </c>
      <c r="R1086" s="3">
        <f t="shared" si="66"/>
        <v>5.0699999999999999E-3</v>
      </c>
      <c r="S1086">
        <f t="shared" si="67"/>
        <v>24</v>
      </c>
      <c r="T1086">
        <f>INDEX([1]IDEN_level_ids!$B:$B,MATCH(G1086,[1]IDEN_level_ids!$A:$A,0),1)</f>
        <v>1192</v>
      </c>
      <c r="U1086">
        <f>INDEX([1]IDEN_level_ids!$B:$B,MATCH(H1086,[1]IDEN_level_ids!$A:$A,0),1)</f>
        <v>911</v>
      </c>
    </row>
    <row r="1087" spans="1:21" hidden="1" x14ac:dyDescent="0.25">
      <c r="A1087">
        <v>69472.421400000007</v>
      </c>
      <c r="B1087">
        <v>1439.4201</v>
      </c>
      <c r="C1087">
        <v>6</v>
      </c>
      <c r="D1087" t="s">
        <v>424</v>
      </c>
      <c r="E1087" t="s">
        <v>45</v>
      </c>
      <c r="F1087">
        <v>1969</v>
      </c>
      <c r="G1087" s="1" t="s">
        <v>243</v>
      </c>
      <c r="H1087" s="1" t="s">
        <v>423</v>
      </c>
      <c r="I1087">
        <v>0</v>
      </c>
      <c r="J1087">
        <v>69472.643400000001</v>
      </c>
      <c r="K1087">
        <v>4.5999999999999999E-3</v>
      </c>
      <c r="L1087">
        <v>9.9900000000000006E-3</v>
      </c>
      <c r="M1087">
        <v>0.48199999999999998</v>
      </c>
      <c r="N1087">
        <v>3.5499999999999997E-2</v>
      </c>
      <c r="O1087">
        <v>1.035E-2</v>
      </c>
      <c r="P1087" s="3">
        <f t="shared" si="64"/>
        <v>1439.4201034714474</v>
      </c>
      <c r="Q1087" s="3">
        <f t="shared" si="65"/>
        <v>4.5996704218396189E-3</v>
      </c>
      <c r="R1087" s="3">
        <f t="shared" si="66"/>
        <v>9.9900000000000006E-3</v>
      </c>
      <c r="S1087">
        <f t="shared" si="67"/>
        <v>24</v>
      </c>
      <c r="T1087">
        <f>INDEX([1]IDEN_level_ids!$B:$B,MATCH(G1087,[1]IDEN_level_ids!$A:$A,0),1)</f>
        <v>1205</v>
      </c>
      <c r="U1087">
        <f>INDEX([1]IDEN_level_ids!$B:$B,MATCH(H1087,[1]IDEN_level_ids!$A:$A,0),1)</f>
        <v>915</v>
      </c>
    </row>
    <row r="1088" spans="1:21" hidden="1" x14ac:dyDescent="0.25">
      <c r="A1088">
        <v>69448.205000000002</v>
      </c>
      <c r="B1088">
        <v>1439.922</v>
      </c>
      <c r="C1088">
        <v>6</v>
      </c>
      <c r="D1088" t="s">
        <v>424</v>
      </c>
      <c r="F1088">
        <v>1969</v>
      </c>
      <c r="G1088" s="1" t="s">
        <v>56</v>
      </c>
      <c r="H1088" s="1" t="s">
        <v>405</v>
      </c>
      <c r="I1088">
        <v>0</v>
      </c>
      <c r="J1088">
        <v>69448.063899999994</v>
      </c>
      <c r="K1088">
        <v>-2.9299999999999999E-3</v>
      </c>
      <c r="L1088">
        <v>5.0800000000000003E-3</v>
      </c>
      <c r="M1088">
        <v>0.245</v>
      </c>
      <c r="N1088">
        <v>6.1199999999999997E-2</v>
      </c>
      <c r="O1088">
        <v>5.4099999999999999E-3</v>
      </c>
      <c r="P1088" s="3">
        <f t="shared" si="64"/>
        <v>1439.9220253424837</v>
      </c>
      <c r="Q1088" s="3">
        <f t="shared" si="65"/>
        <v>-2.9255386884869949E-3</v>
      </c>
      <c r="R1088" s="3">
        <f t="shared" si="66"/>
        <v>5.0800000000000003E-3</v>
      </c>
      <c r="S1088">
        <f t="shared" si="67"/>
        <v>24</v>
      </c>
      <c r="T1088">
        <f>INDEX([1]IDEN_level_ids!$B:$B,MATCH(G1088,[1]IDEN_level_ids!$A:$A,0),1)</f>
        <v>1221</v>
      </c>
      <c r="U1088">
        <f>INDEX([1]IDEN_level_ids!$B:$B,MATCH(H1088,[1]IDEN_level_ids!$A:$A,0),1)</f>
        <v>927</v>
      </c>
    </row>
    <row r="1089" spans="1:21" hidden="1" x14ac:dyDescent="0.25">
      <c r="A1089">
        <v>69433.168799999999</v>
      </c>
      <c r="B1089">
        <v>1440.2338</v>
      </c>
      <c r="C1089">
        <v>6</v>
      </c>
      <c r="D1089" t="s">
        <v>424</v>
      </c>
      <c r="F1089">
        <v>1969</v>
      </c>
      <c r="G1089" s="1" t="s">
        <v>108</v>
      </c>
      <c r="H1089" s="1" t="s">
        <v>430</v>
      </c>
      <c r="I1089">
        <v>0</v>
      </c>
      <c r="J1089">
        <v>69433.1584</v>
      </c>
      <c r="K1089">
        <v>-2.2000000000000001E-4</v>
      </c>
      <c r="L1089">
        <v>5.0800000000000003E-3</v>
      </c>
      <c r="M1089">
        <v>0.245</v>
      </c>
      <c r="N1089">
        <v>0.26939999999999997</v>
      </c>
      <c r="O1089">
        <v>6.96E-3</v>
      </c>
      <c r="P1089" s="3">
        <f t="shared" si="64"/>
        <v>1440.2338497332128</v>
      </c>
      <c r="Q1089" s="3">
        <f t="shared" si="65"/>
        <v>-2.1572448076767614E-4</v>
      </c>
      <c r="R1089" s="3">
        <f t="shared" si="66"/>
        <v>5.0800000000000003E-3</v>
      </c>
      <c r="S1089">
        <f t="shared" si="67"/>
        <v>24</v>
      </c>
      <c r="T1089">
        <f>INDEX([1]IDEN_level_ids!$B:$B,MATCH(G1089,[1]IDEN_level_ids!$A:$A,0),1)</f>
        <v>1149</v>
      </c>
      <c r="U1089">
        <f>INDEX([1]IDEN_level_ids!$B:$B,MATCH(H1089,[1]IDEN_level_ids!$A:$A,0),1)</f>
        <v>897</v>
      </c>
    </row>
    <row r="1090" spans="1:21" hidden="1" x14ac:dyDescent="0.25">
      <c r="A1090">
        <v>69377.577399999995</v>
      </c>
      <c r="B1090">
        <v>1441.3878999999999</v>
      </c>
      <c r="C1090">
        <v>6</v>
      </c>
      <c r="D1090" t="s">
        <v>424</v>
      </c>
      <c r="F1090">
        <v>1969</v>
      </c>
      <c r="G1090" s="1" t="s">
        <v>265</v>
      </c>
      <c r="H1090" s="1" t="s">
        <v>371</v>
      </c>
      <c r="I1090">
        <v>0</v>
      </c>
      <c r="J1090">
        <v>69377.748000000007</v>
      </c>
      <c r="K1090">
        <v>3.5400000000000002E-3</v>
      </c>
      <c r="L1090">
        <v>5.0899999999999999E-3</v>
      </c>
      <c r="M1090">
        <v>0.245</v>
      </c>
      <c r="N1090">
        <v>0.1003</v>
      </c>
      <c r="O1090">
        <v>5.6600000000000001E-3</v>
      </c>
      <c r="P1090" s="3">
        <f t="shared" ref="P1090:P1153" si="68">100000000/$A1090</f>
        <v>1441.387891414035</v>
      </c>
      <c r="Q1090" s="3">
        <f t="shared" ref="Q1090:Q1153" si="69">100000000/($A1090)-100000000/$J1090</f>
        <v>3.5443752699393372E-3</v>
      </c>
      <c r="R1090" s="3">
        <f t="shared" si="66"/>
        <v>5.0899999999999999E-3</v>
      </c>
      <c r="S1090">
        <f t="shared" si="67"/>
        <v>24</v>
      </c>
      <c r="T1090">
        <f>INDEX([1]IDEN_level_ids!$B:$B,MATCH(G1090,[1]IDEN_level_ids!$A:$A,0),1)</f>
        <v>1161</v>
      </c>
      <c r="U1090">
        <f>INDEX([1]IDEN_level_ids!$B:$B,MATCH(H1090,[1]IDEN_level_ids!$A:$A,0),1)</f>
        <v>902</v>
      </c>
    </row>
    <row r="1091" spans="1:21" hidden="1" x14ac:dyDescent="0.25">
      <c r="A1091">
        <v>69344.032500000001</v>
      </c>
      <c r="B1091">
        <v>1442.0852</v>
      </c>
      <c r="C1091">
        <v>6</v>
      </c>
      <c r="D1091" t="s">
        <v>424</v>
      </c>
      <c r="F1091">
        <v>1969</v>
      </c>
      <c r="G1091" s="1" t="s">
        <v>76</v>
      </c>
      <c r="H1091" s="1" t="s">
        <v>376</v>
      </c>
      <c r="I1091">
        <v>0</v>
      </c>
      <c r="J1091">
        <v>69343.944300000003</v>
      </c>
      <c r="K1091">
        <v>-1.8400000000000001E-3</v>
      </c>
      <c r="L1091">
        <v>5.0899999999999999E-3</v>
      </c>
      <c r="M1091">
        <v>0.245</v>
      </c>
      <c r="N1091">
        <v>5.7599999999999998E-2</v>
      </c>
      <c r="O1091">
        <v>5.4099999999999999E-3</v>
      </c>
      <c r="P1091" s="3">
        <f t="shared" si="68"/>
        <v>1442.0851570753402</v>
      </c>
      <c r="Q1091" s="3">
        <f t="shared" si="69"/>
        <v>-1.8342180003401154E-3</v>
      </c>
      <c r="R1091" s="3">
        <f t="shared" ref="R1091:R1154" si="70">$L1091</f>
        <v>5.0899999999999999E-3</v>
      </c>
      <c r="S1091">
        <f t="shared" si="67"/>
        <v>24</v>
      </c>
      <c r="T1091">
        <f>INDEX([1]IDEN_level_ids!$B:$B,MATCH(G1091,[1]IDEN_level_ids!$A:$A,0),1)</f>
        <v>1194</v>
      </c>
      <c r="U1091">
        <f>INDEX([1]IDEN_level_ids!$B:$B,MATCH(H1091,[1]IDEN_level_ids!$A:$A,0),1)</f>
        <v>913</v>
      </c>
    </row>
    <row r="1092" spans="1:21" hidden="1" x14ac:dyDescent="0.25">
      <c r="A1092">
        <v>69299.823699999994</v>
      </c>
      <c r="B1092">
        <v>1443.0051000000001</v>
      </c>
      <c r="C1092">
        <v>6</v>
      </c>
      <c r="D1092" t="s">
        <v>424</v>
      </c>
      <c r="F1092">
        <v>1969</v>
      </c>
      <c r="G1092" s="1" t="s">
        <v>69</v>
      </c>
      <c r="H1092" s="1" t="s">
        <v>405</v>
      </c>
      <c r="I1092">
        <v>0</v>
      </c>
      <c r="J1092">
        <v>69299.633000000002</v>
      </c>
      <c r="K1092">
        <v>-3.9699999999999996E-3</v>
      </c>
      <c r="L1092">
        <v>5.1000000000000004E-3</v>
      </c>
      <c r="M1092">
        <v>0.245</v>
      </c>
      <c r="N1092">
        <v>6.1600000000000002E-2</v>
      </c>
      <c r="O1092">
        <v>5.4400000000000004E-3</v>
      </c>
      <c r="P1092" s="3">
        <f t="shared" si="68"/>
        <v>1443.0051140231112</v>
      </c>
      <c r="Q1092" s="3">
        <f t="shared" si="69"/>
        <v>-3.9708879155568866E-3</v>
      </c>
      <c r="R1092" s="3">
        <f t="shared" si="70"/>
        <v>5.1000000000000004E-3</v>
      </c>
      <c r="S1092">
        <f t="shared" ref="S1092:S1155" si="71">IF(D1092=D1091,S1091,S1091+1)</f>
        <v>24</v>
      </c>
      <c r="T1092">
        <f>INDEX([1]IDEN_level_ids!$B:$B,MATCH(G1092,[1]IDEN_level_ids!$A:$A,0),1)</f>
        <v>1218</v>
      </c>
      <c r="U1092">
        <f>INDEX([1]IDEN_level_ids!$B:$B,MATCH(H1092,[1]IDEN_level_ids!$A:$A,0),1)</f>
        <v>927</v>
      </c>
    </row>
    <row r="1093" spans="1:21" hidden="1" x14ac:dyDescent="0.25">
      <c r="A1093">
        <v>69268.428700000004</v>
      </c>
      <c r="B1093">
        <v>1443.6591000000001</v>
      </c>
      <c r="C1093">
        <v>6</v>
      </c>
      <c r="D1093" t="s">
        <v>424</v>
      </c>
      <c r="E1093" t="s">
        <v>45</v>
      </c>
      <c r="F1093">
        <v>1969</v>
      </c>
      <c r="G1093" s="1" t="s">
        <v>431</v>
      </c>
      <c r="H1093" s="1" t="s">
        <v>408</v>
      </c>
      <c r="I1093">
        <v>-0.21</v>
      </c>
      <c r="J1093">
        <v>69268.173800000004</v>
      </c>
      <c r="K1093">
        <v>-5.3099999999999996E-3</v>
      </c>
      <c r="L1093">
        <v>1.005E-2</v>
      </c>
      <c r="M1093">
        <v>0.48199999999999998</v>
      </c>
      <c r="N1093">
        <v>6.7999999999999996E-3</v>
      </c>
      <c r="O1093">
        <v>1.0120000000000001E-2</v>
      </c>
      <c r="P1093" s="3">
        <f t="shared" si="68"/>
        <v>1443.6591370232713</v>
      </c>
      <c r="Q1093" s="3">
        <f t="shared" si="69"/>
        <v>-5.3125222425478569E-3</v>
      </c>
      <c r="R1093" s="3">
        <f t="shared" si="70"/>
        <v>1.005E-2</v>
      </c>
      <c r="S1093">
        <f t="shared" si="71"/>
        <v>24</v>
      </c>
      <c r="T1093">
        <f>INDEX([1]IDEN_level_ids!$B:$B,MATCH(G1093,[1]IDEN_level_ids!$A:$A,0),1)</f>
        <v>1062</v>
      </c>
      <c r="U1093">
        <f>INDEX([1]IDEN_level_ids!$B:$B,MATCH(H1093,[1]IDEN_level_ids!$A:$A,0),1)</f>
        <v>461</v>
      </c>
    </row>
    <row r="1094" spans="1:21" hidden="1" x14ac:dyDescent="0.25">
      <c r="A1094">
        <v>69246.9954</v>
      </c>
      <c r="B1094">
        <v>1444.106</v>
      </c>
      <c r="C1094">
        <v>6</v>
      </c>
      <c r="D1094" t="s">
        <v>424</v>
      </c>
      <c r="F1094">
        <v>1969</v>
      </c>
      <c r="G1094" s="1" t="s">
        <v>46</v>
      </c>
      <c r="H1094" s="1" t="s">
        <v>412</v>
      </c>
      <c r="I1094">
        <v>0</v>
      </c>
      <c r="J1094">
        <v>69247.101899999994</v>
      </c>
      <c r="K1094">
        <v>2.2200000000000002E-3</v>
      </c>
      <c r="L1094">
        <v>5.11E-3</v>
      </c>
      <c r="M1094">
        <v>0.245</v>
      </c>
      <c r="N1094">
        <v>0.1101</v>
      </c>
      <c r="O1094">
        <v>5.7400000000000003E-3</v>
      </c>
      <c r="P1094" s="3">
        <f t="shared" si="68"/>
        <v>1444.1059777735859</v>
      </c>
      <c r="Q1094" s="3">
        <f t="shared" si="69"/>
        <v>2.2209923940863519E-3</v>
      </c>
      <c r="R1094" s="3">
        <f t="shared" si="70"/>
        <v>5.11E-3</v>
      </c>
      <c r="S1094">
        <f t="shared" si="71"/>
        <v>24</v>
      </c>
      <c r="T1094">
        <f>INDEX([1]IDEN_level_ids!$B:$B,MATCH(G1094,[1]IDEN_level_ids!$A:$A,0),1)</f>
        <v>1212</v>
      </c>
      <c r="U1094">
        <f>INDEX([1]IDEN_level_ids!$B:$B,MATCH(H1094,[1]IDEN_level_ids!$A:$A,0),1)</f>
        <v>923</v>
      </c>
    </row>
    <row r="1095" spans="1:21" hidden="1" x14ac:dyDescent="0.25">
      <c r="A1095">
        <v>69236.205600000001</v>
      </c>
      <c r="B1095">
        <v>1444.3309999999999</v>
      </c>
      <c r="C1095">
        <v>6</v>
      </c>
      <c r="D1095" t="s">
        <v>424</v>
      </c>
      <c r="F1095">
        <v>1969</v>
      </c>
      <c r="G1095" s="1" t="s">
        <v>27</v>
      </c>
      <c r="H1095" s="1" t="s">
        <v>432</v>
      </c>
      <c r="I1095">
        <v>0</v>
      </c>
      <c r="J1095">
        <v>69236.087100000004</v>
      </c>
      <c r="K1095">
        <v>-2.47E-3</v>
      </c>
      <c r="L1095">
        <v>5.11E-3</v>
      </c>
      <c r="M1095">
        <v>0.245</v>
      </c>
      <c r="N1095">
        <v>3.4299999999999997E-2</v>
      </c>
      <c r="O1095">
        <v>5.2900000000000004E-3</v>
      </c>
      <c r="P1095" s="3">
        <f t="shared" si="68"/>
        <v>1444.3310278690374</v>
      </c>
      <c r="Q1095" s="3">
        <f t="shared" si="69"/>
        <v>-2.4720233907373768E-3</v>
      </c>
      <c r="R1095" s="3">
        <f t="shared" si="70"/>
        <v>5.11E-3</v>
      </c>
      <c r="S1095">
        <f t="shared" si="71"/>
        <v>24</v>
      </c>
      <c r="T1095">
        <f>INDEX([1]IDEN_level_ids!$B:$B,MATCH(G1095,[1]IDEN_level_ids!$A:$A,0),1)</f>
        <v>1242</v>
      </c>
      <c r="U1095">
        <f>INDEX([1]IDEN_level_ids!$B:$B,MATCH(H1095,[1]IDEN_level_ids!$A:$A,0),1)</f>
        <v>954</v>
      </c>
    </row>
    <row r="1096" spans="1:21" hidden="1" x14ac:dyDescent="0.25">
      <c r="A1096">
        <v>69190.794200000004</v>
      </c>
      <c r="B1096">
        <v>1445.279</v>
      </c>
      <c r="C1096">
        <v>6</v>
      </c>
      <c r="D1096" t="s">
        <v>424</v>
      </c>
      <c r="F1096">
        <v>1969</v>
      </c>
      <c r="G1096" s="1" t="s">
        <v>307</v>
      </c>
      <c r="H1096" s="1" t="s">
        <v>146</v>
      </c>
      <c r="I1096">
        <v>0</v>
      </c>
      <c r="J1096">
        <v>69191.558099999995</v>
      </c>
      <c r="K1096">
        <v>1.5949999999999999E-2</v>
      </c>
      <c r="L1096">
        <v>5.1200000000000004E-3</v>
      </c>
      <c r="M1096">
        <v>0.245</v>
      </c>
      <c r="N1096">
        <v>0.17599999999999999</v>
      </c>
      <c r="O1096">
        <v>6.2100000000000002E-3</v>
      </c>
      <c r="P1096" s="3">
        <f t="shared" si="68"/>
        <v>1445.2789732539302</v>
      </c>
      <c r="Q1096" s="3">
        <f t="shared" si="69"/>
        <v>1.5956406214399976E-2</v>
      </c>
      <c r="R1096" s="3">
        <f t="shared" si="70"/>
        <v>5.1200000000000004E-3</v>
      </c>
      <c r="S1096">
        <f t="shared" si="71"/>
        <v>24</v>
      </c>
      <c r="T1096">
        <f>INDEX([1]IDEN_level_ids!$B:$B,MATCH(G1096,[1]IDEN_level_ids!$A:$A,0),1)</f>
        <v>1095</v>
      </c>
      <c r="U1096">
        <f>INDEX([1]IDEN_level_ids!$B:$B,MATCH(H1096,[1]IDEN_level_ids!$A:$A,0),1)</f>
        <v>723</v>
      </c>
    </row>
    <row r="1097" spans="1:21" hidden="1" x14ac:dyDescent="0.25">
      <c r="A1097">
        <v>69179.400699999998</v>
      </c>
      <c r="B1097">
        <v>1445.5170000000001</v>
      </c>
      <c r="C1097">
        <v>6</v>
      </c>
      <c r="D1097" t="s">
        <v>424</v>
      </c>
      <c r="F1097">
        <v>1969</v>
      </c>
      <c r="G1097" s="1" t="s">
        <v>83</v>
      </c>
      <c r="H1097" s="1" t="s">
        <v>367</v>
      </c>
      <c r="I1097">
        <v>0</v>
      </c>
      <c r="J1097">
        <v>69179.362699999998</v>
      </c>
      <c r="K1097">
        <v>-7.9000000000000001E-4</v>
      </c>
      <c r="L1097">
        <v>5.1200000000000004E-3</v>
      </c>
      <c r="M1097">
        <v>0.245</v>
      </c>
      <c r="N1097">
        <v>8.4400000000000003E-2</v>
      </c>
      <c r="O1097">
        <v>5.5900000000000004E-3</v>
      </c>
      <c r="P1097" s="3">
        <f t="shared" si="68"/>
        <v>1445.5170034452178</v>
      </c>
      <c r="Q1097" s="3">
        <f t="shared" si="69"/>
        <v>-7.9401781090382428E-4</v>
      </c>
      <c r="R1097" s="3">
        <f t="shared" si="70"/>
        <v>5.1200000000000004E-3</v>
      </c>
      <c r="S1097">
        <f t="shared" si="71"/>
        <v>24</v>
      </c>
      <c r="T1097">
        <f>INDEX([1]IDEN_level_ids!$B:$B,MATCH(G1097,[1]IDEN_level_ids!$A:$A,0),1)</f>
        <v>1175</v>
      </c>
      <c r="U1097">
        <f>INDEX([1]IDEN_level_ids!$B:$B,MATCH(H1097,[1]IDEN_level_ids!$A:$A,0),1)</f>
        <v>907</v>
      </c>
    </row>
    <row r="1098" spans="1:21" hidden="1" x14ac:dyDescent="0.25">
      <c r="A1098">
        <v>69172.604600000006</v>
      </c>
      <c r="B1098">
        <v>1445.6590000000001</v>
      </c>
      <c r="C1098">
        <v>6</v>
      </c>
      <c r="D1098" t="s">
        <v>424</v>
      </c>
      <c r="F1098">
        <v>1969</v>
      </c>
      <c r="G1098" s="1" t="s">
        <v>187</v>
      </c>
      <c r="H1098" s="1" t="s">
        <v>423</v>
      </c>
      <c r="I1098">
        <v>0</v>
      </c>
      <c r="J1098">
        <v>69172.621199999994</v>
      </c>
      <c r="K1098">
        <v>3.5E-4</v>
      </c>
      <c r="L1098">
        <v>5.1200000000000004E-3</v>
      </c>
      <c r="M1098">
        <v>0.245</v>
      </c>
      <c r="N1098">
        <v>0.1376</v>
      </c>
      <c r="O1098">
        <v>5.94E-3</v>
      </c>
      <c r="P1098" s="3">
        <f t="shared" si="68"/>
        <v>1445.6590232255039</v>
      </c>
      <c r="Q1098" s="3">
        <f t="shared" si="69"/>
        <v>3.4692829854066076E-4</v>
      </c>
      <c r="R1098" s="3">
        <f t="shared" si="70"/>
        <v>5.1200000000000004E-3</v>
      </c>
      <c r="S1098">
        <f t="shared" si="71"/>
        <v>24</v>
      </c>
      <c r="T1098">
        <f>INDEX([1]IDEN_level_ids!$B:$B,MATCH(G1098,[1]IDEN_level_ids!$A:$A,0),1)</f>
        <v>1204</v>
      </c>
      <c r="U1098">
        <f>INDEX([1]IDEN_level_ids!$B:$B,MATCH(H1098,[1]IDEN_level_ids!$A:$A,0),1)</f>
        <v>915</v>
      </c>
    </row>
    <row r="1099" spans="1:21" hidden="1" x14ac:dyDescent="0.25">
      <c r="A1099">
        <v>69164.805900000007</v>
      </c>
      <c r="B1099">
        <v>1445.8219999999999</v>
      </c>
      <c r="C1099">
        <v>6</v>
      </c>
      <c r="D1099" t="s">
        <v>424</v>
      </c>
      <c r="E1099" t="s">
        <v>45</v>
      </c>
      <c r="F1099">
        <v>1969</v>
      </c>
      <c r="G1099" s="1" t="s">
        <v>55</v>
      </c>
      <c r="H1099" s="1" t="s">
        <v>393</v>
      </c>
      <c r="I1099">
        <v>0</v>
      </c>
      <c r="J1099">
        <v>69164.803400000004</v>
      </c>
      <c r="K1099">
        <v>-5.0000000000000002E-5</v>
      </c>
      <c r="L1099">
        <v>1.008E-2</v>
      </c>
      <c r="M1099">
        <v>0.48199999999999998</v>
      </c>
      <c r="N1099">
        <v>1.4E-2</v>
      </c>
      <c r="O1099">
        <v>1.022E-2</v>
      </c>
      <c r="P1099" s="3">
        <f t="shared" si="68"/>
        <v>1445.8220289749991</v>
      </c>
      <c r="Q1099" s="3">
        <f t="shared" si="69"/>
        <v>-5.2260035545259598E-5</v>
      </c>
      <c r="R1099" s="3">
        <f t="shared" si="70"/>
        <v>1.008E-2</v>
      </c>
      <c r="S1099">
        <f t="shared" si="71"/>
        <v>24</v>
      </c>
      <c r="T1099">
        <f>INDEX([1]IDEN_level_ids!$B:$B,MATCH(G1099,[1]IDEN_level_ids!$A:$A,0),1)</f>
        <v>1233</v>
      </c>
      <c r="U1099">
        <f>INDEX([1]IDEN_level_ids!$B:$B,MATCH(H1099,[1]IDEN_level_ids!$A:$A,0),1)</f>
        <v>938</v>
      </c>
    </row>
    <row r="1100" spans="1:21" hidden="1" x14ac:dyDescent="0.25">
      <c r="A1100">
        <v>69139.026400000002</v>
      </c>
      <c r="B1100">
        <v>1446.3611000000001</v>
      </c>
      <c r="C1100">
        <v>6</v>
      </c>
      <c r="D1100" t="s">
        <v>424</v>
      </c>
      <c r="F1100">
        <v>1969</v>
      </c>
      <c r="G1100" s="1" t="s">
        <v>307</v>
      </c>
      <c r="H1100" s="1" t="s">
        <v>270</v>
      </c>
      <c r="I1100">
        <v>0</v>
      </c>
      <c r="J1100">
        <v>69138.891399999993</v>
      </c>
      <c r="K1100">
        <v>-2.82E-3</v>
      </c>
      <c r="L1100">
        <v>5.1200000000000004E-3</v>
      </c>
      <c r="M1100">
        <v>0.245</v>
      </c>
      <c r="N1100">
        <v>0.13389999999999999</v>
      </c>
      <c r="O1100">
        <v>5.9199999999999999E-3</v>
      </c>
      <c r="P1100" s="3">
        <f t="shared" si="68"/>
        <v>1446.3611249232169</v>
      </c>
      <c r="Q1100" s="3">
        <f t="shared" si="69"/>
        <v>-2.8241521945346904E-3</v>
      </c>
      <c r="R1100" s="3">
        <f t="shared" si="70"/>
        <v>5.1200000000000004E-3</v>
      </c>
      <c r="S1100">
        <f t="shared" si="71"/>
        <v>24</v>
      </c>
      <c r="T1100">
        <f>INDEX([1]IDEN_level_ids!$B:$B,MATCH(G1100,[1]IDEN_level_ids!$A:$A,0),1)</f>
        <v>1095</v>
      </c>
      <c r="U1100">
        <f>INDEX([1]IDEN_level_ids!$B:$B,MATCH(H1100,[1]IDEN_level_ids!$A:$A,0),1)</f>
        <v>725</v>
      </c>
    </row>
    <row r="1101" spans="1:21" hidden="1" x14ac:dyDescent="0.25">
      <c r="A1101">
        <v>69094.122499999998</v>
      </c>
      <c r="B1101">
        <v>1447.3010999999999</v>
      </c>
      <c r="C1101">
        <v>6</v>
      </c>
      <c r="D1101" t="s">
        <v>424</v>
      </c>
      <c r="F1101">
        <v>1969</v>
      </c>
      <c r="G1101" s="1" t="s">
        <v>40</v>
      </c>
      <c r="H1101" s="1" t="s">
        <v>357</v>
      </c>
      <c r="I1101">
        <v>0</v>
      </c>
      <c r="J1101">
        <v>69094.0481</v>
      </c>
      <c r="K1101">
        <v>-1.56E-3</v>
      </c>
      <c r="L1101">
        <v>5.13E-3</v>
      </c>
      <c r="M1101">
        <v>0.245</v>
      </c>
      <c r="N1101">
        <v>8.6599999999999996E-2</v>
      </c>
      <c r="O1101">
        <v>5.62E-3</v>
      </c>
      <c r="P1101" s="3">
        <f t="shared" si="68"/>
        <v>1447.301107268567</v>
      </c>
      <c r="Q1101" s="3">
        <f t="shared" si="69"/>
        <v>-1.5584439663598459E-3</v>
      </c>
      <c r="R1101" s="3">
        <f t="shared" si="70"/>
        <v>5.13E-3</v>
      </c>
      <c r="S1101">
        <f t="shared" si="71"/>
        <v>24</v>
      </c>
      <c r="T1101">
        <f>INDEX([1]IDEN_level_ids!$B:$B,MATCH(G1101,[1]IDEN_level_ids!$A:$A,0),1)</f>
        <v>1199</v>
      </c>
      <c r="U1101">
        <f>INDEX([1]IDEN_level_ids!$B:$B,MATCH(H1101,[1]IDEN_level_ids!$A:$A,0),1)</f>
        <v>916</v>
      </c>
    </row>
    <row r="1102" spans="1:21" hidden="1" x14ac:dyDescent="0.25">
      <c r="A1102">
        <v>69062.531099999993</v>
      </c>
      <c r="B1102">
        <v>1447.9630999999999</v>
      </c>
      <c r="C1102">
        <v>6</v>
      </c>
      <c r="D1102" t="s">
        <v>424</v>
      </c>
      <c r="F1102">
        <v>1969</v>
      </c>
      <c r="G1102" s="1" t="s">
        <v>193</v>
      </c>
      <c r="H1102" s="1" t="s">
        <v>433</v>
      </c>
      <c r="I1102">
        <v>0</v>
      </c>
      <c r="J1102">
        <v>69062.453699999998</v>
      </c>
      <c r="K1102">
        <v>-1.6199999999999999E-3</v>
      </c>
      <c r="L1102">
        <v>5.1399999999999996E-3</v>
      </c>
      <c r="M1102">
        <v>0.245</v>
      </c>
      <c r="N1102">
        <v>6.3399999999999998E-2</v>
      </c>
      <c r="O1102">
        <v>5.4799999999999996E-3</v>
      </c>
      <c r="P1102" s="3">
        <f t="shared" si="68"/>
        <v>1447.9631488629298</v>
      </c>
      <c r="Q1102" s="3">
        <f t="shared" si="69"/>
        <v>-1.6227681135205785E-3</v>
      </c>
      <c r="R1102" s="3">
        <f t="shared" si="70"/>
        <v>5.1399999999999996E-3</v>
      </c>
      <c r="S1102">
        <f t="shared" si="71"/>
        <v>24</v>
      </c>
      <c r="T1102">
        <f>INDEX([1]IDEN_level_ids!$B:$B,MATCH(G1102,[1]IDEN_level_ids!$A:$A,0),1)</f>
        <v>1202</v>
      </c>
      <c r="U1102">
        <f>INDEX([1]IDEN_level_ids!$B:$B,MATCH(H1102,[1]IDEN_level_ids!$A:$A,0),1)</f>
        <v>918</v>
      </c>
    </row>
    <row r="1103" spans="1:21" hidden="1" x14ac:dyDescent="0.25">
      <c r="A1103">
        <v>69052.768899999995</v>
      </c>
      <c r="B1103">
        <v>1448.1678999999999</v>
      </c>
      <c r="C1103">
        <v>6</v>
      </c>
      <c r="D1103" t="s">
        <v>424</v>
      </c>
      <c r="F1103">
        <v>1969</v>
      </c>
      <c r="G1103" s="1" t="s">
        <v>245</v>
      </c>
      <c r="H1103" s="1" t="s">
        <v>338</v>
      </c>
      <c r="I1103">
        <v>0</v>
      </c>
      <c r="J1103">
        <v>69052.551200000002</v>
      </c>
      <c r="K1103">
        <v>-4.5700000000000003E-3</v>
      </c>
      <c r="L1103">
        <v>5.1399999999999996E-3</v>
      </c>
      <c r="M1103">
        <v>0.245</v>
      </c>
      <c r="N1103">
        <v>3.95E-2</v>
      </c>
      <c r="O1103">
        <v>5.3499999999999997E-3</v>
      </c>
      <c r="P1103" s="3">
        <f t="shared" si="68"/>
        <v>1448.167851818032</v>
      </c>
      <c r="Q1103" s="3">
        <f t="shared" si="69"/>
        <v>-4.5655973001430539E-3</v>
      </c>
      <c r="R1103" s="3">
        <f t="shared" si="70"/>
        <v>5.1399999999999996E-3</v>
      </c>
      <c r="S1103">
        <f t="shared" si="71"/>
        <v>24</v>
      </c>
      <c r="T1103">
        <f>INDEX([1]IDEN_level_ids!$B:$B,MATCH(G1103,[1]IDEN_level_ids!$A:$A,0),1)</f>
        <v>1169</v>
      </c>
      <c r="U1103">
        <f>INDEX([1]IDEN_level_ids!$B:$B,MATCH(H1103,[1]IDEN_level_ids!$A:$A,0),1)</f>
        <v>904</v>
      </c>
    </row>
    <row r="1104" spans="1:21" hidden="1" x14ac:dyDescent="0.25">
      <c r="A1104">
        <v>69021.977499999994</v>
      </c>
      <c r="B1104">
        <v>1448.8139000000001</v>
      </c>
      <c r="C1104">
        <v>6</v>
      </c>
      <c r="D1104" t="s">
        <v>424</v>
      </c>
      <c r="F1104">
        <v>1969</v>
      </c>
      <c r="G1104" s="1" t="s">
        <v>180</v>
      </c>
      <c r="H1104" s="1" t="s">
        <v>360</v>
      </c>
      <c r="I1104">
        <v>0</v>
      </c>
      <c r="J1104">
        <v>69021.836200000005</v>
      </c>
      <c r="K1104">
        <v>-2.97E-3</v>
      </c>
      <c r="L1104">
        <v>5.1399999999999996E-3</v>
      </c>
      <c r="M1104">
        <v>0.245</v>
      </c>
      <c r="N1104">
        <v>7.1499999999999994E-2</v>
      </c>
      <c r="O1104">
        <v>5.5399999999999998E-3</v>
      </c>
      <c r="P1104" s="3">
        <f t="shared" si="68"/>
        <v>1448.8138940962683</v>
      </c>
      <c r="Q1104" s="3">
        <f t="shared" si="69"/>
        <v>-2.9659802532933099E-3</v>
      </c>
      <c r="R1104" s="3">
        <f t="shared" si="70"/>
        <v>5.1399999999999996E-3</v>
      </c>
      <c r="S1104">
        <f t="shared" si="71"/>
        <v>24</v>
      </c>
      <c r="T1104">
        <f>INDEX([1]IDEN_level_ids!$B:$B,MATCH(G1104,[1]IDEN_level_ids!$A:$A,0),1)</f>
        <v>1184</v>
      </c>
      <c r="U1104">
        <f>INDEX([1]IDEN_level_ids!$B:$B,MATCH(H1104,[1]IDEN_level_ids!$A:$A,0),1)</f>
        <v>911</v>
      </c>
    </row>
    <row r="1105" spans="1:21" hidden="1" x14ac:dyDescent="0.25">
      <c r="A1105">
        <v>68946.363200000007</v>
      </c>
      <c r="B1105">
        <v>1450.4028000000001</v>
      </c>
      <c r="C1105">
        <v>6</v>
      </c>
      <c r="D1105" t="s">
        <v>434</v>
      </c>
      <c r="F1105">
        <v>1969</v>
      </c>
      <c r="G1105" s="1" t="s">
        <v>40</v>
      </c>
      <c r="H1105" s="1" t="s">
        <v>433</v>
      </c>
      <c r="I1105">
        <v>0</v>
      </c>
      <c r="J1105">
        <v>68946.120500000005</v>
      </c>
      <c r="K1105">
        <v>-5.11E-3</v>
      </c>
      <c r="L1105">
        <v>5.1500000000000001E-3</v>
      </c>
      <c r="M1105">
        <v>0.245</v>
      </c>
      <c r="N1105">
        <v>6.1600000000000002E-2</v>
      </c>
      <c r="O1105">
        <v>5.4900000000000001E-3</v>
      </c>
      <c r="P1105" s="3">
        <f t="shared" si="68"/>
        <v>1450.4028255982034</v>
      </c>
      <c r="Q1105" s="3">
        <f t="shared" si="69"/>
        <v>-5.1056210736533103E-3</v>
      </c>
      <c r="R1105" s="3">
        <f t="shared" si="70"/>
        <v>5.1500000000000001E-3</v>
      </c>
      <c r="S1105">
        <f t="shared" si="71"/>
        <v>25</v>
      </c>
      <c r="T1105">
        <f>INDEX([1]IDEN_level_ids!$B:$B,MATCH(G1105,[1]IDEN_level_ids!$A:$A,0),1)</f>
        <v>1199</v>
      </c>
      <c r="U1105">
        <f>INDEX([1]IDEN_level_ids!$B:$B,MATCH(H1105,[1]IDEN_level_ids!$A:$A,0),1)</f>
        <v>918</v>
      </c>
    </row>
    <row r="1106" spans="1:21" hidden="1" x14ac:dyDescent="0.25">
      <c r="A1106">
        <v>68941.736099999995</v>
      </c>
      <c r="B1106">
        <v>1450.5001999999999</v>
      </c>
      <c r="C1106">
        <v>6</v>
      </c>
      <c r="D1106" t="s">
        <v>434</v>
      </c>
      <c r="F1106">
        <v>1969</v>
      </c>
      <c r="G1106" s="1" t="s">
        <v>239</v>
      </c>
      <c r="H1106" s="1" t="s">
        <v>373</v>
      </c>
      <c r="I1106">
        <v>0</v>
      </c>
      <c r="J1106">
        <v>68941.627200000003</v>
      </c>
      <c r="K1106">
        <v>-2.2899999999999999E-3</v>
      </c>
      <c r="L1106">
        <v>5.1500000000000001E-3</v>
      </c>
      <c r="M1106">
        <v>0.245</v>
      </c>
      <c r="N1106">
        <v>0.1158</v>
      </c>
      <c r="O1106">
        <v>5.8300000000000001E-3</v>
      </c>
      <c r="P1106" s="3">
        <f t="shared" si="68"/>
        <v>1450.5001709697301</v>
      </c>
      <c r="Q1106" s="3">
        <f t="shared" si="69"/>
        <v>-2.2912059812369989E-3</v>
      </c>
      <c r="R1106" s="3">
        <f t="shared" si="70"/>
        <v>5.1500000000000001E-3</v>
      </c>
      <c r="S1106">
        <f t="shared" si="71"/>
        <v>25</v>
      </c>
      <c r="T1106">
        <f>INDEX([1]IDEN_level_ids!$B:$B,MATCH(G1106,[1]IDEN_level_ids!$A:$A,0),1)</f>
        <v>1167</v>
      </c>
      <c r="U1106">
        <f>INDEX([1]IDEN_level_ids!$B:$B,MATCH(H1106,[1]IDEN_level_ids!$A:$A,0),1)</f>
        <v>906</v>
      </c>
    </row>
    <row r="1107" spans="1:21" hidden="1" x14ac:dyDescent="0.25">
      <c r="A1107">
        <v>68908.817899999995</v>
      </c>
      <c r="B1107">
        <v>1451.1931</v>
      </c>
      <c r="C1107">
        <v>6</v>
      </c>
      <c r="D1107" t="s">
        <v>434</v>
      </c>
      <c r="F1107">
        <v>1969</v>
      </c>
      <c r="G1107" s="1" t="s">
        <v>180</v>
      </c>
      <c r="H1107" s="1" t="s">
        <v>343</v>
      </c>
      <c r="I1107">
        <v>0</v>
      </c>
      <c r="J1107">
        <v>68908.786200000002</v>
      </c>
      <c r="K1107">
        <v>-6.7000000000000002E-4</v>
      </c>
      <c r="L1107">
        <v>5.1599999999999997E-3</v>
      </c>
      <c r="M1107">
        <v>0.245</v>
      </c>
      <c r="N1107">
        <v>5.04E-2</v>
      </c>
      <c r="O1107">
        <v>5.4299999999999999E-3</v>
      </c>
      <c r="P1107" s="3">
        <f t="shared" si="68"/>
        <v>1451.1930845355571</v>
      </c>
      <c r="Q1107" s="3">
        <f t="shared" si="69"/>
        <v>-6.6759006085703732E-4</v>
      </c>
      <c r="R1107" s="3">
        <f t="shared" si="70"/>
        <v>5.1599999999999997E-3</v>
      </c>
      <c r="S1107">
        <f t="shared" si="71"/>
        <v>25</v>
      </c>
      <c r="T1107">
        <f>INDEX([1]IDEN_level_ids!$B:$B,MATCH(G1107,[1]IDEN_level_ids!$A:$A,0),1)</f>
        <v>1184</v>
      </c>
      <c r="U1107">
        <f>INDEX([1]IDEN_level_ids!$B:$B,MATCH(H1107,[1]IDEN_level_ids!$A:$A,0),1)</f>
        <v>912</v>
      </c>
    </row>
    <row r="1108" spans="1:21" hidden="1" x14ac:dyDescent="0.25">
      <c r="A1108">
        <v>68880.814400000003</v>
      </c>
      <c r="B1108">
        <v>1451.7831000000001</v>
      </c>
      <c r="C1108">
        <v>6</v>
      </c>
      <c r="D1108" t="s">
        <v>434</v>
      </c>
      <c r="F1108">
        <v>1969</v>
      </c>
      <c r="G1108" s="1" t="s">
        <v>62</v>
      </c>
      <c r="H1108" s="1" t="s">
        <v>435</v>
      </c>
      <c r="I1108">
        <v>0</v>
      </c>
      <c r="J1108">
        <v>68881.010599999994</v>
      </c>
      <c r="K1108">
        <v>4.1399999999999996E-3</v>
      </c>
      <c r="L1108">
        <v>5.1599999999999997E-3</v>
      </c>
      <c r="M1108">
        <v>0.245</v>
      </c>
      <c r="N1108">
        <v>0.159</v>
      </c>
      <c r="O1108">
        <v>6.1399999999999996E-3</v>
      </c>
      <c r="P1108" s="3">
        <f t="shared" si="68"/>
        <v>1451.7830671874285</v>
      </c>
      <c r="Q1108" s="3">
        <f t="shared" si="69"/>
        <v>4.1352447544795723E-3</v>
      </c>
      <c r="R1108" s="3">
        <f t="shared" si="70"/>
        <v>5.1599999999999997E-3</v>
      </c>
      <c r="S1108">
        <f t="shared" si="71"/>
        <v>25</v>
      </c>
      <c r="T1108">
        <f>INDEX([1]IDEN_level_ids!$B:$B,MATCH(G1108,[1]IDEN_level_ids!$A:$A,0),1)</f>
        <v>1203</v>
      </c>
      <c r="U1108">
        <f>INDEX([1]IDEN_level_ids!$B:$B,MATCH(H1108,[1]IDEN_level_ids!$A:$A,0),1)</f>
        <v>917</v>
      </c>
    </row>
    <row r="1109" spans="1:21" hidden="1" x14ac:dyDescent="0.25">
      <c r="A1109">
        <v>68847.847899999993</v>
      </c>
      <c r="B1109">
        <v>1452.4782</v>
      </c>
      <c r="C1109">
        <v>6</v>
      </c>
      <c r="D1109" t="s">
        <v>434</v>
      </c>
      <c r="F1109">
        <v>1969</v>
      </c>
      <c r="G1109" s="1" t="s">
        <v>309</v>
      </c>
      <c r="H1109" s="1" t="s">
        <v>146</v>
      </c>
      <c r="I1109">
        <v>0</v>
      </c>
      <c r="J1109">
        <v>68847.695500000002</v>
      </c>
      <c r="K1109">
        <v>-3.2200000000000002E-3</v>
      </c>
      <c r="L1109">
        <v>5.1700000000000001E-3</v>
      </c>
      <c r="M1109">
        <v>0.245</v>
      </c>
      <c r="N1109">
        <v>0.1754</v>
      </c>
      <c r="O1109">
        <v>6.2700000000000004E-3</v>
      </c>
      <c r="P1109" s="3">
        <f t="shared" si="68"/>
        <v>1452.4782262656609</v>
      </c>
      <c r="Q1109" s="3">
        <f t="shared" si="69"/>
        <v>-3.2151792456716066E-3</v>
      </c>
      <c r="R1109" s="3">
        <f t="shared" si="70"/>
        <v>5.1700000000000001E-3</v>
      </c>
      <c r="S1109">
        <f t="shared" si="71"/>
        <v>25</v>
      </c>
      <c r="T1109">
        <f>INDEX([1]IDEN_level_ids!$B:$B,MATCH(G1109,[1]IDEN_level_ids!$A:$A,0),1)</f>
        <v>1094</v>
      </c>
      <c r="U1109">
        <f>INDEX([1]IDEN_level_ids!$B:$B,MATCH(H1109,[1]IDEN_level_ids!$A:$A,0),1)</f>
        <v>723</v>
      </c>
    </row>
    <row r="1110" spans="1:21" hidden="1" x14ac:dyDescent="0.25">
      <c r="A1110">
        <v>68843.555500000002</v>
      </c>
      <c r="B1110">
        <v>1452.5688</v>
      </c>
      <c r="C1110">
        <v>6</v>
      </c>
      <c r="D1110" t="s">
        <v>434</v>
      </c>
      <c r="F1110">
        <v>1969</v>
      </c>
      <c r="G1110" s="1" t="s">
        <v>22</v>
      </c>
      <c r="H1110" s="1" t="s">
        <v>436</v>
      </c>
      <c r="I1110">
        <v>0.313</v>
      </c>
      <c r="J1110">
        <v>68843.392800000001</v>
      </c>
      <c r="K1110">
        <v>-3.4299999999999999E-3</v>
      </c>
      <c r="L1110">
        <v>5.1700000000000001E-3</v>
      </c>
      <c r="M1110">
        <v>0.245</v>
      </c>
      <c r="N1110">
        <v>2.86E-2</v>
      </c>
      <c r="O1110">
        <v>5.3200000000000001E-3</v>
      </c>
      <c r="P1110" s="3">
        <f t="shared" si="68"/>
        <v>1452.5687883740984</v>
      </c>
      <c r="Q1110" s="3">
        <f t="shared" si="69"/>
        <v>-3.4329066634199989E-3</v>
      </c>
      <c r="R1110" s="3">
        <f t="shared" si="70"/>
        <v>5.1700000000000001E-3</v>
      </c>
      <c r="S1110">
        <f t="shared" si="71"/>
        <v>25</v>
      </c>
      <c r="T1110">
        <f>INDEX([1]IDEN_level_ids!$B:$B,MATCH(G1110,[1]IDEN_level_ids!$A:$A,0),1)</f>
        <v>1236</v>
      </c>
      <c r="U1110">
        <f>INDEX([1]IDEN_level_ids!$B:$B,MATCH(H1110,[1]IDEN_level_ids!$A:$A,0),1)</f>
        <v>947</v>
      </c>
    </row>
    <row r="1111" spans="1:21" hidden="1" x14ac:dyDescent="0.25">
      <c r="A1111">
        <v>68828.481499999994</v>
      </c>
      <c r="B1111">
        <v>1452.8869</v>
      </c>
      <c r="C1111">
        <v>6</v>
      </c>
      <c r="D1111" t="s">
        <v>434</v>
      </c>
      <c r="F1111">
        <v>1969</v>
      </c>
      <c r="G1111" s="1" t="s">
        <v>72</v>
      </c>
      <c r="H1111" s="1" t="s">
        <v>421</v>
      </c>
      <c r="I1111">
        <v>0</v>
      </c>
      <c r="J1111">
        <v>68828.5098</v>
      </c>
      <c r="K1111">
        <v>5.9999999999999995E-4</v>
      </c>
      <c r="L1111">
        <v>5.1700000000000001E-3</v>
      </c>
      <c r="M1111">
        <v>0.245</v>
      </c>
      <c r="N1111">
        <v>0.17169999999999999</v>
      </c>
      <c r="O1111">
        <v>6.2399999999999999E-3</v>
      </c>
      <c r="P1111" s="3">
        <f t="shared" si="68"/>
        <v>1452.8869128109416</v>
      </c>
      <c r="Q1111" s="3">
        <f t="shared" si="69"/>
        <v>5.9737890228461765E-4</v>
      </c>
      <c r="R1111" s="3">
        <f t="shared" si="70"/>
        <v>5.1700000000000001E-3</v>
      </c>
      <c r="S1111">
        <f t="shared" si="71"/>
        <v>25</v>
      </c>
      <c r="T1111">
        <f>INDEX([1]IDEN_level_ids!$B:$B,MATCH(G1111,[1]IDEN_level_ids!$A:$A,0),1)</f>
        <v>1225</v>
      </c>
      <c r="U1111">
        <f>INDEX([1]IDEN_level_ids!$B:$B,MATCH(H1111,[1]IDEN_level_ids!$A:$A,0),1)</f>
        <v>930</v>
      </c>
    </row>
    <row r="1112" spans="1:21" hidden="1" x14ac:dyDescent="0.25">
      <c r="A1112">
        <v>68818.677500000005</v>
      </c>
      <c r="B1112">
        <v>1453.0939000000001</v>
      </c>
      <c r="C1112">
        <v>6</v>
      </c>
      <c r="D1112" t="s">
        <v>434</v>
      </c>
      <c r="E1112" t="s">
        <v>45</v>
      </c>
      <c r="F1112">
        <v>1969</v>
      </c>
      <c r="G1112" s="1" t="s">
        <v>437</v>
      </c>
      <c r="H1112" s="1" t="s">
        <v>411</v>
      </c>
      <c r="I1112">
        <v>-0.193</v>
      </c>
      <c r="J1112">
        <v>68819.4372</v>
      </c>
      <c r="K1112">
        <v>1.6039999999999999E-2</v>
      </c>
      <c r="L1112">
        <v>1.018E-2</v>
      </c>
      <c r="M1112">
        <v>0.48199999999999998</v>
      </c>
      <c r="N1112">
        <v>8.6E-3</v>
      </c>
      <c r="O1112">
        <v>1.027E-2</v>
      </c>
      <c r="P1112" s="3">
        <f t="shared" si="68"/>
        <v>1453.0938930060083</v>
      </c>
      <c r="Q1112" s="3">
        <f t="shared" si="69"/>
        <v>1.6040750628462774E-2</v>
      </c>
      <c r="R1112" s="3">
        <f t="shared" si="70"/>
        <v>1.018E-2</v>
      </c>
      <c r="S1112">
        <f t="shared" si="71"/>
        <v>25</v>
      </c>
      <c r="T1112">
        <f>INDEX([1]IDEN_level_ids!$B:$B,MATCH(G1112,[1]IDEN_level_ids!$A:$A,0),1)</f>
        <v>1039</v>
      </c>
      <c r="U1112">
        <f>INDEX([1]IDEN_level_ids!$B:$B,MATCH(H1112,[1]IDEN_level_ids!$A:$A,0),1)</f>
        <v>374</v>
      </c>
    </row>
    <row r="1113" spans="1:21" hidden="1" x14ac:dyDescent="0.25">
      <c r="A1113">
        <v>68803.938099999999</v>
      </c>
      <c r="B1113">
        <v>1453.4051999999999</v>
      </c>
      <c r="C1113">
        <v>6</v>
      </c>
      <c r="D1113" t="s">
        <v>434</v>
      </c>
      <c r="F1113">
        <v>1969</v>
      </c>
      <c r="G1113" s="1" t="s">
        <v>290</v>
      </c>
      <c r="H1113" s="1" t="s">
        <v>359</v>
      </c>
      <c r="I1113">
        <v>0</v>
      </c>
      <c r="J1113">
        <v>68803.853600000002</v>
      </c>
      <c r="K1113">
        <v>-1.7799999999999999E-3</v>
      </c>
      <c r="L1113">
        <v>5.1799999999999997E-3</v>
      </c>
      <c r="M1113">
        <v>0.245</v>
      </c>
      <c r="N1113">
        <v>0.1227</v>
      </c>
      <c r="O1113">
        <v>5.8999999999999999E-3</v>
      </c>
      <c r="P1113" s="3">
        <f t="shared" si="68"/>
        <v>1453.4051794340535</v>
      </c>
      <c r="Q1113" s="3">
        <f t="shared" si="69"/>
        <v>-1.7849688822479948E-3</v>
      </c>
      <c r="R1113" s="3">
        <f t="shared" si="70"/>
        <v>5.1799999999999997E-3</v>
      </c>
      <c r="S1113">
        <f t="shared" si="71"/>
        <v>25</v>
      </c>
      <c r="T1113">
        <f>INDEX([1]IDEN_level_ids!$B:$B,MATCH(G1113,[1]IDEN_level_ids!$A:$A,0),1)</f>
        <v>1153</v>
      </c>
      <c r="U1113">
        <f>INDEX([1]IDEN_level_ids!$B:$B,MATCH(H1113,[1]IDEN_level_ids!$A:$A,0),1)</f>
        <v>900</v>
      </c>
    </row>
    <row r="1114" spans="1:21" hidden="1" x14ac:dyDescent="0.25">
      <c r="A1114">
        <v>68789.757199999993</v>
      </c>
      <c r="B1114">
        <v>1453.7048</v>
      </c>
      <c r="C1114">
        <v>6</v>
      </c>
      <c r="D1114" t="s">
        <v>434</v>
      </c>
      <c r="F1114">
        <v>1969</v>
      </c>
      <c r="G1114" s="1" t="s">
        <v>166</v>
      </c>
      <c r="H1114" s="1" t="s">
        <v>343</v>
      </c>
      <c r="I1114">
        <v>0</v>
      </c>
      <c r="J1114">
        <v>68789.751000000004</v>
      </c>
      <c r="K1114">
        <v>-1.2999999999999999E-4</v>
      </c>
      <c r="L1114">
        <v>5.1799999999999997E-3</v>
      </c>
      <c r="M1114">
        <v>0.245</v>
      </c>
      <c r="N1114">
        <v>4.9799999999999997E-2</v>
      </c>
      <c r="O1114">
        <v>5.45E-3</v>
      </c>
      <c r="P1114" s="3">
        <f t="shared" si="68"/>
        <v>1453.7047966205064</v>
      </c>
      <c r="Q1114" s="3">
        <f t="shared" si="69"/>
        <v>-1.3102198499836959E-4</v>
      </c>
      <c r="R1114" s="3">
        <f t="shared" si="70"/>
        <v>5.1799999999999997E-3</v>
      </c>
      <c r="S1114">
        <f t="shared" si="71"/>
        <v>25</v>
      </c>
      <c r="T1114">
        <f>INDEX([1]IDEN_level_ids!$B:$B,MATCH(G1114,[1]IDEN_level_ids!$A:$A,0),1)</f>
        <v>1186</v>
      </c>
      <c r="U1114">
        <f>INDEX([1]IDEN_level_ids!$B:$B,MATCH(H1114,[1]IDEN_level_ids!$A:$A,0),1)</f>
        <v>912</v>
      </c>
    </row>
    <row r="1115" spans="1:21" hidden="1" x14ac:dyDescent="0.25">
      <c r="A1115">
        <v>68774.415699999998</v>
      </c>
      <c r="B1115">
        <v>1454.0291</v>
      </c>
      <c r="C1115">
        <v>6</v>
      </c>
      <c r="D1115" t="s">
        <v>434</v>
      </c>
      <c r="F1115">
        <v>1969</v>
      </c>
      <c r="G1115" s="1" t="s">
        <v>438</v>
      </c>
      <c r="H1115" s="1" t="s">
        <v>429</v>
      </c>
      <c r="I1115">
        <v>0</v>
      </c>
      <c r="J1115">
        <v>68774.222399999999</v>
      </c>
      <c r="K1115">
        <v>-4.0899999999999999E-3</v>
      </c>
      <c r="L1115">
        <v>5.1799999999999997E-3</v>
      </c>
      <c r="M1115">
        <v>0.245</v>
      </c>
      <c r="N1115">
        <v>3.2099999999999997E-2</v>
      </c>
      <c r="O1115">
        <v>5.3499999999999997E-3</v>
      </c>
      <c r="P1115" s="3">
        <f t="shared" si="68"/>
        <v>1454.0290743611508</v>
      </c>
      <c r="Q1115" s="3">
        <f t="shared" si="69"/>
        <v>-4.0867611478461185E-3</v>
      </c>
      <c r="R1115" s="3">
        <f t="shared" si="70"/>
        <v>5.1799999999999997E-3</v>
      </c>
      <c r="S1115">
        <f t="shared" si="71"/>
        <v>25</v>
      </c>
      <c r="T1115">
        <f>INDEX([1]IDEN_level_ids!$B:$B,MATCH(G1115,[1]IDEN_level_ids!$A:$A,0),1)</f>
        <v>1051</v>
      </c>
      <c r="U1115">
        <f>INDEX([1]IDEN_level_ids!$B:$B,MATCH(H1115,[1]IDEN_level_ids!$A:$A,0),1)</f>
        <v>406</v>
      </c>
    </row>
    <row r="1116" spans="1:21" hidden="1" x14ac:dyDescent="0.25">
      <c r="A1116">
        <v>68763.247700000007</v>
      </c>
      <c r="B1116">
        <v>1454.2652</v>
      </c>
      <c r="C1116">
        <v>6</v>
      </c>
      <c r="D1116" t="s">
        <v>434</v>
      </c>
      <c r="F1116">
        <v>1969</v>
      </c>
      <c r="G1116" s="1" t="s">
        <v>72</v>
      </c>
      <c r="H1116" s="1" t="s">
        <v>439</v>
      </c>
      <c r="I1116">
        <v>0</v>
      </c>
      <c r="J1116">
        <v>68763.333499999993</v>
      </c>
      <c r="K1116">
        <v>1.81E-3</v>
      </c>
      <c r="L1116">
        <v>5.1799999999999997E-3</v>
      </c>
      <c r="M1116">
        <v>0.245</v>
      </c>
      <c r="N1116">
        <v>0.23369999999999999</v>
      </c>
      <c r="O1116">
        <v>6.7600000000000004E-3</v>
      </c>
      <c r="P1116" s="3">
        <f t="shared" si="68"/>
        <v>1454.2652266262867</v>
      </c>
      <c r="Q1116" s="3">
        <f t="shared" si="69"/>
        <v>1.8145710812405014E-3</v>
      </c>
      <c r="R1116" s="3">
        <f t="shared" si="70"/>
        <v>5.1799999999999997E-3</v>
      </c>
      <c r="S1116">
        <f t="shared" si="71"/>
        <v>25</v>
      </c>
      <c r="T1116">
        <f>INDEX([1]IDEN_level_ids!$B:$B,MATCH(G1116,[1]IDEN_level_ids!$A:$A,0),1)</f>
        <v>1225</v>
      </c>
      <c r="U1116">
        <f>INDEX([1]IDEN_level_ids!$B:$B,MATCH(H1116,[1]IDEN_level_ids!$A:$A,0),1)</f>
        <v>931</v>
      </c>
    </row>
    <row r="1117" spans="1:21" hidden="1" x14ac:dyDescent="0.25">
      <c r="A1117">
        <v>68747.322400000005</v>
      </c>
      <c r="B1117">
        <v>1454.6021000000001</v>
      </c>
      <c r="C1117">
        <v>6</v>
      </c>
      <c r="D1117" t="s">
        <v>434</v>
      </c>
      <c r="F1117">
        <v>1969</v>
      </c>
      <c r="G1117" s="1" t="s">
        <v>22</v>
      </c>
      <c r="H1117" s="1" t="s">
        <v>440</v>
      </c>
      <c r="I1117">
        <v>0.25940000000000002</v>
      </c>
      <c r="J1117">
        <v>68747.289499999999</v>
      </c>
      <c r="K1117">
        <v>-6.9999999999999999E-4</v>
      </c>
      <c r="L1117">
        <v>5.1799999999999997E-3</v>
      </c>
      <c r="M1117">
        <v>0.245</v>
      </c>
      <c r="N1117">
        <v>2.5499999999999998E-2</v>
      </c>
      <c r="O1117">
        <v>5.3200000000000001E-3</v>
      </c>
      <c r="P1117" s="3">
        <f t="shared" si="68"/>
        <v>1454.6021068014716</v>
      </c>
      <c r="Q1117" s="3">
        <f t="shared" si="69"/>
        <v>-6.9612067136404221E-4</v>
      </c>
      <c r="R1117" s="3">
        <f t="shared" si="70"/>
        <v>5.1799999999999997E-3</v>
      </c>
      <c r="S1117">
        <f t="shared" si="71"/>
        <v>25</v>
      </c>
      <c r="T1117">
        <f>INDEX([1]IDEN_level_ids!$B:$B,MATCH(G1117,[1]IDEN_level_ids!$A:$A,0),1)</f>
        <v>1236</v>
      </c>
      <c r="U1117">
        <f>INDEX([1]IDEN_level_ids!$B:$B,MATCH(H1117,[1]IDEN_level_ids!$A:$A,0),1)</f>
        <v>948</v>
      </c>
    </row>
    <row r="1118" spans="1:21" hidden="1" x14ac:dyDescent="0.25">
      <c r="A1118">
        <v>68730.562000000005</v>
      </c>
      <c r="B1118">
        <v>1454.9567999999999</v>
      </c>
      <c r="C1118">
        <v>6</v>
      </c>
      <c r="D1118" t="s">
        <v>434</v>
      </c>
      <c r="E1118" t="s">
        <v>66</v>
      </c>
      <c r="F1118">
        <v>1969</v>
      </c>
      <c r="G1118" s="1" t="s">
        <v>62</v>
      </c>
      <c r="H1118" s="1" t="s">
        <v>422</v>
      </c>
      <c r="I1118">
        <v>0</v>
      </c>
      <c r="J1118">
        <v>68730.824800000002</v>
      </c>
      <c r="K1118">
        <v>5.5599999999999998E-3</v>
      </c>
      <c r="L1118">
        <v>1.359E-2</v>
      </c>
      <c r="M1118">
        <v>0.64200000000000002</v>
      </c>
      <c r="N1118">
        <v>5.4600000000000003E-2</v>
      </c>
      <c r="O1118">
        <v>1.4370000000000001E-2</v>
      </c>
      <c r="P1118" s="3">
        <f t="shared" si="68"/>
        <v>1454.9568211009243</v>
      </c>
      <c r="Q1118" s="3">
        <f t="shared" si="69"/>
        <v>5.5631902234836161E-3</v>
      </c>
      <c r="R1118" s="3">
        <f t="shared" si="70"/>
        <v>1.359E-2</v>
      </c>
      <c r="S1118">
        <f t="shared" si="71"/>
        <v>25</v>
      </c>
      <c r="T1118">
        <f>INDEX([1]IDEN_level_ids!$B:$B,MATCH(G1118,[1]IDEN_level_ids!$A:$A,0),1)</f>
        <v>1203</v>
      </c>
      <c r="U1118">
        <f>INDEX([1]IDEN_level_ids!$B:$B,MATCH(H1118,[1]IDEN_level_ids!$A:$A,0),1)</f>
        <v>920</v>
      </c>
    </row>
    <row r="1119" spans="1:21" hidden="1" x14ac:dyDescent="0.25">
      <c r="A1119">
        <v>68700.995699999999</v>
      </c>
      <c r="B1119">
        <v>1455.5830000000001</v>
      </c>
      <c r="C1119">
        <v>6</v>
      </c>
      <c r="D1119" t="s">
        <v>434</v>
      </c>
      <c r="F1119">
        <v>1969</v>
      </c>
      <c r="G1119" s="1" t="s">
        <v>238</v>
      </c>
      <c r="H1119" s="1" t="s">
        <v>338</v>
      </c>
      <c r="I1119">
        <v>0</v>
      </c>
      <c r="J1119">
        <v>68700.805300000007</v>
      </c>
      <c r="K1119">
        <v>-4.0299999999999997E-3</v>
      </c>
      <c r="L1119">
        <v>5.1900000000000002E-3</v>
      </c>
      <c r="M1119">
        <v>0.245</v>
      </c>
      <c r="N1119">
        <v>3.9199999999999999E-2</v>
      </c>
      <c r="O1119">
        <v>5.4000000000000003E-3</v>
      </c>
      <c r="P1119" s="3">
        <f t="shared" si="68"/>
        <v>1455.5829792725988</v>
      </c>
      <c r="Q1119" s="3">
        <f t="shared" si="69"/>
        <v>-4.0340575053505745E-3</v>
      </c>
      <c r="R1119" s="3">
        <f t="shared" si="70"/>
        <v>5.1900000000000002E-3</v>
      </c>
      <c r="S1119">
        <f t="shared" si="71"/>
        <v>25</v>
      </c>
      <c r="T1119">
        <f>INDEX([1]IDEN_level_ids!$B:$B,MATCH(G1119,[1]IDEN_level_ids!$A:$A,0),1)</f>
        <v>1165</v>
      </c>
      <c r="U1119">
        <f>INDEX([1]IDEN_level_ids!$B:$B,MATCH(H1119,[1]IDEN_level_ids!$A:$A,0),1)</f>
        <v>904</v>
      </c>
    </row>
    <row r="1120" spans="1:21" hidden="1" x14ac:dyDescent="0.25">
      <c r="A1120">
        <v>68654.243400000007</v>
      </c>
      <c r="B1120">
        <v>1456.5742</v>
      </c>
      <c r="C1120">
        <v>6</v>
      </c>
      <c r="D1120" t="s">
        <v>434</v>
      </c>
      <c r="F1120">
        <v>1969</v>
      </c>
      <c r="G1120" s="1" t="s">
        <v>441</v>
      </c>
      <c r="H1120" s="1" t="s">
        <v>442</v>
      </c>
      <c r="I1120">
        <v>-7.22E-2</v>
      </c>
      <c r="J1120">
        <v>68654.664399999994</v>
      </c>
      <c r="K1120">
        <v>8.9300000000000004E-3</v>
      </c>
      <c r="L1120">
        <v>5.1999999999999998E-3</v>
      </c>
      <c r="M1120">
        <v>0.245</v>
      </c>
      <c r="N1120">
        <v>8.9700000000000002E-2</v>
      </c>
      <c r="O1120">
        <v>5.7099999999999998E-3</v>
      </c>
      <c r="P1120" s="3">
        <f t="shared" si="68"/>
        <v>1456.5742049966279</v>
      </c>
      <c r="Q1120" s="3">
        <f t="shared" si="69"/>
        <v>8.9319166534096439E-3</v>
      </c>
      <c r="R1120" s="3">
        <f t="shared" si="70"/>
        <v>5.1999999999999998E-3</v>
      </c>
      <c r="S1120">
        <f t="shared" si="71"/>
        <v>25</v>
      </c>
      <c r="T1120">
        <f>INDEX([1]IDEN_level_ids!$B:$B,MATCH(G1120,[1]IDEN_level_ids!$A:$A,0),1)</f>
        <v>1034</v>
      </c>
      <c r="U1120">
        <f>INDEX([1]IDEN_level_ids!$B:$B,MATCH(H1120,[1]IDEN_level_ids!$A:$A,0),1)</f>
        <v>336</v>
      </c>
    </row>
    <row r="1121" spans="1:21" hidden="1" x14ac:dyDescent="0.25">
      <c r="A1121">
        <v>68646.5196</v>
      </c>
      <c r="B1121">
        <v>1456.7381</v>
      </c>
      <c r="C1121">
        <v>6</v>
      </c>
      <c r="D1121" t="s">
        <v>434</v>
      </c>
      <c r="F1121">
        <v>1969</v>
      </c>
      <c r="G1121" s="1" t="s">
        <v>377</v>
      </c>
      <c r="H1121" s="1" t="s">
        <v>408</v>
      </c>
      <c r="I1121">
        <v>-0.2485</v>
      </c>
      <c r="J1121">
        <v>68646.665500000003</v>
      </c>
      <c r="K1121">
        <v>3.0999999999999999E-3</v>
      </c>
      <c r="L1121">
        <v>5.1999999999999998E-3</v>
      </c>
      <c r="M1121">
        <v>0.245</v>
      </c>
      <c r="N1121">
        <v>2.6499999999999999E-2</v>
      </c>
      <c r="O1121">
        <v>5.3400000000000001E-3</v>
      </c>
      <c r="P1121" s="3">
        <f t="shared" si="68"/>
        <v>1456.7380922251446</v>
      </c>
      <c r="Q1121" s="3">
        <f t="shared" si="69"/>
        <v>3.0961167028635828E-3</v>
      </c>
      <c r="R1121" s="3">
        <f t="shared" si="70"/>
        <v>5.1999999999999998E-3</v>
      </c>
      <c r="S1121">
        <f t="shared" si="71"/>
        <v>25</v>
      </c>
      <c r="T1121">
        <f>INDEX([1]IDEN_level_ids!$B:$B,MATCH(G1121,[1]IDEN_level_ids!$A:$A,0),1)</f>
        <v>1057</v>
      </c>
      <c r="U1121">
        <f>INDEX([1]IDEN_level_ids!$B:$B,MATCH(H1121,[1]IDEN_level_ids!$A:$A,0),1)</f>
        <v>461</v>
      </c>
    </row>
    <row r="1122" spans="1:21" hidden="1" x14ac:dyDescent="0.25">
      <c r="A1122">
        <v>68610.075200000007</v>
      </c>
      <c r="B1122">
        <v>1457.5119</v>
      </c>
      <c r="C1122">
        <v>6</v>
      </c>
      <c r="D1122" t="s">
        <v>434</v>
      </c>
      <c r="F1122">
        <v>1969</v>
      </c>
      <c r="G1122" s="1" t="s">
        <v>443</v>
      </c>
      <c r="H1122" s="1" t="s">
        <v>444</v>
      </c>
      <c r="I1122">
        <v>0.15229999999999999</v>
      </c>
      <c r="J1122">
        <v>68609.788</v>
      </c>
      <c r="K1122">
        <v>-6.1000000000000004E-3</v>
      </c>
      <c r="L1122">
        <v>5.1999999999999998E-3</v>
      </c>
      <c r="M1122">
        <v>0.245</v>
      </c>
      <c r="N1122">
        <v>6.6900000000000001E-2</v>
      </c>
      <c r="O1122">
        <v>5.5799999999999999E-3</v>
      </c>
      <c r="P1122" s="3">
        <f t="shared" si="68"/>
        <v>1457.5118844936055</v>
      </c>
      <c r="Q1122" s="3">
        <f t="shared" si="69"/>
        <v>-6.1011325853996823E-3</v>
      </c>
      <c r="R1122" s="3">
        <f t="shared" si="70"/>
        <v>5.1999999999999998E-3</v>
      </c>
      <c r="S1122">
        <f t="shared" si="71"/>
        <v>25</v>
      </c>
      <c r="T1122">
        <f>INDEX([1]IDEN_level_ids!$B:$B,MATCH(G1122,[1]IDEN_level_ids!$A:$A,0),1)</f>
        <v>1145</v>
      </c>
      <c r="U1122">
        <f>INDEX([1]IDEN_level_ids!$B:$B,MATCH(H1122,[1]IDEN_level_ids!$A:$A,0),1)</f>
        <v>898</v>
      </c>
    </row>
    <row r="1123" spans="1:21" hidden="1" x14ac:dyDescent="0.25">
      <c r="A1123">
        <v>68597.274000000005</v>
      </c>
      <c r="B1123">
        <v>1457.7838999999999</v>
      </c>
      <c r="C1123">
        <v>6</v>
      </c>
      <c r="D1123" t="s">
        <v>434</v>
      </c>
      <c r="F1123">
        <v>1969</v>
      </c>
      <c r="G1123" s="1" t="s">
        <v>197</v>
      </c>
      <c r="H1123" s="1" t="s">
        <v>343</v>
      </c>
      <c r="I1123">
        <v>0</v>
      </c>
      <c r="J1123">
        <v>68597.050099999993</v>
      </c>
      <c r="K1123">
        <v>-4.7600000000000003E-3</v>
      </c>
      <c r="L1123">
        <v>5.2100000000000002E-3</v>
      </c>
      <c r="M1123">
        <v>0.245</v>
      </c>
      <c r="N1123">
        <v>4.99E-2</v>
      </c>
      <c r="O1123">
        <v>5.4799999999999996E-3</v>
      </c>
      <c r="P1123" s="3">
        <f t="shared" si="68"/>
        <v>1457.7838763680318</v>
      </c>
      <c r="Q1123" s="3">
        <f t="shared" si="69"/>
        <v>-4.7581901765170187E-3</v>
      </c>
      <c r="R1123" s="3">
        <f t="shared" si="70"/>
        <v>5.2100000000000002E-3</v>
      </c>
      <c r="S1123">
        <f t="shared" si="71"/>
        <v>25</v>
      </c>
      <c r="T1123">
        <f>INDEX([1]IDEN_level_ids!$B:$B,MATCH(G1123,[1]IDEN_level_ids!$A:$A,0),1)</f>
        <v>1182</v>
      </c>
      <c r="U1123">
        <f>INDEX([1]IDEN_level_ids!$B:$B,MATCH(H1123,[1]IDEN_level_ids!$A:$A,0),1)</f>
        <v>912</v>
      </c>
    </row>
    <row r="1124" spans="1:21" hidden="1" x14ac:dyDescent="0.25">
      <c r="A1124">
        <v>68592.093800000002</v>
      </c>
      <c r="B1124">
        <v>1457.894</v>
      </c>
      <c r="C1124">
        <v>6</v>
      </c>
      <c r="D1124" t="s">
        <v>434</v>
      </c>
      <c r="F1124">
        <v>1969</v>
      </c>
      <c r="G1124" s="1" t="s">
        <v>445</v>
      </c>
      <c r="H1124" s="1" t="s">
        <v>402</v>
      </c>
      <c r="I1124">
        <v>0</v>
      </c>
      <c r="J1124">
        <v>68592.221799999999</v>
      </c>
      <c r="K1124">
        <v>2.7200000000000002E-3</v>
      </c>
      <c r="L1124">
        <v>5.2100000000000002E-3</v>
      </c>
      <c r="M1124">
        <v>0.245</v>
      </c>
      <c r="N1124">
        <v>0.17050000000000001</v>
      </c>
      <c r="O1124">
        <v>6.28E-3</v>
      </c>
      <c r="P1124" s="3">
        <f t="shared" si="68"/>
        <v>1457.8939708646128</v>
      </c>
      <c r="Q1124" s="3">
        <f t="shared" si="69"/>
        <v>2.7205771057197126E-3</v>
      </c>
      <c r="R1124" s="3">
        <f t="shared" si="70"/>
        <v>5.2100000000000002E-3</v>
      </c>
      <c r="S1124">
        <f t="shared" si="71"/>
        <v>25</v>
      </c>
      <c r="T1124">
        <f>INDEX([1]IDEN_level_ids!$B:$B,MATCH(G1124,[1]IDEN_level_ids!$A:$A,0),1)</f>
        <v>1041</v>
      </c>
      <c r="U1124">
        <f>INDEX([1]IDEN_level_ids!$B:$B,MATCH(H1124,[1]IDEN_level_ids!$A:$A,0),1)</f>
        <v>383</v>
      </c>
    </row>
    <row r="1125" spans="1:21" hidden="1" x14ac:dyDescent="0.25">
      <c r="A1125">
        <v>68577.603700000007</v>
      </c>
      <c r="B1125">
        <v>1458.202</v>
      </c>
      <c r="C1125">
        <v>6</v>
      </c>
      <c r="D1125" t="s">
        <v>434</v>
      </c>
      <c r="F1125">
        <v>1969</v>
      </c>
      <c r="G1125" s="1" t="s">
        <v>446</v>
      </c>
      <c r="H1125" s="1" t="s">
        <v>380</v>
      </c>
      <c r="I1125">
        <v>-0.23219999999999999</v>
      </c>
      <c r="J1125">
        <v>68577.490099999995</v>
      </c>
      <c r="K1125">
        <v>-2.4099999999999998E-3</v>
      </c>
      <c r="L1125">
        <v>5.2100000000000002E-3</v>
      </c>
      <c r="M1125">
        <v>0.245</v>
      </c>
      <c r="N1125">
        <v>3.3000000000000002E-2</v>
      </c>
      <c r="O1125">
        <v>5.3899999999999998E-3</v>
      </c>
      <c r="P1125" s="3">
        <f t="shared" si="68"/>
        <v>1458.2020164697005</v>
      </c>
      <c r="Q1125" s="3">
        <f t="shared" si="69"/>
        <v>-2.415541146774558E-3</v>
      </c>
      <c r="R1125" s="3">
        <f t="shared" si="70"/>
        <v>5.2100000000000002E-3</v>
      </c>
      <c r="S1125">
        <f t="shared" si="71"/>
        <v>25</v>
      </c>
      <c r="T1125">
        <f>INDEX([1]IDEN_level_ids!$B:$B,MATCH(G1125,[1]IDEN_level_ids!$A:$A,0),1)</f>
        <v>1079</v>
      </c>
      <c r="U1125">
        <f>INDEX([1]IDEN_level_ids!$B:$B,MATCH(H1125,[1]IDEN_level_ids!$A:$A,0),1)</f>
        <v>520</v>
      </c>
    </row>
    <row r="1126" spans="1:21" hidden="1" x14ac:dyDescent="0.25">
      <c r="A1126">
        <v>68554.136899999998</v>
      </c>
      <c r="B1126">
        <v>1458.7012</v>
      </c>
      <c r="C1126">
        <v>6</v>
      </c>
      <c r="D1126" t="s">
        <v>434</v>
      </c>
      <c r="F1126">
        <v>1969</v>
      </c>
      <c r="G1126" s="1" t="s">
        <v>53</v>
      </c>
      <c r="H1126" s="1" t="s">
        <v>393</v>
      </c>
      <c r="I1126">
        <v>0</v>
      </c>
      <c r="J1126">
        <v>68554.352199999994</v>
      </c>
      <c r="K1126">
        <v>4.5799999999999999E-3</v>
      </c>
      <c r="L1126">
        <v>5.2100000000000002E-3</v>
      </c>
      <c r="M1126">
        <v>0.245</v>
      </c>
      <c r="N1126">
        <v>5.57E-2</v>
      </c>
      <c r="O1126">
        <v>5.5199999999999997E-3</v>
      </c>
      <c r="P1126" s="3">
        <f t="shared" si="68"/>
        <v>1458.7011743123558</v>
      </c>
      <c r="Q1126" s="3">
        <f t="shared" si="69"/>
        <v>4.5811586389845615E-3</v>
      </c>
      <c r="R1126" s="3">
        <f t="shared" si="70"/>
        <v>5.2100000000000002E-3</v>
      </c>
      <c r="S1126">
        <f t="shared" si="71"/>
        <v>25</v>
      </c>
      <c r="T1126">
        <f>INDEX([1]IDEN_level_ids!$B:$B,MATCH(G1126,[1]IDEN_level_ids!$A:$A,0),1)</f>
        <v>1231</v>
      </c>
      <c r="U1126">
        <f>INDEX([1]IDEN_level_ids!$B:$B,MATCH(H1126,[1]IDEN_level_ids!$A:$A,0),1)</f>
        <v>938</v>
      </c>
    </row>
    <row r="1127" spans="1:21" hidden="1" x14ac:dyDescent="0.25">
      <c r="A1127">
        <v>68508.439199999993</v>
      </c>
      <c r="B1127">
        <v>1459.6741999999999</v>
      </c>
      <c r="C1127">
        <v>6</v>
      </c>
      <c r="D1127" t="s">
        <v>434</v>
      </c>
      <c r="F1127">
        <v>1969</v>
      </c>
      <c r="G1127" s="1" t="s">
        <v>83</v>
      </c>
      <c r="H1127" s="1" t="s">
        <v>352</v>
      </c>
      <c r="I1127">
        <v>0</v>
      </c>
      <c r="J1127">
        <v>68508.364300000001</v>
      </c>
      <c r="K1127">
        <v>-1.5900000000000001E-3</v>
      </c>
      <c r="L1127">
        <v>5.2199999999999998E-3</v>
      </c>
      <c r="M1127">
        <v>0.245</v>
      </c>
      <c r="N1127">
        <v>0.1168</v>
      </c>
      <c r="O1127">
        <v>5.9100000000000003E-3</v>
      </c>
      <c r="P1127" s="3">
        <f t="shared" si="68"/>
        <v>1459.6741827392268</v>
      </c>
      <c r="Q1127" s="3">
        <f t="shared" si="69"/>
        <v>-1.5958576357206766E-3</v>
      </c>
      <c r="R1127" s="3">
        <f t="shared" si="70"/>
        <v>5.2199999999999998E-3</v>
      </c>
      <c r="S1127">
        <f t="shared" si="71"/>
        <v>25</v>
      </c>
      <c r="T1127">
        <f>INDEX([1]IDEN_level_ids!$B:$B,MATCH(G1127,[1]IDEN_level_ids!$A:$A,0),1)</f>
        <v>1175</v>
      </c>
      <c r="U1127">
        <f>INDEX([1]IDEN_level_ids!$B:$B,MATCH(H1127,[1]IDEN_level_ids!$A:$A,0),1)</f>
        <v>909</v>
      </c>
    </row>
    <row r="1128" spans="1:21" hidden="1" x14ac:dyDescent="0.25">
      <c r="A1128">
        <v>68472.512400000007</v>
      </c>
      <c r="B1128">
        <v>1460.4401</v>
      </c>
      <c r="C1128">
        <v>6</v>
      </c>
      <c r="D1128" t="s">
        <v>434</v>
      </c>
      <c r="F1128">
        <v>1969</v>
      </c>
      <c r="G1128" s="1" t="s">
        <v>295</v>
      </c>
      <c r="H1128" s="1" t="s">
        <v>359</v>
      </c>
      <c r="I1128">
        <v>0</v>
      </c>
      <c r="J1128">
        <v>68472.452499999999</v>
      </c>
      <c r="K1128">
        <v>-1.2800000000000001E-3</v>
      </c>
      <c r="L1128">
        <v>5.2300000000000003E-3</v>
      </c>
      <c r="M1128">
        <v>0.245</v>
      </c>
      <c r="N1128">
        <v>0.1192</v>
      </c>
      <c r="O1128">
        <v>5.9300000000000004E-3</v>
      </c>
      <c r="P1128" s="3">
        <f t="shared" si="68"/>
        <v>1460.4400582795029</v>
      </c>
      <c r="Q1128" s="3">
        <f t="shared" si="69"/>
        <v>-1.2775993311606726E-3</v>
      </c>
      <c r="R1128" s="3">
        <f t="shared" si="70"/>
        <v>5.2300000000000003E-3</v>
      </c>
      <c r="S1128">
        <f t="shared" si="71"/>
        <v>25</v>
      </c>
      <c r="T1128">
        <f>INDEX([1]IDEN_level_ids!$B:$B,MATCH(G1128,[1]IDEN_level_ids!$A:$A,0),1)</f>
        <v>1152</v>
      </c>
      <c r="U1128">
        <f>INDEX([1]IDEN_level_ids!$B:$B,MATCH(H1128,[1]IDEN_level_ids!$A:$A,0),1)</f>
        <v>900</v>
      </c>
    </row>
    <row r="1129" spans="1:21" hidden="1" x14ac:dyDescent="0.25">
      <c r="A1129">
        <v>68417.418799999999</v>
      </c>
      <c r="B1129">
        <v>1461.6161</v>
      </c>
      <c r="C1129">
        <v>6</v>
      </c>
      <c r="D1129" t="s">
        <v>434</v>
      </c>
      <c r="E1129" t="s">
        <v>45</v>
      </c>
      <c r="F1129">
        <v>1969</v>
      </c>
      <c r="G1129" s="1" t="s">
        <v>49</v>
      </c>
      <c r="H1129" s="1" t="s">
        <v>417</v>
      </c>
      <c r="I1129">
        <v>0</v>
      </c>
      <c r="J1129">
        <v>68417.899799999999</v>
      </c>
      <c r="K1129">
        <v>1.0279999999999999E-2</v>
      </c>
      <c r="L1129">
        <v>1.03E-2</v>
      </c>
      <c r="M1129">
        <v>0.48199999999999998</v>
      </c>
      <c r="N1129">
        <v>1.44E-2</v>
      </c>
      <c r="O1129">
        <v>1.0449999999999999E-2</v>
      </c>
      <c r="P1129" s="3">
        <f t="shared" si="68"/>
        <v>1461.6160877440177</v>
      </c>
      <c r="Q1129" s="3">
        <f t="shared" si="69"/>
        <v>1.0275634596609962E-2</v>
      </c>
      <c r="R1129" s="3">
        <f t="shared" si="70"/>
        <v>1.03E-2</v>
      </c>
      <c r="S1129">
        <f t="shared" si="71"/>
        <v>25</v>
      </c>
      <c r="T1129">
        <f>INDEX([1]IDEN_level_ids!$B:$B,MATCH(G1129,[1]IDEN_level_ids!$A:$A,0),1)</f>
        <v>1214</v>
      </c>
      <c r="U1129">
        <f>INDEX([1]IDEN_level_ids!$B:$B,MATCH(H1129,[1]IDEN_level_ids!$A:$A,0),1)</f>
        <v>926</v>
      </c>
    </row>
    <row r="1130" spans="1:21" hidden="1" x14ac:dyDescent="0.25">
      <c r="A1130">
        <v>68398.570399999997</v>
      </c>
      <c r="B1130">
        <v>1462.0189</v>
      </c>
      <c r="C1130">
        <v>6</v>
      </c>
      <c r="D1130" t="s">
        <v>434</v>
      </c>
      <c r="F1130">
        <v>1969</v>
      </c>
      <c r="G1130" s="1" t="s">
        <v>68</v>
      </c>
      <c r="H1130" s="1" t="s">
        <v>447</v>
      </c>
      <c r="I1130">
        <v>0</v>
      </c>
      <c r="J1130">
        <v>68398.710099999997</v>
      </c>
      <c r="K1130">
        <v>2.99E-3</v>
      </c>
      <c r="L1130">
        <v>5.2399999999999999E-3</v>
      </c>
      <c r="M1130">
        <v>0.245</v>
      </c>
      <c r="N1130">
        <v>0.2177</v>
      </c>
      <c r="O1130">
        <v>6.6899999999999998E-3</v>
      </c>
      <c r="P1130" s="3">
        <f t="shared" si="68"/>
        <v>1462.018861142747</v>
      </c>
      <c r="Q1130" s="3">
        <f t="shared" si="69"/>
        <v>2.9860802142138709E-3</v>
      </c>
      <c r="R1130" s="3">
        <f t="shared" si="70"/>
        <v>5.2399999999999999E-3</v>
      </c>
      <c r="S1130">
        <f t="shared" si="71"/>
        <v>25</v>
      </c>
      <c r="T1130">
        <f>INDEX([1]IDEN_level_ids!$B:$B,MATCH(G1130,[1]IDEN_level_ids!$A:$A,0),1)</f>
        <v>1229</v>
      </c>
      <c r="U1130">
        <f>INDEX([1]IDEN_level_ids!$B:$B,MATCH(H1130,[1]IDEN_level_ids!$A:$A,0),1)</f>
        <v>937</v>
      </c>
    </row>
    <row r="1131" spans="1:21" hidden="1" x14ac:dyDescent="0.25">
      <c r="A1131">
        <v>68392.2016</v>
      </c>
      <c r="B1131">
        <v>1462.155</v>
      </c>
      <c r="C1131">
        <v>6</v>
      </c>
      <c r="D1131" t="s">
        <v>434</v>
      </c>
      <c r="F1131">
        <v>1969</v>
      </c>
      <c r="G1131" s="1" t="s">
        <v>56</v>
      </c>
      <c r="H1131" s="1" t="s">
        <v>421</v>
      </c>
      <c r="I1131">
        <v>0</v>
      </c>
      <c r="J1131">
        <v>68392.153399999996</v>
      </c>
      <c r="K1131">
        <v>-1.0300000000000001E-3</v>
      </c>
      <c r="L1131">
        <v>5.2399999999999999E-3</v>
      </c>
      <c r="M1131">
        <v>0.245</v>
      </c>
      <c r="N1131">
        <v>0.17169999999999999</v>
      </c>
      <c r="O1131">
        <v>6.3200000000000001E-3</v>
      </c>
      <c r="P1131" s="3">
        <f t="shared" si="68"/>
        <v>1462.1550068655781</v>
      </c>
      <c r="Q1131" s="3">
        <f t="shared" si="69"/>
        <v>-1.0304672075562848E-3</v>
      </c>
      <c r="R1131" s="3">
        <f t="shared" si="70"/>
        <v>5.2399999999999999E-3</v>
      </c>
      <c r="S1131">
        <f t="shared" si="71"/>
        <v>25</v>
      </c>
      <c r="T1131">
        <f>INDEX([1]IDEN_level_ids!$B:$B,MATCH(G1131,[1]IDEN_level_ids!$A:$A,0),1)</f>
        <v>1221</v>
      </c>
      <c r="U1131">
        <f>INDEX([1]IDEN_level_ids!$B:$B,MATCH(H1131,[1]IDEN_level_ids!$A:$A,0),1)</f>
        <v>930</v>
      </c>
    </row>
    <row r="1132" spans="1:21" hidden="1" x14ac:dyDescent="0.25">
      <c r="A1132">
        <v>68366.715700000001</v>
      </c>
      <c r="B1132">
        <v>1462.7001</v>
      </c>
      <c r="C1132">
        <v>6</v>
      </c>
      <c r="D1132" t="s">
        <v>434</v>
      </c>
      <c r="F1132">
        <v>1969</v>
      </c>
      <c r="G1132" s="1" t="s">
        <v>51</v>
      </c>
      <c r="H1132" s="1" t="s">
        <v>417</v>
      </c>
      <c r="I1132">
        <v>0</v>
      </c>
      <c r="J1132">
        <v>68366.743600000002</v>
      </c>
      <c r="K1132">
        <v>5.9999999999999995E-4</v>
      </c>
      <c r="L1132">
        <v>5.2399999999999999E-3</v>
      </c>
      <c r="M1132">
        <v>0.245</v>
      </c>
      <c r="N1132">
        <v>5.6099999999999997E-2</v>
      </c>
      <c r="O1132">
        <v>5.5500000000000002E-3</v>
      </c>
      <c r="P1132" s="3">
        <f t="shared" si="68"/>
        <v>1462.700072339441</v>
      </c>
      <c r="Q1132" s="3">
        <f t="shared" si="69"/>
        <v>5.9691788533200452E-4</v>
      </c>
      <c r="R1132" s="3">
        <f t="shared" si="70"/>
        <v>5.2399999999999999E-3</v>
      </c>
      <c r="S1132">
        <f t="shared" si="71"/>
        <v>25</v>
      </c>
      <c r="T1132">
        <f>INDEX([1]IDEN_level_ids!$B:$B,MATCH(G1132,[1]IDEN_level_ids!$A:$A,0),1)</f>
        <v>1213</v>
      </c>
      <c r="U1132">
        <f>INDEX([1]IDEN_level_ids!$B:$B,MATCH(H1132,[1]IDEN_level_ids!$A:$A,0),1)</f>
        <v>926</v>
      </c>
    </row>
    <row r="1133" spans="1:21" hidden="1" x14ac:dyDescent="0.25">
      <c r="A1133">
        <v>68337.193499999994</v>
      </c>
      <c r="B1133">
        <v>1463.3320000000001</v>
      </c>
      <c r="C1133">
        <v>6</v>
      </c>
      <c r="D1133" t="s">
        <v>434</v>
      </c>
      <c r="F1133">
        <v>1969</v>
      </c>
      <c r="G1133" s="1" t="s">
        <v>94</v>
      </c>
      <c r="H1133" s="1" t="s">
        <v>418</v>
      </c>
      <c r="I1133">
        <v>0</v>
      </c>
      <c r="J1133">
        <v>68337.270999999993</v>
      </c>
      <c r="K1133">
        <v>1.66E-3</v>
      </c>
      <c r="L1133">
        <v>5.2500000000000003E-3</v>
      </c>
      <c r="M1133">
        <v>0.245</v>
      </c>
      <c r="N1133">
        <v>0.24759999999999999</v>
      </c>
      <c r="O1133">
        <v>6.9699999999999996E-3</v>
      </c>
      <c r="P1133" s="3">
        <f t="shared" si="68"/>
        <v>1463.3319701664366</v>
      </c>
      <c r="Q1133" s="3">
        <f t="shared" si="69"/>
        <v>1.6595369704646146E-3</v>
      </c>
      <c r="R1133" s="3">
        <f t="shared" si="70"/>
        <v>5.2500000000000003E-3</v>
      </c>
      <c r="S1133">
        <f t="shared" si="71"/>
        <v>25</v>
      </c>
      <c r="T1133">
        <f>INDEX([1]IDEN_level_ids!$B:$B,MATCH(G1133,[1]IDEN_level_ids!$A:$A,0),1)</f>
        <v>1207</v>
      </c>
      <c r="U1133">
        <f>INDEX([1]IDEN_level_ids!$B:$B,MATCH(H1133,[1]IDEN_level_ids!$A:$A,0),1)</f>
        <v>925</v>
      </c>
    </row>
    <row r="1134" spans="1:21" hidden="1" x14ac:dyDescent="0.25">
      <c r="A1134">
        <v>68317.397700000001</v>
      </c>
      <c r="B1134">
        <v>1463.7560000000001</v>
      </c>
      <c r="C1134">
        <v>6</v>
      </c>
      <c r="D1134" t="s">
        <v>434</v>
      </c>
      <c r="F1134">
        <v>1969</v>
      </c>
      <c r="G1134" s="1" t="s">
        <v>448</v>
      </c>
      <c r="H1134" s="1" t="s">
        <v>449</v>
      </c>
      <c r="I1134">
        <v>-0.2167</v>
      </c>
      <c r="J1134">
        <v>68317.263900000005</v>
      </c>
      <c r="K1134">
        <v>-2.8700000000000002E-3</v>
      </c>
      <c r="L1134">
        <v>5.2500000000000003E-3</v>
      </c>
      <c r="M1134">
        <v>0.245</v>
      </c>
      <c r="N1134">
        <v>3.1099999999999999E-2</v>
      </c>
      <c r="O1134">
        <v>5.4200000000000003E-3</v>
      </c>
      <c r="P1134" s="3">
        <f t="shared" si="68"/>
        <v>1463.7559884690982</v>
      </c>
      <c r="Q1134" s="3">
        <f t="shared" si="69"/>
        <v>-2.8667797871548828E-3</v>
      </c>
      <c r="R1134" s="3">
        <f t="shared" si="70"/>
        <v>5.2500000000000003E-3</v>
      </c>
      <c r="S1134">
        <f t="shared" si="71"/>
        <v>25</v>
      </c>
      <c r="T1134">
        <f>INDEX([1]IDEN_level_ids!$B:$B,MATCH(G1134,[1]IDEN_level_ids!$A:$A,0),1)</f>
        <v>1067</v>
      </c>
      <c r="U1134">
        <f>INDEX([1]IDEN_level_ids!$B:$B,MATCH(H1134,[1]IDEN_level_ids!$A:$A,0),1)</f>
        <v>496</v>
      </c>
    </row>
    <row r="1135" spans="1:21" hidden="1" x14ac:dyDescent="0.25">
      <c r="A1135">
        <v>68271.407300000006</v>
      </c>
      <c r="B1135">
        <v>1464.742</v>
      </c>
      <c r="C1135">
        <v>6</v>
      </c>
      <c r="D1135" t="s">
        <v>434</v>
      </c>
      <c r="E1135" t="s">
        <v>66</v>
      </c>
      <c r="F1135">
        <v>1969</v>
      </c>
      <c r="G1135" s="1" t="s">
        <v>450</v>
      </c>
      <c r="H1135" s="1" t="s">
        <v>382</v>
      </c>
      <c r="I1135">
        <v>-0.21909999999999999</v>
      </c>
      <c r="J1135">
        <v>68271.574699999997</v>
      </c>
      <c r="K1135">
        <v>3.5899999999999999E-3</v>
      </c>
      <c r="L1135">
        <v>1.3769999999999999E-2</v>
      </c>
      <c r="M1135">
        <v>0.64200000000000002</v>
      </c>
      <c r="N1135">
        <v>8.3999999999999995E-3</v>
      </c>
      <c r="O1135">
        <v>1.389E-2</v>
      </c>
      <c r="P1135" s="3">
        <f t="shared" si="68"/>
        <v>1464.7420341077398</v>
      </c>
      <c r="Q1135" s="3">
        <f t="shared" si="69"/>
        <v>3.5915066787310934E-3</v>
      </c>
      <c r="R1135" s="3">
        <f t="shared" si="70"/>
        <v>1.3769999999999999E-2</v>
      </c>
      <c r="S1135">
        <f t="shared" si="71"/>
        <v>25</v>
      </c>
      <c r="T1135">
        <f>INDEX([1]IDEN_level_ids!$B:$B,MATCH(G1135,[1]IDEN_level_ids!$A:$A,0),1)</f>
        <v>1077</v>
      </c>
      <c r="U1135">
        <f>INDEX([1]IDEN_level_ids!$B:$B,MATCH(H1135,[1]IDEN_level_ids!$A:$A,0),1)</f>
        <v>518</v>
      </c>
    </row>
    <row r="1136" spans="1:21" hidden="1" x14ac:dyDescent="0.25">
      <c r="A1136">
        <v>68253.607000000004</v>
      </c>
      <c r="B1136">
        <v>1465.124</v>
      </c>
      <c r="C1136">
        <v>6</v>
      </c>
      <c r="D1136" t="s">
        <v>434</v>
      </c>
      <c r="F1136">
        <v>1969</v>
      </c>
      <c r="G1136" s="1" t="s">
        <v>451</v>
      </c>
      <c r="H1136" s="1" t="s">
        <v>385</v>
      </c>
      <c r="I1136">
        <v>-0.28199999999999997</v>
      </c>
      <c r="J1136">
        <v>68253.335399999996</v>
      </c>
      <c r="K1136">
        <v>-5.8300000000000001E-3</v>
      </c>
      <c r="L1136">
        <v>5.2599999999999999E-3</v>
      </c>
      <c r="M1136">
        <v>0.245</v>
      </c>
      <c r="N1136">
        <v>4.8399999999999999E-2</v>
      </c>
      <c r="O1136">
        <v>5.5300000000000002E-3</v>
      </c>
      <c r="P1136" s="3">
        <f t="shared" si="68"/>
        <v>1465.1240336646238</v>
      </c>
      <c r="Q1136" s="3">
        <f t="shared" si="69"/>
        <v>-5.8301573867538536E-3</v>
      </c>
      <c r="R1136" s="3">
        <f t="shared" si="70"/>
        <v>5.2599999999999999E-3</v>
      </c>
      <c r="S1136">
        <f t="shared" si="71"/>
        <v>25</v>
      </c>
      <c r="T1136">
        <f>INDEX([1]IDEN_level_ids!$B:$B,MATCH(G1136,[1]IDEN_level_ids!$A:$A,0),1)</f>
        <v>1066</v>
      </c>
      <c r="U1136">
        <f>INDEX([1]IDEN_level_ids!$B:$B,MATCH(H1136,[1]IDEN_level_ids!$A:$A,0),1)</f>
        <v>494</v>
      </c>
    </row>
    <row r="1137" spans="1:21" hidden="1" x14ac:dyDescent="0.25">
      <c r="A1137">
        <v>68249.318899999998</v>
      </c>
      <c r="B1137">
        <v>1465.2161000000001</v>
      </c>
      <c r="C1137">
        <v>6</v>
      </c>
      <c r="D1137" t="s">
        <v>434</v>
      </c>
      <c r="F1137">
        <v>1969</v>
      </c>
      <c r="G1137" s="1" t="s">
        <v>20</v>
      </c>
      <c r="H1137" s="1" t="s">
        <v>436</v>
      </c>
      <c r="I1137">
        <v>0.313</v>
      </c>
      <c r="J1137">
        <v>68249.233099999998</v>
      </c>
      <c r="K1137">
        <v>-1.8400000000000001E-3</v>
      </c>
      <c r="L1137">
        <v>5.2599999999999999E-3</v>
      </c>
      <c r="M1137">
        <v>0.245</v>
      </c>
      <c r="N1137">
        <v>3.2000000000000001E-2</v>
      </c>
      <c r="O1137">
        <v>5.4299999999999999E-3</v>
      </c>
      <c r="P1137" s="3">
        <f t="shared" si="68"/>
        <v>1465.2160873066236</v>
      </c>
      <c r="Q1137" s="3">
        <f t="shared" si="69"/>
        <v>-1.8420066362523357E-3</v>
      </c>
      <c r="R1137" s="3">
        <f t="shared" si="70"/>
        <v>5.2599999999999999E-3</v>
      </c>
      <c r="S1137">
        <f t="shared" si="71"/>
        <v>25</v>
      </c>
      <c r="T1137">
        <f>INDEX([1]IDEN_level_ids!$B:$B,MATCH(G1137,[1]IDEN_level_ids!$A:$A,0),1)</f>
        <v>1235</v>
      </c>
      <c r="U1137">
        <f>INDEX([1]IDEN_level_ids!$B:$B,MATCH(H1137,[1]IDEN_level_ids!$A:$A,0),1)</f>
        <v>947</v>
      </c>
    </row>
    <row r="1138" spans="1:21" hidden="1" x14ac:dyDescent="0.25">
      <c r="A1138">
        <v>68213.574099999998</v>
      </c>
      <c r="B1138">
        <v>1465.9838999999999</v>
      </c>
      <c r="C1138">
        <v>6</v>
      </c>
      <c r="D1138" t="s">
        <v>434</v>
      </c>
      <c r="F1138">
        <v>1969</v>
      </c>
      <c r="G1138" s="1" t="s">
        <v>33</v>
      </c>
      <c r="H1138" s="1" t="s">
        <v>421</v>
      </c>
      <c r="I1138">
        <v>0</v>
      </c>
      <c r="J1138">
        <v>68213.974499999997</v>
      </c>
      <c r="K1138">
        <v>8.6E-3</v>
      </c>
      <c r="L1138">
        <v>5.2599999999999999E-3</v>
      </c>
      <c r="M1138">
        <v>0.245</v>
      </c>
      <c r="N1138">
        <v>0.17130000000000001</v>
      </c>
      <c r="O1138">
        <v>6.3499999999999997E-3</v>
      </c>
      <c r="P1138" s="3">
        <f t="shared" si="68"/>
        <v>1465.9838795926689</v>
      </c>
      <c r="Q1138" s="3">
        <f t="shared" si="69"/>
        <v>8.6049808662664873E-3</v>
      </c>
      <c r="R1138" s="3">
        <f t="shared" si="70"/>
        <v>5.2599999999999999E-3</v>
      </c>
      <c r="S1138">
        <f t="shared" si="71"/>
        <v>25</v>
      </c>
      <c r="T1138">
        <f>INDEX([1]IDEN_level_ids!$B:$B,MATCH(G1138,[1]IDEN_level_ids!$A:$A,0),1)</f>
        <v>1220</v>
      </c>
      <c r="U1138">
        <f>INDEX([1]IDEN_level_ids!$B:$B,MATCH(H1138,[1]IDEN_level_ids!$A:$A,0),1)</f>
        <v>930</v>
      </c>
    </row>
    <row r="1139" spans="1:21" hidden="1" x14ac:dyDescent="0.25">
      <c r="A1139">
        <v>68162.569000000003</v>
      </c>
      <c r="B1139">
        <v>1467.0808999999999</v>
      </c>
      <c r="C1139">
        <v>6</v>
      </c>
      <c r="D1139" t="s">
        <v>434</v>
      </c>
      <c r="E1139" t="s">
        <v>45</v>
      </c>
      <c r="F1139">
        <v>1969</v>
      </c>
      <c r="G1139" s="1" t="s">
        <v>452</v>
      </c>
      <c r="H1139" s="1" t="s">
        <v>328</v>
      </c>
      <c r="I1139">
        <v>-0.18779999999999999</v>
      </c>
      <c r="J1139">
        <v>68162.925399999993</v>
      </c>
      <c r="K1139">
        <v>7.6699999999999997E-3</v>
      </c>
      <c r="L1139">
        <v>1.0370000000000001E-2</v>
      </c>
      <c r="M1139">
        <v>0.48199999999999998</v>
      </c>
      <c r="N1139">
        <v>7.4999999999999997E-2</v>
      </c>
      <c r="O1139">
        <v>1.1220000000000001E-2</v>
      </c>
      <c r="P1139" s="3">
        <f t="shared" si="68"/>
        <v>1467.0808548897269</v>
      </c>
      <c r="Q1139" s="3">
        <f t="shared" si="69"/>
        <v>7.6708505921487813E-3</v>
      </c>
      <c r="R1139" s="3">
        <f t="shared" si="70"/>
        <v>1.0370000000000001E-2</v>
      </c>
      <c r="S1139">
        <f t="shared" si="71"/>
        <v>25</v>
      </c>
      <c r="T1139">
        <f>INDEX([1]IDEN_level_ids!$B:$B,MATCH(G1139,[1]IDEN_level_ids!$A:$A,0),1)</f>
        <v>1033</v>
      </c>
      <c r="U1139">
        <f>INDEX([1]IDEN_level_ids!$B:$B,MATCH(H1139,[1]IDEN_level_ids!$A:$A,0),1)</f>
        <v>366</v>
      </c>
    </row>
    <row r="1140" spans="1:21" hidden="1" x14ac:dyDescent="0.25">
      <c r="A1140">
        <v>68159.214200000002</v>
      </c>
      <c r="B1140">
        <v>1467.1531</v>
      </c>
      <c r="C1140">
        <v>6</v>
      </c>
      <c r="D1140" t="s">
        <v>434</v>
      </c>
      <c r="F1140">
        <v>1969</v>
      </c>
      <c r="G1140" s="1" t="s">
        <v>453</v>
      </c>
      <c r="H1140" s="1" t="s">
        <v>382</v>
      </c>
      <c r="I1140">
        <v>-0.1968</v>
      </c>
      <c r="J1140">
        <v>68159.249899999995</v>
      </c>
      <c r="K1140">
        <v>7.6999999999999996E-4</v>
      </c>
      <c r="L1140">
        <v>5.2700000000000004E-3</v>
      </c>
      <c r="M1140">
        <v>0.245</v>
      </c>
      <c r="N1140">
        <v>5.7799999999999997E-2</v>
      </c>
      <c r="O1140">
        <v>5.5999999999999999E-3</v>
      </c>
      <c r="P1140" s="3">
        <f t="shared" si="68"/>
        <v>1467.1530646842464</v>
      </c>
      <c r="Q1140" s="3">
        <f t="shared" si="69"/>
        <v>7.6845570470140956E-4</v>
      </c>
      <c r="R1140" s="3">
        <f t="shared" si="70"/>
        <v>5.2700000000000004E-3</v>
      </c>
      <c r="S1140">
        <f t="shared" si="71"/>
        <v>25</v>
      </c>
      <c r="T1140">
        <f>INDEX([1]IDEN_level_ids!$B:$B,MATCH(G1140,[1]IDEN_level_ids!$A:$A,0),1)</f>
        <v>1078</v>
      </c>
      <c r="U1140">
        <f>INDEX([1]IDEN_level_ids!$B:$B,MATCH(H1140,[1]IDEN_level_ids!$A:$A,0),1)</f>
        <v>518</v>
      </c>
    </row>
    <row r="1141" spans="1:21" hidden="1" x14ac:dyDescent="0.25">
      <c r="A1141">
        <v>68147.3217</v>
      </c>
      <c r="B1141">
        <v>1467.4091000000001</v>
      </c>
      <c r="C1141">
        <v>6</v>
      </c>
      <c r="D1141" t="s">
        <v>434</v>
      </c>
      <c r="F1141">
        <v>1969</v>
      </c>
      <c r="G1141" s="1" t="s">
        <v>251</v>
      </c>
      <c r="H1141" s="1" t="s">
        <v>420</v>
      </c>
      <c r="I1141">
        <v>0</v>
      </c>
      <c r="J1141">
        <v>68147.273199999996</v>
      </c>
      <c r="K1141">
        <v>-1.0399999999999999E-3</v>
      </c>
      <c r="L1141">
        <v>5.28E-3</v>
      </c>
      <c r="M1141">
        <v>0.245</v>
      </c>
      <c r="N1141">
        <v>0.12820000000000001</v>
      </c>
      <c r="O1141">
        <v>6.0499999999999998E-3</v>
      </c>
      <c r="P1141" s="3">
        <f t="shared" si="68"/>
        <v>1467.4090999529333</v>
      </c>
      <c r="Q1141" s="3">
        <f t="shared" si="69"/>
        <v>-1.0443461346767435E-3</v>
      </c>
      <c r="R1141" s="3">
        <f t="shared" si="70"/>
        <v>5.28E-3</v>
      </c>
      <c r="S1141">
        <f t="shared" si="71"/>
        <v>25</v>
      </c>
      <c r="T1141">
        <f>INDEX([1]IDEN_level_ids!$B:$B,MATCH(G1141,[1]IDEN_level_ids!$A:$A,0),1)</f>
        <v>1192</v>
      </c>
      <c r="U1141">
        <f>INDEX([1]IDEN_level_ids!$B:$B,MATCH(H1141,[1]IDEN_level_ids!$A:$A,0),1)</f>
        <v>914</v>
      </c>
    </row>
    <row r="1142" spans="1:21" hidden="1" x14ac:dyDescent="0.25">
      <c r="A1142">
        <v>68138.691399999996</v>
      </c>
      <c r="B1142">
        <v>1467.595</v>
      </c>
      <c r="C1142">
        <v>6</v>
      </c>
      <c r="D1142" t="s">
        <v>434</v>
      </c>
      <c r="F1142">
        <v>1969</v>
      </c>
      <c r="G1142" s="1" t="s">
        <v>450</v>
      </c>
      <c r="H1142" s="1" t="s">
        <v>388</v>
      </c>
      <c r="I1142">
        <v>-0.21909999999999999</v>
      </c>
      <c r="J1142">
        <v>68138.512400000007</v>
      </c>
      <c r="K1142">
        <v>-3.8600000000000001E-3</v>
      </c>
      <c r="L1142">
        <v>5.28E-3</v>
      </c>
      <c r="M1142">
        <v>0.245</v>
      </c>
      <c r="N1142">
        <v>3.2000000000000001E-2</v>
      </c>
      <c r="O1142">
        <v>5.45E-3</v>
      </c>
      <c r="P1142" s="3">
        <f t="shared" si="68"/>
        <v>1467.5949588312758</v>
      </c>
      <c r="Q1142" s="3">
        <f t="shared" si="69"/>
        <v>-3.855374711974946E-3</v>
      </c>
      <c r="R1142" s="3">
        <f t="shared" si="70"/>
        <v>5.28E-3</v>
      </c>
      <c r="S1142">
        <f t="shared" si="71"/>
        <v>25</v>
      </c>
      <c r="T1142">
        <f>INDEX([1]IDEN_level_ids!$B:$B,MATCH(G1142,[1]IDEN_level_ids!$A:$A,0),1)</f>
        <v>1077</v>
      </c>
      <c r="U1142">
        <f>INDEX([1]IDEN_level_ids!$B:$B,MATCH(H1142,[1]IDEN_level_ids!$A:$A,0),1)</f>
        <v>519</v>
      </c>
    </row>
    <row r="1143" spans="1:21" hidden="1" x14ac:dyDescent="0.25">
      <c r="A1143">
        <v>68109.348599999998</v>
      </c>
      <c r="B1143">
        <v>1468.2272</v>
      </c>
      <c r="C1143">
        <v>6</v>
      </c>
      <c r="D1143" t="s">
        <v>434</v>
      </c>
      <c r="F1143">
        <v>1969</v>
      </c>
      <c r="G1143" s="1" t="s">
        <v>141</v>
      </c>
      <c r="H1143" s="1" t="s">
        <v>371</v>
      </c>
      <c r="I1143">
        <v>0</v>
      </c>
      <c r="J1143">
        <v>68109.502299999993</v>
      </c>
      <c r="K1143">
        <v>3.31E-3</v>
      </c>
      <c r="L1143">
        <v>5.28E-3</v>
      </c>
      <c r="M1143">
        <v>0.245</v>
      </c>
      <c r="N1143">
        <v>0.1022</v>
      </c>
      <c r="O1143">
        <v>5.8799999999999998E-3</v>
      </c>
      <c r="P1143" s="3">
        <f t="shared" si="68"/>
        <v>1468.2272265925035</v>
      </c>
      <c r="Q1143" s="3">
        <f t="shared" si="69"/>
        <v>3.3132898804524302E-3</v>
      </c>
      <c r="R1143" s="3">
        <f t="shared" si="70"/>
        <v>5.28E-3</v>
      </c>
      <c r="S1143">
        <f t="shared" si="71"/>
        <v>25</v>
      </c>
      <c r="T1143">
        <f>INDEX([1]IDEN_level_ids!$B:$B,MATCH(G1143,[1]IDEN_level_ids!$A:$A,0),1)</f>
        <v>1155</v>
      </c>
      <c r="U1143">
        <f>INDEX([1]IDEN_level_ids!$B:$B,MATCH(H1143,[1]IDEN_level_ids!$A:$A,0),1)</f>
        <v>902</v>
      </c>
    </row>
    <row r="1144" spans="1:21" hidden="1" x14ac:dyDescent="0.25">
      <c r="A1144">
        <v>68101.3845</v>
      </c>
      <c r="B1144">
        <v>1468.3988999999999</v>
      </c>
      <c r="C1144">
        <v>6</v>
      </c>
      <c r="D1144" t="s">
        <v>434</v>
      </c>
      <c r="F1144">
        <v>1969</v>
      </c>
      <c r="G1144" s="1" t="s">
        <v>82</v>
      </c>
      <c r="H1144" s="1" t="s">
        <v>357</v>
      </c>
      <c r="I1144">
        <v>0</v>
      </c>
      <c r="J1144">
        <v>68101.48</v>
      </c>
      <c r="K1144">
        <v>2.0600000000000002E-3</v>
      </c>
      <c r="L1144">
        <v>5.28E-3</v>
      </c>
      <c r="M1144">
        <v>0.245</v>
      </c>
      <c r="N1144">
        <v>8.7499999999999994E-2</v>
      </c>
      <c r="O1144">
        <v>5.79E-3</v>
      </c>
      <c r="P1144" s="3">
        <f t="shared" si="68"/>
        <v>1468.3989280717194</v>
      </c>
      <c r="Q1144" s="3">
        <f t="shared" si="69"/>
        <v>2.0591637307916244E-3</v>
      </c>
      <c r="R1144" s="3">
        <f t="shared" si="70"/>
        <v>5.28E-3</v>
      </c>
      <c r="S1144">
        <f t="shared" si="71"/>
        <v>25</v>
      </c>
      <c r="T1144">
        <f>INDEX([1]IDEN_level_ids!$B:$B,MATCH(G1144,[1]IDEN_level_ids!$A:$A,0),1)</f>
        <v>1193</v>
      </c>
      <c r="U1144">
        <f>INDEX([1]IDEN_level_ids!$B:$B,MATCH(H1144,[1]IDEN_level_ids!$A:$A,0),1)</f>
        <v>916</v>
      </c>
    </row>
    <row r="1145" spans="1:21" hidden="1" x14ac:dyDescent="0.25">
      <c r="A1145">
        <v>68093.310200000007</v>
      </c>
      <c r="B1145">
        <v>1468.5730000000001</v>
      </c>
      <c r="C1145">
        <v>6</v>
      </c>
      <c r="D1145" t="s">
        <v>434</v>
      </c>
      <c r="E1145" t="s">
        <v>427</v>
      </c>
      <c r="F1145">
        <v>1969</v>
      </c>
      <c r="G1145" s="1" t="s">
        <v>451</v>
      </c>
      <c r="H1145" s="1" t="s">
        <v>449</v>
      </c>
      <c r="I1145">
        <v>-0.28199999999999997</v>
      </c>
      <c r="J1145">
        <v>68093.729900000006</v>
      </c>
      <c r="K1145">
        <v>9.0500000000000008E-3</v>
      </c>
      <c r="L1145">
        <v>8.1099999999999992E-3</v>
      </c>
      <c r="M1145">
        <v>0.37580000000000002</v>
      </c>
      <c r="N1145">
        <v>1.3599999999999999E-2</v>
      </c>
      <c r="O1145">
        <v>8.2199999999999999E-3</v>
      </c>
      <c r="P1145" s="3">
        <f t="shared" si="68"/>
        <v>1468.5730464018475</v>
      </c>
      <c r="Q1145" s="3">
        <f t="shared" si="69"/>
        <v>9.051642618032929E-3</v>
      </c>
      <c r="R1145" s="3">
        <f t="shared" si="70"/>
        <v>8.1099999999999992E-3</v>
      </c>
      <c r="S1145">
        <f t="shared" si="71"/>
        <v>25</v>
      </c>
      <c r="T1145">
        <f>INDEX([1]IDEN_level_ids!$B:$B,MATCH(G1145,[1]IDEN_level_ids!$A:$A,0),1)</f>
        <v>1066</v>
      </c>
      <c r="U1145">
        <f>INDEX([1]IDEN_level_ids!$B:$B,MATCH(H1145,[1]IDEN_level_ids!$A:$A,0),1)</f>
        <v>496</v>
      </c>
    </row>
    <row r="1146" spans="1:21" hidden="1" x14ac:dyDescent="0.25">
      <c r="A1146">
        <v>68049.839399999997</v>
      </c>
      <c r="B1146">
        <v>1469.5111999999999</v>
      </c>
      <c r="C1146">
        <v>6</v>
      </c>
      <c r="D1146" t="s">
        <v>434</v>
      </c>
      <c r="F1146">
        <v>1969</v>
      </c>
      <c r="G1146" s="1" t="s">
        <v>454</v>
      </c>
      <c r="H1146" s="1" t="s">
        <v>402</v>
      </c>
      <c r="I1146">
        <v>0</v>
      </c>
      <c r="J1146">
        <v>68049.7791</v>
      </c>
      <c r="K1146">
        <v>-1.2999999999999999E-3</v>
      </c>
      <c r="L1146">
        <v>5.2900000000000004E-3</v>
      </c>
      <c r="M1146">
        <v>0.245</v>
      </c>
      <c r="N1146">
        <v>0.16919999999999999</v>
      </c>
      <c r="O1146">
        <v>6.3699999999999998E-3</v>
      </c>
      <c r="P1146" s="3">
        <f t="shared" si="68"/>
        <v>1469.5111830050844</v>
      </c>
      <c r="Q1146" s="3">
        <f t="shared" si="69"/>
        <v>-1.3021574134199909E-3</v>
      </c>
      <c r="R1146" s="3">
        <f t="shared" si="70"/>
        <v>5.2900000000000004E-3</v>
      </c>
      <c r="S1146">
        <f t="shared" si="71"/>
        <v>25</v>
      </c>
      <c r="T1146">
        <f>INDEX([1]IDEN_level_ids!$B:$B,MATCH(G1146,[1]IDEN_level_ids!$A:$A,0),1)</f>
        <v>1036</v>
      </c>
      <c r="U1146">
        <f>INDEX([1]IDEN_level_ids!$B:$B,MATCH(H1146,[1]IDEN_level_ids!$A:$A,0),1)</f>
        <v>383</v>
      </c>
    </row>
    <row r="1147" spans="1:21" hidden="1" x14ac:dyDescent="0.25">
      <c r="A1147">
        <v>68043.447799999994</v>
      </c>
      <c r="B1147">
        <v>1469.6492000000001</v>
      </c>
      <c r="C1147">
        <v>6</v>
      </c>
      <c r="D1147" t="s">
        <v>434</v>
      </c>
      <c r="F1147">
        <v>1969</v>
      </c>
      <c r="G1147" s="1" t="s">
        <v>244</v>
      </c>
      <c r="H1147" s="1" t="s">
        <v>423</v>
      </c>
      <c r="I1147">
        <v>0</v>
      </c>
      <c r="J1147">
        <v>68043.366500000004</v>
      </c>
      <c r="K1147">
        <v>-1.7600000000000001E-3</v>
      </c>
      <c r="L1147">
        <v>5.2900000000000004E-3</v>
      </c>
      <c r="M1147">
        <v>0.245</v>
      </c>
      <c r="N1147">
        <v>0.1356</v>
      </c>
      <c r="O1147">
        <v>6.1199999999999996E-3</v>
      </c>
      <c r="P1147" s="3">
        <f t="shared" si="68"/>
        <v>1469.6492202148522</v>
      </c>
      <c r="Q1147" s="3">
        <f t="shared" si="69"/>
        <v>-1.7559754571720987E-3</v>
      </c>
      <c r="R1147" s="3">
        <f t="shared" si="70"/>
        <v>5.2900000000000004E-3</v>
      </c>
      <c r="S1147">
        <f t="shared" si="71"/>
        <v>25</v>
      </c>
      <c r="T1147">
        <f>INDEX([1]IDEN_level_ids!$B:$B,MATCH(G1147,[1]IDEN_level_ids!$A:$A,0),1)</f>
        <v>1195</v>
      </c>
      <c r="U1147">
        <f>INDEX([1]IDEN_level_ids!$B:$B,MATCH(H1147,[1]IDEN_level_ids!$A:$A,0),1)</f>
        <v>915</v>
      </c>
    </row>
    <row r="1148" spans="1:21" hidden="1" x14ac:dyDescent="0.25">
      <c r="A1148">
        <v>68032.433399999994</v>
      </c>
      <c r="B1148">
        <v>1469.8871999999999</v>
      </c>
      <c r="C1148">
        <v>6</v>
      </c>
      <c r="D1148" t="s">
        <v>434</v>
      </c>
      <c r="F1148">
        <v>1969</v>
      </c>
      <c r="G1148" s="1" t="s">
        <v>239</v>
      </c>
      <c r="H1148" s="1" t="s">
        <v>367</v>
      </c>
      <c r="I1148">
        <v>0</v>
      </c>
      <c r="J1148">
        <v>68032.3842</v>
      </c>
      <c r="K1148">
        <v>-1.06E-3</v>
      </c>
      <c r="L1148">
        <v>5.2900000000000004E-3</v>
      </c>
      <c r="M1148">
        <v>0.245</v>
      </c>
      <c r="N1148">
        <v>8.4199999999999997E-2</v>
      </c>
      <c r="O1148">
        <v>5.7800000000000004E-3</v>
      </c>
      <c r="P1148" s="3">
        <f t="shared" si="68"/>
        <v>1469.8871553225965</v>
      </c>
      <c r="Q1148" s="3">
        <f t="shared" si="69"/>
        <v>-1.0630003473579563E-3</v>
      </c>
      <c r="R1148" s="3">
        <f t="shared" si="70"/>
        <v>5.2900000000000004E-3</v>
      </c>
      <c r="S1148">
        <f t="shared" si="71"/>
        <v>25</v>
      </c>
      <c r="T1148">
        <f>INDEX([1]IDEN_level_ids!$B:$B,MATCH(G1148,[1]IDEN_level_ids!$A:$A,0),1)</f>
        <v>1167</v>
      </c>
      <c r="U1148">
        <f>INDEX([1]IDEN_level_ids!$B:$B,MATCH(H1148,[1]IDEN_level_ids!$A:$A,0),1)</f>
        <v>907</v>
      </c>
    </row>
    <row r="1149" spans="1:21" hidden="1" x14ac:dyDescent="0.25">
      <c r="A1149">
        <v>68025.123500000002</v>
      </c>
      <c r="B1149">
        <v>1470.0451</v>
      </c>
      <c r="C1149">
        <v>6</v>
      </c>
      <c r="D1149" t="s">
        <v>434</v>
      </c>
      <c r="E1149" t="s">
        <v>427</v>
      </c>
      <c r="F1149">
        <v>1969</v>
      </c>
      <c r="G1149" s="1" t="s">
        <v>46</v>
      </c>
      <c r="H1149" s="1" t="s">
        <v>417</v>
      </c>
      <c r="I1149">
        <v>0</v>
      </c>
      <c r="J1149">
        <v>68025.938500000004</v>
      </c>
      <c r="K1149">
        <v>1.7610000000000001E-2</v>
      </c>
      <c r="L1149">
        <v>8.1200000000000005E-3</v>
      </c>
      <c r="M1149">
        <v>0.37580000000000002</v>
      </c>
      <c r="N1149">
        <v>2.35E-2</v>
      </c>
      <c r="O1149">
        <v>8.3199999999999993E-3</v>
      </c>
      <c r="P1149" s="3">
        <f t="shared" si="68"/>
        <v>1470.0451076726085</v>
      </c>
      <c r="Q1149" s="3">
        <f t="shared" si="69"/>
        <v>1.7612204831948475E-2</v>
      </c>
      <c r="R1149" s="3">
        <f t="shared" si="70"/>
        <v>8.1200000000000005E-3</v>
      </c>
      <c r="S1149">
        <f t="shared" si="71"/>
        <v>25</v>
      </c>
      <c r="T1149">
        <f>INDEX([1]IDEN_level_ids!$B:$B,MATCH(G1149,[1]IDEN_level_ids!$A:$A,0),1)</f>
        <v>1212</v>
      </c>
      <c r="U1149">
        <f>INDEX([1]IDEN_level_ids!$B:$B,MATCH(H1149,[1]IDEN_level_ids!$A:$A,0),1)</f>
        <v>926</v>
      </c>
    </row>
    <row r="1150" spans="1:21" hidden="1" x14ac:dyDescent="0.25">
      <c r="A1150">
        <v>68015.128599999996</v>
      </c>
      <c r="B1150">
        <v>1470.2610999999999</v>
      </c>
      <c r="C1150">
        <v>6</v>
      </c>
      <c r="D1150" t="s">
        <v>434</v>
      </c>
      <c r="E1150" t="s">
        <v>66</v>
      </c>
      <c r="F1150">
        <v>1969</v>
      </c>
      <c r="G1150" s="1" t="s">
        <v>53</v>
      </c>
      <c r="H1150" s="1" t="s">
        <v>455</v>
      </c>
      <c r="I1150">
        <v>0</v>
      </c>
      <c r="J1150">
        <v>68014.926800000001</v>
      </c>
      <c r="K1150">
        <v>-4.3600000000000002E-3</v>
      </c>
      <c r="L1150">
        <v>1.388E-2</v>
      </c>
      <c r="M1150">
        <v>0.64200000000000002</v>
      </c>
      <c r="N1150">
        <v>4.3099999999999999E-2</v>
      </c>
      <c r="O1150">
        <v>1.4500000000000001E-2</v>
      </c>
      <c r="P1150" s="3">
        <f t="shared" si="68"/>
        <v>1470.2611324622271</v>
      </c>
      <c r="Q1150" s="3">
        <f t="shared" si="69"/>
        <v>-4.3622585581033491E-3</v>
      </c>
      <c r="R1150" s="3">
        <f t="shared" si="70"/>
        <v>1.388E-2</v>
      </c>
      <c r="S1150">
        <f t="shared" si="71"/>
        <v>25</v>
      </c>
      <c r="T1150">
        <f>INDEX([1]IDEN_level_ids!$B:$B,MATCH(G1150,[1]IDEN_level_ids!$A:$A,0),1)</f>
        <v>1231</v>
      </c>
      <c r="U1150">
        <f>INDEX([1]IDEN_level_ids!$B:$B,MATCH(H1150,[1]IDEN_level_ids!$A:$A,0),1)</f>
        <v>946</v>
      </c>
    </row>
    <row r="1151" spans="1:21" hidden="1" x14ac:dyDescent="0.25">
      <c r="A1151">
        <v>67969.185800000007</v>
      </c>
      <c r="B1151">
        <v>1471.2548999999999</v>
      </c>
      <c r="C1151">
        <v>6</v>
      </c>
      <c r="D1151" t="s">
        <v>434</v>
      </c>
      <c r="F1151">
        <v>1969</v>
      </c>
      <c r="G1151" s="1" t="s">
        <v>81</v>
      </c>
      <c r="H1151" s="1" t="s">
        <v>456</v>
      </c>
      <c r="I1151">
        <v>0</v>
      </c>
      <c r="J1151">
        <v>67969.231599999999</v>
      </c>
      <c r="K1151">
        <v>9.8999999999999999E-4</v>
      </c>
      <c r="L1151">
        <v>5.3E-3</v>
      </c>
      <c r="M1151">
        <v>0.245</v>
      </c>
      <c r="N1151">
        <v>0.20319999999999999</v>
      </c>
      <c r="O1151">
        <v>6.6499999999999997E-3</v>
      </c>
      <c r="P1151" s="3">
        <f t="shared" si="68"/>
        <v>1471.2549344676715</v>
      </c>
      <c r="Q1151" s="3">
        <f t="shared" si="69"/>
        <v>9.9138204745941039E-4</v>
      </c>
      <c r="R1151" s="3">
        <f t="shared" si="70"/>
        <v>5.3E-3</v>
      </c>
      <c r="S1151">
        <f t="shared" si="71"/>
        <v>25</v>
      </c>
      <c r="T1151">
        <f>INDEX([1]IDEN_level_ids!$B:$B,MATCH(G1151,[1]IDEN_level_ids!$A:$A,0),1)</f>
        <v>1196</v>
      </c>
      <c r="U1151">
        <f>INDEX([1]IDEN_level_ids!$B:$B,MATCH(H1151,[1]IDEN_level_ids!$A:$A,0),1)</f>
        <v>919</v>
      </c>
    </row>
    <row r="1152" spans="1:21" hidden="1" x14ac:dyDescent="0.25">
      <c r="A1152">
        <v>67957.028699999995</v>
      </c>
      <c r="B1152">
        <v>1471.5181</v>
      </c>
      <c r="C1152">
        <v>6</v>
      </c>
      <c r="D1152" t="s">
        <v>434</v>
      </c>
      <c r="F1152">
        <v>1969</v>
      </c>
      <c r="G1152" s="1" t="s">
        <v>94</v>
      </c>
      <c r="H1152" s="1" t="s">
        <v>457</v>
      </c>
      <c r="I1152">
        <v>0</v>
      </c>
      <c r="J1152">
        <v>67957.297200000001</v>
      </c>
      <c r="K1152">
        <v>5.8100000000000001E-3</v>
      </c>
      <c r="L1152">
        <v>5.3E-3</v>
      </c>
      <c r="M1152">
        <v>0.245</v>
      </c>
      <c r="N1152">
        <v>0.17</v>
      </c>
      <c r="O1152">
        <v>6.3899999999999998E-3</v>
      </c>
      <c r="P1152" s="3">
        <f t="shared" si="68"/>
        <v>1471.518133046332</v>
      </c>
      <c r="Q1152" s="3">
        <f t="shared" si="69"/>
        <v>5.8139837074122624E-3</v>
      </c>
      <c r="R1152" s="3">
        <f t="shared" si="70"/>
        <v>5.3E-3</v>
      </c>
      <c r="S1152">
        <f t="shared" si="71"/>
        <v>25</v>
      </c>
      <c r="T1152">
        <f>INDEX([1]IDEN_level_ids!$B:$B,MATCH(G1152,[1]IDEN_level_ids!$A:$A,0),1)</f>
        <v>1207</v>
      </c>
      <c r="U1152">
        <f>INDEX([1]IDEN_level_ids!$B:$B,MATCH(H1152,[1]IDEN_level_ids!$A:$A,0),1)</f>
        <v>924</v>
      </c>
    </row>
    <row r="1153" spans="1:21" hidden="1" x14ac:dyDescent="0.25">
      <c r="A1153">
        <v>67945.531000000003</v>
      </c>
      <c r="B1153">
        <v>1471.7671</v>
      </c>
      <c r="C1153">
        <v>6</v>
      </c>
      <c r="D1153" t="s">
        <v>434</v>
      </c>
      <c r="F1153">
        <v>1969</v>
      </c>
      <c r="G1153" s="1" t="s">
        <v>301</v>
      </c>
      <c r="H1153" s="1" t="s">
        <v>371</v>
      </c>
      <c r="I1153">
        <v>-0.71730000000000005</v>
      </c>
      <c r="J1153">
        <v>67945.3649</v>
      </c>
      <c r="K1153">
        <v>-3.5999999999999999E-3</v>
      </c>
      <c r="L1153">
        <v>5.3099999999999996E-3</v>
      </c>
      <c r="M1153">
        <v>0.245</v>
      </c>
      <c r="N1153">
        <v>0.1174</v>
      </c>
      <c r="O1153">
        <v>6.0099999999999997E-3</v>
      </c>
      <c r="P1153" s="3">
        <f t="shared" si="68"/>
        <v>1471.7671424188295</v>
      </c>
      <c r="Q1153" s="3">
        <f t="shared" si="69"/>
        <v>-3.5978984396933811E-3</v>
      </c>
      <c r="R1153" s="3">
        <f t="shared" si="70"/>
        <v>5.3099999999999996E-3</v>
      </c>
      <c r="S1153">
        <f t="shared" si="71"/>
        <v>25</v>
      </c>
      <c r="T1153">
        <f>INDEX([1]IDEN_level_ids!$B:$B,MATCH(G1153,[1]IDEN_level_ids!$A:$A,0),1)</f>
        <v>1154</v>
      </c>
      <c r="U1153">
        <f>INDEX([1]IDEN_level_ids!$B:$B,MATCH(H1153,[1]IDEN_level_ids!$A:$A,0),1)</f>
        <v>902</v>
      </c>
    </row>
    <row r="1154" spans="1:21" hidden="1" x14ac:dyDescent="0.25">
      <c r="A1154">
        <v>67919.470199999996</v>
      </c>
      <c r="B1154">
        <v>1472.3318999999999</v>
      </c>
      <c r="C1154">
        <v>6</v>
      </c>
      <c r="D1154" t="s">
        <v>434</v>
      </c>
      <c r="F1154">
        <v>1969</v>
      </c>
      <c r="G1154" s="1" t="s">
        <v>458</v>
      </c>
      <c r="H1154" s="1" t="s">
        <v>385</v>
      </c>
      <c r="I1154">
        <v>0</v>
      </c>
      <c r="J1154">
        <v>67919.217900000003</v>
      </c>
      <c r="K1154">
        <v>-5.47E-3</v>
      </c>
      <c r="L1154">
        <v>5.3099999999999996E-3</v>
      </c>
      <c r="M1154">
        <v>0.245</v>
      </c>
      <c r="N1154">
        <v>4.7600000000000003E-2</v>
      </c>
      <c r="O1154">
        <v>5.5799999999999999E-3</v>
      </c>
      <c r="P1154" s="3">
        <f t="shared" ref="P1154:P1217" si="72">100000000/$A1154</f>
        <v>1472.3318616227959</v>
      </c>
      <c r="Q1154" s="3">
        <f t="shared" ref="Q1154:Q1217" si="73">100000000/($A1154)-100000000/$J1154</f>
        <v>-5.469281598834641E-3</v>
      </c>
      <c r="R1154" s="3">
        <f t="shared" si="70"/>
        <v>5.3099999999999996E-3</v>
      </c>
      <c r="S1154">
        <f t="shared" si="71"/>
        <v>25</v>
      </c>
      <c r="T1154">
        <f>INDEX([1]IDEN_level_ids!$B:$B,MATCH(G1154,[1]IDEN_level_ids!$A:$A,0),1)</f>
        <v>1064</v>
      </c>
      <c r="U1154">
        <f>INDEX([1]IDEN_level_ids!$B:$B,MATCH(H1154,[1]IDEN_level_ids!$A:$A,0),1)</f>
        <v>494</v>
      </c>
    </row>
    <row r="1155" spans="1:21" hidden="1" x14ac:dyDescent="0.25">
      <c r="A1155">
        <v>67913.736399999994</v>
      </c>
      <c r="B1155">
        <v>1472.4562000000001</v>
      </c>
      <c r="C1155">
        <v>6</v>
      </c>
      <c r="D1155" t="s">
        <v>434</v>
      </c>
      <c r="F1155">
        <v>1969</v>
      </c>
      <c r="G1155" s="1" t="s">
        <v>459</v>
      </c>
      <c r="H1155" s="1" t="s">
        <v>322</v>
      </c>
      <c r="I1155">
        <v>0</v>
      </c>
      <c r="J1155">
        <v>67913.715299999996</v>
      </c>
      <c r="K1155">
        <v>-4.6000000000000001E-4</v>
      </c>
      <c r="L1155">
        <v>5.3099999999999996E-3</v>
      </c>
      <c r="M1155">
        <v>0.245</v>
      </c>
      <c r="N1155">
        <v>2.35E-2</v>
      </c>
      <c r="O1155">
        <v>5.4400000000000004E-3</v>
      </c>
      <c r="P1155" s="3">
        <f t="shared" si="72"/>
        <v>1472.4561672033112</v>
      </c>
      <c r="Q1155" s="3">
        <f t="shared" si="73"/>
        <v>-4.57474973927674E-4</v>
      </c>
      <c r="R1155" s="3">
        <f t="shared" ref="R1155:R1218" si="74">$L1155</f>
        <v>5.3099999999999996E-3</v>
      </c>
      <c r="S1155">
        <f t="shared" si="71"/>
        <v>25</v>
      </c>
      <c r="T1155">
        <f>INDEX([1]IDEN_level_ids!$B:$B,MATCH(G1155,[1]IDEN_level_ids!$A:$A,0),1)</f>
        <v>1108</v>
      </c>
      <c r="U1155">
        <f>INDEX([1]IDEN_level_ids!$B:$B,MATCH(H1155,[1]IDEN_level_ids!$A:$A,0),1)</f>
        <v>830</v>
      </c>
    </row>
    <row r="1156" spans="1:21" hidden="1" x14ac:dyDescent="0.25">
      <c r="A1156">
        <v>67881.516199999998</v>
      </c>
      <c r="B1156">
        <v>1473.1550999999999</v>
      </c>
      <c r="C1156">
        <v>6</v>
      </c>
      <c r="D1156" t="s">
        <v>434</v>
      </c>
      <c r="F1156">
        <v>1969</v>
      </c>
      <c r="G1156" s="1" t="s">
        <v>76</v>
      </c>
      <c r="H1156" s="1" t="s">
        <v>357</v>
      </c>
      <c r="I1156">
        <v>0</v>
      </c>
      <c r="J1156">
        <v>67881.491099999999</v>
      </c>
      <c r="K1156">
        <v>-5.4000000000000001E-4</v>
      </c>
      <c r="L1156">
        <v>5.3200000000000001E-3</v>
      </c>
      <c r="M1156">
        <v>0.245</v>
      </c>
      <c r="N1156">
        <v>8.77E-2</v>
      </c>
      <c r="O1156">
        <v>5.8300000000000001E-3</v>
      </c>
      <c r="P1156" s="3">
        <f t="shared" si="72"/>
        <v>1473.1550736929473</v>
      </c>
      <c r="Q1156" s="3">
        <f t="shared" si="73"/>
        <v>-5.4471685507451184E-4</v>
      </c>
      <c r="R1156" s="3">
        <f t="shared" si="74"/>
        <v>5.3200000000000001E-3</v>
      </c>
      <c r="S1156">
        <f t="shared" ref="S1156:S1219" si="75">IF(D1156=D1155,S1155,S1155+1)</f>
        <v>25</v>
      </c>
      <c r="T1156">
        <f>INDEX([1]IDEN_level_ids!$B:$B,MATCH(G1156,[1]IDEN_level_ids!$A:$A,0),1)</f>
        <v>1194</v>
      </c>
      <c r="U1156">
        <f>INDEX([1]IDEN_level_ids!$B:$B,MATCH(H1156,[1]IDEN_level_ids!$A:$A,0),1)</f>
        <v>916</v>
      </c>
    </row>
    <row r="1157" spans="1:21" hidden="1" x14ac:dyDescent="0.25">
      <c r="A1157">
        <v>67770.790399999998</v>
      </c>
      <c r="B1157">
        <v>1475.5619999999999</v>
      </c>
      <c r="C1157">
        <v>6</v>
      </c>
      <c r="D1157" t="s">
        <v>460</v>
      </c>
      <c r="F1157">
        <v>1969</v>
      </c>
      <c r="G1157" s="1" t="s">
        <v>69</v>
      </c>
      <c r="H1157" s="1" t="s">
        <v>409</v>
      </c>
      <c r="I1157">
        <v>0</v>
      </c>
      <c r="J1157">
        <v>67770.4084</v>
      </c>
      <c r="K1157">
        <v>-8.3199999999999993E-3</v>
      </c>
      <c r="L1157">
        <v>5.3299999999999997E-3</v>
      </c>
      <c r="M1157">
        <v>0.245</v>
      </c>
      <c r="N1157">
        <v>0.16569999999999999</v>
      </c>
      <c r="O1157">
        <v>6.3899999999999998E-3</v>
      </c>
      <c r="P1157" s="3">
        <f t="shared" si="72"/>
        <v>1475.5619553759846</v>
      </c>
      <c r="Q1157" s="3">
        <f t="shared" si="73"/>
        <v>-8.3172682629992778E-3</v>
      </c>
      <c r="R1157" s="3">
        <f t="shared" si="74"/>
        <v>5.3299999999999997E-3</v>
      </c>
      <c r="S1157">
        <f t="shared" si="75"/>
        <v>26</v>
      </c>
      <c r="T1157">
        <f>INDEX([1]IDEN_level_ids!$B:$B,MATCH(G1157,[1]IDEN_level_ids!$A:$A,0),1)</f>
        <v>1218</v>
      </c>
      <c r="U1157">
        <f>INDEX([1]IDEN_level_ids!$B:$B,MATCH(H1157,[1]IDEN_level_ids!$A:$A,0),1)</f>
        <v>933</v>
      </c>
    </row>
    <row r="1158" spans="1:21" hidden="1" x14ac:dyDescent="0.25">
      <c r="A1158">
        <v>67764.441900000005</v>
      </c>
      <c r="B1158">
        <v>1475.7002</v>
      </c>
      <c r="C1158">
        <v>6</v>
      </c>
      <c r="D1158" t="s">
        <v>460</v>
      </c>
      <c r="F1158">
        <v>1969</v>
      </c>
      <c r="G1158" s="1" t="s">
        <v>461</v>
      </c>
      <c r="H1158" s="1" t="s">
        <v>378</v>
      </c>
      <c r="I1158">
        <v>-0.1797</v>
      </c>
      <c r="J1158">
        <v>67764.489499999996</v>
      </c>
      <c r="K1158">
        <v>1.0399999999999999E-3</v>
      </c>
      <c r="L1158">
        <v>5.3400000000000001E-3</v>
      </c>
      <c r="M1158">
        <v>0.245</v>
      </c>
      <c r="N1158">
        <v>3.27E-2</v>
      </c>
      <c r="O1158">
        <v>5.5199999999999997E-3</v>
      </c>
      <c r="P1158" s="3">
        <f t="shared" si="72"/>
        <v>1475.7001931421498</v>
      </c>
      <c r="Q1158" s="3">
        <f t="shared" si="73"/>
        <v>1.0365802161231841E-3</v>
      </c>
      <c r="R1158" s="3">
        <f t="shared" si="74"/>
        <v>5.3400000000000001E-3</v>
      </c>
      <c r="S1158">
        <f t="shared" si="75"/>
        <v>26</v>
      </c>
      <c r="T1158">
        <f>INDEX([1]IDEN_level_ids!$B:$B,MATCH(G1158,[1]IDEN_level_ids!$A:$A,0),1)</f>
        <v>1017</v>
      </c>
      <c r="U1158">
        <f>INDEX([1]IDEN_level_ids!$B:$B,MATCH(H1158,[1]IDEN_level_ids!$A:$A,0),1)</f>
        <v>319</v>
      </c>
    </row>
    <row r="1159" spans="1:21" hidden="1" x14ac:dyDescent="0.25">
      <c r="A1159">
        <v>67759.810899999997</v>
      </c>
      <c r="B1159">
        <v>1475.8009999999999</v>
      </c>
      <c r="C1159">
        <v>6</v>
      </c>
      <c r="D1159" t="s">
        <v>460</v>
      </c>
      <c r="F1159">
        <v>1969</v>
      </c>
      <c r="G1159" s="1" t="s">
        <v>458</v>
      </c>
      <c r="H1159" s="1" t="s">
        <v>449</v>
      </c>
      <c r="I1159">
        <v>0</v>
      </c>
      <c r="J1159">
        <v>67759.612299999993</v>
      </c>
      <c r="K1159">
        <v>-4.3200000000000001E-3</v>
      </c>
      <c r="L1159">
        <v>5.3400000000000001E-3</v>
      </c>
      <c r="M1159">
        <v>0.245</v>
      </c>
      <c r="N1159">
        <v>3.0800000000000001E-2</v>
      </c>
      <c r="O1159">
        <v>5.5100000000000001E-3</v>
      </c>
      <c r="P1159" s="3">
        <f t="shared" si="72"/>
        <v>1475.8010489075907</v>
      </c>
      <c r="Q1159" s="3">
        <f t="shared" si="73"/>
        <v>-4.3254983074803022E-3</v>
      </c>
      <c r="R1159" s="3">
        <f t="shared" si="74"/>
        <v>5.3400000000000001E-3</v>
      </c>
      <c r="S1159">
        <f t="shared" si="75"/>
        <v>26</v>
      </c>
      <c r="T1159">
        <f>INDEX([1]IDEN_level_ids!$B:$B,MATCH(G1159,[1]IDEN_level_ids!$A:$A,0),1)</f>
        <v>1064</v>
      </c>
      <c r="U1159">
        <f>INDEX([1]IDEN_level_ids!$B:$B,MATCH(H1159,[1]IDEN_level_ids!$A:$A,0),1)</f>
        <v>496</v>
      </c>
    </row>
    <row r="1160" spans="1:21" hidden="1" x14ac:dyDescent="0.25">
      <c r="A1160">
        <v>67738.102299999999</v>
      </c>
      <c r="B1160">
        <v>1476.2739999999999</v>
      </c>
      <c r="C1160">
        <v>6</v>
      </c>
      <c r="D1160" t="s">
        <v>460</v>
      </c>
      <c r="F1160">
        <v>1969</v>
      </c>
      <c r="G1160" s="1" t="s">
        <v>117</v>
      </c>
      <c r="H1160" s="1" t="s">
        <v>373</v>
      </c>
      <c r="I1160">
        <v>0</v>
      </c>
      <c r="J1160">
        <v>67738.062999999995</v>
      </c>
      <c r="K1160">
        <v>-8.5999999999999998E-4</v>
      </c>
      <c r="L1160">
        <v>5.3400000000000001E-3</v>
      </c>
      <c r="M1160">
        <v>0.245</v>
      </c>
      <c r="N1160">
        <v>0.11609999999999999</v>
      </c>
      <c r="O1160">
        <v>6.0400000000000002E-3</v>
      </c>
      <c r="P1160" s="3">
        <f t="shared" si="72"/>
        <v>1476.274011296003</v>
      </c>
      <c r="Q1160" s="3">
        <f t="shared" si="73"/>
        <v>-8.5649878474214347E-4</v>
      </c>
      <c r="R1160" s="3">
        <f t="shared" si="74"/>
        <v>5.3400000000000001E-3</v>
      </c>
      <c r="S1160">
        <f t="shared" si="75"/>
        <v>26</v>
      </c>
      <c r="T1160">
        <f>INDEX([1]IDEN_level_ids!$B:$B,MATCH(G1160,[1]IDEN_level_ids!$A:$A,0),1)</f>
        <v>1162</v>
      </c>
      <c r="U1160">
        <f>INDEX([1]IDEN_level_ids!$B:$B,MATCH(H1160,[1]IDEN_level_ids!$A:$A,0),1)</f>
        <v>906</v>
      </c>
    </row>
    <row r="1161" spans="1:21" hidden="1" x14ac:dyDescent="0.25">
      <c r="A1161">
        <v>67702.698799999998</v>
      </c>
      <c r="B1161">
        <v>1477.046</v>
      </c>
      <c r="C1161">
        <v>6</v>
      </c>
      <c r="D1161" t="s">
        <v>460</v>
      </c>
      <c r="F1161">
        <v>1969</v>
      </c>
      <c r="G1161" s="1" t="s">
        <v>462</v>
      </c>
      <c r="H1161" s="1" t="s">
        <v>463</v>
      </c>
      <c r="I1161">
        <v>-0.27239999999999998</v>
      </c>
      <c r="J1161">
        <v>67702.847399999999</v>
      </c>
      <c r="K1161">
        <v>3.2399999999999998E-3</v>
      </c>
      <c r="L1161">
        <v>5.3400000000000001E-3</v>
      </c>
      <c r="M1161">
        <v>0.245</v>
      </c>
      <c r="N1161">
        <v>3.2000000000000001E-2</v>
      </c>
      <c r="O1161">
        <v>5.5199999999999997E-3</v>
      </c>
      <c r="P1161" s="3">
        <f t="shared" si="72"/>
        <v>1477.0459933275215</v>
      </c>
      <c r="Q1161" s="3">
        <f t="shared" si="73"/>
        <v>3.2419468757325376E-3</v>
      </c>
      <c r="R1161" s="3">
        <f t="shared" si="74"/>
        <v>5.3400000000000001E-3</v>
      </c>
      <c r="S1161">
        <f t="shared" si="75"/>
        <v>26</v>
      </c>
      <c r="T1161">
        <f>INDEX([1]IDEN_level_ids!$B:$B,MATCH(G1161,[1]IDEN_level_ids!$A:$A,0),1)</f>
        <v>1047</v>
      </c>
      <c r="U1161">
        <f>INDEX([1]IDEN_level_ids!$B:$B,MATCH(H1161,[1]IDEN_level_ids!$A:$A,0),1)</f>
        <v>447</v>
      </c>
    </row>
    <row r="1162" spans="1:21" hidden="1" x14ac:dyDescent="0.25">
      <c r="A1162">
        <v>67681.616699999999</v>
      </c>
      <c r="B1162">
        <v>1477.5061000000001</v>
      </c>
      <c r="C1162">
        <v>6</v>
      </c>
      <c r="D1162" t="s">
        <v>460</v>
      </c>
      <c r="F1162">
        <v>1969</v>
      </c>
      <c r="G1162" s="1" t="s">
        <v>464</v>
      </c>
      <c r="H1162" s="1" t="s">
        <v>388</v>
      </c>
      <c r="I1162">
        <v>0</v>
      </c>
      <c r="J1162">
        <v>67681.430399999997</v>
      </c>
      <c r="K1162">
        <v>-4.0699999999999998E-3</v>
      </c>
      <c r="L1162">
        <v>5.3499999999999997E-3</v>
      </c>
      <c r="M1162">
        <v>0.245</v>
      </c>
      <c r="N1162">
        <v>3.1899999999999998E-2</v>
      </c>
      <c r="O1162">
        <v>5.5199999999999997E-3</v>
      </c>
      <c r="P1162" s="3">
        <f t="shared" si="72"/>
        <v>1477.5060773629541</v>
      </c>
      <c r="Q1162" s="3">
        <f t="shared" si="73"/>
        <v>-4.0669852953669761E-3</v>
      </c>
      <c r="R1162" s="3">
        <f t="shared" si="74"/>
        <v>5.3499999999999997E-3</v>
      </c>
      <c r="S1162">
        <f t="shared" si="75"/>
        <v>26</v>
      </c>
      <c r="T1162">
        <f>INDEX([1]IDEN_level_ids!$B:$B,MATCH(G1162,[1]IDEN_level_ids!$A:$A,0),1)</f>
        <v>1076</v>
      </c>
      <c r="U1162">
        <f>INDEX([1]IDEN_level_ids!$B:$B,MATCH(H1162,[1]IDEN_level_ids!$A:$A,0),1)</f>
        <v>519</v>
      </c>
    </row>
    <row r="1163" spans="1:21" hidden="1" x14ac:dyDescent="0.25">
      <c r="A1163">
        <v>67675.020300000004</v>
      </c>
      <c r="B1163">
        <v>1477.6501000000001</v>
      </c>
      <c r="C1163">
        <v>6</v>
      </c>
      <c r="D1163" t="s">
        <v>460</v>
      </c>
      <c r="F1163">
        <v>1969</v>
      </c>
      <c r="G1163" s="1" t="s">
        <v>431</v>
      </c>
      <c r="H1163" s="1" t="s">
        <v>449</v>
      </c>
      <c r="I1163">
        <v>-0.21</v>
      </c>
      <c r="J1163">
        <v>67674.964699999997</v>
      </c>
      <c r="K1163">
        <v>-1.2099999999999999E-3</v>
      </c>
      <c r="L1163">
        <v>5.3499999999999997E-3</v>
      </c>
      <c r="M1163">
        <v>0.245</v>
      </c>
      <c r="N1163">
        <v>3.09E-2</v>
      </c>
      <c r="O1163">
        <v>5.5199999999999997E-3</v>
      </c>
      <c r="P1163" s="3">
        <f t="shared" si="72"/>
        <v>1477.6500924078775</v>
      </c>
      <c r="Q1163" s="3">
        <f t="shared" si="73"/>
        <v>-1.2139990840296377E-3</v>
      </c>
      <c r="R1163" s="3">
        <f t="shared" si="74"/>
        <v>5.3499999999999997E-3</v>
      </c>
      <c r="S1163">
        <f t="shared" si="75"/>
        <v>26</v>
      </c>
      <c r="T1163">
        <f>INDEX([1]IDEN_level_ids!$B:$B,MATCH(G1163,[1]IDEN_level_ids!$A:$A,0),1)</f>
        <v>1062</v>
      </c>
      <c r="U1163">
        <f>INDEX([1]IDEN_level_ids!$B:$B,MATCH(H1163,[1]IDEN_level_ids!$A:$A,0),1)</f>
        <v>496</v>
      </c>
    </row>
    <row r="1164" spans="1:21" hidden="1" x14ac:dyDescent="0.25">
      <c r="A1164">
        <v>67660.042600000001</v>
      </c>
      <c r="B1164">
        <v>1477.9772</v>
      </c>
      <c r="C1164">
        <v>6</v>
      </c>
      <c r="D1164" t="s">
        <v>460</v>
      </c>
      <c r="E1164" t="s">
        <v>66</v>
      </c>
      <c r="F1164">
        <v>1969</v>
      </c>
      <c r="G1164" s="1" t="s">
        <v>407</v>
      </c>
      <c r="H1164" s="1" t="s">
        <v>465</v>
      </c>
      <c r="I1164">
        <v>-0.20150000000000001</v>
      </c>
      <c r="J1164">
        <v>67660.171199999997</v>
      </c>
      <c r="K1164">
        <v>2.81E-3</v>
      </c>
      <c r="L1164">
        <v>1.4019999999999999E-2</v>
      </c>
      <c r="M1164">
        <v>0.64200000000000002</v>
      </c>
      <c r="N1164">
        <v>1.32E-2</v>
      </c>
      <c r="O1164">
        <v>1.421E-2</v>
      </c>
      <c r="P1164" s="3">
        <f t="shared" si="72"/>
        <v>1477.977195361683</v>
      </c>
      <c r="Q1164" s="3">
        <f t="shared" si="73"/>
        <v>2.8091543952086795E-3</v>
      </c>
      <c r="R1164" s="3">
        <f t="shared" si="74"/>
        <v>1.4019999999999999E-2</v>
      </c>
      <c r="S1164">
        <f t="shared" si="75"/>
        <v>26</v>
      </c>
      <c r="T1164">
        <f>INDEX([1]IDEN_level_ids!$B:$B,MATCH(G1164,[1]IDEN_level_ids!$A:$A,0),1)</f>
        <v>1073</v>
      </c>
      <c r="U1164">
        <f>INDEX([1]IDEN_level_ids!$B:$B,MATCH(H1164,[1]IDEN_level_ids!$A:$A,0),1)</f>
        <v>517</v>
      </c>
    </row>
    <row r="1165" spans="1:21" hidden="1" x14ac:dyDescent="0.25">
      <c r="A1165">
        <v>67653.504799999995</v>
      </c>
      <c r="B1165">
        <v>1478.12</v>
      </c>
      <c r="C1165">
        <v>6</v>
      </c>
      <c r="D1165" t="s">
        <v>460</v>
      </c>
      <c r="F1165">
        <v>1969</v>
      </c>
      <c r="G1165" s="1" t="s">
        <v>83</v>
      </c>
      <c r="H1165" s="1" t="s">
        <v>343</v>
      </c>
      <c r="I1165">
        <v>0</v>
      </c>
      <c r="J1165">
        <v>67653.6351</v>
      </c>
      <c r="K1165">
        <v>2.8500000000000001E-3</v>
      </c>
      <c r="L1165">
        <v>5.3499999999999997E-3</v>
      </c>
      <c r="M1165">
        <v>0.245</v>
      </c>
      <c r="N1165">
        <v>5.0200000000000002E-2</v>
      </c>
      <c r="O1165">
        <v>5.64E-3</v>
      </c>
      <c r="P1165" s="3">
        <f t="shared" si="72"/>
        <v>1478.1200219504371</v>
      </c>
      <c r="Q1165" s="3">
        <f t="shared" si="73"/>
        <v>2.8468394725678081E-3</v>
      </c>
      <c r="R1165" s="3">
        <f t="shared" si="74"/>
        <v>5.3499999999999997E-3</v>
      </c>
      <c r="S1165">
        <f t="shared" si="75"/>
        <v>26</v>
      </c>
      <c r="T1165">
        <f>INDEX([1]IDEN_level_ids!$B:$B,MATCH(G1165,[1]IDEN_level_ids!$A:$A,0),1)</f>
        <v>1175</v>
      </c>
      <c r="U1165">
        <f>INDEX([1]IDEN_level_ids!$B:$B,MATCH(H1165,[1]IDEN_level_ids!$A:$A,0),1)</f>
        <v>912</v>
      </c>
    </row>
    <row r="1166" spans="1:21" hidden="1" x14ac:dyDescent="0.25">
      <c r="A1166">
        <v>67647.415699999998</v>
      </c>
      <c r="B1166">
        <v>1478.2530999999999</v>
      </c>
      <c r="C1166">
        <v>6</v>
      </c>
      <c r="D1166" t="s">
        <v>460</v>
      </c>
      <c r="F1166">
        <v>1969</v>
      </c>
      <c r="G1166" s="1" t="s">
        <v>437</v>
      </c>
      <c r="H1166" s="1" t="s">
        <v>429</v>
      </c>
      <c r="I1166">
        <v>-0.193</v>
      </c>
      <c r="J1166">
        <v>67647.509399999995</v>
      </c>
      <c r="K1166">
        <v>2.0500000000000002E-3</v>
      </c>
      <c r="L1166">
        <v>5.3499999999999997E-3</v>
      </c>
      <c r="M1166">
        <v>0.245</v>
      </c>
      <c r="N1166">
        <v>3.2099999999999997E-2</v>
      </c>
      <c r="O1166">
        <v>5.5300000000000002E-3</v>
      </c>
      <c r="P1166" s="3">
        <f t="shared" si="72"/>
        <v>1478.253070944734</v>
      </c>
      <c r="Q1166" s="3">
        <f t="shared" si="73"/>
        <v>2.0475596807045804E-3</v>
      </c>
      <c r="R1166" s="3">
        <f t="shared" si="74"/>
        <v>5.3499999999999997E-3</v>
      </c>
      <c r="S1166">
        <f t="shared" si="75"/>
        <v>26</v>
      </c>
      <c r="T1166">
        <f>INDEX([1]IDEN_level_ids!$B:$B,MATCH(G1166,[1]IDEN_level_ids!$A:$A,0),1)</f>
        <v>1039</v>
      </c>
      <c r="U1166">
        <f>INDEX([1]IDEN_level_ids!$B:$B,MATCH(H1166,[1]IDEN_level_ids!$A:$A,0),1)</f>
        <v>406</v>
      </c>
    </row>
    <row r="1167" spans="1:21" hidden="1" x14ac:dyDescent="0.25">
      <c r="A1167">
        <v>67644.175199999998</v>
      </c>
      <c r="B1167">
        <v>1478.3239000000001</v>
      </c>
      <c r="C1167">
        <v>6</v>
      </c>
      <c r="D1167" t="s">
        <v>460</v>
      </c>
      <c r="F1167">
        <v>1969</v>
      </c>
      <c r="G1167" s="1" t="s">
        <v>462</v>
      </c>
      <c r="H1167" s="1" t="s">
        <v>397</v>
      </c>
      <c r="I1167">
        <v>-0.27239999999999998</v>
      </c>
      <c r="J1167">
        <v>67644.161200000002</v>
      </c>
      <c r="K1167">
        <v>-3.1E-4</v>
      </c>
      <c r="L1167">
        <v>5.3499999999999997E-3</v>
      </c>
      <c r="M1167">
        <v>0.245</v>
      </c>
      <c r="N1167">
        <v>3.73E-2</v>
      </c>
      <c r="O1167">
        <v>5.5599999999999998E-3</v>
      </c>
      <c r="P1167" s="3">
        <f t="shared" si="72"/>
        <v>1478.3238867845639</v>
      </c>
      <c r="Q1167" s="3">
        <f t="shared" si="73"/>
        <v>-3.0596187525588903E-4</v>
      </c>
      <c r="R1167" s="3">
        <f t="shared" si="74"/>
        <v>5.3499999999999997E-3</v>
      </c>
      <c r="S1167">
        <f t="shared" si="75"/>
        <v>26</v>
      </c>
      <c r="T1167">
        <f>INDEX([1]IDEN_level_ids!$B:$B,MATCH(G1167,[1]IDEN_level_ids!$A:$A,0),1)</f>
        <v>1047</v>
      </c>
      <c r="U1167">
        <f>INDEX([1]IDEN_level_ids!$B:$B,MATCH(H1167,[1]IDEN_level_ids!$A:$A,0),1)</f>
        <v>446</v>
      </c>
    </row>
    <row r="1168" spans="1:21" hidden="1" x14ac:dyDescent="0.25">
      <c r="A1168">
        <v>67639.037700000001</v>
      </c>
      <c r="B1168">
        <v>1478.4362000000001</v>
      </c>
      <c r="C1168">
        <v>6</v>
      </c>
      <c r="D1168" t="s">
        <v>460</v>
      </c>
      <c r="F1168">
        <v>1969</v>
      </c>
      <c r="G1168" s="1" t="s">
        <v>94</v>
      </c>
      <c r="H1168" s="1" t="s">
        <v>405</v>
      </c>
      <c r="I1168">
        <v>0</v>
      </c>
      <c r="J1168">
        <v>67638.941200000001</v>
      </c>
      <c r="K1168">
        <v>-2.1099999999999999E-3</v>
      </c>
      <c r="L1168">
        <v>5.3499999999999997E-3</v>
      </c>
      <c r="M1168">
        <v>0.245</v>
      </c>
      <c r="N1168">
        <v>5.8500000000000003E-2</v>
      </c>
      <c r="O1168">
        <v>5.6899999999999997E-3</v>
      </c>
      <c r="P1168" s="3">
        <f t="shared" si="72"/>
        <v>1478.4361723703234</v>
      </c>
      <c r="Q1168" s="3">
        <f t="shared" si="73"/>
        <v>-2.1092744518682593E-3</v>
      </c>
      <c r="R1168" s="3">
        <f t="shared" si="74"/>
        <v>5.3499999999999997E-3</v>
      </c>
      <c r="S1168">
        <f t="shared" si="75"/>
        <v>26</v>
      </c>
      <c r="T1168">
        <f>INDEX([1]IDEN_level_ids!$B:$B,MATCH(G1168,[1]IDEN_level_ids!$A:$A,0),1)</f>
        <v>1207</v>
      </c>
      <c r="U1168">
        <f>INDEX([1]IDEN_level_ids!$B:$B,MATCH(H1168,[1]IDEN_level_ids!$A:$A,0),1)</f>
        <v>927</v>
      </c>
    </row>
    <row r="1169" spans="1:21" hidden="1" x14ac:dyDescent="0.25">
      <c r="A1169">
        <v>67634.885599999994</v>
      </c>
      <c r="B1169">
        <v>1478.5269000000001</v>
      </c>
      <c r="C1169">
        <v>6</v>
      </c>
      <c r="D1169" t="s">
        <v>460</v>
      </c>
      <c r="F1169">
        <v>1969</v>
      </c>
      <c r="G1169" s="1" t="s">
        <v>68</v>
      </c>
      <c r="H1169" s="1" t="s">
        <v>455</v>
      </c>
      <c r="I1169">
        <v>0</v>
      </c>
      <c r="J1169">
        <v>67634.7215</v>
      </c>
      <c r="K1169">
        <v>-3.5899999999999999E-3</v>
      </c>
      <c r="L1169">
        <v>5.3600000000000002E-3</v>
      </c>
      <c r="M1169">
        <v>0.245</v>
      </c>
      <c r="N1169">
        <v>0.29239999999999999</v>
      </c>
      <c r="O1169">
        <v>7.5700000000000003E-3</v>
      </c>
      <c r="P1169" s="3">
        <f t="shared" si="72"/>
        <v>1478.5269334439447</v>
      </c>
      <c r="Q1169" s="3">
        <f t="shared" si="73"/>
        <v>-3.5873034498763445E-3</v>
      </c>
      <c r="R1169" s="3">
        <f t="shared" si="74"/>
        <v>5.3600000000000002E-3</v>
      </c>
      <c r="S1169">
        <f t="shared" si="75"/>
        <v>26</v>
      </c>
      <c r="T1169">
        <f>INDEX([1]IDEN_level_ids!$B:$B,MATCH(G1169,[1]IDEN_level_ids!$A:$A,0),1)</f>
        <v>1229</v>
      </c>
      <c r="U1169">
        <f>INDEX([1]IDEN_level_ids!$B:$B,MATCH(H1169,[1]IDEN_level_ids!$A:$A,0),1)</f>
        <v>946</v>
      </c>
    </row>
    <row r="1170" spans="1:21" hidden="1" x14ac:dyDescent="0.25">
      <c r="A1170">
        <v>67632.819900000002</v>
      </c>
      <c r="B1170">
        <v>1478.5721000000001</v>
      </c>
      <c r="C1170">
        <v>6</v>
      </c>
      <c r="D1170" t="s">
        <v>460</v>
      </c>
      <c r="F1170">
        <v>1969</v>
      </c>
      <c r="G1170" s="1" t="s">
        <v>448</v>
      </c>
      <c r="H1170" s="1" t="s">
        <v>400</v>
      </c>
      <c r="I1170">
        <v>-0.2167</v>
      </c>
      <c r="J1170">
        <v>67632.790399999998</v>
      </c>
      <c r="K1170">
        <v>-6.4999999999999997E-4</v>
      </c>
      <c r="L1170">
        <v>5.3600000000000002E-3</v>
      </c>
      <c r="M1170">
        <v>0.245</v>
      </c>
      <c r="N1170">
        <v>2.18E-2</v>
      </c>
      <c r="O1170">
        <v>5.47E-3</v>
      </c>
      <c r="P1170" s="3">
        <f t="shared" si="72"/>
        <v>1478.5720918905527</v>
      </c>
      <c r="Q1170" s="3">
        <f t="shared" si="73"/>
        <v>-6.4492203341615095E-4</v>
      </c>
      <c r="R1170" s="3">
        <f t="shared" si="74"/>
        <v>5.3600000000000002E-3</v>
      </c>
      <c r="S1170">
        <f t="shared" si="75"/>
        <v>26</v>
      </c>
      <c r="T1170">
        <f>INDEX([1]IDEN_level_ids!$B:$B,MATCH(G1170,[1]IDEN_level_ids!$A:$A,0),1)</f>
        <v>1067</v>
      </c>
      <c r="U1170">
        <f>INDEX([1]IDEN_level_ids!$B:$B,MATCH(H1170,[1]IDEN_level_ids!$A:$A,0),1)</f>
        <v>503</v>
      </c>
    </row>
    <row r="1171" spans="1:21" hidden="1" x14ac:dyDescent="0.25">
      <c r="A1171">
        <v>67630.7166</v>
      </c>
      <c r="B1171">
        <v>1478.6180999999999</v>
      </c>
      <c r="C1171">
        <v>6</v>
      </c>
      <c r="D1171" t="s">
        <v>460</v>
      </c>
      <c r="F1171">
        <v>1969</v>
      </c>
      <c r="G1171" s="1" t="s">
        <v>207</v>
      </c>
      <c r="H1171" s="1" t="s">
        <v>376</v>
      </c>
      <c r="I1171">
        <v>0</v>
      </c>
      <c r="J1171">
        <v>67630.415599999993</v>
      </c>
      <c r="K1171">
        <v>-6.5799999999999999E-3</v>
      </c>
      <c r="L1171">
        <v>5.3600000000000002E-3</v>
      </c>
      <c r="M1171">
        <v>0.245</v>
      </c>
      <c r="N1171">
        <v>5.7099999999999998E-2</v>
      </c>
      <c r="O1171">
        <v>5.6800000000000002E-3</v>
      </c>
      <c r="P1171" s="3">
        <f t="shared" si="72"/>
        <v>1478.6180751484155</v>
      </c>
      <c r="Q1171" s="3">
        <f t="shared" si="73"/>
        <v>-6.5808266397198167E-3</v>
      </c>
      <c r="R1171" s="3">
        <f t="shared" si="74"/>
        <v>5.3600000000000002E-3</v>
      </c>
      <c r="S1171">
        <f t="shared" si="75"/>
        <v>26</v>
      </c>
      <c r="T1171">
        <f>INDEX([1]IDEN_level_ids!$B:$B,MATCH(G1171,[1]IDEN_level_ids!$A:$A,0),1)</f>
        <v>1177</v>
      </c>
      <c r="U1171">
        <f>INDEX([1]IDEN_level_ids!$B:$B,MATCH(H1171,[1]IDEN_level_ids!$A:$A,0),1)</f>
        <v>913</v>
      </c>
    </row>
    <row r="1172" spans="1:21" hidden="1" x14ac:dyDescent="0.25">
      <c r="A1172">
        <v>67620.796799999996</v>
      </c>
      <c r="B1172">
        <v>1478.835</v>
      </c>
      <c r="C1172">
        <v>6</v>
      </c>
      <c r="D1172" t="s">
        <v>460</v>
      </c>
      <c r="F1172">
        <v>1969</v>
      </c>
      <c r="G1172" s="1" t="s">
        <v>71</v>
      </c>
      <c r="H1172" s="1" t="s">
        <v>376</v>
      </c>
      <c r="I1172">
        <v>0</v>
      </c>
      <c r="J1172">
        <v>67620.746799999994</v>
      </c>
      <c r="K1172">
        <v>-1.09E-3</v>
      </c>
      <c r="L1172">
        <v>5.3600000000000002E-3</v>
      </c>
      <c r="M1172">
        <v>0.245</v>
      </c>
      <c r="N1172">
        <v>5.7000000000000002E-2</v>
      </c>
      <c r="O1172">
        <v>5.6800000000000002E-3</v>
      </c>
      <c r="P1172" s="3">
        <f t="shared" si="72"/>
        <v>1478.8349846832921</v>
      </c>
      <c r="Q1172" s="3">
        <f t="shared" si="73"/>
        <v>-1.0934772644759505E-3</v>
      </c>
      <c r="R1172" s="3">
        <f t="shared" si="74"/>
        <v>5.3600000000000002E-3</v>
      </c>
      <c r="S1172">
        <f t="shared" si="75"/>
        <v>26</v>
      </c>
      <c r="T1172">
        <f>INDEX([1]IDEN_level_ids!$B:$B,MATCH(G1172,[1]IDEN_level_ids!$A:$A,0),1)</f>
        <v>1179</v>
      </c>
      <c r="U1172">
        <f>INDEX([1]IDEN_level_ids!$B:$B,MATCH(H1172,[1]IDEN_level_ids!$A:$A,0),1)</f>
        <v>913</v>
      </c>
    </row>
    <row r="1173" spans="1:21" hidden="1" x14ac:dyDescent="0.25">
      <c r="A1173">
        <v>67607.029299999995</v>
      </c>
      <c r="B1173">
        <v>1479.1360999999999</v>
      </c>
      <c r="C1173">
        <v>6</v>
      </c>
      <c r="D1173" t="s">
        <v>460</v>
      </c>
      <c r="F1173">
        <v>1969</v>
      </c>
      <c r="G1173" s="1" t="s">
        <v>448</v>
      </c>
      <c r="H1173" s="1" t="s">
        <v>403</v>
      </c>
      <c r="I1173">
        <v>-0.2167</v>
      </c>
      <c r="J1173">
        <v>67606.883700000006</v>
      </c>
      <c r="K1173">
        <v>-3.1900000000000001E-3</v>
      </c>
      <c r="L1173">
        <v>5.3600000000000002E-3</v>
      </c>
      <c r="M1173">
        <v>0.245</v>
      </c>
      <c r="N1173">
        <v>2.5700000000000001E-2</v>
      </c>
      <c r="O1173">
        <v>5.4999999999999997E-3</v>
      </c>
      <c r="P1173" s="3">
        <f t="shared" si="72"/>
        <v>1479.1361347391728</v>
      </c>
      <c r="Q1173" s="3">
        <f t="shared" si="73"/>
        <v>-3.185507294801937E-3</v>
      </c>
      <c r="R1173" s="3">
        <f t="shared" si="74"/>
        <v>5.3600000000000002E-3</v>
      </c>
      <c r="S1173">
        <f t="shared" si="75"/>
        <v>26</v>
      </c>
      <c r="T1173">
        <f>INDEX([1]IDEN_level_ids!$B:$B,MATCH(G1173,[1]IDEN_level_ids!$A:$A,0),1)</f>
        <v>1067</v>
      </c>
      <c r="U1173">
        <f>INDEX([1]IDEN_level_ids!$B:$B,MATCH(H1173,[1]IDEN_level_ids!$A:$A,0),1)</f>
        <v>505</v>
      </c>
    </row>
    <row r="1174" spans="1:21" hidden="1" x14ac:dyDescent="0.25">
      <c r="A1174">
        <v>67581.495699999999</v>
      </c>
      <c r="B1174">
        <v>1479.6949999999999</v>
      </c>
      <c r="C1174">
        <v>6</v>
      </c>
      <c r="D1174" t="s">
        <v>460</v>
      </c>
      <c r="F1174">
        <v>1969</v>
      </c>
      <c r="G1174" s="1" t="s">
        <v>438</v>
      </c>
      <c r="H1174" s="1" t="s">
        <v>408</v>
      </c>
      <c r="I1174">
        <v>0</v>
      </c>
      <c r="J1174">
        <v>67581.328999999998</v>
      </c>
      <c r="K1174">
        <v>-3.65E-3</v>
      </c>
      <c r="L1174">
        <v>5.3600000000000002E-3</v>
      </c>
      <c r="M1174">
        <v>0.245</v>
      </c>
      <c r="N1174">
        <v>2.4799999999999999E-2</v>
      </c>
      <c r="O1174">
        <v>5.4999999999999997E-3</v>
      </c>
      <c r="P1174" s="3">
        <f t="shared" si="72"/>
        <v>1479.6949810626934</v>
      </c>
      <c r="Q1174" s="3">
        <f t="shared" si="73"/>
        <v>-3.6499008972441516E-3</v>
      </c>
      <c r="R1174" s="3">
        <f t="shared" si="74"/>
        <v>5.3600000000000002E-3</v>
      </c>
      <c r="S1174">
        <f t="shared" si="75"/>
        <v>26</v>
      </c>
      <c r="T1174">
        <f>INDEX([1]IDEN_level_ids!$B:$B,MATCH(G1174,[1]IDEN_level_ids!$A:$A,0),1)</f>
        <v>1051</v>
      </c>
      <c r="U1174">
        <f>INDEX([1]IDEN_level_ids!$B:$B,MATCH(H1174,[1]IDEN_level_ids!$A:$A,0),1)</f>
        <v>461</v>
      </c>
    </row>
    <row r="1175" spans="1:21" hidden="1" x14ac:dyDescent="0.25">
      <c r="A1175">
        <v>67574.468500000003</v>
      </c>
      <c r="B1175">
        <v>1479.8489</v>
      </c>
      <c r="C1175">
        <v>6</v>
      </c>
      <c r="D1175" t="s">
        <v>460</v>
      </c>
      <c r="F1175">
        <v>1969</v>
      </c>
      <c r="G1175" s="1" t="s">
        <v>452</v>
      </c>
      <c r="H1175" s="1" t="s">
        <v>402</v>
      </c>
      <c r="I1175">
        <v>-0.18779999999999999</v>
      </c>
      <c r="J1175">
        <v>67574.414999999994</v>
      </c>
      <c r="K1175">
        <v>-1.17E-3</v>
      </c>
      <c r="L1175">
        <v>5.3699999999999998E-3</v>
      </c>
      <c r="M1175">
        <v>0.245</v>
      </c>
      <c r="N1175">
        <v>0.1696</v>
      </c>
      <c r="O1175">
        <v>6.4599999999999996E-3</v>
      </c>
      <c r="P1175" s="3">
        <f t="shared" si="72"/>
        <v>1479.8488574127666</v>
      </c>
      <c r="Q1175" s="3">
        <f t="shared" si="73"/>
        <v>-1.1716255908140738E-3</v>
      </c>
      <c r="R1175" s="3">
        <f t="shared" si="74"/>
        <v>5.3699999999999998E-3</v>
      </c>
      <c r="S1175">
        <f t="shared" si="75"/>
        <v>26</v>
      </c>
      <c r="T1175">
        <f>INDEX([1]IDEN_level_ids!$B:$B,MATCH(G1175,[1]IDEN_level_ids!$A:$A,0),1)</f>
        <v>1033</v>
      </c>
      <c r="U1175">
        <f>INDEX([1]IDEN_level_ids!$B:$B,MATCH(H1175,[1]IDEN_level_ids!$A:$A,0),1)</f>
        <v>383</v>
      </c>
    </row>
    <row r="1176" spans="1:21" hidden="1" x14ac:dyDescent="0.25">
      <c r="A1176">
        <v>67572.722200000004</v>
      </c>
      <c r="B1176">
        <v>1479.8870999999999</v>
      </c>
      <c r="C1176">
        <v>6</v>
      </c>
      <c r="D1176" t="s">
        <v>460</v>
      </c>
      <c r="F1176">
        <v>1969</v>
      </c>
      <c r="G1176" s="1" t="s">
        <v>466</v>
      </c>
      <c r="H1176" s="1" t="s">
        <v>392</v>
      </c>
      <c r="I1176">
        <v>-0.28410000000000002</v>
      </c>
      <c r="J1176">
        <v>67572.743600000002</v>
      </c>
      <c r="K1176">
        <v>4.6999999999999999E-4</v>
      </c>
      <c r="L1176">
        <v>5.3699999999999998E-3</v>
      </c>
      <c r="M1176">
        <v>0.245</v>
      </c>
      <c r="N1176">
        <v>3.5299999999999998E-2</v>
      </c>
      <c r="O1176">
        <v>5.5599999999999998E-3</v>
      </c>
      <c r="P1176" s="3">
        <f t="shared" si="72"/>
        <v>1479.8871015440604</v>
      </c>
      <c r="Q1176" s="3">
        <f t="shared" si="73"/>
        <v>4.6867393984939554E-4</v>
      </c>
      <c r="R1176" s="3">
        <f t="shared" si="74"/>
        <v>5.3699999999999998E-3</v>
      </c>
      <c r="S1176">
        <f t="shared" si="75"/>
        <v>26</v>
      </c>
      <c r="T1176">
        <f>INDEX([1]IDEN_level_ids!$B:$B,MATCH(G1176,[1]IDEN_level_ids!$A:$A,0),1)</f>
        <v>1061</v>
      </c>
      <c r="U1176">
        <f>INDEX([1]IDEN_level_ids!$B:$B,MATCH(H1176,[1]IDEN_level_ids!$A:$A,0),1)</f>
        <v>498</v>
      </c>
    </row>
    <row r="1177" spans="1:21" hidden="1" x14ac:dyDescent="0.25">
      <c r="A1177">
        <v>67563.318199999994</v>
      </c>
      <c r="B1177">
        <v>1480.0931</v>
      </c>
      <c r="C1177">
        <v>6</v>
      </c>
      <c r="D1177" t="s">
        <v>460</v>
      </c>
      <c r="E1177" t="s">
        <v>45</v>
      </c>
      <c r="F1177">
        <v>1969</v>
      </c>
      <c r="G1177" s="1" t="s">
        <v>295</v>
      </c>
      <c r="H1177" s="1" t="s">
        <v>371</v>
      </c>
      <c r="I1177">
        <v>0</v>
      </c>
      <c r="J1177">
        <v>67562.345300000001</v>
      </c>
      <c r="K1177">
        <v>-2.1309999999999999E-2</v>
      </c>
      <c r="L1177">
        <v>1.056E-2</v>
      </c>
      <c r="M1177">
        <v>0.48199999999999998</v>
      </c>
      <c r="N1177">
        <v>2.69E-2</v>
      </c>
      <c r="O1177">
        <v>1.085E-2</v>
      </c>
      <c r="P1177" s="3">
        <f t="shared" si="72"/>
        <v>1480.0930840013125</v>
      </c>
      <c r="Q1177" s="3">
        <f t="shared" si="73"/>
        <v>-2.1313389211400136E-2</v>
      </c>
      <c r="R1177" s="3">
        <f t="shared" si="74"/>
        <v>1.056E-2</v>
      </c>
      <c r="S1177">
        <f t="shared" si="75"/>
        <v>26</v>
      </c>
      <c r="T1177">
        <f>INDEX([1]IDEN_level_ids!$B:$B,MATCH(G1177,[1]IDEN_level_ids!$A:$A,0),1)</f>
        <v>1152</v>
      </c>
      <c r="U1177">
        <f>INDEX([1]IDEN_level_ids!$B:$B,MATCH(H1177,[1]IDEN_level_ids!$A:$A,0),1)</f>
        <v>902</v>
      </c>
    </row>
    <row r="1178" spans="1:21" hidden="1" x14ac:dyDescent="0.25">
      <c r="A1178">
        <v>67543.513699999996</v>
      </c>
      <c r="B1178">
        <v>1480.5271</v>
      </c>
      <c r="C1178">
        <v>6</v>
      </c>
      <c r="D1178" t="s">
        <v>460</v>
      </c>
      <c r="F1178">
        <v>1969</v>
      </c>
      <c r="G1178" s="1" t="s">
        <v>271</v>
      </c>
      <c r="H1178" s="1" t="s">
        <v>338</v>
      </c>
      <c r="I1178">
        <v>0</v>
      </c>
      <c r="J1178">
        <v>67543.513399999996</v>
      </c>
      <c r="K1178">
        <v>-1.0000000000000001E-5</v>
      </c>
      <c r="L1178">
        <v>5.3699999999999998E-3</v>
      </c>
      <c r="M1178">
        <v>0.245</v>
      </c>
      <c r="N1178">
        <v>3.8399999999999997E-2</v>
      </c>
      <c r="O1178">
        <v>5.5799999999999999E-3</v>
      </c>
      <c r="P1178" s="3">
        <f t="shared" si="72"/>
        <v>1480.5270635483687</v>
      </c>
      <c r="Q1178" s="3">
        <f t="shared" si="73"/>
        <v>-6.5758811160776531E-6</v>
      </c>
      <c r="R1178" s="3">
        <f t="shared" si="74"/>
        <v>5.3699999999999998E-3</v>
      </c>
      <c r="S1178">
        <f t="shared" si="75"/>
        <v>26</v>
      </c>
      <c r="T1178">
        <f>INDEX([1]IDEN_level_ids!$B:$B,MATCH(G1178,[1]IDEN_level_ids!$A:$A,0),1)</f>
        <v>1158</v>
      </c>
      <c r="U1178">
        <f>INDEX([1]IDEN_level_ids!$B:$B,MATCH(H1178,[1]IDEN_level_ids!$A:$A,0),1)</f>
        <v>904</v>
      </c>
    </row>
    <row r="1179" spans="1:21" hidden="1" x14ac:dyDescent="0.25">
      <c r="A1179">
        <v>67524.089699999997</v>
      </c>
      <c r="B1179">
        <v>1480.953</v>
      </c>
      <c r="C1179">
        <v>6</v>
      </c>
      <c r="D1179" t="s">
        <v>460</v>
      </c>
      <c r="F1179">
        <v>1969</v>
      </c>
      <c r="G1179" s="1" t="s">
        <v>41</v>
      </c>
      <c r="H1179" s="1" t="s">
        <v>432</v>
      </c>
      <c r="I1179">
        <v>0</v>
      </c>
      <c r="J1179">
        <v>67523.955400000006</v>
      </c>
      <c r="K1179">
        <v>-2.9499999999999999E-3</v>
      </c>
      <c r="L1179">
        <v>5.3699999999999998E-3</v>
      </c>
      <c r="M1179">
        <v>0.245</v>
      </c>
      <c r="N1179">
        <v>3.2300000000000002E-2</v>
      </c>
      <c r="O1179">
        <v>5.5500000000000002E-3</v>
      </c>
      <c r="P1179" s="3">
        <f t="shared" si="72"/>
        <v>1480.9529524098125</v>
      </c>
      <c r="Q1179" s="3">
        <f t="shared" si="73"/>
        <v>-2.9455025303377624E-3</v>
      </c>
      <c r="R1179" s="3">
        <f t="shared" si="74"/>
        <v>5.3699999999999998E-3</v>
      </c>
      <c r="S1179">
        <f t="shared" si="75"/>
        <v>26</v>
      </c>
      <c r="T1179">
        <f>INDEX([1]IDEN_level_ids!$B:$B,MATCH(G1179,[1]IDEN_level_ids!$A:$A,0),1)</f>
        <v>1238</v>
      </c>
      <c r="U1179">
        <f>INDEX([1]IDEN_level_ids!$B:$B,MATCH(H1179,[1]IDEN_level_ids!$A:$A,0),1)</f>
        <v>954</v>
      </c>
    </row>
    <row r="1180" spans="1:21" hidden="1" x14ac:dyDescent="0.25">
      <c r="A1180">
        <v>67520.340500000006</v>
      </c>
      <c r="B1180">
        <v>1481.0352</v>
      </c>
      <c r="C1180">
        <v>6</v>
      </c>
      <c r="D1180" t="s">
        <v>460</v>
      </c>
      <c r="F1180">
        <v>1969</v>
      </c>
      <c r="G1180" s="1" t="s">
        <v>238</v>
      </c>
      <c r="H1180" s="1" t="s">
        <v>367</v>
      </c>
      <c r="I1180">
        <v>0</v>
      </c>
      <c r="J1180">
        <v>67520.398400000005</v>
      </c>
      <c r="K1180">
        <v>1.2700000000000001E-3</v>
      </c>
      <c r="L1180">
        <v>5.3699999999999998E-3</v>
      </c>
      <c r="M1180">
        <v>0.245</v>
      </c>
      <c r="N1180">
        <v>8.3900000000000002E-2</v>
      </c>
      <c r="O1180">
        <v>5.8700000000000002E-3</v>
      </c>
      <c r="P1180" s="3">
        <f t="shared" si="72"/>
        <v>1481.0351852416975</v>
      </c>
      <c r="Q1180" s="3">
        <f t="shared" si="73"/>
        <v>1.2700152733486902E-3</v>
      </c>
      <c r="R1180" s="3">
        <f t="shared" si="74"/>
        <v>5.3699999999999998E-3</v>
      </c>
      <c r="S1180">
        <f t="shared" si="75"/>
        <v>26</v>
      </c>
      <c r="T1180">
        <f>INDEX([1]IDEN_level_ids!$B:$B,MATCH(G1180,[1]IDEN_level_ids!$A:$A,0),1)</f>
        <v>1165</v>
      </c>
      <c r="U1180">
        <f>INDEX([1]IDEN_level_ids!$B:$B,MATCH(H1180,[1]IDEN_level_ids!$A:$A,0),1)</f>
        <v>907</v>
      </c>
    </row>
    <row r="1181" spans="1:21" hidden="1" x14ac:dyDescent="0.25">
      <c r="A1181">
        <v>67500.296100000007</v>
      </c>
      <c r="B1181">
        <v>1481.4749999999999</v>
      </c>
      <c r="C1181">
        <v>6</v>
      </c>
      <c r="D1181" t="s">
        <v>460</v>
      </c>
      <c r="F1181">
        <v>1969</v>
      </c>
      <c r="G1181" s="1" t="s">
        <v>450</v>
      </c>
      <c r="H1181" s="1" t="s">
        <v>406</v>
      </c>
      <c r="I1181">
        <v>-0.21909999999999999</v>
      </c>
      <c r="J1181">
        <v>67500.3269</v>
      </c>
      <c r="K1181">
        <v>6.8000000000000005E-4</v>
      </c>
      <c r="L1181">
        <v>5.3800000000000002E-3</v>
      </c>
      <c r="M1181">
        <v>0.245</v>
      </c>
      <c r="N1181">
        <v>3.2199999999999999E-2</v>
      </c>
      <c r="O1181">
        <v>5.5599999999999998E-3</v>
      </c>
      <c r="P1181" s="3">
        <f t="shared" si="72"/>
        <v>1481.4749827445571</v>
      </c>
      <c r="Q1181" s="3">
        <f t="shared" si="73"/>
        <v>6.7598827376968984E-4</v>
      </c>
      <c r="R1181" s="3">
        <f t="shared" si="74"/>
        <v>5.3800000000000002E-3</v>
      </c>
      <c r="S1181">
        <f t="shared" si="75"/>
        <v>26</v>
      </c>
      <c r="T1181">
        <f>INDEX([1]IDEN_level_ids!$B:$B,MATCH(G1181,[1]IDEN_level_ids!$A:$A,0),1)</f>
        <v>1077</v>
      </c>
      <c r="U1181">
        <f>INDEX([1]IDEN_level_ids!$B:$B,MATCH(H1181,[1]IDEN_level_ids!$A:$A,0),1)</f>
        <v>527</v>
      </c>
    </row>
    <row r="1182" spans="1:21" hidden="1" x14ac:dyDescent="0.25">
      <c r="A1182">
        <v>67489.869399999996</v>
      </c>
      <c r="B1182">
        <v>1481.7039</v>
      </c>
      <c r="C1182">
        <v>6</v>
      </c>
      <c r="D1182" t="s">
        <v>460</v>
      </c>
      <c r="F1182">
        <v>1969</v>
      </c>
      <c r="G1182" s="1" t="s">
        <v>467</v>
      </c>
      <c r="H1182" s="1" t="s">
        <v>328</v>
      </c>
      <c r="I1182">
        <v>0</v>
      </c>
      <c r="J1182">
        <v>67489.415099999998</v>
      </c>
      <c r="K1182">
        <v>-9.9699999999999997E-3</v>
      </c>
      <c r="L1182">
        <v>5.3800000000000002E-3</v>
      </c>
      <c r="M1182">
        <v>0.245</v>
      </c>
      <c r="N1182">
        <v>0.2913</v>
      </c>
      <c r="O1182">
        <v>7.5900000000000004E-3</v>
      </c>
      <c r="P1182" s="3">
        <f t="shared" si="72"/>
        <v>1481.703859987022</v>
      </c>
      <c r="Q1182" s="3">
        <f t="shared" si="73"/>
        <v>-9.9739798099562904E-3</v>
      </c>
      <c r="R1182" s="3">
        <f t="shared" si="74"/>
        <v>5.3800000000000002E-3</v>
      </c>
      <c r="S1182">
        <f t="shared" si="75"/>
        <v>26</v>
      </c>
      <c r="T1182">
        <f>INDEX([1]IDEN_level_ids!$B:$B,MATCH(G1182,[1]IDEN_level_ids!$A:$A,0),1)</f>
        <v>1025</v>
      </c>
      <c r="U1182">
        <f>INDEX([1]IDEN_level_ids!$B:$B,MATCH(H1182,[1]IDEN_level_ids!$A:$A,0),1)</f>
        <v>366</v>
      </c>
    </row>
    <row r="1183" spans="1:21" hidden="1" x14ac:dyDescent="0.25">
      <c r="A1183">
        <v>67470.6011</v>
      </c>
      <c r="B1183">
        <v>1482.127</v>
      </c>
      <c r="C1183">
        <v>6</v>
      </c>
      <c r="D1183" t="s">
        <v>460</v>
      </c>
      <c r="F1183">
        <v>1969</v>
      </c>
      <c r="G1183" s="1" t="s">
        <v>438</v>
      </c>
      <c r="H1183" s="1" t="s">
        <v>399</v>
      </c>
      <c r="I1183">
        <v>0</v>
      </c>
      <c r="J1183">
        <v>67470.488700000002</v>
      </c>
      <c r="K1183">
        <v>-2.47E-3</v>
      </c>
      <c r="L1183">
        <v>5.3800000000000002E-3</v>
      </c>
      <c r="M1183">
        <v>0.245</v>
      </c>
      <c r="N1183">
        <v>2.3900000000000001E-2</v>
      </c>
      <c r="O1183">
        <v>5.5100000000000001E-3</v>
      </c>
      <c r="P1183" s="3">
        <f t="shared" si="72"/>
        <v>1482.1270059797941</v>
      </c>
      <c r="Q1183" s="3">
        <f t="shared" si="73"/>
        <v>-2.4690954323887127E-3</v>
      </c>
      <c r="R1183" s="3">
        <f t="shared" si="74"/>
        <v>5.3800000000000002E-3</v>
      </c>
      <c r="S1183">
        <f t="shared" si="75"/>
        <v>26</v>
      </c>
      <c r="T1183">
        <f>INDEX([1]IDEN_level_ids!$B:$B,MATCH(G1183,[1]IDEN_level_ids!$A:$A,0),1)</f>
        <v>1051</v>
      </c>
      <c r="U1183">
        <f>INDEX([1]IDEN_level_ids!$B:$B,MATCH(H1183,[1]IDEN_level_ids!$A:$A,0),1)</f>
        <v>467</v>
      </c>
    </row>
    <row r="1184" spans="1:21" hidden="1" x14ac:dyDescent="0.25">
      <c r="A1184">
        <v>67457.401899999997</v>
      </c>
      <c r="B1184">
        <v>1482.4169999999999</v>
      </c>
      <c r="C1184">
        <v>6</v>
      </c>
      <c r="D1184" t="s">
        <v>460</v>
      </c>
      <c r="F1184">
        <v>1969</v>
      </c>
      <c r="G1184" s="1" t="s">
        <v>375</v>
      </c>
      <c r="H1184" s="1" t="s">
        <v>400</v>
      </c>
      <c r="I1184">
        <v>-0.21110000000000001</v>
      </c>
      <c r="J1184">
        <v>67457.455900000001</v>
      </c>
      <c r="K1184">
        <v>1.1900000000000001E-3</v>
      </c>
      <c r="L1184">
        <v>5.3800000000000002E-3</v>
      </c>
      <c r="M1184">
        <v>0.245</v>
      </c>
      <c r="N1184">
        <v>2.18E-2</v>
      </c>
      <c r="O1184">
        <v>5.4999999999999997E-3</v>
      </c>
      <c r="P1184" s="3">
        <f t="shared" si="72"/>
        <v>1482.4170096002467</v>
      </c>
      <c r="Q1184" s="3">
        <f t="shared" si="73"/>
        <v>1.1866815527810104E-3</v>
      </c>
      <c r="R1184" s="3">
        <f t="shared" si="74"/>
        <v>5.3800000000000002E-3</v>
      </c>
      <c r="S1184">
        <f t="shared" si="75"/>
        <v>26</v>
      </c>
      <c r="T1184">
        <f>INDEX([1]IDEN_level_ids!$B:$B,MATCH(G1184,[1]IDEN_level_ids!$A:$A,0),1)</f>
        <v>1065</v>
      </c>
      <c r="U1184">
        <f>INDEX([1]IDEN_level_ids!$B:$B,MATCH(H1184,[1]IDEN_level_ids!$A:$A,0),1)</f>
        <v>503</v>
      </c>
    </row>
    <row r="1185" spans="1:21" hidden="1" x14ac:dyDescent="0.25">
      <c r="A1185">
        <v>67449.765499999994</v>
      </c>
      <c r="B1185">
        <v>1482.5848000000001</v>
      </c>
      <c r="C1185">
        <v>6</v>
      </c>
      <c r="D1185" t="s">
        <v>460</v>
      </c>
      <c r="F1185">
        <v>1969</v>
      </c>
      <c r="G1185" s="1" t="s">
        <v>466</v>
      </c>
      <c r="H1185" s="1" t="s">
        <v>390</v>
      </c>
      <c r="I1185">
        <v>-0.28410000000000002</v>
      </c>
      <c r="J1185">
        <v>67449.703599999993</v>
      </c>
      <c r="K1185">
        <v>-1.3600000000000001E-3</v>
      </c>
      <c r="L1185">
        <v>5.3800000000000002E-3</v>
      </c>
      <c r="M1185">
        <v>0.245</v>
      </c>
      <c r="N1185">
        <v>5.2400000000000002E-2</v>
      </c>
      <c r="O1185">
        <v>5.6800000000000002E-3</v>
      </c>
      <c r="P1185" s="3">
        <f t="shared" si="72"/>
        <v>1482.584843085926</v>
      </c>
      <c r="Q1185" s="3">
        <f t="shared" si="73"/>
        <v>-1.3605990375253896E-3</v>
      </c>
      <c r="R1185" s="3">
        <f t="shared" si="74"/>
        <v>5.3800000000000002E-3</v>
      </c>
      <c r="S1185">
        <f t="shared" si="75"/>
        <v>26</v>
      </c>
      <c r="T1185">
        <f>INDEX([1]IDEN_level_ids!$B:$B,MATCH(G1185,[1]IDEN_level_ids!$A:$A,0),1)</f>
        <v>1061</v>
      </c>
      <c r="U1185">
        <f>INDEX([1]IDEN_level_ids!$B:$B,MATCH(H1185,[1]IDEN_level_ids!$A:$A,0),1)</f>
        <v>499</v>
      </c>
    </row>
    <row r="1186" spans="1:21" hidden="1" x14ac:dyDescent="0.25">
      <c r="A1186">
        <v>67412.700500000006</v>
      </c>
      <c r="B1186">
        <v>1483.4</v>
      </c>
      <c r="C1186">
        <v>6</v>
      </c>
      <c r="D1186" t="s">
        <v>460</v>
      </c>
      <c r="F1186">
        <v>1969</v>
      </c>
      <c r="G1186" s="1" t="s">
        <v>40</v>
      </c>
      <c r="H1186" s="1" t="s">
        <v>412</v>
      </c>
      <c r="I1186">
        <v>0</v>
      </c>
      <c r="J1186">
        <v>67412.810400000002</v>
      </c>
      <c r="K1186">
        <v>2.4199999999999998E-3</v>
      </c>
      <c r="L1186">
        <v>5.3899999999999998E-3</v>
      </c>
      <c r="M1186">
        <v>0.245</v>
      </c>
      <c r="N1186">
        <v>0.1089</v>
      </c>
      <c r="O1186">
        <v>6.0499999999999998E-3</v>
      </c>
      <c r="P1186" s="3">
        <f t="shared" si="72"/>
        <v>1483.4000011615021</v>
      </c>
      <c r="Q1186" s="3">
        <f t="shared" si="73"/>
        <v>2.4183187017570162E-3</v>
      </c>
      <c r="R1186" s="3">
        <f t="shared" si="74"/>
        <v>5.3899999999999998E-3</v>
      </c>
      <c r="S1186">
        <f t="shared" si="75"/>
        <v>26</v>
      </c>
      <c r="T1186">
        <f>INDEX([1]IDEN_level_ids!$B:$B,MATCH(G1186,[1]IDEN_level_ids!$A:$A,0),1)</f>
        <v>1199</v>
      </c>
      <c r="U1186">
        <f>INDEX([1]IDEN_level_ids!$B:$B,MATCH(H1186,[1]IDEN_level_ids!$A:$A,0),1)</f>
        <v>923</v>
      </c>
    </row>
    <row r="1187" spans="1:21" hidden="1" x14ac:dyDescent="0.25">
      <c r="A1187">
        <v>67409.516199999998</v>
      </c>
      <c r="B1187">
        <v>1483.4701</v>
      </c>
      <c r="C1187">
        <v>6</v>
      </c>
      <c r="D1187" t="s">
        <v>460</v>
      </c>
      <c r="F1187">
        <v>1969</v>
      </c>
      <c r="G1187" s="1" t="s">
        <v>451</v>
      </c>
      <c r="H1187" s="1" t="s">
        <v>400</v>
      </c>
      <c r="I1187">
        <v>-0.28199999999999997</v>
      </c>
      <c r="J1187">
        <v>67409.256399999998</v>
      </c>
      <c r="K1187">
        <v>-5.7200000000000003E-3</v>
      </c>
      <c r="L1187">
        <v>5.3899999999999998E-3</v>
      </c>
      <c r="M1187">
        <v>0.245</v>
      </c>
      <c r="N1187">
        <v>2.2700000000000001E-2</v>
      </c>
      <c r="O1187">
        <v>5.5199999999999997E-3</v>
      </c>
      <c r="P1187" s="3">
        <f t="shared" si="72"/>
        <v>1483.4700742148332</v>
      </c>
      <c r="Q1187" s="3">
        <f t="shared" si="73"/>
        <v>-5.7173976672402205E-3</v>
      </c>
      <c r="R1187" s="3">
        <f t="shared" si="74"/>
        <v>5.3899999999999998E-3</v>
      </c>
      <c r="S1187">
        <f t="shared" si="75"/>
        <v>26</v>
      </c>
      <c r="T1187">
        <f>INDEX([1]IDEN_level_ids!$B:$B,MATCH(G1187,[1]IDEN_level_ids!$A:$A,0),1)</f>
        <v>1066</v>
      </c>
      <c r="U1187">
        <f>INDEX([1]IDEN_level_ids!$B:$B,MATCH(H1187,[1]IDEN_level_ids!$A:$A,0),1)</f>
        <v>503</v>
      </c>
    </row>
    <row r="1188" spans="1:21" hidden="1" x14ac:dyDescent="0.25">
      <c r="A1188">
        <v>67407.794099999999</v>
      </c>
      <c r="B1188">
        <v>1483.508</v>
      </c>
      <c r="C1188">
        <v>6</v>
      </c>
      <c r="D1188" t="s">
        <v>460</v>
      </c>
      <c r="F1188">
        <v>1969</v>
      </c>
      <c r="G1188" s="1" t="s">
        <v>73</v>
      </c>
      <c r="H1188" s="1" t="s">
        <v>343</v>
      </c>
      <c r="I1188">
        <v>0</v>
      </c>
      <c r="J1188">
        <v>67407.741500000004</v>
      </c>
      <c r="K1188">
        <v>-1.16E-3</v>
      </c>
      <c r="L1188">
        <v>5.3899999999999998E-3</v>
      </c>
      <c r="M1188">
        <v>0.245</v>
      </c>
      <c r="N1188">
        <v>5.0099999999999999E-2</v>
      </c>
      <c r="O1188">
        <v>5.6800000000000002E-3</v>
      </c>
      <c r="P1188" s="3">
        <f t="shared" si="72"/>
        <v>1483.5079731529147</v>
      </c>
      <c r="Q1188" s="3">
        <f t="shared" si="73"/>
        <v>-1.1576195499856112E-3</v>
      </c>
      <c r="R1188" s="3">
        <f t="shared" si="74"/>
        <v>5.3899999999999998E-3</v>
      </c>
      <c r="S1188">
        <f t="shared" si="75"/>
        <v>26</v>
      </c>
      <c r="T1188">
        <f>INDEX([1]IDEN_level_ids!$B:$B,MATCH(G1188,[1]IDEN_level_ids!$A:$A,0),1)</f>
        <v>1173</v>
      </c>
      <c r="U1188">
        <f>INDEX([1]IDEN_level_ids!$B:$B,MATCH(H1188,[1]IDEN_level_ids!$A:$A,0),1)</f>
        <v>912</v>
      </c>
    </row>
    <row r="1189" spans="1:21" hidden="1" x14ac:dyDescent="0.25">
      <c r="A1189">
        <v>67403.703099999999</v>
      </c>
      <c r="B1189">
        <v>1483.598</v>
      </c>
      <c r="C1189">
        <v>6</v>
      </c>
      <c r="D1189" t="s">
        <v>460</v>
      </c>
      <c r="F1189">
        <v>1969</v>
      </c>
      <c r="G1189" s="1" t="s">
        <v>450</v>
      </c>
      <c r="H1189" s="1" t="s">
        <v>415</v>
      </c>
      <c r="I1189">
        <v>-0.21909999999999999</v>
      </c>
      <c r="J1189">
        <v>67403.610400000005</v>
      </c>
      <c r="K1189">
        <v>-2.0400000000000001E-3</v>
      </c>
      <c r="L1189">
        <v>5.3899999999999998E-3</v>
      </c>
      <c r="M1189">
        <v>0.245</v>
      </c>
      <c r="N1189">
        <v>3.6299999999999999E-2</v>
      </c>
      <c r="O1189">
        <v>5.5999999999999999E-3</v>
      </c>
      <c r="P1189" s="3">
        <f t="shared" si="72"/>
        <v>1483.5980131780029</v>
      </c>
      <c r="Q1189" s="3">
        <f t="shared" si="73"/>
        <v>-2.0403882670052553E-3</v>
      </c>
      <c r="R1189" s="3">
        <f t="shared" si="74"/>
        <v>5.3899999999999998E-3</v>
      </c>
      <c r="S1189">
        <f t="shared" si="75"/>
        <v>26</v>
      </c>
      <c r="T1189">
        <f>INDEX([1]IDEN_level_ids!$B:$B,MATCH(G1189,[1]IDEN_level_ids!$A:$A,0),1)</f>
        <v>1077</v>
      </c>
      <c r="U1189">
        <f>INDEX([1]IDEN_level_ids!$B:$B,MATCH(H1189,[1]IDEN_level_ids!$A:$A,0),1)</f>
        <v>530</v>
      </c>
    </row>
    <row r="1190" spans="1:21" hidden="1" x14ac:dyDescent="0.25">
      <c r="A1190">
        <v>67393.393400000001</v>
      </c>
      <c r="B1190">
        <v>1483.825</v>
      </c>
      <c r="C1190">
        <v>6</v>
      </c>
      <c r="D1190" t="s">
        <v>460</v>
      </c>
      <c r="F1190">
        <v>1969</v>
      </c>
      <c r="G1190" s="1" t="s">
        <v>468</v>
      </c>
      <c r="H1190" s="1" t="s">
        <v>414</v>
      </c>
      <c r="I1190">
        <v>-0.122</v>
      </c>
      <c r="J1190">
        <v>67393.171700000006</v>
      </c>
      <c r="K1190">
        <v>-4.8799999999999998E-3</v>
      </c>
      <c r="L1190">
        <v>5.3899999999999998E-3</v>
      </c>
      <c r="M1190">
        <v>0.245</v>
      </c>
      <c r="N1190">
        <v>0.26740000000000003</v>
      </c>
      <c r="O1190">
        <v>7.3600000000000002E-3</v>
      </c>
      <c r="P1190" s="3">
        <f t="shared" si="72"/>
        <v>1483.8249708909893</v>
      </c>
      <c r="Q1190" s="3">
        <f t="shared" si="73"/>
        <v>-4.8812659761097166E-3</v>
      </c>
      <c r="R1190" s="3">
        <f t="shared" si="74"/>
        <v>5.3899999999999998E-3</v>
      </c>
      <c r="S1190">
        <f t="shared" si="75"/>
        <v>26</v>
      </c>
      <c r="T1190">
        <f>INDEX([1]IDEN_level_ids!$B:$B,MATCH(G1190,[1]IDEN_level_ids!$A:$A,0),1)</f>
        <v>1044</v>
      </c>
      <c r="U1190">
        <f>INDEX([1]IDEN_level_ids!$B:$B,MATCH(H1190,[1]IDEN_level_ids!$A:$A,0),1)</f>
        <v>441</v>
      </c>
    </row>
    <row r="1191" spans="1:21" hidden="1" x14ac:dyDescent="0.25">
      <c r="A1191">
        <v>67383.363599999997</v>
      </c>
      <c r="B1191">
        <v>1484.0458000000001</v>
      </c>
      <c r="C1191">
        <v>6</v>
      </c>
      <c r="D1191" t="s">
        <v>460</v>
      </c>
      <c r="F1191">
        <v>1969</v>
      </c>
      <c r="G1191" s="1" t="s">
        <v>451</v>
      </c>
      <c r="H1191" s="1" t="s">
        <v>403</v>
      </c>
      <c r="I1191">
        <v>-0.28199999999999997</v>
      </c>
      <c r="J1191">
        <v>67383.349700000006</v>
      </c>
      <c r="K1191">
        <v>-2.9999999999999997E-4</v>
      </c>
      <c r="L1191">
        <v>5.4000000000000003E-3</v>
      </c>
      <c r="M1191">
        <v>0.245</v>
      </c>
      <c r="N1191">
        <v>2.6700000000000002E-2</v>
      </c>
      <c r="O1191">
        <v>5.5399999999999998E-3</v>
      </c>
      <c r="P1191" s="3">
        <f t="shared" si="72"/>
        <v>1484.0458335327151</v>
      </c>
      <c r="Q1191" s="3">
        <f t="shared" si="73"/>
        <v>-3.0613255580647092E-4</v>
      </c>
      <c r="R1191" s="3">
        <f t="shared" si="74"/>
        <v>5.4000000000000003E-3</v>
      </c>
      <c r="S1191">
        <f t="shared" si="75"/>
        <v>26</v>
      </c>
      <c r="T1191">
        <f>INDEX([1]IDEN_level_ids!$B:$B,MATCH(G1191,[1]IDEN_level_ids!$A:$A,0),1)</f>
        <v>1066</v>
      </c>
      <c r="U1191">
        <f>INDEX([1]IDEN_level_ids!$B:$B,MATCH(H1191,[1]IDEN_level_ids!$A:$A,0),1)</f>
        <v>505</v>
      </c>
    </row>
    <row r="1192" spans="1:21" hidden="1" x14ac:dyDescent="0.25">
      <c r="A1192">
        <v>67375.870999999999</v>
      </c>
      <c r="B1192">
        <v>1484.2109</v>
      </c>
      <c r="C1192">
        <v>6</v>
      </c>
      <c r="D1192" t="s">
        <v>460</v>
      </c>
      <c r="F1192">
        <v>1969</v>
      </c>
      <c r="G1192" s="1" t="s">
        <v>407</v>
      </c>
      <c r="H1192" s="1" t="s">
        <v>380</v>
      </c>
      <c r="I1192">
        <v>-0.20150000000000001</v>
      </c>
      <c r="J1192">
        <v>67375.853600000002</v>
      </c>
      <c r="K1192">
        <v>-3.8000000000000002E-4</v>
      </c>
      <c r="L1192">
        <v>5.4000000000000003E-3</v>
      </c>
      <c r="M1192">
        <v>0.245</v>
      </c>
      <c r="N1192">
        <v>3.1899999999999998E-2</v>
      </c>
      <c r="O1192">
        <v>5.5700000000000003E-3</v>
      </c>
      <c r="P1192" s="3">
        <f t="shared" si="72"/>
        <v>1484.2108683092201</v>
      </c>
      <c r="Q1192" s="3">
        <f t="shared" si="73"/>
        <v>-3.8330154984578257E-4</v>
      </c>
      <c r="R1192" s="3">
        <f t="shared" si="74"/>
        <v>5.4000000000000003E-3</v>
      </c>
      <c r="S1192">
        <f t="shared" si="75"/>
        <v>26</v>
      </c>
      <c r="T1192">
        <f>INDEX([1]IDEN_level_ids!$B:$B,MATCH(G1192,[1]IDEN_level_ids!$A:$A,0),1)</f>
        <v>1073</v>
      </c>
      <c r="U1192">
        <f>INDEX([1]IDEN_level_ids!$B:$B,MATCH(H1192,[1]IDEN_level_ids!$A:$A,0),1)</f>
        <v>520</v>
      </c>
    </row>
    <row r="1193" spans="1:21" hidden="1" x14ac:dyDescent="0.25">
      <c r="A1193">
        <v>67371.913199999995</v>
      </c>
      <c r="B1193">
        <v>1484.2981</v>
      </c>
      <c r="C1193">
        <v>6</v>
      </c>
      <c r="D1193" t="s">
        <v>460</v>
      </c>
      <c r="E1193" t="s">
        <v>427</v>
      </c>
      <c r="F1193">
        <v>1969</v>
      </c>
      <c r="G1193" s="1" t="s">
        <v>76</v>
      </c>
      <c r="H1193" s="1" t="s">
        <v>435</v>
      </c>
      <c r="I1193">
        <v>0</v>
      </c>
      <c r="J1193">
        <v>67372.017600000006</v>
      </c>
      <c r="K1193">
        <v>2.3E-3</v>
      </c>
      <c r="L1193">
        <v>8.2799999999999992E-3</v>
      </c>
      <c r="M1193">
        <v>0.37580000000000002</v>
      </c>
      <c r="N1193">
        <v>6.5799999999999997E-2</v>
      </c>
      <c r="O1193">
        <v>8.8599999999999998E-3</v>
      </c>
      <c r="P1193" s="3">
        <f t="shared" si="72"/>
        <v>1484.2980590908915</v>
      </c>
      <c r="Q1193" s="3">
        <f t="shared" si="73"/>
        <v>2.3000753562882892E-3</v>
      </c>
      <c r="R1193" s="3">
        <f t="shared" si="74"/>
        <v>8.2799999999999992E-3</v>
      </c>
      <c r="S1193">
        <f t="shared" si="75"/>
        <v>26</v>
      </c>
      <c r="T1193">
        <f>INDEX([1]IDEN_level_ids!$B:$B,MATCH(G1193,[1]IDEN_level_ids!$A:$A,0),1)</f>
        <v>1194</v>
      </c>
      <c r="U1193">
        <f>INDEX([1]IDEN_level_ids!$B:$B,MATCH(H1193,[1]IDEN_level_ids!$A:$A,0),1)</f>
        <v>917</v>
      </c>
    </row>
    <row r="1194" spans="1:21" hidden="1" x14ac:dyDescent="0.25">
      <c r="A1194">
        <v>67355.436000000002</v>
      </c>
      <c r="B1194">
        <v>1484.6612</v>
      </c>
      <c r="C1194">
        <v>6</v>
      </c>
      <c r="D1194" t="s">
        <v>460</v>
      </c>
      <c r="F1194">
        <v>1969</v>
      </c>
      <c r="G1194" s="1" t="s">
        <v>469</v>
      </c>
      <c r="H1194" s="1" t="s">
        <v>408</v>
      </c>
      <c r="I1194">
        <v>-0.26919999999999999</v>
      </c>
      <c r="J1194">
        <v>67355.472899999993</v>
      </c>
      <c r="K1194">
        <v>8.0999999999999996E-4</v>
      </c>
      <c r="L1194">
        <v>5.4000000000000003E-3</v>
      </c>
      <c r="M1194">
        <v>0.245</v>
      </c>
      <c r="N1194">
        <v>2.7199999999999998E-2</v>
      </c>
      <c r="O1194">
        <v>5.5500000000000002E-3</v>
      </c>
      <c r="P1194" s="3">
        <f t="shared" si="72"/>
        <v>1484.6611637997562</v>
      </c>
      <c r="Q1194" s="3">
        <f t="shared" si="73"/>
        <v>8.1335628078704758E-4</v>
      </c>
      <c r="R1194" s="3">
        <f t="shared" si="74"/>
        <v>5.4000000000000003E-3</v>
      </c>
      <c r="S1194">
        <f t="shared" si="75"/>
        <v>26</v>
      </c>
      <c r="T1194">
        <f>INDEX([1]IDEN_level_ids!$B:$B,MATCH(G1194,[1]IDEN_level_ids!$A:$A,0),1)</f>
        <v>1048</v>
      </c>
      <c r="U1194">
        <f>INDEX([1]IDEN_level_ids!$B:$B,MATCH(H1194,[1]IDEN_level_ids!$A:$A,0),1)</f>
        <v>461</v>
      </c>
    </row>
    <row r="1195" spans="1:21" hidden="1" x14ac:dyDescent="0.25">
      <c r="A1195">
        <v>67343.159400000004</v>
      </c>
      <c r="B1195">
        <v>1484.9318000000001</v>
      </c>
      <c r="C1195">
        <v>6</v>
      </c>
      <c r="D1195" t="s">
        <v>460</v>
      </c>
      <c r="F1195">
        <v>1969</v>
      </c>
      <c r="G1195" s="1" t="s">
        <v>470</v>
      </c>
      <c r="H1195" s="1" t="s">
        <v>411</v>
      </c>
      <c r="I1195">
        <v>-0.20880000000000001</v>
      </c>
      <c r="J1195">
        <v>67343.026700000002</v>
      </c>
      <c r="K1195">
        <v>-2.9299999999999999E-3</v>
      </c>
      <c r="L1195">
        <v>5.4000000000000003E-3</v>
      </c>
      <c r="M1195">
        <v>0.245</v>
      </c>
      <c r="N1195">
        <v>3.3099999999999997E-2</v>
      </c>
      <c r="O1195">
        <v>5.5900000000000004E-3</v>
      </c>
      <c r="P1195" s="3">
        <f t="shared" si="72"/>
        <v>1484.9318162521492</v>
      </c>
      <c r="Q1195" s="3">
        <f t="shared" si="73"/>
        <v>-2.9260706219247368E-3</v>
      </c>
      <c r="R1195" s="3">
        <f t="shared" si="74"/>
        <v>5.4000000000000003E-3</v>
      </c>
      <c r="S1195">
        <f t="shared" si="75"/>
        <v>26</v>
      </c>
      <c r="T1195">
        <f>INDEX([1]IDEN_level_ids!$B:$B,MATCH(G1195,[1]IDEN_level_ids!$A:$A,0),1)</f>
        <v>1026</v>
      </c>
      <c r="U1195">
        <f>INDEX([1]IDEN_level_ids!$B:$B,MATCH(H1195,[1]IDEN_level_ids!$A:$A,0),1)</f>
        <v>374</v>
      </c>
    </row>
    <row r="1196" spans="1:21" hidden="1" x14ac:dyDescent="0.25">
      <c r="A1196">
        <v>67270.396699999998</v>
      </c>
      <c r="B1196">
        <v>1486.538</v>
      </c>
      <c r="C1196">
        <v>6</v>
      </c>
      <c r="D1196" t="s">
        <v>460</v>
      </c>
      <c r="F1196">
        <v>1969</v>
      </c>
      <c r="G1196" s="1" t="s">
        <v>251</v>
      </c>
      <c r="H1196" s="1" t="s">
        <v>423</v>
      </c>
      <c r="I1196">
        <v>0</v>
      </c>
      <c r="J1196">
        <v>67270.428899999999</v>
      </c>
      <c r="K1196">
        <v>7.1000000000000002E-4</v>
      </c>
      <c r="L1196">
        <v>5.4099999999999999E-3</v>
      </c>
      <c r="M1196">
        <v>0.245</v>
      </c>
      <c r="N1196">
        <v>0.13650000000000001</v>
      </c>
      <c r="O1196">
        <v>6.2700000000000004E-3</v>
      </c>
      <c r="P1196" s="3">
        <f t="shared" si="72"/>
        <v>1486.537985586162</v>
      </c>
      <c r="Q1196" s="3">
        <f t="shared" si="73"/>
        <v>7.1155370824271813E-4</v>
      </c>
      <c r="R1196" s="3">
        <f t="shared" si="74"/>
        <v>5.4099999999999999E-3</v>
      </c>
      <c r="S1196">
        <f t="shared" si="75"/>
        <v>26</v>
      </c>
      <c r="T1196">
        <f>INDEX([1]IDEN_level_ids!$B:$B,MATCH(G1196,[1]IDEN_level_ids!$A:$A,0),1)</f>
        <v>1192</v>
      </c>
      <c r="U1196">
        <f>INDEX([1]IDEN_level_ids!$B:$B,MATCH(H1196,[1]IDEN_level_ids!$A:$A,0),1)</f>
        <v>915</v>
      </c>
    </row>
    <row r="1197" spans="1:21" hidden="1" x14ac:dyDescent="0.25">
      <c r="A1197">
        <v>67257.316999999995</v>
      </c>
      <c r="B1197">
        <v>1486.8271</v>
      </c>
      <c r="C1197">
        <v>6</v>
      </c>
      <c r="D1197" t="s">
        <v>460</v>
      </c>
      <c r="F1197">
        <v>1969</v>
      </c>
      <c r="G1197" s="1" t="s">
        <v>398</v>
      </c>
      <c r="H1197" s="1" t="s">
        <v>394</v>
      </c>
      <c r="I1197">
        <v>-0.2341</v>
      </c>
      <c r="J1197">
        <v>67257.330199999997</v>
      </c>
      <c r="K1197">
        <v>2.9E-4</v>
      </c>
      <c r="L1197">
        <v>5.4200000000000003E-3</v>
      </c>
      <c r="M1197">
        <v>0.245</v>
      </c>
      <c r="N1197">
        <v>3.5799999999999998E-2</v>
      </c>
      <c r="O1197">
        <v>5.62E-3</v>
      </c>
      <c r="P1197" s="3">
        <f t="shared" si="72"/>
        <v>1486.8270763759429</v>
      </c>
      <c r="Q1197" s="3">
        <f t="shared" si="73"/>
        <v>2.9180637034187384E-4</v>
      </c>
      <c r="R1197" s="3">
        <f t="shared" si="74"/>
        <v>5.4200000000000003E-3</v>
      </c>
      <c r="S1197">
        <f t="shared" si="75"/>
        <v>26</v>
      </c>
      <c r="T1197">
        <f>INDEX([1]IDEN_level_ids!$B:$B,MATCH(G1197,[1]IDEN_level_ids!$A:$A,0),1)</f>
        <v>1075</v>
      </c>
      <c r="U1197">
        <f>INDEX([1]IDEN_level_ids!$B:$B,MATCH(H1197,[1]IDEN_level_ids!$A:$A,0),1)</f>
        <v>522</v>
      </c>
    </row>
    <row r="1198" spans="1:21" hidden="1" x14ac:dyDescent="0.25">
      <c r="A1198">
        <v>67224.128200000006</v>
      </c>
      <c r="B1198">
        <v>1487.5610999999999</v>
      </c>
      <c r="C1198">
        <v>6</v>
      </c>
      <c r="D1198" t="s">
        <v>460</v>
      </c>
      <c r="F1198">
        <v>1969</v>
      </c>
      <c r="G1198" s="1" t="s">
        <v>22</v>
      </c>
      <c r="H1198" s="1" t="s">
        <v>471</v>
      </c>
      <c r="I1198">
        <v>0</v>
      </c>
      <c r="J1198">
        <v>67224.129799999995</v>
      </c>
      <c r="K1198">
        <v>4.0000000000000003E-5</v>
      </c>
      <c r="L1198">
        <v>5.4200000000000003E-3</v>
      </c>
      <c r="M1198">
        <v>0.245</v>
      </c>
      <c r="N1198">
        <v>3.2000000000000001E-2</v>
      </c>
      <c r="O1198">
        <v>5.5999999999999999E-3</v>
      </c>
      <c r="P1198" s="3">
        <f t="shared" si="72"/>
        <v>1487.5611283866376</v>
      </c>
      <c r="Q1198" s="3">
        <f t="shared" si="73"/>
        <v>3.5405408652877668E-5</v>
      </c>
      <c r="R1198" s="3">
        <f t="shared" si="74"/>
        <v>5.4200000000000003E-3</v>
      </c>
      <c r="S1198">
        <f t="shared" si="75"/>
        <v>26</v>
      </c>
      <c r="T1198">
        <f>INDEX([1]IDEN_level_ids!$B:$B,MATCH(G1198,[1]IDEN_level_ids!$A:$A,0),1)</f>
        <v>1236</v>
      </c>
      <c r="U1198">
        <f>INDEX([1]IDEN_level_ids!$B:$B,MATCH(H1198,[1]IDEN_level_ids!$A:$A,0),1)</f>
        <v>955</v>
      </c>
    </row>
    <row r="1199" spans="1:21" hidden="1" x14ac:dyDescent="0.25">
      <c r="A1199">
        <v>67216.811499999996</v>
      </c>
      <c r="B1199">
        <v>1487.7230999999999</v>
      </c>
      <c r="C1199">
        <v>6</v>
      </c>
      <c r="D1199" t="s">
        <v>460</v>
      </c>
      <c r="F1199">
        <v>1969</v>
      </c>
      <c r="G1199" s="1" t="s">
        <v>472</v>
      </c>
      <c r="H1199" s="1" t="s">
        <v>378</v>
      </c>
      <c r="I1199">
        <v>0</v>
      </c>
      <c r="J1199">
        <v>67216.439299999998</v>
      </c>
      <c r="K1199">
        <v>-8.2400000000000008E-3</v>
      </c>
      <c r="L1199">
        <v>5.4200000000000003E-3</v>
      </c>
      <c r="M1199">
        <v>0.245</v>
      </c>
      <c r="N1199">
        <v>3.3700000000000001E-2</v>
      </c>
      <c r="O1199">
        <v>5.6100000000000004E-3</v>
      </c>
      <c r="P1199" s="3">
        <f t="shared" si="72"/>
        <v>1487.7230527365912</v>
      </c>
      <c r="Q1199" s="3">
        <f t="shared" si="73"/>
        <v>-8.2380222158917604E-3</v>
      </c>
      <c r="R1199" s="3">
        <f t="shared" si="74"/>
        <v>5.4200000000000003E-3</v>
      </c>
      <c r="S1199">
        <f t="shared" si="75"/>
        <v>26</v>
      </c>
      <c r="T1199">
        <f>INDEX([1]IDEN_level_ids!$B:$B,MATCH(G1199,[1]IDEN_level_ids!$A:$A,0),1)</f>
        <v>1012</v>
      </c>
      <c r="U1199">
        <f>INDEX([1]IDEN_level_ids!$B:$B,MATCH(H1199,[1]IDEN_level_ids!$A:$A,0),1)</f>
        <v>319</v>
      </c>
    </row>
    <row r="1200" spans="1:21" hidden="1" x14ac:dyDescent="0.25">
      <c r="A1200">
        <v>67201.095499999996</v>
      </c>
      <c r="B1200">
        <v>1488.0709999999999</v>
      </c>
      <c r="C1200">
        <v>6</v>
      </c>
      <c r="D1200" t="s">
        <v>460</v>
      </c>
      <c r="F1200">
        <v>1969</v>
      </c>
      <c r="G1200" s="1" t="s">
        <v>245</v>
      </c>
      <c r="H1200" s="1" t="s">
        <v>352</v>
      </c>
      <c r="I1200">
        <v>0</v>
      </c>
      <c r="J1200">
        <v>67201.145900000003</v>
      </c>
      <c r="K1200">
        <v>1.1199999999999999E-3</v>
      </c>
      <c r="L1200">
        <v>5.4200000000000003E-3</v>
      </c>
      <c r="M1200">
        <v>0.245</v>
      </c>
      <c r="N1200">
        <v>0.1177</v>
      </c>
      <c r="O1200">
        <v>6.1500000000000001E-3</v>
      </c>
      <c r="P1200" s="3">
        <f t="shared" si="72"/>
        <v>1488.0709794381255</v>
      </c>
      <c r="Q1200" s="3">
        <f t="shared" si="73"/>
        <v>1.1160342039602256E-3</v>
      </c>
      <c r="R1200" s="3">
        <f t="shared" si="74"/>
        <v>5.4200000000000003E-3</v>
      </c>
      <c r="S1200">
        <f t="shared" si="75"/>
        <v>26</v>
      </c>
      <c r="T1200">
        <f>INDEX([1]IDEN_level_ids!$B:$B,MATCH(G1200,[1]IDEN_level_ids!$A:$A,0),1)</f>
        <v>1169</v>
      </c>
      <c r="U1200">
        <f>INDEX([1]IDEN_level_ids!$B:$B,MATCH(H1200,[1]IDEN_level_ids!$A:$A,0),1)</f>
        <v>909</v>
      </c>
    </row>
    <row r="1201" spans="1:21" hidden="1" x14ac:dyDescent="0.25">
      <c r="A1201">
        <v>67144.785300000003</v>
      </c>
      <c r="B1201">
        <v>1489.3189</v>
      </c>
      <c r="C1201">
        <v>6</v>
      </c>
      <c r="D1201" t="s">
        <v>460</v>
      </c>
      <c r="F1201">
        <v>1969</v>
      </c>
      <c r="G1201" s="1" t="s">
        <v>216</v>
      </c>
      <c r="H1201" s="1" t="s">
        <v>360</v>
      </c>
      <c r="I1201">
        <v>0</v>
      </c>
      <c r="J1201">
        <v>67144.931200000006</v>
      </c>
      <c r="K1201">
        <v>3.2399999999999998E-3</v>
      </c>
      <c r="L1201">
        <v>5.4299999999999999E-3</v>
      </c>
      <c r="M1201">
        <v>0.245</v>
      </c>
      <c r="N1201">
        <v>7.22E-2</v>
      </c>
      <c r="O1201">
        <v>5.8599999999999998E-3</v>
      </c>
      <c r="P1201" s="3">
        <f t="shared" si="72"/>
        <v>1489.3189330072964</v>
      </c>
      <c r="Q1201" s="3">
        <f t="shared" si="73"/>
        <v>3.2361583882902778E-3</v>
      </c>
      <c r="R1201" s="3">
        <f t="shared" si="74"/>
        <v>5.4299999999999999E-3</v>
      </c>
      <c r="S1201">
        <f t="shared" si="75"/>
        <v>26</v>
      </c>
      <c r="T1201">
        <f>INDEX([1]IDEN_level_ids!$B:$B,MATCH(G1201,[1]IDEN_level_ids!$A:$A,0),1)</f>
        <v>1170</v>
      </c>
      <c r="U1201">
        <f>INDEX([1]IDEN_level_ids!$B:$B,MATCH(H1201,[1]IDEN_level_ids!$A:$A,0),1)</f>
        <v>911</v>
      </c>
    </row>
    <row r="1202" spans="1:21" hidden="1" x14ac:dyDescent="0.25">
      <c r="A1202">
        <v>67094.688399999999</v>
      </c>
      <c r="B1202">
        <v>1490.4309000000001</v>
      </c>
      <c r="C1202">
        <v>6</v>
      </c>
      <c r="D1202" t="s">
        <v>460</v>
      </c>
      <c r="F1202">
        <v>1969</v>
      </c>
      <c r="G1202" s="1" t="s">
        <v>69</v>
      </c>
      <c r="H1202" s="1" t="s">
        <v>473</v>
      </c>
      <c r="I1202">
        <v>7.5600000000000001E-2</v>
      </c>
      <c r="J1202">
        <v>67094.426300000006</v>
      </c>
      <c r="K1202">
        <v>-5.8199999999999997E-3</v>
      </c>
      <c r="L1202">
        <v>5.4400000000000004E-3</v>
      </c>
      <c r="M1202">
        <v>0.245</v>
      </c>
      <c r="N1202">
        <v>2.3E-2</v>
      </c>
      <c r="O1202">
        <v>5.5700000000000003E-3</v>
      </c>
      <c r="P1202" s="3">
        <f t="shared" si="72"/>
        <v>1490.4309474369659</v>
      </c>
      <c r="Q1202" s="3">
        <f t="shared" si="73"/>
        <v>-5.8222712802944443E-3</v>
      </c>
      <c r="R1202" s="3">
        <f t="shared" si="74"/>
        <v>5.4400000000000004E-3</v>
      </c>
      <c r="S1202">
        <f t="shared" si="75"/>
        <v>26</v>
      </c>
      <c r="T1202">
        <f>INDEX([1]IDEN_level_ids!$B:$B,MATCH(G1202,[1]IDEN_level_ids!$A:$A,0),1)</f>
        <v>1218</v>
      </c>
      <c r="U1202">
        <f>INDEX([1]IDEN_level_ids!$B:$B,MATCH(H1202,[1]IDEN_level_ids!$A:$A,0),1)</f>
        <v>934</v>
      </c>
    </row>
    <row r="1203" spans="1:21" hidden="1" x14ac:dyDescent="0.25">
      <c r="A1203">
        <v>67091.8416</v>
      </c>
      <c r="B1203">
        <v>1490.4942000000001</v>
      </c>
      <c r="C1203">
        <v>6</v>
      </c>
      <c r="D1203" t="s">
        <v>460</v>
      </c>
      <c r="F1203">
        <v>1969</v>
      </c>
      <c r="G1203" s="1" t="s">
        <v>462</v>
      </c>
      <c r="H1203" s="1" t="s">
        <v>399</v>
      </c>
      <c r="I1203">
        <v>-0.27239999999999998</v>
      </c>
      <c r="J1203">
        <v>67091.655199999994</v>
      </c>
      <c r="K1203">
        <v>-4.1399999999999996E-3</v>
      </c>
      <c r="L1203">
        <v>5.4400000000000004E-3</v>
      </c>
      <c r="M1203">
        <v>0.245</v>
      </c>
      <c r="N1203">
        <v>2.9700000000000001E-2</v>
      </c>
      <c r="O1203">
        <v>5.6100000000000004E-3</v>
      </c>
      <c r="P1203" s="3">
        <f t="shared" si="72"/>
        <v>1490.4941884916154</v>
      </c>
      <c r="Q1203" s="3">
        <f t="shared" si="73"/>
        <v>-4.141023438933189E-3</v>
      </c>
      <c r="R1203" s="3">
        <f t="shared" si="74"/>
        <v>5.4400000000000004E-3</v>
      </c>
      <c r="S1203">
        <f t="shared" si="75"/>
        <v>26</v>
      </c>
      <c r="T1203">
        <f>INDEX([1]IDEN_level_ids!$B:$B,MATCH(G1203,[1]IDEN_level_ids!$A:$A,0),1)</f>
        <v>1047</v>
      </c>
      <c r="U1203">
        <f>INDEX([1]IDEN_level_ids!$B:$B,MATCH(H1203,[1]IDEN_level_ids!$A:$A,0),1)</f>
        <v>467</v>
      </c>
    </row>
    <row r="1204" spans="1:21" hidden="1" x14ac:dyDescent="0.25">
      <c r="A1204">
        <v>67075.070399999997</v>
      </c>
      <c r="B1204">
        <v>1490.8669</v>
      </c>
      <c r="C1204">
        <v>6</v>
      </c>
      <c r="D1204" t="s">
        <v>460</v>
      </c>
      <c r="F1204">
        <v>1969</v>
      </c>
      <c r="G1204" s="1" t="s">
        <v>458</v>
      </c>
      <c r="H1204" s="1" t="s">
        <v>400</v>
      </c>
      <c r="I1204">
        <v>0</v>
      </c>
      <c r="J1204">
        <v>67075.138800000001</v>
      </c>
      <c r="K1204">
        <v>1.5200000000000001E-3</v>
      </c>
      <c r="L1204">
        <v>5.45E-3</v>
      </c>
      <c r="M1204">
        <v>0.245</v>
      </c>
      <c r="N1204">
        <v>2.2800000000000001E-2</v>
      </c>
      <c r="O1204">
        <v>5.5700000000000003E-3</v>
      </c>
      <c r="P1204" s="3">
        <f t="shared" si="72"/>
        <v>1490.8668660897895</v>
      </c>
      <c r="Q1204" s="3">
        <f t="shared" si="73"/>
        <v>1.5203143141206965E-3</v>
      </c>
      <c r="R1204" s="3">
        <f t="shared" si="74"/>
        <v>5.45E-3</v>
      </c>
      <c r="S1204">
        <f t="shared" si="75"/>
        <v>26</v>
      </c>
      <c r="T1204">
        <f>INDEX([1]IDEN_level_ids!$B:$B,MATCH(G1204,[1]IDEN_level_ids!$A:$A,0),1)</f>
        <v>1064</v>
      </c>
      <c r="U1204">
        <f>INDEX([1]IDEN_level_ids!$B:$B,MATCH(H1204,[1]IDEN_level_ids!$A:$A,0),1)</f>
        <v>503</v>
      </c>
    </row>
    <row r="1205" spans="1:21" hidden="1" x14ac:dyDescent="0.25">
      <c r="A1205">
        <v>67037.019899999999</v>
      </c>
      <c r="B1205">
        <v>1491.7130999999999</v>
      </c>
      <c r="C1205">
        <v>6</v>
      </c>
      <c r="D1205" t="s">
        <v>460</v>
      </c>
      <c r="E1205" t="s">
        <v>45</v>
      </c>
      <c r="F1205">
        <v>1969</v>
      </c>
      <c r="G1205" s="1" t="s">
        <v>118</v>
      </c>
      <c r="H1205" s="1" t="s">
        <v>432</v>
      </c>
      <c r="I1205">
        <v>0</v>
      </c>
      <c r="J1205">
        <v>67036.901700000002</v>
      </c>
      <c r="K1205">
        <v>-2.63E-3</v>
      </c>
      <c r="L1205">
        <v>1.073E-2</v>
      </c>
      <c r="M1205">
        <v>0.48199999999999998</v>
      </c>
      <c r="N1205">
        <v>1.01E-2</v>
      </c>
      <c r="O1205">
        <v>1.0840000000000001E-2</v>
      </c>
      <c r="P1205" s="3">
        <f t="shared" si="72"/>
        <v>1491.7130885169315</v>
      </c>
      <c r="Q1205" s="3">
        <f t="shared" si="73"/>
        <v>-2.6302004207536811E-3</v>
      </c>
      <c r="R1205" s="3">
        <f t="shared" si="74"/>
        <v>1.073E-2</v>
      </c>
      <c r="S1205">
        <f t="shared" si="75"/>
        <v>26</v>
      </c>
      <c r="T1205">
        <f>INDEX([1]IDEN_level_ids!$B:$B,MATCH(G1205,[1]IDEN_level_ids!$A:$A,0),1)</f>
        <v>1237</v>
      </c>
      <c r="U1205">
        <f>INDEX([1]IDEN_level_ids!$B:$B,MATCH(H1205,[1]IDEN_level_ids!$A:$A,0),1)</f>
        <v>954</v>
      </c>
    </row>
    <row r="1206" spans="1:21" hidden="1" x14ac:dyDescent="0.25">
      <c r="A1206">
        <v>67031.771999999997</v>
      </c>
      <c r="B1206">
        <v>1491.8299</v>
      </c>
      <c r="C1206">
        <v>6</v>
      </c>
      <c r="D1206" t="s">
        <v>460</v>
      </c>
      <c r="F1206">
        <v>1969</v>
      </c>
      <c r="G1206" s="1" t="s">
        <v>216</v>
      </c>
      <c r="H1206" s="1" t="s">
        <v>343</v>
      </c>
      <c r="I1206">
        <v>0</v>
      </c>
      <c r="J1206">
        <v>67031.881200000003</v>
      </c>
      <c r="K1206">
        <v>2.4299999999999999E-3</v>
      </c>
      <c r="L1206">
        <v>5.45E-3</v>
      </c>
      <c r="M1206">
        <v>0.245</v>
      </c>
      <c r="N1206">
        <v>5.1799999999999999E-2</v>
      </c>
      <c r="O1206">
        <v>5.7499999999999999E-3</v>
      </c>
      <c r="P1206" s="3">
        <f t="shared" si="72"/>
        <v>1491.8298743467501</v>
      </c>
      <c r="Q1206" s="3">
        <f t="shared" si="73"/>
        <v>2.4303036013861856E-3</v>
      </c>
      <c r="R1206" s="3">
        <f t="shared" si="74"/>
        <v>5.45E-3</v>
      </c>
      <c r="S1206">
        <f t="shared" si="75"/>
        <v>26</v>
      </c>
      <c r="T1206">
        <f>INDEX([1]IDEN_level_ids!$B:$B,MATCH(G1206,[1]IDEN_level_ids!$A:$A,0),1)</f>
        <v>1170</v>
      </c>
      <c r="U1206">
        <f>INDEX([1]IDEN_level_ids!$B:$B,MATCH(H1206,[1]IDEN_level_ids!$A:$A,0),1)</f>
        <v>912</v>
      </c>
    </row>
    <row r="1207" spans="1:21" hidden="1" x14ac:dyDescent="0.25">
      <c r="A1207">
        <v>67008.316399999996</v>
      </c>
      <c r="B1207">
        <v>1492.3521000000001</v>
      </c>
      <c r="C1207">
        <v>6</v>
      </c>
      <c r="D1207" t="s">
        <v>460</v>
      </c>
      <c r="E1207" t="s">
        <v>427</v>
      </c>
      <c r="F1207">
        <v>1969</v>
      </c>
      <c r="G1207" s="1" t="s">
        <v>24</v>
      </c>
      <c r="H1207" s="1" t="s">
        <v>474</v>
      </c>
      <c r="I1207">
        <v>0.1988</v>
      </c>
      <c r="J1207">
        <v>67008.694600000003</v>
      </c>
      <c r="K1207">
        <v>8.4200000000000004E-3</v>
      </c>
      <c r="L1207">
        <v>8.3700000000000007E-3</v>
      </c>
      <c r="M1207">
        <v>0.37580000000000002</v>
      </c>
      <c r="N1207">
        <v>1.52E-2</v>
      </c>
      <c r="O1207">
        <v>8.5000000000000006E-3</v>
      </c>
      <c r="P1207" s="3">
        <f t="shared" si="72"/>
        <v>1492.3520746747192</v>
      </c>
      <c r="Q1207" s="3">
        <f t="shared" si="73"/>
        <v>8.4229003120981361E-3</v>
      </c>
      <c r="R1207" s="3">
        <f t="shared" si="74"/>
        <v>8.3700000000000007E-3</v>
      </c>
      <c r="S1207">
        <f t="shared" si="75"/>
        <v>26</v>
      </c>
      <c r="T1207">
        <f>INDEX([1]IDEN_level_ids!$B:$B,MATCH(G1207,[1]IDEN_level_ids!$A:$A,0),1)</f>
        <v>1241</v>
      </c>
      <c r="U1207">
        <f>INDEX([1]IDEN_level_ids!$B:$B,MATCH(H1207,[1]IDEN_level_ids!$A:$A,0),1)</f>
        <v>959</v>
      </c>
    </row>
    <row r="1208" spans="1:21" hidden="1" x14ac:dyDescent="0.25">
      <c r="A1208">
        <v>66984.891300000003</v>
      </c>
      <c r="B1208">
        <v>1492.874</v>
      </c>
      <c r="C1208">
        <v>6</v>
      </c>
      <c r="D1208" t="s">
        <v>460</v>
      </c>
      <c r="F1208">
        <v>1969</v>
      </c>
      <c r="G1208" s="1" t="s">
        <v>466</v>
      </c>
      <c r="H1208" s="1" t="s">
        <v>403</v>
      </c>
      <c r="I1208">
        <v>-0.28410000000000002</v>
      </c>
      <c r="J1208">
        <v>66984.816800000001</v>
      </c>
      <c r="K1208">
        <v>-1.66E-3</v>
      </c>
      <c r="L1208">
        <v>5.4599999999999996E-3</v>
      </c>
      <c r="M1208">
        <v>0.245</v>
      </c>
      <c r="N1208">
        <v>2.9000000000000001E-2</v>
      </c>
      <c r="O1208">
        <v>5.62E-3</v>
      </c>
      <c r="P1208" s="3">
        <f t="shared" si="72"/>
        <v>1492.8739609673742</v>
      </c>
      <c r="Q1208" s="3">
        <f t="shared" si="73"/>
        <v>-1.6603629808287224E-3</v>
      </c>
      <c r="R1208" s="3">
        <f t="shared" si="74"/>
        <v>5.4599999999999996E-3</v>
      </c>
      <c r="S1208">
        <f t="shared" si="75"/>
        <v>26</v>
      </c>
      <c r="T1208">
        <f>INDEX([1]IDEN_level_ids!$B:$B,MATCH(G1208,[1]IDEN_level_ids!$A:$A,0),1)</f>
        <v>1061</v>
      </c>
      <c r="U1208">
        <f>INDEX([1]IDEN_level_ids!$B:$B,MATCH(H1208,[1]IDEN_level_ids!$A:$A,0),1)</f>
        <v>505</v>
      </c>
    </row>
    <row r="1209" spans="1:21" hidden="1" x14ac:dyDescent="0.25">
      <c r="A1209">
        <v>66981.428899999999</v>
      </c>
      <c r="B1209">
        <v>1492.9511</v>
      </c>
      <c r="C1209">
        <v>6</v>
      </c>
      <c r="D1209" t="s">
        <v>460</v>
      </c>
      <c r="F1209">
        <v>1969</v>
      </c>
      <c r="G1209" s="1" t="s">
        <v>243</v>
      </c>
      <c r="H1209" s="1" t="s">
        <v>457</v>
      </c>
      <c r="I1209">
        <v>0</v>
      </c>
      <c r="J1209">
        <v>66981.354800000001</v>
      </c>
      <c r="K1209">
        <v>-1.65E-3</v>
      </c>
      <c r="L1209">
        <v>5.4599999999999996E-3</v>
      </c>
      <c r="M1209">
        <v>0.245</v>
      </c>
      <c r="N1209">
        <v>0.16700000000000001</v>
      </c>
      <c r="O1209">
        <v>6.5500000000000003E-3</v>
      </c>
      <c r="P1209" s="3">
        <f t="shared" si="72"/>
        <v>1492.9511305185072</v>
      </c>
      <c r="Q1209" s="3">
        <f t="shared" si="73"/>
        <v>-1.6516190078164072E-3</v>
      </c>
      <c r="R1209" s="3">
        <f t="shared" si="74"/>
        <v>5.4599999999999996E-3</v>
      </c>
      <c r="S1209">
        <f t="shared" si="75"/>
        <v>26</v>
      </c>
      <c r="T1209">
        <f>INDEX([1]IDEN_level_ids!$B:$B,MATCH(G1209,[1]IDEN_level_ids!$A:$A,0),1)</f>
        <v>1205</v>
      </c>
      <c r="U1209">
        <f>INDEX([1]IDEN_level_ids!$B:$B,MATCH(H1209,[1]IDEN_level_ids!$A:$A,0),1)</f>
        <v>924</v>
      </c>
    </row>
    <row r="1210" spans="1:21" hidden="1" x14ac:dyDescent="0.25">
      <c r="A1210">
        <v>66952.781900000002</v>
      </c>
      <c r="B1210">
        <v>1493.5898999999999</v>
      </c>
      <c r="C1210">
        <v>6</v>
      </c>
      <c r="D1210" t="s">
        <v>460</v>
      </c>
      <c r="F1210">
        <v>1969</v>
      </c>
      <c r="G1210" s="1" t="s">
        <v>475</v>
      </c>
      <c r="H1210" s="1" t="s">
        <v>402</v>
      </c>
      <c r="I1210">
        <v>-0.13919999999999999</v>
      </c>
      <c r="J1210">
        <v>66952.707999999999</v>
      </c>
      <c r="K1210">
        <v>-1.65E-3</v>
      </c>
      <c r="L1210">
        <v>5.47E-3</v>
      </c>
      <c r="M1210">
        <v>0.245</v>
      </c>
      <c r="N1210">
        <v>0.17130000000000001</v>
      </c>
      <c r="O1210">
        <v>6.5900000000000004E-3</v>
      </c>
      <c r="P1210" s="3">
        <f t="shared" si="72"/>
        <v>1493.5899175833947</v>
      </c>
      <c r="Q1210" s="3">
        <f t="shared" si="73"/>
        <v>-1.6485710318647762E-3</v>
      </c>
      <c r="R1210" s="3">
        <f t="shared" si="74"/>
        <v>5.47E-3</v>
      </c>
      <c r="S1210">
        <f t="shared" si="75"/>
        <v>26</v>
      </c>
      <c r="T1210">
        <f>INDEX([1]IDEN_level_ids!$B:$B,MATCH(G1210,[1]IDEN_level_ids!$A:$A,0),1)</f>
        <v>1030</v>
      </c>
      <c r="U1210">
        <f>INDEX([1]IDEN_level_ids!$B:$B,MATCH(H1210,[1]IDEN_level_ids!$A:$A,0),1)</f>
        <v>383</v>
      </c>
    </row>
    <row r="1211" spans="1:21" hidden="1" x14ac:dyDescent="0.25">
      <c r="A1211">
        <v>66900.961500000005</v>
      </c>
      <c r="B1211">
        <v>1494.7467999999999</v>
      </c>
      <c r="C1211">
        <v>6</v>
      </c>
      <c r="D1211" t="s">
        <v>460</v>
      </c>
      <c r="F1211">
        <v>1969</v>
      </c>
      <c r="G1211" s="1" t="s">
        <v>467</v>
      </c>
      <c r="H1211" s="1" t="s">
        <v>402</v>
      </c>
      <c r="I1211">
        <v>0</v>
      </c>
      <c r="J1211">
        <v>66900.904800000004</v>
      </c>
      <c r="K1211">
        <v>-1.2700000000000001E-3</v>
      </c>
      <c r="L1211">
        <v>5.47E-3</v>
      </c>
      <c r="M1211">
        <v>0.245</v>
      </c>
      <c r="N1211">
        <v>0.1716</v>
      </c>
      <c r="O1211">
        <v>6.6100000000000004E-3</v>
      </c>
      <c r="P1211" s="3">
        <f t="shared" si="72"/>
        <v>1494.7468281154672</v>
      </c>
      <c r="Q1211" s="3">
        <f t="shared" si="73"/>
        <v>-1.266831075099617E-3</v>
      </c>
      <c r="R1211" s="3">
        <f t="shared" si="74"/>
        <v>5.47E-3</v>
      </c>
      <c r="S1211">
        <f t="shared" si="75"/>
        <v>26</v>
      </c>
      <c r="T1211">
        <f>INDEX([1]IDEN_level_ids!$B:$B,MATCH(G1211,[1]IDEN_level_ids!$A:$A,0),1)</f>
        <v>1025</v>
      </c>
      <c r="U1211">
        <f>INDEX([1]IDEN_level_ids!$B:$B,MATCH(H1211,[1]IDEN_level_ids!$A:$A,0),1)</f>
        <v>383</v>
      </c>
    </row>
    <row r="1212" spans="1:21" hidden="1" x14ac:dyDescent="0.25">
      <c r="A1212">
        <v>66867.000199999995</v>
      </c>
      <c r="B1212">
        <v>1495.5060000000001</v>
      </c>
      <c r="C1212">
        <v>6</v>
      </c>
      <c r="D1212" t="s">
        <v>460</v>
      </c>
      <c r="F1212">
        <v>1969</v>
      </c>
      <c r="G1212" s="1" t="s">
        <v>81</v>
      </c>
      <c r="H1212" s="1" t="s">
        <v>412</v>
      </c>
      <c r="I1212">
        <v>0</v>
      </c>
      <c r="J1212">
        <v>66867.013300000006</v>
      </c>
      <c r="K1212">
        <v>2.9E-4</v>
      </c>
      <c r="L1212">
        <v>5.4799999999999996E-3</v>
      </c>
      <c r="M1212">
        <v>0.245</v>
      </c>
      <c r="N1212">
        <v>0.1124</v>
      </c>
      <c r="O1212">
        <v>6.1700000000000001E-3</v>
      </c>
      <c r="P1212" s="3">
        <f t="shared" si="72"/>
        <v>1495.5059999835316</v>
      </c>
      <c r="Q1212" s="3">
        <f t="shared" si="73"/>
        <v>2.9298644653863448E-4</v>
      </c>
      <c r="R1212" s="3">
        <f t="shared" si="74"/>
        <v>5.4799999999999996E-3</v>
      </c>
      <c r="S1212">
        <f t="shared" si="75"/>
        <v>26</v>
      </c>
      <c r="T1212">
        <f>INDEX([1]IDEN_level_ids!$B:$B,MATCH(G1212,[1]IDEN_level_ids!$A:$A,0),1)</f>
        <v>1196</v>
      </c>
      <c r="U1212">
        <f>INDEX([1]IDEN_level_ids!$B:$B,MATCH(H1212,[1]IDEN_level_ids!$A:$A,0),1)</f>
        <v>923</v>
      </c>
    </row>
    <row r="1213" spans="1:21" hidden="1" x14ac:dyDescent="0.25">
      <c r="A1213">
        <v>66865.172500000001</v>
      </c>
      <c r="B1213">
        <v>1495.5469000000001</v>
      </c>
      <c r="C1213">
        <v>6</v>
      </c>
      <c r="D1213" t="s">
        <v>460</v>
      </c>
      <c r="F1213">
        <v>1969</v>
      </c>
      <c r="G1213" s="1" t="s">
        <v>398</v>
      </c>
      <c r="H1213" s="1" t="s">
        <v>406</v>
      </c>
      <c r="I1213">
        <v>-0.2341</v>
      </c>
      <c r="J1213">
        <v>66865.168699999995</v>
      </c>
      <c r="K1213">
        <v>-9.0000000000000006E-5</v>
      </c>
      <c r="L1213">
        <v>5.4799999999999996E-3</v>
      </c>
      <c r="M1213">
        <v>0.245</v>
      </c>
      <c r="N1213">
        <v>3.44E-2</v>
      </c>
      <c r="O1213">
        <v>5.6699999999999997E-3</v>
      </c>
      <c r="P1213" s="3">
        <f t="shared" si="72"/>
        <v>1495.5468783094816</v>
      </c>
      <c r="Q1213" s="3">
        <f t="shared" si="73"/>
        <v>-8.4993102746011573E-5</v>
      </c>
      <c r="R1213" s="3">
        <f t="shared" si="74"/>
        <v>5.4799999999999996E-3</v>
      </c>
      <c r="S1213">
        <f t="shared" si="75"/>
        <v>26</v>
      </c>
      <c r="T1213">
        <f>INDEX([1]IDEN_level_ids!$B:$B,MATCH(G1213,[1]IDEN_level_ids!$A:$A,0),1)</f>
        <v>1075</v>
      </c>
      <c r="U1213">
        <f>INDEX([1]IDEN_level_ids!$B:$B,MATCH(H1213,[1]IDEN_level_ids!$A:$A,0),1)</f>
        <v>527</v>
      </c>
    </row>
    <row r="1214" spans="1:21" hidden="1" x14ac:dyDescent="0.25">
      <c r="A1214">
        <v>66833.887499999997</v>
      </c>
      <c r="B1214">
        <v>1496.2469000000001</v>
      </c>
      <c r="C1214">
        <v>6</v>
      </c>
      <c r="D1214" t="s">
        <v>460</v>
      </c>
      <c r="F1214">
        <v>1969</v>
      </c>
      <c r="G1214" s="1" t="s">
        <v>476</v>
      </c>
      <c r="H1214" s="1" t="s">
        <v>414</v>
      </c>
      <c r="I1214">
        <v>0</v>
      </c>
      <c r="J1214">
        <v>66833.936000000002</v>
      </c>
      <c r="K1214">
        <v>1.08E-3</v>
      </c>
      <c r="L1214">
        <v>5.4799999999999996E-3</v>
      </c>
      <c r="M1214">
        <v>0.245</v>
      </c>
      <c r="N1214">
        <v>0.27100000000000002</v>
      </c>
      <c r="O1214">
        <v>7.5199999999999998E-3</v>
      </c>
      <c r="P1214" s="3">
        <f t="shared" si="72"/>
        <v>1496.2469450845576</v>
      </c>
      <c r="Q1214" s="3">
        <f t="shared" si="73"/>
        <v>1.0857953486720362E-3</v>
      </c>
      <c r="R1214" s="3">
        <f t="shared" si="74"/>
        <v>5.4799999999999996E-3</v>
      </c>
      <c r="S1214">
        <f t="shared" si="75"/>
        <v>26</v>
      </c>
      <c r="T1214">
        <f>INDEX([1]IDEN_level_ids!$B:$B,MATCH(G1214,[1]IDEN_level_ids!$A:$A,0),1)</f>
        <v>1037</v>
      </c>
      <c r="U1214">
        <f>INDEX([1]IDEN_level_ids!$B:$B,MATCH(H1214,[1]IDEN_level_ids!$A:$A,0),1)</f>
        <v>441</v>
      </c>
    </row>
    <row r="1215" spans="1:21" hidden="1" x14ac:dyDescent="0.25">
      <c r="A1215">
        <v>66807.807799999995</v>
      </c>
      <c r="B1215">
        <v>1496.8309999999999</v>
      </c>
      <c r="C1215">
        <v>6</v>
      </c>
      <c r="D1215" t="s">
        <v>460</v>
      </c>
      <c r="F1215">
        <v>1969</v>
      </c>
      <c r="G1215" s="1" t="s">
        <v>377</v>
      </c>
      <c r="H1215" s="1" t="s">
        <v>390</v>
      </c>
      <c r="I1215">
        <v>-0.2485</v>
      </c>
      <c r="J1215">
        <v>66807.963099999994</v>
      </c>
      <c r="K1215">
        <v>3.48E-3</v>
      </c>
      <c r="L1215">
        <v>5.4900000000000001E-3</v>
      </c>
      <c r="M1215">
        <v>0.245</v>
      </c>
      <c r="N1215">
        <v>5.4300000000000001E-2</v>
      </c>
      <c r="O1215">
        <v>5.7999999999999996E-3</v>
      </c>
      <c r="P1215" s="3">
        <f t="shared" si="72"/>
        <v>1496.8310335726958</v>
      </c>
      <c r="Q1215" s="3">
        <f t="shared" si="73"/>
        <v>3.4794932928434719E-3</v>
      </c>
      <c r="R1215" s="3">
        <f t="shared" si="74"/>
        <v>5.4900000000000001E-3</v>
      </c>
      <c r="S1215">
        <f t="shared" si="75"/>
        <v>26</v>
      </c>
      <c r="T1215">
        <f>INDEX([1]IDEN_level_ids!$B:$B,MATCH(G1215,[1]IDEN_level_ids!$A:$A,0),1)</f>
        <v>1057</v>
      </c>
      <c r="U1215">
        <f>INDEX([1]IDEN_level_ids!$B:$B,MATCH(H1215,[1]IDEN_level_ids!$A:$A,0),1)</f>
        <v>499</v>
      </c>
    </row>
    <row r="1216" spans="1:21" hidden="1" x14ac:dyDescent="0.25">
      <c r="A1216">
        <v>66784.569699999993</v>
      </c>
      <c r="B1216">
        <v>1497.3518999999999</v>
      </c>
      <c r="C1216">
        <v>6</v>
      </c>
      <c r="D1216" t="s">
        <v>460</v>
      </c>
      <c r="F1216">
        <v>1969</v>
      </c>
      <c r="G1216" s="1" t="s">
        <v>197</v>
      </c>
      <c r="H1216" s="1" t="s">
        <v>357</v>
      </c>
      <c r="I1216">
        <v>0</v>
      </c>
      <c r="J1216">
        <v>66784.609400000001</v>
      </c>
      <c r="K1216">
        <v>8.8999999999999995E-4</v>
      </c>
      <c r="L1216">
        <v>5.4900000000000001E-3</v>
      </c>
      <c r="M1216">
        <v>0.245</v>
      </c>
      <c r="N1216">
        <v>8.9899999999999994E-2</v>
      </c>
      <c r="O1216">
        <v>6.0400000000000002E-3</v>
      </c>
      <c r="P1216" s="3">
        <f t="shared" si="72"/>
        <v>1497.3518650970661</v>
      </c>
      <c r="Q1216" s="3">
        <f t="shared" si="73"/>
        <v>8.9009832640840614E-4</v>
      </c>
      <c r="R1216" s="3">
        <f t="shared" si="74"/>
        <v>5.4900000000000001E-3</v>
      </c>
      <c r="S1216">
        <f t="shared" si="75"/>
        <v>26</v>
      </c>
      <c r="T1216">
        <f>INDEX([1]IDEN_level_ids!$B:$B,MATCH(G1216,[1]IDEN_level_ids!$A:$A,0),1)</f>
        <v>1182</v>
      </c>
      <c r="U1216">
        <f>INDEX([1]IDEN_level_ids!$B:$B,MATCH(H1216,[1]IDEN_level_ids!$A:$A,0),1)</f>
        <v>916</v>
      </c>
    </row>
    <row r="1217" spans="1:21" hidden="1" x14ac:dyDescent="0.25">
      <c r="A1217">
        <v>66767.979900000006</v>
      </c>
      <c r="B1217">
        <v>1497.7239</v>
      </c>
      <c r="C1217">
        <v>6</v>
      </c>
      <c r="D1217" t="s">
        <v>460</v>
      </c>
      <c r="F1217">
        <v>1969</v>
      </c>
      <c r="G1217" s="1" t="s">
        <v>477</v>
      </c>
      <c r="H1217" s="1" t="s">
        <v>408</v>
      </c>
      <c r="I1217">
        <v>-0.2382</v>
      </c>
      <c r="J1217">
        <v>66767.965299999996</v>
      </c>
      <c r="K1217">
        <v>-3.3E-4</v>
      </c>
      <c r="L1217">
        <v>5.4999999999999997E-3</v>
      </c>
      <c r="M1217">
        <v>0.245</v>
      </c>
      <c r="N1217">
        <v>3.0700000000000002E-2</v>
      </c>
      <c r="O1217">
        <v>5.6699999999999997E-3</v>
      </c>
      <c r="P1217" s="3">
        <f t="shared" si="72"/>
        <v>1497.7239112187067</v>
      </c>
      <c r="Q1217" s="3">
        <f t="shared" si="73"/>
        <v>-3.2750390118962969E-4</v>
      </c>
      <c r="R1217" s="3">
        <f t="shared" si="74"/>
        <v>5.4999999999999997E-3</v>
      </c>
      <c r="S1217">
        <f t="shared" si="75"/>
        <v>26</v>
      </c>
      <c r="T1217">
        <f>INDEX([1]IDEN_level_ids!$B:$B,MATCH(G1217,[1]IDEN_level_ids!$A:$A,0),1)</f>
        <v>1045</v>
      </c>
      <c r="U1217">
        <f>INDEX([1]IDEN_level_ids!$B:$B,MATCH(H1217,[1]IDEN_level_ids!$A:$A,0),1)</f>
        <v>461</v>
      </c>
    </row>
    <row r="1218" spans="1:21" hidden="1" x14ac:dyDescent="0.25">
      <c r="A1218">
        <v>66736.696400000001</v>
      </c>
      <c r="B1218">
        <v>1498.4259999999999</v>
      </c>
      <c r="C1218">
        <v>6</v>
      </c>
      <c r="D1218" t="s">
        <v>460</v>
      </c>
      <c r="F1218">
        <v>1969</v>
      </c>
      <c r="G1218" s="1" t="s">
        <v>207</v>
      </c>
      <c r="H1218" s="1" t="s">
        <v>420</v>
      </c>
      <c r="I1218">
        <v>0</v>
      </c>
      <c r="J1218">
        <v>66736.642500000002</v>
      </c>
      <c r="K1218">
        <v>-1.2099999999999999E-3</v>
      </c>
      <c r="L1218">
        <v>5.4999999999999997E-3</v>
      </c>
      <c r="M1218">
        <v>0.245</v>
      </c>
      <c r="N1218">
        <v>0.12690000000000001</v>
      </c>
      <c r="O1218">
        <v>6.3E-3</v>
      </c>
      <c r="P1218" s="3">
        <f t="shared" ref="P1218:P1281" si="76">100000000/$A1218</f>
        <v>1498.4259844183716</v>
      </c>
      <c r="Q1218" s="3">
        <f t="shared" ref="Q1218:Q1281" si="77">100000000/($A1218)-100000000/$J1218</f>
        <v>-1.2102071295885253E-3</v>
      </c>
      <c r="R1218" s="3">
        <f t="shared" si="74"/>
        <v>5.4999999999999997E-3</v>
      </c>
      <c r="S1218">
        <f t="shared" si="75"/>
        <v>26</v>
      </c>
      <c r="T1218">
        <f>INDEX([1]IDEN_level_ids!$B:$B,MATCH(G1218,[1]IDEN_level_ids!$A:$A,0),1)</f>
        <v>1177</v>
      </c>
      <c r="U1218">
        <f>INDEX([1]IDEN_level_ids!$B:$B,MATCH(H1218,[1]IDEN_level_ids!$A:$A,0),1)</f>
        <v>914</v>
      </c>
    </row>
    <row r="1219" spans="1:21" hidden="1" x14ac:dyDescent="0.25">
      <c r="A1219">
        <v>66730.467399999994</v>
      </c>
      <c r="B1219">
        <v>1498.5659000000001</v>
      </c>
      <c r="C1219">
        <v>6</v>
      </c>
      <c r="D1219" t="s">
        <v>460</v>
      </c>
      <c r="F1219">
        <v>1969</v>
      </c>
      <c r="G1219" s="1" t="s">
        <v>461</v>
      </c>
      <c r="H1219" s="1" t="s">
        <v>411</v>
      </c>
      <c r="I1219">
        <v>-0.1797</v>
      </c>
      <c r="J1219">
        <v>66730.348199999993</v>
      </c>
      <c r="K1219">
        <v>-2.6800000000000001E-3</v>
      </c>
      <c r="L1219">
        <v>5.4999999999999997E-3</v>
      </c>
      <c r="M1219">
        <v>0.245</v>
      </c>
      <c r="N1219">
        <v>3.5799999999999998E-2</v>
      </c>
      <c r="O1219">
        <v>5.7099999999999998E-3</v>
      </c>
      <c r="P1219" s="3">
        <f t="shared" si="76"/>
        <v>1498.5658559915917</v>
      </c>
      <c r="Q1219" s="3">
        <f t="shared" si="77"/>
        <v>-2.6768787345190503E-3</v>
      </c>
      <c r="R1219" s="3">
        <f t="shared" ref="R1219:R1282" si="78">$L1219</f>
        <v>5.4999999999999997E-3</v>
      </c>
      <c r="S1219">
        <f t="shared" si="75"/>
        <v>26</v>
      </c>
      <c r="T1219">
        <f>INDEX([1]IDEN_level_ids!$B:$B,MATCH(G1219,[1]IDEN_level_ids!$A:$A,0),1)</f>
        <v>1017</v>
      </c>
      <c r="U1219">
        <f>INDEX([1]IDEN_level_ids!$B:$B,MATCH(H1219,[1]IDEN_level_ids!$A:$A,0),1)</f>
        <v>374</v>
      </c>
    </row>
    <row r="1220" spans="1:21" hidden="1" x14ac:dyDescent="0.25">
      <c r="A1220">
        <v>66677.510800000004</v>
      </c>
      <c r="B1220">
        <v>1499.7560000000001</v>
      </c>
      <c r="C1220">
        <v>6</v>
      </c>
      <c r="D1220" t="s">
        <v>460</v>
      </c>
      <c r="E1220" t="s">
        <v>427</v>
      </c>
      <c r="F1220">
        <v>1969</v>
      </c>
      <c r="G1220" s="1" t="s">
        <v>194</v>
      </c>
      <c r="H1220" s="1" t="s">
        <v>435</v>
      </c>
      <c r="I1220">
        <v>0</v>
      </c>
      <c r="J1220">
        <v>66677.482499999998</v>
      </c>
      <c r="K1220">
        <v>-6.3000000000000003E-4</v>
      </c>
      <c r="L1220">
        <v>8.4499999999999992E-3</v>
      </c>
      <c r="M1220">
        <v>0.37580000000000002</v>
      </c>
      <c r="N1220">
        <v>6.7199999999999996E-2</v>
      </c>
      <c r="O1220">
        <v>9.0600000000000003E-3</v>
      </c>
      <c r="P1220" s="3">
        <f t="shared" si="76"/>
        <v>1499.7560466819345</v>
      </c>
      <c r="Q1220" s="3">
        <f t="shared" si="77"/>
        <v>-6.3654317068539967E-4</v>
      </c>
      <c r="R1220" s="3">
        <f t="shared" si="78"/>
        <v>8.4499999999999992E-3</v>
      </c>
      <c r="S1220">
        <f t="shared" ref="S1220:S1283" si="79">IF(D1220=D1219,S1219,S1219+1)</f>
        <v>26</v>
      </c>
      <c r="T1220">
        <f>INDEX([1]IDEN_level_ids!$B:$B,MATCH(G1220,[1]IDEN_level_ids!$A:$A,0),1)</f>
        <v>1187</v>
      </c>
      <c r="U1220">
        <f>INDEX([1]IDEN_level_ids!$B:$B,MATCH(H1220,[1]IDEN_level_ids!$A:$A,0),1)</f>
        <v>917</v>
      </c>
    </row>
    <row r="1221" spans="1:21" hidden="1" x14ac:dyDescent="0.25">
      <c r="A1221">
        <v>66636.683399999994</v>
      </c>
      <c r="B1221">
        <v>1500.6749</v>
      </c>
      <c r="C1221">
        <v>6</v>
      </c>
      <c r="D1221" t="s">
        <v>478</v>
      </c>
      <c r="F1221">
        <v>1969</v>
      </c>
      <c r="G1221" s="1" t="s">
        <v>197</v>
      </c>
      <c r="H1221" s="1" t="s">
        <v>433</v>
      </c>
      <c r="I1221">
        <v>0</v>
      </c>
      <c r="J1221">
        <v>66636.681700000001</v>
      </c>
      <c r="K1221">
        <v>-4.0000000000000003E-5</v>
      </c>
      <c r="L1221">
        <v>5.5199999999999997E-3</v>
      </c>
      <c r="M1221">
        <v>0.245</v>
      </c>
      <c r="N1221">
        <v>6.6600000000000006E-2</v>
      </c>
      <c r="O1221">
        <v>5.9100000000000003E-3</v>
      </c>
      <c r="P1221" s="3">
        <f t="shared" si="76"/>
        <v>1500.6749270477649</v>
      </c>
      <c r="Q1221" s="3">
        <f t="shared" si="77"/>
        <v>-3.8284429820123478E-5</v>
      </c>
      <c r="R1221" s="3">
        <f t="shared" si="78"/>
        <v>5.5199999999999997E-3</v>
      </c>
      <c r="S1221">
        <f t="shared" si="79"/>
        <v>27</v>
      </c>
      <c r="T1221">
        <f>INDEX([1]IDEN_level_ids!$B:$B,MATCH(G1221,[1]IDEN_level_ids!$A:$A,0),1)</f>
        <v>1182</v>
      </c>
      <c r="U1221">
        <f>INDEX([1]IDEN_level_ids!$B:$B,MATCH(H1221,[1]IDEN_level_ids!$A:$A,0),1)</f>
        <v>918</v>
      </c>
    </row>
    <row r="1222" spans="1:21" hidden="1" x14ac:dyDescent="0.25">
      <c r="A1222">
        <v>66626.638600000006</v>
      </c>
      <c r="B1222">
        <v>1500.9012</v>
      </c>
      <c r="C1222">
        <v>6</v>
      </c>
      <c r="D1222" t="s">
        <v>478</v>
      </c>
      <c r="E1222" t="s">
        <v>427</v>
      </c>
      <c r="F1222">
        <v>1969</v>
      </c>
      <c r="G1222" s="1" t="s">
        <v>56</v>
      </c>
      <c r="H1222" s="1" t="s">
        <v>393</v>
      </c>
      <c r="I1222">
        <v>0</v>
      </c>
      <c r="J1222">
        <v>66626.952900000004</v>
      </c>
      <c r="K1222">
        <v>7.0800000000000004E-3</v>
      </c>
      <c r="L1222">
        <v>8.4700000000000001E-3</v>
      </c>
      <c r="M1222">
        <v>0.37580000000000002</v>
      </c>
      <c r="N1222">
        <v>2.5000000000000001E-2</v>
      </c>
      <c r="O1222">
        <v>8.6800000000000002E-3</v>
      </c>
      <c r="P1222" s="3">
        <f t="shared" si="76"/>
        <v>1500.9011725829432</v>
      </c>
      <c r="Q1222" s="3">
        <f t="shared" si="77"/>
        <v>7.0802163088501402E-3</v>
      </c>
      <c r="R1222" s="3">
        <f t="shared" si="78"/>
        <v>8.4700000000000001E-3</v>
      </c>
      <c r="S1222">
        <f t="shared" si="79"/>
        <v>27</v>
      </c>
      <c r="T1222">
        <f>INDEX([1]IDEN_level_ids!$B:$B,MATCH(G1222,[1]IDEN_level_ids!$A:$A,0),1)</f>
        <v>1221</v>
      </c>
      <c r="U1222">
        <f>INDEX([1]IDEN_level_ids!$B:$B,MATCH(H1222,[1]IDEN_level_ids!$A:$A,0),1)</f>
        <v>938</v>
      </c>
    </row>
    <row r="1223" spans="1:21" hidden="1" x14ac:dyDescent="0.25">
      <c r="A1223">
        <v>66619.846000000005</v>
      </c>
      <c r="B1223">
        <v>1501.0542</v>
      </c>
      <c r="C1223">
        <v>6</v>
      </c>
      <c r="D1223" t="s">
        <v>478</v>
      </c>
      <c r="F1223">
        <v>1969</v>
      </c>
      <c r="G1223" s="1" t="s">
        <v>239</v>
      </c>
      <c r="H1223" s="1" t="s">
        <v>360</v>
      </c>
      <c r="I1223">
        <v>0</v>
      </c>
      <c r="J1223">
        <v>66619.706699999995</v>
      </c>
      <c r="K1223">
        <v>-3.14E-3</v>
      </c>
      <c r="L1223">
        <v>5.5199999999999997E-3</v>
      </c>
      <c r="M1223">
        <v>0.245</v>
      </c>
      <c r="N1223">
        <v>7.7299999999999994E-2</v>
      </c>
      <c r="O1223">
        <v>5.9800000000000001E-3</v>
      </c>
      <c r="P1223" s="3">
        <f t="shared" si="76"/>
        <v>1501.0542053789795</v>
      </c>
      <c r="Q1223" s="3">
        <f t="shared" si="77"/>
        <v>-3.1386636355819064E-3</v>
      </c>
      <c r="R1223" s="3">
        <f t="shared" si="78"/>
        <v>5.5199999999999997E-3</v>
      </c>
      <c r="S1223">
        <f t="shared" si="79"/>
        <v>27</v>
      </c>
      <c r="T1223">
        <f>INDEX([1]IDEN_level_ids!$B:$B,MATCH(G1223,[1]IDEN_level_ids!$A:$A,0),1)</f>
        <v>1167</v>
      </c>
      <c r="U1223">
        <f>INDEX([1]IDEN_level_ids!$B:$B,MATCH(H1223,[1]IDEN_level_ids!$A:$A,0),1)</f>
        <v>911</v>
      </c>
    </row>
    <row r="1224" spans="1:21" hidden="1" x14ac:dyDescent="0.25">
      <c r="A1224">
        <v>66592.267300000007</v>
      </c>
      <c r="B1224">
        <v>1501.6759</v>
      </c>
      <c r="C1224">
        <v>6</v>
      </c>
      <c r="D1224" t="s">
        <v>478</v>
      </c>
      <c r="F1224">
        <v>1969</v>
      </c>
      <c r="G1224" s="1" t="s">
        <v>69</v>
      </c>
      <c r="H1224" s="1" t="s">
        <v>479</v>
      </c>
      <c r="I1224">
        <v>0</v>
      </c>
      <c r="J1224">
        <v>66592.379700000005</v>
      </c>
      <c r="K1224">
        <v>2.5300000000000001E-3</v>
      </c>
      <c r="L1224">
        <v>5.5199999999999997E-3</v>
      </c>
      <c r="M1224">
        <v>0.245</v>
      </c>
      <c r="N1224">
        <v>3.1600000000000003E-2</v>
      </c>
      <c r="O1224">
        <v>5.7000000000000002E-3</v>
      </c>
      <c r="P1224" s="3">
        <f t="shared" si="76"/>
        <v>1501.6758559893633</v>
      </c>
      <c r="Q1224" s="3">
        <f t="shared" si="77"/>
        <v>2.5346498648559646E-3</v>
      </c>
      <c r="R1224" s="3">
        <f t="shared" si="78"/>
        <v>5.5199999999999997E-3</v>
      </c>
      <c r="S1224">
        <f t="shared" si="79"/>
        <v>27</v>
      </c>
      <c r="T1224">
        <f>INDEX([1]IDEN_level_ids!$B:$B,MATCH(G1224,[1]IDEN_level_ids!$A:$A,0),1)</f>
        <v>1218</v>
      </c>
      <c r="U1224">
        <f>INDEX([1]IDEN_level_ids!$B:$B,MATCH(H1224,[1]IDEN_level_ids!$A:$A,0),1)</f>
        <v>939</v>
      </c>
    </row>
    <row r="1225" spans="1:21" hidden="1" x14ac:dyDescent="0.25">
      <c r="A1225">
        <v>66558.616599999994</v>
      </c>
      <c r="B1225">
        <v>1502.4350999999999</v>
      </c>
      <c r="C1225">
        <v>6</v>
      </c>
      <c r="D1225" t="s">
        <v>478</v>
      </c>
      <c r="F1225">
        <v>1969</v>
      </c>
      <c r="G1225" s="1" t="s">
        <v>55</v>
      </c>
      <c r="H1225" s="1" t="s">
        <v>471</v>
      </c>
      <c r="I1225">
        <v>0</v>
      </c>
      <c r="J1225">
        <v>66558.628599999996</v>
      </c>
      <c r="K1225">
        <v>2.7E-4</v>
      </c>
      <c r="L1225">
        <v>5.5300000000000002E-3</v>
      </c>
      <c r="M1225">
        <v>0.245</v>
      </c>
      <c r="N1225">
        <v>3.8100000000000002E-2</v>
      </c>
      <c r="O1225">
        <v>5.7499999999999999E-3</v>
      </c>
      <c r="P1225" s="3">
        <f t="shared" si="76"/>
        <v>1502.4350731472387</v>
      </c>
      <c r="Q1225" s="3">
        <f t="shared" si="77"/>
        <v>2.7087728926744603E-4</v>
      </c>
      <c r="R1225" s="3">
        <f t="shared" si="78"/>
        <v>5.5300000000000002E-3</v>
      </c>
      <c r="S1225">
        <f t="shared" si="79"/>
        <v>27</v>
      </c>
      <c r="T1225">
        <f>INDEX([1]IDEN_level_ids!$B:$B,MATCH(G1225,[1]IDEN_level_ids!$A:$A,0),1)</f>
        <v>1233</v>
      </c>
      <c r="U1225">
        <f>INDEX([1]IDEN_level_ids!$B:$B,MATCH(H1225,[1]IDEN_level_ids!$A:$A,0),1)</f>
        <v>955</v>
      </c>
    </row>
    <row r="1226" spans="1:21" hidden="1" x14ac:dyDescent="0.25">
      <c r="A1226">
        <v>66547.411500000002</v>
      </c>
      <c r="B1226">
        <v>1502.6881000000001</v>
      </c>
      <c r="C1226">
        <v>6</v>
      </c>
      <c r="D1226" t="s">
        <v>478</v>
      </c>
      <c r="F1226">
        <v>1969</v>
      </c>
      <c r="G1226" s="1" t="s">
        <v>407</v>
      </c>
      <c r="H1226" s="1" t="s">
        <v>406</v>
      </c>
      <c r="I1226">
        <v>-0.20150000000000001</v>
      </c>
      <c r="J1226">
        <v>66547.317200000005</v>
      </c>
      <c r="K1226">
        <v>-2.1299999999999999E-3</v>
      </c>
      <c r="L1226">
        <v>5.5300000000000002E-3</v>
      </c>
      <c r="M1226">
        <v>0.245</v>
      </c>
      <c r="N1226">
        <v>3.7999999999999999E-2</v>
      </c>
      <c r="O1226">
        <v>5.7499999999999999E-3</v>
      </c>
      <c r="P1226" s="3">
        <f t="shared" si="76"/>
        <v>1502.6880497072377</v>
      </c>
      <c r="Q1226" s="3">
        <f t="shared" si="77"/>
        <v>-2.1293643235367199E-3</v>
      </c>
      <c r="R1226" s="3">
        <f t="shared" si="78"/>
        <v>5.5300000000000002E-3</v>
      </c>
      <c r="S1226">
        <f t="shared" si="79"/>
        <v>27</v>
      </c>
      <c r="T1226">
        <f>INDEX([1]IDEN_level_ids!$B:$B,MATCH(G1226,[1]IDEN_level_ids!$A:$A,0),1)</f>
        <v>1073</v>
      </c>
      <c r="U1226">
        <f>INDEX([1]IDEN_level_ids!$B:$B,MATCH(H1226,[1]IDEN_level_ids!$A:$A,0),1)</f>
        <v>527</v>
      </c>
    </row>
    <row r="1227" spans="1:21" hidden="1" x14ac:dyDescent="0.25">
      <c r="A1227">
        <v>66535.066800000001</v>
      </c>
      <c r="B1227">
        <v>1502.9668999999999</v>
      </c>
      <c r="C1227">
        <v>6</v>
      </c>
      <c r="D1227" t="s">
        <v>478</v>
      </c>
      <c r="F1227">
        <v>1969</v>
      </c>
      <c r="G1227" s="1" t="s">
        <v>38</v>
      </c>
      <c r="H1227" s="1" t="s">
        <v>457</v>
      </c>
      <c r="I1227">
        <v>0</v>
      </c>
      <c r="J1227">
        <v>66534.857399999994</v>
      </c>
      <c r="K1227">
        <v>-4.7299999999999998E-3</v>
      </c>
      <c r="L1227">
        <v>5.5300000000000002E-3</v>
      </c>
      <c r="M1227">
        <v>0.245</v>
      </c>
      <c r="N1227">
        <v>0.16930000000000001</v>
      </c>
      <c r="O1227">
        <v>6.6600000000000001E-3</v>
      </c>
      <c r="P1227" s="3">
        <f t="shared" si="76"/>
        <v>1502.9668535629996</v>
      </c>
      <c r="Q1227" s="3">
        <f t="shared" si="77"/>
        <v>-4.7301710928877583E-3</v>
      </c>
      <c r="R1227" s="3">
        <f t="shared" si="78"/>
        <v>5.5300000000000002E-3</v>
      </c>
      <c r="S1227">
        <f t="shared" si="79"/>
        <v>27</v>
      </c>
      <c r="T1227">
        <f>INDEX([1]IDEN_level_ids!$B:$B,MATCH(G1227,[1]IDEN_level_ids!$A:$A,0),1)</f>
        <v>1201</v>
      </c>
      <c r="U1227">
        <f>INDEX([1]IDEN_level_ids!$B:$B,MATCH(H1227,[1]IDEN_level_ids!$A:$A,0),1)</f>
        <v>924</v>
      </c>
    </row>
    <row r="1228" spans="1:21" hidden="1" x14ac:dyDescent="0.25">
      <c r="A1228">
        <v>66514.92</v>
      </c>
      <c r="B1228">
        <v>1503.4221</v>
      </c>
      <c r="C1228">
        <v>6</v>
      </c>
      <c r="D1228" t="s">
        <v>478</v>
      </c>
      <c r="E1228" t="s">
        <v>52</v>
      </c>
      <c r="F1228">
        <v>1969</v>
      </c>
      <c r="G1228" s="1" t="s">
        <v>265</v>
      </c>
      <c r="H1228" s="1" t="s">
        <v>367</v>
      </c>
      <c r="I1228">
        <v>0</v>
      </c>
      <c r="J1228">
        <v>66514.921799999996</v>
      </c>
      <c r="K1228">
        <v>4.0000000000000003E-5</v>
      </c>
      <c r="L1228">
        <v>6.2399999999999999E-3</v>
      </c>
      <c r="M1228">
        <v>0.27600000000000002</v>
      </c>
      <c r="N1228">
        <v>7.2599999999999998E-2</v>
      </c>
      <c r="O1228">
        <v>6.7299999999999999E-3</v>
      </c>
      <c r="P1228" s="3">
        <f t="shared" si="76"/>
        <v>1503.4220893598008</v>
      </c>
      <c r="Q1228" s="3">
        <f t="shared" si="77"/>
        <v>4.0685002431928297E-5</v>
      </c>
      <c r="R1228" s="3">
        <f t="shared" si="78"/>
        <v>6.2399999999999999E-3</v>
      </c>
      <c r="S1228">
        <f t="shared" si="79"/>
        <v>27</v>
      </c>
      <c r="T1228">
        <f>INDEX([1]IDEN_level_ids!$B:$B,MATCH(G1228,[1]IDEN_level_ids!$A:$A,0),1)</f>
        <v>1161</v>
      </c>
      <c r="U1228">
        <f>INDEX([1]IDEN_level_ids!$B:$B,MATCH(H1228,[1]IDEN_level_ids!$A:$A,0),1)</f>
        <v>907</v>
      </c>
    </row>
    <row r="1229" spans="1:21" hidden="1" x14ac:dyDescent="0.25">
      <c r="A1229">
        <v>66506.733600000007</v>
      </c>
      <c r="B1229">
        <v>1503.6070999999999</v>
      </c>
      <c r="C1229">
        <v>6</v>
      </c>
      <c r="D1229" t="s">
        <v>478</v>
      </c>
      <c r="F1229">
        <v>1969</v>
      </c>
      <c r="G1229" s="1" t="s">
        <v>239</v>
      </c>
      <c r="H1229" s="1" t="s">
        <v>343</v>
      </c>
      <c r="I1229">
        <v>0</v>
      </c>
      <c r="J1229">
        <v>66506.656600000002</v>
      </c>
      <c r="K1229">
        <v>-1.74E-3</v>
      </c>
      <c r="L1229">
        <v>5.5399999999999998E-3</v>
      </c>
      <c r="M1229">
        <v>0.245</v>
      </c>
      <c r="N1229">
        <v>5.8900000000000001E-2</v>
      </c>
      <c r="O1229">
        <v>5.8900000000000003E-3</v>
      </c>
      <c r="P1229" s="3">
        <f t="shared" si="76"/>
        <v>1503.6071475325018</v>
      </c>
      <c r="Q1229" s="3">
        <f t="shared" si="77"/>
        <v>-1.740844545111031E-3</v>
      </c>
      <c r="R1229" s="3">
        <f t="shared" si="78"/>
        <v>5.5399999999999998E-3</v>
      </c>
      <c r="S1229">
        <f t="shared" si="79"/>
        <v>27</v>
      </c>
      <c r="T1229">
        <f>INDEX([1]IDEN_level_ids!$B:$B,MATCH(G1229,[1]IDEN_level_ids!$A:$A,0),1)</f>
        <v>1167</v>
      </c>
      <c r="U1229">
        <f>INDEX([1]IDEN_level_ids!$B:$B,MATCH(H1229,[1]IDEN_level_ids!$A:$A,0),1)</f>
        <v>912</v>
      </c>
    </row>
    <row r="1230" spans="1:21" hidden="1" x14ac:dyDescent="0.25">
      <c r="A1230">
        <v>66485.566500000001</v>
      </c>
      <c r="B1230">
        <v>1504.0859</v>
      </c>
      <c r="C1230">
        <v>6</v>
      </c>
      <c r="D1230" t="s">
        <v>478</v>
      </c>
      <c r="F1230">
        <v>1969</v>
      </c>
      <c r="G1230" s="1" t="s">
        <v>100</v>
      </c>
      <c r="H1230" s="1" t="s">
        <v>359</v>
      </c>
      <c r="I1230">
        <v>0</v>
      </c>
      <c r="J1230">
        <v>66485.589900000006</v>
      </c>
      <c r="K1230">
        <v>5.2999999999999998E-4</v>
      </c>
      <c r="L1230">
        <v>5.5399999999999998E-3</v>
      </c>
      <c r="M1230">
        <v>0.245</v>
      </c>
      <c r="N1230">
        <v>0.12770000000000001</v>
      </c>
      <c r="O1230">
        <v>6.3499999999999997E-3</v>
      </c>
      <c r="P1230" s="3">
        <f t="shared" si="76"/>
        <v>1504.0858529798343</v>
      </c>
      <c r="Q1230" s="3">
        <f t="shared" si="77"/>
        <v>5.2937198893232562E-4</v>
      </c>
      <c r="R1230" s="3">
        <f t="shared" si="78"/>
        <v>5.5399999999999998E-3</v>
      </c>
      <c r="S1230">
        <f t="shared" si="79"/>
        <v>27</v>
      </c>
      <c r="T1230">
        <f>INDEX([1]IDEN_level_ids!$B:$B,MATCH(G1230,[1]IDEN_level_ids!$A:$A,0),1)</f>
        <v>1146</v>
      </c>
      <c r="U1230">
        <f>INDEX([1]IDEN_level_ids!$B:$B,MATCH(H1230,[1]IDEN_level_ids!$A:$A,0),1)</f>
        <v>900</v>
      </c>
    </row>
    <row r="1231" spans="1:21" hidden="1" x14ac:dyDescent="0.25">
      <c r="A1231">
        <v>66477.4764</v>
      </c>
      <c r="B1231">
        <v>1504.2689</v>
      </c>
      <c r="C1231">
        <v>6</v>
      </c>
      <c r="D1231" t="s">
        <v>478</v>
      </c>
      <c r="F1231">
        <v>1969</v>
      </c>
      <c r="G1231" s="1" t="s">
        <v>480</v>
      </c>
      <c r="H1231" s="1" t="s">
        <v>373</v>
      </c>
      <c r="I1231">
        <v>0.15820000000000001</v>
      </c>
      <c r="J1231">
        <v>66477.109200000006</v>
      </c>
      <c r="K1231">
        <v>-8.3099999999999997E-3</v>
      </c>
      <c r="L1231">
        <v>5.5399999999999998E-3</v>
      </c>
      <c r="M1231">
        <v>0.245</v>
      </c>
      <c r="N1231">
        <v>0.13600000000000001</v>
      </c>
      <c r="O1231">
        <v>6.4200000000000004E-3</v>
      </c>
      <c r="P1231" s="3">
        <f t="shared" si="76"/>
        <v>1504.2688955021765</v>
      </c>
      <c r="Q1231" s="3">
        <f t="shared" si="77"/>
        <v>-8.309138966296814E-3</v>
      </c>
      <c r="R1231" s="3">
        <f t="shared" si="78"/>
        <v>5.5399999999999998E-3</v>
      </c>
      <c r="S1231">
        <f t="shared" si="79"/>
        <v>27</v>
      </c>
      <c r="T1231">
        <f>INDEX([1]IDEN_level_ids!$B:$B,MATCH(G1231,[1]IDEN_level_ids!$A:$A,0),1)</f>
        <v>1156</v>
      </c>
      <c r="U1231">
        <f>INDEX([1]IDEN_level_ids!$B:$B,MATCH(H1231,[1]IDEN_level_ids!$A:$A,0),1)</f>
        <v>906</v>
      </c>
    </row>
    <row r="1232" spans="1:21" hidden="1" x14ac:dyDescent="0.25">
      <c r="A1232">
        <v>66471.776100000003</v>
      </c>
      <c r="B1232">
        <v>1504.3978999999999</v>
      </c>
      <c r="C1232">
        <v>6</v>
      </c>
      <c r="D1232" t="s">
        <v>478</v>
      </c>
      <c r="E1232" t="s">
        <v>66</v>
      </c>
      <c r="F1232">
        <v>1969</v>
      </c>
      <c r="G1232" s="1" t="s">
        <v>329</v>
      </c>
      <c r="H1232" s="1" t="s">
        <v>430</v>
      </c>
      <c r="I1232">
        <v>0.2006</v>
      </c>
      <c r="J1232">
        <v>66472.337599999999</v>
      </c>
      <c r="K1232">
        <v>1.2710000000000001E-2</v>
      </c>
      <c r="L1232">
        <v>1.453E-2</v>
      </c>
      <c r="M1232">
        <v>0.64200000000000002</v>
      </c>
      <c r="N1232">
        <v>4.24E-2</v>
      </c>
      <c r="O1232">
        <v>1.5169999999999999E-2</v>
      </c>
      <c r="P1232" s="3">
        <f t="shared" si="76"/>
        <v>1504.3978943718942</v>
      </c>
      <c r="Q1232" s="3">
        <f t="shared" si="77"/>
        <v>1.2707833787544587E-2</v>
      </c>
      <c r="R1232" s="3">
        <f t="shared" si="78"/>
        <v>1.453E-2</v>
      </c>
      <c r="S1232">
        <f t="shared" si="79"/>
        <v>27</v>
      </c>
      <c r="T1232">
        <f>INDEX([1]IDEN_level_ids!$B:$B,MATCH(G1232,[1]IDEN_level_ids!$A:$A,0),1)</f>
        <v>1138</v>
      </c>
      <c r="U1232">
        <f>INDEX([1]IDEN_level_ids!$B:$B,MATCH(H1232,[1]IDEN_level_ids!$A:$A,0),1)</f>
        <v>897</v>
      </c>
    </row>
    <row r="1233" spans="1:21" hidden="1" x14ac:dyDescent="0.25">
      <c r="A1233">
        <v>66460.107199999999</v>
      </c>
      <c r="B1233">
        <v>1504.662</v>
      </c>
      <c r="C1233">
        <v>6</v>
      </c>
      <c r="D1233" t="s">
        <v>478</v>
      </c>
      <c r="F1233">
        <v>1969</v>
      </c>
      <c r="G1233" s="1" t="s">
        <v>481</v>
      </c>
      <c r="H1233" s="1" t="s">
        <v>411</v>
      </c>
      <c r="I1233">
        <v>0</v>
      </c>
      <c r="J1233">
        <v>66460.018599999996</v>
      </c>
      <c r="K1233">
        <v>-2.0100000000000001E-3</v>
      </c>
      <c r="L1233">
        <v>5.5500000000000002E-3</v>
      </c>
      <c r="M1233">
        <v>0.245</v>
      </c>
      <c r="N1233">
        <v>4.24E-2</v>
      </c>
      <c r="O1233">
        <v>5.79E-3</v>
      </c>
      <c r="P1233" s="3">
        <f t="shared" si="76"/>
        <v>1504.6620328051472</v>
      </c>
      <c r="Q1233" s="3">
        <f t="shared" si="77"/>
        <v>-2.0059136143117939E-3</v>
      </c>
      <c r="R1233" s="3">
        <f t="shared" si="78"/>
        <v>5.5500000000000002E-3</v>
      </c>
      <c r="S1233">
        <f t="shared" si="79"/>
        <v>27</v>
      </c>
      <c r="T1233">
        <f>INDEX([1]IDEN_level_ids!$B:$B,MATCH(G1233,[1]IDEN_level_ids!$A:$A,0),1)</f>
        <v>1016</v>
      </c>
      <c r="U1233">
        <f>INDEX([1]IDEN_level_ids!$B:$B,MATCH(H1233,[1]IDEN_level_ids!$A:$A,0),1)</f>
        <v>374</v>
      </c>
    </row>
    <row r="1234" spans="1:21" hidden="1" x14ac:dyDescent="0.25">
      <c r="A1234">
        <v>66454.770399999994</v>
      </c>
      <c r="B1234">
        <v>1504.7828999999999</v>
      </c>
      <c r="C1234">
        <v>6</v>
      </c>
      <c r="D1234" t="s">
        <v>478</v>
      </c>
      <c r="F1234">
        <v>1969</v>
      </c>
      <c r="G1234" s="1" t="s">
        <v>437</v>
      </c>
      <c r="H1234" s="1" t="s">
        <v>408</v>
      </c>
      <c r="I1234">
        <v>-0.193</v>
      </c>
      <c r="J1234">
        <v>66454.616099999999</v>
      </c>
      <c r="K1234">
        <v>-3.49E-3</v>
      </c>
      <c r="L1234">
        <v>5.5500000000000002E-3</v>
      </c>
      <c r="M1234">
        <v>0.245</v>
      </c>
      <c r="N1234">
        <v>3.3799999999999997E-2</v>
      </c>
      <c r="O1234">
        <v>5.7400000000000003E-3</v>
      </c>
      <c r="P1234" s="3">
        <f t="shared" si="76"/>
        <v>1504.7828680783466</v>
      </c>
      <c r="Q1234" s="3">
        <f t="shared" si="77"/>
        <v>-3.4939333061174693E-3</v>
      </c>
      <c r="R1234" s="3">
        <f t="shared" si="78"/>
        <v>5.5500000000000002E-3</v>
      </c>
      <c r="S1234">
        <f t="shared" si="79"/>
        <v>27</v>
      </c>
      <c r="T1234">
        <f>INDEX([1]IDEN_level_ids!$B:$B,MATCH(G1234,[1]IDEN_level_ids!$A:$A,0),1)</f>
        <v>1039</v>
      </c>
      <c r="U1234">
        <f>INDEX([1]IDEN_level_ids!$B:$B,MATCH(H1234,[1]IDEN_level_ids!$A:$A,0),1)</f>
        <v>461</v>
      </c>
    </row>
    <row r="1235" spans="1:21" hidden="1" x14ac:dyDescent="0.25">
      <c r="A1235">
        <v>66427.125499999995</v>
      </c>
      <c r="B1235">
        <v>1505.4091000000001</v>
      </c>
      <c r="C1235">
        <v>6</v>
      </c>
      <c r="D1235" t="s">
        <v>478</v>
      </c>
      <c r="F1235">
        <v>1969</v>
      </c>
      <c r="G1235" s="1" t="s">
        <v>141</v>
      </c>
      <c r="H1235" s="1" t="s">
        <v>338</v>
      </c>
      <c r="I1235">
        <v>0</v>
      </c>
      <c r="J1235">
        <v>66427.083100000003</v>
      </c>
      <c r="K1235">
        <v>-9.6000000000000002E-4</v>
      </c>
      <c r="L1235">
        <v>5.5500000000000002E-3</v>
      </c>
      <c r="M1235">
        <v>0.245</v>
      </c>
      <c r="N1235">
        <v>4.7399999999999998E-2</v>
      </c>
      <c r="O1235">
        <v>5.8300000000000001E-3</v>
      </c>
      <c r="P1235" s="3">
        <f t="shared" si="76"/>
        <v>1505.4091118243557</v>
      </c>
      <c r="Q1235" s="3">
        <f t="shared" si="77"/>
        <v>-9.6089340900107345E-4</v>
      </c>
      <c r="R1235" s="3">
        <f t="shared" si="78"/>
        <v>5.5500000000000002E-3</v>
      </c>
      <c r="S1235">
        <f t="shared" si="79"/>
        <v>27</v>
      </c>
      <c r="T1235">
        <f>INDEX([1]IDEN_level_ids!$B:$B,MATCH(G1235,[1]IDEN_level_ids!$A:$A,0),1)</f>
        <v>1155</v>
      </c>
      <c r="U1235">
        <f>INDEX([1]IDEN_level_ids!$B:$B,MATCH(H1235,[1]IDEN_level_ids!$A:$A,0),1)</f>
        <v>904</v>
      </c>
    </row>
    <row r="1236" spans="1:21" hidden="1" x14ac:dyDescent="0.25">
      <c r="A1236">
        <v>66411.023799999995</v>
      </c>
      <c r="B1236">
        <v>1505.7741000000001</v>
      </c>
      <c r="C1236">
        <v>6</v>
      </c>
      <c r="D1236" t="s">
        <v>478</v>
      </c>
      <c r="F1236">
        <v>1969</v>
      </c>
      <c r="G1236" s="1" t="s">
        <v>193</v>
      </c>
      <c r="H1236" s="1" t="s">
        <v>457</v>
      </c>
      <c r="I1236">
        <v>0</v>
      </c>
      <c r="J1236">
        <v>66410.928499999995</v>
      </c>
      <c r="K1236">
        <v>-2.16E-3</v>
      </c>
      <c r="L1236">
        <v>5.5500000000000002E-3</v>
      </c>
      <c r="M1236">
        <v>0.245</v>
      </c>
      <c r="N1236">
        <v>0.17169999999999999</v>
      </c>
      <c r="O1236">
        <v>6.7099999999999998E-3</v>
      </c>
      <c r="P1236" s="3">
        <f t="shared" si="76"/>
        <v>1505.7741061356746</v>
      </c>
      <c r="Q1236" s="3">
        <f t="shared" si="77"/>
        <v>-2.1607930434583977E-3</v>
      </c>
      <c r="R1236" s="3">
        <f t="shared" si="78"/>
        <v>5.5500000000000002E-3</v>
      </c>
      <c r="S1236">
        <f t="shared" si="79"/>
        <v>27</v>
      </c>
      <c r="T1236">
        <f>INDEX([1]IDEN_level_ids!$B:$B,MATCH(G1236,[1]IDEN_level_ids!$A:$A,0),1)</f>
        <v>1202</v>
      </c>
      <c r="U1236">
        <f>INDEX([1]IDEN_level_ids!$B:$B,MATCH(H1236,[1]IDEN_level_ids!$A:$A,0),1)</f>
        <v>924</v>
      </c>
    </row>
    <row r="1237" spans="1:21" hidden="1" x14ac:dyDescent="0.25">
      <c r="A1237">
        <v>66363.028200000001</v>
      </c>
      <c r="B1237">
        <v>1506.8631</v>
      </c>
      <c r="C1237">
        <v>6</v>
      </c>
      <c r="D1237" t="s">
        <v>478</v>
      </c>
      <c r="F1237">
        <v>1969</v>
      </c>
      <c r="G1237" s="1" t="s">
        <v>271</v>
      </c>
      <c r="H1237" s="1" t="s">
        <v>367</v>
      </c>
      <c r="I1237">
        <v>0</v>
      </c>
      <c r="J1237">
        <v>66363.106499999994</v>
      </c>
      <c r="K1237">
        <v>1.7799999999999999E-3</v>
      </c>
      <c r="L1237">
        <v>5.5599999999999998E-3</v>
      </c>
      <c r="M1237">
        <v>0.245</v>
      </c>
      <c r="N1237">
        <v>9.5100000000000004E-2</v>
      </c>
      <c r="O1237">
        <v>6.1500000000000001E-3</v>
      </c>
      <c r="P1237" s="3">
        <f t="shared" si="76"/>
        <v>1506.8631241272983</v>
      </c>
      <c r="Q1237" s="3">
        <f t="shared" si="77"/>
        <v>1.7779062618501484E-3</v>
      </c>
      <c r="R1237" s="3">
        <f t="shared" si="78"/>
        <v>5.5599999999999998E-3</v>
      </c>
      <c r="S1237">
        <f t="shared" si="79"/>
        <v>27</v>
      </c>
      <c r="T1237">
        <f>INDEX([1]IDEN_level_ids!$B:$B,MATCH(G1237,[1]IDEN_level_ids!$A:$A,0),1)</f>
        <v>1158</v>
      </c>
      <c r="U1237">
        <f>INDEX([1]IDEN_level_ids!$B:$B,MATCH(H1237,[1]IDEN_level_ids!$A:$A,0),1)</f>
        <v>907</v>
      </c>
    </row>
    <row r="1238" spans="1:21" hidden="1" x14ac:dyDescent="0.25">
      <c r="A1238">
        <v>66298.617499999993</v>
      </c>
      <c r="B1238">
        <v>1508.3271</v>
      </c>
      <c r="C1238">
        <v>6</v>
      </c>
      <c r="D1238" t="s">
        <v>478</v>
      </c>
      <c r="F1238">
        <v>1969</v>
      </c>
      <c r="G1238" s="1" t="s">
        <v>252</v>
      </c>
      <c r="H1238" s="1" t="s">
        <v>456</v>
      </c>
      <c r="I1238">
        <v>0</v>
      </c>
      <c r="J1238">
        <v>66298.642099999997</v>
      </c>
      <c r="K1238">
        <v>5.5999999999999995E-4</v>
      </c>
      <c r="L1238">
        <v>5.5700000000000003E-3</v>
      </c>
      <c r="M1238">
        <v>0.245</v>
      </c>
      <c r="N1238">
        <v>0.21049999999999999</v>
      </c>
      <c r="O1238">
        <v>7.0600000000000003E-3</v>
      </c>
      <c r="P1238" s="3">
        <f t="shared" si="76"/>
        <v>1508.3270778610129</v>
      </c>
      <c r="Q1238" s="3">
        <f t="shared" si="77"/>
        <v>5.5966223362702294E-4</v>
      </c>
      <c r="R1238" s="3">
        <f t="shared" si="78"/>
        <v>5.5700000000000003E-3</v>
      </c>
      <c r="S1238">
        <f t="shared" si="79"/>
        <v>27</v>
      </c>
      <c r="T1238">
        <f>INDEX([1]IDEN_level_ids!$B:$B,MATCH(G1238,[1]IDEN_level_ids!$A:$A,0),1)</f>
        <v>1188</v>
      </c>
      <c r="U1238">
        <f>INDEX([1]IDEN_level_ids!$B:$B,MATCH(H1238,[1]IDEN_level_ids!$A:$A,0),1)</f>
        <v>919</v>
      </c>
    </row>
    <row r="1239" spans="1:21" hidden="1" x14ac:dyDescent="0.25">
      <c r="A1239">
        <v>66274.894700000004</v>
      </c>
      <c r="B1239">
        <v>1508.867</v>
      </c>
      <c r="C1239">
        <v>6</v>
      </c>
      <c r="D1239" t="s">
        <v>478</v>
      </c>
      <c r="E1239" t="s">
        <v>427</v>
      </c>
      <c r="F1239">
        <v>1969</v>
      </c>
      <c r="G1239" s="1" t="s">
        <v>197</v>
      </c>
      <c r="H1239" s="1" t="s">
        <v>435</v>
      </c>
      <c r="I1239">
        <v>0</v>
      </c>
      <c r="J1239">
        <v>66275.135899999994</v>
      </c>
      <c r="K1239">
        <v>5.4900000000000001E-3</v>
      </c>
      <c r="L1239">
        <v>8.5599999999999999E-3</v>
      </c>
      <c r="M1239">
        <v>0.37580000000000002</v>
      </c>
      <c r="N1239">
        <v>7.0699999999999999E-2</v>
      </c>
      <c r="O1239">
        <v>9.2099999999999994E-3</v>
      </c>
      <c r="P1239" s="3">
        <f t="shared" si="76"/>
        <v>1508.8669767437593</v>
      </c>
      <c r="Q1239" s="3">
        <f t="shared" si="77"/>
        <v>5.4913310978008667E-3</v>
      </c>
      <c r="R1239" s="3">
        <f t="shared" si="78"/>
        <v>8.5599999999999999E-3</v>
      </c>
      <c r="S1239">
        <f t="shared" si="79"/>
        <v>27</v>
      </c>
      <c r="T1239">
        <f>INDEX([1]IDEN_level_ids!$B:$B,MATCH(G1239,[1]IDEN_level_ids!$A:$A,0),1)</f>
        <v>1182</v>
      </c>
      <c r="U1239">
        <f>INDEX([1]IDEN_level_ids!$B:$B,MATCH(H1239,[1]IDEN_level_ids!$A:$A,0),1)</f>
        <v>917</v>
      </c>
    </row>
    <row r="1240" spans="1:21" hidden="1" x14ac:dyDescent="0.25">
      <c r="A1240">
        <v>66262.238599999997</v>
      </c>
      <c r="B1240">
        <v>1509.1551999999999</v>
      </c>
      <c r="C1240">
        <v>6</v>
      </c>
      <c r="D1240" t="s">
        <v>478</v>
      </c>
      <c r="E1240" t="s">
        <v>52</v>
      </c>
      <c r="F1240">
        <v>1969</v>
      </c>
      <c r="G1240" s="1" t="s">
        <v>301</v>
      </c>
      <c r="H1240" s="1" t="s">
        <v>338</v>
      </c>
      <c r="I1240">
        <v>-0.71730000000000005</v>
      </c>
      <c r="J1240">
        <v>66262.945600000006</v>
      </c>
      <c r="K1240">
        <v>1.61E-2</v>
      </c>
      <c r="L1240">
        <v>6.2899999999999996E-3</v>
      </c>
      <c r="M1240">
        <v>0.27600000000000002</v>
      </c>
      <c r="N1240">
        <v>5.8099999999999999E-2</v>
      </c>
      <c r="O1240">
        <v>6.6699999999999997E-3</v>
      </c>
      <c r="P1240" s="3">
        <f t="shared" si="76"/>
        <v>1509.1551706193036</v>
      </c>
      <c r="Q1240" s="3">
        <f t="shared" si="77"/>
        <v>1.6102101951219083E-2</v>
      </c>
      <c r="R1240" s="3">
        <f t="shared" si="78"/>
        <v>6.2899999999999996E-3</v>
      </c>
      <c r="S1240">
        <f t="shared" si="79"/>
        <v>27</v>
      </c>
      <c r="T1240">
        <f>INDEX([1]IDEN_level_ids!$B:$B,MATCH(G1240,[1]IDEN_level_ids!$A:$A,0),1)</f>
        <v>1154</v>
      </c>
      <c r="U1240">
        <f>INDEX([1]IDEN_level_ids!$B:$B,MATCH(H1240,[1]IDEN_level_ids!$A:$A,0),1)</f>
        <v>904</v>
      </c>
    </row>
    <row r="1241" spans="1:21" hidden="1" x14ac:dyDescent="0.25">
      <c r="A1241">
        <v>66169.3318</v>
      </c>
      <c r="B1241">
        <v>1511.2741000000001</v>
      </c>
      <c r="C1241">
        <v>6</v>
      </c>
      <c r="D1241" t="s">
        <v>478</v>
      </c>
      <c r="F1241">
        <v>1969</v>
      </c>
      <c r="G1241" s="1" t="s">
        <v>33</v>
      </c>
      <c r="H1241" s="1" t="s">
        <v>389</v>
      </c>
      <c r="I1241">
        <v>0.23219999999999999</v>
      </c>
      <c r="J1241">
        <v>66169.094899999996</v>
      </c>
      <c r="K1241">
        <v>-5.4099999999999999E-3</v>
      </c>
      <c r="L1241">
        <v>5.5999999999999999E-3</v>
      </c>
      <c r="M1241">
        <v>0.245</v>
      </c>
      <c r="N1241">
        <v>3.9E-2</v>
      </c>
      <c r="O1241">
        <v>5.8199999999999997E-3</v>
      </c>
      <c r="P1241" s="3">
        <f t="shared" si="76"/>
        <v>1511.2741398425305</v>
      </c>
      <c r="Q1241" s="3">
        <f t="shared" si="77"/>
        <v>-5.4106957979911385E-3</v>
      </c>
      <c r="R1241" s="3">
        <f t="shared" si="78"/>
        <v>5.5999999999999999E-3</v>
      </c>
      <c r="S1241">
        <f t="shared" si="79"/>
        <v>27</v>
      </c>
      <c r="T1241">
        <f>INDEX([1]IDEN_level_ids!$B:$B,MATCH(G1241,[1]IDEN_level_ids!$A:$A,0),1)</f>
        <v>1220</v>
      </c>
      <c r="U1241">
        <f>INDEX([1]IDEN_level_ids!$B:$B,MATCH(H1241,[1]IDEN_level_ids!$A:$A,0),1)</f>
        <v>942</v>
      </c>
    </row>
    <row r="1242" spans="1:21" hidden="1" x14ac:dyDescent="0.25">
      <c r="A1242">
        <v>66138.092499999999</v>
      </c>
      <c r="B1242">
        <v>1511.9880000000001</v>
      </c>
      <c r="C1242">
        <v>6</v>
      </c>
      <c r="D1242" t="s">
        <v>478</v>
      </c>
      <c r="F1242">
        <v>1969</v>
      </c>
      <c r="G1242" s="1" t="s">
        <v>329</v>
      </c>
      <c r="H1242" s="1" t="s">
        <v>444</v>
      </c>
      <c r="I1242">
        <v>0.2006</v>
      </c>
      <c r="J1242">
        <v>66137.925000000003</v>
      </c>
      <c r="K1242">
        <v>-3.8300000000000001E-3</v>
      </c>
      <c r="L1242">
        <v>5.5999999999999999E-3</v>
      </c>
      <c r="M1242">
        <v>0.245</v>
      </c>
      <c r="N1242">
        <v>8.2400000000000001E-2</v>
      </c>
      <c r="O1242">
        <v>6.1000000000000004E-3</v>
      </c>
      <c r="P1242" s="3">
        <f t="shared" si="76"/>
        <v>1511.9879666925683</v>
      </c>
      <c r="Q1242" s="3">
        <f t="shared" si="77"/>
        <v>-3.8292399469810334E-3</v>
      </c>
      <c r="R1242" s="3">
        <f t="shared" si="78"/>
        <v>5.5999999999999999E-3</v>
      </c>
      <c r="S1242">
        <f t="shared" si="79"/>
        <v>27</v>
      </c>
      <c r="T1242">
        <f>INDEX([1]IDEN_level_ids!$B:$B,MATCH(G1242,[1]IDEN_level_ids!$A:$A,0),1)</f>
        <v>1138</v>
      </c>
      <c r="U1242">
        <f>INDEX([1]IDEN_level_ids!$B:$B,MATCH(H1242,[1]IDEN_level_ids!$A:$A,0),1)</f>
        <v>898</v>
      </c>
    </row>
    <row r="1243" spans="1:21" hidden="1" x14ac:dyDescent="0.25">
      <c r="A1243">
        <v>66109.927599999995</v>
      </c>
      <c r="B1243">
        <v>1512.6321</v>
      </c>
      <c r="C1243">
        <v>6</v>
      </c>
      <c r="D1243" t="s">
        <v>478</v>
      </c>
      <c r="F1243">
        <v>1969</v>
      </c>
      <c r="G1243" s="1" t="s">
        <v>94</v>
      </c>
      <c r="H1243" s="1" t="s">
        <v>409</v>
      </c>
      <c r="I1243">
        <v>0</v>
      </c>
      <c r="J1243">
        <v>66109.7166</v>
      </c>
      <c r="K1243">
        <v>-4.8300000000000001E-3</v>
      </c>
      <c r="L1243">
        <v>5.6100000000000004E-3</v>
      </c>
      <c r="M1243">
        <v>0.245</v>
      </c>
      <c r="N1243">
        <v>0.1714</v>
      </c>
      <c r="O1243">
        <v>6.7600000000000004E-3</v>
      </c>
      <c r="P1243" s="3">
        <f t="shared" si="76"/>
        <v>1512.6321209282341</v>
      </c>
      <c r="Q1243" s="3">
        <f t="shared" si="77"/>
        <v>-4.8278134279371443E-3</v>
      </c>
      <c r="R1243" s="3">
        <f t="shared" si="78"/>
        <v>5.6100000000000004E-3</v>
      </c>
      <c r="S1243">
        <f t="shared" si="79"/>
        <v>27</v>
      </c>
      <c r="T1243">
        <f>INDEX([1]IDEN_level_ids!$B:$B,MATCH(G1243,[1]IDEN_level_ids!$A:$A,0),1)</f>
        <v>1207</v>
      </c>
      <c r="U1243">
        <f>INDEX([1]IDEN_level_ids!$B:$B,MATCH(H1243,[1]IDEN_level_ids!$A:$A,0),1)</f>
        <v>933</v>
      </c>
    </row>
    <row r="1244" spans="1:21" hidden="1" x14ac:dyDescent="0.25">
      <c r="A1244">
        <v>66107.918900000004</v>
      </c>
      <c r="B1244">
        <v>1512.6781000000001</v>
      </c>
      <c r="C1244">
        <v>6</v>
      </c>
      <c r="D1244" t="s">
        <v>478</v>
      </c>
      <c r="F1244">
        <v>1969</v>
      </c>
      <c r="G1244" s="1" t="s">
        <v>238</v>
      </c>
      <c r="H1244" s="1" t="s">
        <v>360</v>
      </c>
      <c r="I1244">
        <v>0</v>
      </c>
      <c r="J1244">
        <v>66107.7209</v>
      </c>
      <c r="K1244">
        <v>-4.5300000000000002E-3</v>
      </c>
      <c r="L1244">
        <v>5.6100000000000004E-3</v>
      </c>
      <c r="M1244">
        <v>0.245</v>
      </c>
      <c r="N1244">
        <v>9.11E-2</v>
      </c>
      <c r="O1244">
        <v>6.1700000000000001E-3</v>
      </c>
      <c r="P1244" s="3">
        <f t="shared" si="76"/>
        <v>1512.6780825042731</v>
      </c>
      <c r="Q1244" s="3">
        <f t="shared" si="77"/>
        <v>-4.5306396327760012E-3</v>
      </c>
      <c r="R1244" s="3">
        <f t="shared" si="78"/>
        <v>5.6100000000000004E-3</v>
      </c>
      <c r="S1244">
        <f t="shared" si="79"/>
        <v>27</v>
      </c>
      <c r="T1244">
        <f>INDEX([1]IDEN_level_ids!$B:$B,MATCH(G1244,[1]IDEN_level_ids!$A:$A,0),1)</f>
        <v>1165</v>
      </c>
      <c r="U1244">
        <f>INDEX([1]IDEN_level_ids!$B:$B,MATCH(H1244,[1]IDEN_level_ids!$A:$A,0),1)</f>
        <v>911</v>
      </c>
    </row>
    <row r="1245" spans="1:21" hidden="1" x14ac:dyDescent="0.25">
      <c r="A1245">
        <v>66067.571400000001</v>
      </c>
      <c r="B1245">
        <v>1513.6018999999999</v>
      </c>
      <c r="C1245">
        <v>6</v>
      </c>
      <c r="D1245" t="s">
        <v>478</v>
      </c>
      <c r="F1245">
        <v>1969</v>
      </c>
      <c r="G1245" s="1" t="s">
        <v>290</v>
      </c>
      <c r="H1245" s="1" t="s">
        <v>364</v>
      </c>
      <c r="I1245">
        <v>0</v>
      </c>
      <c r="J1245">
        <v>66067.362200000003</v>
      </c>
      <c r="K1245">
        <v>-4.79E-3</v>
      </c>
      <c r="L1245">
        <v>5.6100000000000004E-3</v>
      </c>
      <c r="M1245">
        <v>0.245</v>
      </c>
      <c r="N1245">
        <v>0.1321</v>
      </c>
      <c r="O1245">
        <v>6.4700000000000001E-3</v>
      </c>
      <c r="P1245" s="3">
        <f t="shared" si="76"/>
        <v>1513.6018757910631</v>
      </c>
      <c r="Q1245" s="3">
        <f t="shared" si="77"/>
        <v>-4.7927675916525914E-3</v>
      </c>
      <c r="R1245" s="3">
        <f t="shared" si="78"/>
        <v>5.6100000000000004E-3</v>
      </c>
      <c r="S1245">
        <f t="shared" si="79"/>
        <v>27</v>
      </c>
      <c r="T1245">
        <f>INDEX([1]IDEN_level_ids!$B:$B,MATCH(G1245,[1]IDEN_level_ids!$A:$A,0),1)</f>
        <v>1153</v>
      </c>
      <c r="U1245">
        <f>INDEX([1]IDEN_level_ids!$B:$B,MATCH(H1245,[1]IDEN_level_ids!$A:$A,0),1)</f>
        <v>903</v>
      </c>
    </row>
    <row r="1246" spans="1:21" hidden="1" x14ac:dyDescent="0.25">
      <c r="A1246">
        <v>65976.381399999998</v>
      </c>
      <c r="B1246">
        <v>1515.6939</v>
      </c>
      <c r="C1246">
        <v>6</v>
      </c>
      <c r="D1246" t="s">
        <v>478</v>
      </c>
      <c r="F1246">
        <v>1969</v>
      </c>
      <c r="G1246" s="1" t="s">
        <v>40</v>
      </c>
      <c r="H1246" s="1" t="s">
        <v>405</v>
      </c>
      <c r="I1246">
        <v>0</v>
      </c>
      <c r="J1246">
        <v>65976.239300000001</v>
      </c>
      <c r="K1246">
        <v>-3.2599999999999999E-3</v>
      </c>
      <c r="L1246">
        <v>5.6299999999999996E-3</v>
      </c>
      <c r="M1246">
        <v>0.245</v>
      </c>
      <c r="N1246">
        <v>8.1600000000000006E-2</v>
      </c>
      <c r="O1246">
        <v>6.13E-3</v>
      </c>
      <c r="P1246" s="3">
        <f t="shared" si="76"/>
        <v>1515.6939177024947</v>
      </c>
      <c r="Q1246" s="3">
        <f t="shared" si="77"/>
        <v>-3.2645101932757825E-3</v>
      </c>
      <c r="R1246" s="3">
        <f t="shared" si="78"/>
        <v>5.6299999999999996E-3</v>
      </c>
      <c r="S1246">
        <f t="shared" si="79"/>
        <v>27</v>
      </c>
      <c r="T1246">
        <f>INDEX([1]IDEN_level_ids!$B:$B,MATCH(G1246,[1]IDEN_level_ids!$A:$A,0),1)</f>
        <v>1199</v>
      </c>
      <c r="U1246">
        <f>INDEX([1]IDEN_level_ids!$B:$B,MATCH(H1246,[1]IDEN_level_ids!$A:$A,0),1)</f>
        <v>927</v>
      </c>
    </row>
    <row r="1247" spans="1:21" hidden="1" x14ac:dyDescent="0.25">
      <c r="A1247">
        <v>65947.185599999997</v>
      </c>
      <c r="B1247">
        <v>1516.3649</v>
      </c>
      <c r="C1247">
        <v>6</v>
      </c>
      <c r="D1247" t="s">
        <v>478</v>
      </c>
      <c r="F1247">
        <v>1969</v>
      </c>
      <c r="G1247" s="1" t="s">
        <v>53</v>
      </c>
      <c r="H1247" s="1" t="s">
        <v>432</v>
      </c>
      <c r="I1247">
        <v>0</v>
      </c>
      <c r="J1247">
        <v>65946.799100000004</v>
      </c>
      <c r="K1247">
        <v>-8.8900000000000003E-3</v>
      </c>
      <c r="L1247">
        <v>5.6299999999999996E-3</v>
      </c>
      <c r="M1247">
        <v>0.245</v>
      </c>
      <c r="N1247">
        <v>5.8700000000000002E-2</v>
      </c>
      <c r="O1247">
        <v>5.9800000000000001E-3</v>
      </c>
      <c r="P1247" s="3">
        <f t="shared" si="76"/>
        <v>1516.3649379451306</v>
      </c>
      <c r="Q1247" s="3">
        <f t="shared" si="77"/>
        <v>-8.8870886304448504E-3</v>
      </c>
      <c r="R1247" s="3">
        <f t="shared" si="78"/>
        <v>5.6299999999999996E-3</v>
      </c>
      <c r="S1247">
        <f t="shared" si="79"/>
        <v>27</v>
      </c>
      <c r="T1247">
        <f>INDEX([1]IDEN_level_ids!$B:$B,MATCH(G1247,[1]IDEN_level_ids!$A:$A,0),1)</f>
        <v>1231</v>
      </c>
      <c r="U1247">
        <f>INDEX([1]IDEN_level_ids!$B:$B,MATCH(H1247,[1]IDEN_level_ids!$A:$A,0),1)</f>
        <v>954</v>
      </c>
    </row>
    <row r="1248" spans="1:21" hidden="1" x14ac:dyDescent="0.25">
      <c r="A1248">
        <v>65930.310899999997</v>
      </c>
      <c r="B1248">
        <v>1516.7529999999999</v>
      </c>
      <c r="C1248">
        <v>6</v>
      </c>
      <c r="D1248" t="s">
        <v>478</v>
      </c>
      <c r="F1248">
        <v>1969</v>
      </c>
      <c r="G1248" s="1" t="s">
        <v>416</v>
      </c>
      <c r="H1248" s="1" t="s">
        <v>400</v>
      </c>
      <c r="I1248">
        <v>-0.1961</v>
      </c>
      <c r="J1248">
        <v>65930.213199999998</v>
      </c>
      <c r="K1248">
        <v>-2.2499999999999998E-3</v>
      </c>
      <c r="L1248">
        <v>5.64E-3</v>
      </c>
      <c r="M1248">
        <v>0.245</v>
      </c>
      <c r="N1248">
        <v>4.9099999999999998E-2</v>
      </c>
      <c r="O1248">
        <v>5.9300000000000004E-3</v>
      </c>
      <c r="P1248" s="3">
        <f t="shared" si="76"/>
        <v>1516.7530478003555</v>
      </c>
      <c r="Q1248" s="3">
        <f t="shared" si="77"/>
        <v>-2.2476307231045212E-3</v>
      </c>
      <c r="R1248" s="3">
        <f t="shared" si="78"/>
        <v>5.64E-3</v>
      </c>
      <c r="S1248">
        <f t="shared" si="79"/>
        <v>27</v>
      </c>
      <c r="T1248">
        <f>INDEX([1]IDEN_level_ids!$B:$B,MATCH(G1248,[1]IDEN_level_ids!$A:$A,0),1)</f>
        <v>1055</v>
      </c>
      <c r="U1248">
        <f>INDEX([1]IDEN_level_ids!$B:$B,MATCH(H1248,[1]IDEN_level_ids!$A:$A,0),1)</f>
        <v>503</v>
      </c>
    </row>
    <row r="1249" spans="1:21" hidden="1" x14ac:dyDescent="0.25">
      <c r="A1249">
        <v>65900.417300000001</v>
      </c>
      <c r="B1249">
        <v>1517.4411</v>
      </c>
      <c r="C1249">
        <v>6</v>
      </c>
      <c r="D1249" t="s">
        <v>478</v>
      </c>
      <c r="F1249">
        <v>1969</v>
      </c>
      <c r="G1249" s="1" t="s">
        <v>77</v>
      </c>
      <c r="H1249" s="1" t="s">
        <v>405</v>
      </c>
      <c r="I1249">
        <v>0</v>
      </c>
      <c r="J1249">
        <v>65900.214800000002</v>
      </c>
      <c r="K1249">
        <v>-4.6600000000000001E-3</v>
      </c>
      <c r="L1249">
        <v>5.64E-3</v>
      </c>
      <c r="M1249">
        <v>0.245</v>
      </c>
      <c r="N1249">
        <v>8.6699999999999999E-2</v>
      </c>
      <c r="O1249">
        <v>6.1799999999999997E-3</v>
      </c>
      <c r="P1249" s="3">
        <f t="shared" si="76"/>
        <v>1517.4410739277671</v>
      </c>
      <c r="Q1249" s="3">
        <f t="shared" si="77"/>
        <v>-4.6628348388821905E-3</v>
      </c>
      <c r="R1249" s="3">
        <f t="shared" si="78"/>
        <v>5.64E-3</v>
      </c>
      <c r="S1249">
        <f t="shared" si="79"/>
        <v>27</v>
      </c>
      <c r="T1249">
        <f>INDEX([1]IDEN_level_ids!$B:$B,MATCH(G1249,[1]IDEN_level_ids!$A:$A,0),1)</f>
        <v>1197</v>
      </c>
      <c r="U1249">
        <f>INDEX([1]IDEN_level_ids!$B:$B,MATCH(H1249,[1]IDEN_level_ids!$A:$A,0),1)</f>
        <v>927</v>
      </c>
    </row>
    <row r="1250" spans="1:21" hidden="1" x14ac:dyDescent="0.25">
      <c r="A1250">
        <v>65859.922300000006</v>
      </c>
      <c r="B1250">
        <v>1518.3741</v>
      </c>
      <c r="C1250">
        <v>6</v>
      </c>
      <c r="D1250" t="s">
        <v>478</v>
      </c>
      <c r="F1250">
        <v>1969</v>
      </c>
      <c r="G1250" s="1" t="s">
        <v>207</v>
      </c>
      <c r="H1250" s="1" t="s">
        <v>423</v>
      </c>
      <c r="I1250">
        <v>0</v>
      </c>
      <c r="J1250">
        <v>65859.798299999995</v>
      </c>
      <c r="K1250">
        <v>-2.8600000000000001E-3</v>
      </c>
      <c r="L1250">
        <v>5.6499999999999996E-3</v>
      </c>
      <c r="M1250">
        <v>0.245</v>
      </c>
      <c r="N1250">
        <v>0.1636</v>
      </c>
      <c r="O1250">
        <v>6.7499999999999999E-3</v>
      </c>
      <c r="P1250" s="3">
        <f t="shared" si="76"/>
        <v>1518.3740962293846</v>
      </c>
      <c r="Q1250" s="3">
        <f t="shared" si="77"/>
        <v>-2.8587756539764086E-3</v>
      </c>
      <c r="R1250" s="3">
        <f t="shared" si="78"/>
        <v>5.6499999999999996E-3</v>
      </c>
      <c r="S1250">
        <f t="shared" si="79"/>
        <v>27</v>
      </c>
      <c r="T1250">
        <f>INDEX([1]IDEN_level_ids!$B:$B,MATCH(G1250,[1]IDEN_level_ids!$A:$A,0),1)</f>
        <v>1177</v>
      </c>
      <c r="U1250">
        <f>INDEX([1]IDEN_level_ids!$B:$B,MATCH(H1250,[1]IDEN_level_ids!$A:$A,0),1)</f>
        <v>915</v>
      </c>
    </row>
    <row r="1251" spans="1:21" hidden="1" x14ac:dyDescent="0.25">
      <c r="A1251">
        <v>65851.865999999995</v>
      </c>
      <c r="B1251">
        <v>1518.5599</v>
      </c>
      <c r="C1251">
        <v>6</v>
      </c>
      <c r="D1251" t="s">
        <v>478</v>
      </c>
      <c r="F1251">
        <v>1969</v>
      </c>
      <c r="G1251" s="1" t="s">
        <v>118</v>
      </c>
      <c r="H1251" s="1" t="s">
        <v>482</v>
      </c>
      <c r="I1251">
        <v>-2.0000000000000001E-4</v>
      </c>
      <c r="J1251">
        <v>65852.006399999998</v>
      </c>
      <c r="K1251">
        <v>3.2399999999999998E-3</v>
      </c>
      <c r="L1251">
        <v>5.6499999999999996E-3</v>
      </c>
      <c r="M1251">
        <v>0.245</v>
      </c>
      <c r="N1251">
        <v>5.7599999999999998E-2</v>
      </c>
      <c r="O1251">
        <v>5.9899999999999997E-3</v>
      </c>
      <c r="P1251" s="3">
        <f t="shared" si="76"/>
        <v>1518.5598537177368</v>
      </c>
      <c r="Q1251" s="3">
        <f t="shared" si="77"/>
        <v>3.2376508343077148E-3</v>
      </c>
      <c r="R1251" s="3">
        <f t="shared" si="78"/>
        <v>5.6499999999999996E-3</v>
      </c>
      <c r="S1251">
        <f t="shared" si="79"/>
        <v>27</v>
      </c>
      <c r="T1251">
        <f>INDEX([1]IDEN_level_ids!$B:$B,MATCH(G1251,[1]IDEN_level_ids!$A:$A,0),1)</f>
        <v>1237</v>
      </c>
      <c r="U1251">
        <f>INDEX([1]IDEN_level_ids!$B:$B,MATCH(H1251,[1]IDEN_level_ids!$A:$A,0),1)</f>
        <v>957</v>
      </c>
    </row>
    <row r="1252" spans="1:21" hidden="1" x14ac:dyDescent="0.25">
      <c r="A1252">
        <v>65847.733900000007</v>
      </c>
      <c r="B1252">
        <v>1518.6550999999999</v>
      </c>
      <c r="C1252">
        <v>6</v>
      </c>
      <c r="D1252" t="s">
        <v>478</v>
      </c>
      <c r="F1252">
        <v>1969</v>
      </c>
      <c r="G1252" s="1" t="s">
        <v>27</v>
      </c>
      <c r="H1252" s="1" t="s">
        <v>483</v>
      </c>
      <c r="I1252">
        <v>0</v>
      </c>
      <c r="J1252">
        <v>65847.949900000007</v>
      </c>
      <c r="K1252">
        <v>4.9800000000000001E-3</v>
      </c>
      <c r="L1252">
        <v>5.6499999999999996E-3</v>
      </c>
      <c r="M1252">
        <v>0.245</v>
      </c>
      <c r="N1252">
        <v>5.6099999999999997E-2</v>
      </c>
      <c r="O1252">
        <v>5.9899999999999997E-3</v>
      </c>
      <c r="P1252" s="3">
        <f t="shared" si="76"/>
        <v>1518.6551469161491</v>
      </c>
      <c r="Q1252" s="3">
        <f t="shared" si="77"/>
        <v>4.9816207222193043E-3</v>
      </c>
      <c r="R1252" s="3">
        <f t="shared" si="78"/>
        <v>5.6499999999999996E-3</v>
      </c>
      <c r="S1252">
        <f t="shared" si="79"/>
        <v>27</v>
      </c>
      <c r="T1252">
        <f>INDEX([1]IDEN_level_ids!$B:$B,MATCH(G1252,[1]IDEN_level_ids!$A:$A,0),1)</f>
        <v>1242</v>
      </c>
      <c r="U1252">
        <f>INDEX([1]IDEN_level_ids!$B:$B,MATCH(H1252,[1]IDEN_level_ids!$A:$A,0),1)</f>
        <v>970</v>
      </c>
    </row>
    <row r="1253" spans="1:21" hidden="1" x14ac:dyDescent="0.25">
      <c r="A1253">
        <v>65822.084499999997</v>
      </c>
      <c r="B1253">
        <v>1519.2469000000001</v>
      </c>
      <c r="C1253">
        <v>6</v>
      </c>
      <c r="D1253" t="s">
        <v>478</v>
      </c>
      <c r="F1253">
        <v>1969</v>
      </c>
      <c r="G1253" s="1" t="s">
        <v>182</v>
      </c>
      <c r="H1253" s="1" t="s">
        <v>409</v>
      </c>
      <c r="I1253">
        <v>0</v>
      </c>
      <c r="J1253">
        <v>65821.815000000002</v>
      </c>
      <c r="K1253">
        <v>-6.2199999999999998E-3</v>
      </c>
      <c r="L1253">
        <v>5.6499999999999996E-3</v>
      </c>
      <c r="M1253">
        <v>0.245</v>
      </c>
      <c r="N1253">
        <v>0.18609999999999999</v>
      </c>
      <c r="O1253">
        <v>6.9499999999999996E-3</v>
      </c>
      <c r="P1253" s="3">
        <f t="shared" si="76"/>
        <v>1519.2469329955663</v>
      </c>
      <c r="Q1253" s="3">
        <f t="shared" si="77"/>
        <v>-6.2203852694437956E-3</v>
      </c>
      <c r="R1253" s="3">
        <f t="shared" si="78"/>
        <v>5.6499999999999996E-3</v>
      </c>
      <c r="S1253">
        <f t="shared" si="79"/>
        <v>27</v>
      </c>
      <c r="T1253">
        <f>INDEX([1]IDEN_level_ids!$B:$B,MATCH(G1253,[1]IDEN_level_ids!$A:$A,0),1)</f>
        <v>1210</v>
      </c>
      <c r="U1253">
        <f>INDEX([1]IDEN_level_ids!$B:$B,MATCH(H1253,[1]IDEN_level_ids!$A:$A,0),1)</f>
        <v>933</v>
      </c>
    </row>
    <row r="1254" spans="1:21" hidden="1" x14ac:dyDescent="0.25">
      <c r="A1254">
        <v>65788.179099999994</v>
      </c>
      <c r="B1254">
        <v>1520.0299</v>
      </c>
      <c r="C1254">
        <v>6</v>
      </c>
      <c r="D1254" t="s">
        <v>478</v>
      </c>
      <c r="F1254">
        <v>1969</v>
      </c>
      <c r="G1254" s="1" t="s">
        <v>216</v>
      </c>
      <c r="H1254" s="1" t="s">
        <v>420</v>
      </c>
      <c r="I1254">
        <v>0</v>
      </c>
      <c r="J1254">
        <v>65788.120599999995</v>
      </c>
      <c r="K1254">
        <v>-1.3500000000000001E-3</v>
      </c>
      <c r="L1254">
        <v>5.6600000000000001E-3</v>
      </c>
      <c r="M1254">
        <v>0.245</v>
      </c>
      <c r="N1254">
        <v>0.1575</v>
      </c>
      <c r="O1254">
        <v>6.7200000000000003E-3</v>
      </c>
      <c r="P1254" s="3">
        <f t="shared" si="76"/>
        <v>1520.0299106621726</v>
      </c>
      <c r="Q1254" s="3">
        <f t="shared" si="77"/>
        <v>-1.3516383955902711E-3</v>
      </c>
      <c r="R1254" s="3">
        <f t="shared" si="78"/>
        <v>5.6600000000000001E-3</v>
      </c>
      <c r="S1254">
        <f t="shared" si="79"/>
        <v>27</v>
      </c>
      <c r="T1254">
        <f>INDEX([1]IDEN_level_ids!$B:$B,MATCH(G1254,[1]IDEN_level_ids!$A:$A,0),1)</f>
        <v>1170</v>
      </c>
      <c r="U1254">
        <f>INDEX([1]IDEN_level_ids!$B:$B,MATCH(H1254,[1]IDEN_level_ids!$A:$A,0),1)</f>
        <v>914</v>
      </c>
    </row>
    <row r="1255" spans="1:21" hidden="1" x14ac:dyDescent="0.25">
      <c r="A1255">
        <v>65736.016799999998</v>
      </c>
      <c r="B1255">
        <v>1521.2361000000001</v>
      </c>
      <c r="C1255">
        <v>6</v>
      </c>
      <c r="D1255" t="s">
        <v>478</v>
      </c>
      <c r="F1255">
        <v>1969</v>
      </c>
      <c r="G1255" s="1" t="s">
        <v>295</v>
      </c>
      <c r="H1255" s="1" t="s">
        <v>364</v>
      </c>
      <c r="I1255">
        <v>0</v>
      </c>
      <c r="J1255">
        <v>65735.9611</v>
      </c>
      <c r="K1255">
        <v>-1.2899999999999999E-3</v>
      </c>
      <c r="L1255">
        <v>5.6699999999999997E-3</v>
      </c>
      <c r="M1255">
        <v>0.245</v>
      </c>
      <c r="N1255">
        <v>0.14230000000000001</v>
      </c>
      <c r="O1255">
        <v>6.6100000000000004E-3</v>
      </c>
      <c r="P1255" s="3">
        <f t="shared" si="76"/>
        <v>1521.2360722166543</v>
      </c>
      <c r="Q1255" s="3">
        <f t="shared" si="77"/>
        <v>-1.2889877596080623E-3</v>
      </c>
      <c r="R1255" s="3">
        <f t="shared" si="78"/>
        <v>5.6699999999999997E-3</v>
      </c>
      <c r="S1255">
        <f t="shared" si="79"/>
        <v>27</v>
      </c>
      <c r="T1255">
        <f>INDEX([1]IDEN_level_ids!$B:$B,MATCH(G1255,[1]IDEN_level_ids!$A:$A,0),1)</f>
        <v>1152</v>
      </c>
      <c r="U1255">
        <f>INDEX([1]IDEN_level_ids!$B:$B,MATCH(H1255,[1]IDEN_level_ids!$A:$A,0),1)</f>
        <v>903</v>
      </c>
    </row>
    <row r="1256" spans="1:21" hidden="1" x14ac:dyDescent="0.25">
      <c r="A1256">
        <v>65692.617100000003</v>
      </c>
      <c r="B1256">
        <v>1522.2411</v>
      </c>
      <c r="C1256">
        <v>6</v>
      </c>
      <c r="D1256" t="s">
        <v>478</v>
      </c>
      <c r="E1256" t="s">
        <v>45</v>
      </c>
      <c r="F1256">
        <v>1969</v>
      </c>
      <c r="G1256" s="1" t="s">
        <v>271</v>
      </c>
      <c r="H1256" s="1" t="s">
        <v>352</v>
      </c>
      <c r="I1256">
        <v>0</v>
      </c>
      <c r="J1256">
        <v>65692.108200000002</v>
      </c>
      <c r="K1256">
        <v>-1.179E-2</v>
      </c>
      <c r="L1256">
        <v>1.1169999999999999E-2</v>
      </c>
      <c r="M1256">
        <v>0.48199999999999998</v>
      </c>
      <c r="N1256">
        <v>4.1200000000000001E-2</v>
      </c>
      <c r="O1256">
        <v>1.1650000000000001E-2</v>
      </c>
      <c r="P1256" s="3">
        <f t="shared" si="76"/>
        <v>1522.2410738755602</v>
      </c>
      <c r="Q1256" s="3">
        <f t="shared" si="77"/>
        <v>-1.1792413179136929E-2</v>
      </c>
      <c r="R1256" s="3">
        <f t="shared" si="78"/>
        <v>1.1169999999999999E-2</v>
      </c>
      <c r="S1256">
        <f t="shared" si="79"/>
        <v>27</v>
      </c>
      <c r="T1256">
        <f>INDEX([1]IDEN_level_ids!$B:$B,MATCH(G1256,[1]IDEN_level_ids!$A:$A,0),1)</f>
        <v>1158</v>
      </c>
      <c r="U1256">
        <f>INDEX([1]IDEN_level_ids!$B:$B,MATCH(H1256,[1]IDEN_level_ids!$A:$A,0),1)</f>
        <v>909</v>
      </c>
    </row>
    <row r="1257" spans="1:21" hidden="1" x14ac:dyDescent="0.25">
      <c r="A1257">
        <v>65681.916500000007</v>
      </c>
      <c r="B1257">
        <v>1522.4891</v>
      </c>
      <c r="C1257">
        <v>6</v>
      </c>
      <c r="D1257" t="s">
        <v>478</v>
      </c>
      <c r="E1257" t="s">
        <v>45</v>
      </c>
      <c r="F1257">
        <v>1969</v>
      </c>
      <c r="G1257" s="1" t="s">
        <v>82</v>
      </c>
      <c r="H1257" s="1" t="s">
        <v>418</v>
      </c>
      <c r="I1257">
        <v>0</v>
      </c>
      <c r="J1257">
        <v>65682.000899999999</v>
      </c>
      <c r="K1257">
        <v>1.9599999999999999E-3</v>
      </c>
      <c r="L1257">
        <v>1.1169999999999999E-2</v>
      </c>
      <c r="M1257">
        <v>0.48199999999999998</v>
      </c>
      <c r="N1257">
        <v>7.6300000000000007E-2</v>
      </c>
      <c r="O1257">
        <v>1.21E-2</v>
      </c>
      <c r="P1257" s="3">
        <f t="shared" si="76"/>
        <v>1522.4890704886784</v>
      </c>
      <c r="Q1257" s="3">
        <f t="shared" si="77"/>
        <v>1.9563666724025097E-3</v>
      </c>
      <c r="R1257" s="3">
        <f t="shared" si="78"/>
        <v>1.1169999999999999E-2</v>
      </c>
      <c r="S1257">
        <f t="shared" si="79"/>
        <v>27</v>
      </c>
      <c r="T1257">
        <f>INDEX([1]IDEN_level_ids!$B:$B,MATCH(G1257,[1]IDEN_level_ids!$A:$A,0),1)</f>
        <v>1193</v>
      </c>
      <c r="U1257">
        <f>INDEX([1]IDEN_level_ids!$B:$B,MATCH(H1257,[1]IDEN_level_ids!$A:$A,0),1)</f>
        <v>925</v>
      </c>
    </row>
    <row r="1258" spans="1:21" hidden="1" x14ac:dyDescent="0.25">
      <c r="A1258">
        <v>65365.836199999998</v>
      </c>
      <c r="B1258">
        <v>1529.8512000000001</v>
      </c>
      <c r="C1258">
        <v>7</v>
      </c>
      <c r="D1258" t="s">
        <v>484</v>
      </c>
      <c r="F1258">
        <v>1969</v>
      </c>
      <c r="G1258" s="1" t="s">
        <v>33</v>
      </c>
      <c r="H1258" s="1" t="s">
        <v>440</v>
      </c>
      <c r="I1258">
        <v>0.25940000000000002</v>
      </c>
      <c r="J1258">
        <v>65365.758900000001</v>
      </c>
      <c r="K1258">
        <v>-1.81E-3</v>
      </c>
      <c r="L1258">
        <v>5.7299999999999999E-3</v>
      </c>
      <c r="M1258">
        <v>0.245</v>
      </c>
      <c r="N1258">
        <v>0.1128</v>
      </c>
      <c r="O1258">
        <v>6.4599999999999996E-3</v>
      </c>
      <c r="P1258" s="3">
        <f t="shared" si="76"/>
        <v>1529.8511548759168</v>
      </c>
      <c r="Q1258" s="3">
        <f t="shared" si="77"/>
        <v>-1.8091657811964978E-3</v>
      </c>
      <c r="R1258" s="3">
        <f t="shared" si="78"/>
        <v>5.7299999999999999E-3</v>
      </c>
      <c r="S1258">
        <f t="shared" si="79"/>
        <v>28</v>
      </c>
      <c r="T1258">
        <f>INDEX([1]IDEN_level_ids!$B:$B,MATCH(G1258,[1]IDEN_level_ids!$A:$A,0),1)</f>
        <v>1220</v>
      </c>
      <c r="U1258">
        <f>INDEX([1]IDEN_level_ids!$B:$B,MATCH(H1258,[1]IDEN_level_ids!$A:$A,0),1)</f>
        <v>948</v>
      </c>
    </row>
    <row r="1259" spans="1:21" hidden="1" x14ac:dyDescent="0.25">
      <c r="A1259">
        <v>63721.0121</v>
      </c>
      <c r="B1259">
        <v>1569.3409999999999</v>
      </c>
      <c r="C1259">
        <v>7</v>
      </c>
      <c r="D1259" t="s">
        <v>484</v>
      </c>
      <c r="F1259">
        <v>1969</v>
      </c>
      <c r="G1259" s="1" t="s">
        <v>141</v>
      </c>
      <c r="H1259" s="1" t="s">
        <v>343</v>
      </c>
      <c r="I1259">
        <v>0</v>
      </c>
      <c r="J1259">
        <v>63720.948499999999</v>
      </c>
      <c r="K1259">
        <v>-1.57E-3</v>
      </c>
      <c r="L1259">
        <v>6.0299999999999998E-3</v>
      </c>
      <c r="M1259">
        <v>0.245</v>
      </c>
      <c r="N1259">
        <v>0.1255</v>
      </c>
      <c r="O1259">
        <v>6.8999999999999999E-3</v>
      </c>
      <c r="P1259" s="3">
        <f t="shared" si="76"/>
        <v>1569.3410494338334</v>
      </c>
      <c r="Q1259" s="3">
        <f t="shared" si="77"/>
        <v>-1.5663622889405815E-3</v>
      </c>
      <c r="R1259" s="3">
        <f t="shared" si="78"/>
        <v>6.0299999999999998E-3</v>
      </c>
      <c r="S1259">
        <f t="shared" si="79"/>
        <v>28</v>
      </c>
      <c r="T1259">
        <f>INDEX([1]IDEN_level_ids!$B:$B,MATCH(G1259,[1]IDEN_level_ids!$A:$A,0),1)</f>
        <v>1155</v>
      </c>
      <c r="U1259">
        <f>INDEX([1]IDEN_level_ids!$B:$B,MATCH(H1259,[1]IDEN_level_ids!$A:$A,0),1)</f>
        <v>912</v>
      </c>
    </row>
    <row r="1260" spans="1:21" hidden="1" x14ac:dyDescent="0.25">
      <c r="A1260">
        <v>63557.111799999999</v>
      </c>
      <c r="B1260">
        <v>1573.3879999999999</v>
      </c>
      <c r="C1260">
        <v>7</v>
      </c>
      <c r="D1260" t="s">
        <v>484</v>
      </c>
      <c r="E1260" t="s">
        <v>45</v>
      </c>
      <c r="F1260">
        <v>1969</v>
      </c>
      <c r="G1260" s="1" t="s">
        <v>301</v>
      </c>
      <c r="H1260" s="1" t="s">
        <v>343</v>
      </c>
      <c r="I1260">
        <v>-0.71730000000000005</v>
      </c>
      <c r="J1260">
        <v>63556.811099999999</v>
      </c>
      <c r="K1260">
        <v>-7.4400000000000004E-3</v>
      </c>
      <c r="L1260">
        <v>1.193E-2</v>
      </c>
      <c r="M1260">
        <v>0.48199999999999998</v>
      </c>
      <c r="N1260">
        <v>3.9199999999999999E-2</v>
      </c>
      <c r="O1260">
        <v>1.242E-2</v>
      </c>
      <c r="P1260" s="3">
        <f t="shared" si="76"/>
        <v>1573.3880468747166</v>
      </c>
      <c r="Q1260" s="3">
        <f t="shared" si="77"/>
        <v>-7.4440139067064592E-3</v>
      </c>
      <c r="R1260" s="3">
        <f t="shared" si="78"/>
        <v>1.193E-2</v>
      </c>
      <c r="S1260">
        <f t="shared" si="79"/>
        <v>28</v>
      </c>
      <c r="T1260">
        <f>INDEX([1]IDEN_level_ids!$B:$B,MATCH(G1260,[1]IDEN_level_ids!$A:$A,0),1)</f>
        <v>1154</v>
      </c>
      <c r="U1260">
        <f>INDEX([1]IDEN_level_ids!$B:$B,MATCH(H1260,[1]IDEN_level_ids!$A:$A,0),1)</f>
        <v>912</v>
      </c>
    </row>
    <row r="1261" spans="1:21" hidden="1" x14ac:dyDescent="0.25">
      <c r="A1261">
        <v>63296.906999999999</v>
      </c>
      <c r="B1261">
        <v>1579.856</v>
      </c>
      <c r="C1261">
        <v>7</v>
      </c>
      <c r="D1261" t="s">
        <v>484</v>
      </c>
      <c r="F1261">
        <v>1969</v>
      </c>
      <c r="G1261" s="1" t="s">
        <v>138</v>
      </c>
      <c r="H1261" s="1" t="s">
        <v>430</v>
      </c>
      <c r="I1261">
        <v>0</v>
      </c>
      <c r="J1261">
        <v>63296.749600000003</v>
      </c>
      <c r="K1261">
        <v>-3.9300000000000003E-3</v>
      </c>
      <c r="L1261">
        <v>6.11E-3</v>
      </c>
      <c r="M1261">
        <v>0.245</v>
      </c>
      <c r="N1261">
        <v>0.27100000000000002</v>
      </c>
      <c r="O1261">
        <v>8.3899999999999999E-3</v>
      </c>
      <c r="P1261" s="3">
        <f t="shared" si="76"/>
        <v>1579.8560267723667</v>
      </c>
      <c r="Q1261" s="3">
        <f t="shared" si="77"/>
        <v>-3.9286273020024964E-3</v>
      </c>
      <c r="R1261" s="3">
        <f t="shared" si="78"/>
        <v>6.11E-3</v>
      </c>
      <c r="S1261">
        <f t="shared" si="79"/>
        <v>28</v>
      </c>
      <c r="T1261">
        <f>INDEX([1]IDEN_level_ids!$B:$B,MATCH(G1261,[1]IDEN_level_ids!$A:$A,0),1)</f>
        <v>1126</v>
      </c>
      <c r="U1261">
        <f>INDEX([1]IDEN_level_ids!$B:$B,MATCH(H1261,[1]IDEN_level_ids!$A:$A,0),1)</f>
        <v>897</v>
      </c>
    </row>
    <row r="1262" spans="1:21" hidden="1" x14ac:dyDescent="0.25">
      <c r="A1262">
        <v>63286.928800000002</v>
      </c>
      <c r="B1262">
        <v>1580.1051</v>
      </c>
      <c r="C1262">
        <v>7</v>
      </c>
      <c r="D1262" t="s">
        <v>484</v>
      </c>
      <c r="F1262">
        <v>1969</v>
      </c>
      <c r="G1262" s="1" t="s">
        <v>295</v>
      </c>
      <c r="H1262" s="1" t="s">
        <v>360</v>
      </c>
      <c r="I1262">
        <v>0</v>
      </c>
      <c r="J1262">
        <v>63286.8416</v>
      </c>
      <c r="K1262">
        <v>-2.1800000000000001E-3</v>
      </c>
      <c r="L1262">
        <v>6.1199999999999996E-3</v>
      </c>
      <c r="M1262">
        <v>0.245</v>
      </c>
      <c r="N1262">
        <v>0.1459</v>
      </c>
      <c r="O1262">
        <v>7.1599999999999997E-3</v>
      </c>
      <c r="P1262" s="3">
        <f t="shared" si="76"/>
        <v>1580.1051164296662</v>
      </c>
      <c r="Q1262" s="3">
        <f t="shared" si="77"/>
        <v>-2.1771534600247833E-3</v>
      </c>
      <c r="R1262" s="3">
        <f t="shared" si="78"/>
        <v>6.1199999999999996E-3</v>
      </c>
      <c r="S1262">
        <f t="shared" si="79"/>
        <v>28</v>
      </c>
      <c r="T1262">
        <f>INDEX([1]IDEN_level_ids!$B:$B,MATCH(G1262,[1]IDEN_level_ids!$A:$A,0),1)</f>
        <v>1152</v>
      </c>
      <c r="U1262">
        <f>INDEX([1]IDEN_level_ids!$B:$B,MATCH(H1262,[1]IDEN_level_ids!$A:$A,0),1)</f>
        <v>911</v>
      </c>
    </row>
    <row r="1263" spans="1:21" hidden="1" x14ac:dyDescent="0.25">
      <c r="A1263">
        <v>62712.745900000002</v>
      </c>
      <c r="B1263">
        <v>1594.5722000000001</v>
      </c>
      <c r="C1263">
        <v>7</v>
      </c>
      <c r="D1263" t="s">
        <v>484</v>
      </c>
      <c r="F1263">
        <v>1969</v>
      </c>
      <c r="G1263" s="1" t="s">
        <v>100</v>
      </c>
      <c r="H1263" s="1" t="s">
        <v>367</v>
      </c>
      <c r="I1263">
        <v>0</v>
      </c>
      <c r="J1263">
        <v>62712.656600000002</v>
      </c>
      <c r="K1263">
        <v>-2.2699999999999999E-3</v>
      </c>
      <c r="L1263">
        <v>6.2300000000000003E-3</v>
      </c>
      <c r="M1263">
        <v>0.245</v>
      </c>
      <c r="N1263">
        <v>0.15390000000000001</v>
      </c>
      <c r="O1263">
        <v>7.3600000000000002E-3</v>
      </c>
      <c r="P1263" s="3">
        <f t="shared" si="76"/>
        <v>1594.5721809001509</v>
      </c>
      <c r="Q1263" s="3">
        <f t="shared" si="77"/>
        <v>-2.2705990063514037E-3</v>
      </c>
      <c r="R1263" s="3">
        <f t="shared" si="78"/>
        <v>6.2300000000000003E-3</v>
      </c>
      <c r="S1263">
        <f t="shared" si="79"/>
        <v>28</v>
      </c>
      <c r="T1263">
        <f>INDEX([1]IDEN_level_ids!$B:$B,MATCH(G1263,[1]IDEN_level_ids!$A:$A,0),1)</f>
        <v>1146</v>
      </c>
      <c r="U1263">
        <f>INDEX([1]IDEN_level_ids!$B:$B,MATCH(H1263,[1]IDEN_level_ids!$A:$A,0),1)</f>
        <v>907</v>
      </c>
    </row>
    <row r="1264" spans="1:21" hidden="1" x14ac:dyDescent="0.25">
      <c r="A1264">
        <v>62314.383500000004</v>
      </c>
      <c r="B1264">
        <v>1604.7659000000001</v>
      </c>
      <c r="C1264">
        <v>7</v>
      </c>
      <c r="D1264" t="s">
        <v>484</v>
      </c>
      <c r="F1264">
        <v>1969</v>
      </c>
      <c r="G1264" s="1" t="s">
        <v>244</v>
      </c>
      <c r="H1264" s="1" t="s">
        <v>485</v>
      </c>
      <c r="I1264">
        <v>0</v>
      </c>
      <c r="J1264">
        <v>62314.390700000004</v>
      </c>
      <c r="K1264">
        <v>1.8000000000000001E-4</v>
      </c>
      <c r="L1264">
        <v>6.3099999999999996E-3</v>
      </c>
      <c r="M1264">
        <v>0.245</v>
      </c>
      <c r="N1264">
        <v>0.1028</v>
      </c>
      <c r="O1264">
        <v>7.0299999999999998E-3</v>
      </c>
      <c r="P1264" s="3">
        <f t="shared" si="76"/>
        <v>1604.7659365834854</v>
      </c>
      <c r="Q1264" s="3">
        <f t="shared" si="77"/>
        <v>1.8541968574936618E-4</v>
      </c>
      <c r="R1264" s="3">
        <f t="shared" si="78"/>
        <v>6.3099999999999996E-3</v>
      </c>
      <c r="S1264">
        <f t="shared" si="79"/>
        <v>28</v>
      </c>
      <c r="T1264">
        <f>INDEX([1]IDEN_level_ids!$B:$B,MATCH(G1264,[1]IDEN_level_ids!$A:$A,0),1)</f>
        <v>1195</v>
      </c>
      <c r="U1264">
        <f>INDEX([1]IDEN_level_ids!$B:$B,MATCH(H1264,[1]IDEN_level_ids!$A:$A,0),1)</f>
        <v>940</v>
      </c>
    </row>
    <row r="1265" spans="1:21" hidden="1" x14ac:dyDescent="0.25">
      <c r="A1265">
        <v>61680.880700000002</v>
      </c>
      <c r="B1265">
        <v>1621.2479000000001</v>
      </c>
      <c r="C1265">
        <v>7</v>
      </c>
      <c r="D1265" t="s">
        <v>484</v>
      </c>
      <c r="F1265">
        <v>1969</v>
      </c>
      <c r="G1265" s="1" t="s">
        <v>329</v>
      </c>
      <c r="H1265" s="1" t="s">
        <v>338</v>
      </c>
      <c r="I1265">
        <v>0.2006</v>
      </c>
      <c r="J1265">
        <v>61681.253299999997</v>
      </c>
      <c r="K1265">
        <v>9.7900000000000001E-3</v>
      </c>
      <c r="L1265">
        <v>6.4400000000000004E-3</v>
      </c>
      <c r="M1265">
        <v>0.245</v>
      </c>
      <c r="N1265">
        <v>0.1152</v>
      </c>
      <c r="O1265">
        <v>7.28E-3</v>
      </c>
      <c r="P1265" s="3">
        <f t="shared" si="76"/>
        <v>1621.2479274797383</v>
      </c>
      <c r="Q1265" s="3">
        <f t="shared" si="77"/>
        <v>9.7935263220279012E-3</v>
      </c>
      <c r="R1265" s="3">
        <f t="shared" si="78"/>
        <v>6.4400000000000004E-3</v>
      </c>
      <c r="S1265">
        <f t="shared" si="79"/>
        <v>28</v>
      </c>
      <c r="T1265">
        <f>INDEX([1]IDEN_level_ids!$B:$B,MATCH(G1265,[1]IDEN_level_ids!$A:$A,0),1)</f>
        <v>1138</v>
      </c>
      <c r="U1265">
        <f>INDEX([1]IDEN_level_ids!$B:$B,MATCH(H1265,[1]IDEN_level_ids!$A:$A,0),1)</f>
        <v>904</v>
      </c>
    </row>
    <row r="1266" spans="1:21" hidden="1" x14ac:dyDescent="0.25">
      <c r="A1266">
        <v>61628.641900000002</v>
      </c>
      <c r="B1266">
        <v>1622.6222</v>
      </c>
      <c r="C1266">
        <v>7</v>
      </c>
      <c r="D1266" t="s">
        <v>484</v>
      </c>
      <c r="F1266">
        <v>1969</v>
      </c>
      <c r="G1266" s="1" t="s">
        <v>51</v>
      </c>
      <c r="H1266" s="1" t="s">
        <v>486</v>
      </c>
      <c r="I1266">
        <v>0.38450000000000001</v>
      </c>
      <c r="J1266">
        <v>61628.596899999997</v>
      </c>
      <c r="K1266">
        <v>-1.1800000000000001E-3</v>
      </c>
      <c r="L1266">
        <v>6.45E-3</v>
      </c>
      <c r="M1266">
        <v>0.245</v>
      </c>
      <c r="N1266">
        <v>9.5200000000000007E-2</v>
      </c>
      <c r="O1266">
        <v>7.1300000000000001E-3</v>
      </c>
      <c r="P1266" s="3">
        <f t="shared" si="76"/>
        <v>1622.6221593891719</v>
      </c>
      <c r="Q1266" s="3">
        <f t="shared" si="77"/>
        <v>-1.1848070678297518E-3</v>
      </c>
      <c r="R1266" s="3">
        <f t="shared" si="78"/>
        <v>6.45E-3</v>
      </c>
      <c r="S1266">
        <f t="shared" si="79"/>
        <v>28</v>
      </c>
      <c r="T1266">
        <f>INDEX([1]IDEN_level_ids!$B:$B,MATCH(G1266,[1]IDEN_level_ids!$A:$A,0),1)</f>
        <v>1213</v>
      </c>
      <c r="U1266">
        <f>INDEX([1]IDEN_level_ids!$B:$B,MATCH(H1266,[1]IDEN_level_ids!$A:$A,0),1)</f>
        <v>958</v>
      </c>
    </row>
    <row r="1267" spans="1:21" hidden="1" x14ac:dyDescent="0.25">
      <c r="A1267">
        <v>61539.631099999999</v>
      </c>
      <c r="B1267">
        <v>1624.9691</v>
      </c>
      <c r="C1267">
        <v>7</v>
      </c>
      <c r="D1267" t="s">
        <v>484</v>
      </c>
      <c r="F1267">
        <v>1969</v>
      </c>
      <c r="G1267" s="1" t="s">
        <v>276</v>
      </c>
      <c r="H1267" s="1" t="s">
        <v>371</v>
      </c>
      <c r="I1267">
        <v>-0.70099999999999996</v>
      </c>
      <c r="J1267">
        <v>61539.4931</v>
      </c>
      <c r="K1267">
        <v>-3.64E-3</v>
      </c>
      <c r="L1267">
        <v>6.4700000000000001E-3</v>
      </c>
      <c r="M1267">
        <v>0.245</v>
      </c>
      <c r="N1267">
        <v>0.1804</v>
      </c>
      <c r="O1267">
        <v>7.8899999999999994E-3</v>
      </c>
      <c r="P1267" s="3">
        <f t="shared" si="76"/>
        <v>1624.9691168525708</v>
      </c>
      <c r="Q1267" s="3">
        <f t="shared" si="77"/>
        <v>-3.6439321618217946E-3</v>
      </c>
      <c r="R1267" s="3">
        <f t="shared" si="78"/>
        <v>6.4700000000000001E-3</v>
      </c>
      <c r="S1267">
        <f t="shared" si="79"/>
        <v>28</v>
      </c>
      <c r="T1267">
        <f>INDEX([1]IDEN_level_ids!$B:$B,MATCH(G1267,[1]IDEN_level_ids!$A:$A,0),1)</f>
        <v>1131</v>
      </c>
      <c r="U1267">
        <f>INDEX([1]IDEN_level_ids!$B:$B,MATCH(H1267,[1]IDEN_level_ids!$A:$A,0),1)</f>
        <v>902</v>
      </c>
    </row>
    <row r="1268" spans="1:21" hidden="1" x14ac:dyDescent="0.25">
      <c r="A1268">
        <v>61446.421199999997</v>
      </c>
      <c r="B1268">
        <v>1627.4340999999999</v>
      </c>
      <c r="C1268">
        <v>7</v>
      </c>
      <c r="D1268" t="s">
        <v>484</v>
      </c>
      <c r="E1268" t="s">
        <v>45</v>
      </c>
      <c r="F1268">
        <v>1969</v>
      </c>
      <c r="G1268" s="1" t="s">
        <v>443</v>
      </c>
      <c r="H1268" s="1" t="s">
        <v>343</v>
      </c>
      <c r="I1268">
        <v>0.15229999999999999</v>
      </c>
      <c r="J1268">
        <v>61446.981800000001</v>
      </c>
      <c r="K1268">
        <v>1.485E-2</v>
      </c>
      <c r="L1268">
        <v>1.277E-2</v>
      </c>
      <c r="M1268">
        <v>0.48199999999999998</v>
      </c>
      <c r="N1268">
        <v>3.0800000000000001E-2</v>
      </c>
      <c r="O1268">
        <v>1.3169999999999999E-2</v>
      </c>
      <c r="P1268" s="3">
        <f t="shared" si="76"/>
        <v>1627.4340807337369</v>
      </c>
      <c r="Q1268" s="3">
        <f t="shared" si="77"/>
        <v>1.4847589237660941E-2</v>
      </c>
      <c r="R1268" s="3">
        <f t="shared" si="78"/>
        <v>1.277E-2</v>
      </c>
      <c r="S1268">
        <f t="shared" si="79"/>
        <v>28</v>
      </c>
      <c r="T1268">
        <f>INDEX([1]IDEN_level_ids!$B:$B,MATCH(G1268,[1]IDEN_level_ids!$A:$A,0),1)</f>
        <v>1145</v>
      </c>
      <c r="U1268">
        <f>INDEX([1]IDEN_level_ids!$B:$B,MATCH(H1268,[1]IDEN_level_ids!$A:$A,0),1)</f>
        <v>912</v>
      </c>
    </row>
    <row r="1269" spans="1:21" hidden="1" x14ac:dyDescent="0.25">
      <c r="A1269">
        <v>60677.151400000002</v>
      </c>
      <c r="B1269">
        <v>1648.0668000000001</v>
      </c>
      <c r="C1269">
        <v>7</v>
      </c>
      <c r="D1269" t="s">
        <v>484</v>
      </c>
      <c r="F1269">
        <v>1969</v>
      </c>
      <c r="G1269" s="1" t="s">
        <v>69</v>
      </c>
      <c r="H1269" s="1" t="s">
        <v>487</v>
      </c>
      <c r="I1269">
        <v>0</v>
      </c>
      <c r="J1269">
        <v>60677.3851</v>
      </c>
      <c r="K1269">
        <v>6.3499999999999997E-3</v>
      </c>
      <c r="L1269">
        <v>6.6499999999999997E-3</v>
      </c>
      <c r="M1269">
        <v>0.245</v>
      </c>
      <c r="N1269">
        <v>8.43E-2</v>
      </c>
      <c r="O1269">
        <v>7.2700000000000004E-3</v>
      </c>
      <c r="P1269" s="3">
        <f t="shared" si="76"/>
        <v>1648.0668207505864</v>
      </c>
      <c r="Q1269" s="3">
        <f t="shared" si="77"/>
        <v>6.3475579140686023E-3</v>
      </c>
      <c r="R1269" s="3">
        <f t="shared" si="78"/>
        <v>6.6499999999999997E-3</v>
      </c>
      <c r="S1269">
        <f t="shared" si="79"/>
        <v>28</v>
      </c>
      <c r="T1269">
        <f>INDEX([1]IDEN_level_ids!$B:$B,MATCH(G1269,[1]IDEN_level_ids!$A:$A,0),1)</f>
        <v>1218</v>
      </c>
      <c r="U1269">
        <f>INDEX([1]IDEN_level_ids!$B:$B,MATCH(H1269,[1]IDEN_level_ids!$A:$A,0),1)</f>
        <v>968</v>
      </c>
    </row>
    <row r="1270" spans="1:21" hidden="1" x14ac:dyDescent="0.25">
      <c r="A1270">
        <v>60483.221799999999</v>
      </c>
      <c r="B1270">
        <v>1653.3511000000001</v>
      </c>
      <c r="C1270">
        <v>7</v>
      </c>
      <c r="D1270" t="s">
        <v>484</v>
      </c>
      <c r="F1270">
        <v>1969</v>
      </c>
      <c r="G1270" s="1" t="s">
        <v>172</v>
      </c>
      <c r="H1270" s="1" t="s">
        <v>364</v>
      </c>
      <c r="I1270">
        <v>0</v>
      </c>
      <c r="J1270">
        <v>60483.529799999997</v>
      </c>
      <c r="K1270">
        <v>8.4200000000000004E-3</v>
      </c>
      <c r="L1270">
        <v>6.7000000000000002E-3</v>
      </c>
      <c r="M1270">
        <v>0.245</v>
      </c>
      <c r="N1270">
        <v>0.1716</v>
      </c>
      <c r="O1270">
        <v>8.0800000000000004E-3</v>
      </c>
      <c r="P1270" s="3">
        <f t="shared" si="76"/>
        <v>1653.3510785961471</v>
      </c>
      <c r="Q1270" s="3">
        <f t="shared" si="77"/>
        <v>8.4193520763164997E-3</v>
      </c>
      <c r="R1270" s="3">
        <f t="shared" si="78"/>
        <v>6.7000000000000002E-3</v>
      </c>
      <c r="S1270">
        <f t="shared" si="79"/>
        <v>28</v>
      </c>
      <c r="T1270">
        <f>INDEX([1]IDEN_level_ids!$B:$B,MATCH(G1270,[1]IDEN_level_ids!$A:$A,0),1)</f>
        <v>1136</v>
      </c>
      <c r="U1270">
        <f>INDEX([1]IDEN_level_ids!$B:$B,MATCH(H1270,[1]IDEN_level_ids!$A:$A,0),1)</f>
        <v>903</v>
      </c>
    </row>
    <row r="1271" spans="1:21" hidden="1" x14ac:dyDescent="0.25">
      <c r="A1271">
        <v>60452.835400000004</v>
      </c>
      <c r="B1271">
        <v>1654.1821</v>
      </c>
      <c r="C1271">
        <v>7</v>
      </c>
      <c r="D1271" t="s">
        <v>484</v>
      </c>
      <c r="F1271">
        <v>1969</v>
      </c>
      <c r="G1271" s="1" t="s">
        <v>33</v>
      </c>
      <c r="H1271" s="1" t="s">
        <v>483</v>
      </c>
      <c r="I1271">
        <v>0</v>
      </c>
      <c r="J1271">
        <v>60453.083700000003</v>
      </c>
      <c r="K1271">
        <v>6.79E-3</v>
      </c>
      <c r="L1271">
        <v>6.7000000000000002E-3</v>
      </c>
      <c r="M1271">
        <v>0.245</v>
      </c>
      <c r="N1271">
        <v>8.4699999999999998E-2</v>
      </c>
      <c r="O1271">
        <v>7.3200000000000001E-3</v>
      </c>
      <c r="P1271" s="3">
        <f t="shared" si="76"/>
        <v>1654.1821295614529</v>
      </c>
      <c r="Q1271" s="3">
        <f t="shared" si="77"/>
        <v>6.7942509731437895E-3</v>
      </c>
      <c r="R1271" s="3">
        <f t="shared" si="78"/>
        <v>6.7000000000000002E-3</v>
      </c>
      <c r="S1271">
        <f t="shared" si="79"/>
        <v>28</v>
      </c>
      <c r="T1271">
        <f>INDEX([1]IDEN_level_ids!$B:$B,MATCH(G1271,[1]IDEN_level_ids!$A:$A,0),1)</f>
        <v>1220</v>
      </c>
      <c r="U1271">
        <f>INDEX([1]IDEN_level_ids!$B:$B,MATCH(H1271,[1]IDEN_level_ids!$A:$A,0),1)</f>
        <v>970</v>
      </c>
    </row>
    <row r="1272" spans="1:21" hidden="1" x14ac:dyDescent="0.25">
      <c r="A1272">
        <v>60205.386400000003</v>
      </c>
      <c r="B1272">
        <v>1660.981</v>
      </c>
      <c r="C1272">
        <v>7</v>
      </c>
      <c r="D1272" t="s">
        <v>484</v>
      </c>
      <c r="F1272">
        <v>1969</v>
      </c>
      <c r="G1272" s="1" t="s">
        <v>250</v>
      </c>
      <c r="H1272" s="1" t="s">
        <v>430</v>
      </c>
      <c r="I1272">
        <v>0</v>
      </c>
      <c r="J1272">
        <v>60205.822500000002</v>
      </c>
      <c r="K1272">
        <v>1.2030000000000001E-2</v>
      </c>
      <c r="L1272">
        <v>6.7600000000000004E-3</v>
      </c>
      <c r="M1272">
        <v>0.245</v>
      </c>
      <c r="N1272">
        <v>0.26269999999999999</v>
      </c>
      <c r="O1272">
        <v>9.1699999999999993E-3</v>
      </c>
      <c r="P1272" s="3">
        <f t="shared" si="76"/>
        <v>1660.9809516977039</v>
      </c>
      <c r="Q1272" s="3">
        <f t="shared" si="77"/>
        <v>1.203129137616088E-2</v>
      </c>
      <c r="R1272" s="3">
        <f t="shared" si="78"/>
        <v>6.7600000000000004E-3</v>
      </c>
      <c r="S1272">
        <f t="shared" si="79"/>
        <v>28</v>
      </c>
      <c r="T1272">
        <f>INDEX([1]IDEN_level_ids!$B:$B,MATCH(G1272,[1]IDEN_level_ids!$A:$A,0),1)</f>
        <v>1107</v>
      </c>
      <c r="U1272">
        <f>INDEX([1]IDEN_level_ids!$B:$B,MATCH(H1272,[1]IDEN_level_ids!$A:$A,0),1)</f>
        <v>897</v>
      </c>
    </row>
    <row r="1273" spans="1:21" hidden="1" x14ac:dyDescent="0.25">
      <c r="A1273">
        <v>60055.406300000002</v>
      </c>
      <c r="B1273">
        <v>1665.1289999999999</v>
      </c>
      <c r="C1273">
        <v>8</v>
      </c>
      <c r="D1273" t="s">
        <v>488</v>
      </c>
      <c r="F1273">
        <v>1969</v>
      </c>
      <c r="G1273" s="1" t="s">
        <v>86</v>
      </c>
      <c r="H1273" s="1" t="s">
        <v>436</v>
      </c>
      <c r="I1273">
        <v>0.313</v>
      </c>
      <c r="J1273">
        <v>60055.608500000002</v>
      </c>
      <c r="K1273">
        <v>5.6100000000000004E-3</v>
      </c>
      <c r="L1273">
        <v>6.79E-3</v>
      </c>
      <c r="M1273">
        <v>0.245</v>
      </c>
      <c r="N1273">
        <v>3.8100000000000002E-2</v>
      </c>
      <c r="O1273">
        <v>7.0600000000000003E-3</v>
      </c>
      <c r="P1273" s="3">
        <f t="shared" si="76"/>
        <v>1665.1290226971621</v>
      </c>
      <c r="Q1273" s="3">
        <f t="shared" si="77"/>
        <v>5.6062888511405617E-3</v>
      </c>
      <c r="R1273" s="3">
        <f t="shared" si="78"/>
        <v>6.79E-3</v>
      </c>
      <c r="S1273">
        <f t="shared" si="79"/>
        <v>29</v>
      </c>
      <c r="T1273">
        <f>INDEX([1]IDEN_level_ids!$B:$B,MATCH(G1273,[1]IDEN_level_ids!$A:$A,0),1)</f>
        <v>1183</v>
      </c>
      <c r="U1273">
        <f>INDEX([1]IDEN_level_ids!$B:$B,MATCH(H1273,[1]IDEN_level_ids!$A:$A,0),1)</f>
        <v>947</v>
      </c>
    </row>
    <row r="1274" spans="1:21" hidden="1" x14ac:dyDescent="0.25">
      <c r="A1274">
        <v>60019.763299999999</v>
      </c>
      <c r="B1274">
        <v>1666.1179</v>
      </c>
      <c r="C1274">
        <v>8</v>
      </c>
      <c r="D1274" t="s">
        <v>488</v>
      </c>
      <c r="F1274">
        <v>1969</v>
      </c>
      <c r="G1274" s="1" t="s">
        <v>283</v>
      </c>
      <c r="H1274" s="1" t="s">
        <v>489</v>
      </c>
      <c r="I1274">
        <v>0</v>
      </c>
      <c r="J1274">
        <v>60019.942600000002</v>
      </c>
      <c r="K1274">
        <v>4.9800000000000001E-3</v>
      </c>
      <c r="L1274">
        <v>6.7999999999999996E-3</v>
      </c>
      <c r="M1274">
        <v>0.245</v>
      </c>
      <c r="N1274">
        <v>4.1700000000000001E-2</v>
      </c>
      <c r="O1274">
        <v>7.1000000000000004E-3</v>
      </c>
      <c r="P1274" s="3">
        <f t="shared" si="76"/>
        <v>1666.1178668793584</v>
      </c>
      <c r="Q1274" s="3">
        <f t="shared" si="77"/>
        <v>4.9772612335345912E-3</v>
      </c>
      <c r="R1274" s="3">
        <f t="shared" si="78"/>
        <v>6.7999999999999996E-3</v>
      </c>
      <c r="S1274">
        <f t="shared" si="79"/>
        <v>29</v>
      </c>
      <c r="T1274">
        <f>INDEX([1]IDEN_level_ids!$B:$B,MATCH(G1274,[1]IDEN_level_ids!$A:$A,0),1)</f>
        <v>1178</v>
      </c>
      <c r="U1274">
        <f>INDEX([1]IDEN_level_ids!$B:$B,MATCH(H1274,[1]IDEN_level_ids!$A:$A,0),1)</f>
        <v>945</v>
      </c>
    </row>
    <row r="1275" spans="1:21" hidden="1" x14ac:dyDescent="0.25">
      <c r="A1275">
        <v>60016.879399999998</v>
      </c>
      <c r="B1275">
        <v>1666.1978999999999</v>
      </c>
      <c r="C1275">
        <v>8</v>
      </c>
      <c r="D1275" t="s">
        <v>488</v>
      </c>
      <c r="F1275">
        <v>1969</v>
      </c>
      <c r="G1275" s="1" t="s">
        <v>51</v>
      </c>
      <c r="H1275" s="1" t="s">
        <v>490</v>
      </c>
      <c r="I1275">
        <v>0</v>
      </c>
      <c r="J1275">
        <v>60017.087899999999</v>
      </c>
      <c r="K1275">
        <v>5.79E-3</v>
      </c>
      <c r="L1275">
        <v>6.7999999999999996E-3</v>
      </c>
      <c r="M1275">
        <v>0.245</v>
      </c>
      <c r="N1275">
        <v>5.5599999999999997E-2</v>
      </c>
      <c r="O1275">
        <v>7.1999999999999998E-3</v>
      </c>
      <c r="P1275" s="3">
        <f t="shared" si="76"/>
        <v>1666.1979263120436</v>
      </c>
      <c r="Q1275" s="3">
        <f t="shared" si="77"/>
        <v>5.7883892704921891E-3</v>
      </c>
      <c r="R1275" s="3">
        <f t="shared" si="78"/>
        <v>6.7999999999999996E-3</v>
      </c>
      <c r="S1275">
        <f t="shared" si="79"/>
        <v>29</v>
      </c>
      <c r="T1275">
        <f>INDEX([1]IDEN_level_ids!$B:$B,MATCH(G1275,[1]IDEN_level_ids!$A:$A,0),1)</f>
        <v>1213</v>
      </c>
      <c r="U1275">
        <f>INDEX([1]IDEN_level_ids!$B:$B,MATCH(H1275,[1]IDEN_level_ids!$A:$A,0),1)</f>
        <v>965</v>
      </c>
    </row>
    <row r="1276" spans="1:21" hidden="1" x14ac:dyDescent="0.25">
      <c r="A1276">
        <v>59959.374799999998</v>
      </c>
      <c r="B1276">
        <v>1667.7959000000001</v>
      </c>
      <c r="C1276">
        <v>8</v>
      </c>
      <c r="D1276" t="s">
        <v>488</v>
      </c>
      <c r="F1276">
        <v>1969</v>
      </c>
      <c r="G1276" s="1" t="s">
        <v>86</v>
      </c>
      <c r="H1276" s="1" t="s">
        <v>440</v>
      </c>
      <c r="I1276">
        <v>0.25940000000000002</v>
      </c>
      <c r="J1276">
        <v>59959.505299999997</v>
      </c>
      <c r="K1276">
        <v>3.63E-3</v>
      </c>
      <c r="L1276">
        <v>6.8100000000000001E-3</v>
      </c>
      <c r="M1276">
        <v>0.245</v>
      </c>
      <c r="N1276">
        <v>3.5200000000000002E-2</v>
      </c>
      <c r="O1276">
        <v>7.0600000000000003E-3</v>
      </c>
      <c r="P1276" s="3">
        <f t="shared" si="76"/>
        <v>1667.7959090393986</v>
      </c>
      <c r="Q1276" s="3">
        <f t="shared" si="77"/>
        <v>3.6299059681823564E-3</v>
      </c>
      <c r="R1276" s="3">
        <f t="shared" si="78"/>
        <v>6.8100000000000001E-3</v>
      </c>
      <c r="S1276">
        <f t="shared" si="79"/>
        <v>29</v>
      </c>
      <c r="T1276">
        <f>INDEX([1]IDEN_level_ids!$B:$B,MATCH(G1276,[1]IDEN_level_ids!$A:$A,0),1)</f>
        <v>1183</v>
      </c>
      <c r="U1276">
        <f>INDEX([1]IDEN_level_ids!$B:$B,MATCH(H1276,[1]IDEN_level_ids!$A:$A,0),1)</f>
        <v>948</v>
      </c>
    </row>
    <row r="1277" spans="1:21" hidden="1" x14ac:dyDescent="0.25">
      <c r="A1277">
        <v>59775.931799999998</v>
      </c>
      <c r="B1277">
        <v>1672.9141</v>
      </c>
      <c r="C1277">
        <v>8</v>
      </c>
      <c r="D1277" t="s">
        <v>488</v>
      </c>
      <c r="F1277">
        <v>1969</v>
      </c>
      <c r="G1277" s="1" t="s">
        <v>51</v>
      </c>
      <c r="H1277" s="1" t="s">
        <v>491</v>
      </c>
      <c r="I1277">
        <v>0</v>
      </c>
      <c r="J1277">
        <v>59776.181799999998</v>
      </c>
      <c r="K1277">
        <v>7.0000000000000001E-3</v>
      </c>
      <c r="L1277">
        <v>6.8599999999999998E-3</v>
      </c>
      <c r="M1277">
        <v>0.245</v>
      </c>
      <c r="N1277">
        <v>3.3500000000000002E-2</v>
      </c>
      <c r="O1277">
        <v>7.0899999999999999E-3</v>
      </c>
      <c r="P1277" s="3">
        <f t="shared" si="76"/>
        <v>1672.9141142388683</v>
      </c>
      <c r="Q1277" s="3">
        <f t="shared" si="77"/>
        <v>6.9965748223239643E-3</v>
      </c>
      <c r="R1277" s="3">
        <f t="shared" si="78"/>
        <v>6.8599999999999998E-3</v>
      </c>
      <c r="S1277">
        <f t="shared" si="79"/>
        <v>29</v>
      </c>
      <c r="T1277">
        <f>INDEX([1]IDEN_level_ids!$B:$B,MATCH(G1277,[1]IDEN_level_ids!$A:$A,0),1)</f>
        <v>1213</v>
      </c>
      <c r="U1277">
        <f>INDEX([1]IDEN_level_ids!$B:$B,MATCH(H1277,[1]IDEN_level_ids!$A:$A,0),1)</f>
        <v>967</v>
      </c>
    </row>
    <row r="1278" spans="1:21" hidden="1" x14ac:dyDescent="0.25">
      <c r="A1278">
        <v>59749.186600000001</v>
      </c>
      <c r="B1278">
        <v>1673.663</v>
      </c>
      <c r="C1278">
        <v>8</v>
      </c>
      <c r="D1278" t="s">
        <v>488</v>
      </c>
      <c r="F1278">
        <v>1969</v>
      </c>
      <c r="G1278" s="1" t="s">
        <v>187</v>
      </c>
      <c r="H1278" s="1" t="s">
        <v>482</v>
      </c>
      <c r="I1278">
        <v>-2.0000000000000001E-4</v>
      </c>
      <c r="J1278">
        <v>59749.417200000004</v>
      </c>
      <c r="K1278">
        <v>6.4599999999999996E-3</v>
      </c>
      <c r="L1278">
        <v>6.8599999999999998E-3</v>
      </c>
      <c r="M1278">
        <v>0.245</v>
      </c>
      <c r="N1278">
        <v>3.1699999999999999E-2</v>
      </c>
      <c r="O1278">
        <v>7.0899999999999999E-3</v>
      </c>
      <c r="P1278" s="3">
        <f t="shared" si="76"/>
        <v>1673.6629515890347</v>
      </c>
      <c r="Q1278" s="3">
        <f t="shared" si="77"/>
        <v>6.4594216098612378E-3</v>
      </c>
      <c r="R1278" s="3">
        <f t="shared" si="78"/>
        <v>6.8599999999999998E-3</v>
      </c>
      <c r="S1278">
        <f t="shared" si="79"/>
        <v>29</v>
      </c>
      <c r="T1278">
        <f>INDEX([1]IDEN_level_ids!$B:$B,MATCH(G1278,[1]IDEN_level_ids!$A:$A,0),1)</f>
        <v>1204</v>
      </c>
      <c r="U1278">
        <f>INDEX([1]IDEN_level_ids!$B:$B,MATCH(H1278,[1]IDEN_level_ids!$A:$A,0),1)</f>
        <v>957</v>
      </c>
    </row>
    <row r="1279" spans="1:21" hidden="1" x14ac:dyDescent="0.25">
      <c r="A1279">
        <v>59734.5141</v>
      </c>
      <c r="B1279">
        <v>1674.0741</v>
      </c>
      <c r="C1279">
        <v>8</v>
      </c>
      <c r="D1279" t="s">
        <v>488</v>
      </c>
      <c r="E1279" t="s">
        <v>45</v>
      </c>
      <c r="F1279">
        <v>1969</v>
      </c>
      <c r="G1279" s="1" t="s">
        <v>273</v>
      </c>
      <c r="H1279" s="1" t="s">
        <v>444</v>
      </c>
      <c r="I1279">
        <v>0</v>
      </c>
      <c r="J1279">
        <v>59734.225599999998</v>
      </c>
      <c r="K1279">
        <v>-8.09E-3</v>
      </c>
      <c r="L1279">
        <v>1.3509999999999999E-2</v>
      </c>
      <c r="M1279">
        <v>0.48199999999999998</v>
      </c>
      <c r="N1279">
        <v>1.89E-2</v>
      </c>
      <c r="O1279">
        <v>1.3769999999999999E-2</v>
      </c>
      <c r="P1279" s="3">
        <f t="shared" si="76"/>
        <v>1674.0740509346506</v>
      </c>
      <c r="Q1279" s="3">
        <f t="shared" si="77"/>
        <v>-8.0853205820403673E-3</v>
      </c>
      <c r="R1279" s="3">
        <f t="shared" si="78"/>
        <v>1.3509999999999999E-2</v>
      </c>
      <c r="S1279">
        <f t="shared" si="79"/>
        <v>29</v>
      </c>
      <c r="T1279">
        <f>INDEX([1]IDEN_level_ids!$B:$B,MATCH(G1279,[1]IDEN_level_ids!$A:$A,0),1)</f>
        <v>1105</v>
      </c>
      <c r="U1279">
        <f>INDEX([1]IDEN_level_ids!$B:$B,MATCH(H1279,[1]IDEN_level_ids!$A:$A,0),1)</f>
        <v>898</v>
      </c>
    </row>
    <row r="1280" spans="1:21" hidden="1" x14ac:dyDescent="0.25">
      <c r="A1280">
        <v>59619.125899999999</v>
      </c>
      <c r="B1280">
        <v>1677.3141000000001</v>
      </c>
      <c r="C1280">
        <v>8</v>
      </c>
      <c r="D1280" t="s">
        <v>488</v>
      </c>
      <c r="E1280" t="s">
        <v>45</v>
      </c>
      <c r="F1280">
        <v>1969</v>
      </c>
      <c r="G1280" s="1" t="s">
        <v>492</v>
      </c>
      <c r="H1280" s="1" t="s">
        <v>364</v>
      </c>
      <c r="I1280">
        <v>0.17580000000000001</v>
      </c>
      <c r="J1280">
        <v>59619.537600000003</v>
      </c>
      <c r="K1280">
        <v>1.158E-2</v>
      </c>
      <c r="L1280">
        <v>1.3559999999999999E-2</v>
      </c>
      <c r="M1280">
        <v>0.48199999999999998</v>
      </c>
      <c r="N1280">
        <v>3.7100000000000001E-2</v>
      </c>
      <c r="O1280">
        <v>1.4080000000000001E-2</v>
      </c>
      <c r="P1280" s="3">
        <f t="shared" si="76"/>
        <v>1677.3140915841573</v>
      </c>
      <c r="Q1280" s="3">
        <f t="shared" si="77"/>
        <v>1.158261602336097E-2</v>
      </c>
      <c r="R1280" s="3">
        <f t="shared" si="78"/>
        <v>1.3559999999999999E-2</v>
      </c>
      <c r="S1280">
        <f t="shared" si="79"/>
        <v>29</v>
      </c>
      <c r="T1280">
        <f>INDEX([1]IDEN_level_ids!$B:$B,MATCH(G1280,[1]IDEN_level_ids!$A:$A,0),1)</f>
        <v>1132</v>
      </c>
      <c r="U1280">
        <f>INDEX([1]IDEN_level_ids!$B:$B,MATCH(H1280,[1]IDEN_level_ids!$A:$A,0),1)</f>
        <v>903</v>
      </c>
    </row>
    <row r="1281" spans="1:21" hidden="1" x14ac:dyDescent="0.25">
      <c r="A1281">
        <v>59494.024100000002</v>
      </c>
      <c r="B1281">
        <v>1680.8411000000001</v>
      </c>
      <c r="C1281">
        <v>8</v>
      </c>
      <c r="D1281" t="s">
        <v>488</v>
      </c>
      <c r="F1281">
        <v>1969</v>
      </c>
      <c r="G1281" s="1" t="s">
        <v>94</v>
      </c>
      <c r="H1281" s="1" t="s">
        <v>493</v>
      </c>
      <c r="I1281">
        <v>0.1031</v>
      </c>
      <c r="J1281">
        <v>59494.207000000002</v>
      </c>
      <c r="K1281">
        <v>5.1700000000000001E-3</v>
      </c>
      <c r="L1281">
        <v>6.9199999999999999E-3</v>
      </c>
      <c r="M1281">
        <v>0.245</v>
      </c>
      <c r="N1281">
        <v>3.2399999999999998E-2</v>
      </c>
      <c r="O1281">
        <v>7.1500000000000001E-3</v>
      </c>
      <c r="P1281" s="3">
        <f t="shared" si="76"/>
        <v>1680.8410846762674</v>
      </c>
      <c r="Q1281" s="3">
        <f t="shared" si="77"/>
        <v>5.167323843579652E-3</v>
      </c>
      <c r="R1281" s="3">
        <f t="shared" si="78"/>
        <v>6.9199999999999999E-3</v>
      </c>
      <c r="S1281">
        <f t="shared" si="79"/>
        <v>29</v>
      </c>
      <c r="T1281">
        <f>INDEX([1]IDEN_level_ids!$B:$B,MATCH(G1281,[1]IDEN_level_ids!$A:$A,0),1)</f>
        <v>1207</v>
      </c>
      <c r="U1281">
        <f>INDEX([1]IDEN_level_ids!$B:$B,MATCH(H1281,[1]IDEN_level_ids!$A:$A,0),1)</f>
        <v>963</v>
      </c>
    </row>
    <row r="1282" spans="1:21" hidden="1" x14ac:dyDescent="0.25">
      <c r="A1282">
        <v>59386.406900000002</v>
      </c>
      <c r="B1282">
        <v>1683.8869999999999</v>
      </c>
      <c r="C1282">
        <v>8</v>
      </c>
      <c r="D1282" t="s">
        <v>488</v>
      </c>
      <c r="F1282">
        <v>1969</v>
      </c>
      <c r="G1282" s="1" t="s">
        <v>326</v>
      </c>
      <c r="H1282" s="1" t="s">
        <v>435</v>
      </c>
      <c r="I1282">
        <v>-0.73750000000000004</v>
      </c>
      <c r="J1282">
        <v>59386.515099999997</v>
      </c>
      <c r="K1282">
        <v>3.0699999999999998E-3</v>
      </c>
      <c r="L1282">
        <v>6.9499999999999996E-3</v>
      </c>
      <c r="M1282">
        <v>0.245</v>
      </c>
      <c r="N1282">
        <v>0.16020000000000001</v>
      </c>
      <c r="O1282">
        <v>8.2699999999999996E-3</v>
      </c>
      <c r="P1282" s="3">
        <f t="shared" ref="P1282:P1345" si="80">100000000/$A1282</f>
        <v>1683.8870243217223</v>
      </c>
      <c r="Q1282" s="3">
        <f t="shared" ref="Q1282:Q1345" si="81">100000000/($A1282)-100000000/$J1282</f>
        <v>3.067978912667968E-3</v>
      </c>
      <c r="R1282" s="3">
        <f t="shared" si="78"/>
        <v>6.9499999999999996E-3</v>
      </c>
      <c r="S1282">
        <f t="shared" si="79"/>
        <v>29</v>
      </c>
      <c r="T1282">
        <f>INDEX([1]IDEN_level_ids!$B:$B,MATCH(G1282,[1]IDEN_level_ids!$A:$A,0),1)</f>
        <v>1148</v>
      </c>
      <c r="U1282">
        <f>INDEX([1]IDEN_level_ids!$B:$B,MATCH(H1282,[1]IDEN_level_ids!$A:$A,0),1)</f>
        <v>917</v>
      </c>
    </row>
    <row r="1283" spans="1:21" hidden="1" x14ac:dyDescent="0.25">
      <c r="A1283">
        <v>59361.874900000003</v>
      </c>
      <c r="B1283">
        <v>1684.5829000000001</v>
      </c>
      <c r="C1283">
        <v>8</v>
      </c>
      <c r="D1283" t="s">
        <v>488</v>
      </c>
      <c r="F1283">
        <v>1969</v>
      </c>
      <c r="G1283" s="1" t="s">
        <v>466</v>
      </c>
      <c r="H1283" s="1" t="s">
        <v>494</v>
      </c>
      <c r="I1283">
        <v>-0.28410000000000002</v>
      </c>
      <c r="J1283">
        <v>59362.072699999997</v>
      </c>
      <c r="K1283">
        <v>5.6100000000000004E-3</v>
      </c>
      <c r="L1283">
        <v>6.9499999999999996E-3</v>
      </c>
      <c r="M1283">
        <v>0.245</v>
      </c>
      <c r="N1283">
        <v>0.15590000000000001</v>
      </c>
      <c r="O1283">
        <v>8.2400000000000008E-3</v>
      </c>
      <c r="P1283" s="3">
        <f t="shared" si="80"/>
        <v>1684.5829106384913</v>
      </c>
      <c r="Q1283" s="3">
        <f t="shared" si="81"/>
        <v>5.6131884309706948E-3</v>
      </c>
      <c r="R1283" s="3">
        <f t="shared" ref="R1283:R1346" si="82">$L1283</f>
        <v>6.9499999999999996E-3</v>
      </c>
      <c r="S1283">
        <f t="shared" si="79"/>
        <v>29</v>
      </c>
      <c r="T1283">
        <f>INDEX([1]IDEN_level_ids!$B:$B,MATCH(G1283,[1]IDEN_level_ids!$A:$A,0),1)</f>
        <v>1061</v>
      </c>
      <c r="U1283">
        <f>INDEX([1]IDEN_level_ids!$B:$B,MATCH(H1283,[1]IDEN_level_ids!$A:$A,0),1)</f>
        <v>592</v>
      </c>
    </row>
    <row r="1284" spans="1:21" hidden="1" x14ac:dyDescent="0.25">
      <c r="A1284">
        <v>59346.0167</v>
      </c>
      <c r="B1284">
        <v>1685.0331000000001</v>
      </c>
      <c r="C1284">
        <v>8</v>
      </c>
      <c r="D1284" t="s">
        <v>488</v>
      </c>
      <c r="F1284">
        <v>1969</v>
      </c>
      <c r="G1284" s="1" t="s">
        <v>279</v>
      </c>
      <c r="H1284" s="1" t="s">
        <v>338</v>
      </c>
      <c r="I1284">
        <v>0.18920000000000001</v>
      </c>
      <c r="J1284">
        <v>59346.542099999999</v>
      </c>
      <c r="K1284">
        <v>1.4919999999999999E-2</v>
      </c>
      <c r="L1284">
        <v>6.96E-3</v>
      </c>
      <c r="M1284">
        <v>0.245</v>
      </c>
      <c r="N1284">
        <v>5.9900000000000002E-2</v>
      </c>
      <c r="O1284">
        <v>7.4000000000000003E-3</v>
      </c>
      <c r="P1284" s="3">
        <f t="shared" si="80"/>
        <v>1685.0330579979768</v>
      </c>
      <c r="Q1284" s="3">
        <f t="shared" si="81"/>
        <v>1.4917741410727103E-2</v>
      </c>
      <c r="R1284" s="3">
        <f t="shared" si="82"/>
        <v>6.96E-3</v>
      </c>
      <c r="S1284">
        <f t="shared" ref="S1284:S1347" si="83">IF(D1284=D1283,S1283,S1283+1)</f>
        <v>29</v>
      </c>
      <c r="T1284">
        <f>INDEX([1]IDEN_level_ids!$B:$B,MATCH(G1284,[1]IDEN_level_ids!$A:$A,0),1)</f>
        <v>1129</v>
      </c>
      <c r="U1284">
        <f>INDEX([1]IDEN_level_ids!$B:$B,MATCH(H1284,[1]IDEN_level_ids!$A:$A,0),1)</f>
        <v>904</v>
      </c>
    </row>
    <row r="1285" spans="1:21" hidden="1" x14ac:dyDescent="0.25">
      <c r="A1285">
        <v>59315.320699999997</v>
      </c>
      <c r="B1285">
        <v>1685.9050999999999</v>
      </c>
      <c r="C1285">
        <v>8</v>
      </c>
      <c r="D1285" t="s">
        <v>488</v>
      </c>
      <c r="F1285">
        <v>1969</v>
      </c>
      <c r="G1285" s="1" t="s">
        <v>243</v>
      </c>
      <c r="H1285" s="1" t="s">
        <v>495</v>
      </c>
      <c r="I1285">
        <v>9.74E-2</v>
      </c>
      <c r="J1285">
        <v>59315.608800000002</v>
      </c>
      <c r="K1285">
        <v>8.1899999999999994E-3</v>
      </c>
      <c r="L1285">
        <v>6.96E-3</v>
      </c>
      <c r="M1285">
        <v>0.245</v>
      </c>
      <c r="N1285">
        <v>2.98E-2</v>
      </c>
      <c r="O1285">
        <v>7.1799999999999998E-3</v>
      </c>
      <c r="P1285" s="3">
        <f t="shared" si="80"/>
        <v>1685.9050717397538</v>
      </c>
      <c r="Q1285" s="3">
        <f t="shared" si="81"/>
        <v>8.18855712691402E-3</v>
      </c>
      <c r="R1285" s="3">
        <f t="shared" si="82"/>
        <v>6.96E-3</v>
      </c>
      <c r="S1285">
        <f t="shared" si="83"/>
        <v>29</v>
      </c>
      <c r="T1285">
        <f>INDEX([1]IDEN_level_ids!$B:$B,MATCH(G1285,[1]IDEN_level_ids!$A:$A,0),1)</f>
        <v>1205</v>
      </c>
      <c r="U1285">
        <f>INDEX([1]IDEN_level_ids!$B:$B,MATCH(H1285,[1]IDEN_level_ids!$A:$A,0),1)</f>
        <v>960</v>
      </c>
    </row>
    <row r="1286" spans="1:21" hidden="1" x14ac:dyDescent="0.25">
      <c r="A1286">
        <v>59178.600899999998</v>
      </c>
      <c r="B1286">
        <v>1689.8</v>
      </c>
      <c r="C1286">
        <v>8</v>
      </c>
      <c r="D1286" t="s">
        <v>488</v>
      </c>
      <c r="F1286">
        <v>1969</v>
      </c>
      <c r="G1286" s="1" t="s">
        <v>216</v>
      </c>
      <c r="H1286" s="1" t="s">
        <v>496</v>
      </c>
      <c r="I1286">
        <v>0</v>
      </c>
      <c r="J1286">
        <v>59178.939599999998</v>
      </c>
      <c r="K1286">
        <v>9.6699999999999998E-3</v>
      </c>
      <c r="L1286">
        <v>7.0000000000000001E-3</v>
      </c>
      <c r="M1286">
        <v>0.245</v>
      </c>
      <c r="N1286">
        <v>3.3500000000000002E-2</v>
      </c>
      <c r="O1286">
        <v>7.2399999999999999E-3</v>
      </c>
      <c r="P1286" s="3">
        <f t="shared" si="80"/>
        <v>1689.8000033657438</v>
      </c>
      <c r="Q1286" s="3">
        <f t="shared" si="81"/>
        <v>9.6712659101285681E-3</v>
      </c>
      <c r="R1286" s="3">
        <f t="shared" si="82"/>
        <v>7.0000000000000001E-3</v>
      </c>
      <c r="S1286">
        <f t="shared" si="83"/>
        <v>29</v>
      </c>
      <c r="T1286">
        <f>INDEX([1]IDEN_level_ids!$B:$B,MATCH(G1286,[1]IDEN_level_ids!$A:$A,0),1)</f>
        <v>1170</v>
      </c>
      <c r="U1286">
        <f>INDEX([1]IDEN_level_ids!$B:$B,MATCH(H1286,[1]IDEN_level_ids!$A:$A,0),1)</f>
        <v>944</v>
      </c>
    </row>
    <row r="1287" spans="1:21" hidden="1" x14ac:dyDescent="0.25">
      <c r="A1287">
        <v>59074.909399999997</v>
      </c>
      <c r="B1287">
        <v>1692.7660000000001</v>
      </c>
      <c r="C1287">
        <v>8</v>
      </c>
      <c r="D1287" t="s">
        <v>488</v>
      </c>
      <c r="F1287">
        <v>1969</v>
      </c>
      <c r="G1287" s="1" t="s">
        <v>279</v>
      </c>
      <c r="H1287" s="1" t="s">
        <v>373</v>
      </c>
      <c r="I1287">
        <v>0.18920000000000001</v>
      </c>
      <c r="J1287">
        <v>59075.378199999999</v>
      </c>
      <c r="K1287">
        <v>1.3429999999999999E-2</v>
      </c>
      <c r="L1287">
        <v>7.0200000000000002E-3</v>
      </c>
      <c r="M1287">
        <v>0.245</v>
      </c>
      <c r="N1287">
        <v>0.13059999999999999</v>
      </c>
      <c r="O1287">
        <v>8.0700000000000008E-3</v>
      </c>
      <c r="P1287" s="3">
        <f t="shared" si="80"/>
        <v>1692.7660324096919</v>
      </c>
      <c r="Q1287" s="3">
        <f t="shared" si="81"/>
        <v>1.3433155067104963E-2</v>
      </c>
      <c r="R1287" s="3">
        <f t="shared" si="82"/>
        <v>7.0200000000000002E-3</v>
      </c>
      <c r="S1287">
        <f t="shared" si="83"/>
        <v>29</v>
      </c>
      <c r="T1287">
        <f>INDEX([1]IDEN_level_ids!$B:$B,MATCH(G1287,[1]IDEN_level_ids!$A:$A,0),1)</f>
        <v>1129</v>
      </c>
      <c r="U1287">
        <f>INDEX([1]IDEN_level_ids!$B:$B,MATCH(H1287,[1]IDEN_level_ids!$A:$A,0),1)</f>
        <v>906</v>
      </c>
    </row>
    <row r="1288" spans="1:21" hidden="1" x14ac:dyDescent="0.25">
      <c r="A1288">
        <v>59012.8194</v>
      </c>
      <c r="B1288">
        <v>1694.5471</v>
      </c>
      <c r="C1288">
        <v>8</v>
      </c>
      <c r="D1288" t="s">
        <v>488</v>
      </c>
      <c r="F1288">
        <v>1969</v>
      </c>
      <c r="G1288" s="1" t="s">
        <v>85</v>
      </c>
      <c r="H1288" s="1" t="s">
        <v>497</v>
      </c>
      <c r="I1288">
        <v>0.3352</v>
      </c>
      <c r="J1288">
        <v>59012.633199999997</v>
      </c>
      <c r="K1288">
        <v>-5.3499999999999997E-3</v>
      </c>
      <c r="L1288">
        <v>7.0299999999999998E-3</v>
      </c>
      <c r="M1288">
        <v>0.245</v>
      </c>
      <c r="N1288">
        <v>4.5100000000000001E-2</v>
      </c>
      <c r="O1288">
        <v>7.3699999999999998E-3</v>
      </c>
      <c r="P1288" s="3">
        <f t="shared" si="80"/>
        <v>1694.5470664972161</v>
      </c>
      <c r="Q1288" s="3">
        <f t="shared" si="81"/>
        <v>-5.3467308046037942E-3</v>
      </c>
      <c r="R1288" s="3">
        <f t="shared" si="82"/>
        <v>7.0299999999999998E-3</v>
      </c>
      <c r="S1288">
        <f t="shared" si="83"/>
        <v>29</v>
      </c>
      <c r="T1288">
        <f>INDEX([1]IDEN_level_ids!$B:$B,MATCH(G1288,[1]IDEN_level_ids!$A:$A,0),1)</f>
        <v>1168</v>
      </c>
      <c r="U1288">
        <f>INDEX([1]IDEN_level_ids!$B:$B,MATCH(H1288,[1]IDEN_level_ids!$A:$A,0),1)</f>
        <v>935</v>
      </c>
    </row>
    <row r="1289" spans="1:21" hidden="1" x14ac:dyDescent="0.25">
      <c r="A1289">
        <v>59000.673499999997</v>
      </c>
      <c r="B1289">
        <v>1694.8959</v>
      </c>
      <c r="C1289">
        <v>8</v>
      </c>
      <c r="D1289" t="s">
        <v>488</v>
      </c>
      <c r="F1289">
        <v>1969</v>
      </c>
      <c r="G1289" s="1" t="s">
        <v>216</v>
      </c>
      <c r="H1289" s="1" t="s">
        <v>389</v>
      </c>
      <c r="I1289">
        <v>0.23219999999999999</v>
      </c>
      <c r="J1289">
        <v>59000.8416</v>
      </c>
      <c r="K1289">
        <v>4.8300000000000001E-3</v>
      </c>
      <c r="L1289">
        <v>7.0400000000000003E-3</v>
      </c>
      <c r="M1289">
        <v>0.245</v>
      </c>
      <c r="N1289">
        <v>3.2300000000000002E-2</v>
      </c>
      <c r="O1289">
        <v>7.2700000000000004E-3</v>
      </c>
      <c r="P1289" s="3">
        <f t="shared" si="80"/>
        <v>1694.895906569609</v>
      </c>
      <c r="Q1289" s="3">
        <f t="shared" si="81"/>
        <v>4.8289480992025346E-3</v>
      </c>
      <c r="R1289" s="3">
        <f t="shared" si="82"/>
        <v>7.0400000000000003E-3</v>
      </c>
      <c r="S1289">
        <f t="shared" si="83"/>
        <v>29</v>
      </c>
      <c r="T1289">
        <f>INDEX([1]IDEN_level_ids!$B:$B,MATCH(G1289,[1]IDEN_level_ids!$A:$A,0),1)</f>
        <v>1170</v>
      </c>
      <c r="U1289">
        <f>INDEX([1]IDEN_level_ids!$B:$B,MATCH(H1289,[1]IDEN_level_ids!$A:$A,0),1)</f>
        <v>942</v>
      </c>
    </row>
    <row r="1290" spans="1:21" hidden="1" x14ac:dyDescent="0.25">
      <c r="A1290">
        <v>58959.515899999999</v>
      </c>
      <c r="B1290">
        <v>1696.0790999999999</v>
      </c>
      <c r="C1290">
        <v>8</v>
      </c>
      <c r="D1290" t="s">
        <v>488</v>
      </c>
      <c r="F1290">
        <v>1969</v>
      </c>
      <c r="G1290" s="1" t="s">
        <v>180</v>
      </c>
      <c r="H1290" s="1" t="s">
        <v>498</v>
      </c>
      <c r="I1290">
        <v>0</v>
      </c>
      <c r="J1290">
        <v>58959.667300000001</v>
      </c>
      <c r="K1290">
        <v>4.3499999999999997E-3</v>
      </c>
      <c r="L1290">
        <v>7.0499999999999998E-3</v>
      </c>
      <c r="M1290">
        <v>0.245</v>
      </c>
      <c r="N1290">
        <v>3.2199999999999999E-2</v>
      </c>
      <c r="O1290">
        <v>7.28E-3</v>
      </c>
      <c r="P1290" s="3">
        <f t="shared" si="80"/>
        <v>1696.0790548146276</v>
      </c>
      <c r="Q1290" s="3">
        <f t="shared" si="81"/>
        <v>4.3552886349971232E-3</v>
      </c>
      <c r="R1290" s="3">
        <f t="shared" si="82"/>
        <v>7.0499999999999998E-3</v>
      </c>
      <c r="S1290">
        <f t="shared" si="83"/>
        <v>29</v>
      </c>
      <c r="T1290">
        <f>INDEX([1]IDEN_level_ids!$B:$B,MATCH(G1290,[1]IDEN_level_ids!$A:$A,0),1)</f>
        <v>1184</v>
      </c>
      <c r="U1290">
        <f>INDEX([1]IDEN_level_ids!$B:$B,MATCH(H1290,[1]IDEN_level_ids!$A:$A,0),1)</f>
        <v>953</v>
      </c>
    </row>
    <row r="1291" spans="1:21" hidden="1" x14ac:dyDescent="0.25">
      <c r="A1291">
        <v>58868.924800000001</v>
      </c>
      <c r="B1291">
        <v>1698.6891000000001</v>
      </c>
      <c r="C1291">
        <v>8</v>
      </c>
      <c r="D1291" t="s">
        <v>488</v>
      </c>
      <c r="F1291">
        <v>1969</v>
      </c>
      <c r="G1291" s="1" t="s">
        <v>239</v>
      </c>
      <c r="H1291" s="1" t="s">
        <v>479</v>
      </c>
      <c r="I1291">
        <v>0</v>
      </c>
      <c r="J1291">
        <v>58869.1538</v>
      </c>
      <c r="K1291">
        <v>6.6100000000000004E-3</v>
      </c>
      <c r="L1291">
        <v>7.0699999999999999E-3</v>
      </c>
      <c r="M1291">
        <v>0.245</v>
      </c>
      <c r="N1291">
        <v>3.4500000000000003E-2</v>
      </c>
      <c r="O1291">
        <v>7.3200000000000001E-3</v>
      </c>
      <c r="P1291" s="3">
        <f t="shared" si="80"/>
        <v>1698.6890849414665</v>
      </c>
      <c r="Q1291" s="3">
        <f t="shared" si="81"/>
        <v>6.6078714462491916E-3</v>
      </c>
      <c r="R1291" s="3">
        <f t="shared" si="82"/>
        <v>7.0699999999999999E-3</v>
      </c>
      <c r="S1291">
        <f t="shared" si="83"/>
        <v>29</v>
      </c>
      <c r="T1291">
        <f>INDEX([1]IDEN_level_ids!$B:$B,MATCH(G1291,[1]IDEN_level_ids!$A:$A,0),1)</f>
        <v>1167</v>
      </c>
      <c r="U1291">
        <f>INDEX([1]IDEN_level_ids!$B:$B,MATCH(H1291,[1]IDEN_level_ids!$A:$A,0),1)</f>
        <v>939</v>
      </c>
    </row>
    <row r="1292" spans="1:21" hidden="1" x14ac:dyDescent="0.25">
      <c r="A1292">
        <v>58843.739300000001</v>
      </c>
      <c r="B1292">
        <v>1699.4160999999999</v>
      </c>
      <c r="C1292">
        <v>8</v>
      </c>
      <c r="D1292" t="s">
        <v>488</v>
      </c>
      <c r="F1292">
        <v>1969</v>
      </c>
      <c r="G1292" s="1" t="s">
        <v>462</v>
      </c>
      <c r="H1292" s="1" t="s">
        <v>499</v>
      </c>
      <c r="I1292">
        <v>-0.27239999999999998</v>
      </c>
      <c r="J1292">
        <v>58844.005599999997</v>
      </c>
      <c r="K1292">
        <v>7.6899999999999998E-3</v>
      </c>
      <c r="L1292">
        <v>7.0800000000000004E-3</v>
      </c>
      <c r="M1292">
        <v>0.245</v>
      </c>
      <c r="N1292">
        <v>0.34699999999999998</v>
      </c>
      <c r="O1292">
        <v>1.0829999999999999E-2</v>
      </c>
      <c r="P1292" s="3">
        <f t="shared" si="80"/>
        <v>1699.4161348274479</v>
      </c>
      <c r="Q1292" s="3">
        <f t="shared" si="81"/>
        <v>7.6907496707008249E-3</v>
      </c>
      <c r="R1292" s="3">
        <f t="shared" si="82"/>
        <v>7.0800000000000004E-3</v>
      </c>
      <c r="S1292">
        <f t="shared" si="83"/>
        <v>29</v>
      </c>
      <c r="T1292">
        <f>INDEX([1]IDEN_level_ids!$B:$B,MATCH(G1292,[1]IDEN_level_ids!$A:$A,0),1)</f>
        <v>1047</v>
      </c>
      <c r="U1292">
        <f>INDEX([1]IDEN_level_ids!$B:$B,MATCH(H1292,[1]IDEN_level_ids!$A:$A,0),1)</f>
        <v>576</v>
      </c>
    </row>
    <row r="1293" spans="1:21" hidden="1" x14ac:dyDescent="0.25">
      <c r="A1293">
        <v>58819.100599999998</v>
      </c>
      <c r="B1293">
        <v>1700.1279999999999</v>
      </c>
      <c r="C1293">
        <v>8</v>
      </c>
      <c r="D1293" t="s">
        <v>500</v>
      </c>
      <c r="F1293">
        <v>1969</v>
      </c>
      <c r="G1293" s="1" t="s">
        <v>83</v>
      </c>
      <c r="H1293" s="1" t="s">
        <v>440</v>
      </c>
      <c r="I1293">
        <v>0.25940000000000002</v>
      </c>
      <c r="J1293">
        <v>58819.2595</v>
      </c>
      <c r="K1293">
        <v>4.5900000000000003E-3</v>
      </c>
      <c r="L1293">
        <v>7.0800000000000004E-3</v>
      </c>
      <c r="M1293">
        <v>0.245</v>
      </c>
      <c r="N1293">
        <v>3.32E-2</v>
      </c>
      <c r="O1293">
        <v>7.3200000000000001E-3</v>
      </c>
      <c r="P1293" s="3">
        <f t="shared" si="80"/>
        <v>1700.1280022972674</v>
      </c>
      <c r="Q1293" s="3">
        <f t="shared" si="81"/>
        <v>4.5928891636322078E-3</v>
      </c>
      <c r="R1293" s="3">
        <f t="shared" si="82"/>
        <v>7.0800000000000004E-3</v>
      </c>
      <c r="S1293">
        <f t="shared" si="83"/>
        <v>30</v>
      </c>
      <c r="T1293">
        <f>INDEX([1]IDEN_level_ids!$B:$B,MATCH(G1293,[1]IDEN_level_ids!$A:$A,0),1)</f>
        <v>1175</v>
      </c>
      <c r="U1293">
        <f>INDEX([1]IDEN_level_ids!$B:$B,MATCH(H1293,[1]IDEN_level_ids!$A:$A,0),1)</f>
        <v>948</v>
      </c>
    </row>
    <row r="1294" spans="1:21" hidden="1" x14ac:dyDescent="0.25">
      <c r="A1294">
        <v>58790.606</v>
      </c>
      <c r="B1294">
        <v>1700.952</v>
      </c>
      <c r="C1294">
        <v>8</v>
      </c>
      <c r="D1294" t="s">
        <v>500</v>
      </c>
      <c r="F1294">
        <v>1969</v>
      </c>
      <c r="G1294" s="1" t="s">
        <v>141</v>
      </c>
      <c r="H1294" s="1" t="s">
        <v>405</v>
      </c>
      <c r="I1294">
        <v>0</v>
      </c>
      <c r="J1294">
        <v>58790.699000000001</v>
      </c>
      <c r="K1294">
        <v>2.6900000000000001E-3</v>
      </c>
      <c r="L1294">
        <v>7.0899999999999999E-3</v>
      </c>
      <c r="M1294">
        <v>0.245</v>
      </c>
      <c r="N1294">
        <v>7.3400000000000007E-2</v>
      </c>
      <c r="O1294">
        <v>7.6499999999999997E-3</v>
      </c>
      <c r="P1294" s="3">
        <f t="shared" si="80"/>
        <v>1700.9520194433785</v>
      </c>
      <c r="Q1294" s="3">
        <f t="shared" si="81"/>
        <v>2.6907068720447569E-3</v>
      </c>
      <c r="R1294" s="3">
        <f t="shared" si="82"/>
        <v>7.0899999999999999E-3</v>
      </c>
      <c r="S1294">
        <f t="shared" si="83"/>
        <v>30</v>
      </c>
      <c r="T1294">
        <f>INDEX([1]IDEN_level_ids!$B:$B,MATCH(G1294,[1]IDEN_level_ids!$A:$A,0),1)</f>
        <v>1155</v>
      </c>
      <c r="U1294">
        <f>INDEX([1]IDEN_level_ids!$B:$B,MATCH(H1294,[1]IDEN_level_ids!$A:$A,0),1)</f>
        <v>927</v>
      </c>
    </row>
    <row r="1295" spans="1:21" hidden="1" x14ac:dyDescent="0.25">
      <c r="A1295">
        <v>58745.222800000003</v>
      </c>
      <c r="B1295">
        <v>1702.2661000000001</v>
      </c>
      <c r="C1295">
        <v>8</v>
      </c>
      <c r="D1295" t="s">
        <v>500</v>
      </c>
      <c r="F1295">
        <v>1969</v>
      </c>
      <c r="G1295" s="1" t="s">
        <v>193</v>
      </c>
      <c r="H1295" s="1" t="s">
        <v>495</v>
      </c>
      <c r="I1295">
        <v>9.74E-2</v>
      </c>
      <c r="J1295">
        <v>58745.182500000003</v>
      </c>
      <c r="K1295">
        <v>-1.17E-3</v>
      </c>
      <c r="L1295">
        <v>7.1000000000000004E-3</v>
      </c>
      <c r="M1295">
        <v>0.245</v>
      </c>
      <c r="N1295">
        <v>2.9700000000000001E-2</v>
      </c>
      <c r="O1295">
        <v>7.3200000000000001E-3</v>
      </c>
      <c r="P1295" s="3">
        <f t="shared" si="80"/>
        <v>1702.2660777107478</v>
      </c>
      <c r="Q1295" s="3">
        <f t="shared" si="81"/>
        <v>-1.1677778502416913E-3</v>
      </c>
      <c r="R1295" s="3">
        <f t="shared" si="82"/>
        <v>7.1000000000000004E-3</v>
      </c>
      <c r="S1295">
        <f t="shared" si="83"/>
        <v>30</v>
      </c>
      <c r="T1295">
        <f>INDEX([1]IDEN_level_ids!$B:$B,MATCH(G1295,[1]IDEN_level_ids!$A:$A,0),1)</f>
        <v>1202</v>
      </c>
      <c r="U1295">
        <f>INDEX([1]IDEN_level_ids!$B:$B,MATCH(H1295,[1]IDEN_level_ids!$A:$A,0),1)</f>
        <v>960</v>
      </c>
    </row>
    <row r="1296" spans="1:21" hidden="1" x14ac:dyDescent="0.25">
      <c r="A1296">
        <v>58626.786399999997</v>
      </c>
      <c r="B1296">
        <v>1705.7049999999999</v>
      </c>
      <c r="C1296">
        <v>8</v>
      </c>
      <c r="D1296" t="s">
        <v>500</v>
      </c>
      <c r="E1296" t="s">
        <v>45</v>
      </c>
      <c r="F1296">
        <v>1969</v>
      </c>
      <c r="G1296" s="1" t="s">
        <v>301</v>
      </c>
      <c r="H1296" s="1" t="s">
        <v>405</v>
      </c>
      <c r="I1296">
        <v>-0.71730000000000005</v>
      </c>
      <c r="J1296">
        <v>58626.561600000001</v>
      </c>
      <c r="K1296">
        <v>-6.5399999999999998E-3</v>
      </c>
      <c r="L1296">
        <v>1.4019999999999999E-2</v>
      </c>
      <c r="M1296">
        <v>0.48199999999999998</v>
      </c>
      <c r="N1296">
        <v>2.46E-2</v>
      </c>
      <c r="O1296">
        <v>1.438E-2</v>
      </c>
      <c r="P1296" s="3">
        <f t="shared" si="80"/>
        <v>1705.7049540071671</v>
      </c>
      <c r="Q1296" s="3">
        <f t="shared" si="81"/>
        <v>-6.5404223475979961E-3</v>
      </c>
      <c r="R1296" s="3">
        <f t="shared" si="82"/>
        <v>1.4019999999999999E-2</v>
      </c>
      <c r="S1296">
        <f t="shared" si="83"/>
        <v>30</v>
      </c>
      <c r="T1296">
        <f>INDEX([1]IDEN_level_ids!$B:$B,MATCH(G1296,[1]IDEN_level_ids!$A:$A,0),1)</f>
        <v>1154</v>
      </c>
      <c r="U1296">
        <f>INDEX([1]IDEN_level_ids!$B:$B,MATCH(H1296,[1]IDEN_level_ids!$A:$A,0),1)</f>
        <v>927</v>
      </c>
    </row>
    <row r="1297" spans="1:21" hidden="1" x14ac:dyDescent="0.25">
      <c r="A1297">
        <v>58591.126300000004</v>
      </c>
      <c r="B1297">
        <v>1706.7430999999999</v>
      </c>
      <c r="C1297">
        <v>8</v>
      </c>
      <c r="D1297" t="s">
        <v>500</v>
      </c>
      <c r="F1297">
        <v>1969</v>
      </c>
      <c r="G1297" s="1" t="s">
        <v>94</v>
      </c>
      <c r="H1297" s="1" t="s">
        <v>501</v>
      </c>
      <c r="I1297">
        <v>0.1444</v>
      </c>
      <c r="J1297">
        <v>58591.239300000001</v>
      </c>
      <c r="K1297">
        <v>3.29E-3</v>
      </c>
      <c r="L1297">
        <v>7.1399999999999996E-3</v>
      </c>
      <c r="M1297">
        <v>0.245</v>
      </c>
      <c r="N1297">
        <v>3.4099999999999998E-2</v>
      </c>
      <c r="O1297">
        <v>7.3899999999999999E-3</v>
      </c>
      <c r="P1297" s="3">
        <f t="shared" si="80"/>
        <v>1706.7430908901983</v>
      </c>
      <c r="Q1297" s="3">
        <f t="shared" si="81"/>
        <v>3.2916519869559124E-3</v>
      </c>
      <c r="R1297" s="3">
        <f t="shared" si="82"/>
        <v>7.1399999999999996E-3</v>
      </c>
      <c r="S1297">
        <f t="shared" si="83"/>
        <v>30</v>
      </c>
      <c r="T1297">
        <f>INDEX([1]IDEN_level_ids!$B:$B,MATCH(G1297,[1]IDEN_level_ids!$A:$A,0),1)</f>
        <v>1207</v>
      </c>
      <c r="U1297">
        <f>INDEX([1]IDEN_level_ids!$B:$B,MATCH(H1297,[1]IDEN_level_ids!$A:$A,0),1)</f>
        <v>969</v>
      </c>
    </row>
    <row r="1298" spans="1:21" hidden="1" x14ac:dyDescent="0.25">
      <c r="A1298">
        <v>58564.676299999999</v>
      </c>
      <c r="B1298">
        <v>1707.5138999999999</v>
      </c>
      <c r="C1298">
        <v>8</v>
      </c>
      <c r="D1298" t="s">
        <v>500</v>
      </c>
      <c r="F1298">
        <v>1969</v>
      </c>
      <c r="G1298" s="1" t="s">
        <v>207</v>
      </c>
      <c r="H1298" s="1" t="s">
        <v>502</v>
      </c>
      <c r="I1298">
        <v>3.4500000000000003E-2</v>
      </c>
      <c r="J1298">
        <v>58564.692199999998</v>
      </c>
      <c r="K1298">
        <v>4.6000000000000001E-4</v>
      </c>
      <c r="L1298">
        <v>7.1399999999999996E-3</v>
      </c>
      <c r="M1298">
        <v>0.245</v>
      </c>
      <c r="N1298">
        <v>2.93E-2</v>
      </c>
      <c r="O1298">
        <v>7.3600000000000002E-3</v>
      </c>
      <c r="P1298" s="3">
        <f t="shared" si="80"/>
        <v>1707.5139199565592</v>
      </c>
      <c r="Q1298" s="3">
        <f t="shared" si="81"/>
        <v>4.6358087615772092E-4</v>
      </c>
      <c r="R1298" s="3">
        <f t="shared" si="82"/>
        <v>7.1399999999999996E-3</v>
      </c>
      <c r="S1298">
        <f t="shared" si="83"/>
        <v>30</v>
      </c>
      <c r="T1298">
        <f>INDEX([1]IDEN_level_ids!$B:$B,MATCH(G1298,[1]IDEN_level_ids!$A:$A,0),1)</f>
        <v>1177</v>
      </c>
      <c r="U1298">
        <f>INDEX([1]IDEN_level_ids!$B:$B,MATCH(H1298,[1]IDEN_level_ids!$A:$A,0),1)</f>
        <v>952</v>
      </c>
    </row>
    <row r="1299" spans="1:21" hidden="1" x14ac:dyDescent="0.25">
      <c r="A1299">
        <v>58474.781199999998</v>
      </c>
      <c r="B1299">
        <v>1710.1388999999999</v>
      </c>
      <c r="C1299">
        <v>8</v>
      </c>
      <c r="D1299" t="s">
        <v>500</v>
      </c>
      <c r="F1299">
        <v>1969</v>
      </c>
      <c r="G1299" s="1" t="s">
        <v>239</v>
      </c>
      <c r="H1299" s="1" t="s">
        <v>503</v>
      </c>
      <c r="I1299">
        <v>3.8699999999999998E-2</v>
      </c>
      <c r="J1299">
        <v>58474.929199999999</v>
      </c>
      <c r="K1299">
        <v>4.3299999999999996E-3</v>
      </c>
      <c r="L1299">
        <v>7.1599999999999997E-3</v>
      </c>
      <c r="M1299">
        <v>0.245</v>
      </c>
      <c r="N1299">
        <v>0.03</v>
      </c>
      <c r="O1299">
        <v>7.3899999999999999E-3</v>
      </c>
      <c r="P1299" s="3">
        <f t="shared" si="80"/>
        <v>1710.1389342180216</v>
      </c>
      <c r="Q1299" s="3">
        <f t="shared" si="81"/>
        <v>4.3283603029067308E-3</v>
      </c>
      <c r="R1299" s="3">
        <f t="shared" si="82"/>
        <v>7.1599999999999997E-3</v>
      </c>
      <c r="S1299">
        <f t="shared" si="83"/>
        <v>30</v>
      </c>
      <c r="T1299">
        <f>INDEX([1]IDEN_level_ids!$B:$B,MATCH(G1299,[1]IDEN_level_ids!$A:$A,0),1)</f>
        <v>1167</v>
      </c>
      <c r="U1299">
        <f>INDEX([1]IDEN_level_ids!$B:$B,MATCH(H1299,[1]IDEN_level_ids!$A:$A,0),1)</f>
        <v>943</v>
      </c>
    </row>
    <row r="1300" spans="1:21" hidden="1" x14ac:dyDescent="0.25">
      <c r="A1300">
        <v>58409.232400000001</v>
      </c>
      <c r="B1300">
        <v>1712.0581</v>
      </c>
      <c r="C1300">
        <v>8</v>
      </c>
      <c r="D1300" t="s">
        <v>500</v>
      </c>
      <c r="F1300">
        <v>1969</v>
      </c>
      <c r="G1300" s="1" t="s">
        <v>477</v>
      </c>
      <c r="H1300" s="1" t="s">
        <v>499</v>
      </c>
      <c r="I1300">
        <v>-0.2382</v>
      </c>
      <c r="J1300">
        <v>58409.475400000003</v>
      </c>
      <c r="K1300">
        <v>7.1199999999999996E-3</v>
      </c>
      <c r="L1300">
        <v>7.1799999999999998E-3</v>
      </c>
      <c r="M1300">
        <v>0.245</v>
      </c>
      <c r="N1300">
        <v>0.34589999999999999</v>
      </c>
      <c r="O1300">
        <v>1.098E-2</v>
      </c>
      <c r="P1300" s="3">
        <f t="shared" si="80"/>
        <v>1712.0581094984566</v>
      </c>
      <c r="Q1300" s="3">
        <f t="shared" si="81"/>
        <v>7.1226477855361736E-3</v>
      </c>
      <c r="R1300" s="3">
        <f t="shared" si="82"/>
        <v>7.1799999999999998E-3</v>
      </c>
      <c r="S1300">
        <f t="shared" si="83"/>
        <v>30</v>
      </c>
      <c r="T1300">
        <f>INDEX([1]IDEN_level_ids!$B:$B,MATCH(G1300,[1]IDEN_level_ids!$A:$A,0),1)</f>
        <v>1045</v>
      </c>
      <c r="U1300">
        <f>INDEX([1]IDEN_level_ids!$B:$B,MATCH(H1300,[1]IDEN_level_ids!$A:$A,0),1)</f>
        <v>576</v>
      </c>
    </row>
    <row r="1301" spans="1:21" hidden="1" x14ac:dyDescent="0.25">
      <c r="A1301">
        <v>58382.296999999999</v>
      </c>
      <c r="B1301">
        <v>1712.848</v>
      </c>
      <c r="C1301">
        <v>8</v>
      </c>
      <c r="D1301" t="s">
        <v>500</v>
      </c>
      <c r="E1301" t="s">
        <v>45</v>
      </c>
      <c r="F1301">
        <v>1969</v>
      </c>
      <c r="G1301" s="1" t="s">
        <v>504</v>
      </c>
      <c r="H1301" s="1" t="s">
        <v>371</v>
      </c>
      <c r="I1301">
        <v>-0.6966</v>
      </c>
      <c r="J1301">
        <v>58382.114800000003</v>
      </c>
      <c r="K1301">
        <v>-5.3400000000000001E-3</v>
      </c>
      <c r="L1301">
        <v>1.414E-2</v>
      </c>
      <c r="M1301">
        <v>0.48199999999999998</v>
      </c>
      <c r="N1301">
        <v>3.56E-2</v>
      </c>
      <c r="O1301">
        <v>1.4659999999999999E-2</v>
      </c>
      <c r="P1301" s="3">
        <f t="shared" si="80"/>
        <v>1712.8479888346976</v>
      </c>
      <c r="Q1301" s="3">
        <f t="shared" si="81"/>
        <v>-5.3454881624475092E-3</v>
      </c>
      <c r="R1301" s="3">
        <f t="shared" si="82"/>
        <v>1.414E-2</v>
      </c>
      <c r="S1301">
        <f t="shared" si="83"/>
        <v>30</v>
      </c>
      <c r="T1301">
        <f>INDEX([1]IDEN_level_ids!$B:$B,MATCH(G1301,[1]IDEN_level_ids!$A:$A,0),1)</f>
        <v>1118</v>
      </c>
      <c r="U1301">
        <f>INDEX([1]IDEN_level_ids!$B:$B,MATCH(H1301,[1]IDEN_level_ids!$A:$A,0),1)</f>
        <v>902</v>
      </c>
    </row>
    <row r="1302" spans="1:21" hidden="1" x14ac:dyDescent="0.25">
      <c r="A1302">
        <v>58235.9666</v>
      </c>
      <c r="B1302">
        <v>1717.1519000000001</v>
      </c>
      <c r="C1302">
        <v>8</v>
      </c>
      <c r="D1302" t="s">
        <v>500</v>
      </c>
      <c r="F1302">
        <v>1969</v>
      </c>
      <c r="G1302" s="1" t="s">
        <v>212</v>
      </c>
      <c r="H1302" s="1" t="s">
        <v>373</v>
      </c>
      <c r="I1302">
        <v>0</v>
      </c>
      <c r="J1302">
        <v>58236.205300000001</v>
      </c>
      <c r="K1302">
        <v>7.0400000000000003E-3</v>
      </c>
      <c r="L1302">
        <v>7.2199999999999999E-3</v>
      </c>
      <c r="M1302">
        <v>0.245</v>
      </c>
      <c r="N1302">
        <v>0.12720000000000001</v>
      </c>
      <c r="O1302">
        <v>8.2799999999999992E-3</v>
      </c>
      <c r="P1302" s="3">
        <f t="shared" si="80"/>
        <v>1717.1518880567528</v>
      </c>
      <c r="Q1302" s="3">
        <f t="shared" si="81"/>
        <v>7.0383046690949413E-3</v>
      </c>
      <c r="R1302" s="3">
        <f t="shared" si="82"/>
        <v>7.2199999999999999E-3</v>
      </c>
      <c r="S1302">
        <f t="shared" si="83"/>
        <v>30</v>
      </c>
      <c r="T1302">
        <f>INDEX([1]IDEN_level_ids!$B:$B,MATCH(G1302,[1]IDEN_level_ids!$A:$A,0),1)</f>
        <v>1123</v>
      </c>
      <c r="U1302">
        <f>INDEX([1]IDEN_level_ids!$B:$B,MATCH(H1302,[1]IDEN_level_ids!$A:$A,0),1)</f>
        <v>906</v>
      </c>
    </row>
    <row r="1303" spans="1:21" hidden="1" x14ac:dyDescent="0.25">
      <c r="A1303">
        <v>58215.010199999997</v>
      </c>
      <c r="B1303">
        <v>1717.77</v>
      </c>
      <c r="C1303">
        <v>8</v>
      </c>
      <c r="D1303" t="s">
        <v>500</v>
      </c>
      <c r="F1303">
        <v>1969</v>
      </c>
      <c r="G1303" s="1" t="s">
        <v>326</v>
      </c>
      <c r="H1303" s="1" t="s">
        <v>412</v>
      </c>
      <c r="I1303">
        <v>-0.73750000000000004</v>
      </c>
      <c r="J1303">
        <v>58214.750699999997</v>
      </c>
      <c r="K1303">
        <v>-7.6499999999999997E-3</v>
      </c>
      <c r="L1303">
        <v>7.2300000000000003E-3</v>
      </c>
      <c r="M1303">
        <v>0.245</v>
      </c>
      <c r="N1303">
        <v>0.1361</v>
      </c>
      <c r="O1303">
        <v>8.3700000000000007E-3</v>
      </c>
      <c r="P1303" s="3">
        <f t="shared" si="80"/>
        <v>1717.7700331314209</v>
      </c>
      <c r="Q1303" s="3">
        <f t="shared" si="81"/>
        <v>-7.6571885688281327E-3</v>
      </c>
      <c r="R1303" s="3">
        <f t="shared" si="82"/>
        <v>7.2300000000000003E-3</v>
      </c>
      <c r="S1303">
        <f t="shared" si="83"/>
        <v>30</v>
      </c>
      <c r="T1303">
        <f>INDEX([1]IDEN_level_ids!$B:$B,MATCH(G1303,[1]IDEN_level_ids!$A:$A,0),1)</f>
        <v>1148</v>
      </c>
      <c r="U1303">
        <f>INDEX([1]IDEN_level_ids!$B:$B,MATCH(H1303,[1]IDEN_level_ids!$A:$A,0),1)</f>
        <v>923</v>
      </c>
    </row>
    <row r="1304" spans="1:21" hidden="1" x14ac:dyDescent="0.25">
      <c r="A1304">
        <v>58138.3871</v>
      </c>
      <c r="B1304">
        <v>1720.0340000000001</v>
      </c>
      <c r="C1304">
        <v>8</v>
      </c>
      <c r="D1304" t="s">
        <v>500</v>
      </c>
      <c r="F1304">
        <v>1969</v>
      </c>
      <c r="G1304" s="1" t="s">
        <v>62</v>
      </c>
      <c r="H1304" s="1" t="s">
        <v>490</v>
      </c>
      <c r="I1304">
        <v>0</v>
      </c>
      <c r="J1304">
        <v>58138.427199999998</v>
      </c>
      <c r="K1304">
        <v>1.1900000000000001E-3</v>
      </c>
      <c r="L1304">
        <v>7.2500000000000004E-3</v>
      </c>
      <c r="M1304">
        <v>0.245</v>
      </c>
      <c r="N1304">
        <v>5.4300000000000001E-2</v>
      </c>
      <c r="O1304">
        <v>7.6600000000000001E-3</v>
      </c>
      <c r="P1304" s="3">
        <f t="shared" si="80"/>
        <v>1720.0339567039691</v>
      </c>
      <c r="Q1304" s="3">
        <f t="shared" si="81"/>
        <v>1.1863644233471859E-3</v>
      </c>
      <c r="R1304" s="3">
        <f t="shared" si="82"/>
        <v>7.2500000000000004E-3</v>
      </c>
      <c r="S1304">
        <f t="shared" si="83"/>
        <v>30</v>
      </c>
      <c r="T1304">
        <f>INDEX([1]IDEN_level_ids!$B:$B,MATCH(G1304,[1]IDEN_level_ids!$A:$A,0),1)</f>
        <v>1203</v>
      </c>
      <c r="U1304">
        <f>INDEX([1]IDEN_level_ids!$B:$B,MATCH(H1304,[1]IDEN_level_ids!$A:$A,0),1)</f>
        <v>965</v>
      </c>
    </row>
    <row r="1305" spans="1:21" hidden="1" x14ac:dyDescent="0.25">
      <c r="A1305">
        <v>58071.634400000003</v>
      </c>
      <c r="B1305">
        <v>1722.0110999999999</v>
      </c>
      <c r="C1305">
        <v>8</v>
      </c>
      <c r="D1305" t="s">
        <v>500</v>
      </c>
      <c r="F1305">
        <v>1969</v>
      </c>
      <c r="G1305" s="1" t="s">
        <v>38</v>
      </c>
      <c r="H1305" s="1" t="s">
        <v>493</v>
      </c>
      <c r="I1305">
        <v>0.1031</v>
      </c>
      <c r="J1305">
        <v>58071.767200000002</v>
      </c>
      <c r="K1305">
        <v>3.9399999999999999E-3</v>
      </c>
      <c r="L1305">
        <v>7.26E-3</v>
      </c>
      <c r="M1305">
        <v>0.245</v>
      </c>
      <c r="N1305">
        <v>3.0599999999999999E-2</v>
      </c>
      <c r="O1305">
        <v>7.4900000000000001E-3</v>
      </c>
      <c r="P1305" s="3">
        <f t="shared" si="80"/>
        <v>1722.011116670069</v>
      </c>
      <c r="Q1305" s="3">
        <f t="shared" si="81"/>
        <v>3.9379389902478579E-3</v>
      </c>
      <c r="R1305" s="3">
        <f t="shared" si="82"/>
        <v>7.26E-3</v>
      </c>
      <c r="S1305">
        <f t="shared" si="83"/>
        <v>30</v>
      </c>
      <c r="T1305">
        <f>INDEX([1]IDEN_level_ids!$B:$B,MATCH(G1305,[1]IDEN_level_ids!$A:$A,0),1)</f>
        <v>1201</v>
      </c>
      <c r="U1305">
        <f>INDEX([1]IDEN_level_ids!$B:$B,MATCH(H1305,[1]IDEN_level_ids!$A:$A,0),1)</f>
        <v>963</v>
      </c>
    </row>
    <row r="1306" spans="1:21" hidden="1" x14ac:dyDescent="0.25">
      <c r="A1306">
        <v>58016.719400000002</v>
      </c>
      <c r="B1306">
        <v>1723.6411000000001</v>
      </c>
      <c r="C1306">
        <v>8</v>
      </c>
      <c r="D1306" t="s">
        <v>500</v>
      </c>
      <c r="F1306">
        <v>1969</v>
      </c>
      <c r="G1306" s="1" t="s">
        <v>216</v>
      </c>
      <c r="H1306" s="1" t="s">
        <v>505</v>
      </c>
      <c r="I1306">
        <v>0</v>
      </c>
      <c r="J1306">
        <v>58016.8439</v>
      </c>
      <c r="K1306">
        <v>3.7000000000000002E-3</v>
      </c>
      <c r="L1306">
        <v>7.28E-3</v>
      </c>
      <c r="M1306">
        <v>0.245</v>
      </c>
      <c r="N1306">
        <v>3.1199999999999999E-2</v>
      </c>
      <c r="O1306">
        <v>7.5100000000000002E-3</v>
      </c>
      <c r="P1306" s="3">
        <f t="shared" si="80"/>
        <v>1723.6410647514138</v>
      </c>
      <c r="Q1306" s="3">
        <f t="shared" si="81"/>
        <v>3.6988105200634891E-3</v>
      </c>
      <c r="R1306" s="3">
        <f t="shared" si="82"/>
        <v>7.28E-3</v>
      </c>
      <c r="S1306">
        <f t="shared" si="83"/>
        <v>30</v>
      </c>
      <c r="T1306">
        <f>INDEX([1]IDEN_level_ids!$B:$B,MATCH(G1306,[1]IDEN_level_ids!$A:$A,0),1)</f>
        <v>1170</v>
      </c>
      <c r="U1306">
        <f>INDEX([1]IDEN_level_ids!$B:$B,MATCH(H1306,[1]IDEN_level_ids!$A:$A,0),1)</f>
        <v>950</v>
      </c>
    </row>
    <row r="1307" spans="1:21" hidden="1" x14ac:dyDescent="0.25">
      <c r="A1307">
        <v>57952.432500000003</v>
      </c>
      <c r="B1307">
        <v>1725.5531000000001</v>
      </c>
      <c r="C1307">
        <v>8</v>
      </c>
      <c r="D1307" t="s">
        <v>506</v>
      </c>
      <c r="E1307" t="s">
        <v>66</v>
      </c>
      <c r="F1307">
        <v>1969</v>
      </c>
      <c r="G1307" s="1" t="s">
        <v>464</v>
      </c>
      <c r="H1307" s="1" t="s">
        <v>507</v>
      </c>
      <c r="I1307">
        <v>0</v>
      </c>
      <c r="J1307">
        <v>57952.169300000001</v>
      </c>
      <c r="K1307">
        <v>-7.8399999999999997E-3</v>
      </c>
      <c r="L1307">
        <v>1.9120000000000002E-2</v>
      </c>
      <c r="M1307">
        <v>0.64200000000000002</v>
      </c>
      <c r="N1307">
        <v>2.12E-2</v>
      </c>
      <c r="O1307">
        <v>1.9529999999999999E-2</v>
      </c>
      <c r="P1307" s="3">
        <f t="shared" si="80"/>
        <v>1725.5531077146761</v>
      </c>
      <c r="Q1307" s="3">
        <f t="shared" si="81"/>
        <v>-7.8369038369601185E-3</v>
      </c>
      <c r="R1307" s="3">
        <f t="shared" si="82"/>
        <v>1.9120000000000002E-2</v>
      </c>
      <c r="S1307">
        <f t="shared" si="83"/>
        <v>31</v>
      </c>
      <c r="T1307">
        <f>INDEX([1]IDEN_level_ids!$B:$B,MATCH(G1307,[1]IDEN_level_ids!$A:$A,0),1)</f>
        <v>1076</v>
      </c>
      <c r="U1307">
        <f>INDEX([1]IDEN_level_ids!$B:$B,MATCH(H1307,[1]IDEN_level_ids!$A:$A,0),1)</f>
        <v>667</v>
      </c>
    </row>
    <row r="1308" spans="1:21" hidden="1" x14ac:dyDescent="0.25">
      <c r="A1308">
        <v>57897.378199999999</v>
      </c>
      <c r="B1308">
        <v>1727.1939</v>
      </c>
      <c r="C1308">
        <v>8</v>
      </c>
      <c r="D1308" t="s">
        <v>506</v>
      </c>
      <c r="F1308">
        <v>1969</v>
      </c>
      <c r="G1308" s="1" t="s">
        <v>62</v>
      </c>
      <c r="H1308" s="1" t="s">
        <v>491</v>
      </c>
      <c r="I1308">
        <v>0</v>
      </c>
      <c r="J1308">
        <v>57897.521099999998</v>
      </c>
      <c r="K1308">
        <v>4.2599999999999999E-3</v>
      </c>
      <c r="L1308">
        <v>7.3099999999999997E-3</v>
      </c>
      <c r="M1308">
        <v>0.245</v>
      </c>
      <c r="N1308">
        <v>3.2000000000000001E-2</v>
      </c>
      <c r="O1308">
        <v>7.5500000000000003E-3</v>
      </c>
      <c r="P1308" s="3">
        <f t="shared" si="80"/>
        <v>1727.1939267191206</v>
      </c>
      <c r="Q1308" s="3">
        <f t="shared" si="81"/>
        <v>4.2629806500826817E-3</v>
      </c>
      <c r="R1308" s="3">
        <f t="shared" si="82"/>
        <v>7.3099999999999997E-3</v>
      </c>
      <c r="S1308">
        <f t="shared" si="83"/>
        <v>31</v>
      </c>
      <c r="T1308">
        <f>INDEX([1]IDEN_level_ids!$B:$B,MATCH(G1308,[1]IDEN_level_ids!$A:$A,0),1)</f>
        <v>1203</v>
      </c>
      <c r="U1308">
        <f>INDEX([1]IDEN_level_ids!$B:$B,MATCH(H1308,[1]IDEN_level_ids!$A:$A,0),1)</f>
        <v>967</v>
      </c>
    </row>
    <row r="1309" spans="1:21" hidden="1" x14ac:dyDescent="0.25">
      <c r="A1309">
        <v>57860.2624</v>
      </c>
      <c r="B1309">
        <v>1728.3018999999999</v>
      </c>
      <c r="C1309">
        <v>8</v>
      </c>
      <c r="D1309" t="s">
        <v>506</v>
      </c>
      <c r="F1309">
        <v>1969</v>
      </c>
      <c r="G1309" s="1" t="s">
        <v>40</v>
      </c>
      <c r="H1309" s="1" t="s">
        <v>508</v>
      </c>
      <c r="I1309">
        <v>0</v>
      </c>
      <c r="J1309">
        <v>57860.438900000001</v>
      </c>
      <c r="K1309">
        <v>5.2700000000000004E-3</v>
      </c>
      <c r="L1309">
        <v>7.3200000000000001E-3</v>
      </c>
      <c r="M1309">
        <v>0.245</v>
      </c>
      <c r="N1309">
        <v>2.7799999999999998E-2</v>
      </c>
      <c r="O1309">
        <v>7.5300000000000002E-3</v>
      </c>
      <c r="P1309" s="3">
        <f t="shared" si="80"/>
        <v>1728.3018751052191</v>
      </c>
      <c r="Q1309" s="3">
        <f t="shared" si="81"/>
        <v>5.2720872286045051E-3</v>
      </c>
      <c r="R1309" s="3">
        <f t="shared" si="82"/>
        <v>7.3200000000000001E-3</v>
      </c>
      <c r="S1309">
        <f t="shared" si="83"/>
        <v>31</v>
      </c>
      <c r="T1309">
        <f>INDEX([1]IDEN_level_ids!$B:$B,MATCH(G1309,[1]IDEN_level_ids!$A:$A,0),1)</f>
        <v>1199</v>
      </c>
      <c r="U1309">
        <f>INDEX([1]IDEN_level_ids!$B:$B,MATCH(H1309,[1]IDEN_level_ids!$A:$A,0),1)</f>
        <v>961</v>
      </c>
    </row>
    <row r="1310" spans="1:21" hidden="1" x14ac:dyDescent="0.25">
      <c r="A1310">
        <v>57813.424099999997</v>
      </c>
      <c r="B1310">
        <v>1729.7021</v>
      </c>
      <c r="C1310">
        <v>8</v>
      </c>
      <c r="D1310" t="s">
        <v>506</v>
      </c>
      <c r="F1310">
        <v>1969</v>
      </c>
      <c r="G1310" s="1" t="s">
        <v>84</v>
      </c>
      <c r="H1310" s="1" t="s">
        <v>486</v>
      </c>
      <c r="I1310">
        <v>0.38450000000000001</v>
      </c>
      <c r="J1310">
        <v>57813.600200000001</v>
      </c>
      <c r="K1310">
        <v>5.2700000000000004E-3</v>
      </c>
      <c r="L1310">
        <v>7.3299999999999997E-3</v>
      </c>
      <c r="M1310">
        <v>0.245</v>
      </c>
      <c r="N1310">
        <v>3.5900000000000001E-2</v>
      </c>
      <c r="O1310">
        <v>7.6E-3</v>
      </c>
      <c r="P1310" s="3">
        <f t="shared" si="80"/>
        <v>1729.702081423681</v>
      </c>
      <c r="Q1310" s="3">
        <f t="shared" si="81"/>
        <v>5.2686657720641961E-3</v>
      </c>
      <c r="R1310" s="3">
        <f t="shared" si="82"/>
        <v>7.3299999999999997E-3</v>
      </c>
      <c r="S1310">
        <f t="shared" si="83"/>
        <v>31</v>
      </c>
      <c r="T1310">
        <f>INDEX([1]IDEN_level_ids!$B:$B,MATCH(G1310,[1]IDEN_level_ids!$A:$A,0),1)</f>
        <v>1191</v>
      </c>
      <c r="U1310">
        <f>INDEX([1]IDEN_level_ids!$B:$B,MATCH(H1310,[1]IDEN_level_ids!$A:$A,0),1)</f>
        <v>958</v>
      </c>
    </row>
    <row r="1311" spans="1:21" hidden="1" x14ac:dyDescent="0.25">
      <c r="A1311">
        <v>57755.3249</v>
      </c>
      <c r="B1311">
        <v>1731.4421</v>
      </c>
      <c r="C1311">
        <v>8</v>
      </c>
      <c r="D1311" t="s">
        <v>506</v>
      </c>
      <c r="F1311">
        <v>1969</v>
      </c>
      <c r="G1311" s="1" t="s">
        <v>77</v>
      </c>
      <c r="H1311" s="1" t="s">
        <v>493</v>
      </c>
      <c r="I1311">
        <v>0.1031</v>
      </c>
      <c r="J1311">
        <v>57755.480499999998</v>
      </c>
      <c r="K1311">
        <v>4.6699999999999997E-3</v>
      </c>
      <c r="L1311">
        <v>7.3400000000000002E-3</v>
      </c>
      <c r="M1311">
        <v>0.245</v>
      </c>
      <c r="N1311">
        <v>3.04E-2</v>
      </c>
      <c r="O1311">
        <v>7.5799999999999999E-3</v>
      </c>
      <c r="P1311" s="3">
        <f t="shared" si="80"/>
        <v>1731.4420821481692</v>
      </c>
      <c r="Q1311" s="3">
        <f t="shared" si="81"/>
        <v>4.6647068927541113E-3</v>
      </c>
      <c r="R1311" s="3">
        <f t="shared" si="82"/>
        <v>7.3400000000000002E-3</v>
      </c>
      <c r="S1311">
        <f t="shared" si="83"/>
        <v>31</v>
      </c>
      <c r="T1311">
        <f>INDEX([1]IDEN_level_ids!$B:$B,MATCH(G1311,[1]IDEN_level_ids!$A:$A,0),1)</f>
        <v>1197</v>
      </c>
      <c r="U1311">
        <f>INDEX([1]IDEN_level_ids!$B:$B,MATCH(H1311,[1]IDEN_level_ids!$A:$A,0),1)</f>
        <v>963</v>
      </c>
    </row>
    <row r="1312" spans="1:21" hidden="1" x14ac:dyDescent="0.25">
      <c r="A1312">
        <v>57752.523200000003</v>
      </c>
      <c r="B1312">
        <v>1731.5261</v>
      </c>
      <c r="C1312">
        <v>8</v>
      </c>
      <c r="D1312" t="s">
        <v>506</v>
      </c>
      <c r="F1312">
        <v>1969</v>
      </c>
      <c r="G1312" s="1" t="s">
        <v>166</v>
      </c>
      <c r="H1312" s="1" t="s">
        <v>509</v>
      </c>
      <c r="I1312">
        <v>0.15859999999999999</v>
      </c>
      <c r="J1312">
        <v>57752.588499999998</v>
      </c>
      <c r="K1312">
        <v>1.9599999999999999E-3</v>
      </c>
      <c r="L1312">
        <v>7.3499999999999998E-3</v>
      </c>
      <c r="M1312">
        <v>0.245</v>
      </c>
      <c r="N1312">
        <v>2.7699999999999999E-2</v>
      </c>
      <c r="O1312">
        <v>7.5500000000000003E-3</v>
      </c>
      <c r="P1312" s="3">
        <f t="shared" si="80"/>
        <v>1731.5260781541056</v>
      </c>
      <c r="Q1312" s="3">
        <f t="shared" si="81"/>
        <v>1.9578109975100233E-3</v>
      </c>
      <c r="R1312" s="3">
        <f t="shared" si="82"/>
        <v>7.3499999999999998E-3</v>
      </c>
      <c r="S1312">
        <f t="shared" si="83"/>
        <v>31</v>
      </c>
      <c r="T1312">
        <f>INDEX([1]IDEN_level_ids!$B:$B,MATCH(G1312,[1]IDEN_level_ids!$A:$A,0),1)</f>
        <v>1186</v>
      </c>
      <c r="U1312">
        <f>INDEX([1]IDEN_level_ids!$B:$B,MATCH(H1312,[1]IDEN_level_ids!$A:$A,0),1)</f>
        <v>956</v>
      </c>
    </row>
    <row r="1313" spans="1:21" hidden="1" x14ac:dyDescent="0.25">
      <c r="A1313">
        <v>57723.990400000002</v>
      </c>
      <c r="B1313">
        <v>1732.3820000000001</v>
      </c>
      <c r="C1313">
        <v>8</v>
      </c>
      <c r="D1313" t="s">
        <v>506</v>
      </c>
      <c r="F1313">
        <v>1969</v>
      </c>
      <c r="G1313" s="1" t="s">
        <v>85</v>
      </c>
      <c r="H1313" s="1" t="s">
        <v>436</v>
      </c>
      <c r="I1313">
        <v>0.313</v>
      </c>
      <c r="J1313">
        <v>57724.0913</v>
      </c>
      <c r="K1313">
        <v>3.0300000000000001E-3</v>
      </c>
      <c r="L1313">
        <v>7.3499999999999998E-3</v>
      </c>
      <c r="M1313">
        <v>0.245</v>
      </c>
      <c r="N1313">
        <v>3.8399999999999997E-2</v>
      </c>
      <c r="O1313">
        <v>7.6499999999999997E-3</v>
      </c>
      <c r="P1313" s="3">
        <f t="shared" si="80"/>
        <v>1732.3819664414607</v>
      </c>
      <c r="Q1313" s="3">
        <f t="shared" si="81"/>
        <v>3.0281523099802143E-3</v>
      </c>
      <c r="R1313" s="3">
        <f t="shared" si="82"/>
        <v>7.3499999999999998E-3</v>
      </c>
      <c r="S1313">
        <f t="shared" si="83"/>
        <v>31</v>
      </c>
      <c r="T1313">
        <f>INDEX([1]IDEN_level_ids!$B:$B,MATCH(G1313,[1]IDEN_level_ids!$A:$A,0),1)</f>
        <v>1168</v>
      </c>
      <c r="U1313">
        <f>INDEX([1]IDEN_level_ids!$B:$B,MATCH(H1313,[1]IDEN_level_ids!$A:$A,0),1)</f>
        <v>947</v>
      </c>
    </row>
    <row r="1314" spans="1:21" hidden="1" x14ac:dyDescent="0.25">
      <c r="A1314">
        <v>57669.166100000002</v>
      </c>
      <c r="B1314">
        <v>1734.0289</v>
      </c>
      <c r="C1314">
        <v>8</v>
      </c>
      <c r="D1314" t="s">
        <v>506</v>
      </c>
      <c r="F1314">
        <v>1969</v>
      </c>
      <c r="G1314" s="1" t="s">
        <v>24</v>
      </c>
      <c r="H1314" s="1" t="s">
        <v>510</v>
      </c>
      <c r="I1314">
        <v>0</v>
      </c>
      <c r="J1314">
        <v>57669.116000000002</v>
      </c>
      <c r="K1314">
        <v>-1.5100000000000001E-3</v>
      </c>
      <c r="L1314">
        <v>7.3699999999999998E-3</v>
      </c>
      <c r="M1314">
        <v>0.245</v>
      </c>
      <c r="N1314">
        <v>4.3099999999999999E-2</v>
      </c>
      <c r="O1314">
        <v>7.7000000000000002E-3</v>
      </c>
      <c r="P1314" s="3">
        <f t="shared" si="80"/>
        <v>1734.0288886195633</v>
      </c>
      <c r="Q1314" s="3">
        <f t="shared" si="81"/>
        <v>-1.5064362582961621E-3</v>
      </c>
      <c r="R1314" s="3">
        <f t="shared" si="82"/>
        <v>7.3699999999999998E-3</v>
      </c>
      <c r="S1314">
        <f t="shared" si="83"/>
        <v>31</v>
      </c>
      <c r="T1314">
        <f>INDEX([1]IDEN_level_ids!$B:$B,MATCH(G1314,[1]IDEN_level_ids!$A:$A,0),1)</f>
        <v>1241</v>
      </c>
      <c r="U1314">
        <f>INDEX([1]IDEN_level_ids!$B:$B,MATCH(H1314,[1]IDEN_level_ids!$A:$A,0),1)</f>
        <v>1006</v>
      </c>
    </row>
    <row r="1315" spans="1:21" hidden="1" x14ac:dyDescent="0.25">
      <c r="A1315">
        <v>57582.253299999997</v>
      </c>
      <c r="B1315">
        <v>1736.6461999999999</v>
      </c>
      <c r="C1315">
        <v>8</v>
      </c>
      <c r="D1315" t="s">
        <v>506</v>
      </c>
      <c r="F1315">
        <v>1969</v>
      </c>
      <c r="G1315" s="1" t="s">
        <v>480</v>
      </c>
      <c r="H1315" s="1" t="s">
        <v>409</v>
      </c>
      <c r="I1315">
        <v>0.15820000000000001</v>
      </c>
      <c r="J1315">
        <v>57582.664499999999</v>
      </c>
      <c r="K1315">
        <v>1.24E-2</v>
      </c>
      <c r="L1315">
        <v>7.3899999999999999E-3</v>
      </c>
      <c r="M1315">
        <v>0.245</v>
      </c>
      <c r="N1315">
        <v>0.18659999999999999</v>
      </c>
      <c r="O1315">
        <v>9.0799999999999995E-3</v>
      </c>
      <c r="P1315" s="3">
        <f t="shared" si="80"/>
        <v>1736.6461760189577</v>
      </c>
      <c r="Q1315" s="3">
        <f t="shared" si="81"/>
        <v>1.240145647625468E-2</v>
      </c>
      <c r="R1315" s="3">
        <f t="shared" si="82"/>
        <v>7.3899999999999999E-3</v>
      </c>
      <c r="S1315">
        <f t="shared" si="83"/>
        <v>31</v>
      </c>
      <c r="T1315">
        <f>INDEX([1]IDEN_level_ids!$B:$B,MATCH(G1315,[1]IDEN_level_ids!$A:$A,0),1)</f>
        <v>1156</v>
      </c>
      <c r="U1315">
        <f>INDEX([1]IDEN_level_ids!$B:$B,MATCH(H1315,[1]IDEN_level_ids!$A:$A,0),1)</f>
        <v>933</v>
      </c>
    </row>
    <row r="1316" spans="1:21" hidden="1" x14ac:dyDescent="0.25">
      <c r="A1316">
        <v>57570.650900000001</v>
      </c>
      <c r="B1316">
        <v>1736.9962</v>
      </c>
      <c r="C1316">
        <v>8</v>
      </c>
      <c r="D1316" t="s">
        <v>506</v>
      </c>
      <c r="F1316">
        <v>1969</v>
      </c>
      <c r="G1316" s="1" t="s">
        <v>301</v>
      </c>
      <c r="H1316" s="1" t="s">
        <v>421</v>
      </c>
      <c r="I1316">
        <v>-0.71730000000000005</v>
      </c>
      <c r="J1316">
        <v>57570.651100000003</v>
      </c>
      <c r="K1316">
        <v>1.0000000000000001E-5</v>
      </c>
      <c r="L1316">
        <v>7.3899999999999999E-3</v>
      </c>
      <c r="M1316">
        <v>0.245</v>
      </c>
      <c r="N1316">
        <v>0.1966</v>
      </c>
      <c r="O1316">
        <v>9.1999999999999998E-3</v>
      </c>
      <c r="P1316" s="3">
        <f t="shared" si="80"/>
        <v>1736.9961679554331</v>
      </c>
      <c r="Q1316" s="3">
        <f t="shared" si="81"/>
        <v>6.0343115819705417E-6</v>
      </c>
      <c r="R1316" s="3">
        <f t="shared" si="82"/>
        <v>7.3899999999999999E-3</v>
      </c>
      <c r="S1316">
        <f t="shared" si="83"/>
        <v>31</v>
      </c>
      <c r="T1316">
        <f>INDEX([1]IDEN_level_ids!$B:$B,MATCH(G1316,[1]IDEN_level_ids!$A:$A,0),1)</f>
        <v>1154</v>
      </c>
      <c r="U1316">
        <f>INDEX([1]IDEN_level_ids!$B:$B,MATCH(H1316,[1]IDEN_level_ids!$A:$A,0),1)</f>
        <v>930</v>
      </c>
    </row>
    <row r="1317" spans="1:21" hidden="1" x14ac:dyDescent="0.25">
      <c r="A1317">
        <v>57538.323700000001</v>
      </c>
      <c r="B1317">
        <v>1737.9721</v>
      </c>
      <c r="C1317">
        <v>8</v>
      </c>
      <c r="D1317" t="s">
        <v>506</v>
      </c>
      <c r="E1317" t="s">
        <v>45</v>
      </c>
      <c r="F1317">
        <v>1969</v>
      </c>
      <c r="G1317" s="1" t="s">
        <v>511</v>
      </c>
      <c r="H1317" s="1" t="s">
        <v>420</v>
      </c>
      <c r="I1317">
        <v>-0.56940000000000002</v>
      </c>
      <c r="J1317">
        <v>57538.140200000002</v>
      </c>
      <c r="K1317">
        <v>-5.5399999999999998E-3</v>
      </c>
      <c r="L1317">
        <v>1.456E-2</v>
      </c>
      <c r="M1317">
        <v>0.48199999999999998</v>
      </c>
      <c r="N1317">
        <v>4.1700000000000001E-2</v>
      </c>
      <c r="O1317">
        <v>1.519E-2</v>
      </c>
      <c r="P1317" s="3">
        <f t="shared" si="80"/>
        <v>1737.9720779039658</v>
      </c>
      <c r="Q1317" s="3">
        <f t="shared" si="81"/>
        <v>-5.5427213180792023E-3</v>
      </c>
      <c r="R1317" s="3">
        <f t="shared" si="82"/>
        <v>1.456E-2</v>
      </c>
      <c r="S1317">
        <f t="shared" si="83"/>
        <v>31</v>
      </c>
      <c r="T1317">
        <f>INDEX([1]IDEN_level_ids!$B:$B,MATCH(G1317,[1]IDEN_level_ids!$A:$A,0),1)</f>
        <v>1139</v>
      </c>
      <c r="U1317">
        <f>INDEX([1]IDEN_level_ids!$B:$B,MATCH(H1317,[1]IDEN_level_ids!$A:$A,0),1)</f>
        <v>914</v>
      </c>
    </row>
    <row r="1318" spans="1:21" hidden="1" x14ac:dyDescent="0.25">
      <c r="A1318">
        <v>57505.274599999997</v>
      </c>
      <c r="B1318">
        <v>1738.9709</v>
      </c>
      <c r="C1318">
        <v>8</v>
      </c>
      <c r="D1318" t="s">
        <v>506</v>
      </c>
      <c r="F1318">
        <v>1969</v>
      </c>
      <c r="G1318" s="1" t="s">
        <v>301</v>
      </c>
      <c r="H1318" s="1" t="s">
        <v>439</v>
      </c>
      <c r="I1318">
        <v>-0.71730000000000005</v>
      </c>
      <c r="J1318">
        <v>57505.474800000004</v>
      </c>
      <c r="K1318">
        <v>6.0499999999999998E-3</v>
      </c>
      <c r="L1318">
        <v>7.4099999999999999E-3</v>
      </c>
      <c r="M1318">
        <v>0.245</v>
      </c>
      <c r="N1318">
        <v>0.22739999999999999</v>
      </c>
      <c r="O1318">
        <v>9.5899999999999996E-3</v>
      </c>
      <c r="P1318" s="3">
        <f t="shared" si="80"/>
        <v>1738.970915200186</v>
      </c>
      <c r="Q1318" s="3">
        <f t="shared" si="81"/>
        <v>6.0540666511315067E-3</v>
      </c>
      <c r="R1318" s="3">
        <f t="shared" si="82"/>
        <v>7.4099999999999999E-3</v>
      </c>
      <c r="S1318">
        <f t="shared" si="83"/>
        <v>31</v>
      </c>
      <c r="T1318">
        <f>INDEX([1]IDEN_level_ids!$B:$B,MATCH(G1318,[1]IDEN_level_ids!$A:$A,0),1)</f>
        <v>1154</v>
      </c>
      <c r="U1318">
        <f>INDEX([1]IDEN_level_ids!$B:$B,MATCH(H1318,[1]IDEN_level_ids!$A:$A,0),1)</f>
        <v>931</v>
      </c>
    </row>
    <row r="1319" spans="1:21" hidden="1" x14ac:dyDescent="0.25">
      <c r="A1319">
        <v>57476.554499999998</v>
      </c>
      <c r="B1319">
        <v>1739.8398</v>
      </c>
      <c r="C1319">
        <v>8</v>
      </c>
      <c r="D1319" t="s">
        <v>506</v>
      </c>
      <c r="F1319">
        <v>1969</v>
      </c>
      <c r="G1319" s="1" t="s">
        <v>326</v>
      </c>
      <c r="H1319" s="1" t="s">
        <v>418</v>
      </c>
      <c r="I1319">
        <v>-0.73750000000000004</v>
      </c>
      <c r="J1319">
        <v>57476.509400000003</v>
      </c>
      <c r="K1319">
        <v>-1.3699999999999999E-3</v>
      </c>
      <c r="L1319">
        <v>7.4200000000000004E-3</v>
      </c>
      <c r="M1319">
        <v>0.245</v>
      </c>
      <c r="N1319">
        <v>0.2586</v>
      </c>
      <c r="O1319">
        <v>0.01</v>
      </c>
      <c r="P1319" s="3">
        <f t="shared" si="80"/>
        <v>1739.8398506994708</v>
      </c>
      <c r="Q1319" s="3">
        <f t="shared" si="81"/>
        <v>-1.3651973315518262E-3</v>
      </c>
      <c r="R1319" s="3">
        <f t="shared" si="82"/>
        <v>7.4200000000000004E-3</v>
      </c>
      <c r="S1319">
        <f t="shared" si="83"/>
        <v>31</v>
      </c>
      <c r="T1319">
        <f>INDEX([1]IDEN_level_ids!$B:$B,MATCH(G1319,[1]IDEN_level_ids!$A:$A,0),1)</f>
        <v>1148</v>
      </c>
      <c r="U1319">
        <f>INDEX([1]IDEN_level_ids!$B:$B,MATCH(H1319,[1]IDEN_level_ids!$A:$A,0),1)</f>
        <v>925</v>
      </c>
    </row>
    <row r="1320" spans="1:21" hidden="1" x14ac:dyDescent="0.25">
      <c r="A1320">
        <v>57469.4133</v>
      </c>
      <c r="B1320">
        <v>1740.056</v>
      </c>
      <c r="C1320">
        <v>8</v>
      </c>
      <c r="D1320" t="s">
        <v>506</v>
      </c>
      <c r="F1320">
        <v>1969</v>
      </c>
      <c r="G1320" s="1" t="s">
        <v>384</v>
      </c>
      <c r="H1320" s="1" t="s">
        <v>512</v>
      </c>
      <c r="I1320">
        <v>-0.33350000000000002</v>
      </c>
      <c r="J1320">
        <v>57469.510300000002</v>
      </c>
      <c r="K1320">
        <v>2.9399999999999999E-3</v>
      </c>
      <c r="L1320">
        <v>7.4200000000000004E-3</v>
      </c>
      <c r="M1320">
        <v>0.245</v>
      </c>
      <c r="N1320">
        <v>0.16309999999999999</v>
      </c>
      <c r="O1320">
        <v>8.8599999999999998E-3</v>
      </c>
      <c r="P1320" s="3">
        <f t="shared" si="80"/>
        <v>1740.0560447343214</v>
      </c>
      <c r="Q1320" s="3">
        <f t="shared" si="81"/>
        <v>2.9369562305419095E-3</v>
      </c>
      <c r="R1320" s="3">
        <f t="shared" si="82"/>
        <v>7.4200000000000004E-3</v>
      </c>
      <c r="S1320">
        <f t="shared" si="83"/>
        <v>31</v>
      </c>
      <c r="T1320">
        <f>INDEX([1]IDEN_level_ids!$B:$B,MATCH(G1320,[1]IDEN_level_ids!$A:$A,0),1)</f>
        <v>1080</v>
      </c>
      <c r="U1320">
        <f>INDEX([1]IDEN_level_ids!$B:$B,MATCH(H1320,[1]IDEN_level_ids!$A:$A,0),1)</f>
        <v>711</v>
      </c>
    </row>
    <row r="1321" spans="1:21" hidden="1" x14ac:dyDescent="0.25">
      <c r="A1321">
        <v>57455.710599999999</v>
      </c>
      <c r="B1321">
        <v>1740.471</v>
      </c>
      <c r="C1321">
        <v>8</v>
      </c>
      <c r="D1321" t="s">
        <v>506</v>
      </c>
      <c r="F1321">
        <v>1969</v>
      </c>
      <c r="G1321" s="1" t="s">
        <v>62</v>
      </c>
      <c r="H1321" s="1" t="s">
        <v>483</v>
      </c>
      <c r="I1321">
        <v>0</v>
      </c>
      <c r="J1321">
        <v>57455.873899999999</v>
      </c>
      <c r="K1321">
        <v>4.9500000000000004E-3</v>
      </c>
      <c r="L1321">
        <v>7.4200000000000004E-3</v>
      </c>
      <c r="M1321">
        <v>0.245</v>
      </c>
      <c r="N1321">
        <v>3.2300000000000002E-2</v>
      </c>
      <c r="O1321">
        <v>7.6699999999999997E-3</v>
      </c>
      <c r="P1321" s="3">
        <f t="shared" si="80"/>
        <v>1740.4710333527753</v>
      </c>
      <c r="Q1321" s="3">
        <f t="shared" si="81"/>
        <v>4.946733909946488E-3</v>
      </c>
      <c r="R1321" s="3">
        <f t="shared" si="82"/>
        <v>7.4200000000000004E-3</v>
      </c>
      <c r="S1321">
        <f t="shared" si="83"/>
        <v>31</v>
      </c>
      <c r="T1321">
        <f>INDEX([1]IDEN_level_ids!$B:$B,MATCH(G1321,[1]IDEN_level_ids!$A:$A,0),1)</f>
        <v>1203</v>
      </c>
      <c r="U1321">
        <f>INDEX([1]IDEN_level_ids!$B:$B,MATCH(H1321,[1]IDEN_level_ids!$A:$A,0),1)</f>
        <v>970</v>
      </c>
    </row>
    <row r="1322" spans="1:21" hidden="1" x14ac:dyDescent="0.25">
      <c r="A1322">
        <v>57402.878100000002</v>
      </c>
      <c r="B1322">
        <v>1742.0728999999999</v>
      </c>
      <c r="C1322">
        <v>8</v>
      </c>
      <c r="D1322" t="s">
        <v>506</v>
      </c>
      <c r="F1322">
        <v>1969</v>
      </c>
      <c r="G1322" s="1" t="s">
        <v>69</v>
      </c>
      <c r="H1322" s="1" t="s">
        <v>513</v>
      </c>
      <c r="I1322">
        <v>0.19059999999999999</v>
      </c>
      <c r="J1322">
        <v>57402.999900000003</v>
      </c>
      <c r="K1322">
        <v>3.7000000000000002E-3</v>
      </c>
      <c r="L1322">
        <v>7.43E-3</v>
      </c>
      <c r="M1322">
        <v>0.245</v>
      </c>
      <c r="N1322">
        <v>3.1199999999999999E-2</v>
      </c>
      <c r="O1322">
        <v>7.6699999999999997E-3</v>
      </c>
      <c r="P1322" s="3">
        <f t="shared" si="80"/>
        <v>1742.0729292665901</v>
      </c>
      <c r="Q1322" s="3">
        <f t="shared" si="81"/>
        <v>3.6964005914796871E-3</v>
      </c>
      <c r="R1322" s="3">
        <f t="shared" si="82"/>
        <v>7.43E-3</v>
      </c>
      <c r="S1322">
        <f t="shared" si="83"/>
        <v>31</v>
      </c>
      <c r="T1322">
        <f>INDEX([1]IDEN_level_ids!$B:$B,MATCH(G1322,[1]IDEN_level_ids!$A:$A,0),1)</f>
        <v>1218</v>
      </c>
      <c r="U1322">
        <f>INDEX([1]IDEN_level_ids!$B:$B,MATCH(H1322,[1]IDEN_level_ids!$A:$A,0),1)</f>
        <v>979</v>
      </c>
    </row>
    <row r="1323" spans="1:21" hidden="1" x14ac:dyDescent="0.25">
      <c r="A1323">
        <v>57359.936000000002</v>
      </c>
      <c r="B1323">
        <v>1743.3770999999999</v>
      </c>
      <c r="C1323">
        <v>8</v>
      </c>
      <c r="D1323" t="s">
        <v>506</v>
      </c>
      <c r="F1323">
        <v>1969</v>
      </c>
      <c r="G1323" s="1" t="s">
        <v>319</v>
      </c>
      <c r="H1323" s="1" t="s">
        <v>435</v>
      </c>
      <c r="I1323">
        <v>-0.74770000000000003</v>
      </c>
      <c r="J1323">
        <v>57359.906300000002</v>
      </c>
      <c r="K1323">
        <v>-8.9999999999999998E-4</v>
      </c>
      <c r="L1323">
        <v>7.45E-3</v>
      </c>
      <c r="M1323">
        <v>0.245</v>
      </c>
      <c r="N1323">
        <v>0.15970000000000001</v>
      </c>
      <c r="O1323">
        <v>8.8599999999999998E-3</v>
      </c>
      <c r="P1323" s="3">
        <f t="shared" si="80"/>
        <v>1743.3771195281668</v>
      </c>
      <c r="Q1323" s="3">
        <f t="shared" si="81"/>
        <v>-9.026915104186628E-4</v>
      </c>
      <c r="R1323" s="3">
        <f t="shared" si="82"/>
        <v>7.45E-3</v>
      </c>
      <c r="S1323">
        <f t="shared" si="83"/>
        <v>31</v>
      </c>
      <c r="T1323">
        <f>INDEX([1]IDEN_level_ids!$B:$B,MATCH(G1323,[1]IDEN_level_ids!$A:$A,0),1)</f>
        <v>1141</v>
      </c>
      <c r="U1323">
        <f>INDEX([1]IDEN_level_ids!$B:$B,MATCH(H1323,[1]IDEN_level_ids!$A:$A,0),1)</f>
        <v>917</v>
      </c>
    </row>
    <row r="1324" spans="1:21" hidden="1" x14ac:dyDescent="0.25">
      <c r="A1324">
        <v>57340.866900000001</v>
      </c>
      <c r="B1324">
        <v>1743.9568999999999</v>
      </c>
      <c r="C1324">
        <v>8</v>
      </c>
      <c r="D1324" t="s">
        <v>506</v>
      </c>
      <c r="F1324">
        <v>1969</v>
      </c>
      <c r="G1324" s="1" t="s">
        <v>86</v>
      </c>
      <c r="H1324" s="1" t="s">
        <v>486</v>
      </c>
      <c r="I1324">
        <v>0.38450000000000001</v>
      </c>
      <c r="J1324">
        <v>57340.892399999997</v>
      </c>
      <c r="K1324">
        <v>7.7999999999999999E-4</v>
      </c>
      <c r="L1324">
        <v>7.45E-3</v>
      </c>
      <c r="M1324">
        <v>0.245</v>
      </c>
      <c r="N1324">
        <v>3.4299999999999997E-2</v>
      </c>
      <c r="O1324">
        <v>7.7200000000000003E-3</v>
      </c>
      <c r="P1324" s="3">
        <f t="shared" si="80"/>
        <v>1743.9568915900013</v>
      </c>
      <c r="Q1324" s="3">
        <f t="shared" si="81"/>
        <v>7.7555299299092439E-4</v>
      </c>
      <c r="R1324" s="3">
        <f t="shared" si="82"/>
        <v>7.45E-3</v>
      </c>
      <c r="S1324">
        <f t="shared" si="83"/>
        <v>31</v>
      </c>
      <c r="T1324">
        <f>INDEX([1]IDEN_level_ids!$B:$B,MATCH(G1324,[1]IDEN_level_ids!$A:$A,0),1)</f>
        <v>1183</v>
      </c>
      <c r="U1324">
        <f>INDEX([1]IDEN_level_ids!$B:$B,MATCH(H1324,[1]IDEN_level_ids!$A:$A,0),1)</f>
        <v>958</v>
      </c>
    </row>
    <row r="1325" spans="1:21" hidden="1" x14ac:dyDescent="0.25">
      <c r="A1325">
        <v>57295.788999999997</v>
      </c>
      <c r="B1325">
        <v>1745.329</v>
      </c>
      <c r="C1325">
        <v>8</v>
      </c>
      <c r="D1325" t="s">
        <v>506</v>
      </c>
      <c r="F1325">
        <v>1969</v>
      </c>
      <c r="G1325" s="1" t="s">
        <v>83</v>
      </c>
      <c r="H1325" s="1" t="s">
        <v>471</v>
      </c>
      <c r="I1325">
        <v>0</v>
      </c>
      <c r="J1325">
        <v>57296.099699999999</v>
      </c>
      <c r="K1325">
        <v>9.4699999999999993E-3</v>
      </c>
      <c r="L1325">
        <v>7.4599999999999996E-3</v>
      </c>
      <c r="M1325">
        <v>0.245</v>
      </c>
      <c r="N1325">
        <v>3.8199999999999998E-2</v>
      </c>
      <c r="O1325">
        <v>7.7600000000000004E-3</v>
      </c>
      <c r="P1325" s="3">
        <f t="shared" si="80"/>
        <v>1745.3289630063391</v>
      </c>
      <c r="Q1325" s="3">
        <f t="shared" si="81"/>
        <v>9.4644087757842499E-3</v>
      </c>
      <c r="R1325" s="3">
        <f t="shared" si="82"/>
        <v>7.4599999999999996E-3</v>
      </c>
      <c r="S1325">
        <f t="shared" si="83"/>
        <v>31</v>
      </c>
      <c r="T1325">
        <f>INDEX([1]IDEN_level_ids!$B:$B,MATCH(G1325,[1]IDEN_level_ids!$A:$A,0),1)</f>
        <v>1175</v>
      </c>
      <c r="U1325">
        <f>INDEX([1]IDEN_level_ids!$B:$B,MATCH(H1325,[1]IDEN_level_ids!$A:$A,0),1)</f>
        <v>955</v>
      </c>
    </row>
    <row r="1326" spans="1:21" hidden="1" x14ac:dyDescent="0.25">
      <c r="A1326">
        <v>57277.734299999996</v>
      </c>
      <c r="B1326">
        <v>1745.8791000000001</v>
      </c>
      <c r="C1326">
        <v>8</v>
      </c>
      <c r="D1326" t="s">
        <v>506</v>
      </c>
      <c r="F1326">
        <v>1969</v>
      </c>
      <c r="G1326" s="1" t="s">
        <v>77</v>
      </c>
      <c r="H1326" s="1" t="s">
        <v>487</v>
      </c>
      <c r="I1326">
        <v>0</v>
      </c>
      <c r="J1326">
        <v>57277.966899999999</v>
      </c>
      <c r="K1326">
        <v>7.0899999999999999E-3</v>
      </c>
      <c r="L1326">
        <v>7.4700000000000001E-3</v>
      </c>
      <c r="M1326">
        <v>0.245</v>
      </c>
      <c r="N1326">
        <v>2.6700000000000002E-2</v>
      </c>
      <c r="O1326">
        <v>7.6699999999999997E-3</v>
      </c>
      <c r="P1326" s="3">
        <f t="shared" si="80"/>
        <v>1745.8791137972789</v>
      </c>
      <c r="Q1326" s="3">
        <f t="shared" si="81"/>
        <v>7.0898375736305752E-3</v>
      </c>
      <c r="R1326" s="3">
        <f t="shared" si="82"/>
        <v>7.4700000000000001E-3</v>
      </c>
      <c r="S1326">
        <f t="shared" si="83"/>
        <v>31</v>
      </c>
      <c r="T1326">
        <f>INDEX([1]IDEN_level_ids!$B:$B,MATCH(G1326,[1]IDEN_level_ids!$A:$A,0),1)</f>
        <v>1197</v>
      </c>
      <c r="U1326">
        <f>INDEX([1]IDEN_level_ids!$B:$B,MATCH(H1326,[1]IDEN_level_ids!$A:$A,0),1)</f>
        <v>968</v>
      </c>
    </row>
    <row r="1327" spans="1:21" hidden="1" x14ac:dyDescent="0.25">
      <c r="A1327">
        <v>57266.39</v>
      </c>
      <c r="B1327">
        <v>1746.2249999999999</v>
      </c>
      <c r="C1327">
        <v>8</v>
      </c>
      <c r="D1327" t="s">
        <v>506</v>
      </c>
      <c r="F1327">
        <v>1969</v>
      </c>
      <c r="G1327" s="1" t="s">
        <v>354</v>
      </c>
      <c r="H1327" s="1" t="s">
        <v>376</v>
      </c>
      <c r="I1327">
        <v>-0.57169999999999999</v>
      </c>
      <c r="J1327">
        <v>57266.41</v>
      </c>
      <c r="K1327">
        <v>6.0999999999999997E-4</v>
      </c>
      <c r="L1327">
        <v>7.4700000000000001E-3</v>
      </c>
      <c r="M1327">
        <v>0.245</v>
      </c>
      <c r="N1327">
        <v>8.3500000000000005E-2</v>
      </c>
      <c r="O1327">
        <v>8.1499999999999993E-3</v>
      </c>
      <c r="P1327" s="3">
        <f t="shared" si="80"/>
        <v>1746.2249672102607</v>
      </c>
      <c r="Q1327" s="3">
        <f t="shared" si="81"/>
        <v>6.0986011430941289E-4</v>
      </c>
      <c r="R1327" s="3">
        <f t="shared" si="82"/>
        <v>7.4700000000000001E-3</v>
      </c>
      <c r="S1327">
        <f t="shared" si="83"/>
        <v>31</v>
      </c>
      <c r="T1327">
        <f>INDEX([1]IDEN_level_ids!$B:$B,MATCH(G1327,[1]IDEN_level_ids!$A:$A,0),1)</f>
        <v>1135</v>
      </c>
      <c r="U1327">
        <f>INDEX([1]IDEN_level_ids!$B:$B,MATCH(H1327,[1]IDEN_level_ids!$A:$A,0),1)</f>
        <v>913</v>
      </c>
    </row>
    <row r="1328" spans="1:21" hidden="1" x14ac:dyDescent="0.25">
      <c r="A1328">
        <v>57209.906499999997</v>
      </c>
      <c r="B1328">
        <v>1747.9490000000001</v>
      </c>
      <c r="C1328">
        <v>8</v>
      </c>
      <c r="D1328" t="s">
        <v>506</v>
      </c>
      <c r="F1328">
        <v>1969</v>
      </c>
      <c r="G1328" s="1" t="s">
        <v>319</v>
      </c>
      <c r="H1328" s="1" t="s">
        <v>422</v>
      </c>
      <c r="I1328">
        <v>-0.74770000000000003</v>
      </c>
      <c r="J1328">
        <v>57209.720600000001</v>
      </c>
      <c r="K1328">
        <v>-5.6800000000000002E-3</v>
      </c>
      <c r="L1328">
        <v>7.4900000000000001E-3</v>
      </c>
      <c r="M1328">
        <v>0.245</v>
      </c>
      <c r="N1328">
        <v>0.37559999999999999</v>
      </c>
      <c r="O1328">
        <v>1.1990000000000001E-2</v>
      </c>
      <c r="P1328" s="3">
        <f t="shared" si="80"/>
        <v>1747.9490199831039</v>
      </c>
      <c r="Q1328" s="3">
        <f t="shared" si="81"/>
        <v>-5.6798690748109948E-3</v>
      </c>
      <c r="R1328" s="3">
        <f t="shared" si="82"/>
        <v>7.4900000000000001E-3</v>
      </c>
      <c r="S1328">
        <f t="shared" si="83"/>
        <v>31</v>
      </c>
      <c r="T1328">
        <f>INDEX([1]IDEN_level_ids!$B:$B,MATCH(G1328,[1]IDEN_level_ids!$A:$A,0),1)</f>
        <v>1141</v>
      </c>
      <c r="U1328">
        <f>INDEX([1]IDEN_level_ids!$B:$B,MATCH(H1328,[1]IDEN_level_ids!$A:$A,0),1)</f>
        <v>920</v>
      </c>
    </row>
    <row r="1329" spans="1:21" hidden="1" x14ac:dyDescent="0.25">
      <c r="A1329">
        <v>57170.298999999999</v>
      </c>
      <c r="B1329">
        <v>1749.16</v>
      </c>
      <c r="C1329">
        <v>8</v>
      </c>
      <c r="D1329" t="s">
        <v>506</v>
      </c>
      <c r="F1329">
        <v>1969</v>
      </c>
      <c r="G1329" s="1" t="s">
        <v>492</v>
      </c>
      <c r="H1329" s="1" t="s">
        <v>360</v>
      </c>
      <c r="I1329">
        <v>0.17580000000000001</v>
      </c>
      <c r="J1329">
        <v>57170.4182</v>
      </c>
      <c r="K1329">
        <v>3.65E-3</v>
      </c>
      <c r="L1329">
        <v>7.4999999999999997E-3</v>
      </c>
      <c r="M1329">
        <v>0.245</v>
      </c>
      <c r="N1329">
        <v>9.3200000000000005E-2</v>
      </c>
      <c r="O1329">
        <v>8.2699999999999996E-3</v>
      </c>
      <c r="P1329" s="3">
        <f t="shared" si="80"/>
        <v>1749.1599965219702</v>
      </c>
      <c r="Q1329" s="3">
        <f t="shared" si="81"/>
        <v>3.6469887425027991E-3</v>
      </c>
      <c r="R1329" s="3">
        <f t="shared" si="82"/>
        <v>7.4999999999999997E-3</v>
      </c>
      <c r="S1329">
        <f t="shared" si="83"/>
        <v>31</v>
      </c>
      <c r="T1329">
        <f>INDEX([1]IDEN_level_ids!$B:$B,MATCH(G1329,[1]IDEN_level_ids!$A:$A,0),1)</f>
        <v>1132</v>
      </c>
      <c r="U1329">
        <f>INDEX([1]IDEN_level_ids!$B:$B,MATCH(H1329,[1]IDEN_level_ids!$A:$A,0),1)</f>
        <v>911</v>
      </c>
    </row>
    <row r="1330" spans="1:21" hidden="1" x14ac:dyDescent="0.25">
      <c r="A1330">
        <v>57126.992899999997</v>
      </c>
      <c r="B1330">
        <v>1750.4860000000001</v>
      </c>
      <c r="C1330">
        <v>9</v>
      </c>
      <c r="D1330" t="s">
        <v>514</v>
      </c>
      <c r="E1330" t="s">
        <v>52</v>
      </c>
      <c r="F1330">
        <v>1969</v>
      </c>
      <c r="G1330" s="1" t="s">
        <v>301</v>
      </c>
      <c r="H1330" s="1" t="s">
        <v>426</v>
      </c>
      <c r="I1330">
        <v>-0.71730000000000005</v>
      </c>
      <c r="J1330">
        <v>57127.038</v>
      </c>
      <c r="K1330">
        <v>1.3799999999999999E-3</v>
      </c>
      <c r="L1330">
        <v>8.4600000000000005E-3</v>
      </c>
      <c r="M1330">
        <v>0.27600000000000002</v>
      </c>
      <c r="N1330">
        <v>0.20960000000000001</v>
      </c>
      <c r="O1330">
        <v>1.0699999999999999E-2</v>
      </c>
      <c r="P1330" s="3">
        <f t="shared" si="80"/>
        <v>1750.4859773565993</v>
      </c>
      <c r="Q1330" s="3">
        <f t="shared" si="81"/>
        <v>1.3819536309256364E-3</v>
      </c>
      <c r="R1330" s="3">
        <f t="shared" si="82"/>
        <v>8.4600000000000005E-3</v>
      </c>
      <c r="S1330">
        <f t="shared" si="83"/>
        <v>32</v>
      </c>
      <c r="T1330">
        <f>INDEX([1]IDEN_level_ids!$B:$B,MATCH(G1330,[1]IDEN_level_ids!$A:$A,0),1)</f>
        <v>1154</v>
      </c>
      <c r="U1330">
        <f>INDEX([1]IDEN_level_ids!$B:$B,MATCH(H1330,[1]IDEN_level_ids!$A:$A,0),1)</f>
        <v>932</v>
      </c>
    </row>
    <row r="1331" spans="1:21" hidden="1" x14ac:dyDescent="0.25">
      <c r="A1331">
        <v>56993.599099999999</v>
      </c>
      <c r="B1331">
        <v>1754.5830000000001</v>
      </c>
      <c r="C1331">
        <v>9</v>
      </c>
      <c r="D1331" t="s">
        <v>514</v>
      </c>
      <c r="F1331">
        <v>1969</v>
      </c>
      <c r="G1331" s="1" t="s">
        <v>326</v>
      </c>
      <c r="H1331" s="1" t="s">
        <v>417</v>
      </c>
      <c r="I1331">
        <v>-0.73750000000000004</v>
      </c>
      <c r="J1331">
        <v>56993.587399999997</v>
      </c>
      <c r="K1331">
        <v>-3.6000000000000002E-4</v>
      </c>
      <c r="L1331">
        <v>7.5399999999999998E-3</v>
      </c>
      <c r="M1331">
        <v>0.245</v>
      </c>
      <c r="N1331">
        <v>0.1303</v>
      </c>
      <c r="O1331">
        <v>8.6700000000000006E-3</v>
      </c>
      <c r="P1331" s="3">
        <f t="shared" si="80"/>
        <v>1754.5829984265724</v>
      </c>
      <c r="Q1331" s="3">
        <f t="shared" si="81"/>
        <v>-3.6019176945956133E-4</v>
      </c>
      <c r="R1331" s="3">
        <f t="shared" si="82"/>
        <v>7.5399999999999998E-3</v>
      </c>
      <c r="S1331">
        <f t="shared" si="83"/>
        <v>32</v>
      </c>
      <c r="T1331">
        <f>INDEX([1]IDEN_level_ids!$B:$B,MATCH(G1331,[1]IDEN_level_ids!$A:$A,0),1)</f>
        <v>1148</v>
      </c>
      <c r="U1331">
        <f>INDEX([1]IDEN_level_ids!$B:$B,MATCH(H1331,[1]IDEN_level_ids!$A:$A,0),1)</f>
        <v>926</v>
      </c>
    </row>
    <row r="1332" spans="1:21" hidden="1" x14ac:dyDescent="0.25">
      <c r="A1332">
        <v>56982.1999</v>
      </c>
      <c r="B1332">
        <v>1754.934</v>
      </c>
      <c r="C1332">
        <v>9</v>
      </c>
      <c r="D1332" t="s">
        <v>514</v>
      </c>
      <c r="E1332" t="s">
        <v>45</v>
      </c>
      <c r="F1332">
        <v>1969</v>
      </c>
      <c r="G1332" s="1" t="s">
        <v>515</v>
      </c>
      <c r="H1332" s="1" t="s">
        <v>423</v>
      </c>
      <c r="I1332">
        <v>0.2036</v>
      </c>
      <c r="J1332">
        <v>56982.5766</v>
      </c>
      <c r="K1332">
        <v>1.1599999999999999E-2</v>
      </c>
      <c r="L1332">
        <v>1.485E-2</v>
      </c>
      <c r="M1332">
        <v>0.48199999999999998</v>
      </c>
      <c r="N1332">
        <v>5.4100000000000002E-2</v>
      </c>
      <c r="O1332">
        <v>1.5689999999999999E-2</v>
      </c>
      <c r="P1332" s="3">
        <f t="shared" si="80"/>
        <v>1754.9340000121688</v>
      </c>
      <c r="Q1332" s="3">
        <f t="shared" si="81"/>
        <v>1.1601504832697174E-2</v>
      </c>
      <c r="R1332" s="3">
        <f t="shared" si="82"/>
        <v>1.485E-2</v>
      </c>
      <c r="S1332">
        <f t="shared" si="83"/>
        <v>32</v>
      </c>
      <c r="T1332">
        <f>INDEX([1]IDEN_level_ids!$B:$B,MATCH(G1332,[1]IDEN_level_ids!$A:$A,0),1)</f>
        <v>1140</v>
      </c>
      <c r="U1332">
        <f>INDEX([1]IDEN_level_ids!$B:$B,MATCH(H1332,[1]IDEN_level_ids!$A:$A,0),1)</f>
        <v>915</v>
      </c>
    </row>
    <row r="1333" spans="1:21" hidden="1" x14ac:dyDescent="0.25">
      <c r="A1333">
        <v>56965.611499999999</v>
      </c>
      <c r="B1333">
        <v>1755.4449999999999</v>
      </c>
      <c r="C1333">
        <v>9</v>
      </c>
      <c r="D1333" t="s">
        <v>514</v>
      </c>
      <c r="F1333">
        <v>1969</v>
      </c>
      <c r="G1333" s="1" t="s">
        <v>516</v>
      </c>
      <c r="H1333" s="1" t="s">
        <v>517</v>
      </c>
      <c r="I1333">
        <v>-0.26919999999999999</v>
      </c>
      <c r="J1333">
        <v>56965.6417</v>
      </c>
      <c r="K1333">
        <v>9.3000000000000005E-4</v>
      </c>
      <c r="L1333">
        <v>7.5500000000000003E-3</v>
      </c>
      <c r="M1333">
        <v>0.245</v>
      </c>
      <c r="N1333">
        <v>0.31969999999999998</v>
      </c>
      <c r="O1333">
        <v>1.11E-2</v>
      </c>
      <c r="P1333" s="3">
        <f t="shared" si="80"/>
        <v>1755.4450372221495</v>
      </c>
      <c r="Q1333" s="3">
        <f t="shared" si="81"/>
        <v>9.306388649292785E-4</v>
      </c>
      <c r="R1333" s="3">
        <f t="shared" si="82"/>
        <v>7.5500000000000003E-3</v>
      </c>
      <c r="S1333">
        <f t="shared" si="83"/>
        <v>32</v>
      </c>
      <c r="T1333">
        <f>INDEX([1]IDEN_level_ids!$B:$B,MATCH(G1333,[1]IDEN_level_ids!$A:$A,0),1)</f>
        <v>1050</v>
      </c>
      <c r="U1333">
        <f>INDEX([1]IDEN_level_ids!$B:$B,MATCH(H1333,[1]IDEN_level_ids!$A:$A,0),1)</f>
        <v>626</v>
      </c>
    </row>
    <row r="1334" spans="1:21" hidden="1" x14ac:dyDescent="0.25">
      <c r="A1334">
        <v>56963.112800000003</v>
      </c>
      <c r="B1334">
        <v>1755.5219999999999</v>
      </c>
      <c r="C1334">
        <v>9</v>
      </c>
      <c r="D1334" t="s">
        <v>514</v>
      </c>
      <c r="F1334">
        <v>1969</v>
      </c>
      <c r="G1334" s="1" t="s">
        <v>518</v>
      </c>
      <c r="H1334" s="1" t="s">
        <v>519</v>
      </c>
      <c r="I1334">
        <v>0</v>
      </c>
      <c r="J1334">
        <v>56963.0334</v>
      </c>
      <c r="K1334">
        <v>-2.4499999999999999E-3</v>
      </c>
      <c r="L1334">
        <v>7.5500000000000003E-3</v>
      </c>
      <c r="M1334">
        <v>0.245</v>
      </c>
      <c r="N1334">
        <v>0.13689999999999999</v>
      </c>
      <c r="O1334">
        <v>8.7500000000000008E-3</v>
      </c>
      <c r="P1334" s="3">
        <f t="shared" si="80"/>
        <v>1755.5220402210884</v>
      </c>
      <c r="Q1334" s="3">
        <f t="shared" si="81"/>
        <v>-2.4469983720791788E-3</v>
      </c>
      <c r="R1334" s="3">
        <f t="shared" si="82"/>
        <v>7.5500000000000003E-3</v>
      </c>
      <c r="S1334">
        <f t="shared" si="83"/>
        <v>32</v>
      </c>
      <c r="T1334">
        <f>INDEX([1]IDEN_level_ids!$B:$B,MATCH(G1334,[1]IDEN_level_ids!$A:$A,0),1)</f>
        <v>1074</v>
      </c>
      <c r="U1334">
        <f>INDEX([1]IDEN_level_ids!$B:$B,MATCH(H1334,[1]IDEN_level_ids!$A:$A,0),1)</f>
        <v>660</v>
      </c>
    </row>
    <row r="1335" spans="1:21" hidden="1" x14ac:dyDescent="0.25">
      <c r="A1335">
        <v>56876.482100000001</v>
      </c>
      <c r="B1335">
        <v>1758.1958999999999</v>
      </c>
      <c r="C1335">
        <v>9</v>
      </c>
      <c r="D1335" t="s">
        <v>514</v>
      </c>
      <c r="F1335">
        <v>1969</v>
      </c>
      <c r="G1335" s="1" t="s">
        <v>22</v>
      </c>
      <c r="H1335" s="1" t="s">
        <v>520</v>
      </c>
      <c r="I1335">
        <v>0.22689999999999999</v>
      </c>
      <c r="J1335">
        <v>56876.377999999997</v>
      </c>
      <c r="K1335">
        <v>-3.2200000000000002E-3</v>
      </c>
      <c r="L1335">
        <v>7.5700000000000003E-3</v>
      </c>
      <c r="M1335">
        <v>0.245</v>
      </c>
      <c r="N1335">
        <v>7.1099999999999997E-2</v>
      </c>
      <c r="O1335">
        <v>8.1499999999999993E-3</v>
      </c>
      <c r="P1335" s="3">
        <f t="shared" si="80"/>
        <v>1758.1959415876038</v>
      </c>
      <c r="Q1335" s="3">
        <f t="shared" si="81"/>
        <v>-3.2180002308450639E-3</v>
      </c>
      <c r="R1335" s="3">
        <f t="shared" si="82"/>
        <v>7.5700000000000003E-3</v>
      </c>
      <c r="S1335">
        <f t="shared" si="83"/>
        <v>32</v>
      </c>
      <c r="T1335">
        <f>INDEX([1]IDEN_level_ids!$B:$B,MATCH(G1335,[1]IDEN_level_ids!$A:$A,0),1)</f>
        <v>1236</v>
      </c>
      <c r="U1335">
        <f>INDEX([1]IDEN_level_ids!$B:$B,MATCH(H1335,[1]IDEN_level_ids!$A:$A,0),1)</f>
        <v>1002</v>
      </c>
    </row>
    <row r="1336" spans="1:21" hidden="1" x14ac:dyDescent="0.25">
      <c r="A1336">
        <v>56873.863799999999</v>
      </c>
      <c r="B1336">
        <v>1758.2769000000001</v>
      </c>
      <c r="C1336">
        <v>9</v>
      </c>
      <c r="D1336" t="s">
        <v>514</v>
      </c>
      <c r="F1336">
        <v>1969</v>
      </c>
      <c r="G1336" s="1" t="s">
        <v>396</v>
      </c>
      <c r="H1336" s="1" t="s">
        <v>521</v>
      </c>
      <c r="I1336">
        <v>-0.31509999999999999</v>
      </c>
      <c r="J1336">
        <v>56873.906300000002</v>
      </c>
      <c r="K1336">
        <v>1.31E-3</v>
      </c>
      <c r="L1336">
        <v>7.5700000000000003E-3</v>
      </c>
      <c r="M1336">
        <v>0.245</v>
      </c>
      <c r="N1336">
        <v>0.23619999999999999</v>
      </c>
      <c r="O1336">
        <v>9.92E-3</v>
      </c>
      <c r="P1336" s="3">
        <f t="shared" si="80"/>
        <v>1758.2768835902441</v>
      </c>
      <c r="Q1336" s="3">
        <f t="shared" si="81"/>
        <v>1.3139024979409442E-3</v>
      </c>
      <c r="R1336" s="3">
        <f t="shared" si="82"/>
        <v>7.5700000000000003E-3</v>
      </c>
      <c r="S1336">
        <f t="shared" si="83"/>
        <v>32</v>
      </c>
      <c r="T1336">
        <f>INDEX([1]IDEN_level_ids!$B:$B,MATCH(G1336,[1]IDEN_level_ids!$A:$A,0),1)</f>
        <v>1072</v>
      </c>
      <c r="U1336">
        <f>INDEX([1]IDEN_level_ids!$B:$B,MATCH(H1336,[1]IDEN_level_ids!$A:$A,0),1)</f>
        <v>672</v>
      </c>
    </row>
    <row r="1337" spans="1:21" hidden="1" x14ac:dyDescent="0.25">
      <c r="A1337">
        <v>56841.499799999998</v>
      </c>
      <c r="B1337">
        <v>1759.278</v>
      </c>
      <c r="C1337">
        <v>9</v>
      </c>
      <c r="D1337" t="s">
        <v>514</v>
      </c>
      <c r="E1337" t="s">
        <v>52</v>
      </c>
      <c r="F1337">
        <v>1969</v>
      </c>
      <c r="G1337" s="1" t="s">
        <v>477</v>
      </c>
      <c r="H1337" s="1" t="s">
        <v>494</v>
      </c>
      <c r="I1337">
        <v>-0.2382</v>
      </c>
      <c r="J1337">
        <v>56841.6319</v>
      </c>
      <c r="K1337">
        <v>4.0899999999999999E-3</v>
      </c>
      <c r="L1337">
        <v>8.5400000000000007E-3</v>
      </c>
      <c r="M1337">
        <v>0.27600000000000002</v>
      </c>
      <c r="N1337">
        <v>0.14710000000000001</v>
      </c>
      <c r="O1337">
        <v>1.0019999999999999E-2</v>
      </c>
      <c r="P1337" s="3">
        <f t="shared" si="80"/>
        <v>1759.2779985020734</v>
      </c>
      <c r="Q1337" s="3">
        <f t="shared" si="81"/>
        <v>4.088563537607115E-3</v>
      </c>
      <c r="R1337" s="3">
        <f t="shared" si="82"/>
        <v>8.5400000000000007E-3</v>
      </c>
      <c r="S1337">
        <f t="shared" si="83"/>
        <v>32</v>
      </c>
      <c r="T1337">
        <f>INDEX([1]IDEN_level_ids!$B:$B,MATCH(G1337,[1]IDEN_level_ids!$A:$A,0),1)</f>
        <v>1045</v>
      </c>
      <c r="U1337">
        <f>INDEX([1]IDEN_level_ids!$B:$B,MATCH(H1337,[1]IDEN_level_ids!$A:$A,0),1)</f>
        <v>592</v>
      </c>
    </row>
    <row r="1338" spans="1:21" hidden="1" x14ac:dyDescent="0.25">
      <c r="A1338">
        <v>56840.206700000002</v>
      </c>
      <c r="B1338">
        <v>1759.318</v>
      </c>
      <c r="C1338">
        <v>9</v>
      </c>
      <c r="D1338" t="s">
        <v>514</v>
      </c>
      <c r="F1338">
        <v>1969</v>
      </c>
      <c r="G1338" s="1" t="s">
        <v>522</v>
      </c>
      <c r="H1338" s="1" t="s">
        <v>499</v>
      </c>
      <c r="I1338">
        <v>0</v>
      </c>
      <c r="J1338">
        <v>56840.025199999996</v>
      </c>
      <c r="K1338">
        <v>-5.62E-3</v>
      </c>
      <c r="L1338">
        <v>7.5799999999999999E-3</v>
      </c>
      <c r="M1338">
        <v>0.245</v>
      </c>
      <c r="N1338">
        <v>0.37719999999999998</v>
      </c>
      <c r="O1338">
        <v>1.217E-2</v>
      </c>
      <c r="P1338" s="3">
        <f t="shared" si="80"/>
        <v>1759.3180216214801</v>
      </c>
      <c r="Q1338" s="3">
        <f t="shared" si="81"/>
        <v>-5.6178057593569974E-3</v>
      </c>
      <c r="R1338" s="3">
        <f t="shared" si="82"/>
        <v>7.5799999999999999E-3</v>
      </c>
      <c r="S1338">
        <f t="shared" si="83"/>
        <v>32</v>
      </c>
      <c r="T1338">
        <f>INDEX([1]IDEN_level_ids!$B:$B,MATCH(G1338,[1]IDEN_level_ids!$A:$A,0),1)</f>
        <v>1029</v>
      </c>
      <c r="U1338">
        <f>INDEX([1]IDEN_level_ids!$B:$B,MATCH(H1338,[1]IDEN_level_ids!$A:$A,0),1)</f>
        <v>576</v>
      </c>
    </row>
    <row r="1339" spans="1:21" hidden="1" x14ac:dyDescent="0.25">
      <c r="A1339">
        <v>56820.8943</v>
      </c>
      <c r="B1339">
        <v>1759.9159999999999</v>
      </c>
      <c r="C1339">
        <v>9</v>
      </c>
      <c r="D1339" t="s">
        <v>514</v>
      </c>
      <c r="F1339">
        <v>1969</v>
      </c>
      <c r="G1339" s="1" t="s">
        <v>511</v>
      </c>
      <c r="H1339" s="1" t="s">
        <v>433</v>
      </c>
      <c r="I1339">
        <v>-0.56940000000000002</v>
      </c>
      <c r="J1339">
        <v>56821.532399999996</v>
      </c>
      <c r="K1339">
        <v>1.976E-2</v>
      </c>
      <c r="L1339">
        <v>7.5900000000000004E-3</v>
      </c>
      <c r="M1339">
        <v>0.245</v>
      </c>
      <c r="N1339">
        <v>0.1099</v>
      </c>
      <c r="O1339">
        <v>8.5199999999999998E-3</v>
      </c>
      <c r="P1339" s="3">
        <f t="shared" si="80"/>
        <v>1759.9159821741841</v>
      </c>
      <c r="Q1339" s="3">
        <f t="shared" si="81"/>
        <v>1.9763676564025445E-2</v>
      </c>
      <c r="R1339" s="3">
        <f t="shared" si="82"/>
        <v>7.5900000000000004E-3</v>
      </c>
      <c r="S1339">
        <f t="shared" si="83"/>
        <v>32</v>
      </c>
      <c r="T1339">
        <f>INDEX([1]IDEN_level_ids!$B:$B,MATCH(G1339,[1]IDEN_level_ids!$A:$A,0),1)</f>
        <v>1139</v>
      </c>
      <c r="U1339">
        <f>INDEX([1]IDEN_level_ids!$B:$B,MATCH(H1339,[1]IDEN_level_ids!$A:$A,0),1)</f>
        <v>918</v>
      </c>
    </row>
    <row r="1340" spans="1:21" hidden="1" x14ac:dyDescent="0.25">
      <c r="A1340">
        <v>56801.467499999999</v>
      </c>
      <c r="B1340">
        <v>1760.5179000000001</v>
      </c>
      <c r="C1340">
        <v>9</v>
      </c>
      <c r="D1340" t="s">
        <v>514</v>
      </c>
      <c r="E1340" t="s">
        <v>45</v>
      </c>
      <c r="F1340">
        <v>1969</v>
      </c>
      <c r="G1340" s="1" t="s">
        <v>276</v>
      </c>
      <c r="H1340" s="1" t="s">
        <v>376</v>
      </c>
      <c r="I1340">
        <v>-0.70099999999999996</v>
      </c>
      <c r="J1340">
        <v>56800.9519</v>
      </c>
      <c r="K1340">
        <v>-1.5980000000000001E-2</v>
      </c>
      <c r="L1340">
        <v>1.494E-2</v>
      </c>
      <c r="M1340">
        <v>0.48199999999999998</v>
      </c>
      <c r="N1340">
        <v>2.87E-2</v>
      </c>
      <c r="O1340">
        <v>1.538E-2</v>
      </c>
      <c r="P1340" s="3">
        <f t="shared" si="80"/>
        <v>1760.5178950702286</v>
      </c>
      <c r="Q1340" s="3">
        <f t="shared" si="81"/>
        <v>-1.5980771383738102E-2</v>
      </c>
      <c r="R1340" s="3">
        <f t="shared" si="82"/>
        <v>1.494E-2</v>
      </c>
      <c r="S1340">
        <f t="shared" si="83"/>
        <v>32</v>
      </c>
      <c r="T1340">
        <f>INDEX([1]IDEN_level_ids!$B:$B,MATCH(G1340,[1]IDEN_level_ids!$A:$A,0),1)</f>
        <v>1131</v>
      </c>
      <c r="U1340">
        <f>INDEX([1]IDEN_level_ids!$B:$B,MATCH(H1340,[1]IDEN_level_ids!$A:$A,0),1)</f>
        <v>913</v>
      </c>
    </row>
    <row r="1341" spans="1:21" hidden="1" x14ac:dyDescent="0.25">
      <c r="A1341">
        <v>56790.467600000004</v>
      </c>
      <c r="B1341">
        <v>1760.8588999999999</v>
      </c>
      <c r="C1341">
        <v>9</v>
      </c>
      <c r="D1341" t="s">
        <v>514</v>
      </c>
      <c r="F1341">
        <v>1969</v>
      </c>
      <c r="G1341" s="1" t="s">
        <v>428</v>
      </c>
      <c r="H1341" s="1" t="s">
        <v>523</v>
      </c>
      <c r="I1341">
        <v>-0.2928</v>
      </c>
      <c r="J1341">
        <v>56790.475299999998</v>
      </c>
      <c r="K1341">
        <v>2.4000000000000001E-4</v>
      </c>
      <c r="L1341">
        <v>7.6E-3</v>
      </c>
      <c r="M1341">
        <v>0.245</v>
      </c>
      <c r="N1341">
        <v>9.2499999999999999E-2</v>
      </c>
      <c r="O1341">
        <v>8.3700000000000007E-3</v>
      </c>
      <c r="P1341" s="3">
        <f t="shared" si="80"/>
        <v>1760.8588945656084</v>
      </c>
      <c r="Q1341" s="3">
        <f t="shared" si="81"/>
        <v>2.387480190009228E-4</v>
      </c>
      <c r="R1341" s="3">
        <f t="shared" si="82"/>
        <v>7.6E-3</v>
      </c>
      <c r="S1341">
        <f t="shared" si="83"/>
        <v>32</v>
      </c>
      <c r="T1341">
        <f>INDEX([1]IDEN_level_ids!$B:$B,MATCH(G1341,[1]IDEN_level_ids!$A:$A,0),1)</f>
        <v>1060</v>
      </c>
      <c r="U1341">
        <f>INDEX([1]IDEN_level_ids!$B:$B,MATCH(H1341,[1]IDEN_level_ids!$A:$A,0),1)</f>
        <v>627</v>
      </c>
    </row>
    <row r="1342" spans="1:21" hidden="1" x14ac:dyDescent="0.25">
      <c r="A1342">
        <v>56784.236499999999</v>
      </c>
      <c r="B1342">
        <v>1761.0521000000001</v>
      </c>
      <c r="C1342">
        <v>9</v>
      </c>
      <c r="D1342" t="s">
        <v>514</v>
      </c>
      <c r="F1342">
        <v>1969</v>
      </c>
      <c r="G1342" s="1" t="s">
        <v>469</v>
      </c>
      <c r="H1342" s="1" t="s">
        <v>517</v>
      </c>
      <c r="I1342">
        <v>-0.26919999999999999</v>
      </c>
      <c r="J1342">
        <v>56784.398500000003</v>
      </c>
      <c r="K1342">
        <v>5.0200000000000002E-3</v>
      </c>
      <c r="L1342">
        <v>7.6E-3</v>
      </c>
      <c r="M1342">
        <v>0.245</v>
      </c>
      <c r="N1342">
        <v>0.31069999999999998</v>
      </c>
      <c r="O1342">
        <v>1.102E-2</v>
      </c>
      <c r="P1342" s="3">
        <f t="shared" si="80"/>
        <v>1761.0521187513018</v>
      </c>
      <c r="Q1342" s="3">
        <f t="shared" si="81"/>
        <v>5.0240990622114623E-3</v>
      </c>
      <c r="R1342" s="3">
        <f t="shared" si="82"/>
        <v>7.6E-3</v>
      </c>
      <c r="S1342">
        <f t="shared" si="83"/>
        <v>32</v>
      </c>
      <c r="T1342">
        <f>INDEX([1]IDEN_level_ids!$B:$B,MATCH(G1342,[1]IDEN_level_ids!$A:$A,0),1)</f>
        <v>1048</v>
      </c>
      <c r="U1342">
        <f>INDEX([1]IDEN_level_ids!$B:$B,MATCH(H1342,[1]IDEN_level_ids!$A:$A,0),1)</f>
        <v>626</v>
      </c>
    </row>
    <row r="1343" spans="1:21" hidden="1" x14ac:dyDescent="0.25">
      <c r="A1343">
        <v>56721.333200000001</v>
      </c>
      <c r="B1343">
        <v>1763.0051000000001</v>
      </c>
      <c r="C1343">
        <v>9</v>
      </c>
      <c r="D1343" t="s">
        <v>514</v>
      </c>
      <c r="F1343">
        <v>1969</v>
      </c>
      <c r="G1343" s="1" t="s">
        <v>118</v>
      </c>
      <c r="H1343" s="1" t="s">
        <v>524</v>
      </c>
      <c r="I1343">
        <v>0</v>
      </c>
      <c r="J1343">
        <v>56721.421199999997</v>
      </c>
      <c r="K1343">
        <v>2.7399999999999998E-3</v>
      </c>
      <c r="L1343">
        <v>7.6099999999999996E-3</v>
      </c>
      <c r="M1343">
        <v>0.245</v>
      </c>
      <c r="N1343">
        <v>7.2400000000000006E-2</v>
      </c>
      <c r="O1343">
        <v>8.2100000000000003E-3</v>
      </c>
      <c r="P1343" s="3">
        <f t="shared" si="80"/>
        <v>1763.0051051056748</v>
      </c>
      <c r="Q1343" s="3">
        <f t="shared" si="81"/>
        <v>2.7352003169198724E-3</v>
      </c>
      <c r="R1343" s="3">
        <f t="shared" si="82"/>
        <v>7.6099999999999996E-3</v>
      </c>
      <c r="S1343">
        <f t="shared" si="83"/>
        <v>32</v>
      </c>
      <c r="T1343">
        <f>INDEX([1]IDEN_level_ids!$B:$B,MATCH(G1343,[1]IDEN_level_ids!$A:$A,0),1)</f>
        <v>1237</v>
      </c>
      <c r="U1343">
        <f>INDEX([1]IDEN_level_ids!$B:$B,MATCH(H1343,[1]IDEN_level_ids!$A:$A,0),1)</f>
        <v>998</v>
      </c>
    </row>
    <row r="1344" spans="1:21" hidden="1" x14ac:dyDescent="0.25">
      <c r="A1344">
        <v>56661.745600000002</v>
      </c>
      <c r="B1344">
        <v>1764.8590999999999</v>
      </c>
      <c r="C1344">
        <v>9</v>
      </c>
      <c r="D1344" t="s">
        <v>514</v>
      </c>
      <c r="E1344" t="s">
        <v>45</v>
      </c>
      <c r="F1344">
        <v>1969</v>
      </c>
      <c r="G1344" s="1" t="s">
        <v>511</v>
      </c>
      <c r="H1344" s="1" t="s">
        <v>423</v>
      </c>
      <c r="I1344">
        <v>-0.56940000000000002</v>
      </c>
      <c r="J1344">
        <v>56661.295899999997</v>
      </c>
      <c r="K1344">
        <v>-1.401E-2</v>
      </c>
      <c r="L1344">
        <v>1.5010000000000001E-2</v>
      </c>
      <c r="M1344">
        <v>0.48199999999999998</v>
      </c>
      <c r="N1344">
        <v>4.5400000000000003E-2</v>
      </c>
      <c r="O1344">
        <v>1.5730000000000001E-2</v>
      </c>
      <c r="P1344" s="3">
        <f t="shared" si="80"/>
        <v>1764.8591468738655</v>
      </c>
      <c r="Q1344" s="3">
        <f t="shared" si="81"/>
        <v>-1.4007042121875202E-2</v>
      </c>
      <c r="R1344" s="3">
        <f t="shared" si="82"/>
        <v>1.5010000000000001E-2</v>
      </c>
      <c r="S1344">
        <f t="shared" si="83"/>
        <v>32</v>
      </c>
      <c r="T1344">
        <f>INDEX([1]IDEN_level_ids!$B:$B,MATCH(G1344,[1]IDEN_level_ids!$A:$A,0),1)</f>
        <v>1139</v>
      </c>
      <c r="U1344">
        <f>INDEX([1]IDEN_level_ids!$B:$B,MATCH(H1344,[1]IDEN_level_ids!$A:$A,0),1)</f>
        <v>915</v>
      </c>
    </row>
    <row r="1345" spans="1:21" hidden="1" x14ac:dyDescent="0.25">
      <c r="A1345">
        <v>56654.4283</v>
      </c>
      <c r="B1345">
        <v>1765.0871</v>
      </c>
      <c r="C1345">
        <v>9</v>
      </c>
      <c r="D1345" t="s">
        <v>514</v>
      </c>
      <c r="F1345">
        <v>1969</v>
      </c>
      <c r="G1345" s="1" t="s">
        <v>138</v>
      </c>
      <c r="H1345" s="1" t="s">
        <v>352</v>
      </c>
      <c r="I1345">
        <v>0</v>
      </c>
      <c r="J1345">
        <v>56654.26</v>
      </c>
      <c r="K1345">
        <v>-5.2399999999999999E-3</v>
      </c>
      <c r="L1345">
        <v>7.6299999999999996E-3</v>
      </c>
      <c r="M1345">
        <v>0.245</v>
      </c>
      <c r="N1345">
        <v>0.14460000000000001</v>
      </c>
      <c r="O1345">
        <v>8.9200000000000008E-3</v>
      </c>
      <c r="P1345" s="3">
        <f t="shared" si="80"/>
        <v>1765.0870902884037</v>
      </c>
      <c r="Q1345" s="3">
        <f t="shared" si="81"/>
        <v>-5.2434566666761384E-3</v>
      </c>
      <c r="R1345" s="3">
        <f t="shared" si="82"/>
        <v>7.6299999999999996E-3</v>
      </c>
      <c r="S1345">
        <f t="shared" si="83"/>
        <v>32</v>
      </c>
      <c r="T1345">
        <f>INDEX([1]IDEN_level_ids!$B:$B,MATCH(G1345,[1]IDEN_level_ids!$A:$A,0),1)</f>
        <v>1126</v>
      </c>
      <c r="U1345">
        <f>INDEX([1]IDEN_level_ids!$B:$B,MATCH(H1345,[1]IDEN_level_ids!$A:$A,0),1)</f>
        <v>909</v>
      </c>
    </row>
    <row r="1346" spans="1:21" hidden="1" x14ac:dyDescent="0.25">
      <c r="A1346">
        <v>56647.624799999998</v>
      </c>
      <c r="B1346">
        <v>1765.2991</v>
      </c>
      <c r="C1346">
        <v>9</v>
      </c>
      <c r="D1346" t="s">
        <v>514</v>
      </c>
      <c r="F1346">
        <v>1969</v>
      </c>
      <c r="G1346" s="1" t="s">
        <v>76</v>
      </c>
      <c r="H1346" s="1" t="s">
        <v>508</v>
      </c>
      <c r="I1346">
        <v>0</v>
      </c>
      <c r="J1346">
        <v>56647.8819</v>
      </c>
      <c r="K1346">
        <v>8.0099999999999998E-3</v>
      </c>
      <c r="L1346">
        <v>7.6299999999999996E-3</v>
      </c>
      <c r="M1346">
        <v>0.245</v>
      </c>
      <c r="N1346">
        <v>4.5699999999999998E-2</v>
      </c>
      <c r="O1346">
        <v>8.0000000000000002E-3</v>
      </c>
      <c r="P1346" s="3">
        <f t="shared" ref="P1346:P1409" si="84">100000000/$A1346</f>
        <v>1765.2990809951841</v>
      </c>
      <c r="Q1346" s="3">
        <f t="shared" ref="Q1346:Q1409" si="85">100000000/($A1346)-100000000/$J1346</f>
        <v>8.0119216906950896E-3</v>
      </c>
      <c r="R1346" s="3">
        <f t="shared" si="82"/>
        <v>7.6299999999999996E-3</v>
      </c>
      <c r="S1346">
        <f t="shared" si="83"/>
        <v>32</v>
      </c>
      <c r="T1346">
        <f>INDEX([1]IDEN_level_ids!$B:$B,MATCH(G1346,[1]IDEN_level_ids!$A:$A,0),1)</f>
        <v>1194</v>
      </c>
      <c r="U1346">
        <f>INDEX([1]IDEN_level_ids!$B:$B,MATCH(H1346,[1]IDEN_level_ids!$A:$A,0),1)</f>
        <v>961</v>
      </c>
    </row>
    <row r="1347" spans="1:21" hidden="1" x14ac:dyDescent="0.25">
      <c r="A1347">
        <v>56611.293899999997</v>
      </c>
      <c r="B1347">
        <v>1766.432</v>
      </c>
      <c r="C1347">
        <v>9</v>
      </c>
      <c r="D1347" t="s">
        <v>514</v>
      </c>
      <c r="F1347">
        <v>1969</v>
      </c>
      <c r="G1347" s="1" t="s">
        <v>244</v>
      </c>
      <c r="H1347" s="1" t="s">
        <v>487</v>
      </c>
      <c r="I1347">
        <v>0</v>
      </c>
      <c r="J1347">
        <v>56611.473899999997</v>
      </c>
      <c r="K1347">
        <v>5.62E-3</v>
      </c>
      <c r="L1347">
        <v>7.6400000000000001E-3</v>
      </c>
      <c r="M1347">
        <v>0.245</v>
      </c>
      <c r="N1347">
        <v>4.3200000000000002E-2</v>
      </c>
      <c r="O1347">
        <v>7.9900000000000006E-3</v>
      </c>
      <c r="P1347" s="3">
        <f t="shared" si="84"/>
        <v>1766.4319804568183</v>
      </c>
      <c r="Q1347" s="3">
        <f t="shared" si="85"/>
        <v>5.6164896366226458E-3</v>
      </c>
      <c r="R1347" s="3">
        <f t="shared" ref="R1347:R1410" si="86">$L1347</f>
        <v>7.6400000000000001E-3</v>
      </c>
      <c r="S1347">
        <f t="shared" si="83"/>
        <v>32</v>
      </c>
      <c r="T1347">
        <f>INDEX([1]IDEN_level_ids!$B:$B,MATCH(G1347,[1]IDEN_level_ids!$A:$A,0),1)</f>
        <v>1195</v>
      </c>
      <c r="U1347">
        <f>INDEX([1]IDEN_level_ids!$B:$B,MATCH(H1347,[1]IDEN_level_ids!$A:$A,0),1)</f>
        <v>968</v>
      </c>
    </row>
    <row r="1348" spans="1:21" hidden="1" x14ac:dyDescent="0.25">
      <c r="A1348">
        <v>56557.4355</v>
      </c>
      <c r="B1348">
        <v>1768.1141</v>
      </c>
      <c r="C1348">
        <v>9</v>
      </c>
      <c r="D1348" t="s">
        <v>514</v>
      </c>
      <c r="F1348">
        <v>1969</v>
      </c>
      <c r="G1348" s="1" t="s">
        <v>239</v>
      </c>
      <c r="H1348" s="1" t="s">
        <v>498</v>
      </c>
      <c r="I1348">
        <v>0</v>
      </c>
      <c r="J1348">
        <v>56557.537700000001</v>
      </c>
      <c r="K1348">
        <v>3.1900000000000001E-3</v>
      </c>
      <c r="L1348">
        <v>7.6600000000000001E-3</v>
      </c>
      <c r="M1348">
        <v>0.245</v>
      </c>
      <c r="N1348">
        <v>4.2000000000000003E-2</v>
      </c>
      <c r="O1348">
        <v>7.9900000000000006E-3</v>
      </c>
      <c r="P1348" s="3">
        <f t="shared" si="84"/>
        <v>1768.1141147214853</v>
      </c>
      <c r="Q1348" s="3">
        <f t="shared" si="85"/>
        <v>3.1949987549069192E-3</v>
      </c>
      <c r="R1348" s="3">
        <f t="shared" si="86"/>
        <v>7.6600000000000001E-3</v>
      </c>
      <c r="S1348">
        <f t="shared" ref="S1348:S1411" si="87">IF(D1348=D1347,S1347,S1347+1)</f>
        <v>32</v>
      </c>
      <c r="T1348">
        <f>INDEX([1]IDEN_level_ids!$B:$B,MATCH(G1348,[1]IDEN_level_ids!$A:$A,0),1)</f>
        <v>1167</v>
      </c>
      <c r="U1348">
        <f>INDEX([1]IDEN_level_ids!$B:$B,MATCH(H1348,[1]IDEN_level_ids!$A:$A,0),1)</f>
        <v>953</v>
      </c>
    </row>
    <row r="1349" spans="1:21" hidden="1" x14ac:dyDescent="0.25">
      <c r="A1349">
        <v>56527.070399999997</v>
      </c>
      <c r="B1349">
        <v>1769.0639000000001</v>
      </c>
      <c r="C1349">
        <v>9</v>
      </c>
      <c r="D1349" t="s">
        <v>514</v>
      </c>
      <c r="F1349">
        <v>1969</v>
      </c>
      <c r="G1349" s="1" t="s">
        <v>38</v>
      </c>
      <c r="H1349" s="1" t="s">
        <v>525</v>
      </c>
      <c r="I1349">
        <v>0</v>
      </c>
      <c r="J1349">
        <v>56527.094400000002</v>
      </c>
      <c r="K1349">
        <v>7.5000000000000002E-4</v>
      </c>
      <c r="L1349">
        <v>7.6699999999999997E-3</v>
      </c>
      <c r="M1349">
        <v>0.245</v>
      </c>
      <c r="N1349">
        <v>3.85E-2</v>
      </c>
      <c r="O1349">
        <v>7.9699999999999997E-3</v>
      </c>
      <c r="P1349" s="3">
        <f t="shared" si="84"/>
        <v>1769.063906768464</v>
      </c>
      <c r="Q1349" s="3">
        <f t="shared" si="85"/>
        <v>7.5110058673999447E-4</v>
      </c>
      <c r="R1349" s="3">
        <f t="shared" si="86"/>
        <v>7.6699999999999997E-3</v>
      </c>
      <c r="S1349">
        <f t="shared" si="87"/>
        <v>32</v>
      </c>
      <c r="T1349">
        <f>INDEX([1]IDEN_level_ids!$B:$B,MATCH(G1349,[1]IDEN_level_ids!$A:$A,0),1)</f>
        <v>1201</v>
      </c>
      <c r="U1349">
        <f>INDEX([1]IDEN_level_ids!$B:$B,MATCH(H1349,[1]IDEN_level_ids!$A:$A,0),1)</f>
        <v>971</v>
      </c>
    </row>
    <row r="1350" spans="1:21" hidden="1" x14ac:dyDescent="0.25">
      <c r="A1350">
        <v>56454.816400000003</v>
      </c>
      <c r="B1350">
        <v>1771.3280999999999</v>
      </c>
      <c r="C1350">
        <v>9</v>
      </c>
      <c r="D1350" t="s">
        <v>514</v>
      </c>
      <c r="F1350">
        <v>1969</v>
      </c>
      <c r="G1350" s="1" t="s">
        <v>33</v>
      </c>
      <c r="H1350" s="1" t="s">
        <v>526</v>
      </c>
      <c r="I1350">
        <v>0</v>
      </c>
      <c r="J1350">
        <v>56454.731399999997</v>
      </c>
      <c r="K1350">
        <v>-2.6700000000000001E-3</v>
      </c>
      <c r="L1350">
        <v>7.6899999999999998E-3</v>
      </c>
      <c r="M1350">
        <v>0.245</v>
      </c>
      <c r="N1350">
        <v>3.8199999999999998E-2</v>
      </c>
      <c r="O1350">
        <v>7.9900000000000006E-3</v>
      </c>
      <c r="P1350" s="3">
        <f t="shared" si="84"/>
        <v>1771.3280527115485</v>
      </c>
      <c r="Q1350" s="3">
        <f t="shared" si="85"/>
        <v>-2.6669666253837931E-3</v>
      </c>
      <c r="R1350" s="3">
        <f t="shared" si="86"/>
        <v>7.6899999999999998E-3</v>
      </c>
      <c r="S1350">
        <f t="shared" si="87"/>
        <v>32</v>
      </c>
      <c r="T1350">
        <f>INDEX([1]IDEN_level_ids!$B:$B,MATCH(G1350,[1]IDEN_level_ids!$A:$A,0),1)</f>
        <v>1220</v>
      </c>
      <c r="U1350">
        <f>INDEX([1]IDEN_level_ids!$B:$B,MATCH(H1350,[1]IDEN_level_ids!$A:$A,0),1)</f>
        <v>989</v>
      </c>
    </row>
    <row r="1351" spans="1:21" hidden="1" x14ac:dyDescent="0.25">
      <c r="A1351">
        <v>56429.300499999998</v>
      </c>
      <c r="B1351">
        <v>1772.1289999999999</v>
      </c>
      <c r="C1351">
        <v>9</v>
      </c>
      <c r="D1351" t="s">
        <v>514</v>
      </c>
      <c r="F1351">
        <v>1969</v>
      </c>
      <c r="G1351" s="1" t="s">
        <v>46</v>
      </c>
      <c r="H1351" s="1" t="s">
        <v>527</v>
      </c>
      <c r="I1351">
        <v>0</v>
      </c>
      <c r="J1351">
        <v>56429.626199999999</v>
      </c>
      <c r="K1351">
        <v>1.023E-2</v>
      </c>
      <c r="L1351">
        <v>7.6899999999999998E-3</v>
      </c>
      <c r="M1351">
        <v>0.245</v>
      </c>
      <c r="N1351">
        <v>4.58E-2</v>
      </c>
      <c r="O1351">
        <v>8.0599999999999995E-3</v>
      </c>
      <c r="P1351" s="3">
        <f t="shared" si="84"/>
        <v>1772.1290023788263</v>
      </c>
      <c r="Q1351" s="3">
        <f t="shared" si="85"/>
        <v>1.02283579556115E-2</v>
      </c>
      <c r="R1351" s="3">
        <f t="shared" si="86"/>
        <v>7.6899999999999998E-3</v>
      </c>
      <c r="S1351">
        <f t="shared" si="87"/>
        <v>32</v>
      </c>
      <c r="T1351">
        <f>INDEX([1]IDEN_level_ids!$B:$B,MATCH(G1351,[1]IDEN_level_ids!$A:$A,0),1)</f>
        <v>1212</v>
      </c>
      <c r="U1351">
        <f>INDEX([1]IDEN_level_ids!$B:$B,MATCH(H1351,[1]IDEN_level_ids!$A:$A,0),1)</f>
        <v>980</v>
      </c>
    </row>
    <row r="1352" spans="1:21" hidden="1" x14ac:dyDescent="0.25">
      <c r="A1352">
        <v>56361.618799999997</v>
      </c>
      <c r="B1352">
        <v>1774.2571</v>
      </c>
      <c r="C1352">
        <v>9</v>
      </c>
      <c r="D1352" t="s">
        <v>514</v>
      </c>
      <c r="F1352">
        <v>1969</v>
      </c>
      <c r="G1352" s="1" t="s">
        <v>528</v>
      </c>
      <c r="H1352" s="1" t="s">
        <v>93</v>
      </c>
      <c r="I1352">
        <v>0</v>
      </c>
      <c r="J1352">
        <v>56361.843000000001</v>
      </c>
      <c r="K1352">
        <v>7.0600000000000003E-3</v>
      </c>
      <c r="L1352">
        <v>7.7099999999999998E-3</v>
      </c>
      <c r="M1352">
        <v>0.245</v>
      </c>
      <c r="N1352">
        <v>0.1978</v>
      </c>
      <c r="O1352">
        <v>9.6100000000000005E-3</v>
      </c>
      <c r="P1352" s="3">
        <f t="shared" si="84"/>
        <v>1774.2570587770274</v>
      </c>
      <c r="Q1352" s="3">
        <f t="shared" si="85"/>
        <v>7.0577612693796254E-3</v>
      </c>
      <c r="R1352" s="3">
        <f t="shared" si="86"/>
        <v>7.7099999999999998E-3</v>
      </c>
      <c r="S1352">
        <f t="shared" si="87"/>
        <v>32</v>
      </c>
      <c r="T1352">
        <f>INDEX([1]IDEN_level_ids!$B:$B,MATCH(G1352,[1]IDEN_level_ids!$A:$A,0),1)</f>
        <v>1009</v>
      </c>
      <c r="U1352">
        <f>INDEX([1]IDEN_level_ids!$B:$B,MATCH(H1352,[1]IDEN_level_ids!$A:$A,0),1)</f>
        <v>554</v>
      </c>
    </row>
    <row r="1353" spans="1:21" hidden="1" x14ac:dyDescent="0.25">
      <c r="A1353">
        <v>56278.447500000002</v>
      </c>
      <c r="B1353">
        <v>1776.8792000000001</v>
      </c>
      <c r="C1353">
        <v>9</v>
      </c>
      <c r="D1353" t="s">
        <v>529</v>
      </c>
      <c r="F1353">
        <v>1969</v>
      </c>
      <c r="G1353" s="1" t="s">
        <v>428</v>
      </c>
      <c r="H1353" s="1" t="s">
        <v>530</v>
      </c>
      <c r="I1353">
        <v>-0.2928</v>
      </c>
      <c r="J1353">
        <v>56278.476199999997</v>
      </c>
      <c r="K1353">
        <v>8.9999999999999998E-4</v>
      </c>
      <c r="L1353">
        <v>7.7299999999999999E-3</v>
      </c>
      <c r="M1353">
        <v>0.245</v>
      </c>
      <c r="N1353">
        <v>0.26229999999999998</v>
      </c>
      <c r="O1353">
        <v>1.048E-2</v>
      </c>
      <c r="P1353" s="3">
        <f t="shared" si="84"/>
        <v>1776.8791507619324</v>
      </c>
      <c r="Q1353" s="3">
        <f t="shared" si="85"/>
        <v>9.061444989129086E-4</v>
      </c>
      <c r="R1353" s="3">
        <f t="shared" si="86"/>
        <v>7.7299999999999999E-3</v>
      </c>
      <c r="S1353">
        <f t="shared" si="87"/>
        <v>33</v>
      </c>
      <c r="T1353">
        <f>INDEX([1]IDEN_level_ids!$B:$B,MATCH(G1353,[1]IDEN_level_ids!$A:$A,0),1)</f>
        <v>1060</v>
      </c>
      <c r="U1353">
        <f>INDEX([1]IDEN_level_ids!$B:$B,MATCH(H1353,[1]IDEN_level_ids!$A:$A,0),1)</f>
        <v>649</v>
      </c>
    </row>
    <row r="1354" spans="1:21" hidden="1" x14ac:dyDescent="0.25">
      <c r="A1354">
        <v>56251.949800000002</v>
      </c>
      <c r="B1354">
        <v>1777.7162000000001</v>
      </c>
      <c r="C1354">
        <v>9</v>
      </c>
      <c r="D1354" t="s">
        <v>529</v>
      </c>
      <c r="F1354">
        <v>1969</v>
      </c>
      <c r="G1354" s="1" t="s">
        <v>69</v>
      </c>
      <c r="H1354" s="1" t="s">
        <v>531</v>
      </c>
      <c r="I1354">
        <v>0</v>
      </c>
      <c r="J1354">
        <v>56252.052000000003</v>
      </c>
      <c r="K1354">
        <v>3.2299999999999998E-3</v>
      </c>
      <c r="L1354">
        <v>7.7400000000000004E-3</v>
      </c>
      <c r="M1354">
        <v>0.245</v>
      </c>
      <c r="N1354">
        <v>0.14449999999999999</v>
      </c>
      <c r="O1354">
        <v>9.0500000000000008E-3</v>
      </c>
      <c r="P1354" s="3">
        <f t="shared" si="84"/>
        <v>1777.7161566051172</v>
      </c>
      <c r="Q1354" s="3">
        <f t="shared" si="85"/>
        <v>3.2297949096573575E-3</v>
      </c>
      <c r="R1354" s="3">
        <f t="shared" si="86"/>
        <v>7.7400000000000004E-3</v>
      </c>
      <c r="S1354">
        <f t="shared" si="87"/>
        <v>33</v>
      </c>
      <c r="T1354">
        <f>INDEX([1]IDEN_level_ids!$B:$B,MATCH(G1354,[1]IDEN_level_ids!$A:$A,0),1)</f>
        <v>1218</v>
      </c>
      <c r="U1354">
        <f>INDEX([1]IDEN_level_ids!$B:$B,MATCH(H1354,[1]IDEN_level_ids!$A:$A,0),1)</f>
        <v>990</v>
      </c>
    </row>
    <row r="1355" spans="1:21" hidden="1" x14ac:dyDescent="0.25">
      <c r="A1355">
        <v>56229.621599999999</v>
      </c>
      <c r="B1355">
        <v>1778.4221</v>
      </c>
      <c r="C1355">
        <v>9</v>
      </c>
      <c r="D1355" t="s">
        <v>529</v>
      </c>
      <c r="F1355">
        <v>1969</v>
      </c>
      <c r="G1355" s="1" t="s">
        <v>464</v>
      </c>
      <c r="H1355" s="1" t="s">
        <v>532</v>
      </c>
      <c r="I1355">
        <v>0</v>
      </c>
      <c r="J1355">
        <v>56229.7552</v>
      </c>
      <c r="K1355">
        <v>4.2199999999999998E-3</v>
      </c>
      <c r="L1355">
        <v>7.7499999999999999E-3</v>
      </c>
      <c r="M1355">
        <v>0.245</v>
      </c>
      <c r="N1355">
        <v>0.1772</v>
      </c>
      <c r="O1355">
        <v>9.4199999999999996E-3</v>
      </c>
      <c r="P1355" s="3">
        <f t="shared" si="84"/>
        <v>1778.422069267491</v>
      </c>
      <c r="Q1355" s="3">
        <f t="shared" si="85"/>
        <v>4.2254707959727966E-3</v>
      </c>
      <c r="R1355" s="3">
        <f t="shared" si="86"/>
        <v>7.7499999999999999E-3</v>
      </c>
      <c r="S1355">
        <f t="shared" si="87"/>
        <v>33</v>
      </c>
      <c r="T1355">
        <f>INDEX([1]IDEN_level_ids!$B:$B,MATCH(G1355,[1]IDEN_level_ids!$A:$A,0),1)</f>
        <v>1076</v>
      </c>
      <c r="U1355">
        <f>INDEX([1]IDEN_level_ids!$B:$B,MATCH(H1355,[1]IDEN_level_ids!$A:$A,0),1)</f>
        <v>706</v>
      </c>
    </row>
    <row r="1356" spans="1:21" hidden="1" x14ac:dyDescent="0.25">
      <c r="A1356">
        <v>56219.821799999998</v>
      </c>
      <c r="B1356">
        <v>1778.7320999999999</v>
      </c>
      <c r="C1356">
        <v>9</v>
      </c>
      <c r="D1356" t="s">
        <v>529</v>
      </c>
      <c r="F1356">
        <v>1969</v>
      </c>
      <c r="G1356" s="1" t="s">
        <v>477</v>
      </c>
      <c r="H1356" s="1" t="s">
        <v>533</v>
      </c>
      <c r="I1356">
        <v>-0.2382</v>
      </c>
      <c r="J1356">
        <v>56220.259299999998</v>
      </c>
      <c r="K1356">
        <v>1.384E-2</v>
      </c>
      <c r="L1356">
        <v>7.7499999999999999E-3</v>
      </c>
      <c r="M1356">
        <v>0.245</v>
      </c>
      <c r="N1356">
        <v>4.48E-2</v>
      </c>
      <c r="O1356">
        <v>8.1099999999999992E-3</v>
      </c>
      <c r="P1356" s="3">
        <f t="shared" si="84"/>
        <v>1778.7320699049246</v>
      </c>
      <c r="Q1356" s="3">
        <f t="shared" si="85"/>
        <v>1.3841901305340798E-2</v>
      </c>
      <c r="R1356" s="3">
        <f t="shared" si="86"/>
        <v>7.7499999999999999E-3</v>
      </c>
      <c r="S1356">
        <f t="shared" si="87"/>
        <v>33</v>
      </c>
      <c r="T1356">
        <f>INDEX([1]IDEN_level_ids!$B:$B,MATCH(G1356,[1]IDEN_level_ids!$A:$A,0),1)</f>
        <v>1045</v>
      </c>
      <c r="U1356">
        <f>INDEX([1]IDEN_level_ids!$B:$B,MATCH(H1356,[1]IDEN_level_ids!$A:$A,0),1)</f>
        <v>615</v>
      </c>
    </row>
    <row r="1357" spans="1:21" hidden="1" x14ac:dyDescent="0.25">
      <c r="A1357">
        <v>56196.821600000003</v>
      </c>
      <c r="B1357">
        <v>1779.4601</v>
      </c>
      <c r="C1357">
        <v>9</v>
      </c>
      <c r="D1357" t="s">
        <v>529</v>
      </c>
      <c r="F1357">
        <v>1969</v>
      </c>
      <c r="G1357" s="1" t="s">
        <v>477</v>
      </c>
      <c r="H1357" s="1" t="s">
        <v>517</v>
      </c>
      <c r="I1357">
        <v>-0.2382</v>
      </c>
      <c r="J1357">
        <v>56196.891000000003</v>
      </c>
      <c r="K1357">
        <v>2.2000000000000001E-3</v>
      </c>
      <c r="L1357">
        <v>7.7600000000000004E-3</v>
      </c>
      <c r="M1357">
        <v>0.245</v>
      </c>
      <c r="N1357">
        <v>0.31730000000000003</v>
      </c>
      <c r="O1357">
        <v>1.136E-2</v>
      </c>
      <c r="P1357" s="3">
        <f t="shared" si="84"/>
        <v>1779.460068254109</v>
      </c>
      <c r="Q1357" s="3">
        <f t="shared" si="85"/>
        <v>2.1975331114845176E-3</v>
      </c>
      <c r="R1357" s="3">
        <f t="shared" si="86"/>
        <v>7.7600000000000004E-3</v>
      </c>
      <c r="S1357">
        <f t="shared" si="87"/>
        <v>33</v>
      </c>
      <c r="T1357">
        <f>INDEX([1]IDEN_level_ids!$B:$B,MATCH(G1357,[1]IDEN_level_ids!$A:$A,0),1)</f>
        <v>1045</v>
      </c>
      <c r="U1357">
        <f>INDEX([1]IDEN_level_ids!$B:$B,MATCH(H1357,[1]IDEN_level_ids!$A:$A,0),1)</f>
        <v>626</v>
      </c>
    </row>
    <row r="1358" spans="1:21" hidden="1" x14ac:dyDescent="0.25">
      <c r="A1358">
        <v>56173.143799999998</v>
      </c>
      <c r="B1358">
        <v>1780.2101</v>
      </c>
      <c r="C1358">
        <v>9</v>
      </c>
      <c r="D1358" t="s">
        <v>529</v>
      </c>
      <c r="F1358">
        <v>1969</v>
      </c>
      <c r="G1358" s="1" t="s">
        <v>275</v>
      </c>
      <c r="H1358" s="1" t="s">
        <v>420</v>
      </c>
      <c r="I1358">
        <v>0</v>
      </c>
      <c r="J1358">
        <v>56173.385000000002</v>
      </c>
      <c r="K1358">
        <v>7.6499999999999997E-3</v>
      </c>
      <c r="L1358">
        <v>7.7600000000000004E-3</v>
      </c>
      <c r="M1358">
        <v>0.245</v>
      </c>
      <c r="N1358">
        <v>0.1346</v>
      </c>
      <c r="O1358">
        <v>8.9700000000000005E-3</v>
      </c>
      <c r="P1358" s="3">
        <f t="shared" si="84"/>
        <v>1780.2101366454053</v>
      </c>
      <c r="Q1358" s="3">
        <f t="shared" si="85"/>
        <v>7.643952469152282E-3</v>
      </c>
      <c r="R1358" s="3">
        <f t="shared" si="86"/>
        <v>7.7600000000000004E-3</v>
      </c>
      <c r="S1358">
        <f t="shared" si="87"/>
        <v>33</v>
      </c>
      <c r="T1358">
        <f>INDEX([1]IDEN_level_ids!$B:$B,MATCH(G1358,[1]IDEN_level_ids!$A:$A,0),1)</f>
        <v>1134</v>
      </c>
      <c r="U1358">
        <f>INDEX([1]IDEN_level_ids!$B:$B,MATCH(H1358,[1]IDEN_level_ids!$A:$A,0),1)</f>
        <v>914</v>
      </c>
    </row>
    <row r="1359" spans="1:21" hidden="1" x14ac:dyDescent="0.25">
      <c r="A1359">
        <v>56160.9735</v>
      </c>
      <c r="B1359">
        <v>1780.5959</v>
      </c>
      <c r="C1359">
        <v>9</v>
      </c>
      <c r="D1359" t="s">
        <v>529</v>
      </c>
      <c r="F1359">
        <v>1969</v>
      </c>
      <c r="G1359" s="1" t="s">
        <v>22</v>
      </c>
      <c r="H1359" s="1" t="s">
        <v>510</v>
      </c>
      <c r="I1359">
        <v>0</v>
      </c>
      <c r="J1359">
        <v>56161.195099999997</v>
      </c>
      <c r="K1359">
        <v>7.0299999999999998E-3</v>
      </c>
      <c r="L1359">
        <v>7.77E-3</v>
      </c>
      <c r="M1359">
        <v>0.245</v>
      </c>
      <c r="N1359">
        <v>3.1099999999999999E-2</v>
      </c>
      <c r="O1359">
        <v>8.0199999999999994E-3</v>
      </c>
      <c r="P1359" s="3">
        <f t="shared" si="84"/>
        <v>1780.5959150619069</v>
      </c>
      <c r="Q1359" s="3">
        <f t="shared" si="85"/>
        <v>7.0258486143757182E-3</v>
      </c>
      <c r="R1359" s="3">
        <f t="shared" si="86"/>
        <v>7.77E-3</v>
      </c>
      <c r="S1359">
        <f t="shared" si="87"/>
        <v>33</v>
      </c>
      <c r="T1359">
        <f>INDEX([1]IDEN_level_ids!$B:$B,MATCH(G1359,[1]IDEN_level_ids!$A:$A,0),1)</f>
        <v>1236</v>
      </c>
      <c r="U1359">
        <f>INDEX([1]IDEN_level_ids!$B:$B,MATCH(H1359,[1]IDEN_level_ids!$A:$A,0),1)</f>
        <v>1006</v>
      </c>
    </row>
    <row r="1360" spans="1:21" hidden="1" x14ac:dyDescent="0.25">
      <c r="A1360">
        <v>56149.398000000001</v>
      </c>
      <c r="B1360">
        <v>1780.963</v>
      </c>
      <c r="C1360">
        <v>9</v>
      </c>
      <c r="D1360" t="s">
        <v>529</v>
      </c>
      <c r="E1360" t="s">
        <v>66</v>
      </c>
      <c r="F1360">
        <v>1969</v>
      </c>
      <c r="G1360" s="1" t="s">
        <v>534</v>
      </c>
      <c r="H1360" s="1" t="s">
        <v>373</v>
      </c>
      <c r="I1360">
        <v>0.22489999999999999</v>
      </c>
      <c r="J1360">
        <v>56149.966</v>
      </c>
      <c r="K1360">
        <v>1.8020000000000001E-2</v>
      </c>
      <c r="L1360">
        <v>2.036E-2</v>
      </c>
      <c r="M1360">
        <v>0.64200000000000002</v>
      </c>
      <c r="N1360">
        <v>2.0299999999999999E-2</v>
      </c>
      <c r="O1360">
        <v>2.0789999999999999E-2</v>
      </c>
      <c r="P1360" s="3">
        <f t="shared" si="84"/>
        <v>1780.9629944741348</v>
      </c>
      <c r="Q1360" s="3">
        <f t="shared" si="85"/>
        <v>1.8015807540450623E-2</v>
      </c>
      <c r="R1360" s="3">
        <f t="shared" si="86"/>
        <v>2.036E-2</v>
      </c>
      <c r="S1360">
        <f t="shared" si="87"/>
        <v>33</v>
      </c>
      <c r="T1360">
        <f>INDEX([1]IDEN_level_ids!$B:$B,MATCH(G1360,[1]IDEN_level_ids!$A:$A,0),1)</f>
        <v>1116</v>
      </c>
      <c r="U1360">
        <f>INDEX([1]IDEN_level_ids!$B:$B,MATCH(H1360,[1]IDEN_level_ids!$A:$A,0),1)</f>
        <v>906</v>
      </c>
    </row>
    <row r="1361" spans="1:21" hidden="1" x14ac:dyDescent="0.25">
      <c r="A1361">
        <v>56012.048999999999</v>
      </c>
      <c r="B1361">
        <v>1785.3302000000001</v>
      </c>
      <c r="C1361">
        <v>9</v>
      </c>
      <c r="D1361" t="s">
        <v>529</v>
      </c>
      <c r="F1361">
        <v>1969</v>
      </c>
      <c r="G1361" s="1" t="s">
        <v>446</v>
      </c>
      <c r="H1361" s="1" t="s">
        <v>535</v>
      </c>
      <c r="I1361">
        <v>-0.23219999999999999</v>
      </c>
      <c r="J1361">
        <v>56012.3658</v>
      </c>
      <c r="K1361">
        <v>1.01E-2</v>
      </c>
      <c r="L1361">
        <v>7.8100000000000001E-3</v>
      </c>
      <c r="M1361">
        <v>0.245</v>
      </c>
      <c r="N1361">
        <v>0.21479999999999999</v>
      </c>
      <c r="O1361">
        <v>9.9399999999999992E-3</v>
      </c>
      <c r="P1361" s="3">
        <f t="shared" si="84"/>
        <v>1785.3301528033728</v>
      </c>
      <c r="Q1361" s="3">
        <f t="shared" si="85"/>
        <v>1.0097637982880769E-2</v>
      </c>
      <c r="R1361" s="3">
        <f t="shared" si="86"/>
        <v>7.8100000000000001E-3</v>
      </c>
      <c r="S1361">
        <f t="shared" si="87"/>
        <v>33</v>
      </c>
      <c r="T1361">
        <f>INDEX([1]IDEN_level_ids!$B:$B,MATCH(G1361,[1]IDEN_level_ids!$A:$A,0),1)</f>
        <v>1079</v>
      </c>
      <c r="U1361">
        <f>INDEX([1]IDEN_level_ids!$B:$B,MATCH(H1361,[1]IDEN_level_ids!$A:$A,0),1)</f>
        <v>718</v>
      </c>
    </row>
    <row r="1362" spans="1:21" hidden="1" x14ac:dyDescent="0.25">
      <c r="A1362">
        <v>55994.642699999997</v>
      </c>
      <c r="B1362">
        <v>1785.8851</v>
      </c>
      <c r="C1362">
        <v>9</v>
      </c>
      <c r="D1362" t="s">
        <v>529</v>
      </c>
      <c r="F1362">
        <v>1969</v>
      </c>
      <c r="G1362" s="1" t="s">
        <v>216</v>
      </c>
      <c r="H1362" s="1" t="s">
        <v>509</v>
      </c>
      <c r="I1362">
        <v>0.15859999999999999</v>
      </c>
      <c r="J1362">
        <v>55994.7186</v>
      </c>
      <c r="K1362">
        <v>2.4199999999999998E-3</v>
      </c>
      <c r="L1362">
        <v>7.8100000000000001E-3</v>
      </c>
      <c r="M1362">
        <v>0.245</v>
      </c>
      <c r="N1362">
        <v>2.4799999999999999E-2</v>
      </c>
      <c r="O1362">
        <v>8.0099999999999998E-3</v>
      </c>
      <c r="P1362" s="3">
        <f t="shared" si="84"/>
        <v>1785.8851343291099</v>
      </c>
      <c r="Q1362" s="3">
        <f t="shared" si="85"/>
        <v>2.4207404751450667E-3</v>
      </c>
      <c r="R1362" s="3">
        <f t="shared" si="86"/>
        <v>7.8100000000000001E-3</v>
      </c>
      <c r="S1362">
        <f t="shared" si="87"/>
        <v>33</v>
      </c>
      <c r="T1362">
        <f>INDEX([1]IDEN_level_ids!$B:$B,MATCH(G1362,[1]IDEN_level_ids!$A:$A,0),1)</f>
        <v>1170</v>
      </c>
      <c r="U1362">
        <f>INDEX([1]IDEN_level_ids!$B:$B,MATCH(H1362,[1]IDEN_level_ids!$A:$A,0),1)</f>
        <v>956</v>
      </c>
    </row>
    <row r="1363" spans="1:21" hidden="1" x14ac:dyDescent="0.25">
      <c r="A1363">
        <v>55969.388099999996</v>
      </c>
      <c r="B1363">
        <v>1786.691</v>
      </c>
      <c r="C1363">
        <v>9</v>
      </c>
      <c r="D1363" t="s">
        <v>529</v>
      </c>
      <c r="E1363" t="s">
        <v>45</v>
      </c>
      <c r="F1363">
        <v>1969</v>
      </c>
      <c r="G1363" s="1" t="s">
        <v>141</v>
      </c>
      <c r="H1363" s="1" t="s">
        <v>393</v>
      </c>
      <c r="I1363">
        <v>0</v>
      </c>
      <c r="J1363">
        <v>55969.588000000003</v>
      </c>
      <c r="K1363">
        <v>6.3800000000000003E-3</v>
      </c>
      <c r="L1363">
        <v>1.5389999999999999E-2</v>
      </c>
      <c r="M1363">
        <v>0.48199999999999998</v>
      </c>
      <c r="N1363">
        <v>1.4800000000000001E-2</v>
      </c>
      <c r="O1363">
        <v>1.562E-2</v>
      </c>
      <c r="P1363" s="3">
        <f t="shared" si="84"/>
        <v>1786.6909643773647</v>
      </c>
      <c r="Q1363" s="3">
        <f t="shared" si="85"/>
        <v>6.3813141484843072E-3</v>
      </c>
      <c r="R1363" s="3">
        <f t="shared" si="86"/>
        <v>1.5389999999999999E-2</v>
      </c>
      <c r="S1363">
        <f t="shared" si="87"/>
        <v>33</v>
      </c>
      <c r="T1363">
        <f>INDEX([1]IDEN_level_ids!$B:$B,MATCH(G1363,[1]IDEN_level_ids!$A:$A,0),1)</f>
        <v>1155</v>
      </c>
      <c r="U1363">
        <f>INDEX([1]IDEN_level_ids!$B:$B,MATCH(H1363,[1]IDEN_level_ids!$A:$A,0),1)</f>
        <v>938</v>
      </c>
    </row>
    <row r="1364" spans="1:21" hidden="1" x14ac:dyDescent="0.25">
      <c r="A1364">
        <v>55954.888099999996</v>
      </c>
      <c r="B1364">
        <v>1787.154</v>
      </c>
      <c r="C1364">
        <v>9</v>
      </c>
      <c r="D1364" t="s">
        <v>529</v>
      </c>
      <c r="F1364">
        <v>1969</v>
      </c>
      <c r="G1364" s="1" t="s">
        <v>27</v>
      </c>
      <c r="H1364" s="1" t="s">
        <v>536</v>
      </c>
      <c r="I1364">
        <v>0</v>
      </c>
      <c r="J1364">
        <v>55955.022400000002</v>
      </c>
      <c r="K1364">
        <v>4.2900000000000004E-3</v>
      </c>
      <c r="L1364">
        <v>7.8200000000000006E-3</v>
      </c>
      <c r="M1364">
        <v>0.245</v>
      </c>
      <c r="N1364">
        <v>2.3900000000000001E-2</v>
      </c>
      <c r="O1364">
        <v>8.0199999999999994E-3</v>
      </c>
      <c r="P1364" s="3">
        <f t="shared" si="84"/>
        <v>1787.1539626937438</v>
      </c>
      <c r="Q1364" s="3">
        <f t="shared" si="85"/>
        <v>4.2894233065453591E-3</v>
      </c>
      <c r="R1364" s="3">
        <f t="shared" si="86"/>
        <v>7.8200000000000006E-3</v>
      </c>
      <c r="S1364">
        <f t="shared" si="87"/>
        <v>33</v>
      </c>
      <c r="T1364">
        <f>INDEX([1]IDEN_level_ids!$B:$B,MATCH(G1364,[1]IDEN_level_ids!$A:$A,0),1)</f>
        <v>1242</v>
      </c>
      <c r="U1364">
        <f>INDEX([1]IDEN_level_ids!$B:$B,MATCH(H1364,[1]IDEN_level_ids!$A:$A,0),1)</f>
        <v>1021</v>
      </c>
    </row>
    <row r="1365" spans="1:21" hidden="1" x14ac:dyDescent="0.25">
      <c r="A1365">
        <v>55935.606299999999</v>
      </c>
      <c r="B1365">
        <v>1787.77</v>
      </c>
      <c r="C1365">
        <v>9</v>
      </c>
      <c r="D1365" t="s">
        <v>529</v>
      </c>
      <c r="F1365">
        <v>1969</v>
      </c>
      <c r="G1365" s="1" t="s">
        <v>82</v>
      </c>
      <c r="H1365" s="1" t="s">
        <v>501</v>
      </c>
      <c r="I1365">
        <v>0.1444</v>
      </c>
      <c r="J1365">
        <v>55935.969299999997</v>
      </c>
      <c r="K1365">
        <v>1.1599999999999999E-2</v>
      </c>
      <c r="L1365">
        <v>7.8300000000000002E-3</v>
      </c>
      <c r="M1365">
        <v>0.245</v>
      </c>
      <c r="N1365">
        <v>2.8799999999999999E-2</v>
      </c>
      <c r="O1365">
        <v>8.0599999999999995E-3</v>
      </c>
      <c r="P1365" s="3">
        <f t="shared" si="84"/>
        <v>1787.7700201132886</v>
      </c>
      <c r="Q1365" s="3">
        <f t="shared" si="85"/>
        <v>1.1601846279063466E-2</v>
      </c>
      <c r="R1365" s="3">
        <f t="shared" si="86"/>
        <v>7.8300000000000002E-3</v>
      </c>
      <c r="S1365">
        <f t="shared" si="87"/>
        <v>33</v>
      </c>
      <c r="T1365">
        <f>INDEX([1]IDEN_level_ids!$B:$B,MATCH(G1365,[1]IDEN_level_ids!$A:$A,0),1)</f>
        <v>1193</v>
      </c>
      <c r="U1365">
        <f>INDEX([1]IDEN_level_ids!$B:$B,MATCH(H1365,[1]IDEN_level_ids!$A:$A,0),1)</f>
        <v>969</v>
      </c>
    </row>
    <row r="1366" spans="1:21" hidden="1" x14ac:dyDescent="0.25">
      <c r="A1366">
        <v>55913.967299999997</v>
      </c>
      <c r="B1366">
        <v>1788.4619</v>
      </c>
      <c r="C1366">
        <v>9</v>
      </c>
      <c r="D1366" t="s">
        <v>529</v>
      </c>
      <c r="F1366">
        <v>1969</v>
      </c>
      <c r="G1366" s="1" t="s">
        <v>212</v>
      </c>
      <c r="H1366" s="1" t="s">
        <v>360</v>
      </c>
      <c r="I1366">
        <v>0</v>
      </c>
      <c r="J1366">
        <v>55914.284699999997</v>
      </c>
      <c r="K1366">
        <v>1.0149999999999999E-2</v>
      </c>
      <c r="L1366">
        <v>7.8399999999999997E-3</v>
      </c>
      <c r="M1366">
        <v>0.245</v>
      </c>
      <c r="N1366">
        <v>8.3900000000000002E-2</v>
      </c>
      <c r="O1366">
        <v>8.5500000000000003E-3</v>
      </c>
      <c r="P1366" s="3">
        <f t="shared" si="84"/>
        <v>1788.4618965322463</v>
      </c>
      <c r="Q1366" s="3">
        <f t="shared" si="85"/>
        <v>1.0152285932008454E-2</v>
      </c>
      <c r="R1366" s="3">
        <f t="shared" si="86"/>
        <v>7.8399999999999997E-3</v>
      </c>
      <c r="S1366">
        <f t="shared" si="87"/>
        <v>33</v>
      </c>
      <c r="T1366">
        <f>INDEX([1]IDEN_level_ids!$B:$B,MATCH(G1366,[1]IDEN_level_ids!$A:$A,0),1)</f>
        <v>1123</v>
      </c>
      <c r="U1366">
        <f>INDEX([1]IDEN_level_ids!$B:$B,MATCH(H1366,[1]IDEN_level_ids!$A:$A,0),1)</f>
        <v>911</v>
      </c>
    </row>
    <row r="1367" spans="1:21" hidden="1" x14ac:dyDescent="0.25">
      <c r="A1367">
        <v>55893.117299999998</v>
      </c>
      <c r="B1367">
        <v>1789.1291000000001</v>
      </c>
      <c r="C1367">
        <v>9</v>
      </c>
      <c r="D1367" t="s">
        <v>529</v>
      </c>
      <c r="F1367">
        <v>1969</v>
      </c>
      <c r="G1367" s="1" t="s">
        <v>69</v>
      </c>
      <c r="H1367" s="1" t="s">
        <v>537</v>
      </c>
      <c r="I1367">
        <v>0</v>
      </c>
      <c r="J1367">
        <v>55893.534699999997</v>
      </c>
      <c r="K1367">
        <v>1.336E-2</v>
      </c>
      <c r="L1367">
        <v>7.8399999999999997E-3</v>
      </c>
      <c r="M1367">
        <v>0.245</v>
      </c>
      <c r="N1367">
        <v>3.0800000000000001E-2</v>
      </c>
      <c r="O1367">
        <v>8.09E-3</v>
      </c>
      <c r="P1367" s="3">
        <f t="shared" si="84"/>
        <v>1789.1290525676227</v>
      </c>
      <c r="Q1367" s="3">
        <f t="shared" si="85"/>
        <v>1.3360802292254448E-2</v>
      </c>
      <c r="R1367" s="3">
        <f t="shared" si="86"/>
        <v>7.8399999999999997E-3</v>
      </c>
      <c r="S1367">
        <f t="shared" si="87"/>
        <v>33</v>
      </c>
      <c r="T1367">
        <f>INDEX([1]IDEN_level_ids!$B:$B,MATCH(G1367,[1]IDEN_level_ids!$A:$A,0),1)</f>
        <v>1218</v>
      </c>
      <c r="U1367">
        <f>INDEX([1]IDEN_level_ids!$B:$B,MATCH(H1367,[1]IDEN_level_ids!$A:$A,0),1)</f>
        <v>991</v>
      </c>
    </row>
    <row r="1368" spans="1:21" hidden="1" x14ac:dyDescent="0.25">
      <c r="A1368">
        <v>55889.429900000003</v>
      </c>
      <c r="B1368">
        <v>1789.2471</v>
      </c>
      <c r="C1368">
        <v>9</v>
      </c>
      <c r="D1368" t="s">
        <v>529</v>
      </c>
      <c r="F1368">
        <v>1969</v>
      </c>
      <c r="G1368" s="1" t="s">
        <v>94</v>
      </c>
      <c r="H1368" s="1" t="s">
        <v>538</v>
      </c>
      <c r="I1368">
        <v>0</v>
      </c>
      <c r="J1368">
        <v>55889.759700000002</v>
      </c>
      <c r="K1368">
        <v>1.056E-2</v>
      </c>
      <c r="L1368">
        <v>7.8399999999999997E-3</v>
      </c>
      <c r="M1368">
        <v>0.245</v>
      </c>
      <c r="N1368">
        <v>2.53E-2</v>
      </c>
      <c r="O1368">
        <v>8.0499999999999999E-3</v>
      </c>
      <c r="P1368" s="3">
        <f t="shared" si="84"/>
        <v>1789.2470933935936</v>
      </c>
      <c r="Q1368" s="3">
        <f t="shared" si="85"/>
        <v>1.0558171918773951E-2</v>
      </c>
      <c r="R1368" s="3">
        <f t="shared" si="86"/>
        <v>7.8399999999999997E-3</v>
      </c>
      <c r="S1368">
        <f t="shared" si="87"/>
        <v>33</v>
      </c>
      <c r="T1368">
        <f>INDEX([1]IDEN_level_ids!$B:$B,MATCH(G1368,[1]IDEN_level_ids!$A:$A,0),1)</f>
        <v>1207</v>
      </c>
      <c r="U1368">
        <f>INDEX([1]IDEN_level_ids!$B:$B,MATCH(H1368,[1]IDEN_level_ids!$A:$A,0),1)</f>
        <v>978</v>
      </c>
    </row>
    <row r="1369" spans="1:21" hidden="1" x14ac:dyDescent="0.25">
      <c r="A1369">
        <v>55863.705399999999</v>
      </c>
      <c r="B1369">
        <v>1790.0709999999999</v>
      </c>
      <c r="C1369">
        <v>9</v>
      </c>
      <c r="D1369" t="s">
        <v>529</v>
      </c>
      <c r="F1369">
        <v>1969</v>
      </c>
      <c r="G1369" s="1" t="s">
        <v>458</v>
      </c>
      <c r="H1369" s="1" t="s">
        <v>507</v>
      </c>
      <c r="I1369">
        <v>0</v>
      </c>
      <c r="J1369">
        <v>55863.923000000003</v>
      </c>
      <c r="K1369">
        <v>6.9699999999999996E-3</v>
      </c>
      <c r="L1369">
        <v>7.8499999999999993E-3</v>
      </c>
      <c r="M1369">
        <v>0.245</v>
      </c>
      <c r="N1369">
        <v>0.13059999999999999</v>
      </c>
      <c r="O1369">
        <v>9.0299999999999998E-3</v>
      </c>
      <c r="P1369" s="3">
        <f t="shared" si="84"/>
        <v>1790.071018096125</v>
      </c>
      <c r="Q1369" s="3">
        <f t="shared" si="85"/>
        <v>6.9726476879168331E-3</v>
      </c>
      <c r="R1369" s="3">
        <f t="shared" si="86"/>
        <v>7.8499999999999993E-3</v>
      </c>
      <c r="S1369">
        <f t="shared" si="87"/>
        <v>33</v>
      </c>
      <c r="T1369">
        <f>INDEX([1]IDEN_level_ids!$B:$B,MATCH(G1369,[1]IDEN_level_ids!$A:$A,0),1)</f>
        <v>1064</v>
      </c>
      <c r="U1369">
        <f>INDEX([1]IDEN_level_ids!$B:$B,MATCH(H1369,[1]IDEN_level_ids!$A:$A,0),1)</f>
        <v>667</v>
      </c>
    </row>
    <row r="1370" spans="1:21" hidden="1" x14ac:dyDescent="0.25">
      <c r="A1370">
        <v>55826.1895</v>
      </c>
      <c r="B1370">
        <v>1791.2739999999999</v>
      </c>
      <c r="C1370">
        <v>9</v>
      </c>
      <c r="D1370" t="s">
        <v>529</v>
      </c>
      <c r="F1370">
        <v>1969</v>
      </c>
      <c r="G1370" s="1" t="s">
        <v>464</v>
      </c>
      <c r="H1370" s="1" t="s">
        <v>512</v>
      </c>
      <c r="I1370">
        <v>0</v>
      </c>
      <c r="J1370">
        <v>55826.447999999997</v>
      </c>
      <c r="K1370">
        <v>8.2900000000000005E-3</v>
      </c>
      <c r="L1370">
        <v>7.8600000000000007E-3</v>
      </c>
      <c r="M1370">
        <v>0.245</v>
      </c>
      <c r="N1370">
        <v>0.15390000000000001</v>
      </c>
      <c r="O1370">
        <v>9.2899999999999996E-3</v>
      </c>
      <c r="P1370" s="3">
        <f t="shared" si="84"/>
        <v>1791.2739682868737</v>
      </c>
      <c r="Q1370" s="3">
        <f t="shared" si="85"/>
        <v>8.2943539734969818E-3</v>
      </c>
      <c r="R1370" s="3">
        <f t="shared" si="86"/>
        <v>7.8600000000000007E-3</v>
      </c>
      <c r="S1370">
        <f t="shared" si="87"/>
        <v>33</v>
      </c>
      <c r="T1370">
        <f>INDEX([1]IDEN_level_ids!$B:$B,MATCH(G1370,[1]IDEN_level_ids!$A:$A,0),1)</f>
        <v>1076</v>
      </c>
      <c r="U1370">
        <f>INDEX([1]IDEN_level_ids!$B:$B,MATCH(H1370,[1]IDEN_level_ids!$A:$A,0),1)</f>
        <v>711</v>
      </c>
    </row>
    <row r="1371" spans="1:21" hidden="1" x14ac:dyDescent="0.25">
      <c r="A1371">
        <v>55813.224300000002</v>
      </c>
      <c r="B1371">
        <v>1791.6901</v>
      </c>
      <c r="C1371">
        <v>9</v>
      </c>
      <c r="D1371" t="s">
        <v>529</v>
      </c>
      <c r="F1371">
        <v>1969</v>
      </c>
      <c r="G1371" s="1" t="s">
        <v>492</v>
      </c>
      <c r="H1371" s="1" t="s">
        <v>420</v>
      </c>
      <c r="I1371">
        <v>0.17580000000000001</v>
      </c>
      <c r="J1371">
        <v>55813.607499999998</v>
      </c>
      <c r="K1371">
        <v>1.23E-2</v>
      </c>
      <c r="L1371">
        <v>7.8600000000000007E-3</v>
      </c>
      <c r="M1371">
        <v>0.245</v>
      </c>
      <c r="N1371">
        <v>0.1381</v>
      </c>
      <c r="O1371">
        <v>9.1199999999999996E-3</v>
      </c>
      <c r="P1371" s="3">
        <f t="shared" si="84"/>
        <v>1791.6900744256052</v>
      </c>
      <c r="Q1371" s="3">
        <f t="shared" si="85"/>
        <v>1.2301223075610324E-2</v>
      </c>
      <c r="R1371" s="3">
        <f t="shared" si="86"/>
        <v>7.8600000000000007E-3</v>
      </c>
      <c r="S1371">
        <f t="shared" si="87"/>
        <v>33</v>
      </c>
      <c r="T1371">
        <f>INDEX([1]IDEN_level_ids!$B:$B,MATCH(G1371,[1]IDEN_level_ids!$A:$A,0),1)</f>
        <v>1132</v>
      </c>
      <c r="U1371">
        <f>INDEX([1]IDEN_level_ids!$B:$B,MATCH(H1371,[1]IDEN_level_ids!$A:$A,0),1)</f>
        <v>914</v>
      </c>
    </row>
    <row r="1372" spans="1:21" hidden="1" x14ac:dyDescent="0.25">
      <c r="A1372">
        <v>55805.502</v>
      </c>
      <c r="B1372">
        <v>1791.9380000000001</v>
      </c>
      <c r="C1372">
        <v>9</v>
      </c>
      <c r="D1372" t="s">
        <v>529</v>
      </c>
      <c r="F1372">
        <v>1969</v>
      </c>
      <c r="G1372" s="1" t="s">
        <v>301</v>
      </c>
      <c r="H1372" s="1" t="s">
        <v>393</v>
      </c>
      <c r="I1372">
        <v>-0.71730000000000005</v>
      </c>
      <c r="J1372">
        <v>55805.450599999996</v>
      </c>
      <c r="K1372">
        <v>-1.65E-3</v>
      </c>
      <c r="L1372">
        <v>7.8700000000000003E-3</v>
      </c>
      <c r="M1372">
        <v>0.245</v>
      </c>
      <c r="N1372">
        <v>7.9000000000000001E-2</v>
      </c>
      <c r="O1372">
        <v>8.5400000000000007E-3</v>
      </c>
      <c r="P1372" s="3">
        <f t="shared" si="84"/>
        <v>1791.9380063994406</v>
      </c>
      <c r="Q1372" s="3">
        <f t="shared" si="85"/>
        <v>-1.6504770151186676E-3</v>
      </c>
      <c r="R1372" s="3">
        <f t="shared" si="86"/>
        <v>7.8700000000000003E-3</v>
      </c>
      <c r="S1372">
        <f t="shared" si="87"/>
        <v>33</v>
      </c>
      <c r="T1372">
        <f>INDEX([1]IDEN_level_ids!$B:$B,MATCH(G1372,[1]IDEN_level_ids!$A:$A,0),1)</f>
        <v>1154</v>
      </c>
      <c r="U1372">
        <f>INDEX([1]IDEN_level_ids!$B:$B,MATCH(H1372,[1]IDEN_level_ids!$A:$A,0),1)</f>
        <v>938</v>
      </c>
    </row>
    <row r="1373" spans="1:21" hidden="1" x14ac:dyDescent="0.25">
      <c r="A1373">
        <v>55800.424099999997</v>
      </c>
      <c r="B1373">
        <v>1792.1011000000001</v>
      </c>
      <c r="C1373">
        <v>9</v>
      </c>
      <c r="D1373" t="s">
        <v>529</v>
      </c>
      <c r="F1373">
        <v>1969</v>
      </c>
      <c r="G1373" s="1" t="s">
        <v>172</v>
      </c>
      <c r="H1373" s="1" t="s">
        <v>423</v>
      </c>
      <c r="I1373">
        <v>0</v>
      </c>
      <c r="J1373">
        <v>55800.755400000002</v>
      </c>
      <c r="K1373">
        <v>1.064E-2</v>
      </c>
      <c r="L1373">
        <v>7.8700000000000003E-3</v>
      </c>
      <c r="M1373">
        <v>0.245</v>
      </c>
      <c r="N1373">
        <v>0.14269999999999999</v>
      </c>
      <c r="O1373">
        <v>9.1800000000000007E-3</v>
      </c>
      <c r="P1373" s="3">
        <f t="shared" si="84"/>
        <v>1792.1010747300038</v>
      </c>
      <c r="Q1373" s="3">
        <f t="shared" si="85"/>
        <v>1.0640054633768159E-2</v>
      </c>
      <c r="R1373" s="3">
        <f t="shared" si="86"/>
        <v>7.8700000000000003E-3</v>
      </c>
      <c r="S1373">
        <f t="shared" si="87"/>
        <v>33</v>
      </c>
      <c r="T1373">
        <f>INDEX([1]IDEN_level_ids!$B:$B,MATCH(G1373,[1]IDEN_level_ids!$A:$A,0),1)</f>
        <v>1136</v>
      </c>
      <c r="U1373">
        <f>INDEX([1]IDEN_level_ids!$B:$B,MATCH(H1373,[1]IDEN_level_ids!$A:$A,0),1)</f>
        <v>915</v>
      </c>
    </row>
    <row r="1374" spans="1:21" hidden="1" x14ac:dyDescent="0.25">
      <c r="A1374">
        <v>55785.861900000004</v>
      </c>
      <c r="B1374">
        <v>1792.5689</v>
      </c>
      <c r="C1374">
        <v>9</v>
      </c>
      <c r="D1374" t="s">
        <v>529</v>
      </c>
      <c r="F1374">
        <v>1969</v>
      </c>
      <c r="G1374" s="1" t="s">
        <v>24</v>
      </c>
      <c r="H1374" s="1" t="s">
        <v>461</v>
      </c>
      <c r="I1374">
        <v>0.1797</v>
      </c>
      <c r="J1374">
        <v>55786.146699999998</v>
      </c>
      <c r="K1374">
        <v>9.1500000000000001E-3</v>
      </c>
      <c r="L1374">
        <v>7.8700000000000003E-3</v>
      </c>
      <c r="M1374">
        <v>0.245</v>
      </c>
      <c r="N1374">
        <v>3.32E-2</v>
      </c>
      <c r="O1374">
        <v>8.1399999999999997E-3</v>
      </c>
      <c r="P1374" s="3">
        <f t="shared" si="84"/>
        <v>1792.5688802524353</v>
      </c>
      <c r="Q1374" s="3">
        <f t="shared" si="85"/>
        <v>9.1514407658905839E-3</v>
      </c>
      <c r="R1374" s="3">
        <f t="shared" si="86"/>
        <v>7.8700000000000003E-3</v>
      </c>
      <c r="S1374">
        <f t="shared" si="87"/>
        <v>33</v>
      </c>
      <c r="T1374">
        <f>INDEX([1]IDEN_level_ids!$B:$B,MATCH(G1374,[1]IDEN_level_ids!$A:$A,0),1)</f>
        <v>1241</v>
      </c>
      <c r="U1374">
        <f>INDEX([1]IDEN_level_ids!$B:$B,MATCH(H1374,[1]IDEN_level_ids!$A:$A,0),1)</f>
        <v>1017</v>
      </c>
    </row>
    <row r="1375" spans="1:21" hidden="1" x14ac:dyDescent="0.25">
      <c r="A1375">
        <v>55778.851900000001</v>
      </c>
      <c r="B1375">
        <v>1792.7942</v>
      </c>
      <c r="C1375">
        <v>9</v>
      </c>
      <c r="D1375" t="s">
        <v>529</v>
      </c>
      <c r="F1375">
        <v>1969</v>
      </c>
      <c r="G1375" s="1" t="s">
        <v>431</v>
      </c>
      <c r="H1375" s="1" t="s">
        <v>507</v>
      </c>
      <c r="I1375">
        <v>-0.21</v>
      </c>
      <c r="J1375">
        <v>55779.275300000001</v>
      </c>
      <c r="K1375">
        <v>1.3610000000000001E-2</v>
      </c>
      <c r="L1375">
        <v>7.8700000000000003E-3</v>
      </c>
      <c r="M1375">
        <v>0.245</v>
      </c>
      <c r="N1375">
        <v>0.13039999999999999</v>
      </c>
      <c r="O1375">
        <v>9.0500000000000008E-3</v>
      </c>
      <c r="P1375" s="3">
        <f t="shared" si="84"/>
        <v>1792.7941611146714</v>
      </c>
      <c r="Q1375" s="3">
        <f t="shared" si="85"/>
        <v>1.3608442270651722E-2</v>
      </c>
      <c r="R1375" s="3">
        <f t="shared" si="86"/>
        <v>7.8700000000000003E-3</v>
      </c>
      <c r="S1375">
        <f t="shared" si="87"/>
        <v>33</v>
      </c>
      <c r="T1375">
        <f>INDEX([1]IDEN_level_ids!$B:$B,MATCH(G1375,[1]IDEN_level_ids!$A:$A,0),1)</f>
        <v>1062</v>
      </c>
      <c r="U1375">
        <f>INDEX([1]IDEN_level_ids!$B:$B,MATCH(H1375,[1]IDEN_level_ids!$A:$A,0),1)</f>
        <v>667</v>
      </c>
    </row>
    <row r="1376" spans="1:21" hidden="1" x14ac:dyDescent="0.25">
      <c r="A1376">
        <v>55756.8344</v>
      </c>
      <c r="B1376">
        <v>1793.5020999999999</v>
      </c>
      <c r="C1376">
        <v>9</v>
      </c>
      <c r="D1376" t="s">
        <v>529</v>
      </c>
      <c r="F1376">
        <v>1969</v>
      </c>
      <c r="G1376" s="1" t="s">
        <v>518</v>
      </c>
      <c r="H1376" s="1" t="s">
        <v>532</v>
      </c>
      <c r="I1376">
        <v>0</v>
      </c>
      <c r="J1376">
        <v>55756.792099999999</v>
      </c>
      <c r="K1376">
        <v>-1.3600000000000001E-3</v>
      </c>
      <c r="L1376">
        <v>7.8799999999999999E-3</v>
      </c>
      <c r="M1376">
        <v>0.245</v>
      </c>
      <c r="N1376">
        <v>0.17119999999999999</v>
      </c>
      <c r="O1376">
        <v>9.5099999999999994E-3</v>
      </c>
      <c r="P1376" s="3">
        <f t="shared" si="84"/>
        <v>1793.5021074295423</v>
      </c>
      <c r="Q1376" s="3">
        <f t="shared" si="85"/>
        <v>-1.360643901534786E-3</v>
      </c>
      <c r="R1376" s="3">
        <f t="shared" si="86"/>
        <v>7.8799999999999999E-3</v>
      </c>
      <c r="S1376">
        <f t="shared" si="87"/>
        <v>33</v>
      </c>
      <c r="T1376">
        <f>INDEX([1]IDEN_level_ids!$B:$B,MATCH(G1376,[1]IDEN_level_ids!$A:$A,0),1)</f>
        <v>1074</v>
      </c>
      <c r="U1376">
        <f>INDEX([1]IDEN_level_ids!$B:$B,MATCH(H1376,[1]IDEN_level_ids!$A:$A,0),1)</f>
        <v>706</v>
      </c>
    </row>
    <row r="1377" spans="1:21" hidden="1" x14ac:dyDescent="0.25">
      <c r="A1377">
        <v>55750.834999999999</v>
      </c>
      <c r="B1377">
        <v>1793.6950999999999</v>
      </c>
      <c r="C1377">
        <v>9</v>
      </c>
      <c r="D1377" t="s">
        <v>529</v>
      </c>
      <c r="F1377">
        <v>1969</v>
      </c>
      <c r="G1377" s="1" t="s">
        <v>480</v>
      </c>
      <c r="H1377" s="1" t="s">
        <v>455</v>
      </c>
      <c r="I1377">
        <v>0.15820000000000001</v>
      </c>
      <c r="J1377">
        <v>55751.352800000001</v>
      </c>
      <c r="K1377">
        <v>1.6660000000000001E-2</v>
      </c>
      <c r="L1377">
        <v>7.8799999999999999E-3</v>
      </c>
      <c r="M1377">
        <v>0.245</v>
      </c>
      <c r="N1377">
        <v>0.2913</v>
      </c>
      <c r="O1377">
        <v>1.112E-2</v>
      </c>
      <c r="P1377" s="3">
        <f t="shared" si="84"/>
        <v>1793.6951078849313</v>
      </c>
      <c r="Q1377" s="3">
        <f t="shared" si="85"/>
        <v>1.6659242874311531E-2</v>
      </c>
      <c r="R1377" s="3">
        <f t="shared" si="86"/>
        <v>7.8799999999999999E-3</v>
      </c>
      <c r="S1377">
        <f t="shared" si="87"/>
        <v>33</v>
      </c>
      <c r="T1377">
        <f>INDEX([1]IDEN_level_ids!$B:$B,MATCH(G1377,[1]IDEN_level_ids!$A:$A,0),1)</f>
        <v>1156</v>
      </c>
      <c r="U1377">
        <f>INDEX([1]IDEN_level_ids!$B:$B,MATCH(H1377,[1]IDEN_level_ids!$A:$A,0),1)</f>
        <v>946</v>
      </c>
    </row>
    <row r="1378" spans="1:21" hidden="1" x14ac:dyDescent="0.25">
      <c r="A1378">
        <v>55742.199099999998</v>
      </c>
      <c r="B1378">
        <v>1793.973</v>
      </c>
      <c r="C1378">
        <v>9</v>
      </c>
      <c r="D1378" t="s">
        <v>529</v>
      </c>
      <c r="F1378">
        <v>1969</v>
      </c>
      <c r="G1378" s="1" t="s">
        <v>94</v>
      </c>
      <c r="H1378" s="1" t="s">
        <v>513</v>
      </c>
      <c r="I1378">
        <v>0.19059999999999999</v>
      </c>
      <c r="J1378">
        <v>55742.308199999999</v>
      </c>
      <c r="K1378">
        <v>3.5100000000000001E-3</v>
      </c>
      <c r="L1378">
        <v>7.8799999999999999E-3</v>
      </c>
      <c r="M1378">
        <v>0.245</v>
      </c>
      <c r="N1378">
        <v>2.5399999999999999E-2</v>
      </c>
      <c r="O1378">
        <v>8.09E-3</v>
      </c>
      <c r="P1378" s="3">
        <f t="shared" si="84"/>
        <v>1793.9729973803635</v>
      </c>
      <c r="Q1378" s="3">
        <f t="shared" si="85"/>
        <v>3.5112011025830725E-3</v>
      </c>
      <c r="R1378" s="3">
        <f t="shared" si="86"/>
        <v>7.8799999999999999E-3</v>
      </c>
      <c r="S1378">
        <f t="shared" si="87"/>
        <v>33</v>
      </c>
      <c r="T1378">
        <f>INDEX([1]IDEN_level_ids!$B:$B,MATCH(G1378,[1]IDEN_level_ids!$A:$A,0),1)</f>
        <v>1207</v>
      </c>
      <c r="U1378">
        <f>INDEX([1]IDEN_level_ids!$B:$B,MATCH(H1378,[1]IDEN_level_ids!$A:$A,0),1)</f>
        <v>979</v>
      </c>
    </row>
    <row r="1379" spans="1:21" hidden="1" x14ac:dyDescent="0.25">
      <c r="A1379">
        <v>55722.29</v>
      </c>
      <c r="B1379">
        <v>1794.614</v>
      </c>
      <c r="C1379">
        <v>9</v>
      </c>
      <c r="D1379" t="s">
        <v>529</v>
      </c>
      <c r="E1379" t="s">
        <v>45</v>
      </c>
      <c r="F1379">
        <v>1969</v>
      </c>
      <c r="G1379" s="1" t="s">
        <v>326</v>
      </c>
      <c r="H1379" s="1" t="s">
        <v>421</v>
      </c>
      <c r="I1379">
        <v>-0.73750000000000004</v>
      </c>
      <c r="J1379">
        <v>55722.269200000002</v>
      </c>
      <c r="K1379">
        <v>-6.7000000000000002E-4</v>
      </c>
      <c r="L1379">
        <v>1.5520000000000001E-2</v>
      </c>
      <c r="M1379">
        <v>0.48199999999999998</v>
      </c>
      <c r="N1379">
        <v>5.1900000000000002E-2</v>
      </c>
      <c r="O1379">
        <v>1.6369999999999999E-2</v>
      </c>
      <c r="P1379" s="3">
        <f t="shared" si="84"/>
        <v>1794.6139686649633</v>
      </c>
      <c r="Q1379" s="3">
        <f t="shared" si="85"/>
        <v>-6.6989322363042447E-4</v>
      </c>
      <c r="R1379" s="3">
        <f t="shared" si="86"/>
        <v>1.5520000000000001E-2</v>
      </c>
      <c r="S1379">
        <f t="shared" si="87"/>
        <v>33</v>
      </c>
      <c r="T1379">
        <f>INDEX([1]IDEN_level_ids!$B:$B,MATCH(G1379,[1]IDEN_level_ids!$A:$A,0),1)</f>
        <v>1148</v>
      </c>
      <c r="U1379">
        <f>INDEX([1]IDEN_level_ids!$B:$B,MATCH(H1379,[1]IDEN_level_ids!$A:$A,0),1)</f>
        <v>930</v>
      </c>
    </row>
    <row r="1380" spans="1:21" hidden="1" x14ac:dyDescent="0.25">
      <c r="A1380">
        <v>55715.828699999998</v>
      </c>
      <c r="B1380">
        <v>1794.8221000000001</v>
      </c>
      <c r="C1380">
        <v>9</v>
      </c>
      <c r="D1380" t="s">
        <v>529</v>
      </c>
      <c r="F1380">
        <v>1969</v>
      </c>
      <c r="G1380" s="1" t="s">
        <v>76</v>
      </c>
      <c r="H1380" s="1" t="s">
        <v>501</v>
      </c>
      <c r="I1380">
        <v>0.1444</v>
      </c>
      <c r="J1380">
        <v>55715.9804</v>
      </c>
      <c r="K1380">
        <v>4.8900000000000002E-3</v>
      </c>
      <c r="L1380">
        <v>7.8899999999999994E-3</v>
      </c>
      <c r="M1380">
        <v>0.245</v>
      </c>
      <c r="N1380">
        <v>2.81E-2</v>
      </c>
      <c r="O1380">
        <v>8.1200000000000005E-3</v>
      </c>
      <c r="P1380" s="3">
        <f t="shared" si="84"/>
        <v>1794.822087964385</v>
      </c>
      <c r="Q1380" s="3">
        <f t="shared" si="85"/>
        <v>4.8868297533317673E-3</v>
      </c>
      <c r="R1380" s="3">
        <f t="shared" si="86"/>
        <v>7.8899999999999994E-3</v>
      </c>
      <c r="S1380">
        <f t="shared" si="87"/>
        <v>33</v>
      </c>
      <c r="T1380">
        <f>INDEX([1]IDEN_level_ids!$B:$B,MATCH(G1380,[1]IDEN_level_ids!$A:$A,0),1)</f>
        <v>1194</v>
      </c>
      <c r="U1380">
        <f>INDEX([1]IDEN_level_ids!$B:$B,MATCH(H1380,[1]IDEN_level_ids!$A:$A,0),1)</f>
        <v>969</v>
      </c>
    </row>
    <row r="1381" spans="1:21" hidden="1" x14ac:dyDescent="0.25">
      <c r="A1381">
        <v>55689.770700000001</v>
      </c>
      <c r="B1381">
        <v>1795.6619000000001</v>
      </c>
      <c r="C1381">
        <v>9</v>
      </c>
      <c r="D1381" t="s">
        <v>529</v>
      </c>
      <c r="F1381">
        <v>1969</v>
      </c>
      <c r="G1381" s="1" t="s">
        <v>141</v>
      </c>
      <c r="H1381" s="1" t="s">
        <v>389</v>
      </c>
      <c r="I1381">
        <v>0.23219999999999999</v>
      </c>
      <c r="J1381">
        <v>55689.909</v>
      </c>
      <c r="K1381">
        <v>4.4600000000000004E-3</v>
      </c>
      <c r="L1381">
        <v>7.9000000000000008E-3</v>
      </c>
      <c r="M1381">
        <v>0.245</v>
      </c>
      <c r="N1381">
        <v>2.5600000000000001E-2</v>
      </c>
      <c r="O1381">
        <v>8.1099999999999992E-3</v>
      </c>
      <c r="P1381" s="3">
        <f t="shared" si="84"/>
        <v>1795.6619095937488</v>
      </c>
      <c r="Q1381" s="3">
        <f t="shared" si="85"/>
        <v>4.4593364677893987E-3</v>
      </c>
      <c r="R1381" s="3">
        <f t="shared" si="86"/>
        <v>7.9000000000000008E-3</v>
      </c>
      <c r="S1381">
        <f t="shared" si="87"/>
        <v>33</v>
      </c>
      <c r="T1381">
        <f>INDEX([1]IDEN_level_ids!$B:$B,MATCH(G1381,[1]IDEN_level_ids!$A:$A,0),1)</f>
        <v>1155</v>
      </c>
      <c r="U1381">
        <f>INDEX([1]IDEN_level_ids!$B:$B,MATCH(H1381,[1]IDEN_level_ids!$A:$A,0),1)</f>
        <v>942</v>
      </c>
    </row>
    <row r="1382" spans="1:21" hidden="1" x14ac:dyDescent="0.25">
      <c r="A1382">
        <v>55647.965400000001</v>
      </c>
      <c r="B1382">
        <v>1797.0109</v>
      </c>
      <c r="C1382">
        <v>9</v>
      </c>
      <c r="D1382" t="s">
        <v>529</v>
      </c>
      <c r="F1382">
        <v>1969</v>
      </c>
      <c r="G1382" s="1" t="s">
        <v>398</v>
      </c>
      <c r="H1382" s="1" t="s">
        <v>512</v>
      </c>
      <c r="I1382">
        <v>-0.2341</v>
      </c>
      <c r="J1382">
        <v>55648.371700000003</v>
      </c>
      <c r="K1382">
        <v>1.312E-2</v>
      </c>
      <c r="L1382">
        <v>7.9100000000000004E-3</v>
      </c>
      <c r="M1382">
        <v>0.245</v>
      </c>
      <c r="N1382">
        <v>0.15040000000000001</v>
      </c>
      <c r="O1382">
        <v>9.3100000000000006E-3</v>
      </c>
      <c r="P1382" s="3">
        <f t="shared" si="84"/>
        <v>1797.010893052345</v>
      </c>
      <c r="Q1382" s="3">
        <f t="shared" si="85"/>
        <v>1.3120339437364237E-2</v>
      </c>
      <c r="R1382" s="3">
        <f t="shared" si="86"/>
        <v>7.9100000000000004E-3</v>
      </c>
      <c r="S1382">
        <f t="shared" si="87"/>
        <v>33</v>
      </c>
      <c r="T1382">
        <f>INDEX([1]IDEN_level_ids!$B:$B,MATCH(G1382,[1]IDEN_level_ids!$A:$A,0),1)</f>
        <v>1075</v>
      </c>
      <c r="U1382">
        <f>INDEX([1]IDEN_level_ids!$B:$B,MATCH(H1382,[1]IDEN_level_ids!$A:$A,0),1)</f>
        <v>711</v>
      </c>
    </row>
    <row r="1383" spans="1:21" hidden="1" x14ac:dyDescent="0.25">
      <c r="A1383">
        <v>55645.673199999997</v>
      </c>
      <c r="B1383">
        <v>1797.0849000000001</v>
      </c>
      <c r="C1383">
        <v>9</v>
      </c>
      <c r="D1383" t="s">
        <v>529</v>
      </c>
      <c r="F1383">
        <v>1969</v>
      </c>
      <c r="G1383" s="1" t="s">
        <v>27</v>
      </c>
      <c r="H1383" s="1" t="s">
        <v>475</v>
      </c>
      <c r="I1383">
        <v>0.13919999999999999</v>
      </c>
      <c r="J1383">
        <v>55645.742100000003</v>
      </c>
      <c r="K1383">
        <v>2.2200000000000002E-3</v>
      </c>
      <c r="L1383">
        <v>7.9100000000000004E-3</v>
      </c>
      <c r="M1383">
        <v>0.245</v>
      </c>
      <c r="N1383">
        <v>2.3900000000000001E-2</v>
      </c>
      <c r="O1383">
        <v>8.1099999999999992E-3</v>
      </c>
      <c r="P1383" s="3">
        <f t="shared" si="84"/>
        <v>1797.0849169275573</v>
      </c>
      <c r="Q1383" s="3">
        <f t="shared" si="85"/>
        <v>2.2251325278830336E-3</v>
      </c>
      <c r="R1383" s="3">
        <f t="shared" si="86"/>
        <v>7.9100000000000004E-3</v>
      </c>
      <c r="S1383">
        <f t="shared" si="87"/>
        <v>33</v>
      </c>
      <c r="T1383">
        <f>INDEX([1]IDEN_level_ids!$B:$B,MATCH(G1383,[1]IDEN_level_ids!$A:$A,0),1)</f>
        <v>1242</v>
      </c>
      <c r="U1383">
        <f>INDEX([1]IDEN_level_ids!$B:$B,MATCH(H1383,[1]IDEN_level_ids!$A:$A,0),1)</f>
        <v>1030</v>
      </c>
    </row>
    <row r="1384" spans="1:21" hidden="1" x14ac:dyDescent="0.25">
      <c r="A1384">
        <v>55529.674899999998</v>
      </c>
      <c r="B1384">
        <v>1800.8389</v>
      </c>
      <c r="C1384">
        <v>9</v>
      </c>
      <c r="D1384" t="s">
        <v>539</v>
      </c>
      <c r="F1384">
        <v>1969</v>
      </c>
      <c r="G1384" s="1" t="s">
        <v>172</v>
      </c>
      <c r="H1384" s="1" t="s">
        <v>456</v>
      </c>
      <c r="I1384">
        <v>0</v>
      </c>
      <c r="J1384">
        <v>55529.900199999996</v>
      </c>
      <c r="K1384">
        <v>7.3000000000000001E-3</v>
      </c>
      <c r="L1384">
        <v>7.9399999999999991E-3</v>
      </c>
      <c r="M1384">
        <v>0.245</v>
      </c>
      <c r="N1384">
        <v>0.1961</v>
      </c>
      <c r="O1384">
        <v>9.8799999999999999E-3</v>
      </c>
      <c r="P1384" s="3">
        <f t="shared" si="84"/>
        <v>1800.8389240542808</v>
      </c>
      <c r="Q1384" s="3">
        <f t="shared" si="85"/>
        <v>7.3064962862190441E-3</v>
      </c>
      <c r="R1384" s="3">
        <f t="shared" si="86"/>
        <v>7.9399999999999991E-3</v>
      </c>
      <c r="S1384">
        <f t="shared" si="87"/>
        <v>34</v>
      </c>
      <c r="T1384">
        <f>INDEX([1]IDEN_level_ids!$B:$B,MATCH(G1384,[1]IDEN_level_ids!$A:$A,0),1)</f>
        <v>1136</v>
      </c>
      <c r="U1384">
        <f>INDEX([1]IDEN_level_ids!$B:$B,MATCH(H1384,[1]IDEN_level_ids!$A:$A,0),1)</f>
        <v>919</v>
      </c>
    </row>
    <row r="1385" spans="1:21" hidden="1" x14ac:dyDescent="0.25">
      <c r="A1385">
        <v>55527.727400000003</v>
      </c>
      <c r="B1385">
        <v>1800.9021</v>
      </c>
      <c r="C1385">
        <v>9</v>
      </c>
      <c r="D1385" t="s">
        <v>539</v>
      </c>
      <c r="F1385">
        <v>1969</v>
      </c>
      <c r="G1385" s="1" t="s">
        <v>27</v>
      </c>
      <c r="H1385" s="1" t="s">
        <v>540</v>
      </c>
      <c r="I1385">
        <v>0.25219999999999998</v>
      </c>
      <c r="J1385">
        <v>55527.824399999998</v>
      </c>
      <c r="K1385">
        <v>3.15E-3</v>
      </c>
      <c r="L1385">
        <v>7.9500000000000005E-3</v>
      </c>
      <c r="M1385">
        <v>0.245</v>
      </c>
      <c r="N1385">
        <v>2.5100000000000001E-2</v>
      </c>
      <c r="O1385">
        <v>8.1499999999999993E-3</v>
      </c>
      <c r="P1385" s="3">
        <f t="shared" si="84"/>
        <v>1800.9020841000597</v>
      </c>
      <c r="Q1385" s="3">
        <f t="shared" si="85"/>
        <v>3.1459453712159302E-3</v>
      </c>
      <c r="R1385" s="3">
        <f t="shared" si="86"/>
        <v>7.9500000000000005E-3</v>
      </c>
      <c r="S1385">
        <f t="shared" si="87"/>
        <v>34</v>
      </c>
      <c r="T1385">
        <f>INDEX([1]IDEN_level_ids!$B:$B,MATCH(G1385,[1]IDEN_level_ids!$A:$A,0),1)</f>
        <v>1242</v>
      </c>
      <c r="U1385">
        <f>INDEX([1]IDEN_level_ids!$B:$B,MATCH(H1385,[1]IDEN_level_ids!$A:$A,0),1)</f>
        <v>1027</v>
      </c>
    </row>
    <row r="1386" spans="1:21" hidden="1" x14ac:dyDescent="0.25">
      <c r="A1386">
        <v>55488.171000000002</v>
      </c>
      <c r="B1386">
        <v>1802.1858999999999</v>
      </c>
      <c r="C1386">
        <v>9</v>
      </c>
      <c r="D1386" t="s">
        <v>539</v>
      </c>
      <c r="F1386">
        <v>1969</v>
      </c>
      <c r="G1386" s="1" t="s">
        <v>86</v>
      </c>
      <c r="H1386" s="1" t="s">
        <v>491</v>
      </c>
      <c r="I1386">
        <v>0</v>
      </c>
      <c r="J1386">
        <v>55488.477299999999</v>
      </c>
      <c r="K1386">
        <v>9.9500000000000005E-3</v>
      </c>
      <c r="L1386">
        <v>7.9600000000000001E-3</v>
      </c>
      <c r="M1386">
        <v>0.245</v>
      </c>
      <c r="N1386">
        <v>2.53E-2</v>
      </c>
      <c r="O1386">
        <v>8.1600000000000006E-3</v>
      </c>
      <c r="P1386" s="3">
        <f t="shared" si="84"/>
        <v>1802.1859109394684</v>
      </c>
      <c r="Q1386" s="3">
        <f t="shared" si="85"/>
        <v>9.94818332333125E-3</v>
      </c>
      <c r="R1386" s="3">
        <f t="shared" si="86"/>
        <v>7.9600000000000001E-3</v>
      </c>
      <c r="S1386">
        <f t="shared" si="87"/>
        <v>34</v>
      </c>
      <c r="T1386">
        <f>INDEX([1]IDEN_level_ids!$B:$B,MATCH(G1386,[1]IDEN_level_ids!$A:$A,0),1)</f>
        <v>1183</v>
      </c>
      <c r="U1386">
        <f>INDEX([1]IDEN_level_ids!$B:$B,MATCH(H1386,[1]IDEN_level_ids!$A:$A,0),1)</f>
        <v>967</v>
      </c>
    </row>
    <row r="1387" spans="1:21" hidden="1" x14ac:dyDescent="0.25">
      <c r="A1387">
        <v>55484.904399999999</v>
      </c>
      <c r="B1387">
        <v>1802.2919999999999</v>
      </c>
      <c r="C1387">
        <v>9</v>
      </c>
      <c r="D1387" t="s">
        <v>539</v>
      </c>
      <c r="F1387">
        <v>1969</v>
      </c>
      <c r="G1387" s="1" t="s">
        <v>27</v>
      </c>
      <c r="H1387" s="1" t="s">
        <v>541</v>
      </c>
      <c r="I1387">
        <v>0</v>
      </c>
      <c r="J1387">
        <v>55485.116300000002</v>
      </c>
      <c r="K1387">
        <v>6.8799999999999998E-3</v>
      </c>
      <c r="L1387">
        <v>7.9600000000000001E-3</v>
      </c>
      <c r="M1387">
        <v>0.245</v>
      </c>
      <c r="N1387">
        <v>2.5100000000000001E-2</v>
      </c>
      <c r="O1387">
        <v>8.1600000000000006E-3</v>
      </c>
      <c r="P1387" s="3">
        <f t="shared" si="84"/>
        <v>1802.292012239639</v>
      </c>
      <c r="Q1387" s="3">
        <f t="shared" si="85"/>
        <v>6.8830292314032704E-3</v>
      </c>
      <c r="R1387" s="3">
        <f t="shared" si="86"/>
        <v>7.9600000000000001E-3</v>
      </c>
      <c r="S1387">
        <f t="shared" si="87"/>
        <v>34</v>
      </c>
      <c r="T1387">
        <f>INDEX([1]IDEN_level_ids!$B:$B,MATCH(G1387,[1]IDEN_level_ids!$A:$A,0),1)</f>
        <v>1242</v>
      </c>
      <c r="U1387">
        <f>INDEX([1]IDEN_level_ids!$B:$B,MATCH(H1387,[1]IDEN_level_ids!$A:$A,0),1)</f>
        <v>1028</v>
      </c>
    </row>
    <row r="1388" spans="1:21" hidden="1" x14ac:dyDescent="0.25">
      <c r="A1388">
        <v>55480.6518</v>
      </c>
      <c r="B1388">
        <v>1802.4302</v>
      </c>
      <c r="C1388">
        <v>9</v>
      </c>
      <c r="D1388" t="s">
        <v>539</v>
      </c>
      <c r="E1388" t="s">
        <v>66</v>
      </c>
      <c r="F1388">
        <v>1969</v>
      </c>
      <c r="G1388" s="1" t="s">
        <v>329</v>
      </c>
      <c r="H1388" s="1" t="s">
        <v>412</v>
      </c>
      <c r="I1388">
        <v>0.2006</v>
      </c>
      <c r="J1388">
        <v>55481.440300000002</v>
      </c>
      <c r="K1388">
        <v>2.562E-2</v>
      </c>
      <c r="L1388">
        <v>2.086E-2</v>
      </c>
      <c r="M1388">
        <v>0.64200000000000002</v>
      </c>
      <c r="N1388">
        <v>1.8499999999999999E-2</v>
      </c>
      <c r="O1388">
        <v>2.1250000000000002E-2</v>
      </c>
      <c r="P1388" s="3">
        <f t="shared" si="84"/>
        <v>1802.4301581835418</v>
      </c>
      <c r="Q1388" s="3">
        <f t="shared" si="85"/>
        <v>2.561606497692992E-2</v>
      </c>
      <c r="R1388" s="3">
        <f t="shared" si="86"/>
        <v>2.086E-2</v>
      </c>
      <c r="S1388">
        <f t="shared" si="87"/>
        <v>34</v>
      </c>
      <c r="T1388">
        <f>INDEX([1]IDEN_level_ids!$B:$B,MATCH(G1388,[1]IDEN_level_ids!$A:$A,0),1)</f>
        <v>1138</v>
      </c>
      <c r="U1388">
        <f>INDEX([1]IDEN_level_ids!$B:$B,MATCH(H1388,[1]IDEN_level_ids!$A:$A,0),1)</f>
        <v>923</v>
      </c>
    </row>
    <row r="1389" spans="1:21" hidden="1" x14ac:dyDescent="0.25">
      <c r="A1389">
        <v>55460.037499999999</v>
      </c>
      <c r="B1389">
        <v>1803.1001000000001</v>
      </c>
      <c r="C1389">
        <v>9</v>
      </c>
      <c r="D1389" t="s">
        <v>539</v>
      </c>
      <c r="E1389" t="s">
        <v>66</v>
      </c>
      <c r="F1389">
        <v>1969</v>
      </c>
      <c r="G1389" s="1" t="s">
        <v>443</v>
      </c>
      <c r="H1389" s="1" t="s">
        <v>421</v>
      </c>
      <c r="I1389">
        <v>0.15229999999999999</v>
      </c>
      <c r="J1389">
        <v>55460.821799999998</v>
      </c>
      <c r="K1389">
        <v>2.5499999999999998E-2</v>
      </c>
      <c r="L1389">
        <v>2.087E-2</v>
      </c>
      <c r="M1389">
        <v>0.64200000000000002</v>
      </c>
      <c r="N1389">
        <v>2.7699999999999999E-2</v>
      </c>
      <c r="O1389">
        <v>2.147E-2</v>
      </c>
      <c r="P1389" s="3">
        <f t="shared" si="84"/>
        <v>1803.1001151054036</v>
      </c>
      <c r="Q1389" s="3">
        <f t="shared" si="85"/>
        <v>2.5498565913267157E-2</v>
      </c>
      <c r="R1389" s="3">
        <f t="shared" si="86"/>
        <v>2.087E-2</v>
      </c>
      <c r="S1389">
        <f t="shared" si="87"/>
        <v>34</v>
      </c>
      <c r="T1389">
        <f>INDEX([1]IDEN_level_ids!$B:$B,MATCH(G1389,[1]IDEN_level_ids!$A:$A,0),1)</f>
        <v>1145</v>
      </c>
      <c r="U1389">
        <f>INDEX([1]IDEN_level_ids!$B:$B,MATCH(H1389,[1]IDEN_level_ids!$A:$A,0),1)</f>
        <v>930</v>
      </c>
    </row>
    <row r="1390" spans="1:21" hidden="1" x14ac:dyDescent="0.25">
      <c r="A1390">
        <v>55456.010999999999</v>
      </c>
      <c r="B1390">
        <v>1803.231</v>
      </c>
      <c r="C1390">
        <v>9</v>
      </c>
      <c r="D1390" t="s">
        <v>539</v>
      </c>
      <c r="E1390" t="s">
        <v>66</v>
      </c>
      <c r="F1390">
        <v>1969</v>
      </c>
      <c r="G1390" s="1" t="s">
        <v>275</v>
      </c>
      <c r="H1390" s="1" t="s">
        <v>433</v>
      </c>
      <c r="I1390">
        <v>0</v>
      </c>
      <c r="J1390">
        <v>55456.777300000002</v>
      </c>
      <c r="K1390">
        <v>2.4920000000000001E-2</v>
      </c>
      <c r="L1390">
        <v>2.0879999999999999E-2</v>
      </c>
      <c r="M1390">
        <v>0.64200000000000002</v>
      </c>
      <c r="N1390">
        <v>0.01</v>
      </c>
      <c r="O1390">
        <v>2.1090000000000001E-2</v>
      </c>
      <c r="P1390" s="3">
        <f t="shared" si="84"/>
        <v>1803.2310329713403</v>
      </c>
      <c r="Q1390" s="3">
        <f t="shared" si="85"/>
        <v>2.4916989552139057E-2</v>
      </c>
      <c r="R1390" s="3">
        <f t="shared" si="86"/>
        <v>2.0879999999999999E-2</v>
      </c>
      <c r="S1390">
        <f t="shared" si="87"/>
        <v>34</v>
      </c>
      <c r="T1390">
        <f>INDEX([1]IDEN_level_ids!$B:$B,MATCH(G1390,[1]IDEN_level_ids!$A:$A,0),1)</f>
        <v>1134</v>
      </c>
      <c r="U1390">
        <f>INDEX([1]IDEN_level_ids!$B:$B,MATCH(H1390,[1]IDEN_level_ids!$A:$A,0),1)</f>
        <v>918</v>
      </c>
    </row>
    <row r="1391" spans="1:21" hidden="1" x14ac:dyDescent="0.25">
      <c r="A1391">
        <v>55450.841899999999</v>
      </c>
      <c r="B1391">
        <v>1803.3991000000001</v>
      </c>
      <c r="C1391">
        <v>9</v>
      </c>
      <c r="D1391" t="s">
        <v>539</v>
      </c>
      <c r="F1391">
        <v>1969</v>
      </c>
      <c r="G1391" s="1" t="s">
        <v>212</v>
      </c>
      <c r="H1391" s="1" t="s">
        <v>376</v>
      </c>
      <c r="I1391">
        <v>0</v>
      </c>
      <c r="J1391">
        <v>55451.247199999998</v>
      </c>
      <c r="K1391">
        <v>1.3180000000000001E-2</v>
      </c>
      <c r="L1391">
        <v>7.9699999999999997E-3</v>
      </c>
      <c r="M1391">
        <v>0.245</v>
      </c>
      <c r="N1391">
        <v>6.5199999999999994E-2</v>
      </c>
      <c r="O1391">
        <v>8.5199999999999998E-3</v>
      </c>
      <c r="P1391" s="3">
        <f t="shared" si="84"/>
        <v>1803.3991292745368</v>
      </c>
      <c r="Q1391" s="3">
        <f t="shared" si="85"/>
        <v>1.3181266499941557E-2</v>
      </c>
      <c r="R1391" s="3">
        <f t="shared" si="86"/>
        <v>7.9699999999999997E-3</v>
      </c>
      <c r="S1391">
        <f t="shared" si="87"/>
        <v>34</v>
      </c>
      <c r="T1391">
        <f>INDEX([1]IDEN_level_ids!$B:$B,MATCH(G1391,[1]IDEN_level_ids!$A:$A,0),1)</f>
        <v>1123</v>
      </c>
      <c r="U1391">
        <f>INDEX([1]IDEN_level_ids!$B:$B,MATCH(H1391,[1]IDEN_level_ids!$A:$A,0),1)</f>
        <v>913</v>
      </c>
    </row>
    <row r="1392" spans="1:21" hidden="1" x14ac:dyDescent="0.25">
      <c r="A1392">
        <v>55421.4974</v>
      </c>
      <c r="B1392">
        <v>1804.354</v>
      </c>
      <c r="C1392">
        <v>9</v>
      </c>
      <c r="D1392" t="s">
        <v>539</v>
      </c>
      <c r="F1392">
        <v>1969</v>
      </c>
      <c r="G1392" s="1" t="s">
        <v>94</v>
      </c>
      <c r="H1392" s="1" t="s">
        <v>542</v>
      </c>
      <c r="I1392">
        <v>0</v>
      </c>
      <c r="J1392">
        <v>55421.658199999998</v>
      </c>
      <c r="K1392">
        <v>5.2399999999999999E-3</v>
      </c>
      <c r="L1392">
        <v>7.9799999999999992E-3</v>
      </c>
      <c r="M1392">
        <v>0.245</v>
      </c>
      <c r="N1392">
        <v>0.04</v>
      </c>
      <c r="O1392">
        <v>8.3099999999999997E-3</v>
      </c>
      <c r="P1392" s="3">
        <f t="shared" si="84"/>
        <v>1804.3539906231404</v>
      </c>
      <c r="Q1392" s="3">
        <f t="shared" si="85"/>
        <v>5.2351396748235857E-3</v>
      </c>
      <c r="R1392" s="3">
        <f t="shared" si="86"/>
        <v>7.9799999999999992E-3</v>
      </c>
      <c r="S1392">
        <f t="shared" si="87"/>
        <v>34</v>
      </c>
      <c r="T1392">
        <f>INDEX([1]IDEN_level_ids!$B:$B,MATCH(G1392,[1]IDEN_level_ids!$A:$A,0),1)</f>
        <v>1207</v>
      </c>
      <c r="U1392">
        <f>INDEX([1]IDEN_level_ids!$B:$B,MATCH(H1392,[1]IDEN_level_ids!$A:$A,0),1)</f>
        <v>981</v>
      </c>
    </row>
    <row r="1393" spans="1:21" hidden="1" x14ac:dyDescent="0.25">
      <c r="A1393">
        <v>55316.588900000002</v>
      </c>
      <c r="B1393">
        <v>1807.7760000000001</v>
      </c>
      <c r="C1393">
        <v>9</v>
      </c>
      <c r="D1393" t="s">
        <v>539</v>
      </c>
      <c r="F1393">
        <v>1969</v>
      </c>
      <c r="G1393" s="1" t="s">
        <v>431</v>
      </c>
      <c r="H1393" s="1" t="s">
        <v>521</v>
      </c>
      <c r="I1393">
        <v>-0.21</v>
      </c>
      <c r="J1393">
        <v>55316.908199999998</v>
      </c>
      <c r="K1393">
        <v>1.043E-2</v>
      </c>
      <c r="L1393">
        <v>8.0099999999999998E-3</v>
      </c>
      <c r="M1393">
        <v>0.245</v>
      </c>
      <c r="N1393">
        <v>0.19700000000000001</v>
      </c>
      <c r="O1393">
        <v>9.9699999999999997E-3</v>
      </c>
      <c r="P1393" s="3">
        <f t="shared" si="84"/>
        <v>1807.7759671836886</v>
      </c>
      <c r="Q1393" s="3">
        <f t="shared" si="85"/>
        <v>1.0434836022113814E-2</v>
      </c>
      <c r="R1393" s="3">
        <f t="shared" si="86"/>
        <v>8.0099999999999998E-3</v>
      </c>
      <c r="S1393">
        <f t="shared" si="87"/>
        <v>34</v>
      </c>
      <c r="T1393">
        <f>INDEX([1]IDEN_level_ids!$B:$B,MATCH(G1393,[1]IDEN_level_ids!$A:$A,0),1)</f>
        <v>1062</v>
      </c>
      <c r="U1393">
        <f>INDEX([1]IDEN_level_ids!$B:$B,MATCH(H1393,[1]IDEN_level_ids!$A:$A,0),1)</f>
        <v>672</v>
      </c>
    </row>
    <row r="1394" spans="1:21" hidden="1" x14ac:dyDescent="0.25">
      <c r="A1394">
        <v>55306.492700000003</v>
      </c>
      <c r="B1394">
        <v>1808.106</v>
      </c>
      <c r="C1394">
        <v>9</v>
      </c>
      <c r="D1394" t="s">
        <v>539</v>
      </c>
      <c r="F1394">
        <v>1969</v>
      </c>
      <c r="G1394" s="1" t="s">
        <v>464</v>
      </c>
      <c r="H1394" s="1" t="s">
        <v>535</v>
      </c>
      <c r="I1394">
        <v>0</v>
      </c>
      <c r="J1394">
        <v>55306.656999999999</v>
      </c>
      <c r="K1394">
        <v>5.3699999999999998E-3</v>
      </c>
      <c r="L1394">
        <v>8.0099999999999998E-3</v>
      </c>
      <c r="M1394">
        <v>0.245</v>
      </c>
      <c r="N1394">
        <v>0.2102</v>
      </c>
      <c r="O1394">
        <v>1.014E-2</v>
      </c>
      <c r="P1394" s="3">
        <f t="shared" si="84"/>
        <v>1808.1059766785754</v>
      </c>
      <c r="Q1394" s="3">
        <f t="shared" si="85"/>
        <v>5.3713572303877299E-3</v>
      </c>
      <c r="R1394" s="3">
        <f t="shared" si="86"/>
        <v>8.0099999999999998E-3</v>
      </c>
      <c r="S1394">
        <f t="shared" si="87"/>
        <v>34</v>
      </c>
      <c r="T1394">
        <f>INDEX([1]IDEN_level_ids!$B:$B,MATCH(G1394,[1]IDEN_level_ids!$A:$A,0),1)</f>
        <v>1076</v>
      </c>
      <c r="U1394">
        <f>INDEX([1]IDEN_level_ids!$B:$B,MATCH(H1394,[1]IDEN_level_ids!$A:$A,0),1)</f>
        <v>718</v>
      </c>
    </row>
    <row r="1395" spans="1:21" hidden="1" x14ac:dyDescent="0.25">
      <c r="A1395">
        <v>55293.949099999998</v>
      </c>
      <c r="B1395">
        <v>1808.5162</v>
      </c>
      <c r="C1395">
        <v>9</v>
      </c>
      <c r="D1395" t="s">
        <v>539</v>
      </c>
      <c r="F1395">
        <v>1969</v>
      </c>
      <c r="G1395" s="1" t="s">
        <v>82</v>
      </c>
      <c r="H1395" s="1" t="s">
        <v>525</v>
      </c>
      <c r="I1395">
        <v>0</v>
      </c>
      <c r="J1395">
        <v>55294.264199999998</v>
      </c>
      <c r="K1395">
        <v>1.03E-2</v>
      </c>
      <c r="L1395">
        <v>8.0099999999999998E-3</v>
      </c>
      <c r="M1395">
        <v>0.245</v>
      </c>
      <c r="N1395">
        <v>2.2800000000000001E-2</v>
      </c>
      <c r="O1395">
        <v>8.2000000000000007E-3</v>
      </c>
      <c r="P1395" s="3">
        <f t="shared" si="84"/>
        <v>1808.5161510014123</v>
      </c>
      <c r="Q1395" s="3">
        <f t="shared" si="85"/>
        <v>1.0306013605941189E-2</v>
      </c>
      <c r="R1395" s="3">
        <f t="shared" si="86"/>
        <v>8.0099999999999998E-3</v>
      </c>
      <c r="S1395">
        <f t="shared" si="87"/>
        <v>34</v>
      </c>
      <c r="T1395">
        <f>INDEX([1]IDEN_level_ids!$B:$B,MATCH(G1395,[1]IDEN_level_ids!$A:$A,0),1)</f>
        <v>1193</v>
      </c>
      <c r="U1395">
        <f>INDEX([1]IDEN_level_ids!$B:$B,MATCH(H1395,[1]IDEN_level_ids!$A:$A,0),1)</f>
        <v>971</v>
      </c>
    </row>
    <row r="1396" spans="1:21" hidden="1" x14ac:dyDescent="0.25">
      <c r="A1396">
        <v>55262.177000000003</v>
      </c>
      <c r="B1396">
        <v>1809.5559000000001</v>
      </c>
      <c r="C1396">
        <v>9</v>
      </c>
      <c r="D1396" t="s">
        <v>539</v>
      </c>
      <c r="F1396">
        <v>1969</v>
      </c>
      <c r="G1396" s="1" t="s">
        <v>251</v>
      </c>
      <c r="H1396" s="1" t="s">
        <v>543</v>
      </c>
      <c r="I1396">
        <v>2.46E-2</v>
      </c>
      <c r="J1396">
        <v>55262.265599999999</v>
      </c>
      <c r="K1396">
        <v>2.8999999999999998E-3</v>
      </c>
      <c r="L1396">
        <v>8.0199999999999994E-3</v>
      </c>
      <c r="M1396">
        <v>0.245</v>
      </c>
      <c r="N1396">
        <v>0.03</v>
      </c>
      <c r="O1396">
        <v>8.2699999999999996E-3</v>
      </c>
      <c r="P1396" s="3">
        <f t="shared" si="84"/>
        <v>1809.5559282798431</v>
      </c>
      <c r="Q1396" s="3">
        <f t="shared" si="85"/>
        <v>2.901195843151072E-3</v>
      </c>
      <c r="R1396" s="3">
        <f t="shared" si="86"/>
        <v>8.0199999999999994E-3</v>
      </c>
      <c r="S1396">
        <f t="shared" si="87"/>
        <v>34</v>
      </c>
      <c r="T1396">
        <f>INDEX([1]IDEN_level_ids!$B:$B,MATCH(G1396,[1]IDEN_level_ids!$A:$A,0),1)</f>
        <v>1192</v>
      </c>
      <c r="U1396">
        <f>INDEX([1]IDEN_level_ids!$B:$B,MATCH(H1396,[1]IDEN_level_ids!$A:$A,0),1)</f>
        <v>972</v>
      </c>
    </row>
    <row r="1397" spans="1:21" hidden="1" x14ac:dyDescent="0.25">
      <c r="A1397">
        <v>55224.975100000003</v>
      </c>
      <c r="B1397">
        <v>1810.7748999999999</v>
      </c>
      <c r="C1397">
        <v>9</v>
      </c>
      <c r="D1397" t="s">
        <v>539</v>
      </c>
      <c r="F1397">
        <v>1969</v>
      </c>
      <c r="G1397" s="1" t="s">
        <v>354</v>
      </c>
      <c r="H1397" s="1" t="s">
        <v>456</v>
      </c>
      <c r="I1397">
        <v>-0.57169999999999999</v>
      </c>
      <c r="J1397">
        <v>55224.937400000003</v>
      </c>
      <c r="K1397">
        <v>-1.24E-3</v>
      </c>
      <c r="L1397">
        <v>8.0300000000000007E-3</v>
      </c>
      <c r="M1397">
        <v>0.245</v>
      </c>
      <c r="N1397">
        <v>0.2074</v>
      </c>
      <c r="O1397">
        <v>1.014E-2</v>
      </c>
      <c r="P1397" s="3">
        <f t="shared" si="84"/>
        <v>1810.7749223774661</v>
      </c>
      <c r="Q1397" s="3">
        <f t="shared" si="85"/>
        <v>-1.2361483377389959E-3</v>
      </c>
      <c r="R1397" s="3">
        <f t="shared" si="86"/>
        <v>8.0300000000000007E-3</v>
      </c>
      <c r="S1397">
        <f t="shared" si="87"/>
        <v>34</v>
      </c>
      <c r="T1397">
        <f>INDEX([1]IDEN_level_ids!$B:$B,MATCH(G1397,[1]IDEN_level_ids!$A:$A,0),1)</f>
        <v>1135</v>
      </c>
      <c r="U1397">
        <f>INDEX([1]IDEN_level_ids!$B:$B,MATCH(H1397,[1]IDEN_level_ids!$A:$A,0),1)</f>
        <v>919</v>
      </c>
    </row>
    <row r="1398" spans="1:21" hidden="1" x14ac:dyDescent="0.25">
      <c r="A1398">
        <v>55190.869400000003</v>
      </c>
      <c r="B1398">
        <v>1811.8939</v>
      </c>
      <c r="C1398">
        <v>9</v>
      </c>
      <c r="D1398" t="s">
        <v>539</v>
      </c>
      <c r="E1398" t="s">
        <v>427</v>
      </c>
      <c r="F1398">
        <v>1969</v>
      </c>
      <c r="G1398" s="1" t="s">
        <v>276</v>
      </c>
      <c r="H1398" s="1" t="s">
        <v>433</v>
      </c>
      <c r="I1398">
        <v>-0.70099999999999996</v>
      </c>
      <c r="J1398">
        <v>55190.571000000004</v>
      </c>
      <c r="K1398">
        <v>-9.7999999999999997E-3</v>
      </c>
      <c r="L1398">
        <v>1.234E-2</v>
      </c>
      <c r="M1398">
        <v>0.37580000000000002</v>
      </c>
      <c r="N1398">
        <v>3.7699999999999997E-2</v>
      </c>
      <c r="O1398">
        <v>1.282E-2</v>
      </c>
      <c r="P1398" s="3">
        <f t="shared" si="84"/>
        <v>1811.8939072193705</v>
      </c>
      <c r="Q1398" s="3">
        <f t="shared" si="85"/>
        <v>-9.7964042067815171E-3</v>
      </c>
      <c r="R1398" s="3">
        <f t="shared" si="86"/>
        <v>1.234E-2</v>
      </c>
      <c r="S1398">
        <f t="shared" si="87"/>
        <v>34</v>
      </c>
      <c r="T1398">
        <f>INDEX([1]IDEN_level_ids!$B:$B,MATCH(G1398,[1]IDEN_level_ids!$A:$A,0),1)</f>
        <v>1131</v>
      </c>
      <c r="U1398">
        <f>INDEX([1]IDEN_level_ids!$B:$B,MATCH(H1398,[1]IDEN_level_ids!$A:$A,0),1)</f>
        <v>918</v>
      </c>
    </row>
    <row r="1399" spans="1:21" hidden="1" x14ac:dyDescent="0.25">
      <c r="A1399">
        <v>55176.217400000001</v>
      </c>
      <c r="B1399">
        <v>1812.3751</v>
      </c>
      <c r="C1399">
        <v>9</v>
      </c>
      <c r="D1399" t="s">
        <v>539</v>
      </c>
      <c r="F1399">
        <v>1969</v>
      </c>
      <c r="G1399" s="1" t="s">
        <v>516</v>
      </c>
      <c r="H1399" s="1" t="s">
        <v>530</v>
      </c>
      <c r="I1399">
        <v>-0.26919999999999999</v>
      </c>
      <c r="J1399">
        <v>55176.499799999998</v>
      </c>
      <c r="K1399">
        <v>9.2700000000000005E-3</v>
      </c>
      <c r="L1399">
        <v>8.0499999999999999E-3</v>
      </c>
      <c r="M1399">
        <v>0.245</v>
      </c>
      <c r="N1399">
        <v>0.25669999999999998</v>
      </c>
      <c r="O1399">
        <v>1.0829999999999999E-2</v>
      </c>
      <c r="P1399" s="3">
        <f t="shared" si="84"/>
        <v>1812.3750541841239</v>
      </c>
      <c r="Q1399" s="3">
        <f t="shared" si="85"/>
        <v>9.2759547478635795E-3</v>
      </c>
      <c r="R1399" s="3">
        <f t="shared" si="86"/>
        <v>8.0499999999999999E-3</v>
      </c>
      <c r="S1399">
        <f t="shared" si="87"/>
        <v>34</v>
      </c>
      <c r="T1399">
        <f>INDEX([1]IDEN_level_ids!$B:$B,MATCH(G1399,[1]IDEN_level_ids!$A:$A,0),1)</f>
        <v>1050</v>
      </c>
      <c r="U1399">
        <f>INDEX([1]IDEN_level_ids!$B:$B,MATCH(H1399,[1]IDEN_level_ids!$A:$A,0),1)</f>
        <v>649</v>
      </c>
    </row>
    <row r="1400" spans="1:21" hidden="1" x14ac:dyDescent="0.25">
      <c r="A1400">
        <v>55117.825799999999</v>
      </c>
      <c r="B1400">
        <v>1814.2951</v>
      </c>
      <c r="C1400">
        <v>9</v>
      </c>
      <c r="D1400" t="s">
        <v>539</v>
      </c>
      <c r="F1400">
        <v>1969</v>
      </c>
      <c r="G1400" s="1" t="s">
        <v>22</v>
      </c>
      <c r="H1400" s="1" t="s">
        <v>544</v>
      </c>
      <c r="I1400">
        <v>0</v>
      </c>
      <c r="J1400">
        <v>55118.067999999999</v>
      </c>
      <c r="K1400">
        <v>7.9699999999999997E-3</v>
      </c>
      <c r="L1400">
        <v>8.0599999999999995E-3</v>
      </c>
      <c r="M1400">
        <v>0.245</v>
      </c>
      <c r="N1400">
        <v>2.3099999999999999E-2</v>
      </c>
      <c r="O1400">
        <v>8.2500000000000004E-3</v>
      </c>
      <c r="P1400" s="3">
        <f t="shared" si="84"/>
        <v>1814.2950769295403</v>
      </c>
      <c r="Q1400" s="3">
        <f t="shared" si="85"/>
        <v>7.9723815360921435E-3</v>
      </c>
      <c r="R1400" s="3">
        <f t="shared" si="86"/>
        <v>8.0599999999999995E-3</v>
      </c>
      <c r="S1400">
        <f t="shared" si="87"/>
        <v>34</v>
      </c>
      <c r="T1400">
        <f>INDEX([1]IDEN_level_ids!$B:$B,MATCH(G1400,[1]IDEN_level_ids!$A:$A,0),1)</f>
        <v>1236</v>
      </c>
      <c r="U1400">
        <f>INDEX([1]IDEN_level_ids!$B:$B,MATCH(H1400,[1]IDEN_level_ids!$A:$A,0),1)</f>
        <v>1011</v>
      </c>
    </row>
    <row r="1401" spans="1:21" hidden="1" x14ac:dyDescent="0.25">
      <c r="A1401">
        <v>55051.4064</v>
      </c>
      <c r="B1401">
        <v>1816.4839999999999</v>
      </c>
      <c r="C1401">
        <v>9</v>
      </c>
      <c r="D1401" t="s">
        <v>539</v>
      </c>
      <c r="F1401">
        <v>1969</v>
      </c>
      <c r="G1401" s="1" t="s">
        <v>470</v>
      </c>
      <c r="H1401" s="1" t="s">
        <v>494</v>
      </c>
      <c r="I1401">
        <v>-0.20880000000000001</v>
      </c>
      <c r="J1401">
        <v>55051.872199999998</v>
      </c>
      <c r="K1401">
        <v>1.537E-2</v>
      </c>
      <c r="L1401">
        <v>8.0800000000000004E-3</v>
      </c>
      <c r="M1401">
        <v>0.245</v>
      </c>
      <c r="N1401">
        <v>0.1447</v>
      </c>
      <c r="O1401">
        <v>9.4500000000000001E-3</v>
      </c>
      <c r="P1401" s="3">
        <f t="shared" si="84"/>
        <v>1816.4840199250568</v>
      </c>
      <c r="Q1401" s="3">
        <f t="shared" si="85"/>
        <v>1.5369472874681378E-2</v>
      </c>
      <c r="R1401" s="3">
        <f t="shared" si="86"/>
        <v>8.0800000000000004E-3</v>
      </c>
      <c r="S1401">
        <f t="shared" si="87"/>
        <v>34</v>
      </c>
      <c r="T1401">
        <f>INDEX([1]IDEN_level_ids!$B:$B,MATCH(G1401,[1]IDEN_level_ids!$A:$A,0),1)</f>
        <v>1026</v>
      </c>
      <c r="U1401">
        <f>INDEX([1]IDEN_level_ids!$B:$B,MATCH(H1401,[1]IDEN_level_ids!$A:$A,0),1)</f>
        <v>592</v>
      </c>
    </row>
    <row r="1402" spans="1:21" hidden="1" x14ac:dyDescent="0.25">
      <c r="A1402">
        <v>55046.589599999999</v>
      </c>
      <c r="B1402">
        <v>1816.643</v>
      </c>
      <c r="C1402">
        <v>9</v>
      </c>
      <c r="D1402" t="s">
        <v>539</v>
      </c>
      <c r="F1402">
        <v>1969</v>
      </c>
      <c r="G1402" s="1" t="s">
        <v>86</v>
      </c>
      <c r="H1402" s="1" t="s">
        <v>483</v>
      </c>
      <c r="I1402">
        <v>0</v>
      </c>
      <c r="J1402">
        <v>55046.830099999999</v>
      </c>
      <c r="K1402">
        <v>7.9399999999999991E-3</v>
      </c>
      <c r="L1402">
        <v>8.0800000000000004E-3</v>
      </c>
      <c r="M1402">
        <v>0.245</v>
      </c>
      <c r="N1402">
        <v>2.5100000000000001E-2</v>
      </c>
      <c r="O1402">
        <v>8.2900000000000005E-3</v>
      </c>
      <c r="P1402" s="3">
        <f t="shared" si="84"/>
        <v>1816.6429696491134</v>
      </c>
      <c r="Q1402" s="3">
        <f t="shared" si="85"/>
        <v>7.9369263116859656E-3</v>
      </c>
      <c r="R1402" s="3">
        <f t="shared" si="86"/>
        <v>8.0800000000000004E-3</v>
      </c>
      <c r="S1402">
        <f t="shared" si="87"/>
        <v>34</v>
      </c>
      <c r="T1402">
        <f>INDEX([1]IDEN_level_ids!$B:$B,MATCH(G1402,[1]IDEN_level_ids!$A:$A,0),1)</f>
        <v>1183</v>
      </c>
      <c r="U1402">
        <f>INDEX([1]IDEN_level_ids!$B:$B,MATCH(H1402,[1]IDEN_level_ids!$A:$A,0),1)</f>
        <v>970</v>
      </c>
    </row>
    <row r="1403" spans="1:21" hidden="1" x14ac:dyDescent="0.25">
      <c r="A1403">
        <v>55035.078600000001</v>
      </c>
      <c r="B1403">
        <v>1817.0228999999999</v>
      </c>
      <c r="C1403">
        <v>9</v>
      </c>
      <c r="D1403" t="s">
        <v>539</v>
      </c>
      <c r="F1403">
        <v>1969</v>
      </c>
      <c r="G1403" s="1" t="s">
        <v>410</v>
      </c>
      <c r="H1403" s="1" t="s">
        <v>507</v>
      </c>
      <c r="I1403">
        <v>-7.6499999999999999E-2</v>
      </c>
      <c r="J1403">
        <v>55035.336900000002</v>
      </c>
      <c r="K1403">
        <v>8.5299999999999994E-3</v>
      </c>
      <c r="L1403">
        <v>8.09E-3</v>
      </c>
      <c r="M1403">
        <v>0.245</v>
      </c>
      <c r="N1403">
        <v>0.13120000000000001</v>
      </c>
      <c r="O1403">
        <v>9.3100000000000006E-3</v>
      </c>
      <c r="P1403" s="3">
        <f t="shared" si="84"/>
        <v>1817.0229341691174</v>
      </c>
      <c r="Q1403" s="3">
        <f t="shared" si="85"/>
        <v>8.5279213380999863E-3</v>
      </c>
      <c r="R1403" s="3">
        <f t="shared" si="86"/>
        <v>8.09E-3</v>
      </c>
      <c r="S1403">
        <f t="shared" si="87"/>
        <v>34</v>
      </c>
      <c r="T1403">
        <f>INDEX([1]IDEN_level_ids!$B:$B,MATCH(G1403,[1]IDEN_level_ids!$A:$A,0),1)</f>
        <v>1056</v>
      </c>
      <c r="U1403">
        <f>INDEX([1]IDEN_level_ids!$B:$B,MATCH(H1403,[1]IDEN_level_ids!$A:$A,0),1)</f>
        <v>667</v>
      </c>
    </row>
    <row r="1404" spans="1:21" hidden="1" x14ac:dyDescent="0.25">
      <c r="A1404">
        <v>55025.359400000001</v>
      </c>
      <c r="B1404">
        <v>1817.3439000000001</v>
      </c>
      <c r="C1404">
        <v>9</v>
      </c>
      <c r="D1404" t="s">
        <v>539</v>
      </c>
      <c r="F1404">
        <v>1969</v>
      </c>
      <c r="G1404" s="1" t="s">
        <v>275</v>
      </c>
      <c r="H1404" s="1" t="s">
        <v>456</v>
      </c>
      <c r="I1404">
        <v>0</v>
      </c>
      <c r="J1404">
        <v>55025.6855</v>
      </c>
      <c r="K1404">
        <v>1.077E-2</v>
      </c>
      <c r="L1404">
        <v>8.09E-3</v>
      </c>
      <c r="M1404">
        <v>0.245</v>
      </c>
      <c r="N1404">
        <v>0.19520000000000001</v>
      </c>
      <c r="O1404">
        <v>1.005E-2</v>
      </c>
      <c r="P1404" s="3">
        <f t="shared" si="84"/>
        <v>1817.3438772668878</v>
      </c>
      <c r="Q1404" s="3">
        <f t="shared" si="85"/>
        <v>1.0770167295277133E-2</v>
      </c>
      <c r="R1404" s="3">
        <f t="shared" si="86"/>
        <v>8.09E-3</v>
      </c>
      <c r="S1404">
        <f t="shared" si="87"/>
        <v>34</v>
      </c>
      <c r="T1404">
        <f>INDEX([1]IDEN_level_ids!$B:$B,MATCH(G1404,[1]IDEN_level_ids!$A:$A,0),1)</f>
        <v>1134</v>
      </c>
      <c r="U1404">
        <f>INDEX([1]IDEN_level_ids!$B:$B,MATCH(H1404,[1]IDEN_level_ids!$A:$A,0),1)</f>
        <v>919</v>
      </c>
    </row>
    <row r="1405" spans="1:21" hidden="1" x14ac:dyDescent="0.25">
      <c r="A1405">
        <v>54957.285799999998</v>
      </c>
      <c r="B1405">
        <v>1819.595</v>
      </c>
      <c r="C1405">
        <v>9</v>
      </c>
      <c r="D1405" t="s">
        <v>539</v>
      </c>
      <c r="F1405">
        <v>1969</v>
      </c>
      <c r="G1405" s="1" t="s">
        <v>238</v>
      </c>
      <c r="H1405" s="1" t="s">
        <v>509</v>
      </c>
      <c r="I1405">
        <v>0.15859999999999999</v>
      </c>
      <c r="J1405">
        <v>54957.508300000001</v>
      </c>
      <c r="K1405">
        <v>7.3699999999999998E-3</v>
      </c>
      <c r="L1405">
        <v>8.1099999999999992E-3</v>
      </c>
      <c r="M1405">
        <v>0.245</v>
      </c>
      <c r="N1405">
        <v>2.1600000000000001E-2</v>
      </c>
      <c r="O1405">
        <v>8.2900000000000005E-3</v>
      </c>
      <c r="P1405" s="3">
        <f t="shared" si="84"/>
        <v>1819.5949553243768</v>
      </c>
      <c r="Q1405" s="3">
        <f t="shared" si="85"/>
        <v>7.3667800832026842E-3</v>
      </c>
      <c r="R1405" s="3">
        <f t="shared" si="86"/>
        <v>8.1099999999999992E-3</v>
      </c>
      <c r="S1405">
        <f t="shared" si="87"/>
        <v>34</v>
      </c>
      <c r="T1405">
        <f>INDEX([1]IDEN_level_ids!$B:$B,MATCH(G1405,[1]IDEN_level_ids!$A:$A,0),1)</f>
        <v>1165</v>
      </c>
      <c r="U1405">
        <f>INDEX([1]IDEN_level_ids!$B:$B,MATCH(H1405,[1]IDEN_level_ids!$A:$A,0),1)</f>
        <v>956</v>
      </c>
    </row>
    <row r="1406" spans="1:21" hidden="1" x14ac:dyDescent="0.25">
      <c r="A1406">
        <v>54919.103799999997</v>
      </c>
      <c r="B1406">
        <v>1820.86</v>
      </c>
      <c r="C1406">
        <v>9</v>
      </c>
      <c r="D1406" t="s">
        <v>539</v>
      </c>
      <c r="F1406">
        <v>1969</v>
      </c>
      <c r="G1406" s="1" t="s">
        <v>545</v>
      </c>
      <c r="H1406" s="1" t="s">
        <v>546</v>
      </c>
      <c r="I1406">
        <v>0</v>
      </c>
      <c r="J1406">
        <v>54919.347199999997</v>
      </c>
      <c r="K1406">
        <v>8.0700000000000008E-3</v>
      </c>
      <c r="L1406">
        <v>8.1200000000000005E-3</v>
      </c>
      <c r="M1406">
        <v>0.245</v>
      </c>
      <c r="N1406">
        <v>0.50319999999999998</v>
      </c>
      <c r="O1406">
        <v>1.635E-2</v>
      </c>
      <c r="P1406" s="3">
        <f t="shared" si="84"/>
        <v>1820.8600119217533</v>
      </c>
      <c r="Q1406" s="3">
        <f t="shared" si="85"/>
        <v>8.0699671336788015E-3</v>
      </c>
      <c r="R1406" s="3">
        <f t="shared" si="86"/>
        <v>8.1200000000000005E-3</v>
      </c>
      <c r="S1406">
        <f t="shared" si="87"/>
        <v>34</v>
      </c>
      <c r="T1406">
        <f>INDEX([1]IDEN_level_ids!$B:$B,MATCH(G1406,[1]IDEN_level_ids!$A:$A,0),1)</f>
        <v>1081</v>
      </c>
      <c r="U1406">
        <f>INDEX([1]IDEN_level_ids!$B:$B,MATCH(H1406,[1]IDEN_level_ids!$A:$A,0),1)</f>
        <v>753</v>
      </c>
    </row>
    <row r="1407" spans="1:21" hidden="1" x14ac:dyDescent="0.25">
      <c r="A1407">
        <v>54904.838199999998</v>
      </c>
      <c r="B1407">
        <v>1821.3331000000001</v>
      </c>
      <c r="C1407">
        <v>9</v>
      </c>
      <c r="D1407" t="s">
        <v>539</v>
      </c>
      <c r="F1407">
        <v>1969</v>
      </c>
      <c r="G1407" s="1" t="s">
        <v>267</v>
      </c>
      <c r="H1407" s="1" t="s">
        <v>364</v>
      </c>
      <c r="I1407">
        <v>0</v>
      </c>
      <c r="J1407">
        <v>54905.133199999997</v>
      </c>
      <c r="K1407">
        <v>9.7900000000000001E-3</v>
      </c>
      <c r="L1407">
        <v>8.1300000000000001E-3</v>
      </c>
      <c r="M1407">
        <v>0.245</v>
      </c>
      <c r="N1407">
        <v>0.127</v>
      </c>
      <c r="O1407">
        <v>9.3100000000000006E-3</v>
      </c>
      <c r="P1407" s="3">
        <f t="shared" si="84"/>
        <v>1821.333115229907</v>
      </c>
      <c r="Q1407" s="3">
        <f t="shared" si="85"/>
        <v>9.7858476551664353E-3</v>
      </c>
      <c r="R1407" s="3">
        <f t="shared" si="86"/>
        <v>8.1300000000000001E-3</v>
      </c>
      <c r="S1407">
        <f t="shared" si="87"/>
        <v>34</v>
      </c>
      <c r="T1407">
        <f>INDEX([1]IDEN_level_ids!$B:$B,MATCH(G1407,[1]IDEN_level_ids!$A:$A,0),1)</f>
        <v>1104</v>
      </c>
      <c r="U1407">
        <f>INDEX([1]IDEN_level_ids!$B:$B,MATCH(H1407,[1]IDEN_level_ids!$A:$A,0),1)</f>
        <v>903</v>
      </c>
    </row>
    <row r="1408" spans="1:21" hidden="1" x14ac:dyDescent="0.25">
      <c r="A1408">
        <v>54901.286</v>
      </c>
      <c r="B1408">
        <v>1821.451</v>
      </c>
      <c r="C1408">
        <v>9</v>
      </c>
      <c r="D1408" t="s">
        <v>539</v>
      </c>
      <c r="F1408">
        <v>1969</v>
      </c>
      <c r="G1408" s="1" t="s">
        <v>375</v>
      </c>
      <c r="H1408" s="1" t="s">
        <v>547</v>
      </c>
      <c r="I1408">
        <v>-0.21110000000000001</v>
      </c>
      <c r="J1408">
        <v>54901.445599999999</v>
      </c>
      <c r="K1408">
        <v>5.2900000000000004E-3</v>
      </c>
      <c r="L1408">
        <v>8.1300000000000001E-3</v>
      </c>
      <c r="M1408">
        <v>0.245</v>
      </c>
      <c r="N1408">
        <v>0.33689999999999998</v>
      </c>
      <c r="O1408">
        <v>1.226E-2</v>
      </c>
      <c r="P1408" s="3">
        <f t="shared" si="84"/>
        <v>1821.450958361886</v>
      </c>
      <c r="Q1408" s="3">
        <f t="shared" si="85"/>
        <v>5.2950076226352394E-3</v>
      </c>
      <c r="R1408" s="3">
        <f t="shared" si="86"/>
        <v>8.1300000000000001E-3</v>
      </c>
      <c r="S1408">
        <f t="shared" si="87"/>
        <v>34</v>
      </c>
      <c r="T1408">
        <f>INDEX([1]IDEN_level_ids!$B:$B,MATCH(G1408,[1]IDEN_level_ids!$A:$A,0),1)</f>
        <v>1065</v>
      </c>
      <c r="U1408">
        <f>INDEX([1]IDEN_level_ids!$B:$B,MATCH(H1408,[1]IDEN_level_ids!$A:$A,0),1)</f>
        <v>690</v>
      </c>
    </row>
    <row r="1409" spans="1:21" hidden="1" x14ac:dyDescent="0.25">
      <c r="A1409">
        <v>54869.266100000001</v>
      </c>
      <c r="B1409">
        <v>1822.5138999999999</v>
      </c>
      <c r="C1409">
        <v>9</v>
      </c>
      <c r="D1409" t="s">
        <v>539</v>
      </c>
      <c r="F1409">
        <v>1969</v>
      </c>
      <c r="G1409" s="1" t="s">
        <v>68</v>
      </c>
      <c r="H1409" s="1" t="s">
        <v>548</v>
      </c>
      <c r="I1409">
        <v>0</v>
      </c>
      <c r="J1409">
        <v>54869.606099999997</v>
      </c>
      <c r="K1409">
        <v>1.129E-2</v>
      </c>
      <c r="L1409">
        <v>8.1399999999999997E-3</v>
      </c>
      <c r="M1409">
        <v>0.245</v>
      </c>
      <c r="N1409">
        <v>3.4299999999999997E-2</v>
      </c>
      <c r="O1409">
        <v>8.43E-3</v>
      </c>
      <c r="P1409" s="3">
        <f t="shared" si="84"/>
        <v>1822.5138972653399</v>
      </c>
      <c r="Q1409" s="3">
        <f t="shared" si="85"/>
        <v>1.1293223500388194E-2</v>
      </c>
      <c r="R1409" s="3">
        <f t="shared" si="86"/>
        <v>8.1399999999999997E-3</v>
      </c>
      <c r="S1409">
        <f t="shared" si="87"/>
        <v>34</v>
      </c>
      <c r="T1409">
        <f>INDEX([1]IDEN_level_ids!$B:$B,MATCH(G1409,[1]IDEN_level_ids!$A:$A,0),1)</f>
        <v>1229</v>
      </c>
      <c r="U1409">
        <f>INDEX([1]IDEN_level_ids!$B:$B,MATCH(H1409,[1]IDEN_level_ids!$A:$A,0),1)</f>
        <v>1005</v>
      </c>
    </row>
    <row r="1410" spans="1:21" hidden="1" x14ac:dyDescent="0.25">
      <c r="A1410">
        <v>54833.490700000002</v>
      </c>
      <c r="B1410">
        <v>1823.703</v>
      </c>
      <c r="C1410">
        <v>9</v>
      </c>
      <c r="D1410" t="s">
        <v>539</v>
      </c>
      <c r="F1410">
        <v>1969</v>
      </c>
      <c r="G1410" s="1" t="s">
        <v>518</v>
      </c>
      <c r="H1410" s="1" t="s">
        <v>535</v>
      </c>
      <c r="I1410">
        <v>0</v>
      </c>
      <c r="J1410">
        <v>54833.693899999998</v>
      </c>
      <c r="K1410">
        <v>6.7600000000000004E-3</v>
      </c>
      <c r="L1410">
        <v>8.1499999999999993E-3</v>
      </c>
      <c r="M1410">
        <v>0.245</v>
      </c>
      <c r="N1410">
        <v>0.21110000000000001</v>
      </c>
      <c r="O1410">
        <v>1.0330000000000001E-2</v>
      </c>
      <c r="P1410" s="3">
        <f t="shared" ref="P1410:P1473" si="88">100000000/$A1410</f>
        <v>1823.7029728256932</v>
      </c>
      <c r="Q1410" s="3">
        <f t="shared" ref="Q1410:Q1473" si="89">100000000/($A1410)-100000000/$J1410</f>
        <v>6.7581885830350075E-3</v>
      </c>
      <c r="R1410" s="3">
        <f t="shared" si="86"/>
        <v>8.1499999999999993E-3</v>
      </c>
      <c r="S1410">
        <f t="shared" si="87"/>
        <v>34</v>
      </c>
      <c r="T1410">
        <f>INDEX([1]IDEN_level_ids!$B:$B,MATCH(G1410,[1]IDEN_level_ids!$A:$A,0),1)</f>
        <v>1074</v>
      </c>
      <c r="U1410">
        <f>INDEX([1]IDEN_level_ids!$B:$B,MATCH(H1410,[1]IDEN_level_ids!$A:$A,0),1)</f>
        <v>718</v>
      </c>
    </row>
    <row r="1411" spans="1:21" hidden="1" x14ac:dyDescent="0.25">
      <c r="A1411">
        <v>54828.918400000002</v>
      </c>
      <c r="B1411">
        <v>1823.8551</v>
      </c>
      <c r="C1411">
        <v>9</v>
      </c>
      <c r="D1411" t="s">
        <v>539</v>
      </c>
      <c r="F1411">
        <v>1969</v>
      </c>
      <c r="G1411" s="1" t="s">
        <v>276</v>
      </c>
      <c r="H1411" s="1" t="s">
        <v>435</v>
      </c>
      <c r="I1411">
        <v>-0.70099999999999996</v>
      </c>
      <c r="J1411">
        <v>54829.025199999996</v>
      </c>
      <c r="K1411">
        <v>3.5500000000000002E-3</v>
      </c>
      <c r="L1411">
        <v>8.1499999999999993E-3</v>
      </c>
      <c r="M1411">
        <v>0.245</v>
      </c>
      <c r="N1411">
        <v>0.1552</v>
      </c>
      <c r="O1411">
        <v>9.6500000000000006E-3</v>
      </c>
      <c r="P1411" s="3">
        <f t="shared" si="88"/>
        <v>1823.8550552914062</v>
      </c>
      <c r="Q1411" s="3">
        <f t="shared" si="89"/>
        <v>3.5526387562185846E-3</v>
      </c>
      <c r="R1411" s="3">
        <f t="shared" ref="R1411:R1474" si="90">$L1411</f>
        <v>8.1499999999999993E-3</v>
      </c>
      <c r="S1411">
        <f t="shared" si="87"/>
        <v>34</v>
      </c>
      <c r="T1411">
        <f>INDEX([1]IDEN_level_ids!$B:$B,MATCH(G1411,[1]IDEN_level_ids!$A:$A,0),1)</f>
        <v>1131</v>
      </c>
      <c r="U1411">
        <f>INDEX([1]IDEN_level_ids!$B:$B,MATCH(H1411,[1]IDEN_level_ids!$A:$A,0),1)</f>
        <v>917</v>
      </c>
    </row>
    <row r="1412" spans="1:21" hidden="1" x14ac:dyDescent="0.25">
      <c r="A1412">
        <v>54788.068899999998</v>
      </c>
      <c r="B1412">
        <v>1825.2148999999999</v>
      </c>
      <c r="C1412">
        <v>9</v>
      </c>
      <c r="D1412" t="s">
        <v>549</v>
      </c>
      <c r="F1412">
        <v>1969</v>
      </c>
      <c r="G1412" s="1" t="s">
        <v>33</v>
      </c>
      <c r="H1412" s="1" t="s">
        <v>550</v>
      </c>
      <c r="I1412">
        <v>0</v>
      </c>
      <c r="J1412">
        <v>54788.54</v>
      </c>
      <c r="K1412">
        <v>1.5689999999999999E-2</v>
      </c>
      <c r="L1412">
        <v>8.1600000000000006E-3</v>
      </c>
      <c r="M1412">
        <v>0.245</v>
      </c>
      <c r="N1412">
        <v>2.5399999999999999E-2</v>
      </c>
      <c r="O1412">
        <v>8.3700000000000007E-3</v>
      </c>
      <c r="P1412" s="3">
        <f t="shared" si="88"/>
        <v>1825.2149055029024</v>
      </c>
      <c r="Q1412" s="3">
        <f t="shared" si="89"/>
        <v>1.5694134977593421E-2</v>
      </c>
      <c r="R1412" s="3">
        <f t="shared" si="90"/>
        <v>8.1600000000000006E-3</v>
      </c>
      <c r="S1412">
        <f t="shared" ref="S1412:S1475" si="91">IF(D1412=D1411,S1411,S1411+1)</f>
        <v>35</v>
      </c>
      <c r="T1412">
        <f>INDEX([1]IDEN_level_ids!$B:$B,MATCH(G1412,[1]IDEN_level_ids!$A:$A,0),1)</f>
        <v>1220</v>
      </c>
      <c r="U1412">
        <f>INDEX([1]IDEN_level_ids!$B:$B,MATCH(H1412,[1]IDEN_level_ids!$A:$A,0),1)</f>
        <v>997</v>
      </c>
    </row>
    <row r="1413" spans="1:21" hidden="1" x14ac:dyDescent="0.25">
      <c r="A1413">
        <v>54698.727800000001</v>
      </c>
      <c r="B1413">
        <v>1828.1960999999999</v>
      </c>
      <c r="C1413">
        <v>9</v>
      </c>
      <c r="D1413" t="s">
        <v>549</v>
      </c>
      <c r="F1413">
        <v>1969</v>
      </c>
      <c r="G1413" s="1" t="s">
        <v>448</v>
      </c>
      <c r="H1413" s="1" t="s">
        <v>532</v>
      </c>
      <c r="I1413">
        <v>-0.2167</v>
      </c>
      <c r="J1413">
        <v>54699.160400000001</v>
      </c>
      <c r="K1413">
        <v>1.4460000000000001E-2</v>
      </c>
      <c r="L1413">
        <v>8.1899999999999994E-3</v>
      </c>
      <c r="M1413">
        <v>0.245</v>
      </c>
      <c r="N1413">
        <v>0.17030000000000001</v>
      </c>
      <c r="O1413">
        <v>9.8700000000000003E-3</v>
      </c>
      <c r="P1413" s="3">
        <f t="shared" si="88"/>
        <v>1828.1960846628685</v>
      </c>
      <c r="Q1413" s="3">
        <f t="shared" si="89"/>
        <v>1.445867944676138E-2</v>
      </c>
      <c r="R1413" s="3">
        <f t="shared" si="90"/>
        <v>8.1899999999999994E-3</v>
      </c>
      <c r="S1413">
        <f t="shared" si="91"/>
        <v>35</v>
      </c>
      <c r="T1413">
        <f>INDEX([1]IDEN_level_ids!$B:$B,MATCH(G1413,[1]IDEN_level_ids!$A:$A,0),1)</f>
        <v>1067</v>
      </c>
      <c r="U1413">
        <f>INDEX([1]IDEN_level_ids!$B:$B,MATCH(H1413,[1]IDEN_level_ids!$A:$A,0),1)</f>
        <v>706</v>
      </c>
    </row>
    <row r="1414" spans="1:21" hidden="1" x14ac:dyDescent="0.25">
      <c r="A1414">
        <v>54686.976600000002</v>
      </c>
      <c r="B1414">
        <v>1828.5889</v>
      </c>
      <c r="C1414">
        <v>9</v>
      </c>
      <c r="D1414" t="s">
        <v>549</v>
      </c>
      <c r="F1414">
        <v>1969</v>
      </c>
      <c r="G1414" s="1" t="s">
        <v>428</v>
      </c>
      <c r="H1414" s="1" t="s">
        <v>521</v>
      </c>
      <c r="I1414">
        <v>-0.2928</v>
      </c>
      <c r="J1414">
        <v>54687.426899999999</v>
      </c>
      <c r="K1414">
        <v>1.506E-2</v>
      </c>
      <c r="L1414">
        <v>8.1899999999999994E-3</v>
      </c>
      <c r="M1414">
        <v>0.245</v>
      </c>
      <c r="N1414">
        <v>0.1986</v>
      </c>
      <c r="O1414">
        <v>1.022E-2</v>
      </c>
      <c r="P1414" s="3">
        <f t="shared" si="88"/>
        <v>1828.5889295258644</v>
      </c>
      <c r="Q1414" s="3">
        <f t="shared" si="89"/>
        <v>1.5056725862450548E-2</v>
      </c>
      <c r="R1414" s="3">
        <f t="shared" si="90"/>
        <v>8.1899999999999994E-3</v>
      </c>
      <c r="S1414">
        <f t="shared" si="91"/>
        <v>35</v>
      </c>
      <c r="T1414">
        <f>INDEX([1]IDEN_level_ids!$B:$B,MATCH(G1414,[1]IDEN_level_ids!$A:$A,0),1)</f>
        <v>1060</v>
      </c>
      <c r="U1414">
        <f>INDEX([1]IDEN_level_ids!$B:$B,MATCH(H1414,[1]IDEN_level_ids!$A:$A,0),1)</f>
        <v>672</v>
      </c>
    </row>
    <row r="1415" spans="1:21" hidden="1" x14ac:dyDescent="0.25">
      <c r="A1415">
        <v>54679.1999</v>
      </c>
      <c r="B1415">
        <v>1828.8489999999999</v>
      </c>
      <c r="C1415">
        <v>9</v>
      </c>
      <c r="D1415" t="s">
        <v>549</v>
      </c>
      <c r="E1415" t="s">
        <v>66</v>
      </c>
      <c r="F1415">
        <v>1969</v>
      </c>
      <c r="G1415" s="1" t="s">
        <v>279</v>
      </c>
      <c r="H1415" s="1" t="s">
        <v>433</v>
      </c>
      <c r="I1415">
        <v>0.18920000000000001</v>
      </c>
      <c r="J1415">
        <v>54680.039199999999</v>
      </c>
      <c r="K1415">
        <v>2.8070000000000001E-2</v>
      </c>
      <c r="L1415">
        <v>2.147E-2</v>
      </c>
      <c r="M1415">
        <v>0.64200000000000002</v>
      </c>
      <c r="N1415">
        <v>1.0500000000000001E-2</v>
      </c>
      <c r="O1415">
        <v>2.1700000000000001E-2</v>
      </c>
      <c r="P1415" s="3">
        <f t="shared" si="88"/>
        <v>1828.8489989408204</v>
      </c>
      <c r="Q1415" s="3">
        <f t="shared" si="89"/>
        <v>2.8071541046301718E-2</v>
      </c>
      <c r="R1415" s="3">
        <f t="shared" si="90"/>
        <v>2.147E-2</v>
      </c>
      <c r="S1415">
        <f t="shared" si="91"/>
        <v>35</v>
      </c>
      <c r="T1415">
        <f>INDEX([1]IDEN_level_ids!$B:$B,MATCH(G1415,[1]IDEN_level_ids!$A:$A,0),1)</f>
        <v>1129</v>
      </c>
      <c r="U1415">
        <f>INDEX([1]IDEN_level_ids!$B:$B,MATCH(H1415,[1]IDEN_level_ids!$A:$A,0),1)</f>
        <v>918</v>
      </c>
    </row>
    <row r="1416" spans="1:21" hidden="1" x14ac:dyDescent="0.25">
      <c r="A1416">
        <v>54665.328099999999</v>
      </c>
      <c r="B1416">
        <v>1829.3131000000001</v>
      </c>
      <c r="C1416">
        <v>9</v>
      </c>
      <c r="D1416" t="s">
        <v>549</v>
      </c>
      <c r="E1416" t="s">
        <v>45</v>
      </c>
      <c r="F1416">
        <v>1969</v>
      </c>
      <c r="G1416" s="1" t="s">
        <v>492</v>
      </c>
      <c r="H1416" s="1" t="s">
        <v>456</v>
      </c>
      <c r="I1416">
        <v>0.17580000000000001</v>
      </c>
      <c r="J1416">
        <v>54665.908000000003</v>
      </c>
      <c r="K1416">
        <v>1.9400000000000001E-2</v>
      </c>
      <c r="L1416">
        <v>1.6129999999999999E-2</v>
      </c>
      <c r="M1416">
        <v>0.48199999999999998</v>
      </c>
      <c r="N1416">
        <v>5.2600000000000001E-2</v>
      </c>
      <c r="O1416">
        <v>1.703E-2</v>
      </c>
      <c r="P1416" s="3">
        <f t="shared" si="88"/>
        <v>1829.3130851985136</v>
      </c>
      <c r="Q1416" s="3">
        <f t="shared" si="89"/>
        <v>1.9405488666052406E-2</v>
      </c>
      <c r="R1416" s="3">
        <f t="shared" si="90"/>
        <v>1.6129999999999999E-2</v>
      </c>
      <c r="S1416">
        <f t="shared" si="91"/>
        <v>35</v>
      </c>
      <c r="T1416">
        <f>INDEX([1]IDEN_level_ids!$B:$B,MATCH(G1416,[1]IDEN_level_ids!$A:$A,0),1)</f>
        <v>1132</v>
      </c>
      <c r="U1416">
        <f>INDEX([1]IDEN_level_ids!$B:$B,MATCH(H1416,[1]IDEN_level_ids!$A:$A,0),1)</f>
        <v>919</v>
      </c>
    </row>
    <row r="1417" spans="1:21" hidden="1" x14ac:dyDescent="0.25">
      <c r="A1417">
        <v>54652.512699999999</v>
      </c>
      <c r="B1417">
        <v>1829.742</v>
      </c>
      <c r="C1417">
        <v>9</v>
      </c>
      <c r="D1417" t="s">
        <v>549</v>
      </c>
      <c r="E1417" t="s">
        <v>45</v>
      </c>
      <c r="F1417">
        <v>1969</v>
      </c>
      <c r="G1417" s="1" t="s">
        <v>282</v>
      </c>
      <c r="H1417" s="1" t="s">
        <v>433</v>
      </c>
      <c r="I1417">
        <v>0</v>
      </c>
      <c r="J1417">
        <v>54652.8243</v>
      </c>
      <c r="K1417">
        <v>1.043E-2</v>
      </c>
      <c r="L1417">
        <v>1.6140000000000002E-2</v>
      </c>
      <c r="M1417">
        <v>0.48199999999999998</v>
      </c>
      <c r="N1417">
        <v>1.7600000000000001E-2</v>
      </c>
      <c r="O1417">
        <v>1.643E-2</v>
      </c>
      <c r="P1417" s="3">
        <f t="shared" si="88"/>
        <v>1829.7420385577259</v>
      </c>
      <c r="Q1417" s="3">
        <f t="shared" si="89"/>
        <v>1.0432171191951056E-2</v>
      </c>
      <c r="R1417" s="3">
        <f t="shared" si="90"/>
        <v>1.6140000000000002E-2</v>
      </c>
      <c r="S1417">
        <f t="shared" si="91"/>
        <v>35</v>
      </c>
      <c r="T1417">
        <f>INDEX([1]IDEN_level_ids!$B:$B,MATCH(G1417,[1]IDEN_level_ids!$A:$A,0),1)</f>
        <v>1128</v>
      </c>
      <c r="U1417">
        <f>INDEX([1]IDEN_level_ids!$B:$B,MATCH(H1417,[1]IDEN_level_ids!$A:$A,0),1)</f>
        <v>918</v>
      </c>
    </row>
    <row r="1418" spans="1:21" hidden="1" x14ac:dyDescent="0.25">
      <c r="A1418">
        <v>54635.521800000002</v>
      </c>
      <c r="B1418">
        <v>1830.3110999999999</v>
      </c>
      <c r="C1418">
        <v>9</v>
      </c>
      <c r="D1418" t="s">
        <v>549</v>
      </c>
      <c r="F1418">
        <v>1969</v>
      </c>
      <c r="G1418" s="1" t="s">
        <v>118</v>
      </c>
      <c r="H1418" s="1" t="s">
        <v>551</v>
      </c>
      <c r="I1418">
        <v>0</v>
      </c>
      <c r="J1418">
        <v>54635.8727</v>
      </c>
      <c r="K1418">
        <v>1.176E-2</v>
      </c>
      <c r="L1418">
        <v>8.2100000000000003E-3</v>
      </c>
      <c r="M1418">
        <v>0.245</v>
      </c>
      <c r="N1418">
        <v>0.1595</v>
      </c>
      <c r="O1418">
        <v>9.7599999999999996E-3</v>
      </c>
      <c r="P1418" s="3">
        <f t="shared" si="88"/>
        <v>1830.3110633053384</v>
      </c>
      <c r="Q1418" s="3">
        <f t="shared" si="89"/>
        <v>1.175520990818768E-2</v>
      </c>
      <c r="R1418" s="3">
        <f t="shared" si="90"/>
        <v>8.2100000000000003E-3</v>
      </c>
      <c r="S1418">
        <f t="shared" si="91"/>
        <v>35</v>
      </c>
      <c r="T1418">
        <f>INDEX([1]IDEN_level_ids!$B:$B,MATCH(G1418,[1]IDEN_level_ids!$A:$A,0),1)</f>
        <v>1237</v>
      </c>
      <c r="U1418">
        <f>INDEX([1]IDEN_level_ids!$B:$B,MATCH(H1418,[1]IDEN_level_ids!$A:$A,0),1)</f>
        <v>1013</v>
      </c>
    </row>
    <row r="1419" spans="1:21" hidden="1" x14ac:dyDescent="0.25">
      <c r="A1419">
        <v>54627.106599999999</v>
      </c>
      <c r="B1419">
        <v>1830.5930000000001</v>
      </c>
      <c r="C1419">
        <v>9</v>
      </c>
      <c r="D1419" t="s">
        <v>549</v>
      </c>
      <c r="E1419" t="s">
        <v>45</v>
      </c>
      <c r="F1419">
        <v>1969</v>
      </c>
      <c r="G1419" s="1" t="s">
        <v>522</v>
      </c>
      <c r="H1419" s="1" t="s">
        <v>517</v>
      </c>
      <c r="I1419">
        <v>0</v>
      </c>
      <c r="J1419">
        <v>54627.440699999999</v>
      </c>
      <c r="K1419">
        <v>1.12E-2</v>
      </c>
      <c r="L1419">
        <v>1.6150000000000001E-2</v>
      </c>
      <c r="M1419">
        <v>0.48199999999999998</v>
      </c>
      <c r="N1419">
        <v>9.5799999999999996E-2</v>
      </c>
      <c r="O1419">
        <v>1.7860000000000001E-2</v>
      </c>
      <c r="P1419" s="3">
        <f t="shared" si="88"/>
        <v>1830.593019180701</v>
      </c>
      <c r="Q1419" s="3">
        <f t="shared" si="89"/>
        <v>1.1195859075087355E-2</v>
      </c>
      <c r="R1419" s="3">
        <f t="shared" si="90"/>
        <v>1.6150000000000001E-2</v>
      </c>
      <c r="S1419">
        <f t="shared" si="91"/>
        <v>35</v>
      </c>
      <c r="T1419">
        <f>INDEX([1]IDEN_level_ids!$B:$B,MATCH(G1419,[1]IDEN_level_ids!$A:$A,0),1)</f>
        <v>1029</v>
      </c>
      <c r="U1419">
        <f>INDEX([1]IDEN_level_ids!$B:$B,MATCH(H1419,[1]IDEN_level_ids!$A:$A,0),1)</f>
        <v>626</v>
      </c>
    </row>
    <row r="1420" spans="1:21" hidden="1" x14ac:dyDescent="0.25">
      <c r="A1420">
        <v>54623.108</v>
      </c>
      <c r="B1420">
        <v>1830.7270000000001</v>
      </c>
      <c r="C1420">
        <v>9</v>
      </c>
      <c r="D1420" t="s">
        <v>549</v>
      </c>
      <c r="F1420">
        <v>1969</v>
      </c>
      <c r="G1420" s="1" t="s">
        <v>18</v>
      </c>
      <c r="H1420" s="1" t="s">
        <v>520</v>
      </c>
      <c r="I1420">
        <v>0.22689999999999999</v>
      </c>
      <c r="J1420">
        <v>54623.206899999997</v>
      </c>
      <c r="K1420">
        <v>3.31E-3</v>
      </c>
      <c r="L1420">
        <v>8.2100000000000003E-3</v>
      </c>
      <c r="M1420">
        <v>0.245</v>
      </c>
      <c r="N1420">
        <v>2.3E-2</v>
      </c>
      <c r="O1420">
        <v>8.3999999999999995E-3</v>
      </c>
      <c r="P1420" s="3">
        <f t="shared" si="88"/>
        <v>1830.7270249067483</v>
      </c>
      <c r="Q1420" s="3">
        <f t="shared" si="89"/>
        <v>3.3146882622077101E-3</v>
      </c>
      <c r="R1420" s="3">
        <f t="shared" si="90"/>
        <v>8.2100000000000003E-3</v>
      </c>
      <c r="S1420">
        <f t="shared" si="91"/>
        <v>35</v>
      </c>
      <c r="T1420">
        <f>INDEX([1]IDEN_level_ids!$B:$B,MATCH(G1420,[1]IDEN_level_ids!$A:$A,0),1)</f>
        <v>1226</v>
      </c>
      <c r="U1420">
        <f>INDEX([1]IDEN_level_ids!$B:$B,MATCH(H1420,[1]IDEN_level_ids!$A:$A,0),1)</f>
        <v>1002</v>
      </c>
    </row>
    <row r="1421" spans="1:21" hidden="1" x14ac:dyDescent="0.25">
      <c r="A1421">
        <v>54618.784200000002</v>
      </c>
      <c r="B1421">
        <v>1830.8720000000001</v>
      </c>
      <c r="C1421">
        <v>9</v>
      </c>
      <c r="D1421" t="s">
        <v>549</v>
      </c>
      <c r="F1421">
        <v>1969</v>
      </c>
      <c r="G1421" s="1" t="s">
        <v>197</v>
      </c>
      <c r="H1421" s="1" t="s">
        <v>501</v>
      </c>
      <c r="I1421">
        <v>0.1444</v>
      </c>
      <c r="J1421">
        <v>54619.098700000002</v>
      </c>
      <c r="K1421">
        <v>1.0540000000000001E-2</v>
      </c>
      <c r="L1421">
        <v>8.2100000000000003E-3</v>
      </c>
      <c r="M1421">
        <v>0.245</v>
      </c>
      <c r="N1421">
        <v>2.4299999999999999E-2</v>
      </c>
      <c r="O1421">
        <v>8.4200000000000004E-3</v>
      </c>
      <c r="P1421" s="3">
        <f t="shared" si="88"/>
        <v>1830.8719511922054</v>
      </c>
      <c r="Q1421" s="3">
        <f t="shared" si="89"/>
        <v>1.0542268956442058E-2</v>
      </c>
      <c r="R1421" s="3">
        <f t="shared" si="90"/>
        <v>8.2100000000000003E-3</v>
      </c>
      <c r="S1421">
        <f t="shared" si="91"/>
        <v>35</v>
      </c>
      <c r="T1421">
        <f>INDEX([1]IDEN_level_ids!$B:$B,MATCH(G1421,[1]IDEN_level_ids!$A:$A,0),1)</f>
        <v>1182</v>
      </c>
      <c r="U1421">
        <f>INDEX([1]IDEN_level_ids!$B:$B,MATCH(H1421,[1]IDEN_level_ids!$A:$A,0),1)</f>
        <v>969</v>
      </c>
    </row>
    <row r="1422" spans="1:21" hidden="1" x14ac:dyDescent="0.25">
      <c r="A1422">
        <v>54575.292999999998</v>
      </c>
      <c r="B1422">
        <v>1832.3309999999999</v>
      </c>
      <c r="C1422">
        <v>9</v>
      </c>
      <c r="D1422" t="s">
        <v>549</v>
      </c>
      <c r="F1422">
        <v>1969</v>
      </c>
      <c r="G1422" s="1" t="s">
        <v>285</v>
      </c>
      <c r="H1422" s="1" t="s">
        <v>389</v>
      </c>
      <c r="I1422">
        <v>0.23219999999999999</v>
      </c>
      <c r="J1422">
        <v>54575.503700000001</v>
      </c>
      <c r="K1422">
        <v>7.0699999999999999E-3</v>
      </c>
      <c r="L1422">
        <v>8.2299999999999995E-3</v>
      </c>
      <c r="M1422">
        <v>0.245</v>
      </c>
      <c r="N1422">
        <v>2.2700000000000001E-2</v>
      </c>
      <c r="O1422">
        <v>8.4200000000000004E-3</v>
      </c>
      <c r="P1422" s="3">
        <f t="shared" si="88"/>
        <v>1832.3309780489865</v>
      </c>
      <c r="Q1422" s="3">
        <f t="shared" si="89"/>
        <v>7.0740920543812535E-3</v>
      </c>
      <c r="R1422" s="3">
        <f t="shared" si="90"/>
        <v>8.2299999999999995E-3</v>
      </c>
      <c r="S1422">
        <f t="shared" si="91"/>
        <v>35</v>
      </c>
      <c r="T1422">
        <f>INDEX([1]IDEN_level_ids!$B:$B,MATCH(G1422,[1]IDEN_level_ids!$A:$A,0),1)</f>
        <v>1150</v>
      </c>
      <c r="U1422">
        <f>INDEX([1]IDEN_level_ids!$B:$B,MATCH(H1422,[1]IDEN_level_ids!$A:$A,0),1)</f>
        <v>942</v>
      </c>
    </row>
    <row r="1423" spans="1:21" hidden="1" x14ac:dyDescent="0.25">
      <c r="A1423">
        <v>54551.802199999998</v>
      </c>
      <c r="B1423">
        <v>1833.12</v>
      </c>
      <c r="C1423">
        <v>9</v>
      </c>
      <c r="D1423" t="s">
        <v>549</v>
      </c>
      <c r="F1423">
        <v>1969</v>
      </c>
      <c r="G1423" s="1" t="s">
        <v>27</v>
      </c>
      <c r="H1423" s="1" t="s">
        <v>552</v>
      </c>
      <c r="I1423">
        <v>0</v>
      </c>
      <c r="J1423">
        <v>54552.175300000003</v>
      </c>
      <c r="K1423">
        <v>1.2540000000000001E-2</v>
      </c>
      <c r="L1423">
        <v>8.2299999999999995E-3</v>
      </c>
      <c r="M1423">
        <v>0.245</v>
      </c>
      <c r="N1423">
        <v>2.12E-2</v>
      </c>
      <c r="O1423">
        <v>8.4100000000000008E-3</v>
      </c>
      <c r="P1423" s="3">
        <f t="shared" si="88"/>
        <v>1833.1200064367442</v>
      </c>
      <c r="Q1423" s="3">
        <f t="shared" si="89"/>
        <v>1.253730159510269E-2</v>
      </c>
      <c r="R1423" s="3">
        <f t="shared" si="90"/>
        <v>8.2299999999999995E-3</v>
      </c>
      <c r="S1423">
        <f t="shared" si="91"/>
        <v>35</v>
      </c>
      <c r="T1423">
        <f>INDEX([1]IDEN_level_ids!$B:$B,MATCH(G1423,[1]IDEN_level_ids!$A:$A,0),1)</f>
        <v>1242</v>
      </c>
      <c r="U1423">
        <f>INDEX([1]IDEN_level_ids!$B:$B,MATCH(H1423,[1]IDEN_level_ids!$A:$A,0),1)</f>
        <v>1040</v>
      </c>
    </row>
    <row r="1424" spans="1:21" hidden="1" x14ac:dyDescent="0.25">
      <c r="A1424">
        <v>54548.228999999999</v>
      </c>
      <c r="B1424">
        <v>1833.2401</v>
      </c>
      <c r="C1424">
        <v>9</v>
      </c>
      <c r="D1424" t="s">
        <v>549</v>
      </c>
      <c r="F1424">
        <v>1969</v>
      </c>
      <c r="G1424" s="1" t="s">
        <v>22</v>
      </c>
      <c r="H1424" s="1" t="s">
        <v>481</v>
      </c>
      <c r="I1424">
        <v>0</v>
      </c>
      <c r="J1424">
        <v>54548.555399999997</v>
      </c>
      <c r="K1424">
        <v>1.0970000000000001E-2</v>
      </c>
      <c r="L1424">
        <v>8.2299999999999995E-3</v>
      </c>
      <c r="M1424">
        <v>0.245</v>
      </c>
      <c r="N1424">
        <v>2.1399999999999999E-2</v>
      </c>
      <c r="O1424">
        <v>8.4100000000000008E-3</v>
      </c>
      <c r="P1424" s="3">
        <f t="shared" si="88"/>
        <v>1833.2400855763806</v>
      </c>
      <c r="Q1424" s="3">
        <f t="shared" si="89"/>
        <v>1.0969485067789719E-2</v>
      </c>
      <c r="R1424" s="3">
        <f t="shared" si="90"/>
        <v>8.2299999999999995E-3</v>
      </c>
      <c r="S1424">
        <f t="shared" si="91"/>
        <v>35</v>
      </c>
      <c r="T1424">
        <f>INDEX([1]IDEN_level_ids!$B:$B,MATCH(G1424,[1]IDEN_level_ids!$A:$A,0),1)</f>
        <v>1236</v>
      </c>
      <c r="U1424">
        <f>INDEX([1]IDEN_level_ids!$B:$B,MATCH(H1424,[1]IDEN_level_ids!$A:$A,0),1)</f>
        <v>1016</v>
      </c>
    </row>
    <row r="1425" spans="1:21" hidden="1" x14ac:dyDescent="0.25">
      <c r="A1425">
        <v>54489.408900000002</v>
      </c>
      <c r="B1425">
        <v>1835.2190000000001</v>
      </c>
      <c r="C1425">
        <v>9</v>
      </c>
      <c r="D1425" t="s">
        <v>549</v>
      </c>
      <c r="F1425">
        <v>1969</v>
      </c>
      <c r="G1425" s="1" t="s">
        <v>526</v>
      </c>
      <c r="H1425" s="1" t="s">
        <v>404</v>
      </c>
      <c r="I1425">
        <v>0</v>
      </c>
      <c r="J1425">
        <v>54489.469700000001</v>
      </c>
      <c r="K1425">
        <v>2.0500000000000002E-3</v>
      </c>
      <c r="L1425">
        <v>8.2500000000000004E-3</v>
      </c>
      <c r="M1425">
        <v>0.245</v>
      </c>
      <c r="N1425">
        <v>6.2399999999999997E-2</v>
      </c>
      <c r="O1425">
        <v>8.8000000000000005E-3</v>
      </c>
      <c r="P1425" s="3">
        <f t="shared" si="88"/>
        <v>1835.2190273071581</v>
      </c>
      <c r="Q1425" s="3">
        <f t="shared" si="89"/>
        <v>2.0477592731822369E-3</v>
      </c>
      <c r="R1425" s="3">
        <f t="shared" si="90"/>
        <v>8.2500000000000004E-3</v>
      </c>
      <c r="S1425">
        <f t="shared" si="91"/>
        <v>35</v>
      </c>
      <c r="T1425">
        <f>INDEX([1]IDEN_level_ids!$B:$B,MATCH(G1425,[1]IDEN_level_ids!$A:$A,0),1)</f>
        <v>989</v>
      </c>
      <c r="U1425">
        <f>INDEX([1]IDEN_level_ids!$B:$B,MATCH(H1425,[1]IDEN_level_ids!$A:$A,0),1)</f>
        <v>525</v>
      </c>
    </row>
    <row r="1426" spans="1:21" hidden="1" x14ac:dyDescent="0.25">
      <c r="A1426">
        <v>54475.246700000003</v>
      </c>
      <c r="B1426">
        <v>1835.6960999999999</v>
      </c>
      <c r="C1426">
        <v>9</v>
      </c>
      <c r="D1426" t="s">
        <v>549</v>
      </c>
      <c r="F1426">
        <v>1969</v>
      </c>
      <c r="G1426" s="1" t="s">
        <v>451</v>
      </c>
      <c r="H1426" s="1" t="s">
        <v>532</v>
      </c>
      <c r="I1426">
        <v>-0.28199999999999997</v>
      </c>
      <c r="J1426">
        <v>54475.626400000001</v>
      </c>
      <c r="K1426">
        <v>1.2800000000000001E-2</v>
      </c>
      <c r="L1426">
        <v>8.26E-3</v>
      </c>
      <c r="M1426">
        <v>0.245</v>
      </c>
      <c r="N1426">
        <v>0.17180000000000001</v>
      </c>
      <c r="O1426">
        <v>9.9699999999999997E-3</v>
      </c>
      <c r="P1426" s="3">
        <f t="shared" si="88"/>
        <v>1835.6961382976169</v>
      </c>
      <c r="Q1426" s="3">
        <f t="shared" si="89"/>
        <v>1.2794966662568186E-2</v>
      </c>
      <c r="R1426" s="3">
        <f t="shared" si="90"/>
        <v>8.26E-3</v>
      </c>
      <c r="S1426">
        <f t="shared" si="91"/>
        <v>35</v>
      </c>
      <c r="T1426">
        <f>INDEX([1]IDEN_level_ids!$B:$B,MATCH(G1426,[1]IDEN_level_ids!$A:$A,0),1)</f>
        <v>1066</v>
      </c>
      <c r="U1426">
        <f>INDEX([1]IDEN_level_ids!$B:$B,MATCH(H1426,[1]IDEN_level_ids!$A:$A,0),1)</f>
        <v>706</v>
      </c>
    </row>
    <row r="1427" spans="1:21" hidden="1" x14ac:dyDescent="0.25">
      <c r="A1427">
        <v>54452.264999999999</v>
      </c>
      <c r="B1427">
        <v>1836.4709</v>
      </c>
      <c r="C1427">
        <v>9</v>
      </c>
      <c r="D1427" t="s">
        <v>549</v>
      </c>
      <c r="F1427">
        <v>1969</v>
      </c>
      <c r="G1427" s="1" t="s">
        <v>55</v>
      </c>
      <c r="H1427" s="1" t="s">
        <v>544</v>
      </c>
      <c r="I1427">
        <v>0</v>
      </c>
      <c r="J1427">
        <v>54452.566800000001</v>
      </c>
      <c r="K1427">
        <v>1.018E-2</v>
      </c>
      <c r="L1427">
        <v>8.26E-3</v>
      </c>
      <c r="M1427">
        <v>0.245</v>
      </c>
      <c r="N1427">
        <v>2.0500000000000001E-2</v>
      </c>
      <c r="O1427">
        <v>8.4399999999999996E-3</v>
      </c>
      <c r="P1427" s="3">
        <f t="shared" si="88"/>
        <v>1836.4708979507097</v>
      </c>
      <c r="Q1427" s="3">
        <f t="shared" si="89"/>
        <v>1.0178526919389697E-2</v>
      </c>
      <c r="R1427" s="3">
        <f t="shared" si="90"/>
        <v>8.26E-3</v>
      </c>
      <c r="S1427">
        <f t="shared" si="91"/>
        <v>35</v>
      </c>
      <c r="T1427">
        <f>INDEX([1]IDEN_level_ids!$B:$B,MATCH(G1427,[1]IDEN_level_ids!$A:$A,0),1)</f>
        <v>1233</v>
      </c>
      <c r="U1427">
        <f>INDEX([1]IDEN_level_ids!$B:$B,MATCH(H1427,[1]IDEN_level_ids!$A:$A,0),1)</f>
        <v>1011</v>
      </c>
    </row>
    <row r="1428" spans="1:21" hidden="1" x14ac:dyDescent="0.25">
      <c r="A1428">
        <v>54447.399799999999</v>
      </c>
      <c r="B1428">
        <v>1836.635</v>
      </c>
      <c r="C1428">
        <v>9</v>
      </c>
      <c r="D1428" t="s">
        <v>549</v>
      </c>
      <c r="F1428">
        <v>1969</v>
      </c>
      <c r="G1428" s="1" t="s">
        <v>40</v>
      </c>
      <c r="H1428" s="1" t="s">
        <v>553</v>
      </c>
      <c r="I1428">
        <v>0</v>
      </c>
      <c r="J1428">
        <v>54447.740599999997</v>
      </c>
      <c r="K1428">
        <v>1.15E-2</v>
      </c>
      <c r="L1428">
        <v>8.26E-3</v>
      </c>
      <c r="M1428">
        <v>0.245</v>
      </c>
      <c r="N1428">
        <v>3.0599999999999999E-2</v>
      </c>
      <c r="O1428">
        <v>8.5199999999999998E-3</v>
      </c>
      <c r="P1428" s="3">
        <f t="shared" si="88"/>
        <v>1836.6349975816477</v>
      </c>
      <c r="Q1428" s="3">
        <f t="shared" si="89"/>
        <v>1.1495889458046804E-2</v>
      </c>
      <c r="R1428" s="3">
        <f t="shared" si="90"/>
        <v>8.26E-3</v>
      </c>
      <c r="S1428">
        <f t="shared" si="91"/>
        <v>35</v>
      </c>
      <c r="T1428">
        <f>INDEX([1]IDEN_level_ids!$B:$B,MATCH(G1428,[1]IDEN_level_ids!$A:$A,0),1)</f>
        <v>1199</v>
      </c>
      <c r="U1428">
        <f>INDEX([1]IDEN_level_ids!$B:$B,MATCH(H1428,[1]IDEN_level_ids!$A:$A,0),1)</f>
        <v>976</v>
      </c>
    </row>
    <row r="1429" spans="1:21" hidden="1" x14ac:dyDescent="0.25">
      <c r="A1429">
        <v>54445.322699999997</v>
      </c>
      <c r="B1429">
        <v>1836.7050999999999</v>
      </c>
      <c r="C1429">
        <v>9</v>
      </c>
      <c r="D1429" t="s">
        <v>549</v>
      </c>
      <c r="F1429">
        <v>1969</v>
      </c>
      <c r="G1429" s="1" t="s">
        <v>243</v>
      </c>
      <c r="H1429" s="1" t="s">
        <v>542</v>
      </c>
      <c r="I1429">
        <v>0</v>
      </c>
      <c r="J1429">
        <v>54445.715799999998</v>
      </c>
      <c r="K1429">
        <v>1.3259999999999999E-2</v>
      </c>
      <c r="L1429">
        <v>8.26E-3</v>
      </c>
      <c r="M1429">
        <v>0.245</v>
      </c>
      <c r="N1429">
        <v>3.6999999999999998E-2</v>
      </c>
      <c r="O1429">
        <v>8.5800000000000008E-3</v>
      </c>
      <c r="P1429" s="3">
        <f t="shared" si="88"/>
        <v>1836.7050655758167</v>
      </c>
      <c r="Q1429" s="3">
        <f t="shared" si="89"/>
        <v>1.3261075746186179E-2</v>
      </c>
      <c r="R1429" s="3">
        <f t="shared" si="90"/>
        <v>8.26E-3</v>
      </c>
      <c r="S1429">
        <f t="shared" si="91"/>
        <v>35</v>
      </c>
      <c r="T1429">
        <f>INDEX([1]IDEN_level_ids!$B:$B,MATCH(G1429,[1]IDEN_level_ids!$A:$A,0),1)</f>
        <v>1205</v>
      </c>
      <c r="U1429">
        <f>INDEX([1]IDEN_level_ids!$B:$B,MATCH(H1429,[1]IDEN_level_ids!$A:$A,0),1)</f>
        <v>981</v>
      </c>
    </row>
    <row r="1430" spans="1:21" hidden="1" x14ac:dyDescent="0.25">
      <c r="A1430">
        <v>54434.389499999997</v>
      </c>
      <c r="B1430">
        <v>1837.0740000000001</v>
      </c>
      <c r="C1430">
        <v>9</v>
      </c>
      <c r="D1430" t="s">
        <v>549</v>
      </c>
      <c r="F1430">
        <v>1969</v>
      </c>
      <c r="G1430" s="1" t="s">
        <v>431</v>
      </c>
      <c r="H1430" s="1" t="s">
        <v>547</v>
      </c>
      <c r="I1430">
        <v>-0.21</v>
      </c>
      <c r="J1430">
        <v>54434.480799999998</v>
      </c>
      <c r="K1430">
        <v>3.0799999999999998E-3</v>
      </c>
      <c r="L1430">
        <v>8.2699999999999996E-3</v>
      </c>
      <c r="M1430">
        <v>0.245</v>
      </c>
      <c r="N1430">
        <v>0.33550000000000002</v>
      </c>
      <c r="O1430">
        <v>1.244E-2</v>
      </c>
      <c r="P1430" s="3">
        <f t="shared" si="88"/>
        <v>1837.0739695721213</v>
      </c>
      <c r="Q1430" s="3">
        <f t="shared" si="89"/>
        <v>3.0812244547178125E-3</v>
      </c>
      <c r="R1430" s="3">
        <f t="shared" si="90"/>
        <v>8.2699999999999996E-3</v>
      </c>
      <c r="S1430">
        <f t="shared" si="91"/>
        <v>35</v>
      </c>
      <c r="T1430">
        <f>INDEX([1]IDEN_level_ids!$B:$B,MATCH(G1430,[1]IDEN_level_ids!$A:$A,0),1)</f>
        <v>1062</v>
      </c>
      <c r="U1430">
        <f>INDEX([1]IDEN_level_ids!$B:$B,MATCH(H1430,[1]IDEN_level_ids!$A:$A,0),1)</f>
        <v>690</v>
      </c>
    </row>
    <row r="1431" spans="1:21" hidden="1" x14ac:dyDescent="0.25">
      <c r="A1431">
        <v>54407.434699999998</v>
      </c>
      <c r="B1431">
        <v>1837.9840999999999</v>
      </c>
      <c r="C1431">
        <v>9</v>
      </c>
      <c r="D1431" t="s">
        <v>549</v>
      </c>
      <c r="F1431">
        <v>1969</v>
      </c>
      <c r="G1431" s="1" t="s">
        <v>477</v>
      </c>
      <c r="H1431" s="1" t="s">
        <v>530</v>
      </c>
      <c r="I1431">
        <v>-0.2382</v>
      </c>
      <c r="J1431">
        <v>54407.749000000003</v>
      </c>
      <c r="K1431">
        <v>1.0619999999999999E-2</v>
      </c>
      <c r="L1431">
        <v>8.2799999999999992E-3</v>
      </c>
      <c r="M1431">
        <v>0.245</v>
      </c>
      <c r="N1431">
        <v>0.25659999999999999</v>
      </c>
      <c r="O1431">
        <v>1.1129999999999999E-2</v>
      </c>
      <c r="P1431" s="3">
        <f t="shared" si="88"/>
        <v>1837.9841018308477</v>
      </c>
      <c r="Q1431" s="3">
        <f t="shared" si="89"/>
        <v>1.0617575875357943E-2</v>
      </c>
      <c r="R1431" s="3">
        <f t="shared" si="90"/>
        <v>8.2799999999999992E-3</v>
      </c>
      <c r="S1431">
        <f t="shared" si="91"/>
        <v>35</v>
      </c>
      <c r="T1431">
        <f>INDEX([1]IDEN_level_ids!$B:$B,MATCH(G1431,[1]IDEN_level_ids!$A:$A,0),1)</f>
        <v>1045</v>
      </c>
      <c r="U1431">
        <f>INDEX([1]IDEN_level_ids!$B:$B,MATCH(H1431,[1]IDEN_level_ids!$A:$A,0),1)</f>
        <v>649</v>
      </c>
    </row>
    <row r="1432" spans="1:21" hidden="1" x14ac:dyDescent="0.25">
      <c r="A1432">
        <v>54401.1034</v>
      </c>
      <c r="B1432">
        <v>1838.1980000000001</v>
      </c>
      <c r="C1432">
        <v>9</v>
      </c>
      <c r="D1432" t="s">
        <v>549</v>
      </c>
      <c r="F1432">
        <v>1969</v>
      </c>
      <c r="G1432" s="1" t="s">
        <v>62</v>
      </c>
      <c r="H1432" s="1" t="s">
        <v>554</v>
      </c>
      <c r="I1432">
        <v>0</v>
      </c>
      <c r="J1432">
        <v>54401.258099999999</v>
      </c>
      <c r="K1432">
        <v>5.2300000000000003E-3</v>
      </c>
      <c r="L1432">
        <v>8.2799999999999992E-3</v>
      </c>
      <c r="M1432">
        <v>0.245</v>
      </c>
      <c r="N1432">
        <v>2.2700000000000001E-2</v>
      </c>
      <c r="O1432">
        <v>8.4700000000000001E-3</v>
      </c>
      <c r="P1432" s="3">
        <f t="shared" si="88"/>
        <v>1838.1980097852206</v>
      </c>
      <c r="Q1432" s="3">
        <f t="shared" si="89"/>
        <v>5.2272547004577063E-3</v>
      </c>
      <c r="R1432" s="3">
        <f t="shared" si="90"/>
        <v>8.2799999999999992E-3</v>
      </c>
      <c r="S1432">
        <f t="shared" si="91"/>
        <v>35</v>
      </c>
      <c r="T1432">
        <f>INDEX([1]IDEN_level_ids!$B:$B,MATCH(G1432,[1]IDEN_level_ids!$A:$A,0),1)</f>
        <v>1203</v>
      </c>
      <c r="U1432">
        <f>INDEX([1]IDEN_level_ids!$B:$B,MATCH(H1432,[1]IDEN_level_ids!$A:$A,0),1)</f>
        <v>982</v>
      </c>
    </row>
    <row r="1433" spans="1:21" hidden="1" x14ac:dyDescent="0.25">
      <c r="A1433">
        <v>54393.471799999999</v>
      </c>
      <c r="B1433">
        <v>1838.4558999999999</v>
      </c>
      <c r="C1433">
        <v>9</v>
      </c>
      <c r="D1433" t="s">
        <v>549</v>
      </c>
      <c r="F1433">
        <v>1969</v>
      </c>
      <c r="G1433" s="1" t="s">
        <v>27</v>
      </c>
      <c r="H1433" s="1" t="s">
        <v>476</v>
      </c>
      <c r="I1433">
        <v>0</v>
      </c>
      <c r="J1433">
        <v>54393.693099999997</v>
      </c>
      <c r="K1433">
        <v>7.4799999999999997E-3</v>
      </c>
      <c r="L1433">
        <v>8.2799999999999992E-3</v>
      </c>
      <c r="M1433">
        <v>0.245</v>
      </c>
      <c r="N1433">
        <v>1.95E-2</v>
      </c>
      <c r="O1433">
        <v>8.4399999999999996E-3</v>
      </c>
      <c r="P1433" s="3">
        <f t="shared" si="88"/>
        <v>1838.4559155865466</v>
      </c>
      <c r="Q1433" s="3">
        <f t="shared" si="89"/>
        <v>7.4797328684326203E-3</v>
      </c>
      <c r="R1433" s="3">
        <f t="shared" si="90"/>
        <v>8.2799999999999992E-3</v>
      </c>
      <c r="S1433">
        <f t="shared" si="91"/>
        <v>35</v>
      </c>
      <c r="T1433">
        <f>INDEX([1]IDEN_level_ids!$B:$B,MATCH(G1433,[1]IDEN_level_ids!$A:$A,0),1)</f>
        <v>1242</v>
      </c>
      <c r="U1433">
        <f>INDEX([1]IDEN_level_ids!$B:$B,MATCH(H1433,[1]IDEN_level_ids!$A:$A,0),1)</f>
        <v>1037</v>
      </c>
    </row>
    <row r="1434" spans="1:21" hidden="1" x14ac:dyDescent="0.25">
      <c r="A1434">
        <v>54319.665500000003</v>
      </c>
      <c r="B1434">
        <v>1840.9539</v>
      </c>
      <c r="C1434">
        <v>9</v>
      </c>
      <c r="D1434" t="s">
        <v>549</v>
      </c>
      <c r="E1434" t="s">
        <v>52</v>
      </c>
      <c r="F1434">
        <v>1969</v>
      </c>
      <c r="G1434" s="1" t="s">
        <v>38</v>
      </c>
      <c r="H1434" s="1" t="s">
        <v>513</v>
      </c>
      <c r="I1434">
        <v>0.19059999999999999</v>
      </c>
      <c r="J1434">
        <v>54319.868300000002</v>
      </c>
      <c r="K1434">
        <v>6.8700000000000002E-3</v>
      </c>
      <c r="L1434">
        <v>9.3600000000000003E-3</v>
      </c>
      <c r="M1434">
        <v>0.27600000000000002</v>
      </c>
      <c r="N1434">
        <v>1.6199999999999999E-2</v>
      </c>
      <c r="O1434">
        <v>9.5099999999999994E-3</v>
      </c>
      <c r="P1434" s="3">
        <f t="shared" si="88"/>
        <v>1840.9538990993969</v>
      </c>
      <c r="Q1434" s="3">
        <f t="shared" si="89"/>
        <v>6.8730919720110251E-3</v>
      </c>
      <c r="R1434" s="3">
        <f t="shared" si="90"/>
        <v>9.3600000000000003E-3</v>
      </c>
      <c r="S1434">
        <f t="shared" si="91"/>
        <v>35</v>
      </c>
      <c r="T1434">
        <f>INDEX([1]IDEN_level_ids!$B:$B,MATCH(G1434,[1]IDEN_level_ids!$A:$A,0),1)</f>
        <v>1201</v>
      </c>
      <c r="U1434">
        <f>INDEX([1]IDEN_level_ids!$B:$B,MATCH(H1434,[1]IDEN_level_ids!$A:$A,0),1)</f>
        <v>979</v>
      </c>
    </row>
    <row r="1435" spans="1:21" hidden="1" x14ac:dyDescent="0.25">
      <c r="A1435">
        <v>54303.140500000001</v>
      </c>
      <c r="B1435">
        <v>1841.5141000000001</v>
      </c>
      <c r="C1435">
        <v>9</v>
      </c>
      <c r="D1435" t="s">
        <v>549</v>
      </c>
      <c r="F1435">
        <v>1969</v>
      </c>
      <c r="G1435" s="1" t="s">
        <v>182</v>
      </c>
      <c r="H1435" s="1" t="s">
        <v>531</v>
      </c>
      <c r="I1435">
        <v>0</v>
      </c>
      <c r="J1435">
        <v>54303.458599999998</v>
      </c>
      <c r="K1435">
        <v>1.0789999999999999E-2</v>
      </c>
      <c r="L1435">
        <v>8.3099999999999997E-3</v>
      </c>
      <c r="M1435">
        <v>0.245</v>
      </c>
      <c r="N1435">
        <v>0.1376</v>
      </c>
      <c r="O1435">
        <v>9.6299999999999997E-3</v>
      </c>
      <c r="P1435" s="3">
        <f t="shared" si="88"/>
        <v>1841.5141201640079</v>
      </c>
      <c r="Q1435" s="3">
        <f t="shared" si="89"/>
        <v>1.0787262114035912E-2</v>
      </c>
      <c r="R1435" s="3">
        <f t="shared" si="90"/>
        <v>8.3099999999999997E-3</v>
      </c>
      <c r="S1435">
        <f t="shared" si="91"/>
        <v>35</v>
      </c>
      <c r="T1435">
        <f>INDEX([1]IDEN_level_ids!$B:$B,MATCH(G1435,[1]IDEN_level_ids!$A:$A,0),1)</f>
        <v>1210</v>
      </c>
      <c r="U1435">
        <f>INDEX([1]IDEN_level_ids!$B:$B,MATCH(H1435,[1]IDEN_level_ids!$A:$A,0),1)</f>
        <v>990</v>
      </c>
    </row>
    <row r="1436" spans="1:21" hidden="1" x14ac:dyDescent="0.25">
      <c r="A1436">
        <v>54296.804400000001</v>
      </c>
      <c r="B1436">
        <v>1841.729</v>
      </c>
      <c r="C1436">
        <v>9</v>
      </c>
      <c r="D1436" t="s">
        <v>549</v>
      </c>
      <c r="F1436">
        <v>1969</v>
      </c>
      <c r="G1436" s="1" t="s">
        <v>49</v>
      </c>
      <c r="H1436" s="1" t="s">
        <v>555</v>
      </c>
      <c r="I1436">
        <v>0</v>
      </c>
      <c r="J1436">
        <v>54297.2382</v>
      </c>
      <c r="K1436">
        <v>1.4710000000000001E-2</v>
      </c>
      <c r="L1436">
        <v>8.3099999999999997E-3</v>
      </c>
      <c r="M1436">
        <v>0.245</v>
      </c>
      <c r="N1436">
        <v>2.1499999999999998E-2</v>
      </c>
      <c r="O1436">
        <v>8.4899999999999993E-3</v>
      </c>
      <c r="P1436" s="3">
        <f t="shared" si="88"/>
        <v>1841.729013429748</v>
      </c>
      <c r="Q1436" s="3">
        <f t="shared" si="89"/>
        <v>1.4714229904029708E-2</v>
      </c>
      <c r="R1436" s="3">
        <f t="shared" si="90"/>
        <v>8.3099999999999997E-3</v>
      </c>
      <c r="S1436">
        <f t="shared" si="91"/>
        <v>35</v>
      </c>
      <c r="T1436">
        <f>INDEX([1]IDEN_level_ids!$B:$B,MATCH(G1436,[1]IDEN_level_ids!$A:$A,0),1)</f>
        <v>1214</v>
      </c>
      <c r="U1436">
        <f>INDEX([1]IDEN_level_ids!$B:$B,MATCH(H1436,[1]IDEN_level_ids!$A:$A,0),1)</f>
        <v>995</v>
      </c>
    </row>
    <row r="1437" spans="1:21" hidden="1" x14ac:dyDescent="0.25">
      <c r="A1437">
        <v>54290.997799999997</v>
      </c>
      <c r="B1437">
        <v>1841.9259999999999</v>
      </c>
      <c r="C1437">
        <v>9</v>
      </c>
      <c r="D1437" t="s">
        <v>549</v>
      </c>
      <c r="F1437">
        <v>1969</v>
      </c>
      <c r="G1437" s="1" t="s">
        <v>282</v>
      </c>
      <c r="H1437" s="1" t="s">
        <v>435</v>
      </c>
      <c r="I1437">
        <v>0</v>
      </c>
      <c r="J1437">
        <v>54291.2785</v>
      </c>
      <c r="K1437">
        <v>9.5200000000000007E-3</v>
      </c>
      <c r="L1437">
        <v>8.3099999999999997E-3</v>
      </c>
      <c r="M1437">
        <v>0.245</v>
      </c>
      <c r="N1437">
        <v>0.1532</v>
      </c>
      <c r="O1437">
        <v>9.8200000000000006E-3</v>
      </c>
      <c r="P1437" s="3">
        <f t="shared" si="88"/>
        <v>1841.9259923787956</v>
      </c>
      <c r="Q1437" s="3">
        <f t="shared" si="89"/>
        <v>9.5232354137806396E-3</v>
      </c>
      <c r="R1437" s="3">
        <f t="shared" si="90"/>
        <v>8.3099999999999997E-3</v>
      </c>
      <c r="S1437">
        <f t="shared" si="91"/>
        <v>35</v>
      </c>
      <c r="T1437">
        <f>INDEX([1]IDEN_level_ids!$B:$B,MATCH(G1437,[1]IDEN_level_ids!$A:$A,0),1)</f>
        <v>1128</v>
      </c>
      <c r="U1437">
        <f>INDEX([1]IDEN_level_ids!$B:$B,MATCH(H1437,[1]IDEN_level_ids!$A:$A,0),1)</f>
        <v>917</v>
      </c>
    </row>
    <row r="1438" spans="1:21" hidden="1" x14ac:dyDescent="0.25">
      <c r="A1438">
        <v>54278.064200000001</v>
      </c>
      <c r="B1438">
        <v>1842.3649</v>
      </c>
      <c r="C1438">
        <v>9</v>
      </c>
      <c r="D1438" t="s">
        <v>549</v>
      </c>
      <c r="F1438">
        <v>1969</v>
      </c>
      <c r="G1438" s="1" t="s">
        <v>22</v>
      </c>
      <c r="H1438" s="1" t="s">
        <v>461</v>
      </c>
      <c r="I1438">
        <v>0.1797</v>
      </c>
      <c r="J1438">
        <v>54278.225899999998</v>
      </c>
      <c r="K1438">
        <v>5.4900000000000001E-3</v>
      </c>
      <c r="L1438">
        <v>8.3199999999999993E-3</v>
      </c>
      <c r="M1438">
        <v>0.245</v>
      </c>
      <c r="N1438">
        <v>1.7100000000000001E-2</v>
      </c>
      <c r="O1438">
        <v>8.4600000000000005E-3</v>
      </c>
      <c r="P1438" s="3">
        <f t="shared" si="88"/>
        <v>1842.3648940670953</v>
      </c>
      <c r="Q1438" s="3">
        <f t="shared" si="89"/>
        <v>5.488580336304949E-3</v>
      </c>
      <c r="R1438" s="3">
        <f t="shared" si="90"/>
        <v>8.3199999999999993E-3</v>
      </c>
      <c r="S1438">
        <f t="shared" si="91"/>
        <v>35</v>
      </c>
      <c r="T1438">
        <f>INDEX([1]IDEN_level_ids!$B:$B,MATCH(G1438,[1]IDEN_level_ids!$A:$A,0),1)</f>
        <v>1236</v>
      </c>
      <c r="U1438">
        <f>INDEX([1]IDEN_level_ids!$B:$B,MATCH(H1438,[1]IDEN_level_ids!$A:$A,0),1)</f>
        <v>1017</v>
      </c>
    </row>
    <row r="1439" spans="1:21" hidden="1" x14ac:dyDescent="0.25">
      <c r="A1439">
        <v>54232.583299999998</v>
      </c>
      <c r="B1439">
        <v>1843.91</v>
      </c>
      <c r="C1439">
        <v>9</v>
      </c>
      <c r="D1439" t="s">
        <v>549</v>
      </c>
      <c r="F1439">
        <v>1969</v>
      </c>
      <c r="G1439" s="1" t="s">
        <v>94</v>
      </c>
      <c r="H1439" s="1" t="s">
        <v>537</v>
      </c>
      <c r="I1439">
        <v>0</v>
      </c>
      <c r="J1439">
        <v>54232.842900000003</v>
      </c>
      <c r="K1439">
        <v>8.8299999999999993E-3</v>
      </c>
      <c r="L1439">
        <v>8.3300000000000006E-3</v>
      </c>
      <c r="M1439">
        <v>0.245</v>
      </c>
      <c r="N1439">
        <v>2.3400000000000001E-2</v>
      </c>
      <c r="O1439">
        <v>8.5299999999999994E-3</v>
      </c>
      <c r="P1439" s="3">
        <f t="shared" si="88"/>
        <v>1843.9099507177634</v>
      </c>
      <c r="Q1439" s="3">
        <f t="shared" si="89"/>
        <v>8.8263678910607268E-3</v>
      </c>
      <c r="R1439" s="3">
        <f t="shared" si="90"/>
        <v>8.3300000000000006E-3</v>
      </c>
      <c r="S1439">
        <f t="shared" si="91"/>
        <v>35</v>
      </c>
      <c r="T1439">
        <f>INDEX([1]IDEN_level_ids!$B:$B,MATCH(G1439,[1]IDEN_level_ids!$A:$A,0),1)</f>
        <v>1207</v>
      </c>
      <c r="U1439">
        <f>INDEX([1]IDEN_level_ids!$B:$B,MATCH(H1439,[1]IDEN_level_ids!$A:$A,0),1)</f>
        <v>991</v>
      </c>
    </row>
    <row r="1440" spans="1:21" hidden="1" x14ac:dyDescent="0.25">
      <c r="A1440">
        <v>54146.654799999997</v>
      </c>
      <c r="B1440">
        <v>1846.8362</v>
      </c>
      <c r="C1440">
        <v>9</v>
      </c>
      <c r="D1440" t="s">
        <v>549</v>
      </c>
      <c r="F1440">
        <v>1969</v>
      </c>
      <c r="G1440" s="1" t="s">
        <v>76</v>
      </c>
      <c r="H1440" s="1" t="s">
        <v>556</v>
      </c>
      <c r="I1440">
        <v>0</v>
      </c>
      <c r="J1440">
        <v>54146.893499999998</v>
      </c>
      <c r="K1440">
        <v>8.1399999999999997E-3</v>
      </c>
      <c r="L1440">
        <v>8.3599999999999994E-3</v>
      </c>
      <c r="M1440">
        <v>0.245</v>
      </c>
      <c r="N1440">
        <v>2.9499999999999998E-2</v>
      </c>
      <c r="O1440">
        <v>8.6099999999999996E-3</v>
      </c>
      <c r="P1440" s="3">
        <f t="shared" si="88"/>
        <v>1846.8361594888408</v>
      </c>
      <c r="Q1440" s="3">
        <f t="shared" si="89"/>
        <v>8.1415527795343223E-3</v>
      </c>
      <c r="R1440" s="3">
        <f t="shared" si="90"/>
        <v>8.3599999999999994E-3</v>
      </c>
      <c r="S1440">
        <f t="shared" si="91"/>
        <v>35</v>
      </c>
      <c r="T1440">
        <f>INDEX([1]IDEN_level_ids!$B:$B,MATCH(G1440,[1]IDEN_level_ids!$A:$A,0),1)</f>
        <v>1194</v>
      </c>
      <c r="U1440">
        <f>INDEX([1]IDEN_level_ids!$B:$B,MATCH(H1440,[1]IDEN_level_ids!$A:$A,0),1)</f>
        <v>973</v>
      </c>
    </row>
    <row r="1441" spans="1:21" hidden="1" x14ac:dyDescent="0.25">
      <c r="A1441">
        <v>54141.438000000002</v>
      </c>
      <c r="B1441">
        <v>1847.0141000000001</v>
      </c>
      <c r="C1441">
        <v>9</v>
      </c>
      <c r="D1441" t="s">
        <v>549</v>
      </c>
      <c r="F1441">
        <v>1969</v>
      </c>
      <c r="G1441" s="1" t="s">
        <v>458</v>
      </c>
      <c r="H1441" s="1" t="s">
        <v>532</v>
      </c>
      <c r="I1441">
        <v>0</v>
      </c>
      <c r="J1441">
        <v>54141.508900000001</v>
      </c>
      <c r="K1441">
        <v>2.4199999999999998E-3</v>
      </c>
      <c r="L1441">
        <v>8.3599999999999994E-3</v>
      </c>
      <c r="M1441">
        <v>0.245</v>
      </c>
      <c r="N1441">
        <v>0.17069999999999999</v>
      </c>
      <c r="O1441">
        <v>1.008E-2</v>
      </c>
      <c r="P1441" s="3">
        <f t="shared" si="88"/>
        <v>1847.0141114463934</v>
      </c>
      <c r="Q1441" s="3">
        <f t="shared" si="89"/>
        <v>2.4187227722904936E-3</v>
      </c>
      <c r="R1441" s="3">
        <f t="shared" si="90"/>
        <v>8.3599999999999994E-3</v>
      </c>
      <c r="S1441">
        <f t="shared" si="91"/>
        <v>35</v>
      </c>
      <c r="T1441">
        <f>INDEX([1]IDEN_level_ids!$B:$B,MATCH(G1441,[1]IDEN_level_ids!$A:$A,0),1)</f>
        <v>1064</v>
      </c>
      <c r="U1441">
        <f>INDEX([1]IDEN_level_ids!$B:$B,MATCH(H1441,[1]IDEN_level_ids!$A:$A,0),1)</f>
        <v>706</v>
      </c>
    </row>
    <row r="1442" spans="1:21" hidden="1" x14ac:dyDescent="0.25">
      <c r="A1442">
        <v>54136.960200000001</v>
      </c>
      <c r="B1442">
        <v>1847.1668999999999</v>
      </c>
      <c r="C1442">
        <v>9</v>
      </c>
      <c r="D1442" t="s">
        <v>549</v>
      </c>
      <c r="F1442">
        <v>1969</v>
      </c>
      <c r="G1442" s="1" t="s">
        <v>557</v>
      </c>
      <c r="H1442" s="1" t="s">
        <v>535</v>
      </c>
      <c r="I1442">
        <v>0</v>
      </c>
      <c r="J1442">
        <v>54137.1302</v>
      </c>
      <c r="K1442">
        <v>5.7999999999999996E-3</v>
      </c>
      <c r="L1442">
        <v>8.3599999999999994E-3</v>
      </c>
      <c r="M1442">
        <v>0.245</v>
      </c>
      <c r="N1442">
        <v>0.21049999999999999</v>
      </c>
      <c r="O1442">
        <v>1.059E-2</v>
      </c>
      <c r="P1442" s="3">
        <f t="shared" si="88"/>
        <v>1847.1668824877979</v>
      </c>
      <c r="Q1442" s="3">
        <f t="shared" si="89"/>
        <v>5.8004251213787938E-3</v>
      </c>
      <c r="R1442" s="3">
        <f t="shared" si="90"/>
        <v>8.3599999999999994E-3</v>
      </c>
      <c r="S1442">
        <f t="shared" si="91"/>
        <v>35</v>
      </c>
      <c r="T1442">
        <f>INDEX([1]IDEN_level_ids!$B:$B,MATCH(G1442,[1]IDEN_level_ids!$A:$A,0),1)</f>
        <v>1069</v>
      </c>
      <c r="U1442">
        <f>INDEX([1]IDEN_level_ids!$B:$B,MATCH(H1442,[1]IDEN_level_ids!$A:$A,0),1)</f>
        <v>718</v>
      </c>
    </row>
    <row r="1443" spans="1:21" hidden="1" x14ac:dyDescent="0.25">
      <c r="A1443">
        <v>54102.075400000002</v>
      </c>
      <c r="B1443">
        <v>1848.3579</v>
      </c>
      <c r="C1443">
        <v>9</v>
      </c>
      <c r="D1443" t="s">
        <v>549</v>
      </c>
      <c r="F1443">
        <v>1969</v>
      </c>
      <c r="G1443" s="1" t="s">
        <v>428</v>
      </c>
      <c r="H1443" s="1" t="s">
        <v>558</v>
      </c>
      <c r="I1443">
        <v>-0.2928</v>
      </c>
      <c r="J1443">
        <v>54102.368399999999</v>
      </c>
      <c r="K1443">
        <v>1.001E-2</v>
      </c>
      <c r="L1443">
        <v>8.3700000000000007E-3</v>
      </c>
      <c r="M1443">
        <v>0.245</v>
      </c>
      <c r="N1443">
        <v>0.26390000000000002</v>
      </c>
      <c r="O1443">
        <v>1.137E-2</v>
      </c>
      <c r="P1443" s="3">
        <f t="shared" si="88"/>
        <v>1848.3579282431742</v>
      </c>
      <c r="Q1443" s="3">
        <f t="shared" si="89"/>
        <v>1.001007698914691E-2</v>
      </c>
      <c r="R1443" s="3">
        <f t="shared" si="90"/>
        <v>8.3700000000000007E-3</v>
      </c>
      <c r="S1443">
        <f t="shared" si="91"/>
        <v>35</v>
      </c>
      <c r="T1443">
        <f>INDEX([1]IDEN_level_ids!$B:$B,MATCH(G1443,[1]IDEN_level_ids!$A:$A,0),1)</f>
        <v>1060</v>
      </c>
      <c r="U1443">
        <f>INDEX([1]IDEN_level_ids!$B:$B,MATCH(H1443,[1]IDEN_level_ids!$A:$A,0),1)</f>
        <v>683</v>
      </c>
    </row>
    <row r="1444" spans="1:21" hidden="1" x14ac:dyDescent="0.25">
      <c r="A1444">
        <v>54072.142699999997</v>
      </c>
      <c r="B1444">
        <v>1849.3811000000001</v>
      </c>
      <c r="C1444">
        <v>9</v>
      </c>
      <c r="D1444" t="s">
        <v>549</v>
      </c>
      <c r="F1444">
        <v>1969</v>
      </c>
      <c r="G1444" s="1" t="s">
        <v>451</v>
      </c>
      <c r="H1444" s="1" t="s">
        <v>512</v>
      </c>
      <c r="I1444">
        <v>-0.28199999999999997</v>
      </c>
      <c r="J1444">
        <v>54072.319199999998</v>
      </c>
      <c r="K1444">
        <v>6.0400000000000002E-3</v>
      </c>
      <c r="L1444">
        <v>8.3800000000000003E-3</v>
      </c>
      <c r="M1444">
        <v>0.245</v>
      </c>
      <c r="N1444">
        <v>0.14749999999999999</v>
      </c>
      <c r="O1444">
        <v>9.8300000000000002E-3</v>
      </c>
      <c r="P1444" s="3">
        <f t="shared" si="88"/>
        <v>1849.3811231934037</v>
      </c>
      <c r="Q1444" s="3">
        <f t="shared" si="89"/>
        <v>6.0366518964656279E-3</v>
      </c>
      <c r="R1444" s="3">
        <f t="shared" si="90"/>
        <v>8.3800000000000003E-3</v>
      </c>
      <c r="S1444">
        <f t="shared" si="91"/>
        <v>35</v>
      </c>
      <c r="T1444">
        <f>INDEX([1]IDEN_level_ids!$B:$B,MATCH(G1444,[1]IDEN_level_ids!$A:$A,0),1)</f>
        <v>1066</v>
      </c>
      <c r="U1444">
        <f>INDEX([1]IDEN_level_ids!$B:$B,MATCH(H1444,[1]IDEN_level_ids!$A:$A,0),1)</f>
        <v>711</v>
      </c>
    </row>
    <row r="1445" spans="1:21" hidden="1" x14ac:dyDescent="0.25">
      <c r="A1445">
        <v>54051.164599999996</v>
      </c>
      <c r="B1445">
        <v>1850.0989</v>
      </c>
      <c r="C1445">
        <v>9</v>
      </c>
      <c r="D1445" t="s">
        <v>559</v>
      </c>
      <c r="F1445">
        <v>1969</v>
      </c>
      <c r="G1445" s="1" t="s">
        <v>100</v>
      </c>
      <c r="H1445" s="1" t="s">
        <v>473</v>
      </c>
      <c r="I1445">
        <v>7.5600000000000001E-2</v>
      </c>
      <c r="J1445">
        <v>54051.472800000003</v>
      </c>
      <c r="K1445">
        <v>1.055E-2</v>
      </c>
      <c r="L1445">
        <v>8.3899999999999999E-3</v>
      </c>
      <c r="M1445">
        <v>0.245</v>
      </c>
      <c r="N1445">
        <v>1.8499999999999999E-2</v>
      </c>
      <c r="O1445">
        <v>8.5400000000000007E-3</v>
      </c>
      <c r="P1445" s="3">
        <f t="shared" si="88"/>
        <v>1850.0988968515214</v>
      </c>
      <c r="Q1445" s="3">
        <f t="shared" si="89"/>
        <v>1.0549212639034522E-2</v>
      </c>
      <c r="R1445" s="3">
        <f t="shared" si="90"/>
        <v>8.3899999999999999E-3</v>
      </c>
      <c r="S1445">
        <f t="shared" si="91"/>
        <v>36</v>
      </c>
      <c r="T1445">
        <f>INDEX([1]IDEN_level_ids!$B:$B,MATCH(G1445,[1]IDEN_level_ids!$A:$A,0),1)</f>
        <v>1146</v>
      </c>
      <c r="U1445">
        <f>INDEX([1]IDEN_level_ids!$B:$B,MATCH(H1445,[1]IDEN_level_ids!$A:$A,0),1)</f>
        <v>934</v>
      </c>
    </row>
    <row r="1446" spans="1:21" hidden="1" x14ac:dyDescent="0.25">
      <c r="A1446">
        <v>53998.853900000002</v>
      </c>
      <c r="B1446">
        <v>1851.8912</v>
      </c>
      <c r="C1446">
        <v>9</v>
      </c>
      <c r="D1446" t="s">
        <v>559</v>
      </c>
      <c r="F1446">
        <v>1969</v>
      </c>
      <c r="G1446" s="1" t="s">
        <v>38</v>
      </c>
      <c r="H1446" s="1" t="s">
        <v>542</v>
      </c>
      <c r="I1446">
        <v>0</v>
      </c>
      <c r="J1446">
        <v>53999.218399999998</v>
      </c>
      <c r="K1446">
        <v>1.2500000000000001E-2</v>
      </c>
      <c r="L1446">
        <v>8.3999999999999995E-3</v>
      </c>
      <c r="M1446">
        <v>0.245</v>
      </c>
      <c r="N1446">
        <v>3.4200000000000001E-2</v>
      </c>
      <c r="O1446">
        <v>8.6999999999999994E-3</v>
      </c>
      <c r="P1446" s="3">
        <f t="shared" si="88"/>
        <v>1851.891156526935</v>
      </c>
      <c r="Q1446" s="3">
        <f t="shared" si="89"/>
        <v>1.2500446238846052E-2</v>
      </c>
      <c r="R1446" s="3">
        <f t="shared" si="90"/>
        <v>8.3999999999999995E-3</v>
      </c>
      <c r="S1446">
        <f t="shared" si="91"/>
        <v>36</v>
      </c>
      <c r="T1446">
        <f>INDEX([1]IDEN_level_ids!$B:$B,MATCH(G1446,[1]IDEN_level_ids!$A:$A,0),1)</f>
        <v>1201</v>
      </c>
      <c r="U1446">
        <f>INDEX([1]IDEN_level_ids!$B:$B,MATCH(H1446,[1]IDEN_level_ids!$A:$A,0),1)</f>
        <v>981</v>
      </c>
    </row>
    <row r="1447" spans="1:21" hidden="1" x14ac:dyDescent="0.25">
      <c r="A1447">
        <v>53981.663399999998</v>
      </c>
      <c r="B1447">
        <v>1852.4809</v>
      </c>
      <c r="C1447">
        <v>9</v>
      </c>
      <c r="D1447" t="s">
        <v>559</v>
      </c>
      <c r="F1447">
        <v>1969</v>
      </c>
      <c r="G1447" s="1" t="s">
        <v>538</v>
      </c>
      <c r="H1447" s="1" t="s">
        <v>388</v>
      </c>
      <c r="I1447">
        <v>0</v>
      </c>
      <c r="J1447">
        <v>53981.881500000003</v>
      </c>
      <c r="K1447">
        <v>7.4799999999999997E-3</v>
      </c>
      <c r="L1447">
        <v>8.4100000000000008E-3</v>
      </c>
      <c r="M1447">
        <v>0.245</v>
      </c>
      <c r="N1447">
        <v>4.02E-2</v>
      </c>
      <c r="O1447">
        <v>8.7600000000000004E-3</v>
      </c>
      <c r="P1447" s="3">
        <f t="shared" si="88"/>
        <v>1852.4808926136204</v>
      </c>
      <c r="Q1447" s="3">
        <f t="shared" si="89"/>
        <v>7.4844757436949294E-3</v>
      </c>
      <c r="R1447" s="3">
        <f t="shared" si="90"/>
        <v>8.4100000000000008E-3</v>
      </c>
      <c r="S1447">
        <f t="shared" si="91"/>
        <v>36</v>
      </c>
      <c r="T1447">
        <f>INDEX([1]IDEN_level_ids!$B:$B,MATCH(G1447,[1]IDEN_level_ids!$A:$A,0),1)</f>
        <v>978</v>
      </c>
      <c r="U1447">
        <f>INDEX([1]IDEN_level_ids!$B:$B,MATCH(H1447,[1]IDEN_level_ids!$A:$A,0),1)</f>
        <v>519</v>
      </c>
    </row>
    <row r="1448" spans="1:21" hidden="1" x14ac:dyDescent="0.25">
      <c r="A1448">
        <v>53944.591</v>
      </c>
      <c r="B1448">
        <v>1853.7539999999999</v>
      </c>
      <c r="C1448">
        <v>9</v>
      </c>
      <c r="D1448" t="s">
        <v>559</v>
      </c>
      <c r="F1448">
        <v>1969</v>
      </c>
      <c r="G1448" s="1" t="s">
        <v>182</v>
      </c>
      <c r="H1448" s="1" t="s">
        <v>537</v>
      </c>
      <c r="I1448">
        <v>0</v>
      </c>
      <c r="J1448">
        <v>53944.941299999999</v>
      </c>
      <c r="K1448">
        <v>1.204E-2</v>
      </c>
      <c r="L1448">
        <v>8.4200000000000004E-3</v>
      </c>
      <c r="M1448">
        <v>0.245</v>
      </c>
      <c r="N1448">
        <v>2.6800000000000001E-2</v>
      </c>
      <c r="O1448">
        <v>8.6499999999999997E-3</v>
      </c>
      <c r="P1448" s="3">
        <f t="shared" si="88"/>
        <v>1853.7539750741646</v>
      </c>
      <c r="Q1448" s="3">
        <f t="shared" si="89"/>
        <v>1.2037644342854037E-2</v>
      </c>
      <c r="R1448" s="3">
        <f t="shared" si="90"/>
        <v>8.4200000000000004E-3</v>
      </c>
      <c r="S1448">
        <f t="shared" si="91"/>
        <v>36</v>
      </c>
      <c r="T1448">
        <f>INDEX([1]IDEN_level_ids!$B:$B,MATCH(G1448,[1]IDEN_level_ids!$A:$A,0),1)</f>
        <v>1210</v>
      </c>
      <c r="U1448">
        <f>INDEX([1]IDEN_level_ids!$B:$B,MATCH(H1448,[1]IDEN_level_ids!$A:$A,0),1)</f>
        <v>991</v>
      </c>
    </row>
    <row r="1449" spans="1:21" hidden="1" x14ac:dyDescent="0.25">
      <c r="A1449">
        <v>53932.169900000001</v>
      </c>
      <c r="B1449">
        <v>1854.1809000000001</v>
      </c>
      <c r="C1449">
        <v>9</v>
      </c>
      <c r="D1449" t="s">
        <v>559</v>
      </c>
      <c r="E1449" t="s">
        <v>52</v>
      </c>
      <c r="F1449">
        <v>1969</v>
      </c>
      <c r="G1449" s="1" t="s">
        <v>100</v>
      </c>
      <c r="H1449" s="1" t="s">
        <v>374</v>
      </c>
      <c r="I1449">
        <v>0</v>
      </c>
      <c r="J1449">
        <v>53932.007400000002</v>
      </c>
      <c r="K1449">
        <v>-5.5900000000000004E-3</v>
      </c>
      <c r="L1449">
        <v>9.4900000000000002E-3</v>
      </c>
      <c r="M1449">
        <v>0.27600000000000002</v>
      </c>
      <c r="N1449">
        <v>2.0899999999999998E-2</v>
      </c>
      <c r="O1449">
        <v>9.6900000000000007E-3</v>
      </c>
      <c r="P1449" s="3">
        <f t="shared" si="88"/>
        <v>1854.1809125317616</v>
      </c>
      <c r="Q1449" s="3">
        <f t="shared" si="89"/>
        <v>-5.5867454746021394E-3</v>
      </c>
      <c r="R1449" s="3">
        <f t="shared" si="90"/>
        <v>9.4900000000000002E-3</v>
      </c>
      <c r="S1449">
        <f t="shared" si="91"/>
        <v>36</v>
      </c>
      <c r="T1449">
        <f>INDEX([1]IDEN_level_ids!$B:$B,MATCH(G1449,[1]IDEN_level_ids!$A:$A,0),1)</f>
        <v>1146</v>
      </c>
      <c r="U1449">
        <f>INDEX([1]IDEN_level_ids!$B:$B,MATCH(H1449,[1]IDEN_level_ids!$A:$A,0),1)</f>
        <v>936</v>
      </c>
    </row>
    <row r="1450" spans="1:21" hidden="1" x14ac:dyDescent="0.25">
      <c r="A1450">
        <v>53908.236499999999</v>
      </c>
      <c r="B1450">
        <v>1855.0041000000001</v>
      </c>
      <c r="C1450">
        <v>9</v>
      </c>
      <c r="D1450" t="s">
        <v>559</v>
      </c>
      <c r="F1450">
        <v>1969</v>
      </c>
      <c r="G1450" s="1" t="s">
        <v>46</v>
      </c>
      <c r="H1450" s="1" t="s">
        <v>560</v>
      </c>
      <c r="I1450">
        <v>0</v>
      </c>
      <c r="J1450">
        <v>53908.296699999999</v>
      </c>
      <c r="K1450">
        <v>2.0699999999999998E-3</v>
      </c>
      <c r="L1450">
        <v>8.43E-3</v>
      </c>
      <c r="M1450">
        <v>0.245</v>
      </c>
      <c r="N1450">
        <v>4.2700000000000002E-2</v>
      </c>
      <c r="O1450">
        <v>8.8100000000000001E-3</v>
      </c>
      <c r="P1450" s="3">
        <f t="shared" si="88"/>
        <v>1855.004104984959</v>
      </c>
      <c r="Q1450" s="3">
        <f t="shared" si="89"/>
        <v>2.0715039047445316E-3</v>
      </c>
      <c r="R1450" s="3">
        <f t="shared" si="90"/>
        <v>8.43E-3</v>
      </c>
      <c r="S1450">
        <f t="shared" si="91"/>
        <v>36</v>
      </c>
      <c r="T1450">
        <f>INDEX([1]IDEN_level_ids!$B:$B,MATCH(G1450,[1]IDEN_level_ids!$A:$A,0),1)</f>
        <v>1212</v>
      </c>
      <c r="U1450">
        <f>INDEX([1]IDEN_level_ids!$B:$B,MATCH(H1450,[1]IDEN_level_ids!$A:$A,0),1)</f>
        <v>993</v>
      </c>
    </row>
    <row r="1451" spans="1:21" hidden="1" x14ac:dyDescent="0.25">
      <c r="A1451">
        <v>53904.959300000002</v>
      </c>
      <c r="B1451">
        <v>1855.1169</v>
      </c>
      <c r="C1451">
        <v>9</v>
      </c>
      <c r="D1451" t="s">
        <v>559</v>
      </c>
      <c r="F1451">
        <v>1969</v>
      </c>
      <c r="G1451" s="1" t="s">
        <v>46</v>
      </c>
      <c r="H1451" s="1" t="s">
        <v>555</v>
      </c>
      <c r="I1451">
        <v>0</v>
      </c>
      <c r="J1451">
        <v>53905.276899999997</v>
      </c>
      <c r="K1451">
        <v>1.093E-2</v>
      </c>
      <c r="L1451">
        <v>8.43E-3</v>
      </c>
      <c r="M1451">
        <v>0.245</v>
      </c>
      <c r="N1451">
        <v>1.9099999999999999E-2</v>
      </c>
      <c r="O1451">
        <v>8.6E-3</v>
      </c>
      <c r="P1451" s="3">
        <f t="shared" si="88"/>
        <v>1855.116881611299</v>
      </c>
      <c r="Q1451" s="3">
        <f t="shared" si="89"/>
        <v>1.0930008256536894E-2</v>
      </c>
      <c r="R1451" s="3">
        <f t="shared" si="90"/>
        <v>8.43E-3</v>
      </c>
      <c r="S1451">
        <f t="shared" si="91"/>
        <v>36</v>
      </c>
      <c r="T1451">
        <f>INDEX([1]IDEN_level_ids!$B:$B,MATCH(G1451,[1]IDEN_level_ids!$A:$A,0),1)</f>
        <v>1212</v>
      </c>
      <c r="U1451">
        <f>INDEX([1]IDEN_level_ids!$B:$B,MATCH(H1451,[1]IDEN_level_ids!$A:$A,0),1)</f>
        <v>995</v>
      </c>
    </row>
    <row r="1452" spans="1:21" hidden="1" x14ac:dyDescent="0.25">
      <c r="A1452">
        <v>53890.896099999998</v>
      </c>
      <c r="B1452">
        <v>1855.6010000000001</v>
      </c>
      <c r="C1452">
        <v>9</v>
      </c>
      <c r="D1452" t="s">
        <v>559</v>
      </c>
      <c r="F1452">
        <v>1969</v>
      </c>
      <c r="G1452" s="1" t="s">
        <v>472</v>
      </c>
      <c r="H1452" s="1" t="s">
        <v>494</v>
      </c>
      <c r="I1452">
        <v>0</v>
      </c>
      <c r="J1452">
        <v>53891.143499999998</v>
      </c>
      <c r="K1452">
        <v>8.5199999999999998E-3</v>
      </c>
      <c r="L1452">
        <v>8.4399999999999996E-3</v>
      </c>
      <c r="M1452">
        <v>0.245</v>
      </c>
      <c r="N1452">
        <v>0.14130000000000001</v>
      </c>
      <c r="O1452">
        <v>9.8200000000000006E-3</v>
      </c>
      <c r="P1452" s="3">
        <f t="shared" si="88"/>
        <v>1855.6009871210881</v>
      </c>
      <c r="Q1452" s="3">
        <f t="shared" si="89"/>
        <v>8.5185738209929696E-3</v>
      </c>
      <c r="R1452" s="3">
        <f t="shared" si="90"/>
        <v>8.4399999999999996E-3</v>
      </c>
      <c r="S1452">
        <f t="shared" si="91"/>
        <v>36</v>
      </c>
      <c r="T1452">
        <f>INDEX([1]IDEN_level_ids!$B:$B,MATCH(G1452,[1]IDEN_level_ids!$A:$A,0),1)</f>
        <v>1012</v>
      </c>
      <c r="U1452">
        <f>INDEX([1]IDEN_level_ids!$B:$B,MATCH(H1452,[1]IDEN_level_ids!$A:$A,0),1)</f>
        <v>592</v>
      </c>
    </row>
    <row r="1453" spans="1:21" hidden="1" x14ac:dyDescent="0.25">
      <c r="A1453">
        <v>53875.127999999997</v>
      </c>
      <c r="B1453">
        <v>1856.1441</v>
      </c>
      <c r="C1453">
        <v>9</v>
      </c>
      <c r="D1453" t="s">
        <v>559</v>
      </c>
      <c r="F1453">
        <v>1969</v>
      </c>
      <c r="G1453" s="1" t="s">
        <v>193</v>
      </c>
      <c r="H1453" s="1" t="s">
        <v>542</v>
      </c>
      <c r="I1453">
        <v>0</v>
      </c>
      <c r="J1453">
        <v>53875.289499999999</v>
      </c>
      <c r="K1453">
        <v>5.5599999999999998E-3</v>
      </c>
      <c r="L1453">
        <v>8.4399999999999996E-3</v>
      </c>
      <c r="M1453">
        <v>0.245</v>
      </c>
      <c r="N1453">
        <v>3.4500000000000003E-2</v>
      </c>
      <c r="O1453">
        <v>8.7399999999999995E-3</v>
      </c>
      <c r="P1453" s="3">
        <f t="shared" si="88"/>
        <v>1856.1440819221814</v>
      </c>
      <c r="Q1453" s="3">
        <f t="shared" si="89"/>
        <v>5.5640957482410158E-3</v>
      </c>
      <c r="R1453" s="3">
        <f t="shared" si="90"/>
        <v>8.4399999999999996E-3</v>
      </c>
      <c r="S1453">
        <f t="shared" si="91"/>
        <v>36</v>
      </c>
      <c r="T1453">
        <f>INDEX([1]IDEN_level_ids!$B:$B,MATCH(G1453,[1]IDEN_level_ids!$A:$A,0),1)</f>
        <v>1202</v>
      </c>
      <c r="U1453">
        <f>INDEX([1]IDEN_level_ids!$B:$B,MATCH(H1453,[1]IDEN_level_ids!$A:$A,0),1)</f>
        <v>981</v>
      </c>
    </row>
    <row r="1454" spans="1:21" hidden="1" x14ac:dyDescent="0.25">
      <c r="A1454">
        <v>53844.145400000001</v>
      </c>
      <c r="B1454">
        <v>1857.2121</v>
      </c>
      <c r="C1454">
        <v>9</v>
      </c>
      <c r="D1454" t="s">
        <v>559</v>
      </c>
      <c r="F1454">
        <v>1969</v>
      </c>
      <c r="G1454" s="1" t="s">
        <v>560</v>
      </c>
      <c r="H1454" s="1" t="s">
        <v>561</v>
      </c>
      <c r="I1454">
        <v>0</v>
      </c>
      <c r="J1454">
        <v>53844.292099999999</v>
      </c>
      <c r="K1454">
        <v>5.0600000000000003E-3</v>
      </c>
      <c r="L1454">
        <v>8.4499999999999992E-3</v>
      </c>
      <c r="M1454">
        <v>0.245</v>
      </c>
      <c r="N1454">
        <v>7.2700000000000001E-2</v>
      </c>
      <c r="O1454">
        <v>9.11E-3</v>
      </c>
      <c r="P1454" s="3">
        <f t="shared" si="88"/>
        <v>1857.2121306246975</v>
      </c>
      <c r="Q1454" s="3">
        <f t="shared" si="89"/>
        <v>5.0600167435277399E-3</v>
      </c>
      <c r="R1454" s="3">
        <f t="shared" si="90"/>
        <v>8.4499999999999992E-3</v>
      </c>
      <c r="S1454">
        <f t="shared" si="91"/>
        <v>36</v>
      </c>
      <c r="T1454">
        <f>INDEX([1]IDEN_level_ids!$B:$B,MATCH(G1454,[1]IDEN_level_ids!$A:$A,0),1)</f>
        <v>993</v>
      </c>
      <c r="U1454">
        <f>INDEX([1]IDEN_level_ids!$B:$B,MATCH(H1454,[1]IDEN_level_ids!$A:$A,0),1)</f>
        <v>545</v>
      </c>
    </row>
    <row r="1455" spans="1:21" hidden="1" x14ac:dyDescent="0.25">
      <c r="A1455">
        <v>53827.370600000002</v>
      </c>
      <c r="B1455">
        <v>1857.7909</v>
      </c>
      <c r="C1455">
        <v>9</v>
      </c>
      <c r="D1455" t="s">
        <v>559</v>
      </c>
      <c r="E1455" t="s">
        <v>427</v>
      </c>
      <c r="F1455">
        <v>1969</v>
      </c>
      <c r="G1455" s="1" t="s">
        <v>534</v>
      </c>
      <c r="H1455" s="1" t="s">
        <v>360</v>
      </c>
      <c r="I1455">
        <v>0.22489999999999999</v>
      </c>
      <c r="J1455">
        <v>53828.0455</v>
      </c>
      <c r="K1455">
        <v>2.3290000000000002E-2</v>
      </c>
      <c r="L1455">
        <v>1.2970000000000001E-2</v>
      </c>
      <c r="M1455">
        <v>0.37580000000000002</v>
      </c>
      <c r="N1455">
        <v>3.5900000000000001E-2</v>
      </c>
      <c r="O1455">
        <v>1.345E-2</v>
      </c>
      <c r="P1455" s="3">
        <f t="shared" si="88"/>
        <v>1857.790913532009</v>
      </c>
      <c r="Q1455" s="3">
        <f t="shared" si="89"/>
        <v>2.3293119337722601E-2</v>
      </c>
      <c r="R1455" s="3">
        <f t="shared" si="90"/>
        <v>1.2970000000000001E-2</v>
      </c>
      <c r="S1455">
        <f t="shared" si="91"/>
        <v>36</v>
      </c>
      <c r="T1455">
        <f>INDEX([1]IDEN_level_ids!$B:$B,MATCH(G1455,[1]IDEN_level_ids!$A:$A,0),1)</f>
        <v>1116</v>
      </c>
      <c r="U1455">
        <f>INDEX([1]IDEN_level_ids!$B:$B,MATCH(H1455,[1]IDEN_level_ids!$A:$A,0),1)</f>
        <v>911</v>
      </c>
    </row>
    <row r="1456" spans="1:21" hidden="1" x14ac:dyDescent="0.25">
      <c r="A1456">
        <v>53815.58</v>
      </c>
      <c r="B1456">
        <v>1858.1978999999999</v>
      </c>
      <c r="C1456">
        <v>9</v>
      </c>
      <c r="D1456" t="s">
        <v>559</v>
      </c>
      <c r="F1456">
        <v>1969</v>
      </c>
      <c r="G1456" s="1" t="s">
        <v>41</v>
      </c>
      <c r="H1456" s="1" t="s">
        <v>540</v>
      </c>
      <c r="I1456">
        <v>0.25219999999999998</v>
      </c>
      <c r="J1456">
        <v>53815.6927</v>
      </c>
      <c r="K1456">
        <v>3.8899999999999998E-3</v>
      </c>
      <c r="L1456">
        <v>8.4600000000000005E-3</v>
      </c>
      <c r="M1456">
        <v>0.245</v>
      </c>
      <c r="N1456">
        <v>1.6500000000000001E-2</v>
      </c>
      <c r="O1456">
        <v>8.6E-3</v>
      </c>
      <c r="P1456" s="3">
        <f t="shared" si="88"/>
        <v>1858.1979419342874</v>
      </c>
      <c r="Q1456" s="3">
        <f t="shared" si="89"/>
        <v>3.8914096901407902E-3</v>
      </c>
      <c r="R1456" s="3">
        <f t="shared" si="90"/>
        <v>8.4600000000000005E-3</v>
      </c>
      <c r="S1456">
        <f t="shared" si="91"/>
        <v>36</v>
      </c>
      <c r="T1456">
        <f>INDEX([1]IDEN_level_ids!$B:$B,MATCH(G1456,[1]IDEN_level_ids!$A:$A,0),1)</f>
        <v>1238</v>
      </c>
      <c r="U1456">
        <f>INDEX([1]IDEN_level_ids!$B:$B,MATCH(H1456,[1]IDEN_level_ids!$A:$A,0),1)</f>
        <v>1027</v>
      </c>
    </row>
    <row r="1457" spans="1:21" hidden="1" x14ac:dyDescent="0.25">
      <c r="A1457">
        <v>53784.553699999997</v>
      </c>
      <c r="B1457">
        <v>1859.2699</v>
      </c>
      <c r="C1457">
        <v>9</v>
      </c>
      <c r="D1457" t="s">
        <v>559</v>
      </c>
      <c r="F1457">
        <v>1969</v>
      </c>
      <c r="G1457" s="1" t="s">
        <v>452</v>
      </c>
      <c r="H1457" s="1" t="s">
        <v>523</v>
      </c>
      <c r="I1457">
        <v>-0.18779999999999999</v>
      </c>
      <c r="J1457">
        <v>53784.836199999998</v>
      </c>
      <c r="K1457">
        <v>9.7699999999999992E-3</v>
      </c>
      <c r="L1457">
        <v>8.4700000000000001E-3</v>
      </c>
      <c r="M1457">
        <v>0.245</v>
      </c>
      <c r="N1457">
        <v>5.7599999999999998E-2</v>
      </c>
      <c r="O1457">
        <v>8.9899999999999997E-3</v>
      </c>
      <c r="P1457" s="3">
        <f t="shared" si="88"/>
        <v>1859.2698669172003</v>
      </c>
      <c r="Q1457" s="3">
        <f t="shared" si="89"/>
        <v>9.7656472441940423E-3</v>
      </c>
      <c r="R1457" s="3">
        <f t="shared" si="90"/>
        <v>8.4700000000000001E-3</v>
      </c>
      <c r="S1457">
        <f t="shared" si="91"/>
        <v>36</v>
      </c>
      <c r="T1457">
        <f>INDEX([1]IDEN_level_ids!$B:$B,MATCH(G1457,[1]IDEN_level_ids!$A:$A,0),1)</f>
        <v>1033</v>
      </c>
      <c r="U1457">
        <f>INDEX([1]IDEN_level_ids!$B:$B,MATCH(H1457,[1]IDEN_level_ids!$A:$A,0),1)</f>
        <v>627</v>
      </c>
    </row>
    <row r="1458" spans="1:21" hidden="1" x14ac:dyDescent="0.25">
      <c r="A1458">
        <v>53782.874199999998</v>
      </c>
      <c r="B1458">
        <v>1859.3279</v>
      </c>
      <c r="C1458">
        <v>9</v>
      </c>
      <c r="D1458" t="s">
        <v>559</v>
      </c>
      <c r="F1458">
        <v>1969</v>
      </c>
      <c r="G1458" s="1" t="s">
        <v>69</v>
      </c>
      <c r="H1458" s="1" t="s">
        <v>562</v>
      </c>
      <c r="I1458">
        <v>0</v>
      </c>
      <c r="J1458">
        <v>53783.068399999996</v>
      </c>
      <c r="K1458">
        <v>6.7099999999999998E-3</v>
      </c>
      <c r="L1458">
        <v>8.4700000000000001E-3</v>
      </c>
      <c r="M1458">
        <v>0.245</v>
      </c>
      <c r="N1458">
        <v>1.7500000000000002E-2</v>
      </c>
      <c r="O1458">
        <v>8.6199999999999992E-3</v>
      </c>
      <c r="P1458" s="3">
        <f t="shared" si="88"/>
        <v>1859.3279271043496</v>
      </c>
      <c r="Q1458" s="3">
        <f t="shared" si="89"/>
        <v>6.7136646193830529E-3</v>
      </c>
      <c r="R1458" s="3">
        <f t="shared" si="90"/>
        <v>8.4700000000000001E-3</v>
      </c>
      <c r="S1458">
        <f t="shared" si="91"/>
        <v>36</v>
      </c>
      <c r="T1458">
        <f>INDEX([1]IDEN_level_ids!$B:$B,MATCH(G1458,[1]IDEN_level_ids!$A:$A,0),1)</f>
        <v>1218</v>
      </c>
      <c r="U1458">
        <f>INDEX([1]IDEN_level_ids!$B:$B,MATCH(H1458,[1]IDEN_level_ids!$A:$A,0),1)</f>
        <v>999</v>
      </c>
    </row>
    <row r="1459" spans="1:21" hidden="1" x14ac:dyDescent="0.25">
      <c r="A1459">
        <v>53758.613100000002</v>
      </c>
      <c r="B1459">
        <v>1860.1669999999999</v>
      </c>
      <c r="C1459">
        <v>9</v>
      </c>
      <c r="D1459" t="s">
        <v>559</v>
      </c>
      <c r="E1459" t="s">
        <v>236</v>
      </c>
      <c r="F1459">
        <v>1969</v>
      </c>
      <c r="G1459" s="1" t="s">
        <v>72</v>
      </c>
      <c r="H1459" s="1" t="s">
        <v>548</v>
      </c>
      <c r="I1459">
        <v>0</v>
      </c>
      <c r="J1459">
        <v>53758.768499999998</v>
      </c>
      <c r="K1459">
        <v>5.3800000000000002E-3</v>
      </c>
      <c r="L1459">
        <v>1.2999999999999999E-2</v>
      </c>
      <c r="M1459">
        <v>0.37580000000000002</v>
      </c>
      <c r="N1459">
        <v>1.21E-2</v>
      </c>
      <c r="O1459">
        <v>1.316E-2</v>
      </c>
      <c r="P1459" s="3">
        <f t="shared" si="88"/>
        <v>1860.1670361916385</v>
      </c>
      <c r="Q1459" s="3">
        <f t="shared" si="89"/>
        <v>5.3771685156789317E-3</v>
      </c>
      <c r="R1459" s="3">
        <f t="shared" si="90"/>
        <v>1.2999999999999999E-2</v>
      </c>
      <c r="S1459">
        <f t="shared" si="91"/>
        <v>36</v>
      </c>
      <c r="T1459">
        <f>INDEX([1]IDEN_level_ids!$B:$B,MATCH(G1459,[1]IDEN_level_ids!$A:$A,0),1)</f>
        <v>1225</v>
      </c>
      <c r="U1459">
        <f>INDEX([1]IDEN_level_ids!$B:$B,MATCH(H1459,[1]IDEN_level_ids!$A:$A,0),1)</f>
        <v>1005</v>
      </c>
    </row>
    <row r="1460" spans="1:21" hidden="1" x14ac:dyDescent="0.25">
      <c r="A1460">
        <v>53756.012300000002</v>
      </c>
      <c r="B1460">
        <v>1860.2570000000001</v>
      </c>
      <c r="C1460">
        <v>9</v>
      </c>
      <c r="D1460" t="s">
        <v>559</v>
      </c>
      <c r="F1460">
        <v>1969</v>
      </c>
      <c r="G1460" s="1" t="s">
        <v>118</v>
      </c>
      <c r="H1460" s="1" t="s">
        <v>536</v>
      </c>
      <c r="I1460">
        <v>0</v>
      </c>
      <c r="J1460">
        <v>53755.837</v>
      </c>
      <c r="K1460">
        <v>-6.0699999999999999E-3</v>
      </c>
      <c r="L1460">
        <v>8.4799999999999997E-3</v>
      </c>
      <c r="M1460">
        <v>0.245</v>
      </c>
      <c r="N1460">
        <v>2.0500000000000001E-2</v>
      </c>
      <c r="O1460">
        <v>8.6599999999999993E-3</v>
      </c>
      <c r="P1460" s="3">
        <f t="shared" si="88"/>
        <v>1860.257033983899</v>
      </c>
      <c r="Q1460" s="3">
        <f t="shared" si="89"/>
        <v>-6.0663748583920096E-3</v>
      </c>
      <c r="R1460" s="3">
        <f t="shared" si="90"/>
        <v>8.4799999999999997E-3</v>
      </c>
      <c r="S1460">
        <f t="shared" si="91"/>
        <v>36</v>
      </c>
      <c r="T1460">
        <f>INDEX([1]IDEN_level_ids!$B:$B,MATCH(G1460,[1]IDEN_level_ids!$A:$A,0),1)</f>
        <v>1237</v>
      </c>
      <c r="U1460">
        <f>INDEX([1]IDEN_level_ids!$B:$B,MATCH(H1460,[1]IDEN_level_ids!$A:$A,0),1)</f>
        <v>1021</v>
      </c>
    </row>
    <row r="1461" spans="1:21" hidden="1" x14ac:dyDescent="0.25">
      <c r="A1461">
        <v>53738.129500000003</v>
      </c>
      <c r="B1461">
        <v>1860.8761</v>
      </c>
      <c r="C1461">
        <v>9</v>
      </c>
      <c r="D1461" t="s">
        <v>559</v>
      </c>
      <c r="F1461">
        <v>1969</v>
      </c>
      <c r="G1461" s="1" t="s">
        <v>458</v>
      </c>
      <c r="H1461" s="1" t="s">
        <v>512</v>
      </c>
      <c r="I1461">
        <v>0</v>
      </c>
      <c r="J1461">
        <v>53738.201699999998</v>
      </c>
      <c r="K1461">
        <v>2.5000000000000001E-3</v>
      </c>
      <c r="L1461">
        <v>8.4799999999999997E-3</v>
      </c>
      <c r="M1461">
        <v>0.245</v>
      </c>
      <c r="N1461">
        <v>0.1482</v>
      </c>
      <c r="O1461">
        <v>9.9600000000000001E-3</v>
      </c>
      <c r="P1461" s="3">
        <f t="shared" si="88"/>
        <v>1860.8760842708527</v>
      </c>
      <c r="Q1461" s="3">
        <f t="shared" si="89"/>
        <v>2.500181417190106E-3</v>
      </c>
      <c r="R1461" s="3">
        <f t="shared" si="90"/>
        <v>8.4799999999999997E-3</v>
      </c>
      <c r="S1461">
        <f t="shared" si="91"/>
        <v>36</v>
      </c>
      <c r="T1461">
        <f>INDEX([1]IDEN_level_ids!$B:$B,MATCH(G1461,[1]IDEN_level_ids!$A:$A,0),1)</f>
        <v>1064</v>
      </c>
      <c r="U1461">
        <f>INDEX([1]IDEN_level_ids!$B:$B,MATCH(H1461,[1]IDEN_level_ids!$A:$A,0),1)</f>
        <v>711</v>
      </c>
    </row>
    <row r="1462" spans="1:21" hidden="1" x14ac:dyDescent="0.25">
      <c r="A1462">
        <v>53733.396699999998</v>
      </c>
      <c r="B1462">
        <v>1861.04</v>
      </c>
      <c r="C1462">
        <v>9</v>
      </c>
      <c r="D1462" t="s">
        <v>559</v>
      </c>
      <c r="F1462">
        <v>1969</v>
      </c>
      <c r="G1462" s="1" t="s">
        <v>94</v>
      </c>
      <c r="H1462" s="1" t="s">
        <v>555</v>
      </c>
      <c r="I1462">
        <v>0</v>
      </c>
      <c r="J1462">
        <v>53733.687299999998</v>
      </c>
      <c r="K1462">
        <v>1.0070000000000001E-2</v>
      </c>
      <c r="L1462">
        <v>8.4799999999999997E-3</v>
      </c>
      <c r="M1462">
        <v>0.245</v>
      </c>
      <c r="N1462">
        <v>1.7500000000000002E-2</v>
      </c>
      <c r="O1462">
        <v>8.6400000000000001E-3</v>
      </c>
      <c r="P1462" s="3">
        <f t="shared" si="88"/>
        <v>1861.0399889348519</v>
      </c>
      <c r="Q1462" s="3">
        <f t="shared" si="89"/>
        <v>1.0064788923955348E-2</v>
      </c>
      <c r="R1462" s="3">
        <f t="shared" si="90"/>
        <v>8.4799999999999997E-3</v>
      </c>
      <c r="S1462">
        <f t="shared" si="91"/>
        <v>36</v>
      </c>
      <c r="T1462">
        <f>INDEX([1]IDEN_level_ids!$B:$B,MATCH(G1462,[1]IDEN_level_ids!$A:$A,0),1)</f>
        <v>1207</v>
      </c>
      <c r="U1462">
        <f>INDEX([1]IDEN_level_ids!$B:$B,MATCH(H1462,[1]IDEN_level_ids!$A:$A,0),1)</f>
        <v>995</v>
      </c>
    </row>
    <row r="1463" spans="1:21" hidden="1" x14ac:dyDescent="0.25">
      <c r="A1463">
        <v>53721.072800000002</v>
      </c>
      <c r="B1463">
        <v>1861.4668999999999</v>
      </c>
      <c r="C1463">
        <v>9</v>
      </c>
      <c r="D1463" t="s">
        <v>559</v>
      </c>
      <c r="F1463">
        <v>1969</v>
      </c>
      <c r="G1463" s="1" t="s">
        <v>49</v>
      </c>
      <c r="H1463" s="1" t="s">
        <v>550</v>
      </c>
      <c r="I1463">
        <v>0</v>
      </c>
      <c r="J1463">
        <v>53721.147100000002</v>
      </c>
      <c r="K1463">
        <v>2.5799999999999998E-3</v>
      </c>
      <c r="L1463">
        <v>8.4899999999999993E-3</v>
      </c>
      <c r="M1463">
        <v>0.245</v>
      </c>
      <c r="N1463">
        <v>1.9800000000000002E-2</v>
      </c>
      <c r="O1463">
        <v>8.6599999999999993E-3</v>
      </c>
      <c r="P1463" s="3">
        <f t="shared" si="88"/>
        <v>1861.4669214126341</v>
      </c>
      <c r="Q1463" s="3">
        <f t="shared" si="89"/>
        <v>2.5745353500497004E-3</v>
      </c>
      <c r="R1463" s="3">
        <f t="shared" si="90"/>
        <v>8.4899999999999993E-3</v>
      </c>
      <c r="S1463">
        <f t="shared" si="91"/>
        <v>36</v>
      </c>
      <c r="T1463">
        <f>INDEX([1]IDEN_level_ids!$B:$B,MATCH(G1463,[1]IDEN_level_ids!$A:$A,0),1)</f>
        <v>1214</v>
      </c>
      <c r="U1463">
        <f>INDEX([1]IDEN_level_ids!$B:$B,MATCH(H1463,[1]IDEN_level_ids!$A:$A,0),1)</f>
        <v>997</v>
      </c>
    </row>
    <row r="1464" spans="1:21" hidden="1" x14ac:dyDescent="0.25">
      <c r="A1464">
        <v>53675.597800000003</v>
      </c>
      <c r="B1464">
        <v>1863.0440000000001</v>
      </c>
      <c r="C1464">
        <v>9</v>
      </c>
      <c r="D1464" t="s">
        <v>559</v>
      </c>
      <c r="F1464">
        <v>1969</v>
      </c>
      <c r="G1464" s="1" t="s">
        <v>83</v>
      </c>
      <c r="H1464" s="1" t="s">
        <v>501</v>
      </c>
      <c r="I1464">
        <v>0.1444</v>
      </c>
      <c r="J1464">
        <v>53675.683599999997</v>
      </c>
      <c r="K1464">
        <v>2.98E-3</v>
      </c>
      <c r="L1464">
        <v>8.5000000000000006E-3</v>
      </c>
      <c r="M1464">
        <v>0.245</v>
      </c>
      <c r="N1464">
        <v>1.9800000000000002E-2</v>
      </c>
      <c r="O1464">
        <v>8.6700000000000006E-3</v>
      </c>
      <c r="P1464" s="3">
        <f t="shared" si="88"/>
        <v>1863.043992031701</v>
      </c>
      <c r="Q1464" s="3">
        <f t="shared" si="89"/>
        <v>2.9780556812966097E-3</v>
      </c>
      <c r="R1464" s="3">
        <f t="shared" si="90"/>
        <v>8.5000000000000006E-3</v>
      </c>
      <c r="S1464">
        <f t="shared" si="91"/>
        <v>36</v>
      </c>
      <c r="T1464">
        <f>INDEX([1]IDEN_level_ids!$B:$B,MATCH(G1464,[1]IDEN_level_ids!$A:$A,0),1)</f>
        <v>1175</v>
      </c>
      <c r="U1464">
        <f>INDEX([1]IDEN_level_ids!$B:$B,MATCH(H1464,[1]IDEN_level_ids!$A:$A,0),1)</f>
        <v>969</v>
      </c>
    </row>
    <row r="1465" spans="1:21" hidden="1" x14ac:dyDescent="0.25">
      <c r="A1465">
        <v>53668.536800000002</v>
      </c>
      <c r="B1465">
        <v>1863.2891</v>
      </c>
      <c r="C1465">
        <v>9</v>
      </c>
      <c r="D1465" t="s">
        <v>559</v>
      </c>
      <c r="F1465">
        <v>1969</v>
      </c>
      <c r="G1465" s="1" t="s">
        <v>334</v>
      </c>
      <c r="H1465" s="1" t="s">
        <v>423</v>
      </c>
      <c r="I1465">
        <v>0</v>
      </c>
      <c r="J1465">
        <v>53668.740899999997</v>
      </c>
      <c r="K1465">
        <v>7.0800000000000004E-3</v>
      </c>
      <c r="L1465">
        <v>8.5100000000000002E-3</v>
      </c>
      <c r="M1465">
        <v>0.245</v>
      </c>
      <c r="N1465">
        <v>0.1404</v>
      </c>
      <c r="O1465">
        <v>9.9000000000000008E-3</v>
      </c>
      <c r="P1465" s="3">
        <f t="shared" si="88"/>
        <v>1863.2891068496579</v>
      </c>
      <c r="Q1465" s="3">
        <f t="shared" si="89"/>
        <v>7.0860113414710213E-3</v>
      </c>
      <c r="R1465" s="3">
        <f t="shared" si="90"/>
        <v>8.5100000000000002E-3</v>
      </c>
      <c r="S1465">
        <f t="shared" si="91"/>
        <v>36</v>
      </c>
      <c r="T1465">
        <f>INDEX([1]IDEN_level_ids!$B:$B,MATCH(G1465,[1]IDEN_level_ids!$A:$A,0),1)</f>
        <v>1124</v>
      </c>
      <c r="U1465">
        <f>INDEX([1]IDEN_level_ids!$B:$B,MATCH(H1465,[1]IDEN_level_ids!$A:$A,0),1)</f>
        <v>915</v>
      </c>
    </row>
    <row r="1466" spans="1:21" hidden="1" x14ac:dyDescent="0.25">
      <c r="A1466">
        <v>53665.541100000002</v>
      </c>
      <c r="B1466">
        <v>1863.3931</v>
      </c>
      <c r="C1466">
        <v>9</v>
      </c>
      <c r="D1466" t="s">
        <v>559</v>
      </c>
      <c r="F1466">
        <v>1969</v>
      </c>
      <c r="G1466" s="1" t="s">
        <v>22</v>
      </c>
      <c r="H1466" s="1" t="s">
        <v>470</v>
      </c>
      <c r="I1466">
        <v>0.20880000000000001</v>
      </c>
      <c r="J1466">
        <v>53665.547400000003</v>
      </c>
      <c r="K1466">
        <v>2.2000000000000001E-4</v>
      </c>
      <c r="L1466">
        <v>8.5100000000000002E-3</v>
      </c>
      <c r="M1466">
        <v>0.245</v>
      </c>
      <c r="N1466">
        <v>1.49E-2</v>
      </c>
      <c r="O1466">
        <v>8.6400000000000001E-3</v>
      </c>
      <c r="P1466" s="3">
        <f t="shared" si="88"/>
        <v>1863.3931187549322</v>
      </c>
      <c r="Q1466" s="3">
        <f t="shared" si="89"/>
        <v>2.1875071092836151E-4</v>
      </c>
      <c r="R1466" s="3">
        <f t="shared" si="90"/>
        <v>8.5100000000000002E-3</v>
      </c>
      <c r="S1466">
        <f t="shared" si="91"/>
        <v>36</v>
      </c>
      <c r="T1466">
        <f>INDEX([1]IDEN_level_ids!$B:$B,MATCH(G1466,[1]IDEN_level_ids!$A:$A,0),1)</f>
        <v>1236</v>
      </c>
      <c r="U1466">
        <f>INDEX([1]IDEN_level_ids!$B:$B,MATCH(H1466,[1]IDEN_level_ids!$A:$A,0),1)</f>
        <v>1026</v>
      </c>
    </row>
    <row r="1467" spans="1:21" hidden="1" x14ac:dyDescent="0.25">
      <c r="A1467">
        <v>53657.570599999999</v>
      </c>
      <c r="B1467">
        <v>1863.6699000000001</v>
      </c>
      <c r="C1467">
        <v>9</v>
      </c>
      <c r="D1467" t="s">
        <v>559</v>
      </c>
      <c r="F1467">
        <v>1969</v>
      </c>
      <c r="G1467" s="1" t="s">
        <v>276</v>
      </c>
      <c r="H1467" s="1" t="s">
        <v>412</v>
      </c>
      <c r="I1467">
        <v>-0.70099999999999996</v>
      </c>
      <c r="J1467">
        <v>53657.260900000001</v>
      </c>
      <c r="K1467">
        <v>-1.076E-2</v>
      </c>
      <c r="L1467">
        <v>8.5100000000000002E-3</v>
      </c>
      <c r="M1467">
        <v>0.245</v>
      </c>
      <c r="N1467">
        <v>0.1246</v>
      </c>
      <c r="O1467">
        <v>9.7199999999999995E-3</v>
      </c>
      <c r="P1467" s="3">
        <f t="shared" si="88"/>
        <v>1863.669914269283</v>
      </c>
      <c r="Q1467" s="3">
        <f t="shared" si="89"/>
        <v>-1.0756765492033082E-2</v>
      </c>
      <c r="R1467" s="3">
        <f t="shared" si="90"/>
        <v>8.5100000000000002E-3</v>
      </c>
      <c r="S1467">
        <f t="shared" si="91"/>
        <v>36</v>
      </c>
      <c r="T1467">
        <f>INDEX([1]IDEN_level_ids!$B:$B,MATCH(G1467,[1]IDEN_level_ids!$A:$A,0),1)</f>
        <v>1131</v>
      </c>
      <c r="U1467">
        <f>INDEX([1]IDEN_level_ids!$B:$B,MATCH(H1467,[1]IDEN_level_ids!$A:$A,0),1)</f>
        <v>923</v>
      </c>
    </row>
    <row r="1468" spans="1:21" hidden="1" x14ac:dyDescent="0.25">
      <c r="A1468">
        <v>53644.01</v>
      </c>
      <c r="B1468">
        <v>1864.1410000000001</v>
      </c>
      <c r="C1468">
        <v>9</v>
      </c>
      <c r="D1468" t="s">
        <v>559</v>
      </c>
      <c r="E1468" t="s">
        <v>66</v>
      </c>
      <c r="F1468">
        <v>1969</v>
      </c>
      <c r="G1468" s="1" t="s">
        <v>504</v>
      </c>
      <c r="H1468" s="1" t="s">
        <v>376</v>
      </c>
      <c r="I1468">
        <v>-0.6966</v>
      </c>
      <c r="J1468">
        <v>53643.573600000003</v>
      </c>
      <c r="K1468">
        <v>-1.5169999999999999E-2</v>
      </c>
      <c r="L1468">
        <v>2.231E-2</v>
      </c>
      <c r="M1468">
        <v>0.64200000000000002</v>
      </c>
      <c r="N1468">
        <v>1.18E-2</v>
      </c>
      <c r="O1468">
        <v>2.2579999999999999E-2</v>
      </c>
      <c r="P1468" s="3">
        <f t="shared" si="88"/>
        <v>1864.14102897975</v>
      </c>
      <c r="Q1468" s="3">
        <f t="shared" si="89"/>
        <v>-1.516511840009116E-2</v>
      </c>
      <c r="R1468" s="3">
        <f t="shared" si="90"/>
        <v>2.231E-2</v>
      </c>
      <c r="S1468">
        <f t="shared" si="91"/>
        <v>36</v>
      </c>
      <c r="T1468">
        <f>INDEX([1]IDEN_level_ids!$B:$B,MATCH(G1468,[1]IDEN_level_ids!$A:$A,0),1)</f>
        <v>1118</v>
      </c>
      <c r="U1468">
        <f>INDEX([1]IDEN_level_ids!$B:$B,MATCH(H1468,[1]IDEN_level_ids!$A:$A,0),1)</f>
        <v>913</v>
      </c>
    </row>
    <row r="1469" spans="1:21" hidden="1" x14ac:dyDescent="0.25">
      <c r="A1469">
        <v>53615.306400000001</v>
      </c>
      <c r="B1469">
        <v>1865.1389999999999</v>
      </c>
      <c r="C1469">
        <v>9</v>
      </c>
      <c r="D1469" t="s">
        <v>559</v>
      </c>
      <c r="F1469">
        <v>1969</v>
      </c>
      <c r="G1469" s="1" t="s">
        <v>243</v>
      </c>
      <c r="H1469" s="1" t="s">
        <v>531</v>
      </c>
      <c r="I1469">
        <v>0</v>
      </c>
      <c r="J1469">
        <v>53615.417800000003</v>
      </c>
      <c r="K1469">
        <v>3.8800000000000002E-3</v>
      </c>
      <c r="L1469">
        <v>8.5199999999999998E-3</v>
      </c>
      <c r="M1469">
        <v>0.245</v>
      </c>
      <c r="N1469">
        <v>0.13170000000000001</v>
      </c>
      <c r="O1469">
        <v>9.8200000000000006E-3</v>
      </c>
      <c r="P1469" s="3">
        <f t="shared" si="88"/>
        <v>1865.1390193304946</v>
      </c>
      <c r="Q1469" s="3">
        <f t="shared" si="89"/>
        <v>3.8753122753405478E-3</v>
      </c>
      <c r="R1469" s="3">
        <f t="shared" si="90"/>
        <v>8.5199999999999998E-3</v>
      </c>
      <c r="S1469">
        <f t="shared" si="91"/>
        <v>36</v>
      </c>
      <c r="T1469">
        <f>INDEX([1]IDEN_level_ids!$B:$B,MATCH(G1469,[1]IDEN_level_ids!$A:$A,0),1)</f>
        <v>1205</v>
      </c>
      <c r="U1469">
        <f>INDEX([1]IDEN_level_ids!$B:$B,MATCH(H1469,[1]IDEN_level_ids!$A:$A,0),1)</f>
        <v>990</v>
      </c>
    </row>
    <row r="1470" spans="1:21" hidden="1" x14ac:dyDescent="0.25">
      <c r="A1470">
        <v>53612.631099999999</v>
      </c>
      <c r="B1470">
        <v>1865.2320999999999</v>
      </c>
      <c r="C1470">
        <v>9</v>
      </c>
      <c r="D1470" t="s">
        <v>559</v>
      </c>
      <c r="F1470">
        <v>1969</v>
      </c>
      <c r="G1470" s="1" t="s">
        <v>55</v>
      </c>
      <c r="H1470" s="1" t="s">
        <v>461</v>
      </c>
      <c r="I1470">
        <v>0.1797</v>
      </c>
      <c r="J1470">
        <v>53612.724600000001</v>
      </c>
      <c r="K1470">
        <v>3.2499999999999999E-3</v>
      </c>
      <c r="L1470">
        <v>8.5199999999999998E-3</v>
      </c>
      <c r="M1470">
        <v>0.245</v>
      </c>
      <c r="N1470">
        <v>1.38E-2</v>
      </c>
      <c r="O1470">
        <v>8.6400000000000001E-3</v>
      </c>
      <c r="P1470" s="3">
        <f t="shared" si="88"/>
        <v>1865.2320908010799</v>
      </c>
      <c r="Q1470" s="3">
        <f t="shared" si="89"/>
        <v>3.2529441805309034E-3</v>
      </c>
      <c r="R1470" s="3">
        <f t="shared" si="90"/>
        <v>8.5199999999999998E-3</v>
      </c>
      <c r="S1470">
        <f t="shared" si="91"/>
        <v>36</v>
      </c>
      <c r="T1470">
        <f>INDEX([1]IDEN_level_ids!$B:$B,MATCH(G1470,[1]IDEN_level_ids!$A:$A,0),1)</f>
        <v>1233</v>
      </c>
      <c r="U1470">
        <f>INDEX([1]IDEN_level_ids!$B:$B,MATCH(H1470,[1]IDEN_level_ids!$A:$A,0),1)</f>
        <v>1017</v>
      </c>
    </row>
    <row r="1471" spans="1:21" hidden="1" x14ac:dyDescent="0.25">
      <c r="A1471">
        <v>53599.239500000003</v>
      </c>
      <c r="B1471">
        <v>1865.6981000000001</v>
      </c>
      <c r="C1471">
        <v>9</v>
      </c>
      <c r="D1471" t="s">
        <v>559</v>
      </c>
      <c r="F1471">
        <v>1969</v>
      </c>
      <c r="G1471" s="1" t="s">
        <v>544</v>
      </c>
      <c r="H1471" s="1" t="s">
        <v>494</v>
      </c>
      <c r="I1471">
        <v>0</v>
      </c>
      <c r="J1471">
        <v>53599.351600000002</v>
      </c>
      <c r="K1471">
        <v>3.8999999999999998E-3</v>
      </c>
      <c r="L1471">
        <v>8.5299999999999994E-3</v>
      </c>
      <c r="M1471">
        <v>0.245</v>
      </c>
      <c r="N1471">
        <v>0.14249999999999999</v>
      </c>
      <c r="O1471">
        <v>9.9399999999999992E-3</v>
      </c>
      <c r="P1471" s="3">
        <f t="shared" si="88"/>
        <v>1865.6981131234147</v>
      </c>
      <c r="Q1471" s="3">
        <f t="shared" si="89"/>
        <v>3.9020016517952172E-3</v>
      </c>
      <c r="R1471" s="3">
        <f t="shared" si="90"/>
        <v>8.5299999999999994E-3</v>
      </c>
      <c r="S1471">
        <f t="shared" si="91"/>
        <v>36</v>
      </c>
      <c r="T1471">
        <f>INDEX([1]IDEN_level_ids!$B:$B,MATCH(G1471,[1]IDEN_level_ids!$A:$A,0),1)</f>
        <v>1011</v>
      </c>
      <c r="U1471">
        <f>INDEX([1]IDEN_level_ids!$B:$B,MATCH(H1471,[1]IDEN_level_ids!$A:$A,0),1)</f>
        <v>592</v>
      </c>
    </row>
    <row r="1472" spans="1:21" hidden="1" x14ac:dyDescent="0.25">
      <c r="A1472">
        <v>53585.425600000002</v>
      </c>
      <c r="B1472">
        <v>1866.1791000000001</v>
      </c>
      <c r="C1472">
        <v>9</v>
      </c>
      <c r="D1472" t="s">
        <v>559</v>
      </c>
      <c r="F1472">
        <v>1969</v>
      </c>
      <c r="G1472" s="1" t="s">
        <v>516</v>
      </c>
      <c r="H1472" s="1" t="s">
        <v>521</v>
      </c>
      <c r="I1472">
        <v>-0.26919999999999999</v>
      </c>
      <c r="J1472">
        <v>53585.450499999999</v>
      </c>
      <c r="K1472">
        <v>8.5999999999999998E-4</v>
      </c>
      <c r="L1472">
        <v>8.5299999999999994E-3</v>
      </c>
      <c r="M1472">
        <v>0.245</v>
      </c>
      <c r="N1472">
        <v>0.19980000000000001</v>
      </c>
      <c r="O1472">
        <v>1.0659999999999999E-2</v>
      </c>
      <c r="P1472" s="3">
        <f t="shared" si="88"/>
        <v>1866.1790753790335</v>
      </c>
      <c r="Q1472" s="3">
        <f t="shared" si="89"/>
        <v>8.6717305794081767E-4</v>
      </c>
      <c r="R1472" s="3">
        <f t="shared" si="90"/>
        <v>8.5299999999999994E-3</v>
      </c>
      <c r="S1472">
        <f t="shared" si="91"/>
        <v>36</v>
      </c>
      <c r="T1472">
        <f>INDEX([1]IDEN_level_ids!$B:$B,MATCH(G1472,[1]IDEN_level_ids!$A:$A,0),1)</f>
        <v>1050</v>
      </c>
      <c r="U1472">
        <f>INDEX([1]IDEN_level_ids!$B:$B,MATCH(H1472,[1]IDEN_level_ids!$A:$A,0),1)</f>
        <v>672</v>
      </c>
    </row>
    <row r="1473" spans="1:21" hidden="1" x14ac:dyDescent="0.25">
      <c r="A1473">
        <v>53571.1031</v>
      </c>
      <c r="B1473">
        <v>1866.6780000000001</v>
      </c>
      <c r="C1473">
        <v>9</v>
      </c>
      <c r="D1473" t="s">
        <v>559</v>
      </c>
      <c r="F1473">
        <v>1969</v>
      </c>
      <c r="G1473" s="1" t="s">
        <v>283</v>
      </c>
      <c r="H1473" s="1" t="s">
        <v>525</v>
      </c>
      <c r="I1473">
        <v>0</v>
      </c>
      <c r="J1473">
        <v>53571.384700000002</v>
      </c>
      <c r="K1473">
        <v>9.8099999999999993E-3</v>
      </c>
      <c r="L1473">
        <v>8.5400000000000007E-3</v>
      </c>
      <c r="M1473">
        <v>0.245</v>
      </c>
      <c r="N1473">
        <v>1.72E-2</v>
      </c>
      <c r="O1473">
        <v>8.6899999999999998E-3</v>
      </c>
      <c r="P1473" s="3">
        <f t="shared" si="88"/>
        <v>1866.6780076066793</v>
      </c>
      <c r="Q1473" s="3">
        <f t="shared" si="89"/>
        <v>9.8122632052763947E-3</v>
      </c>
      <c r="R1473" s="3">
        <f t="shared" si="90"/>
        <v>8.5400000000000007E-3</v>
      </c>
      <c r="S1473">
        <f t="shared" si="91"/>
        <v>36</v>
      </c>
      <c r="T1473">
        <f>INDEX([1]IDEN_level_ids!$B:$B,MATCH(G1473,[1]IDEN_level_ids!$A:$A,0),1)</f>
        <v>1178</v>
      </c>
      <c r="U1473">
        <f>INDEX([1]IDEN_level_ids!$B:$B,MATCH(H1473,[1]IDEN_level_ids!$A:$A,0),1)</f>
        <v>971</v>
      </c>
    </row>
    <row r="1474" spans="1:21" hidden="1" x14ac:dyDescent="0.25">
      <c r="A1474">
        <v>53555.4355</v>
      </c>
      <c r="B1474">
        <v>1867.2240999999999</v>
      </c>
      <c r="C1474">
        <v>9</v>
      </c>
      <c r="D1474" t="s">
        <v>559</v>
      </c>
      <c r="F1474">
        <v>1969</v>
      </c>
      <c r="G1474" s="1" t="s">
        <v>69</v>
      </c>
      <c r="H1474" s="1" t="s">
        <v>524</v>
      </c>
      <c r="I1474">
        <v>0</v>
      </c>
      <c r="J1474">
        <v>53555.488400000002</v>
      </c>
      <c r="K1474">
        <v>1.8400000000000001E-3</v>
      </c>
      <c r="L1474">
        <v>8.5400000000000007E-3</v>
      </c>
      <c r="M1474">
        <v>0.245</v>
      </c>
      <c r="N1474">
        <v>3.1699999999999999E-2</v>
      </c>
      <c r="O1474">
        <v>8.8199999999999997E-3</v>
      </c>
      <c r="P1474" s="3">
        <f t="shared" ref="P1474:P1537" si="92">100000000/$A1474</f>
        <v>1867.2241027710436</v>
      </c>
      <c r="Q1474" s="3">
        <f t="shared" ref="Q1474:Q1537" si="93">100000000/($A1474)-100000000/$J1474</f>
        <v>1.8443703527282196E-3</v>
      </c>
      <c r="R1474" s="3">
        <f t="shared" si="90"/>
        <v>8.5400000000000007E-3</v>
      </c>
      <c r="S1474">
        <f t="shared" si="91"/>
        <v>36</v>
      </c>
      <c r="T1474">
        <f>INDEX([1]IDEN_level_ids!$B:$B,MATCH(G1474,[1]IDEN_level_ids!$A:$A,0),1)</f>
        <v>1218</v>
      </c>
      <c r="U1474">
        <f>INDEX([1]IDEN_level_ids!$B:$B,MATCH(H1474,[1]IDEN_level_ids!$A:$A,0),1)</f>
        <v>998</v>
      </c>
    </row>
    <row r="1475" spans="1:21" hidden="1" x14ac:dyDescent="0.25">
      <c r="A1475">
        <v>53545.662799999998</v>
      </c>
      <c r="B1475">
        <v>1867.5649000000001</v>
      </c>
      <c r="C1475">
        <v>9</v>
      </c>
      <c r="D1475" t="s">
        <v>559</v>
      </c>
      <c r="F1475">
        <v>1969</v>
      </c>
      <c r="G1475" s="1" t="s">
        <v>53</v>
      </c>
      <c r="H1475" s="1" t="s">
        <v>551</v>
      </c>
      <c r="I1475">
        <v>0</v>
      </c>
      <c r="J1475">
        <v>53545.770199999999</v>
      </c>
      <c r="K1475">
        <v>3.7499999999999999E-3</v>
      </c>
      <c r="L1475">
        <v>8.5400000000000007E-3</v>
      </c>
      <c r="M1475">
        <v>0.245</v>
      </c>
      <c r="N1475">
        <v>0.1552</v>
      </c>
      <c r="O1475">
        <v>1.0109999999999999E-2</v>
      </c>
      <c r="P1475" s="3">
        <f t="shared" si="92"/>
        <v>1867.5648926695142</v>
      </c>
      <c r="Q1475" s="3">
        <f t="shared" si="93"/>
        <v>3.7458882134160376E-3</v>
      </c>
      <c r="R1475" s="3">
        <f t="shared" ref="R1475:R1538" si="94">$L1475</f>
        <v>8.5400000000000007E-3</v>
      </c>
      <c r="S1475">
        <f t="shared" si="91"/>
        <v>36</v>
      </c>
      <c r="T1475">
        <f>INDEX([1]IDEN_level_ids!$B:$B,MATCH(G1475,[1]IDEN_level_ids!$A:$A,0),1)</f>
        <v>1231</v>
      </c>
      <c r="U1475">
        <f>INDEX([1]IDEN_level_ids!$B:$B,MATCH(H1475,[1]IDEN_level_ids!$A:$A,0),1)</f>
        <v>1013</v>
      </c>
    </row>
    <row r="1476" spans="1:21" hidden="1" x14ac:dyDescent="0.25">
      <c r="A1476">
        <v>53533.705900000001</v>
      </c>
      <c r="B1476">
        <v>1867.982</v>
      </c>
      <c r="C1476">
        <v>9</v>
      </c>
      <c r="D1476" t="s">
        <v>559</v>
      </c>
      <c r="F1476">
        <v>1969</v>
      </c>
      <c r="G1476" s="1" t="s">
        <v>81</v>
      </c>
      <c r="H1476" s="1" t="s">
        <v>513</v>
      </c>
      <c r="I1476">
        <v>0.19059999999999999</v>
      </c>
      <c r="J1476">
        <v>53533.809099999999</v>
      </c>
      <c r="K1476">
        <v>3.5999999999999999E-3</v>
      </c>
      <c r="L1476">
        <v>8.5500000000000003E-3</v>
      </c>
      <c r="M1476">
        <v>0.245</v>
      </c>
      <c r="N1476">
        <v>1.6199999999999999E-2</v>
      </c>
      <c r="O1476">
        <v>8.6899999999999998E-3</v>
      </c>
      <c r="P1476" s="3">
        <f t="shared" si="92"/>
        <v>1867.9820184090786</v>
      </c>
      <c r="Q1476" s="3">
        <f t="shared" si="93"/>
        <v>3.6010092974265717E-3</v>
      </c>
      <c r="R1476" s="3">
        <f t="shared" si="94"/>
        <v>8.5500000000000003E-3</v>
      </c>
      <c r="S1476">
        <f t="shared" ref="S1476:S1539" si="95">IF(D1476=D1475,S1475,S1475+1)</f>
        <v>36</v>
      </c>
      <c r="T1476">
        <f>INDEX([1]IDEN_level_ids!$B:$B,MATCH(G1476,[1]IDEN_level_ids!$A:$A,0),1)</f>
        <v>1196</v>
      </c>
      <c r="U1476">
        <f>INDEX([1]IDEN_level_ids!$B:$B,MATCH(H1476,[1]IDEN_level_ids!$A:$A,0),1)</f>
        <v>979</v>
      </c>
    </row>
    <row r="1477" spans="1:21" hidden="1" x14ac:dyDescent="0.25">
      <c r="A1477">
        <v>53452.323400000001</v>
      </c>
      <c r="B1477">
        <v>1870.8261</v>
      </c>
      <c r="C1477">
        <v>9</v>
      </c>
      <c r="D1477" t="s">
        <v>559</v>
      </c>
      <c r="F1477">
        <v>1969</v>
      </c>
      <c r="G1477" s="1" t="s">
        <v>194</v>
      </c>
      <c r="H1477" s="1" t="s">
        <v>556</v>
      </c>
      <c r="I1477">
        <v>0</v>
      </c>
      <c r="J1477">
        <v>53452.358399999997</v>
      </c>
      <c r="K1477">
        <v>1.2199999999999999E-3</v>
      </c>
      <c r="L1477">
        <v>8.5699999999999995E-3</v>
      </c>
      <c r="M1477">
        <v>0.245</v>
      </c>
      <c r="N1477">
        <v>2.58E-2</v>
      </c>
      <c r="O1477">
        <v>8.8000000000000005E-3</v>
      </c>
      <c r="P1477" s="3">
        <f t="shared" si="92"/>
        <v>1870.8260677776263</v>
      </c>
      <c r="Q1477" s="3">
        <f t="shared" si="93"/>
        <v>1.2249957594576699E-3</v>
      </c>
      <c r="R1477" s="3">
        <f t="shared" si="94"/>
        <v>8.5699999999999995E-3</v>
      </c>
      <c r="S1477">
        <f t="shared" si="95"/>
        <v>36</v>
      </c>
      <c r="T1477">
        <f>INDEX([1]IDEN_level_ids!$B:$B,MATCH(G1477,[1]IDEN_level_ids!$A:$A,0),1)</f>
        <v>1187</v>
      </c>
      <c r="U1477">
        <f>INDEX([1]IDEN_level_ids!$B:$B,MATCH(H1477,[1]IDEN_level_ids!$A:$A,0),1)</f>
        <v>973</v>
      </c>
    </row>
    <row r="1478" spans="1:21" hidden="1" x14ac:dyDescent="0.25">
      <c r="A1478">
        <v>53397.782299999999</v>
      </c>
      <c r="B1478">
        <v>1872.7369000000001</v>
      </c>
      <c r="C1478">
        <v>9</v>
      </c>
      <c r="D1478" t="s">
        <v>559</v>
      </c>
      <c r="F1478">
        <v>1969</v>
      </c>
      <c r="G1478" s="1" t="s">
        <v>85</v>
      </c>
      <c r="H1478" s="1" t="s">
        <v>490</v>
      </c>
      <c r="I1478">
        <v>0</v>
      </c>
      <c r="J1478">
        <v>53397.866099999999</v>
      </c>
      <c r="K1478">
        <v>2.9399999999999999E-3</v>
      </c>
      <c r="L1478">
        <v>8.5900000000000004E-3</v>
      </c>
      <c r="M1478">
        <v>0.245</v>
      </c>
      <c r="N1478">
        <v>4.4900000000000002E-2</v>
      </c>
      <c r="O1478">
        <v>8.9999999999999993E-3</v>
      </c>
      <c r="P1478" s="3">
        <f t="shared" si="92"/>
        <v>1872.7369507253864</v>
      </c>
      <c r="Q1478" s="3">
        <f t="shared" si="93"/>
        <v>2.9389817971150478E-3</v>
      </c>
      <c r="R1478" s="3">
        <f t="shared" si="94"/>
        <v>8.5900000000000004E-3</v>
      </c>
      <c r="S1478">
        <f t="shared" si="95"/>
        <v>36</v>
      </c>
      <c r="T1478">
        <f>INDEX([1]IDEN_level_ids!$B:$B,MATCH(G1478,[1]IDEN_level_ids!$A:$A,0),1)</f>
        <v>1168</v>
      </c>
      <c r="U1478">
        <f>INDEX([1]IDEN_level_ids!$B:$B,MATCH(H1478,[1]IDEN_level_ids!$A:$A,0),1)</f>
        <v>965</v>
      </c>
    </row>
    <row r="1479" spans="1:21" hidden="1" x14ac:dyDescent="0.25">
      <c r="A1479">
        <v>53377.913500000002</v>
      </c>
      <c r="B1479">
        <v>1873.434</v>
      </c>
      <c r="C1479">
        <v>9</v>
      </c>
      <c r="D1479" t="s">
        <v>559</v>
      </c>
      <c r="F1479">
        <v>1969</v>
      </c>
      <c r="G1479" s="1" t="s">
        <v>22</v>
      </c>
      <c r="H1479" s="1" t="s">
        <v>563</v>
      </c>
      <c r="I1479">
        <v>0</v>
      </c>
      <c r="J1479">
        <v>53378.1394</v>
      </c>
      <c r="K1479">
        <v>7.9299999999999995E-3</v>
      </c>
      <c r="L1479">
        <v>8.6E-3</v>
      </c>
      <c r="M1479">
        <v>0.245</v>
      </c>
      <c r="N1479">
        <v>1.7100000000000001E-2</v>
      </c>
      <c r="O1479">
        <v>8.7500000000000008E-3</v>
      </c>
      <c r="P1479" s="3">
        <f t="shared" si="92"/>
        <v>1873.4340374694489</v>
      </c>
      <c r="Q1479" s="3">
        <f t="shared" si="93"/>
        <v>7.9285032004463574E-3</v>
      </c>
      <c r="R1479" s="3">
        <f t="shared" si="94"/>
        <v>8.6E-3</v>
      </c>
      <c r="S1479">
        <f t="shared" si="95"/>
        <v>36</v>
      </c>
      <c r="T1479">
        <f>INDEX([1]IDEN_level_ids!$B:$B,MATCH(G1479,[1]IDEN_level_ids!$A:$A,0),1)</f>
        <v>1236</v>
      </c>
      <c r="U1479">
        <f>INDEX([1]IDEN_level_ids!$B:$B,MATCH(H1479,[1]IDEN_level_ids!$A:$A,0),1)</f>
        <v>1032</v>
      </c>
    </row>
    <row r="1480" spans="1:21" hidden="1" x14ac:dyDescent="0.25">
      <c r="A1480">
        <v>53376.8897</v>
      </c>
      <c r="B1480">
        <v>1873.47</v>
      </c>
      <c r="C1480">
        <v>9</v>
      </c>
      <c r="D1480" t="s">
        <v>559</v>
      </c>
      <c r="F1480">
        <v>1969</v>
      </c>
      <c r="G1480" s="1" t="s">
        <v>464</v>
      </c>
      <c r="H1480" s="1" t="s">
        <v>546</v>
      </c>
      <c r="I1480">
        <v>0</v>
      </c>
      <c r="J1480">
        <v>53377.001799999998</v>
      </c>
      <c r="K1480">
        <v>3.9300000000000003E-3</v>
      </c>
      <c r="L1480">
        <v>8.6E-3</v>
      </c>
      <c r="M1480">
        <v>0.245</v>
      </c>
      <c r="N1480">
        <v>0.50319999999999998</v>
      </c>
      <c r="O1480">
        <v>1.7309999999999999E-2</v>
      </c>
      <c r="P1480" s="3">
        <f t="shared" si="92"/>
        <v>1873.4699710313021</v>
      </c>
      <c r="Q1480" s="3">
        <f t="shared" si="93"/>
        <v>3.9345781267456914E-3</v>
      </c>
      <c r="R1480" s="3">
        <f t="shared" si="94"/>
        <v>8.6E-3</v>
      </c>
      <c r="S1480">
        <f t="shared" si="95"/>
        <v>36</v>
      </c>
      <c r="T1480">
        <f>INDEX([1]IDEN_level_ids!$B:$B,MATCH(G1480,[1]IDEN_level_ids!$A:$A,0),1)</f>
        <v>1076</v>
      </c>
      <c r="U1480">
        <f>INDEX([1]IDEN_level_ids!$B:$B,MATCH(H1480,[1]IDEN_level_ids!$A:$A,0),1)</f>
        <v>753</v>
      </c>
    </row>
    <row r="1481" spans="1:21" hidden="1" x14ac:dyDescent="0.25">
      <c r="A1481">
        <v>53361.88</v>
      </c>
      <c r="B1481">
        <v>1873.9969000000001</v>
      </c>
      <c r="C1481">
        <v>9</v>
      </c>
      <c r="D1481" t="s">
        <v>559</v>
      </c>
      <c r="F1481">
        <v>1969</v>
      </c>
      <c r="G1481" s="1" t="s">
        <v>141</v>
      </c>
      <c r="H1481" s="1" t="s">
        <v>432</v>
      </c>
      <c r="I1481">
        <v>0</v>
      </c>
      <c r="J1481">
        <v>53362.034899999999</v>
      </c>
      <c r="K1481">
        <v>5.4400000000000004E-3</v>
      </c>
      <c r="L1481">
        <v>8.6E-3</v>
      </c>
      <c r="M1481">
        <v>0.245</v>
      </c>
      <c r="N1481">
        <v>2.5000000000000001E-2</v>
      </c>
      <c r="O1481">
        <v>8.8199999999999997E-3</v>
      </c>
      <c r="P1481" s="3">
        <f t="shared" si="92"/>
        <v>1873.9969431361865</v>
      </c>
      <c r="Q1481" s="3">
        <f t="shared" si="93"/>
        <v>5.439862386083405E-3</v>
      </c>
      <c r="R1481" s="3">
        <f t="shared" si="94"/>
        <v>8.6E-3</v>
      </c>
      <c r="S1481">
        <f t="shared" si="95"/>
        <v>36</v>
      </c>
      <c r="T1481">
        <f>INDEX([1]IDEN_level_ids!$B:$B,MATCH(G1481,[1]IDEN_level_ids!$A:$A,0),1)</f>
        <v>1155</v>
      </c>
      <c r="U1481">
        <f>INDEX([1]IDEN_level_ids!$B:$B,MATCH(H1481,[1]IDEN_level_ids!$A:$A,0),1)</f>
        <v>954</v>
      </c>
    </row>
    <row r="1482" spans="1:21" hidden="1" x14ac:dyDescent="0.25">
      <c r="A1482">
        <v>53324.549500000001</v>
      </c>
      <c r="B1482">
        <v>1875.3089</v>
      </c>
      <c r="C1482">
        <v>9</v>
      </c>
      <c r="D1482" t="s">
        <v>564</v>
      </c>
      <c r="F1482">
        <v>1969</v>
      </c>
      <c r="G1482" s="1" t="s">
        <v>69</v>
      </c>
      <c r="H1482" s="1" t="s">
        <v>565</v>
      </c>
      <c r="I1482">
        <v>0.12280000000000001</v>
      </c>
      <c r="J1482">
        <v>53324.571900000003</v>
      </c>
      <c r="K1482">
        <v>7.9000000000000001E-4</v>
      </c>
      <c r="L1482">
        <v>8.6199999999999992E-3</v>
      </c>
      <c r="M1482">
        <v>0.245</v>
      </c>
      <c r="N1482">
        <v>1.4200000000000001E-2</v>
      </c>
      <c r="O1482">
        <v>8.7399999999999995E-3</v>
      </c>
      <c r="P1482" s="3">
        <f t="shared" si="92"/>
        <v>1875.3088575084914</v>
      </c>
      <c r="Q1482" s="3">
        <f t="shared" si="93"/>
        <v>7.8775913084427884E-4</v>
      </c>
      <c r="R1482" s="3">
        <f t="shared" si="94"/>
        <v>8.6199999999999992E-3</v>
      </c>
      <c r="S1482">
        <f t="shared" si="95"/>
        <v>37</v>
      </c>
      <c r="T1482">
        <f>INDEX([1]IDEN_level_ids!$B:$B,MATCH(G1482,[1]IDEN_level_ids!$A:$A,0),1)</f>
        <v>1218</v>
      </c>
      <c r="U1482">
        <f>INDEX([1]IDEN_level_ids!$B:$B,MATCH(H1482,[1]IDEN_level_ids!$A:$A,0),1)</f>
        <v>1004</v>
      </c>
    </row>
    <row r="1483" spans="1:21" hidden="1" x14ac:dyDescent="0.25">
      <c r="A1483">
        <v>53322.299200000001</v>
      </c>
      <c r="B1483">
        <v>1875.3879999999999</v>
      </c>
      <c r="C1483">
        <v>9</v>
      </c>
      <c r="D1483" t="s">
        <v>564</v>
      </c>
      <c r="F1483">
        <v>1969</v>
      </c>
      <c r="G1483" s="1" t="s">
        <v>56</v>
      </c>
      <c r="H1483" s="1" t="s">
        <v>548</v>
      </c>
      <c r="I1483">
        <v>0</v>
      </c>
      <c r="J1483">
        <v>53322.411999999997</v>
      </c>
      <c r="K1483">
        <v>3.9699999999999996E-3</v>
      </c>
      <c r="L1483">
        <v>8.6199999999999992E-3</v>
      </c>
      <c r="M1483">
        <v>0.245</v>
      </c>
      <c r="N1483">
        <v>2.7199999999999998E-2</v>
      </c>
      <c r="O1483">
        <v>8.8599999999999998E-3</v>
      </c>
      <c r="P1483" s="3">
        <f t="shared" si="92"/>
        <v>1875.3879990231178</v>
      </c>
      <c r="Q1483" s="3">
        <f t="shared" si="93"/>
        <v>3.9672580130627466E-3</v>
      </c>
      <c r="R1483" s="3">
        <f t="shared" si="94"/>
        <v>8.6199999999999992E-3</v>
      </c>
      <c r="S1483">
        <f t="shared" si="95"/>
        <v>37</v>
      </c>
      <c r="T1483">
        <f>INDEX([1]IDEN_level_ids!$B:$B,MATCH(G1483,[1]IDEN_level_ids!$A:$A,0),1)</f>
        <v>1221</v>
      </c>
      <c r="U1483">
        <f>INDEX([1]IDEN_level_ids!$B:$B,MATCH(H1483,[1]IDEN_level_ids!$A:$A,0),1)</f>
        <v>1005</v>
      </c>
    </row>
    <row r="1484" spans="1:21" hidden="1" x14ac:dyDescent="0.25">
      <c r="A1484">
        <v>53311.895199999999</v>
      </c>
      <c r="B1484">
        <v>1875.7539999999999</v>
      </c>
      <c r="C1484">
        <v>9</v>
      </c>
      <c r="D1484" t="s">
        <v>564</v>
      </c>
      <c r="F1484">
        <v>1969</v>
      </c>
      <c r="G1484" s="1" t="s">
        <v>41</v>
      </c>
      <c r="H1484" s="1" t="s">
        <v>452</v>
      </c>
      <c r="I1484">
        <v>0.18779999999999999</v>
      </c>
      <c r="J1484">
        <v>53311.903299999998</v>
      </c>
      <c r="K1484">
        <v>2.9E-4</v>
      </c>
      <c r="L1484">
        <v>8.6199999999999992E-3</v>
      </c>
      <c r="M1484">
        <v>0.245</v>
      </c>
      <c r="N1484">
        <v>1.46E-2</v>
      </c>
      <c r="O1484">
        <v>8.7500000000000008E-3</v>
      </c>
      <c r="P1484" s="3">
        <f t="shared" si="92"/>
        <v>1875.753987451566</v>
      </c>
      <c r="Q1484" s="3">
        <f t="shared" si="93"/>
        <v>2.8499465133791091E-4</v>
      </c>
      <c r="R1484" s="3">
        <f t="shared" si="94"/>
        <v>8.6199999999999992E-3</v>
      </c>
      <c r="S1484">
        <f t="shared" si="95"/>
        <v>37</v>
      </c>
      <c r="T1484">
        <f>INDEX([1]IDEN_level_ids!$B:$B,MATCH(G1484,[1]IDEN_level_ids!$A:$A,0),1)</f>
        <v>1238</v>
      </c>
      <c r="U1484">
        <f>INDEX([1]IDEN_level_ids!$B:$B,MATCH(H1484,[1]IDEN_level_ids!$A:$A,0),1)</f>
        <v>1033</v>
      </c>
    </row>
    <row r="1485" spans="1:21" hidden="1" x14ac:dyDescent="0.25">
      <c r="A1485">
        <v>53289.308599999997</v>
      </c>
      <c r="B1485">
        <v>1876.549</v>
      </c>
      <c r="C1485">
        <v>9</v>
      </c>
      <c r="D1485" t="s">
        <v>564</v>
      </c>
      <c r="F1485">
        <v>1969</v>
      </c>
      <c r="G1485" s="1" t="s">
        <v>69</v>
      </c>
      <c r="H1485" s="1" t="s">
        <v>566</v>
      </c>
      <c r="I1485">
        <v>0</v>
      </c>
      <c r="J1485">
        <v>53289.3269</v>
      </c>
      <c r="K1485">
        <v>6.4000000000000005E-4</v>
      </c>
      <c r="L1485">
        <v>8.6300000000000005E-3</v>
      </c>
      <c r="M1485">
        <v>0.245</v>
      </c>
      <c r="N1485">
        <v>2.4299999999999999E-2</v>
      </c>
      <c r="O1485">
        <v>8.8400000000000006E-3</v>
      </c>
      <c r="P1485" s="3">
        <f t="shared" si="92"/>
        <v>1876.5490231937445</v>
      </c>
      <c r="Q1485" s="3">
        <f t="shared" si="93"/>
        <v>6.4442261009389767E-4</v>
      </c>
      <c r="R1485" s="3">
        <f t="shared" si="94"/>
        <v>8.6300000000000005E-3</v>
      </c>
      <c r="S1485">
        <f t="shared" si="95"/>
        <v>37</v>
      </c>
      <c r="T1485">
        <f>INDEX([1]IDEN_level_ids!$B:$B,MATCH(G1485,[1]IDEN_level_ids!$A:$A,0),1)</f>
        <v>1218</v>
      </c>
      <c r="U1485">
        <f>INDEX([1]IDEN_level_ids!$B:$B,MATCH(H1485,[1]IDEN_level_ids!$A:$A,0),1)</f>
        <v>1000</v>
      </c>
    </row>
    <row r="1486" spans="1:21" hidden="1" x14ac:dyDescent="0.25">
      <c r="A1486">
        <v>53278.406300000002</v>
      </c>
      <c r="B1486">
        <v>1876.933</v>
      </c>
      <c r="C1486">
        <v>9</v>
      </c>
      <c r="D1486" t="s">
        <v>564</v>
      </c>
      <c r="E1486" t="s">
        <v>66</v>
      </c>
      <c r="F1486">
        <v>1969</v>
      </c>
      <c r="G1486" s="1" t="s">
        <v>256</v>
      </c>
      <c r="H1486" s="1" t="s">
        <v>420</v>
      </c>
      <c r="I1486">
        <v>0</v>
      </c>
      <c r="J1486">
        <v>53278.272799999999</v>
      </c>
      <c r="K1486">
        <v>-4.7000000000000002E-3</v>
      </c>
      <c r="L1486">
        <v>2.2620000000000001E-2</v>
      </c>
      <c r="M1486">
        <v>0.64200000000000002</v>
      </c>
      <c r="N1486">
        <v>1.9199999999999998E-2</v>
      </c>
      <c r="O1486">
        <v>2.3060000000000001E-2</v>
      </c>
      <c r="P1486" s="3">
        <f t="shared" si="92"/>
        <v>1876.9330192971631</v>
      </c>
      <c r="Q1486" s="3">
        <f t="shared" si="93"/>
        <v>-4.7030533257839124E-3</v>
      </c>
      <c r="R1486" s="3">
        <f t="shared" si="94"/>
        <v>2.2620000000000001E-2</v>
      </c>
      <c r="S1486">
        <f t="shared" si="95"/>
        <v>37</v>
      </c>
      <c r="T1486">
        <f>INDEX([1]IDEN_level_ids!$B:$B,MATCH(G1486,[1]IDEN_level_ids!$A:$A,0),1)</f>
        <v>1120</v>
      </c>
      <c r="U1486">
        <f>INDEX([1]IDEN_level_ids!$B:$B,MATCH(H1486,[1]IDEN_level_ids!$A:$A,0),1)</f>
        <v>914</v>
      </c>
    </row>
    <row r="1487" spans="1:21" hidden="1" x14ac:dyDescent="0.25">
      <c r="A1487">
        <v>53268.554400000001</v>
      </c>
      <c r="B1487">
        <v>1877.2801999999999</v>
      </c>
      <c r="C1487">
        <v>9</v>
      </c>
      <c r="D1487" t="s">
        <v>564</v>
      </c>
      <c r="F1487">
        <v>1969</v>
      </c>
      <c r="G1487" s="1" t="s">
        <v>18</v>
      </c>
      <c r="H1487" s="1" t="s">
        <v>528</v>
      </c>
      <c r="I1487">
        <v>0</v>
      </c>
      <c r="J1487">
        <v>53268.317000000003</v>
      </c>
      <c r="K1487">
        <v>-8.3700000000000007E-3</v>
      </c>
      <c r="L1487">
        <v>8.6300000000000005E-3</v>
      </c>
      <c r="M1487">
        <v>0.245</v>
      </c>
      <c r="N1487">
        <v>1.66E-2</v>
      </c>
      <c r="O1487">
        <v>8.7799999999999996E-3</v>
      </c>
      <c r="P1487" s="3">
        <f t="shared" si="92"/>
        <v>1877.2801538612807</v>
      </c>
      <c r="Q1487" s="3">
        <f t="shared" si="93"/>
        <v>-8.3664424487324141E-3</v>
      </c>
      <c r="R1487" s="3">
        <f t="shared" si="94"/>
        <v>8.6300000000000005E-3</v>
      </c>
      <c r="S1487">
        <f t="shared" si="95"/>
        <v>37</v>
      </c>
      <c r="T1487">
        <f>INDEX([1]IDEN_level_ids!$B:$B,MATCH(G1487,[1]IDEN_level_ids!$A:$A,0),1)</f>
        <v>1226</v>
      </c>
      <c r="U1487">
        <f>INDEX([1]IDEN_level_ids!$B:$B,MATCH(H1487,[1]IDEN_level_ids!$A:$A,0),1)</f>
        <v>1009</v>
      </c>
    </row>
    <row r="1488" spans="1:21" hidden="1" x14ac:dyDescent="0.25">
      <c r="A1488">
        <v>53256.812899999997</v>
      </c>
      <c r="B1488">
        <v>1877.694</v>
      </c>
      <c r="C1488">
        <v>9</v>
      </c>
      <c r="D1488" t="s">
        <v>564</v>
      </c>
      <c r="F1488">
        <v>1969</v>
      </c>
      <c r="G1488" s="1" t="s">
        <v>243</v>
      </c>
      <c r="H1488" s="1" t="s">
        <v>537</v>
      </c>
      <c r="I1488">
        <v>0</v>
      </c>
      <c r="J1488">
        <v>53256.900500000003</v>
      </c>
      <c r="K1488">
        <v>3.0899999999999999E-3</v>
      </c>
      <c r="L1488">
        <v>8.6400000000000001E-3</v>
      </c>
      <c r="M1488">
        <v>0.245</v>
      </c>
      <c r="N1488">
        <v>1.9900000000000001E-2</v>
      </c>
      <c r="O1488">
        <v>8.8100000000000001E-3</v>
      </c>
      <c r="P1488" s="3">
        <f t="shared" si="92"/>
        <v>1877.6940367755278</v>
      </c>
      <c r="Q1488" s="3">
        <f t="shared" si="93"/>
        <v>3.0885386886438937E-3</v>
      </c>
      <c r="R1488" s="3">
        <f t="shared" si="94"/>
        <v>8.6400000000000001E-3</v>
      </c>
      <c r="S1488">
        <f t="shared" si="95"/>
        <v>37</v>
      </c>
      <c r="T1488">
        <f>INDEX([1]IDEN_level_ids!$B:$B,MATCH(G1488,[1]IDEN_level_ids!$A:$A,0),1)</f>
        <v>1205</v>
      </c>
      <c r="U1488">
        <f>INDEX([1]IDEN_level_ids!$B:$B,MATCH(H1488,[1]IDEN_level_ids!$A:$A,0),1)</f>
        <v>991</v>
      </c>
    </row>
    <row r="1489" spans="1:21" hidden="1" x14ac:dyDescent="0.25">
      <c r="A1489">
        <v>53235.123299999999</v>
      </c>
      <c r="B1489">
        <v>1878.4591</v>
      </c>
      <c r="C1489">
        <v>9</v>
      </c>
      <c r="D1489" t="s">
        <v>564</v>
      </c>
      <c r="F1489">
        <v>1969</v>
      </c>
      <c r="G1489" s="1" t="s">
        <v>76</v>
      </c>
      <c r="H1489" s="1" t="s">
        <v>553</v>
      </c>
      <c r="I1489">
        <v>0</v>
      </c>
      <c r="J1489">
        <v>53235.183599999997</v>
      </c>
      <c r="K1489">
        <v>2.1299999999999999E-3</v>
      </c>
      <c r="L1489">
        <v>8.6400000000000001E-3</v>
      </c>
      <c r="M1489">
        <v>0.245</v>
      </c>
      <c r="N1489">
        <v>2.6100000000000002E-2</v>
      </c>
      <c r="O1489">
        <v>8.8800000000000007E-3</v>
      </c>
      <c r="P1489" s="3">
        <f t="shared" si="92"/>
        <v>1878.4590661406432</v>
      </c>
      <c r="Q1489" s="3">
        <f t="shared" si="93"/>
        <v>2.1277484929669299E-3</v>
      </c>
      <c r="R1489" s="3">
        <f t="shared" si="94"/>
        <v>8.6400000000000001E-3</v>
      </c>
      <c r="S1489">
        <f t="shared" si="95"/>
        <v>37</v>
      </c>
      <c r="T1489">
        <f>INDEX([1]IDEN_level_ids!$B:$B,MATCH(G1489,[1]IDEN_level_ids!$A:$A,0),1)</f>
        <v>1194</v>
      </c>
      <c r="U1489">
        <f>INDEX([1]IDEN_level_ids!$B:$B,MATCH(H1489,[1]IDEN_level_ids!$A:$A,0),1)</f>
        <v>976</v>
      </c>
    </row>
    <row r="1490" spans="1:21" hidden="1" x14ac:dyDescent="0.25">
      <c r="A1490">
        <v>53224.810599999997</v>
      </c>
      <c r="B1490">
        <v>1878.8230000000001</v>
      </c>
      <c r="C1490">
        <v>9</v>
      </c>
      <c r="D1490" t="s">
        <v>564</v>
      </c>
      <c r="F1490">
        <v>1969</v>
      </c>
      <c r="G1490" s="1" t="s">
        <v>295</v>
      </c>
      <c r="H1490" s="1" t="s">
        <v>498</v>
      </c>
      <c r="I1490">
        <v>0</v>
      </c>
      <c r="J1490">
        <v>53224.672700000003</v>
      </c>
      <c r="K1490">
        <v>-4.8700000000000002E-3</v>
      </c>
      <c r="L1490">
        <v>8.6499999999999997E-3</v>
      </c>
      <c r="M1490">
        <v>0.245</v>
      </c>
      <c r="N1490">
        <v>1.7100000000000001E-2</v>
      </c>
      <c r="O1490">
        <v>8.8000000000000005E-3</v>
      </c>
      <c r="P1490" s="3">
        <f t="shared" si="92"/>
        <v>1878.8230314529294</v>
      </c>
      <c r="Q1490" s="3">
        <f t="shared" si="93"/>
        <v>-4.8678494931664318E-3</v>
      </c>
      <c r="R1490" s="3">
        <f t="shared" si="94"/>
        <v>8.6499999999999997E-3</v>
      </c>
      <c r="S1490">
        <f t="shared" si="95"/>
        <v>37</v>
      </c>
      <c r="T1490">
        <f>INDEX([1]IDEN_level_ids!$B:$B,MATCH(G1490,[1]IDEN_level_ids!$A:$A,0),1)</f>
        <v>1152</v>
      </c>
      <c r="U1490">
        <f>INDEX([1]IDEN_level_ids!$B:$B,MATCH(H1490,[1]IDEN_level_ids!$A:$A,0),1)</f>
        <v>953</v>
      </c>
    </row>
    <row r="1491" spans="1:21" hidden="1" x14ac:dyDescent="0.25">
      <c r="A1491">
        <v>53213.1394</v>
      </c>
      <c r="B1491">
        <v>1879.2351000000001</v>
      </c>
      <c r="C1491">
        <v>9</v>
      </c>
      <c r="D1491" t="s">
        <v>564</v>
      </c>
      <c r="F1491">
        <v>1969</v>
      </c>
      <c r="G1491" s="1" t="s">
        <v>81</v>
      </c>
      <c r="H1491" s="1" t="s">
        <v>542</v>
      </c>
      <c r="I1491">
        <v>0</v>
      </c>
      <c r="J1491">
        <v>53213.159200000002</v>
      </c>
      <c r="K1491">
        <v>6.9999999999999999E-4</v>
      </c>
      <c r="L1491">
        <v>8.6499999999999997E-3</v>
      </c>
      <c r="M1491">
        <v>0.245</v>
      </c>
      <c r="N1491">
        <v>3.1099999999999999E-2</v>
      </c>
      <c r="O1491">
        <v>8.9300000000000004E-3</v>
      </c>
      <c r="P1491" s="3">
        <f t="shared" si="92"/>
        <v>1879.2351123715132</v>
      </c>
      <c r="Q1491" s="3">
        <f t="shared" si="93"/>
        <v>6.9924161221024406E-4</v>
      </c>
      <c r="R1491" s="3">
        <f t="shared" si="94"/>
        <v>8.6499999999999997E-3</v>
      </c>
      <c r="S1491">
        <f t="shared" si="95"/>
        <v>37</v>
      </c>
      <c r="T1491">
        <f>INDEX([1]IDEN_level_ids!$B:$B,MATCH(G1491,[1]IDEN_level_ids!$A:$A,0),1)</f>
        <v>1196</v>
      </c>
      <c r="U1491">
        <f>INDEX([1]IDEN_level_ids!$B:$B,MATCH(H1491,[1]IDEN_level_ids!$A:$A,0),1)</f>
        <v>981</v>
      </c>
    </row>
    <row r="1492" spans="1:21" hidden="1" x14ac:dyDescent="0.25">
      <c r="A1492">
        <v>53203.627800000002</v>
      </c>
      <c r="B1492">
        <v>1879.5710999999999</v>
      </c>
      <c r="C1492">
        <v>9</v>
      </c>
      <c r="D1492" t="s">
        <v>564</v>
      </c>
      <c r="E1492" t="s">
        <v>52</v>
      </c>
      <c r="F1492">
        <v>1969</v>
      </c>
      <c r="G1492" s="1" t="s">
        <v>244</v>
      </c>
      <c r="H1492" s="1" t="s">
        <v>567</v>
      </c>
      <c r="I1492">
        <v>0</v>
      </c>
      <c r="J1492">
        <v>53203.563699999999</v>
      </c>
      <c r="K1492">
        <v>-2.2599999999999999E-3</v>
      </c>
      <c r="L1492">
        <v>9.75E-3</v>
      </c>
      <c r="M1492">
        <v>0.27600000000000002</v>
      </c>
      <c r="N1492">
        <v>2.3E-2</v>
      </c>
      <c r="O1492">
        <v>9.9799999999999993E-3</v>
      </c>
      <c r="P1492" s="3">
        <f t="shared" si="92"/>
        <v>1879.5710769181796</v>
      </c>
      <c r="Q1492" s="3">
        <f t="shared" si="93"/>
        <v>-2.2645194731012452E-3</v>
      </c>
      <c r="R1492" s="3">
        <f t="shared" si="94"/>
        <v>9.75E-3</v>
      </c>
      <c r="S1492">
        <f t="shared" si="95"/>
        <v>37</v>
      </c>
      <c r="T1492">
        <f>INDEX([1]IDEN_level_ids!$B:$B,MATCH(G1492,[1]IDEN_level_ids!$A:$A,0),1)</f>
        <v>1195</v>
      </c>
      <c r="U1492">
        <f>INDEX([1]IDEN_level_ids!$B:$B,MATCH(H1492,[1]IDEN_level_ids!$A:$A,0),1)</f>
        <v>983</v>
      </c>
    </row>
    <row r="1493" spans="1:21" hidden="1" x14ac:dyDescent="0.25">
      <c r="A1493">
        <v>53200.739699999998</v>
      </c>
      <c r="B1493">
        <v>1879.6731</v>
      </c>
      <c r="C1493">
        <v>9</v>
      </c>
      <c r="D1493" t="s">
        <v>564</v>
      </c>
      <c r="F1493">
        <v>1969</v>
      </c>
      <c r="G1493" s="1" t="s">
        <v>193</v>
      </c>
      <c r="H1493" s="1" t="s">
        <v>568</v>
      </c>
      <c r="I1493">
        <v>0</v>
      </c>
      <c r="J1493">
        <v>53200.8822</v>
      </c>
      <c r="K1493">
        <v>5.0400000000000002E-3</v>
      </c>
      <c r="L1493">
        <v>8.6599999999999993E-3</v>
      </c>
      <c r="M1493">
        <v>0.245</v>
      </c>
      <c r="N1493">
        <v>1.72E-2</v>
      </c>
      <c r="O1493">
        <v>8.8100000000000001E-3</v>
      </c>
      <c r="P1493" s="3">
        <f t="shared" si="92"/>
        <v>1879.6731128909473</v>
      </c>
      <c r="Q1493" s="3">
        <f t="shared" si="93"/>
        <v>5.0347552055427514E-3</v>
      </c>
      <c r="R1493" s="3">
        <f t="shared" si="94"/>
        <v>8.6599999999999993E-3</v>
      </c>
      <c r="S1493">
        <f t="shared" si="95"/>
        <v>37</v>
      </c>
      <c r="T1493">
        <f>INDEX([1]IDEN_level_ids!$B:$B,MATCH(G1493,[1]IDEN_level_ids!$A:$A,0),1)</f>
        <v>1202</v>
      </c>
      <c r="U1493">
        <f>INDEX([1]IDEN_level_ids!$B:$B,MATCH(H1493,[1]IDEN_level_ids!$A:$A,0),1)</f>
        <v>988</v>
      </c>
    </row>
    <row r="1494" spans="1:21" hidden="1" x14ac:dyDescent="0.25">
      <c r="A1494">
        <v>53195.877</v>
      </c>
      <c r="B1494">
        <v>1879.8449000000001</v>
      </c>
      <c r="C1494">
        <v>9</v>
      </c>
      <c r="D1494" t="s">
        <v>564</v>
      </c>
      <c r="F1494">
        <v>1969</v>
      </c>
      <c r="G1494" s="1" t="s">
        <v>528</v>
      </c>
      <c r="H1494" s="1" t="s">
        <v>494</v>
      </c>
      <c r="I1494">
        <v>0</v>
      </c>
      <c r="J1494">
        <v>53195.931499999999</v>
      </c>
      <c r="K1494">
        <v>1.92E-3</v>
      </c>
      <c r="L1494">
        <v>8.6599999999999993E-3</v>
      </c>
      <c r="M1494">
        <v>0.245</v>
      </c>
      <c r="N1494">
        <v>0.14349999999999999</v>
      </c>
      <c r="O1494">
        <v>1.0109999999999999E-2</v>
      </c>
      <c r="P1494" s="3">
        <f t="shared" si="92"/>
        <v>1879.8449361028488</v>
      </c>
      <c r="Q1494" s="3">
        <f t="shared" si="93"/>
        <v>1.9259282830716984E-3</v>
      </c>
      <c r="R1494" s="3">
        <f t="shared" si="94"/>
        <v>8.6599999999999993E-3</v>
      </c>
      <c r="S1494">
        <f t="shared" si="95"/>
        <v>37</v>
      </c>
      <c r="T1494">
        <f>INDEX([1]IDEN_level_ids!$B:$B,MATCH(G1494,[1]IDEN_level_ids!$A:$A,0),1)</f>
        <v>1009</v>
      </c>
      <c r="U1494">
        <f>INDEX([1]IDEN_level_ids!$B:$B,MATCH(H1494,[1]IDEN_level_ids!$A:$A,0),1)</f>
        <v>592</v>
      </c>
    </row>
    <row r="1495" spans="1:21" hidden="1" x14ac:dyDescent="0.25">
      <c r="A1495">
        <v>53165.500399999997</v>
      </c>
      <c r="B1495">
        <v>1880.9190000000001</v>
      </c>
      <c r="C1495">
        <v>9</v>
      </c>
      <c r="D1495" t="s">
        <v>564</v>
      </c>
      <c r="F1495">
        <v>1969</v>
      </c>
      <c r="G1495" s="1" t="s">
        <v>68</v>
      </c>
      <c r="H1495" s="1" t="s">
        <v>551</v>
      </c>
      <c r="I1495">
        <v>0</v>
      </c>
      <c r="J1495">
        <v>53165.564899999998</v>
      </c>
      <c r="K1495">
        <v>2.2799999999999999E-3</v>
      </c>
      <c r="L1495">
        <v>8.6700000000000006E-3</v>
      </c>
      <c r="M1495">
        <v>0.245</v>
      </c>
      <c r="N1495">
        <v>0.1547</v>
      </c>
      <c r="O1495">
        <v>1.025E-2</v>
      </c>
      <c r="P1495" s="3">
        <f t="shared" si="92"/>
        <v>1880.9190028802966</v>
      </c>
      <c r="Q1495" s="3">
        <f t="shared" si="93"/>
        <v>2.2819145422090514E-3</v>
      </c>
      <c r="R1495" s="3">
        <f t="shared" si="94"/>
        <v>8.6700000000000006E-3</v>
      </c>
      <c r="S1495">
        <f t="shared" si="95"/>
        <v>37</v>
      </c>
      <c r="T1495">
        <f>INDEX([1]IDEN_level_ids!$B:$B,MATCH(G1495,[1]IDEN_level_ids!$A:$A,0),1)</f>
        <v>1229</v>
      </c>
      <c r="U1495">
        <f>INDEX([1]IDEN_level_ids!$B:$B,MATCH(H1495,[1]IDEN_level_ids!$A:$A,0),1)</f>
        <v>1013</v>
      </c>
    </row>
    <row r="1496" spans="1:21" hidden="1" x14ac:dyDescent="0.25">
      <c r="A1496">
        <v>53156.882299999997</v>
      </c>
      <c r="B1496">
        <v>1881.2239</v>
      </c>
      <c r="C1496">
        <v>9</v>
      </c>
      <c r="D1496" t="s">
        <v>564</v>
      </c>
      <c r="F1496">
        <v>1969</v>
      </c>
      <c r="G1496" s="1" t="s">
        <v>85</v>
      </c>
      <c r="H1496" s="1" t="s">
        <v>491</v>
      </c>
      <c r="I1496">
        <v>0</v>
      </c>
      <c r="J1496">
        <v>53156.959999999999</v>
      </c>
      <c r="K1496">
        <v>2.7499999999999998E-3</v>
      </c>
      <c r="L1496">
        <v>8.6700000000000006E-3</v>
      </c>
      <c r="M1496">
        <v>0.245</v>
      </c>
      <c r="N1496">
        <v>2.0400000000000001E-2</v>
      </c>
      <c r="O1496">
        <v>8.8500000000000002E-3</v>
      </c>
      <c r="P1496" s="3">
        <f t="shared" si="92"/>
        <v>1881.2239483051851</v>
      </c>
      <c r="Q1496" s="3">
        <f t="shared" si="93"/>
        <v>2.7498017341258674E-3</v>
      </c>
      <c r="R1496" s="3">
        <f t="shared" si="94"/>
        <v>8.6700000000000006E-3</v>
      </c>
      <c r="S1496">
        <f t="shared" si="95"/>
        <v>37</v>
      </c>
      <c r="T1496">
        <f>INDEX([1]IDEN_level_ids!$B:$B,MATCH(G1496,[1]IDEN_level_ids!$A:$A,0),1)</f>
        <v>1168</v>
      </c>
      <c r="U1496">
        <f>INDEX([1]IDEN_level_ids!$B:$B,MATCH(H1496,[1]IDEN_level_ids!$A:$A,0),1)</f>
        <v>967</v>
      </c>
    </row>
    <row r="1497" spans="1:21" hidden="1" x14ac:dyDescent="0.25">
      <c r="A1497">
        <v>53134.088499999998</v>
      </c>
      <c r="B1497">
        <v>1882.0309999999999</v>
      </c>
      <c r="C1497">
        <v>9</v>
      </c>
      <c r="D1497" t="s">
        <v>564</v>
      </c>
      <c r="F1497">
        <v>1969</v>
      </c>
      <c r="G1497" s="1" t="s">
        <v>560</v>
      </c>
      <c r="H1497" s="1" t="s">
        <v>93</v>
      </c>
      <c r="I1497">
        <v>0</v>
      </c>
      <c r="J1497">
        <v>53134.149599999997</v>
      </c>
      <c r="K1497">
        <v>2.1700000000000001E-3</v>
      </c>
      <c r="L1497">
        <v>8.6800000000000002E-3</v>
      </c>
      <c r="M1497">
        <v>0.245</v>
      </c>
      <c r="N1497">
        <v>0.2019</v>
      </c>
      <c r="O1497">
        <v>1.0869999999999999E-2</v>
      </c>
      <c r="P1497" s="3">
        <f t="shared" si="92"/>
        <v>1882.0309677468167</v>
      </c>
      <c r="Q1497" s="3">
        <f t="shared" si="93"/>
        <v>2.1641842956796609E-3</v>
      </c>
      <c r="R1497" s="3">
        <f t="shared" si="94"/>
        <v>8.6800000000000002E-3</v>
      </c>
      <c r="S1497">
        <f t="shared" si="95"/>
        <v>37</v>
      </c>
      <c r="T1497">
        <f>INDEX([1]IDEN_level_ids!$B:$B,MATCH(G1497,[1]IDEN_level_ids!$A:$A,0),1)</f>
        <v>993</v>
      </c>
      <c r="U1497">
        <f>INDEX([1]IDEN_level_ids!$B:$B,MATCH(H1497,[1]IDEN_level_ids!$A:$A,0),1)</f>
        <v>554</v>
      </c>
    </row>
    <row r="1498" spans="1:21" hidden="1" x14ac:dyDescent="0.25">
      <c r="A1498">
        <v>53111.174800000001</v>
      </c>
      <c r="B1498">
        <v>1882.8429000000001</v>
      </c>
      <c r="C1498">
        <v>9</v>
      </c>
      <c r="D1498" t="s">
        <v>564</v>
      </c>
      <c r="F1498">
        <v>1969</v>
      </c>
      <c r="G1498" s="1" t="s">
        <v>467</v>
      </c>
      <c r="H1498" s="1" t="s">
        <v>523</v>
      </c>
      <c r="I1498">
        <v>0</v>
      </c>
      <c r="J1498">
        <v>53111.326000000001</v>
      </c>
      <c r="K1498">
        <v>5.3600000000000002E-3</v>
      </c>
      <c r="L1498">
        <v>8.6800000000000002E-3</v>
      </c>
      <c r="M1498">
        <v>0.245</v>
      </c>
      <c r="N1498">
        <v>5.4199999999999998E-2</v>
      </c>
      <c r="O1498">
        <v>9.1800000000000007E-3</v>
      </c>
      <c r="P1498" s="3">
        <f t="shared" si="92"/>
        <v>1882.8429304486031</v>
      </c>
      <c r="Q1498" s="3">
        <f t="shared" si="93"/>
        <v>5.3601721615450515E-3</v>
      </c>
      <c r="R1498" s="3">
        <f t="shared" si="94"/>
        <v>8.6800000000000002E-3</v>
      </c>
      <c r="S1498">
        <f t="shared" si="95"/>
        <v>37</v>
      </c>
      <c r="T1498">
        <f>INDEX([1]IDEN_level_ids!$B:$B,MATCH(G1498,[1]IDEN_level_ids!$A:$A,0),1)</f>
        <v>1025</v>
      </c>
      <c r="U1498">
        <f>INDEX([1]IDEN_level_ids!$B:$B,MATCH(H1498,[1]IDEN_level_ids!$A:$A,0),1)</f>
        <v>627</v>
      </c>
    </row>
    <row r="1499" spans="1:21" hidden="1" x14ac:dyDescent="0.25">
      <c r="A1499">
        <v>53101.558900000004</v>
      </c>
      <c r="B1499">
        <v>1883.1839</v>
      </c>
      <c r="C1499">
        <v>9</v>
      </c>
      <c r="D1499" t="s">
        <v>564</v>
      </c>
      <c r="F1499">
        <v>1969</v>
      </c>
      <c r="G1499" s="1" t="s">
        <v>108</v>
      </c>
      <c r="H1499" s="1" t="s">
        <v>440</v>
      </c>
      <c r="I1499">
        <v>0.25940000000000002</v>
      </c>
      <c r="J1499">
        <v>53101.563900000001</v>
      </c>
      <c r="K1499">
        <v>1.8000000000000001E-4</v>
      </c>
      <c r="L1499">
        <v>8.6899999999999998E-3</v>
      </c>
      <c r="M1499">
        <v>0.245</v>
      </c>
      <c r="N1499">
        <v>1.7399999999999999E-2</v>
      </c>
      <c r="O1499">
        <v>8.8400000000000006E-3</v>
      </c>
      <c r="P1499" s="3">
        <f t="shared" si="92"/>
        <v>1883.1838852098181</v>
      </c>
      <c r="Q1499" s="3">
        <f t="shared" si="93"/>
        <v>1.7731906041262846E-4</v>
      </c>
      <c r="R1499" s="3">
        <f t="shared" si="94"/>
        <v>8.6899999999999998E-3</v>
      </c>
      <c r="S1499">
        <f t="shared" si="95"/>
        <v>37</v>
      </c>
      <c r="T1499">
        <f>INDEX([1]IDEN_level_ids!$B:$B,MATCH(G1499,[1]IDEN_level_ids!$A:$A,0),1)</f>
        <v>1149</v>
      </c>
      <c r="U1499">
        <f>INDEX([1]IDEN_level_ids!$B:$B,MATCH(H1499,[1]IDEN_level_ids!$A:$A,0),1)</f>
        <v>948</v>
      </c>
    </row>
    <row r="1500" spans="1:21" hidden="1" x14ac:dyDescent="0.25">
      <c r="A1500">
        <v>53088.503100000002</v>
      </c>
      <c r="B1500">
        <v>1883.6469999999999</v>
      </c>
      <c r="C1500">
        <v>9</v>
      </c>
      <c r="D1500" t="s">
        <v>564</v>
      </c>
      <c r="E1500" t="s">
        <v>52</v>
      </c>
      <c r="F1500">
        <v>1969</v>
      </c>
      <c r="G1500" s="1" t="s">
        <v>27</v>
      </c>
      <c r="H1500" s="1" t="s">
        <v>569</v>
      </c>
      <c r="I1500">
        <v>0</v>
      </c>
      <c r="J1500">
        <v>53088.5838</v>
      </c>
      <c r="K1500">
        <v>2.8600000000000001E-3</v>
      </c>
      <c r="L1500">
        <v>9.7900000000000001E-3</v>
      </c>
      <c r="M1500">
        <v>0.27600000000000002</v>
      </c>
      <c r="N1500">
        <v>1.2E-2</v>
      </c>
      <c r="O1500">
        <v>9.9100000000000004E-3</v>
      </c>
      <c r="P1500" s="3">
        <f t="shared" si="92"/>
        <v>1883.6470075570844</v>
      </c>
      <c r="Q1500" s="3">
        <f t="shared" si="93"/>
        <v>2.8633333690777363E-3</v>
      </c>
      <c r="R1500" s="3">
        <f t="shared" si="94"/>
        <v>9.7900000000000001E-3</v>
      </c>
      <c r="S1500">
        <f t="shared" si="95"/>
        <v>37</v>
      </c>
      <c r="T1500">
        <f>INDEX([1]IDEN_level_ids!$B:$B,MATCH(G1500,[1]IDEN_level_ids!$A:$A,0),1)</f>
        <v>1242</v>
      </c>
      <c r="U1500">
        <f>INDEX([1]IDEN_level_ids!$B:$B,MATCH(H1500,[1]IDEN_level_ids!$A:$A,0),1)</f>
        <v>1049</v>
      </c>
    </row>
    <row r="1501" spans="1:21" hidden="1" x14ac:dyDescent="0.25">
      <c r="A1501">
        <v>53087.008900000001</v>
      </c>
      <c r="B1501">
        <v>1883.7</v>
      </c>
      <c r="C1501">
        <v>9</v>
      </c>
      <c r="D1501" t="s">
        <v>564</v>
      </c>
      <c r="E1501" t="s">
        <v>52</v>
      </c>
      <c r="F1501">
        <v>1969</v>
      </c>
      <c r="G1501" s="1" t="s">
        <v>82</v>
      </c>
      <c r="H1501" s="1" t="s">
        <v>513</v>
      </c>
      <c r="I1501">
        <v>0.19059999999999999</v>
      </c>
      <c r="J1501">
        <v>53087.038099999998</v>
      </c>
      <c r="K1501">
        <v>1.0399999999999999E-3</v>
      </c>
      <c r="L1501">
        <v>9.7999999999999997E-3</v>
      </c>
      <c r="M1501">
        <v>0.27600000000000002</v>
      </c>
      <c r="N1501">
        <v>1.21E-2</v>
      </c>
      <c r="O1501">
        <v>9.9100000000000004E-3</v>
      </c>
      <c r="P1501" s="3">
        <f t="shared" si="92"/>
        <v>1883.7000251487138</v>
      </c>
      <c r="Q1501" s="3">
        <f t="shared" si="93"/>
        <v>1.0361105591982778E-3</v>
      </c>
      <c r="R1501" s="3">
        <f t="shared" si="94"/>
        <v>9.7999999999999997E-3</v>
      </c>
      <c r="S1501">
        <f t="shared" si="95"/>
        <v>37</v>
      </c>
      <c r="T1501">
        <f>INDEX([1]IDEN_level_ids!$B:$B,MATCH(G1501,[1]IDEN_level_ids!$A:$A,0),1)</f>
        <v>1193</v>
      </c>
      <c r="U1501">
        <f>INDEX([1]IDEN_level_ids!$B:$B,MATCH(H1501,[1]IDEN_level_ids!$A:$A,0),1)</f>
        <v>979</v>
      </c>
    </row>
    <row r="1502" spans="1:21" hidden="1" x14ac:dyDescent="0.25">
      <c r="A1502">
        <v>53084.501400000001</v>
      </c>
      <c r="B1502">
        <v>1883.789</v>
      </c>
      <c r="C1502">
        <v>9</v>
      </c>
      <c r="D1502" t="s">
        <v>564</v>
      </c>
      <c r="F1502">
        <v>1969</v>
      </c>
      <c r="G1502" s="1" t="s">
        <v>40</v>
      </c>
      <c r="H1502" s="1" t="s">
        <v>568</v>
      </c>
      <c r="I1502">
        <v>0</v>
      </c>
      <c r="J1502">
        <v>53084.548999999999</v>
      </c>
      <c r="K1502">
        <v>1.6900000000000001E-3</v>
      </c>
      <c r="L1502">
        <v>8.6899999999999998E-3</v>
      </c>
      <c r="M1502">
        <v>0.245</v>
      </c>
      <c r="N1502">
        <v>1.52E-2</v>
      </c>
      <c r="O1502">
        <v>8.8299999999999993E-3</v>
      </c>
      <c r="P1502" s="3">
        <f t="shared" si="92"/>
        <v>1883.7890036205558</v>
      </c>
      <c r="Q1502" s="3">
        <f t="shared" si="93"/>
        <v>1.6891611262508377E-3</v>
      </c>
      <c r="R1502" s="3">
        <f t="shared" si="94"/>
        <v>8.6899999999999998E-3</v>
      </c>
      <c r="S1502">
        <f t="shared" si="95"/>
        <v>37</v>
      </c>
      <c r="T1502">
        <f>INDEX([1]IDEN_level_ids!$B:$B,MATCH(G1502,[1]IDEN_level_ids!$A:$A,0),1)</f>
        <v>1199</v>
      </c>
      <c r="U1502">
        <f>INDEX([1]IDEN_level_ids!$B:$B,MATCH(H1502,[1]IDEN_level_ids!$A:$A,0),1)</f>
        <v>988</v>
      </c>
    </row>
    <row r="1503" spans="1:21" hidden="1" x14ac:dyDescent="0.25">
      <c r="A1503">
        <v>53075.598400000003</v>
      </c>
      <c r="B1503">
        <v>1884.105</v>
      </c>
      <c r="C1503">
        <v>9</v>
      </c>
      <c r="D1503" t="s">
        <v>564</v>
      </c>
      <c r="F1503">
        <v>1969</v>
      </c>
      <c r="G1503" s="1" t="s">
        <v>27</v>
      </c>
      <c r="H1503" s="1" t="s">
        <v>438</v>
      </c>
      <c r="I1503">
        <v>0</v>
      </c>
      <c r="J1503">
        <v>53075.7595</v>
      </c>
      <c r="K1503">
        <v>5.7200000000000003E-3</v>
      </c>
      <c r="L1503">
        <v>8.6999999999999994E-3</v>
      </c>
      <c r="M1503">
        <v>0.245</v>
      </c>
      <c r="N1503">
        <v>1.41E-2</v>
      </c>
      <c r="O1503">
        <v>8.8199999999999997E-3</v>
      </c>
      <c r="P1503" s="3">
        <f t="shared" si="92"/>
        <v>1884.1049939062013</v>
      </c>
      <c r="Q1503" s="3">
        <f t="shared" si="93"/>
        <v>5.7187936145055573E-3</v>
      </c>
      <c r="R1503" s="3">
        <f t="shared" si="94"/>
        <v>8.6999999999999994E-3</v>
      </c>
      <c r="S1503">
        <f t="shared" si="95"/>
        <v>37</v>
      </c>
      <c r="T1503">
        <f>INDEX([1]IDEN_level_ids!$B:$B,MATCH(G1503,[1]IDEN_level_ids!$A:$A,0),1)</f>
        <v>1242</v>
      </c>
      <c r="U1503">
        <f>INDEX([1]IDEN_level_ids!$B:$B,MATCH(H1503,[1]IDEN_level_ids!$A:$A,0),1)</f>
        <v>1051</v>
      </c>
    </row>
    <row r="1504" spans="1:21" hidden="1" x14ac:dyDescent="0.25">
      <c r="A1504">
        <v>53067.316200000001</v>
      </c>
      <c r="B1504">
        <v>1884.3989999999999</v>
      </c>
      <c r="C1504">
        <v>9</v>
      </c>
      <c r="D1504" t="s">
        <v>564</v>
      </c>
      <c r="F1504">
        <v>1969</v>
      </c>
      <c r="G1504" s="1" t="s">
        <v>255</v>
      </c>
      <c r="H1504" s="1" t="s">
        <v>376</v>
      </c>
      <c r="I1504">
        <v>0</v>
      </c>
      <c r="J1504">
        <v>53067.366999999998</v>
      </c>
      <c r="K1504">
        <v>1.81E-3</v>
      </c>
      <c r="L1504">
        <v>8.6999999999999994E-3</v>
      </c>
      <c r="M1504">
        <v>0.245</v>
      </c>
      <c r="N1504">
        <v>5.8900000000000001E-2</v>
      </c>
      <c r="O1504">
        <v>9.2399999999999999E-3</v>
      </c>
      <c r="P1504" s="3">
        <f t="shared" si="92"/>
        <v>1884.399045603139</v>
      </c>
      <c r="Q1504" s="3">
        <f t="shared" si="93"/>
        <v>1.8038858327145135E-3</v>
      </c>
      <c r="R1504" s="3">
        <f t="shared" si="94"/>
        <v>8.6999999999999994E-3</v>
      </c>
      <c r="S1504">
        <f t="shared" si="95"/>
        <v>37</v>
      </c>
      <c r="T1504">
        <f>INDEX([1]IDEN_level_ids!$B:$B,MATCH(G1504,[1]IDEN_level_ids!$A:$A,0),1)</f>
        <v>1111</v>
      </c>
      <c r="U1504">
        <f>INDEX([1]IDEN_level_ids!$B:$B,MATCH(H1504,[1]IDEN_level_ids!$A:$A,0),1)</f>
        <v>913</v>
      </c>
    </row>
    <row r="1505" spans="1:21" hidden="1" x14ac:dyDescent="0.25">
      <c r="A1505">
        <v>53060.167999999998</v>
      </c>
      <c r="B1505">
        <v>1884.6529</v>
      </c>
      <c r="C1505">
        <v>9</v>
      </c>
      <c r="D1505" t="s">
        <v>564</v>
      </c>
      <c r="F1505">
        <v>1969</v>
      </c>
      <c r="G1505" s="1" t="s">
        <v>299</v>
      </c>
      <c r="H1505" s="1" t="s">
        <v>359</v>
      </c>
      <c r="I1505">
        <v>0</v>
      </c>
      <c r="J1505">
        <v>53060.357199999999</v>
      </c>
      <c r="K1505">
        <v>6.7200000000000003E-3</v>
      </c>
      <c r="L1505">
        <v>8.6999999999999994E-3</v>
      </c>
      <c r="M1505">
        <v>0.245</v>
      </c>
      <c r="N1505">
        <v>0.1237</v>
      </c>
      <c r="O1505">
        <v>9.9299999999999996E-3</v>
      </c>
      <c r="P1505" s="3">
        <f t="shared" si="92"/>
        <v>1884.652909504546</v>
      </c>
      <c r="Q1505" s="3">
        <f t="shared" si="93"/>
        <v>6.7202022244146065E-3</v>
      </c>
      <c r="R1505" s="3">
        <f t="shared" si="94"/>
        <v>8.6999999999999994E-3</v>
      </c>
      <c r="S1505">
        <f t="shared" si="95"/>
        <v>37</v>
      </c>
      <c r="T1505">
        <f>INDEX([1]IDEN_level_ids!$B:$B,MATCH(G1505,[1]IDEN_level_ids!$A:$A,0),1)</f>
        <v>1101</v>
      </c>
      <c r="U1505">
        <f>INDEX([1]IDEN_level_ids!$B:$B,MATCH(H1505,[1]IDEN_level_ids!$A:$A,0),1)</f>
        <v>900</v>
      </c>
    </row>
    <row r="1506" spans="1:21" hidden="1" x14ac:dyDescent="0.25">
      <c r="A1506">
        <v>53049.977500000001</v>
      </c>
      <c r="B1506">
        <v>1885.0148999999999</v>
      </c>
      <c r="C1506">
        <v>9</v>
      </c>
      <c r="D1506" t="s">
        <v>564</v>
      </c>
      <c r="F1506">
        <v>1969</v>
      </c>
      <c r="G1506" s="1" t="s">
        <v>197</v>
      </c>
      <c r="H1506" s="1" t="s">
        <v>556</v>
      </c>
      <c r="I1506">
        <v>0</v>
      </c>
      <c r="J1506">
        <v>53050.0118</v>
      </c>
      <c r="K1506">
        <v>1.2199999999999999E-3</v>
      </c>
      <c r="L1506">
        <v>8.7100000000000007E-3</v>
      </c>
      <c r="M1506">
        <v>0.245</v>
      </c>
      <c r="N1506">
        <v>2.4899999999999999E-2</v>
      </c>
      <c r="O1506">
        <v>8.9300000000000004E-3</v>
      </c>
      <c r="P1506" s="3">
        <f t="shared" si="92"/>
        <v>1885.0149370939885</v>
      </c>
      <c r="Q1506" s="3">
        <f t="shared" si="93"/>
        <v>1.2187747024654527E-3</v>
      </c>
      <c r="R1506" s="3">
        <f t="shared" si="94"/>
        <v>8.7100000000000007E-3</v>
      </c>
      <c r="S1506">
        <f t="shared" si="95"/>
        <v>37</v>
      </c>
      <c r="T1506">
        <f>INDEX([1]IDEN_level_ids!$B:$B,MATCH(G1506,[1]IDEN_level_ids!$A:$A,0),1)</f>
        <v>1182</v>
      </c>
      <c r="U1506">
        <f>INDEX([1]IDEN_level_ids!$B:$B,MATCH(H1506,[1]IDEN_level_ids!$A:$A,0),1)</f>
        <v>973</v>
      </c>
    </row>
    <row r="1507" spans="1:21" hidden="1" x14ac:dyDescent="0.25">
      <c r="A1507">
        <v>53041.170700000002</v>
      </c>
      <c r="B1507">
        <v>1885.3279</v>
      </c>
      <c r="C1507">
        <v>9</v>
      </c>
      <c r="D1507" t="s">
        <v>564</v>
      </c>
      <c r="F1507">
        <v>1969</v>
      </c>
      <c r="G1507" s="1" t="s">
        <v>245</v>
      </c>
      <c r="H1507" s="1" t="s">
        <v>491</v>
      </c>
      <c r="I1507">
        <v>0</v>
      </c>
      <c r="J1507">
        <v>53041.012999999999</v>
      </c>
      <c r="K1507">
        <v>-5.6100000000000004E-3</v>
      </c>
      <c r="L1507">
        <v>8.7100000000000007E-3</v>
      </c>
      <c r="M1507">
        <v>0.245</v>
      </c>
      <c r="N1507">
        <v>1.5800000000000002E-2</v>
      </c>
      <c r="O1507">
        <v>8.8500000000000002E-3</v>
      </c>
      <c r="P1507" s="3">
        <f t="shared" si="92"/>
        <v>1885.3279194307074</v>
      </c>
      <c r="Q1507" s="3">
        <f t="shared" si="93"/>
        <v>-5.6054022365970013E-3</v>
      </c>
      <c r="R1507" s="3">
        <f t="shared" si="94"/>
        <v>8.7100000000000007E-3</v>
      </c>
      <c r="S1507">
        <f t="shared" si="95"/>
        <v>37</v>
      </c>
      <c r="T1507">
        <f>INDEX([1]IDEN_level_ids!$B:$B,MATCH(G1507,[1]IDEN_level_ids!$A:$A,0),1)</f>
        <v>1169</v>
      </c>
      <c r="U1507">
        <f>INDEX([1]IDEN_level_ids!$B:$B,MATCH(H1507,[1]IDEN_level_ids!$A:$A,0),1)</f>
        <v>967</v>
      </c>
    </row>
    <row r="1508" spans="1:21" hidden="1" x14ac:dyDescent="0.25">
      <c r="A1508">
        <v>53023.9594</v>
      </c>
      <c r="B1508">
        <v>1885.9399000000001</v>
      </c>
      <c r="C1508">
        <v>9</v>
      </c>
      <c r="D1508" t="s">
        <v>564</v>
      </c>
      <c r="F1508">
        <v>1969</v>
      </c>
      <c r="G1508" s="1" t="s">
        <v>428</v>
      </c>
      <c r="H1508" s="1" t="s">
        <v>512</v>
      </c>
      <c r="I1508">
        <v>-0.2928</v>
      </c>
      <c r="J1508">
        <v>53024.072699999997</v>
      </c>
      <c r="K1508">
        <v>4.0299999999999997E-3</v>
      </c>
      <c r="L1508">
        <v>8.7100000000000007E-3</v>
      </c>
      <c r="M1508">
        <v>0.245</v>
      </c>
      <c r="N1508">
        <v>0.14990000000000001</v>
      </c>
      <c r="O1508">
        <v>1.025E-2</v>
      </c>
      <c r="P1508" s="3">
        <f t="shared" si="92"/>
        <v>1885.9398870164343</v>
      </c>
      <c r="Q1508" s="3">
        <f t="shared" si="93"/>
        <v>4.0298109577179275E-3</v>
      </c>
      <c r="R1508" s="3">
        <f t="shared" si="94"/>
        <v>8.7100000000000007E-3</v>
      </c>
      <c r="S1508">
        <f t="shared" si="95"/>
        <v>37</v>
      </c>
      <c r="T1508">
        <f>INDEX([1]IDEN_level_ids!$B:$B,MATCH(G1508,[1]IDEN_level_ids!$A:$A,0),1)</f>
        <v>1060</v>
      </c>
      <c r="U1508">
        <f>INDEX([1]IDEN_level_ids!$B:$B,MATCH(H1508,[1]IDEN_level_ids!$A:$A,0),1)</f>
        <v>711</v>
      </c>
    </row>
    <row r="1509" spans="1:21" hidden="1" x14ac:dyDescent="0.25">
      <c r="A1509">
        <v>53018.561600000001</v>
      </c>
      <c r="B1509">
        <v>1886.1319000000001</v>
      </c>
      <c r="C1509">
        <v>9</v>
      </c>
      <c r="D1509" t="s">
        <v>564</v>
      </c>
      <c r="F1509">
        <v>1969</v>
      </c>
      <c r="G1509" s="1" t="s">
        <v>55</v>
      </c>
      <c r="H1509" s="1" t="s">
        <v>467</v>
      </c>
      <c r="I1509">
        <v>0</v>
      </c>
      <c r="J1509">
        <v>53018.708599999998</v>
      </c>
      <c r="K1509">
        <v>5.2300000000000003E-3</v>
      </c>
      <c r="L1509">
        <v>8.7200000000000003E-3</v>
      </c>
      <c r="M1509">
        <v>0.245</v>
      </c>
      <c r="N1509">
        <v>1.24E-2</v>
      </c>
      <c r="O1509">
        <v>8.8199999999999997E-3</v>
      </c>
      <c r="P1509" s="3">
        <f t="shared" si="92"/>
        <v>1886.1318938535669</v>
      </c>
      <c r="Q1509" s="3">
        <f t="shared" si="93"/>
        <v>5.2295009763838607E-3</v>
      </c>
      <c r="R1509" s="3">
        <f t="shared" si="94"/>
        <v>8.7200000000000003E-3</v>
      </c>
      <c r="S1509">
        <f t="shared" si="95"/>
        <v>37</v>
      </c>
      <c r="T1509">
        <f>INDEX([1]IDEN_level_ids!$B:$B,MATCH(G1509,[1]IDEN_level_ids!$A:$A,0),1)</f>
        <v>1233</v>
      </c>
      <c r="U1509">
        <f>INDEX([1]IDEN_level_ids!$B:$B,MATCH(H1509,[1]IDEN_level_ids!$A:$A,0),1)</f>
        <v>1025</v>
      </c>
    </row>
    <row r="1510" spans="1:21" hidden="1" x14ac:dyDescent="0.25">
      <c r="A1510">
        <v>53010.689899999998</v>
      </c>
      <c r="B1510">
        <v>1886.412</v>
      </c>
      <c r="C1510">
        <v>9</v>
      </c>
      <c r="D1510" t="s">
        <v>564</v>
      </c>
      <c r="F1510">
        <v>1969</v>
      </c>
      <c r="G1510" s="1" t="s">
        <v>22</v>
      </c>
      <c r="H1510" s="1" t="s">
        <v>452</v>
      </c>
      <c r="I1510">
        <v>0.18779999999999999</v>
      </c>
      <c r="J1510">
        <v>53010.699500000002</v>
      </c>
      <c r="K1510">
        <v>3.4000000000000002E-4</v>
      </c>
      <c r="L1510">
        <v>8.7200000000000003E-3</v>
      </c>
      <c r="M1510">
        <v>0.245</v>
      </c>
      <c r="N1510">
        <v>1.35E-2</v>
      </c>
      <c r="O1510">
        <v>8.8400000000000006E-3</v>
      </c>
      <c r="P1510" s="3">
        <f t="shared" si="92"/>
        <v>1886.4119706542435</v>
      </c>
      <c r="Q1510" s="3">
        <f t="shared" si="93"/>
        <v>3.4162075007770909E-4</v>
      </c>
      <c r="R1510" s="3">
        <f t="shared" si="94"/>
        <v>8.7200000000000003E-3</v>
      </c>
      <c r="S1510">
        <f t="shared" si="95"/>
        <v>37</v>
      </c>
      <c r="T1510">
        <f>INDEX([1]IDEN_level_ids!$B:$B,MATCH(G1510,[1]IDEN_level_ids!$A:$A,0),1)</f>
        <v>1236</v>
      </c>
      <c r="U1510">
        <f>INDEX([1]IDEN_level_ids!$B:$B,MATCH(H1510,[1]IDEN_level_ids!$A:$A,0),1)</f>
        <v>1033</v>
      </c>
    </row>
    <row r="1511" spans="1:21" hidden="1" x14ac:dyDescent="0.25">
      <c r="A1511">
        <v>53008.471400000002</v>
      </c>
      <c r="B1511">
        <v>1886.4909</v>
      </c>
      <c r="C1511">
        <v>9</v>
      </c>
      <c r="D1511" t="s">
        <v>564</v>
      </c>
      <c r="F1511">
        <v>1969</v>
      </c>
      <c r="G1511" s="1" t="s">
        <v>77</v>
      </c>
      <c r="H1511" s="1" t="s">
        <v>568</v>
      </c>
      <c r="I1511">
        <v>0</v>
      </c>
      <c r="J1511">
        <v>53008.5245</v>
      </c>
      <c r="K1511">
        <v>1.89E-3</v>
      </c>
      <c r="L1511">
        <v>8.7200000000000003E-3</v>
      </c>
      <c r="M1511">
        <v>0.245</v>
      </c>
      <c r="N1511">
        <v>1.6400000000000001E-2</v>
      </c>
      <c r="O1511">
        <v>8.8599999999999998E-3</v>
      </c>
      <c r="P1511" s="3">
        <f t="shared" si="92"/>
        <v>1886.4909203927732</v>
      </c>
      <c r="Q1511" s="3">
        <f t="shared" si="93"/>
        <v>1.8897463910434453E-3</v>
      </c>
      <c r="R1511" s="3">
        <f t="shared" si="94"/>
        <v>8.7200000000000003E-3</v>
      </c>
      <c r="S1511">
        <f t="shared" si="95"/>
        <v>37</v>
      </c>
      <c r="T1511">
        <f>INDEX([1]IDEN_level_ids!$B:$B,MATCH(G1511,[1]IDEN_level_ids!$A:$A,0),1)</f>
        <v>1197</v>
      </c>
      <c r="U1511">
        <f>INDEX([1]IDEN_level_ids!$B:$B,MATCH(H1511,[1]IDEN_level_ids!$A:$A,0),1)</f>
        <v>988</v>
      </c>
    </row>
    <row r="1512" spans="1:21" hidden="1" x14ac:dyDescent="0.25">
      <c r="A1512">
        <v>53004.729899999998</v>
      </c>
      <c r="B1512">
        <v>1886.6241</v>
      </c>
      <c r="C1512">
        <v>9</v>
      </c>
      <c r="D1512" t="s">
        <v>564</v>
      </c>
      <c r="F1512">
        <v>1969</v>
      </c>
      <c r="G1512" s="1" t="s">
        <v>79</v>
      </c>
      <c r="H1512" s="1" t="s">
        <v>562</v>
      </c>
      <c r="I1512">
        <v>0</v>
      </c>
      <c r="J1512">
        <v>53004.755599999997</v>
      </c>
      <c r="K1512">
        <v>9.2000000000000003E-4</v>
      </c>
      <c r="L1512">
        <v>8.7200000000000003E-3</v>
      </c>
      <c r="M1512">
        <v>0.245</v>
      </c>
      <c r="N1512">
        <v>1.5699999999999999E-2</v>
      </c>
      <c r="O1512">
        <v>8.8599999999999998E-3</v>
      </c>
      <c r="P1512" s="3">
        <f t="shared" si="92"/>
        <v>1886.6240840895221</v>
      </c>
      <c r="Q1512" s="3">
        <f t="shared" si="93"/>
        <v>9.1475261820050946E-4</v>
      </c>
      <c r="R1512" s="3">
        <f t="shared" si="94"/>
        <v>8.7200000000000003E-3</v>
      </c>
      <c r="S1512">
        <f t="shared" si="95"/>
        <v>37</v>
      </c>
      <c r="T1512">
        <f>INDEX([1]IDEN_level_ids!$B:$B,MATCH(G1512,[1]IDEN_level_ids!$A:$A,0),1)</f>
        <v>1216</v>
      </c>
      <c r="U1512">
        <f>INDEX([1]IDEN_level_ids!$B:$B,MATCH(H1512,[1]IDEN_level_ids!$A:$A,0),1)</f>
        <v>999</v>
      </c>
    </row>
    <row r="1513" spans="1:21" hidden="1" x14ac:dyDescent="0.25">
      <c r="A1513">
        <v>53000.0118</v>
      </c>
      <c r="B1513">
        <v>1886.7919999999999</v>
      </c>
      <c r="C1513">
        <v>9</v>
      </c>
      <c r="D1513" t="s">
        <v>564</v>
      </c>
      <c r="F1513">
        <v>1969</v>
      </c>
      <c r="G1513" s="1" t="s">
        <v>55</v>
      </c>
      <c r="H1513" s="1" t="s">
        <v>470</v>
      </c>
      <c r="I1513">
        <v>0.20880000000000001</v>
      </c>
      <c r="J1513">
        <v>53000.0461</v>
      </c>
      <c r="K1513">
        <v>1.2199999999999999E-3</v>
      </c>
      <c r="L1513">
        <v>8.7200000000000003E-3</v>
      </c>
      <c r="M1513">
        <v>0.245</v>
      </c>
      <c r="N1513">
        <v>1.34E-2</v>
      </c>
      <c r="O1513">
        <v>8.8400000000000006E-3</v>
      </c>
      <c r="P1513" s="3">
        <f t="shared" si="92"/>
        <v>1886.7920327519626</v>
      </c>
      <c r="Q1513" s="3">
        <f t="shared" si="93"/>
        <v>1.2210737818350026E-3</v>
      </c>
      <c r="R1513" s="3">
        <f t="shared" si="94"/>
        <v>8.7200000000000003E-3</v>
      </c>
      <c r="S1513">
        <f t="shared" si="95"/>
        <v>37</v>
      </c>
      <c r="T1513">
        <f>INDEX([1]IDEN_level_ids!$B:$B,MATCH(G1513,[1]IDEN_level_ids!$A:$A,0),1)</f>
        <v>1233</v>
      </c>
      <c r="U1513">
        <f>INDEX([1]IDEN_level_ids!$B:$B,MATCH(H1513,[1]IDEN_level_ids!$A:$A,0),1)</f>
        <v>1026</v>
      </c>
    </row>
    <row r="1514" spans="1:21" hidden="1" x14ac:dyDescent="0.25">
      <c r="A1514">
        <v>52989.1149</v>
      </c>
      <c r="B1514">
        <v>1887.18</v>
      </c>
      <c r="C1514">
        <v>9</v>
      </c>
      <c r="D1514" t="s">
        <v>564</v>
      </c>
      <c r="F1514">
        <v>1969</v>
      </c>
      <c r="G1514" s="1" t="s">
        <v>329</v>
      </c>
      <c r="H1514" s="1" t="s">
        <v>421</v>
      </c>
      <c r="I1514">
        <v>0.2006</v>
      </c>
      <c r="J1514">
        <v>52988.9588</v>
      </c>
      <c r="K1514">
        <v>-5.5599999999999998E-3</v>
      </c>
      <c r="L1514">
        <v>8.7299999999999999E-3</v>
      </c>
      <c r="M1514">
        <v>0.245</v>
      </c>
      <c r="N1514">
        <v>0.18129999999999999</v>
      </c>
      <c r="O1514">
        <v>1.0659999999999999E-2</v>
      </c>
      <c r="P1514" s="3">
        <f t="shared" si="92"/>
        <v>1887.1800404426078</v>
      </c>
      <c r="Q1514" s="3">
        <f t="shared" si="93"/>
        <v>-5.5594374939573754E-3</v>
      </c>
      <c r="R1514" s="3">
        <f t="shared" si="94"/>
        <v>8.7299999999999999E-3</v>
      </c>
      <c r="S1514">
        <f t="shared" si="95"/>
        <v>37</v>
      </c>
      <c r="T1514">
        <f>INDEX([1]IDEN_level_ids!$B:$B,MATCH(G1514,[1]IDEN_level_ids!$A:$A,0),1)</f>
        <v>1138</v>
      </c>
      <c r="U1514">
        <f>INDEX([1]IDEN_level_ids!$B:$B,MATCH(H1514,[1]IDEN_level_ids!$A:$A,0),1)</f>
        <v>930</v>
      </c>
    </row>
    <row r="1515" spans="1:21" hidden="1" x14ac:dyDescent="0.25">
      <c r="A1515">
        <v>52980.412199999999</v>
      </c>
      <c r="B1515">
        <v>1887.49</v>
      </c>
      <c r="C1515">
        <v>9</v>
      </c>
      <c r="D1515" t="s">
        <v>564</v>
      </c>
      <c r="F1515">
        <v>1969</v>
      </c>
      <c r="G1515" s="1" t="s">
        <v>268</v>
      </c>
      <c r="H1515" s="1" t="s">
        <v>474</v>
      </c>
      <c r="I1515">
        <v>0.1988</v>
      </c>
      <c r="J1515">
        <v>52980.447200000002</v>
      </c>
      <c r="K1515">
        <v>1.25E-3</v>
      </c>
      <c r="L1515">
        <v>8.7299999999999999E-3</v>
      </c>
      <c r="M1515">
        <v>0.245</v>
      </c>
      <c r="N1515">
        <v>1.5800000000000002E-2</v>
      </c>
      <c r="O1515">
        <v>8.8699999999999994E-3</v>
      </c>
      <c r="P1515" s="3">
        <f t="shared" si="92"/>
        <v>1887.4900335335633</v>
      </c>
      <c r="Q1515" s="3">
        <f t="shared" si="93"/>
        <v>1.2469156959014072E-3</v>
      </c>
      <c r="R1515" s="3">
        <f t="shared" si="94"/>
        <v>8.7299999999999999E-3</v>
      </c>
      <c r="S1515">
        <f t="shared" si="95"/>
        <v>37</v>
      </c>
      <c r="T1515">
        <f>INDEX([1]IDEN_level_ids!$B:$B,MATCH(G1515,[1]IDEN_level_ids!$A:$A,0),1)</f>
        <v>1160</v>
      </c>
      <c r="U1515">
        <f>INDEX([1]IDEN_level_ids!$B:$B,MATCH(H1515,[1]IDEN_level_ids!$A:$A,0),1)</f>
        <v>959</v>
      </c>
    </row>
    <row r="1516" spans="1:21" hidden="1" x14ac:dyDescent="0.25">
      <c r="A1516">
        <v>52957.8511</v>
      </c>
      <c r="B1516">
        <v>1888.2941000000001</v>
      </c>
      <c r="C1516">
        <v>9</v>
      </c>
      <c r="D1516" t="s">
        <v>564</v>
      </c>
      <c r="F1516">
        <v>1969</v>
      </c>
      <c r="G1516" s="1" t="s">
        <v>56</v>
      </c>
      <c r="H1516" s="1" t="s">
        <v>510</v>
      </c>
      <c r="I1516">
        <v>0</v>
      </c>
      <c r="J1516">
        <v>52957.843399999998</v>
      </c>
      <c r="K1516">
        <v>-2.7E-4</v>
      </c>
      <c r="L1516">
        <v>8.7399999999999995E-3</v>
      </c>
      <c r="M1516">
        <v>0.245</v>
      </c>
      <c r="N1516">
        <v>1.83E-2</v>
      </c>
      <c r="O1516">
        <v>8.8999999999999999E-3</v>
      </c>
      <c r="P1516" s="3">
        <f t="shared" si="92"/>
        <v>1888.294141904863</v>
      </c>
      <c r="Q1516" s="3">
        <f t="shared" si="93"/>
        <v>-2.7455545705379336E-4</v>
      </c>
      <c r="R1516" s="3">
        <f t="shared" si="94"/>
        <v>8.7399999999999995E-3</v>
      </c>
      <c r="S1516">
        <f t="shared" si="95"/>
        <v>37</v>
      </c>
      <c r="T1516">
        <f>INDEX([1]IDEN_level_ids!$B:$B,MATCH(G1516,[1]IDEN_level_ids!$A:$A,0),1)</f>
        <v>1221</v>
      </c>
      <c r="U1516">
        <f>INDEX([1]IDEN_level_ids!$B:$B,MATCH(H1516,[1]IDEN_level_ids!$A:$A,0),1)</f>
        <v>1006</v>
      </c>
    </row>
    <row r="1517" spans="1:21" hidden="1" x14ac:dyDescent="0.25">
      <c r="A1517">
        <v>52919.182200000003</v>
      </c>
      <c r="B1517">
        <v>1889.674</v>
      </c>
      <c r="C1517">
        <v>9</v>
      </c>
      <c r="D1517" t="s">
        <v>564</v>
      </c>
      <c r="F1517">
        <v>1969</v>
      </c>
      <c r="G1517" s="1" t="s">
        <v>276</v>
      </c>
      <c r="H1517" s="1" t="s">
        <v>418</v>
      </c>
      <c r="I1517">
        <v>-0.70099999999999996</v>
      </c>
      <c r="J1517">
        <v>52919.0196</v>
      </c>
      <c r="K1517">
        <v>-5.8100000000000001E-3</v>
      </c>
      <c r="L1517">
        <v>8.7500000000000008E-3</v>
      </c>
      <c r="M1517">
        <v>0.245</v>
      </c>
      <c r="N1517">
        <v>0.25109999999999999</v>
      </c>
      <c r="O1517">
        <v>1.1679999999999999E-2</v>
      </c>
      <c r="P1517" s="3">
        <f t="shared" si="92"/>
        <v>1889.6739488918254</v>
      </c>
      <c r="Q1517" s="3">
        <f t="shared" si="93"/>
        <v>-5.8062486118615197E-3</v>
      </c>
      <c r="R1517" s="3">
        <f t="shared" si="94"/>
        <v>8.7500000000000008E-3</v>
      </c>
      <c r="S1517">
        <f t="shared" si="95"/>
        <v>37</v>
      </c>
      <c r="T1517">
        <f>INDEX([1]IDEN_level_ids!$B:$B,MATCH(G1517,[1]IDEN_level_ids!$A:$A,0),1)</f>
        <v>1131</v>
      </c>
      <c r="U1517">
        <f>INDEX([1]IDEN_level_ids!$B:$B,MATCH(H1517,[1]IDEN_level_ids!$A:$A,0),1)</f>
        <v>925</v>
      </c>
    </row>
    <row r="1518" spans="1:21" hidden="1" x14ac:dyDescent="0.25">
      <c r="A1518">
        <v>52914.759599999998</v>
      </c>
      <c r="B1518">
        <v>1889.8318999999999</v>
      </c>
      <c r="C1518">
        <v>9</v>
      </c>
      <c r="D1518" t="s">
        <v>564</v>
      </c>
      <c r="F1518">
        <v>1969</v>
      </c>
      <c r="G1518" s="1" t="s">
        <v>68</v>
      </c>
      <c r="H1518" s="1" t="s">
        <v>570</v>
      </c>
      <c r="I1518">
        <v>0</v>
      </c>
      <c r="J1518">
        <v>52914.873500000002</v>
      </c>
      <c r="K1518">
        <v>4.0699999999999998E-3</v>
      </c>
      <c r="L1518">
        <v>8.7500000000000008E-3</v>
      </c>
      <c r="M1518">
        <v>0.245</v>
      </c>
      <c r="N1518">
        <v>1.3299999999999999E-2</v>
      </c>
      <c r="O1518">
        <v>8.8699999999999994E-3</v>
      </c>
      <c r="P1518" s="3">
        <f t="shared" si="92"/>
        <v>1889.8318872831089</v>
      </c>
      <c r="Q1518" s="3">
        <f t="shared" si="93"/>
        <v>4.0678893803942628E-3</v>
      </c>
      <c r="R1518" s="3">
        <f t="shared" si="94"/>
        <v>8.7500000000000008E-3</v>
      </c>
      <c r="S1518">
        <f t="shared" si="95"/>
        <v>37</v>
      </c>
      <c r="T1518">
        <f>INDEX([1]IDEN_level_ids!$B:$B,MATCH(G1518,[1]IDEN_level_ids!$A:$A,0),1)</f>
        <v>1229</v>
      </c>
      <c r="U1518">
        <f>INDEX([1]IDEN_level_ids!$B:$B,MATCH(H1518,[1]IDEN_level_ids!$A:$A,0),1)</f>
        <v>1015</v>
      </c>
    </row>
    <row r="1519" spans="1:21" hidden="1" x14ac:dyDescent="0.25">
      <c r="A1519">
        <v>52886.910600000003</v>
      </c>
      <c r="B1519">
        <v>1890.827</v>
      </c>
      <c r="C1519">
        <v>9</v>
      </c>
      <c r="D1519" t="s">
        <v>564</v>
      </c>
      <c r="F1519">
        <v>1969</v>
      </c>
      <c r="G1519" s="1" t="s">
        <v>86</v>
      </c>
      <c r="H1519" s="1" t="s">
        <v>571</v>
      </c>
      <c r="I1519">
        <v>0.32469999999999999</v>
      </c>
      <c r="J1519">
        <v>52886.832499999997</v>
      </c>
      <c r="K1519">
        <v>-2.7899999999999999E-3</v>
      </c>
      <c r="L1519">
        <v>8.7600000000000004E-3</v>
      </c>
      <c r="M1519">
        <v>0.245</v>
      </c>
      <c r="N1519">
        <v>2.64E-2</v>
      </c>
      <c r="O1519">
        <v>8.9999999999999993E-3</v>
      </c>
      <c r="P1519" s="3">
        <f t="shared" si="92"/>
        <v>1890.8270281909793</v>
      </c>
      <c r="Q1519" s="3">
        <f t="shared" si="93"/>
        <v>-2.7922562937874318E-3</v>
      </c>
      <c r="R1519" s="3">
        <f t="shared" si="94"/>
        <v>8.7600000000000004E-3</v>
      </c>
      <c r="S1519">
        <f t="shared" si="95"/>
        <v>37</v>
      </c>
      <c r="T1519">
        <f>INDEX([1]IDEN_level_ids!$B:$B,MATCH(G1519,[1]IDEN_level_ids!$A:$A,0),1)</f>
        <v>1183</v>
      </c>
      <c r="U1519">
        <f>INDEX([1]IDEN_level_ids!$B:$B,MATCH(H1519,[1]IDEN_level_ids!$A:$A,0),1)</f>
        <v>975</v>
      </c>
    </row>
    <row r="1520" spans="1:21" hidden="1" x14ac:dyDescent="0.25">
      <c r="A1520">
        <v>52852.724000000002</v>
      </c>
      <c r="B1520">
        <v>1892.0500999999999</v>
      </c>
      <c r="C1520">
        <v>9</v>
      </c>
      <c r="D1520" t="s">
        <v>564</v>
      </c>
      <c r="F1520">
        <v>1969</v>
      </c>
      <c r="G1520" s="1" t="s">
        <v>77</v>
      </c>
      <c r="H1520" s="1" t="s">
        <v>531</v>
      </c>
      <c r="I1520">
        <v>0</v>
      </c>
      <c r="J1520">
        <v>52852.633800000003</v>
      </c>
      <c r="K1520">
        <v>-3.2299999999999998E-3</v>
      </c>
      <c r="L1520">
        <v>8.77E-3</v>
      </c>
      <c r="M1520">
        <v>0.245</v>
      </c>
      <c r="N1520">
        <v>0.13150000000000001</v>
      </c>
      <c r="O1520">
        <v>1.01E-2</v>
      </c>
      <c r="P1520" s="3">
        <f t="shared" si="92"/>
        <v>1892.0500672775163</v>
      </c>
      <c r="Q1520" s="3">
        <f t="shared" si="93"/>
        <v>-3.2290333290347917E-3</v>
      </c>
      <c r="R1520" s="3">
        <f t="shared" si="94"/>
        <v>8.77E-3</v>
      </c>
      <c r="S1520">
        <f t="shared" si="95"/>
        <v>37</v>
      </c>
      <c r="T1520">
        <f>INDEX([1]IDEN_level_ids!$B:$B,MATCH(G1520,[1]IDEN_level_ids!$A:$A,0),1)</f>
        <v>1197</v>
      </c>
      <c r="U1520">
        <f>INDEX([1]IDEN_level_ids!$B:$B,MATCH(H1520,[1]IDEN_level_ids!$A:$A,0),1)</f>
        <v>990</v>
      </c>
    </row>
    <row r="1521" spans="1:21" hidden="1" x14ac:dyDescent="0.25">
      <c r="A1521">
        <v>52849.0101</v>
      </c>
      <c r="B1521">
        <v>1892.183</v>
      </c>
      <c r="C1521">
        <v>9</v>
      </c>
      <c r="D1521" t="s">
        <v>564</v>
      </c>
      <c r="F1521">
        <v>1969</v>
      </c>
      <c r="G1521" s="1" t="s">
        <v>55</v>
      </c>
      <c r="H1521" s="1" t="s">
        <v>540</v>
      </c>
      <c r="I1521">
        <v>0.25219999999999998</v>
      </c>
      <c r="J1521">
        <v>52848.9876</v>
      </c>
      <c r="K1521">
        <v>-8.0999999999999996E-4</v>
      </c>
      <c r="L1521">
        <v>8.77E-3</v>
      </c>
      <c r="M1521">
        <v>0.245</v>
      </c>
      <c r="N1521">
        <v>1.35E-2</v>
      </c>
      <c r="O1521">
        <v>8.8900000000000003E-3</v>
      </c>
      <c r="P1521" s="3">
        <f t="shared" si="92"/>
        <v>1892.1830287981118</v>
      </c>
      <c r="Q1521" s="3">
        <f t="shared" si="93"/>
        <v>-8.0558058130009158E-4</v>
      </c>
      <c r="R1521" s="3">
        <f t="shared" si="94"/>
        <v>8.77E-3</v>
      </c>
      <c r="S1521">
        <f t="shared" si="95"/>
        <v>37</v>
      </c>
      <c r="T1521">
        <f>INDEX([1]IDEN_level_ids!$B:$B,MATCH(G1521,[1]IDEN_level_ids!$A:$A,0),1)</f>
        <v>1233</v>
      </c>
      <c r="U1521">
        <f>INDEX([1]IDEN_level_ids!$B:$B,MATCH(H1521,[1]IDEN_level_ids!$A:$A,0),1)</f>
        <v>1027</v>
      </c>
    </row>
    <row r="1522" spans="1:21" hidden="1" x14ac:dyDescent="0.25">
      <c r="A1522">
        <v>52846.693299999999</v>
      </c>
      <c r="B1522">
        <v>1892.2660000000001</v>
      </c>
      <c r="C1522">
        <v>9</v>
      </c>
      <c r="D1522" t="s">
        <v>564</v>
      </c>
      <c r="F1522">
        <v>1969</v>
      </c>
      <c r="G1522" s="1" t="s">
        <v>16</v>
      </c>
      <c r="H1522" s="1" t="s">
        <v>528</v>
      </c>
      <c r="I1522">
        <v>0</v>
      </c>
      <c r="J1522">
        <v>52846.735099999998</v>
      </c>
      <c r="K1522">
        <v>1.5E-3</v>
      </c>
      <c r="L1522">
        <v>8.77E-3</v>
      </c>
      <c r="M1522">
        <v>0.245</v>
      </c>
      <c r="N1522">
        <v>2.0500000000000001E-2</v>
      </c>
      <c r="O1522">
        <v>8.9599999999999992E-3</v>
      </c>
      <c r="P1522" s="3">
        <f t="shared" si="92"/>
        <v>1892.2659821366724</v>
      </c>
      <c r="Q1522" s="3">
        <f t="shared" si="93"/>
        <v>1.4967191048071982E-3</v>
      </c>
      <c r="R1522" s="3">
        <f t="shared" si="94"/>
        <v>8.77E-3</v>
      </c>
      <c r="S1522">
        <f t="shared" si="95"/>
        <v>37</v>
      </c>
      <c r="T1522">
        <f>INDEX([1]IDEN_level_ids!$B:$B,MATCH(G1522,[1]IDEN_level_ids!$A:$A,0),1)</f>
        <v>1223</v>
      </c>
      <c r="U1522">
        <f>INDEX([1]IDEN_level_ids!$B:$B,MATCH(H1522,[1]IDEN_level_ids!$A:$A,0),1)</f>
        <v>1009</v>
      </c>
    </row>
    <row r="1523" spans="1:21" hidden="1" x14ac:dyDescent="0.25">
      <c r="A1523">
        <v>52839.991600000001</v>
      </c>
      <c r="B1523">
        <v>1892.5060000000001</v>
      </c>
      <c r="C1523">
        <v>9</v>
      </c>
      <c r="D1523" t="s">
        <v>564</v>
      </c>
      <c r="F1523">
        <v>1969</v>
      </c>
      <c r="G1523" s="1" t="s">
        <v>41</v>
      </c>
      <c r="H1523" s="1" t="s">
        <v>552</v>
      </c>
      <c r="I1523">
        <v>0</v>
      </c>
      <c r="J1523">
        <v>52840.043599999997</v>
      </c>
      <c r="K1523">
        <v>1.8600000000000001E-3</v>
      </c>
      <c r="L1523">
        <v>8.77E-3</v>
      </c>
      <c r="M1523">
        <v>0.245</v>
      </c>
      <c r="N1523">
        <v>1.3899999999999999E-2</v>
      </c>
      <c r="O1523">
        <v>8.8999999999999999E-3</v>
      </c>
      <c r="P1523" s="3">
        <f t="shared" si="92"/>
        <v>1892.5059783696104</v>
      </c>
      <c r="Q1523" s="3">
        <f t="shared" si="93"/>
        <v>1.8624191836806858E-3</v>
      </c>
      <c r="R1523" s="3">
        <f t="shared" si="94"/>
        <v>8.77E-3</v>
      </c>
      <c r="S1523">
        <f t="shared" si="95"/>
        <v>37</v>
      </c>
      <c r="T1523">
        <f>INDEX([1]IDEN_level_ids!$B:$B,MATCH(G1523,[1]IDEN_level_ids!$A:$A,0),1)</f>
        <v>1238</v>
      </c>
      <c r="U1523">
        <f>INDEX([1]IDEN_level_ids!$B:$B,MATCH(H1523,[1]IDEN_level_ids!$A:$A,0),1)</f>
        <v>1040</v>
      </c>
    </row>
    <row r="1524" spans="1:21" hidden="1" x14ac:dyDescent="0.25">
      <c r="A1524">
        <v>52821.154799999997</v>
      </c>
      <c r="B1524">
        <v>1893.1809000000001</v>
      </c>
      <c r="C1524">
        <v>9</v>
      </c>
      <c r="D1524" t="s">
        <v>564</v>
      </c>
      <c r="E1524" t="s">
        <v>45</v>
      </c>
      <c r="F1524">
        <v>1969</v>
      </c>
      <c r="G1524" s="1" t="s">
        <v>304</v>
      </c>
      <c r="H1524" s="1" t="s">
        <v>444</v>
      </c>
      <c r="I1524">
        <v>0</v>
      </c>
      <c r="J1524">
        <v>52820.676800000001</v>
      </c>
      <c r="K1524">
        <v>-1.7129999999999999E-2</v>
      </c>
      <c r="L1524">
        <v>1.728E-2</v>
      </c>
      <c r="M1524">
        <v>0.48199999999999998</v>
      </c>
      <c r="N1524">
        <v>1.6799999999999999E-2</v>
      </c>
      <c r="O1524">
        <v>1.7569999999999999E-2</v>
      </c>
      <c r="P1524" s="3">
        <f t="shared" si="92"/>
        <v>1893.1808738115662</v>
      </c>
      <c r="Q1524" s="3">
        <f t="shared" si="93"/>
        <v>-1.7132314701257201E-2</v>
      </c>
      <c r="R1524" s="3">
        <f t="shared" si="94"/>
        <v>1.728E-2</v>
      </c>
      <c r="S1524">
        <f t="shared" si="95"/>
        <v>37</v>
      </c>
      <c r="T1524">
        <f>INDEX([1]IDEN_level_ids!$B:$B,MATCH(G1524,[1]IDEN_level_ids!$A:$A,0),1)</f>
        <v>1096</v>
      </c>
      <c r="U1524">
        <f>INDEX([1]IDEN_level_ids!$B:$B,MATCH(H1524,[1]IDEN_level_ids!$A:$A,0),1)</f>
        <v>898</v>
      </c>
    </row>
    <row r="1525" spans="1:21" hidden="1" x14ac:dyDescent="0.25">
      <c r="A1525">
        <v>52816.884100000003</v>
      </c>
      <c r="B1525">
        <v>1893.3340000000001</v>
      </c>
      <c r="C1525">
        <v>9</v>
      </c>
      <c r="D1525" t="s">
        <v>564</v>
      </c>
      <c r="E1525" t="s">
        <v>45</v>
      </c>
      <c r="F1525">
        <v>1969</v>
      </c>
      <c r="G1525" s="1" t="s">
        <v>477</v>
      </c>
      <c r="H1525" s="1" t="s">
        <v>521</v>
      </c>
      <c r="I1525">
        <v>-0.2382</v>
      </c>
      <c r="J1525">
        <v>52816.699699999997</v>
      </c>
      <c r="K1525">
        <v>-6.6100000000000004E-3</v>
      </c>
      <c r="L1525">
        <v>1.728E-2</v>
      </c>
      <c r="M1525">
        <v>0.48199999999999998</v>
      </c>
      <c r="N1525">
        <v>5.1900000000000002E-2</v>
      </c>
      <c r="O1525">
        <v>1.823E-2</v>
      </c>
      <c r="P1525" s="3">
        <f t="shared" si="92"/>
        <v>1893.3339537914921</v>
      </c>
      <c r="Q1525" s="3">
        <f t="shared" si="93"/>
        <v>-6.6102346997922723E-3</v>
      </c>
      <c r="R1525" s="3">
        <f t="shared" si="94"/>
        <v>1.728E-2</v>
      </c>
      <c r="S1525">
        <f t="shared" si="95"/>
        <v>37</v>
      </c>
      <c r="T1525">
        <f>INDEX([1]IDEN_level_ids!$B:$B,MATCH(G1525,[1]IDEN_level_ids!$A:$A,0),1)</f>
        <v>1045</v>
      </c>
      <c r="U1525">
        <f>INDEX([1]IDEN_level_ids!$B:$B,MATCH(H1525,[1]IDEN_level_ids!$A:$A,0),1)</f>
        <v>672</v>
      </c>
    </row>
    <row r="1526" spans="1:21" hidden="1" x14ac:dyDescent="0.25">
      <c r="A1526">
        <v>52810.326000000001</v>
      </c>
      <c r="B1526">
        <v>1893.5690999999999</v>
      </c>
      <c r="C1526">
        <v>9</v>
      </c>
      <c r="D1526" t="s">
        <v>564</v>
      </c>
      <c r="F1526">
        <v>1969</v>
      </c>
      <c r="G1526" s="1" t="s">
        <v>38</v>
      </c>
      <c r="H1526" s="1" t="s">
        <v>537</v>
      </c>
      <c r="I1526">
        <v>0</v>
      </c>
      <c r="J1526">
        <v>52810.403100000003</v>
      </c>
      <c r="K1526">
        <v>2.7699999999999999E-3</v>
      </c>
      <c r="L1526">
        <v>8.7799999999999996E-3</v>
      </c>
      <c r="M1526">
        <v>0.245</v>
      </c>
      <c r="N1526">
        <v>1.9400000000000001E-2</v>
      </c>
      <c r="O1526">
        <v>8.9599999999999992E-3</v>
      </c>
      <c r="P1526" s="3">
        <f t="shared" si="92"/>
        <v>1893.5690720788202</v>
      </c>
      <c r="Q1526" s="3">
        <f t="shared" si="93"/>
        <v>2.7644965175568359E-3</v>
      </c>
      <c r="R1526" s="3">
        <f t="shared" si="94"/>
        <v>8.7799999999999996E-3</v>
      </c>
      <c r="S1526">
        <f t="shared" si="95"/>
        <v>37</v>
      </c>
      <c r="T1526">
        <f>INDEX([1]IDEN_level_ids!$B:$B,MATCH(G1526,[1]IDEN_level_ids!$A:$A,0),1)</f>
        <v>1201</v>
      </c>
      <c r="U1526">
        <f>INDEX([1]IDEN_level_ids!$B:$B,MATCH(H1526,[1]IDEN_level_ids!$A:$A,0),1)</f>
        <v>991</v>
      </c>
    </row>
    <row r="1527" spans="1:21" hidden="1" x14ac:dyDescent="0.25">
      <c r="A1527">
        <v>52805.248800000001</v>
      </c>
      <c r="B1527">
        <v>1893.7511</v>
      </c>
      <c r="C1527">
        <v>9</v>
      </c>
      <c r="D1527" t="s">
        <v>564</v>
      </c>
      <c r="F1527">
        <v>1969</v>
      </c>
      <c r="G1527" s="1" t="s">
        <v>275</v>
      </c>
      <c r="H1527" s="1" t="s">
        <v>457</v>
      </c>
      <c r="I1527">
        <v>0</v>
      </c>
      <c r="J1527">
        <v>52805.252099999998</v>
      </c>
      <c r="K1527">
        <v>1.2E-4</v>
      </c>
      <c r="L1527">
        <v>8.7899999999999992E-3</v>
      </c>
      <c r="M1527">
        <v>0.245</v>
      </c>
      <c r="N1527">
        <v>0.1721</v>
      </c>
      <c r="O1527">
        <v>1.061E-2</v>
      </c>
      <c r="P1527" s="3">
        <f t="shared" si="92"/>
        <v>1893.751137860371</v>
      </c>
      <c r="Q1527" s="3">
        <f t="shared" si="93"/>
        <v>1.1834767360596743E-4</v>
      </c>
      <c r="R1527" s="3">
        <f t="shared" si="94"/>
        <v>8.7899999999999992E-3</v>
      </c>
      <c r="S1527">
        <f t="shared" si="95"/>
        <v>37</v>
      </c>
      <c r="T1527">
        <f>INDEX([1]IDEN_level_ids!$B:$B,MATCH(G1527,[1]IDEN_level_ids!$A:$A,0),1)</f>
        <v>1134</v>
      </c>
      <c r="U1527">
        <f>INDEX([1]IDEN_level_ids!$B:$B,MATCH(H1527,[1]IDEN_level_ids!$A:$A,0),1)</f>
        <v>924</v>
      </c>
    </row>
    <row r="1528" spans="1:21" hidden="1" x14ac:dyDescent="0.25">
      <c r="A1528">
        <v>52788.330199999997</v>
      </c>
      <c r="B1528">
        <v>1894.3580999999999</v>
      </c>
      <c r="C1528">
        <v>9</v>
      </c>
      <c r="D1528" t="s">
        <v>564</v>
      </c>
      <c r="F1528">
        <v>1969</v>
      </c>
      <c r="G1528" s="1" t="s">
        <v>223</v>
      </c>
      <c r="H1528" s="1" t="s">
        <v>485</v>
      </c>
      <c r="I1528">
        <v>0</v>
      </c>
      <c r="J1528">
        <v>52788.369200000001</v>
      </c>
      <c r="K1528">
        <v>1.4E-3</v>
      </c>
      <c r="L1528">
        <v>8.7899999999999992E-3</v>
      </c>
      <c r="M1528">
        <v>0.245</v>
      </c>
      <c r="N1528">
        <v>3.1E-2</v>
      </c>
      <c r="O1528">
        <v>9.0699999999999999E-3</v>
      </c>
      <c r="P1528" s="3">
        <f t="shared" si="92"/>
        <v>1894.3580829537209</v>
      </c>
      <c r="Q1528" s="3">
        <f t="shared" si="93"/>
        <v>1.399550059431931E-3</v>
      </c>
      <c r="R1528" s="3">
        <f t="shared" si="94"/>
        <v>8.7899999999999992E-3</v>
      </c>
      <c r="S1528">
        <f t="shared" si="95"/>
        <v>37</v>
      </c>
      <c r="T1528">
        <f>INDEX([1]IDEN_level_ids!$B:$B,MATCH(G1528,[1]IDEN_level_ids!$A:$A,0),1)</f>
        <v>1144</v>
      </c>
      <c r="U1528">
        <f>INDEX([1]IDEN_level_ids!$B:$B,MATCH(H1528,[1]IDEN_level_ids!$A:$A,0),1)</f>
        <v>940</v>
      </c>
    </row>
    <row r="1529" spans="1:21" hidden="1" x14ac:dyDescent="0.25">
      <c r="A1529">
        <v>52783.817300000002</v>
      </c>
      <c r="B1529">
        <v>1894.52</v>
      </c>
      <c r="C1529">
        <v>9</v>
      </c>
      <c r="D1529" t="s">
        <v>564</v>
      </c>
      <c r="F1529">
        <v>1969</v>
      </c>
      <c r="G1529" s="1" t="s">
        <v>20</v>
      </c>
      <c r="H1529" s="1" t="s">
        <v>563</v>
      </c>
      <c r="I1529">
        <v>0</v>
      </c>
      <c r="J1529">
        <v>52783.979700000004</v>
      </c>
      <c r="K1529">
        <v>5.8300000000000001E-3</v>
      </c>
      <c r="L1529">
        <v>8.7899999999999992E-3</v>
      </c>
      <c r="M1529">
        <v>0.245</v>
      </c>
      <c r="N1529">
        <v>1.9800000000000002E-2</v>
      </c>
      <c r="O1529">
        <v>8.9700000000000005E-3</v>
      </c>
      <c r="P1529" s="3">
        <f t="shared" si="92"/>
        <v>1894.5200463930826</v>
      </c>
      <c r="Q1529" s="3">
        <f t="shared" si="93"/>
        <v>5.8288529451147042E-3</v>
      </c>
      <c r="R1529" s="3">
        <f t="shared" si="94"/>
        <v>8.7899999999999992E-3</v>
      </c>
      <c r="S1529">
        <f t="shared" si="95"/>
        <v>37</v>
      </c>
      <c r="T1529">
        <f>INDEX([1]IDEN_level_ids!$B:$B,MATCH(G1529,[1]IDEN_level_ids!$A:$A,0),1)</f>
        <v>1235</v>
      </c>
      <c r="U1529">
        <f>INDEX([1]IDEN_level_ids!$B:$B,MATCH(H1529,[1]IDEN_level_ids!$A:$A,0),1)</f>
        <v>1032</v>
      </c>
    </row>
    <row r="1530" spans="1:21" hidden="1" x14ac:dyDescent="0.25">
      <c r="A1530">
        <v>52779.585200000001</v>
      </c>
      <c r="B1530">
        <v>1894.672</v>
      </c>
      <c r="C1530">
        <v>9</v>
      </c>
      <c r="D1530" t="s">
        <v>564</v>
      </c>
      <c r="F1530">
        <v>1969</v>
      </c>
      <c r="G1530" s="1" t="s">
        <v>33</v>
      </c>
      <c r="H1530" s="1" t="s">
        <v>510</v>
      </c>
      <c r="I1530">
        <v>0</v>
      </c>
      <c r="J1530">
        <v>52779.664499999999</v>
      </c>
      <c r="K1530">
        <v>2.8500000000000001E-3</v>
      </c>
      <c r="L1530">
        <v>8.7899999999999992E-3</v>
      </c>
      <c r="M1530">
        <v>0.245</v>
      </c>
      <c r="N1530">
        <v>1.77E-2</v>
      </c>
      <c r="O1530">
        <v>8.9499999999999996E-3</v>
      </c>
      <c r="P1530" s="3">
        <f t="shared" si="92"/>
        <v>1894.6719573688501</v>
      </c>
      <c r="Q1530" s="3">
        <f t="shared" si="93"/>
        <v>2.8466927108183882E-3</v>
      </c>
      <c r="R1530" s="3">
        <f t="shared" si="94"/>
        <v>8.7899999999999992E-3</v>
      </c>
      <c r="S1530">
        <f t="shared" si="95"/>
        <v>37</v>
      </c>
      <c r="T1530">
        <f>INDEX([1]IDEN_level_ids!$B:$B,MATCH(G1530,[1]IDEN_level_ids!$A:$A,0),1)</f>
        <v>1220</v>
      </c>
      <c r="U1530">
        <f>INDEX([1]IDEN_level_ids!$B:$B,MATCH(H1530,[1]IDEN_level_ids!$A:$A,0),1)</f>
        <v>1006</v>
      </c>
    </row>
    <row r="1531" spans="1:21" hidden="1" x14ac:dyDescent="0.25">
      <c r="A1531">
        <v>52766.384400000003</v>
      </c>
      <c r="B1531">
        <v>1895.146</v>
      </c>
      <c r="C1531">
        <v>9</v>
      </c>
      <c r="D1531" t="s">
        <v>564</v>
      </c>
      <c r="F1531">
        <v>1969</v>
      </c>
      <c r="G1531" s="1" t="s">
        <v>82</v>
      </c>
      <c r="H1531" s="1" t="s">
        <v>542</v>
      </c>
      <c r="I1531">
        <v>0</v>
      </c>
      <c r="J1531">
        <v>52766.388200000001</v>
      </c>
      <c r="K1531">
        <v>1.3999999999999999E-4</v>
      </c>
      <c r="L1531">
        <v>8.8000000000000005E-3</v>
      </c>
      <c r="M1531">
        <v>0.245</v>
      </c>
      <c r="N1531">
        <v>3.1E-2</v>
      </c>
      <c r="O1531">
        <v>9.0799999999999995E-3</v>
      </c>
      <c r="P1531" s="3">
        <f t="shared" si="92"/>
        <v>1895.1459558407794</v>
      </c>
      <c r="Q1531" s="3">
        <f t="shared" si="93"/>
        <v>1.3647996138388407E-4</v>
      </c>
      <c r="R1531" s="3">
        <f t="shared" si="94"/>
        <v>8.8000000000000005E-3</v>
      </c>
      <c r="S1531">
        <f t="shared" si="95"/>
        <v>37</v>
      </c>
      <c r="T1531">
        <f>INDEX([1]IDEN_level_ids!$B:$B,MATCH(G1531,[1]IDEN_level_ids!$A:$A,0),1)</f>
        <v>1193</v>
      </c>
      <c r="U1531">
        <f>INDEX([1]IDEN_level_ids!$B:$B,MATCH(H1531,[1]IDEN_level_ids!$A:$A,0),1)</f>
        <v>981</v>
      </c>
    </row>
    <row r="1532" spans="1:21" hidden="1" x14ac:dyDescent="0.25">
      <c r="A1532">
        <v>52757.248500000002</v>
      </c>
      <c r="B1532">
        <v>1895.4740999999999</v>
      </c>
      <c r="C1532">
        <v>9</v>
      </c>
      <c r="D1532" t="s">
        <v>564</v>
      </c>
      <c r="F1532">
        <v>1969</v>
      </c>
      <c r="G1532" s="1" t="s">
        <v>526</v>
      </c>
      <c r="H1532" s="1" t="s">
        <v>561</v>
      </c>
      <c r="I1532">
        <v>0</v>
      </c>
      <c r="J1532">
        <v>52757.211600000002</v>
      </c>
      <c r="K1532">
        <v>-1.33E-3</v>
      </c>
      <c r="L1532">
        <v>8.8000000000000005E-3</v>
      </c>
      <c r="M1532">
        <v>0.245</v>
      </c>
      <c r="N1532">
        <v>5.0500000000000003E-2</v>
      </c>
      <c r="O1532">
        <v>9.2700000000000005E-3</v>
      </c>
      <c r="P1532" s="3">
        <f t="shared" si="92"/>
        <v>1895.474135653606</v>
      </c>
      <c r="Q1532" s="3">
        <f t="shared" si="93"/>
        <v>-1.3257523185075115E-3</v>
      </c>
      <c r="R1532" s="3">
        <f t="shared" si="94"/>
        <v>8.8000000000000005E-3</v>
      </c>
      <c r="S1532">
        <f t="shared" si="95"/>
        <v>37</v>
      </c>
      <c r="T1532">
        <f>INDEX([1]IDEN_level_ids!$B:$B,MATCH(G1532,[1]IDEN_level_ids!$A:$A,0),1)</f>
        <v>989</v>
      </c>
      <c r="U1532">
        <f>INDEX([1]IDEN_level_ids!$B:$B,MATCH(H1532,[1]IDEN_level_ids!$A:$A,0),1)</f>
        <v>545</v>
      </c>
    </row>
    <row r="1533" spans="1:21" hidden="1" x14ac:dyDescent="0.25">
      <c r="A1533">
        <v>52734.553699999997</v>
      </c>
      <c r="B1533">
        <v>1896.2899</v>
      </c>
      <c r="C1533">
        <v>9</v>
      </c>
      <c r="D1533" t="s">
        <v>564</v>
      </c>
      <c r="F1533">
        <v>1969</v>
      </c>
      <c r="G1533" s="1" t="s">
        <v>569</v>
      </c>
      <c r="H1533" s="1" t="s">
        <v>547</v>
      </c>
      <c r="I1533">
        <v>0</v>
      </c>
      <c r="J1533">
        <v>52734.811699999998</v>
      </c>
      <c r="K1533">
        <v>9.2800000000000001E-3</v>
      </c>
      <c r="L1533">
        <v>8.8100000000000001E-3</v>
      </c>
      <c r="M1533">
        <v>0.245</v>
      </c>
      <c r="N1533">
        <v>0.34129999999999999</v>
      </c>
      <c r="O1533">
        <v>1.337E-2</v>
      </c>
      <c r="P1533" s="3">
        <f t="shared" si="92"/>
        <v>1896.2898703739293</v>
      </c>
      <c r="Q1533" s="3">
        <f t="shared" si="93"/>
        <v>9.277416014128903E-3</v>
      </c>
      <c r="R1533" s="3">
        <f t="shared" si="94"/>
        <v>8.8100000000000001E-3</v>
      </c>
      <c r="S1533">
        <f t="shared" si="95"/>
        <v>37</v>
      </c>
      <c r="T1533">
        <f>INDEX([1]IDEN_level_ids!$B:$B,MATCH(G1533,[1]IDEN_level_ids!$A:$A,0),1)</f>
        <v>1049</v>
      </c>
      <c r="U1533">
        <f>INDEX([1]IDEN_level_ids!$B:$B,MATCH(H1533,[1]IDEN_level_ids!$A:$A,0),1)</f>
        <v>690</v>
      </c>
    </row>
    <row r="1534" spans="1:21" hidden="1" x14ac:dyDescent="0.25">
      <c r="A1534">
        <v>52730.652999999998</v>
      </c>
      <c r="B1534">
        <v>1896.4301</v>
      </c>
      <c r="C1534">
        <v>9</v>
      </c>
      <c r="D1534" t="s">
        <v>564</v>
      </c>
      <c r="E1534" t="s">
        <v>52</v>
      </c>
      <c r="F1534">
        <v>1969</v>
      </c>
      <c r="G1534" s="1" t="s">
        <v>511</v>
      </c>
      <c r="H1534" s="1" t="s">
        <v>439</v>
      </c>
      <c r="I1534">
        <v>-0.56940000000000002</v>
      </c>
      <c r="J1534">
        <v>52730.564400000003</v>
      </c>
      <c r="K1534">
        <v>-3.1900000000000001E-3</v>
      </c>
      <c r="L1534">
        <v>9.9299999999999996E-3</v>
      </c>
      <c r="M1534">
        <v>0.27600000000000002</v>
      </c>
      <c r="N1534">
        <v>0.1709</v>
      </c>
      <c r="O1534">
        <v>1.197E-2</v>
      </c>
      <c r="P1534" s="3">
        <f t="shared" si="92"/>
        <v>1896.4301466169973</v>
      </c>
      <c r="Q1534" s="3">
        <f t="shared" si="93"/>
        <v>-3.1864576624229812E-3</v>
      </c>
      <c r="R1534" s="3">
        <f t="shared" si="94"/>
        <v>9.9299999999999996E-3</v>
      </c>
      <c r="S1534">
        <f t="shared" si="95"/>
        <v>37</v>
      </c>
      <c r="T1534">
        <f>INDEX([1]IDEN_level_ids!$B:$B,MATCH(G1534,[1]IDEN_level_ids!$A:$A,0),1)</f>
        <v>1139</v>
      </c>
      <c r="U1534">
        <f>INDEX([1]IDEN_level_ids!$B:$B,MATCH(H1534,[1]IDEN_level_ids!$A:$A,0),1)</f>
        <v>931</v>
      </c>
    </row>
    <row r="1535" spans="1:21" hidden="1" x14ac:dyDescent="0.25">
      <c r="A1535">
        <v>52712.531799999997</v>
      </c>
      <c r="B1535">
        <v>1897.0821000000001</v>
      </c>
      <c r="C1535">
        <v>9</v>
      </c>
      <c r="D1535" t="s">
        <v>564</v>
      </c>
      <c r="F1535">
        <v>1969</v>
      </c>
      <c r="G1535" s="1" t="s">
        <v>55</v>
      </c>
      <c r="H1535" s="1" t="s">
        <v>563</v>
      </c>
      <c r="I1535">
        <v>0</v>
      </c>
      <c r="J1535">
        <v>52712.638200000001</v>
      </c>
      <c r="K1535">
        <v>3.8300000000000001E-3</v>
      </c>
      <c r="L1535">
        <v>8.8199999999999997E-3</v>
      </c>
      <c r="M1535">
        <v>0.245</v>
      </c>
      <c r="N1535">
        <v>1.6299999999999999E-2</v>
      </c>
      <c r="O1535">
        <v>8.9599999999999992E-3</v>
      </c>
      <c r="P1535" s="3">
        <f t="shared" si="92"/>
        <v>1897.0820900695194</v>
      </c>
      <c r="Q1535" s="3">
        <f t="shared" si="93"/>
        <v>3.8292436365736648E-3</v>
      </c>
      <c r="R1535" s="3">
        <f t="shared" si="94"/>
        <v>8.8199999999999997E-3</v>
      </c>
      <c r="S1535">
        <f t="shared" si="95"/>
        <v>37</v>
      </c>
      <c r="T1535">
        <f>INDEX([1]IDEN_level_ids!$B:$B,MATCH(G1535,[1]IDEN_level_ids!$A:$A,0),1)</f>
        <v>1233</v>
      </c>
      <c r="U1535">
        <f>INDEX([1]IDEN_level_ids!$B:$B,MATCH(H1535,[1]IDEN_level_ids!$A:$A,0),1)</f>
        <v>1032</v>
      </c>
    </row>
    <row r="1536" spans="1:21" hidden="1" x14ac:dyDescent="0.25">
      <c r="A1536">
        <v>52681.488599999997</v>
      </c>
      <c r="B1536">
        <v>1898.2</v>
      </c>
      <c r="C1536">
        <v>9</v>
      </c>
      <c r="D1536" t="s">
        <v>564</v>
      </c>
      <c r="F1536">
        <v>1969</v>
      </c>
      <c r="G1536" s="1" t="s">
        <v>41</v>
      </c>
      <c r="H1536" s="1" t="s">
        <v>476</v>
      </c>
      <c r="I1536">
        <v>0</v>
      </c>
      <c r="J1536">
        <v>52681.561300000001</v>
      </c>
      <c r="K1536">
        <v>2.6199999999999999E-3</v>
      </c>
      <c r="L1536">
        <v>8.8299999999999993E-3</v>
      </c>
      <c r="M1536">
        <v>0.245</v>
      </c>
      <c r="N1536">
        <v>1.2999999999999999E-2</v>
      </c>
      <c r="O1536">
        <v>8.94E-3</v>
      </c>
      <c r="P1536" s="3">
        <f t="shared" si="92"/>
        <v>1898.1999684800101</v>
      </c>
      <c r="Q1536" s="3">
        <f t="shared" si="93"/>
        <v>2.6194959739314072E-3</v>
      </c>
      <c r="R1536" s="3">
        <f t="shared" si="94"/>
        <v>8.8299999999999993E-3</v>
      </c>
      <c r="S1536">
        <f t="shared" si="95"/>
        <v>37</v>
      </c>
      <c r="T1536">
        <f>INDEX([1]IDEN_level_ids!$B:$B,MATCH(G1536,[1]IDEN_level_ids!$A:$A,0),1)</f>
        <v>1238</v>
      </c>
      <c r="U1536">
        <f>INDEX([1]IDEN_level_ids!$B:$B,MATCH(H1536,[1]IDEN_level_ids!$A:$A,0),1)</f>
        <v>1037</v>
      </c>
    </row>
    <row r="1537" spans="1:21" hidden="1" x14ac:dyDescent="0.25">
      <c r="A1537">
        <v>52645.683700000001</v>
      </c>
      <c r="B1537">
        <v>1899.491</v>
      </c>
      <c r="C1537">
        <v>9</v>
      </c>
      <c r="D1537" t="s">
        <v>564</v>
      </c>
      <c r="F1537">
        <v>1969</v>
      </c>
      <c r="G1537" s="1" t="s">
        <v>445</v>
      </c>
      <c r="H1537" s="1" t="s">
        <v>519</v>
      </c>
      <c r="I1537">
        <v>0</v>
      </c>
      <c r="J1537">
        <v>52645.7889</v>
      </c>
      <c r="K1537">
        <v>3.8E-3</v>
      </c>
      <c r="L1537">
        <v>8.8400000000000006E-3</v>
      </c>
      <c r="M1537">
        <v>0.245</v>
      </c>
      <c r="N1537">
        <v>8.1199999999999994E-2</v>
      </c>
      <c r="O1537">
        <v>9.6200000000000001E-3</v>
      </c>
      <c r="P1537" s="3">
        <f t="shared" si="92"/>
        <v>1899.4909548491626</v>
      </c>
      <c r="Q1537" s="3">
        <f t="shared" si="93"/>
        <v>3.7956777287035948E-3</v>
      </c>
      <c r="R1537" s="3">
        <f t="shared" si="94"/>
        <v>8.8400000000000006E-3</v>
      </c>
      <c r="S1537">
        <f t="shared" si="95"/>
        <v>37</v>
      </c>
      <c r="T1537">
        <f>INDEX([1]IDEN_level_ids!$B:$B,MATCH(G1537,[1]IDEN_level_ids!$A:$A,0),1)</f>
        <v>1041</v>
      </c>
      <c r="U1537">
        <f>INDEX([1]IDEN_level_ids!$B:$B,MATCH(H1537,[1]IDEN_level_ids!$A:$A,0),1)</f>
        <v>660</v>
      </c>
    </row>
    <row r="1538" spans="1:21" hidden="1" x14ac:dyDescent="0.25">
      <c r="A1538">
        <v>52641.912400000001</v>
      </c>
      <c r="B1538">
        <v>1899.627</v>
      </c>
      <c r="C1538">
        <v>9</v>
      </c>
      <c r="D1538" t="s">
        <v>564</v>
      </c>
      <c r="F1538">
        <v>1969</v>
      </c>
      <c r="G1538" s="1" t="s">
        <v>283</v>
      </c>
      <c r="H1538" s="1" t="s">
        <v>572</v>
      </c>
      <c r="I1538">
        <v>0</v>
      </c>
      <c r="J1538">
        <v>52641.911899999999</v>
      </c>
      <c r="K1538">
        <v>-2.0000000000000002E-5</v>
      </c>
      <c r="L1538">
        <v>8.8400000000000006E-3</v>
      </c>
      <c r="M1538">
        <v>0.245</v>
      </c>
      <c r="N1538">
        <v>0.25779999999999997</v>
      </c>
      <c r="O1538">
        <v>1.191E-2</v>
      </c>
      <c r="P1538" s="3">
        <f t="shared" ref="P1538:P1601" si="96">100000000/$A1538</f>
        <v>1899.6270355861918</v>
      </c>
      <c r="Q1538" s="3">
        <f t="shared" ref="Q1538:Q1601" si="97">100000000/($A1538)-100000000/$J1538</f>
        <v>-1.80429146894312E-5</v>
      </c>
      <c r="R1538" s="3">
        <f t="shared" si="94"/>
        <v>8.8400000000000006E-3</v>
      </c>
      <c r="S1538">
        <f t="shared" si="95"/>
        <v>37</v>
      </c>
      <c r="T1538">
        <f>INDEX([1]IDEN_level_ids!$B:$B,MATCH(G1538,[1]IDEN_level_ids!$A:$A,0),1)</f>
        <v>1178</v>
      </c>
      <c r="U1538">
        <f>INDEX([1]IDEN_level_ids!$B:$B,MATCH(H1538,[1]IDEN_level_ids!$A:$A,0),1)</f>
        <v>977</v>
      </c>
    </row>
    <row r="1539" spans="1:21" hidden="1" x14ac:dyDescent="0.25">
      <c r="A1539">
        <v>52616.040300000001</v>
      </c>
      <c r="B1539">
        <v>1900.5610999999999</v>
      </c>
      <c r="C1539">
        <v>9</v>
      </c>
      <c r="D1539" t="s">
        <v>573</v>
      </c>
      <c r="F1539">
        <v>1969</v>
      </c>
      <c r="G1539" s="1" t="s">
        <v>552</v>
      </c>
      <c r="H1539" s="1" t="s">
        <v>507</v>
      </c>
      <c r="I1539">
        <v>0</v>
      </c>
      <c r="J1539">
        <v>52616.0147</v>
      </c>
      <c r="K1539">
        <v>-9.2000000000000003E-4</v>
      </c>
      <c r="L1539">
        <v>8.8500000000000002E-3</v>
      </c>
      <c r="M1539">
        <v>0.245</v>
      </c>
      <c r="N1539">
        <v>0.12909999999999999</v>
      </c>
      <c r="O1539">
        <v>1.0160000000000001E-2</v>
      </c>
      <c r="P1539" s="3">
        <f t="shared" si="96"/>
        <v>1900.5611108291628</v>
      </c>
      <c r="Q1539" s="3">
        <f t="shared" si="97"/>
        <v>-9.2470637923725008E-4</v>
      </c>
      <c r="R1539" s="3">
        <f t="shared" ref="R1539:R1602" si="98">$L1539</f>
        <v>8.8500000000000002E-3</v>
      </c>
      <c r="S1539">
        <f t="shared" si="95"/>
        <v>38</v>
      </c>
      <c r="T1539">
        <f>INDEX([1]IDEN_level_ids!$B:$B,MATCH(G1539,[1]IDEN_level_ids!$A:$A,0),1)</f>
        <v>1040</v>
      </c>
      <c r="U1539">
        <f>INDEX([1]IDEN_level_ids!$B:$B,MATCH(H1539,[1]IDEN_level_ids!$A:$A,0),1)</f>
        <v>667</v>
      </c>
    </row>
    <row r="1540" spans="1:21" hidden="1" x14ac:dyDescent="0.25">
      <c r="A1540">
        <v>52609.121500000001</v>
      </c>
      <c r="B1540">
        <v>1900.8110999999999</v>
      </c>
      <c r="C1540">
        <v>9</v>
      </c>
      <c r="D1540" t="s">
        <v>573</v>
      </c>
      <c r="F1540">
        <v>1969</v>
      </c>
      <c r="G1540" s="1" t="s">
        <v>230</v>
      </c>
      <c r="H1540" s="1" t="s">
        <v>574</v>
      </c>
      <c r="I1540">
        <v>0</v>
      </c>
      <c r="J1540">
        <v>52609.1803</v>
      </c>
      <c r="K1540">
        <v>2.1199999999999999E-3</v>
      </c>
      <c r="L1540">
        <v>8.8500000000000002E-3</v>
      </c>
      <c r="M1540">
        <v>0.245</v>
      </c>
      <c r="N1540">
        <v>5.6800000000000003E-2</v>
      </c>
      <c r="O1540">
        <v>9.3799999999999994E-3</v>
      </c>
      <c r="P1540" s="3">
        <f t="shared" si="96"/>
        <v>1900.8110599223749</v>
      </c>
      <c r="Q1540" s="3">
        <f t="shared" si="97"/>
        <v>2.124490244568733E-3</v>
      </c>
      <c r="R1540" s="3">
        <f t="shared" si="98"/>
        <v>8.8500000000000002E-3</v>
      </c>
      <c r="S1540">
        <f t="shared" ref="S1540:S1603" si="99">IF(D1540=D1539,S1539,S1539+1)</f>
        <v>38</v>
      </c>
      <c r="T1540">
        <f>INDEX([1]IDEN_level_ids!$B:$B,MATCH(G1540,[1]IDEN_level_ids!$A:$A,0),1)</f>
        <v>1208</v>
      </c>
      <c r="U1540">
        <f>INDEX([1]IDEN_level_ids!$B:$B,MATCH(H1540,[1]IDEN_level_ids!$A:$A,0),1)</f>
        <v>996</v>
      </c>
    </row>
    <row r="1541" spans="1:21" hidden="1" x14ac:dyDescent="0.25">
      <c r="A1541">
        <v>52570.2935</v>
      </c>
      <c r="B1541">
        <v>1902.2149999999999</v>
      </c>
      <c r="C1541">
        <v>9</v>
      </c>
      <c r="D1541" t="s">
        <v>573</v>
      </c>
      <c r="F1541">
        <v>1969</v>
      </c>
      <c r="G1541" s="1" t="s">
        <v>24</v>
      </c>
      <c r="H1541" s="1" t="s">
        <v>438</v>
      </c>
      <c r="I1541">
        <v>0</v>
      </c>
      <c r="J1541">
        <v>52570.344700000001</v>
      </c>
      <c r="K1541">
        <v>1.8500000000000001E-3</v>
      </c>
      <c r="L1541">
        <v>8.8599999999999998E-3</v>
      </c>
      <c r="M1541">
        <v>0.245</v>
      </c>
      <c r="N1541">
        <v>2.2800000000000001E-2</v>
      </c>
      <c r="O1541">
        <v>9.0699999999999999E-3</v>
      </c>
      <c r="P1541" s="3">
        <f t="shared" si="96"/>
        <v>1902.2149838292228</v>
      </c>
      <c r="Q1541" s="3">
        <f t="shared" si="97"/>
        <v>1.8526301801102818E-3</v>
      </c>
      <c r="R1541" s="3">
        <f t="shared" si="98"/>
        <v>8.8599999999999998E-3</v>
      </c>
      <c r="S1541">
        <f t="shared" si="99"/>
        <v>38</v>
      </c>
      <c r="T1541">
        <f>INDEX([1]IDEN_level_ids!$B:$B,MATCH(G1541,[1]IDEN_level_ids!$A:$A,0),1)</f>
        <v>1241</v>
      </c>
      <c r="U1541">
        <f>INDEX([1]IDEN_level_ids!$B:$B,MATCH(H1541,[1]IDEN_level_ids!$A:$A,0),1)</f>
        <v>1051</v>
      </c>
    </row>
    <row r="1542" spans="1:21" hidden="1" x14ac:dyDescent="0.25">
      <c r="A1542">
        <v>52546.3145</v>
      </c>
      <c r="B1542">
        <v>1903.0830000000001</v>
      </c>
      <c r="C1542">
        <v>9</v>
      </c>
      <c r="D1542" t="s">
        <v>573</v>
      </c>
      <c r="E1542" t="s">
        <v>52</v>
      </c>
      <c r="F1542">
        <v>1969</v>
      </c>
      <c r="G1542" s="1" t="s">
        <v>76</v>
      </c>
      <c r="H1542" s="1" t="s">
        <v>542</v>
      </c>
      <c r="I1542">
        <v>0</v>
      </c>
      <c r="J1542">
        <v>52546.3992</v>
      </c>
      <c r="K1542">
        <v>3.0699999999999998E-3</v>
      </c>
      <c r="L1542">
        <v>0.01</v>
      </c>
      <c r="M1542">
        <v>0.27600000000000002</v>
      </c>
      <c r="N1542">
        <v>2.4899999999999999E-2</v>
      </c>
      <c r="O1542">
        <v>1.025E-2</v>
      </c>
      <c r="P1542" s="3">
        <f t="shared" si="96"/>
        <v>1903.0830411522011</v>
      </c>
      <c r="Q1542" s="3">
        <f t="shared" si="97"/>
        <v>3.067596182518173E-3</v>
      </c>
      <c r="R1542" s="3">
        <f t="shared" si="98"/>
        <v>0.01</v>
      </c>
      <c r="S1542">
        <f t="shared" si="99"/>
        <v>38</v>
      </c>
      <c r="T1542">
        <f>INDEX([1]IDEN_level_ids!$B:$B,MATCH(G1542,[1]IDEN_level_ids!$A:$A,0),1)</f>
        <v>1194</v>
      </c>
      <c r="U1542">
        <f>INDEX([1]IDEN_level_ids!$B:$B,MATCH(H1542,[1]IDEN_level_ids!$A:$A,0),1)</f>
        <v>981</v>
      </c>
    </row>
    <row r="1543" spans="1:21" hidden="1" x14ac:dyDescent="0.25">
      <c r="A1543">
        <v>52545.429799999998</v>
      </c>
      <c r="B1543">
        <v>1903.1151</v>
      </c>
      <c r="C1543">
        <v>9</v>
      </c>
      <c r="D1543" t="s">
        <v>573</v>
      </c>
      <c r="E1543" t="s">
        <v>52</v>
      </c>
      <c r="F1543">
        <v>1969</v>
      </c>
      <c r="G1543" s="1" t="s">
        <v>182</v>
      </c>
      <c r="H1543" s="1" t="s">
        <v>574</v>
      </c>
      <c r="I1543">
        <v>0</v>
      </c>
      <c r="J1543">
        <v>52545.535000000003</v>
      </c>
      <c r="K1543">
        <v>3.81E-3</v>
      </c>
      <c r="L1543">
        <v>0.01</v>
      </c>
      <c r="M1543">
        <v>0.27600000000000002</v>
      </c>
      <c r="N1543">
        <v>3.7199999999999997E-2</v>
      </c>
      <c r="O1543">
        <v>1.038E-2</v>
      </c>
      <c r="P1543" s="3">
        <f t="shared" si="96"/>
        <v>1903.115083093297</v>
      </c>
      <c r="Q1543" s="3">
        <f t="shared" si="97"/>
        <v>3.8101754364561202E-3</v>
      </c>
      <c r="R1543" s="3">
        <f t="shared" si="98"/>
        <v>0.01</v>
      </c>
      <c r="S1543">
        <f t="shared" si="99"/>
        <v>38</v>
      </c>
      <c r="T1543">
        <f>INDEX([1]IDEN_level_ids!$B:$B,MATCH(G1543,[1]IDEN_level_ids!$A:$A,0),1)</f>
        <v>1210</v>
      </c>
      <c r="U1543">
        <f>INDEX([1]IDEN_level_ids!$B:$B,MATCH(H1543,[1]IDEN_level_ids!$A:$A,0),1)</f>
        <v>996</v>
      </c>
    </row>
    <row r="1544" spans="1:21" hidden="1" x14ac:dyDescent="0.25">
      <c r="A1544">
        <v>52515.1639</v>
      </c>
      <c r="B1544">
        <v>1904.2119</v>
      </c>
      <c r="C1544">
        <v>9</v>
      </c>
      <c r="D1544" t="s">
        <v>573</v>
      </c>
      <c r="F1544">
        <v>1969</v>
      </c>
      <c r="G1544" s="1" t="s">
        <v>220</v>
      </c>
      <c r="H1544" s="1" t="s">
        <v>479</v>
      </c>
      <c r="I1544">
        <v>0</v>
      </c>
      <c r="J1544">
        <v>52515.233899999999</v>
      </c>
      <c r="K1544">
        <v>2.5400000000000002E-3</v>
      </c>
      <c r="L1544">
        <v>8.8800000000000007E-3</v>
      </c>
      <c r="M1544">
        <v>0.245</v>
      </c>
      <c r="N1544">
        <v>2.2599999999999999E-2</v>
      </c>
      <c r="O1544">
        <v>9.0900000000000009E-3</v>
      </c>
      <c r="P1544" s="3">
        <f t="shared" si="96"/>
        <v>1904.2118994510079</v>
      </c>
      <c r="Q1544" s="3">
        <f t="shared" si="97"/>
        <v>2.5382126873410016E-3</v>
      </c>
      <c r="R1544" s="3">
        <f t="shared" si="98"/>
        <v>8.8800000000000007E-3</v>
      </c>
      <c r="S1544">
        <f t="shared" si="99"/>
        <v>38</v>
      </c>
      <c r="T1544">
        <f>INDEX([1]IDEN_level_ids!$B:$B,MATCH(G1544,[1]IDEN_level_ids!$A:$A,0),1)</f>
        <v>1142</v>
      </c>
      <c r="U1544">
        <f>INDEX([1]IDEN_level_ids!$B:$B,MATCH(H1544,[1]IDEN_level_ids!$A:$A,0),1)</f>
        <v>939</v>
      </c>
    </row>
    <row r="1545" spans="1:21" hidden="1" x14ac:dyDescent="0.25">
      <c r="A1545">
        <v>52497.238400000002</v>
      </c>
      <c r="B1545">
        <v>1904.8621000000001</v>
      </c>
      <c r="C1545">
        <v>9</v>
      </c>
      <c r="D1545" t="s">
        <v>573</v>
      </c>
      <c r="F1545">
        <v>1969</v>
      </c>
      <c r="G1545" s="1" t="s">
        <v>446</v>
      </c>
      <c r="H1545" s="1" t="s">
        <v>575</v>
      </c>
      <c r="I1545">
        <v>-0.23219999999999999</v>
      </c>
      <c r="J1545">
        <v>52497.462299999999</v>
      </c>
      <c r="K1545">
        <v>8.1300000000000001E-3</v>
      </c>
      <c r="L1545">
        <v>8.8900000000000003E-3</v>
      </c>
      <c r="M1545">
        <v>0.245</v>
      </c>
      <c r="N1545">
        <v>7.46E-2</v>
      </c>
      <c r="O1545">
        <v>9.6100000000000005E-3</v>
      </c>
      <c r="P1545" s="3">
        <f t="shared" si="96"/>
        <v>1904.862104136891</v>
      </c>
      <c r="Q1545" s="3">
        <f t="shared" si="97"/>
        <v>8.1241760349257675E-3</v>
      </c>
      <c r="R1545" s="3">
        <f t="shared" si="98"/>
        <v>8.8900000000000003E-3</v>
      </c>
      <c r="S1545">
        <f t="shared" si="99"/>
        <v>38</v>
      </c>
      <c r="T1545">
        <f>INDEX([1]IDEN_level_ids!$B:$B,MATCH(G1545,[1]IDEN_level_ids!$A:$A,0),1)</f>
        <v>1079</v>
      </c>
      <c r="U1545">
        <f>INDEX([1]IDEN_level_ids!$B:$B,MATCH(H1545,[1]IDEN_level_ids!$A:$A,0),1)</f>
        <v>771</v>
      </c>
    </row>
    <row r="1546" spans="1:21" hidden="1" x14ac:dyDescent="0.25">
      <c r="A1546">
        <v>52493.964599999999</v>
      </c>
      <c r="B1546">
        <v>1904.9809</v>
      </c>
      <c r="C1546">
        <v>9</v>
      </c>
      <c r="D1546" t="s">
        <v>573</v>
      </c>
      <c r="F1546">
        <v>1969</v>
      </c>
      <c r="G1546" s="1" t="s">
        <v>77</v>
      </c>
      <c r="H1546" s="1" t="s">
        <v>537</v>
      </c>
      <c r="I1546">
        <v>0</v>
      </c>
      <c r="J1546">
        <v>52494.116499999996</v>
      </c>
      <c r="K1546">
        <v>5.5100000000000001E-3</v>
      </c>
      <c r="L1546">
        <v>8.8900000000000003E-3</v>
      </c>
      <c r="M1546">
        <v>0.245</v>
      </c>
      <c r="N1546">
        <v>1.9800000000000002E-2</v>
      </c>
      <c r="O1546">
        <v>9.0699999999999999E-3</v>
      </c>
      <c r="P1546" s="3">
        <f t="shared" si="96"/>
        <v>1904.980901366326</v>
      </c>
      <c r="Q1546" s="3">
        <f t="shared" si="97"/>
        <v>5.5123624933912652E-3</v>
      </c>
      <c r="R1546" s="3">
        <f t="shared" si="98"/>
        <v>8.8900000000000003E-3</v>
      </c>
      <c r="S1546">
        <f t="shared" si="99"/>
        <v>38</v>
      </c>
      <c r="T1546">
        <f>INDEX([1]IDEN_level_ids!$B:$B,MATCH(G1546,[1]IDEN_level_ids!$A:$A,0),1)</f>
        <v>1197</v>
      </c>
      <c r="U1546">
        <f>INDEX([1]IDEN_level_ids!$B:$B,MATCH(H1546,[1]IDEN_level_ids!$A:$A,0),1)</f>
        <v>991</v>
      </c>
    </row>
    <row r="1547" spans="1:21" hidden="1" x14ac:dyDescent="0.25">
      <c r="A1547">
        <v>52464.796399999999</v>
      </c>
      <c r="B1547">
        <v>1906.04</v>
      </c>
      <c r="C1547">
        <v>9</v>
      </c>
      <c r="D1547" t="s">
        <v>573</v>
      </c>
      <c r="F1547">
        <v>1969</v>
      </c>
      <c r="G1547" s="1" t="s">
        <v>84</v>
      </c>
      <c r="H1547" s="1" t="s">
        <v>554</v>
      </c>
      <c r="I1547">
        <v>0</v>
      </c>
      <c r="J1547">
        <v>52464.922100000003</v>
      </c>
      <c r="K1547">
        <v>4.5700000000000003E-3</v>
      </c>
      <c r="L1547">
        <v>8.8999999999999999E-3</v>
      </c>
      <c r="M1547">
        <v>0.245</v>
      </c>
      <c r="N1547">
        <v>1.5299999999999999E-2</v>
      </c>
      <c r="O1547">
        <v>9.0399999999999994E-3</v>
      </c>
      <c r="P1547" s="3">
        <f t="shared" si="96"/>
        <v>1906.0399898931087</v>
      </c>
      <c r="Q1547" s="3">
        <f t="shared" si="97"/>
        <v>4.566655532016739E-3</v>
      </c>
      <c r="R1547" s="3">
        <f t="shared" si="98"/>
        <v>8.8999999999999999E-3</v>
      </c>
      <c r="S1547">
        <f t="shared" si="99"/>
        <v>38</v>
      </c>
      <c r="T1547">
        <f>INDEX([1]IDEN_level_ids!$B:$B,MATCH(G1547,[1]IDEN_level_ids!$A:$A,0),1)</f>
        <v>1191</v>
      </c>
      <c r="U1547">
        <f>INDEX([1]IDEN_level_ids!$B:$B,MATCH(H1547,[1]IDEN_level_ids!$A:$A,0),1)</f>
        <v>982</v>
      </c>
    </row>
    <row r="1548" spans="1:21" hidden="1" x14ac:dyDescent="0.25">
      <c r="A1548">
        <v>52462.427000000003</v>
      </c>
      <c r="B1548">
        <v>1906.1261</v>
      </c>
      <c r="C1548">
        <v>9</v>
      </c>
      <c r="D1548" t="s">
        <v>573</v>
      </c>
      <c r="F1548">
        <v>1969</v>
      </c>
      <c r="G1548" s="1" t="s">
        <v>68</v>
      </c>
      <c r="H1548" s="1" t="s">
        <v>576</v>
      </c>
      <c r="I1548">
        <v>0.1002</v>
      </c>
      <c r="J1548">
        <v>52462.382799999999</v>
      </c>
      <c r="K1548">
        <v>-1.6100000000000001E-3</v>
      </c>
      <c r="L1548">
        <v>8.8999999999999999E-3</v>
      </c>
      <c r="M1548">
        <v>0.245</v>
      </c>
      <c r="N1548">
        <v>1.29E-2</v>
      </c>
      <c r="O1548">
        <v>9.0200000000000002E-3</v>
      </c>
      <c r="P1548" s="3">
        <f t="shared" si="96"/>
        <v>1906.1260738089757</v>
      </c>
      <c r="Q1548" s="3">
        <f t="shared" si="97"/>
        <v>-1.6059272943493852E-3</v>
      </c>
      <c r="R1548" s="3">
        <f t="shared" si="98"/>
        <v>8.8999999999999999E-3</v>
      </c>
      <c r="S1548">
        <f t="shared" si="99"/>
        <v>38</v>
      </c>
      <c r="T1548">
        <f>INDEX([1]IDEN_level_ids!$B:$B,MATCH(G1548,[1]IDEN_level_ids!$A:$A,0),1)</f>
        <v>1229</v>
      </c>
      <c r="U1548">
        <f>INDEX([1]IDEN_level_ids!$B:$B,MATCH(H1548,[1]IDEN_level_ids!$A:$A,0),1)</f>
        <v>1024</v>
      </c>
    </row>
    <row r="1549" spans="1:21" hidden="1" x14ac:dyDescent="0.25">
      <c r="A1549">
        <v>52445.263099999996</v>
      </c>
      <c r="B1549">
        <v>1906.7499</v>
      </c>
      <c r="C1549">
        <v>9</v>
      </c>
      <c r="D1549" t="s">
        <v>573</v>
      </c>
      <c r="E1549" t="s">
        <v>66</v>
      </c>
      <c r="F1549">
        <v>1969</v>
      </c>
      <c r="G1549" s="1" t="s">
        <v>492</v>
      </c>
      <c r="H1549" s="1" t="s">
        <v>457</v>
      </c>
      <c r="I1549">
        <v>0.17580000000000001</v>
      </c>
      <c r="J1549">
        <v>52445.474600000001</v>
      </c>
      <c r="K1549">
        <v>7.6899999999999998E-3</v>
      </c>
      <c r="L1549">
        <v>2.334E-2</v>
      </c>
      <c r="M1549">
        <v>0.64200000000000002</v>
      </c>
      <c r="N1549">
        <v>2.6100000000000002E-2</v>
      </c>
      <c r="O1549">
        <v>2.3970000000000002E-2</v>
      </c>
      <c r="P1549" s="3">
        <f t="shared" si="96"/>
        <v>1906.7498967318559</v>
      </c>
      <c r="Q1549" s="3">
        <f t="shared" si="97"/>
        <v>7.6894642720617412E-3</v>
      </c>
      <c r="R1549" s="3">
        <f t="shared" si="98"/>
        <v>2.334E-2</v>
      </c>
      <c r="S1549">
        <f t="shared" si="99"/>
        <v>38</v>
      </c>
      <c r="T1549">
        <f>INDEX([1]IDEN_level_ids!$B:$B,MATCH(G1549,[1]IDEN_level_ids!$A:$A,0),1)</f>
        <v>1132</v>
      </c>
      <c r="U1549">
        <f>INDEX([1]IDEN_level_ids!$B:$B,MATCH(H1549,[1]IDEN_level_ids!$A:$A,0),1)</f>
        <v>924</v>
      </c>
    </row>
    <row r="1550" spans="1:21" hidden="1" x14ac:dyDescent="0.25">
      <c r="A1550">
        <v>52412.109400000001</v>
      </c>
      <c r="B1550">
        <v>1907.9559999999999</v>
      </c>
      <c r="C1550">
        <v>9</v>
      </c>
      <c r="D1550" t="s">
        <v>573</v>
      </c>
      <c r="F1550">
        <v>1969</v>
      </c>
      <c r="G1550" s="1" t="s">
        <v>216</v>
      </c>
      <c r="H1550" s="1" t="s">
        <v>525</v>
      </c>
      <c r="I1550">
        <v>0</v>
      </c>
      <c r="J1550">
        <v>52412.224600000001</v>
      </c>
      <c r="K1550">
        <v>4.1900000000000001E-3</v>
      </c>
      <c r="L1550">
        <v>8.9200000000000008E-3</v>
      </c>
      <c r="M1550">
        <v>0.245</v>
      </c>
      <c r="N1550">
        <v>1.38E-2</v>
      </c>
      <c r="O1550">
        <v>9.0399999999999994E-3</v>
      </c>
      <c r="P1550" s="3">
        <f t="shared" si="96"/>
        <v>1907.956026665853</v>
      </c>
      <c r="Q1550" s="3">
        <f t="shared" si="97"/>
        <v>4.1936120046557335E-3</v>
      </c>
      <c r="R1550" s="3">
        <f t="shared" si="98"/>
        <v>8.9200000000000008E-3</v>
      </c>
      <c r="S1550">
        <f t="shared" si="99"/>
        <v>38</v>
      </c>
      <c r="T1550">
        <f>INDEX([1]IDEN_level_ids!$B:$B,MATCH(G1550,[1]IDEN_level_ids!$A:$A,0),1)</f>
        <v>1170</v>
      </c>
      <c r="U1550">
        <f>INDEX([1]IDEN_level_ids!$B:$B,MATCH(H1550,[1]IDEN_level_ids!$A:$A,0),1)</f>
        <v>971</v>
      </c>
    </row>
    <row r="1551" spans="1:21" hidden="1" x14ac:dyDescent="0.25">
      <c r="A1551">
        <v>52376.3704</v>
      </c>
      <c r="B1551">
        <v>1909.2579000000001</v>
      </c>
      <c r="C1551">
        <v>9</v>
      </c>
      <c r="D1551" t="s">
        <v>573</v>
      </c>
      <c r="F1551">
        <v>1969</v>
      </c>
      <c r="G1551" s="1" t="s">
        <v>51</v>
      </c>
      <c r="H1551" s="1" t="s">
        <v>520</v>
      </c>
      <c r="I1551">
        <v>0.22689999999999999</v>
      </c>
      <c r="J1551">
        <v>52376.298300000002</v>
      </c>
      <c r="K1551">
        <v>-2.63E-3</v>
      </c>
      <c r="L1551">
        <v>8.9300000000000004E-3</v>
      </c>
      <c r="M1551">
        <v>0.245</v>
      </c>
      <c r="N1551">
        <v>1.54E-2</v>
      </c>
      <c r="O1551">
        <v>9.0699999999999999E-3</v>
      </c>
      <c r="P1551" s="3">
        <f t="shared" si="96"/>
        <v>1909.2579198653293</v>
      </c>
      <c r="Q1551" s="3">
        <f t="shared" si="97"/>
        <v>-2.6282402627657575E-3</v>
      </c>
      <c r="R1551" s="3">
        <f t="shared" si="98"/>
        <v>8.9300000000000004E-3</v>
      </c>
      <c r="S1551">
        <f t="shared" si="99"/>
        <v>38</v>
      </c>
      <c r="T1551">
        <f>INDEX([1]IDEN_level_ids!$B:$B,MATCH(G1551,[1]IDEN_level_ids!$A:$A,0),1)</f>
        <v>1213</v>
      </c>
      <c r="U1551">
        <f>INDEX([1]IDEN_level_ids!$B:$B,MATCH(H1551,[1]IDEN_level_ids!$A:$A,0),1)</f>
        <v>1002</v>
      </c>
    </row>
    <row r="1552" spans="1:21" hidden="1" x14ac:dyDescent="0.25">
      <c r="A1552">
        <v>52370.5239</v>
      </c>
      <c r="B1552">
        <v>1909.4711</v>
      </c>
      <c r="C1552">
        <v>9</v>
      </c>
      <c r="D1552" t="s">
        <v>573</v>
      </c>
      <c r="F1552">
        <v>1969</v>
      </c>
      <c r="G1552" s="1" t="s">
        <v>62</v>
      </c>
      <c r="H1552" s="1" t="s">
        <v>560</v>
      </c>
      <c r="I1552">
        <v>0</v>
      </c>
      <c r="J1552">
        <v>52370.441099999996</v>
      </c>
      <c r="K1552">
        <v>-3.0200000000000001E-3</v>
      </c>
      <c r="L1552">
        <v>8.9300000000000004E-3</v>
      </c>
      <c r="M1552">
        <v>0.245</v>
      </c>
      <c r="N1552">
        <v>4.19E-2</v>
      </c>
      <c r="O1552">
        <v>9.3200000000000002E-3</v>
      </c>
      <c r="P1552" s="3">
        <f t="shared" si="96"/>
        <v>1909.4710641227707</v>
      </c>
      <c r="Q1552" s="3">
        <f t="shared" si="97"/>
        <v>-3.0189588019311486E-3</v>
      </c>
      <c r="R1552" s="3">
        <f t="shared" si="98"/>
        <v>8.9300000000000004E-3</v>
      </c>
      <c r="S1552">
        <f t="shared" si="99"/>
        <v>38</v>
      </c>
      <c r="T1552">
        <f>INDEX([1]IDEN_level_ids!$B:$B,MATCH(G1552,[1]IDEN_level_ids!$A:$A,0),1)</f>
        <v>1203</v>
      </c>
      <c r="U1552">
        <f>INDEX([1]IDEN_level_ids!$B:$B,MATCH(H1552,[1]IDEN_level_ids!$A:$A,0),1)</f>
        <v>993</v>
      </c>
    </row>
    <row r="1553" spans="1:21" hidden="1" x14ac:dyDescent="0.25">
      <c r="A1553">
        <v>52358.899400000002</v>
      </c>
      <c r="B1553">
        <v>1909.895</v>
      </c>
      <c r="C1553">
        <v>9</v>
      </c>
      <c r="D1553" t="s">
        <v>573</v>
      </c>
      <c r="F1553">
        <v>1969</v>
      </c>
      <c r="G1553" s="1" t="s">
        <v>251</v>
      </c>
      <c r="H1553" s="1" t="s">
        <v>577</v>
      </c>
      <c r="I1553">
        <v>2.3900000000000001E-2</v>
      </c>
      <c r="J1553">
        <v>52358.962</v>
      </c>
      <c r="K1553">
        <v>2.2799999999999999E-3</v>
      </c>
      <c r="L1553">
        <v>8.94E-3</v>
      </c>
      <c r="M1553">
        <v>0.245</v>
      </c>
      <c r="N1553">
        <v>1.5100000000000001E-2</v>
      </c>
      <c r="O1553">
        <v>9.0699999999999999E-3</v>
      </c>
      <c r="P1553" s="3">
        <f t="shared" si="96"/>
        <v>1909.8949967615247</v>
      </c>
      <c r="Q1553" s="3">
        <f t="shared" si="97"/>
        <v>2.2834567803329264E-3</v>
      </c>
      <c r="R1553" s="3">
        <f t="shared" si="98"/>
        <v>8.94E-3</v>
      </c>
      <c r="S1553">
        <f t="shared" si="99"/>
        <v>38</v>
      </c>
      <c r="T1553">
        <f>INDEX([1]IDEN_level_ids!$B:$B,MATCH(G1553,[1]IDEN_level_ids!$A:$A,0),1)</f>
        <v>1192</v>
      </c>
      <c r="U1553">
        <f>INDEX([1]IDEN_level_ids!$B:$B,MATCH(H1553,[1]IDEN_level_ids!$A:$A,0),1)</f>
        <v>985</v>
      </c>
    </row>
    <row r="1554" spans="1:21" hidden="1" x14ac:dyDescent="0.25">
      <c r="A1554">
        <v>52349.389000000003</v>
      </c>
      <c r="B1554">
        <v>1910.242</v>
      </c>
      <c r="C1554">
        <v>9</v>
      </c>
      <c r="D1554" t="s">
        <v>573</v>
      </c>
      <c r="F1554">
        <v>1969</v>
      </c>
      <c r="G1554" s="1" t="s">
        <v>118</v>
      </c>
      <c r="H1554" s="1" t="s">
        <v>454</v>
      </c>
      <c r="I1554">
        <v>0</v>
      </c>
      <c r="J1554">
        <v>52349.4856</v>
      </c>
      <c r="K1554">
        <v>3.5200000000000001E-3</v>
      </c>
      <c r="L1554">
        <v>8.94E-3</v>
      </c>
      <c r="M1554">
        <v>0.245</v>
      </c>
      <c r="N1554">
        <v>1.8700000000000001E-2</v>
      </c>
      <c r="O1554">
        <v>9.11E-3</v>
      </c>
      <c r="P1554" s="3">
        <f t="shared" si="96"/>
        <v>1910.2419705414325</v>
      </c>
      <c r="Q1554" s="3">
        <f t="shared" si="97"/>
        <v>3.5249510522135097E-3</v>
      </c>
      <c r="R1554" s="3">
        <f t="shared" si="98"/>
        <v>8.94E-3</v>
      </c>
      <c r="S1554">
        <f t="shared" si="99"/>
        <v>38</v>
      </c>
      <c r="T1554">
        <f>INDEX([1]IDEN_level_ids!$B:$B,MATCH(G1554,[1]IDEN_level_ids!$A:$A,0),1)</f>
        <v>1237</v>
      </c>
      <c r="U1554">
        <f>INDEX([1]IDEN_level_ids!$B:$B,MATCH(H1554,[1]IDEN_level_ids!$A:$A,0),1)</f>
        <v>1036</v>
      </c>
    </row>
    <row r="1555" spans="1:21" hidden="1" x14ac:dyDescent="0.25">
      <c r="A1555">
        <v>52321.7549</v>
      </c>
      <c r="B1555">
        <v>1911.2509</v>
      </c>
      <c r="C1555">
        <v>9</v>
      </c>
      <c r="D1555" t="s">
        <v>573</v>
      </c>
      <c r="F1555">
        <v>1969</v>
      </c>
      <c r="G1555" s="1" t="s">
        <v>511</v>
      </c>
      <c r="H1555" s="1" t="s">
        <v>409</v>
      </c>
      <c r="I1555">
        <v>-0.56940000000000002</v>
      </c>
      <c r="J1555">
        <v>52322.426700000004</v>
      </c>
      <c r="K1555">
        <v>2.4539999999999999E-2</v>
      </c>
      <c r="L1555">
        <v>8.9499999999999996E-3</v>
      </c>
      <c r="M1555">
        <v>0.245</v>
      </c>
      <c r="N1555">
        <v>0.1832</v>
      </c>
      <c r="O1555">
        <v>1.0959999999999999E-2</v>
      </c>
      <c r="P1555" s="3">
        <f t="shared" si="96"/>
        <v>1911.2508781696081</v>
      </c>
      <c r="Q1555" s="3">
        <f t="shared" si="97"/>
        <v>2.4539732213042953E-2</v>
      </c>
      <c r="R1555" s="3">
        <f t="shared" si="98"/>
        <v>8.9499999999999996E-3</v>
      </c>
      <c r="S1555">
        <f t="shared" si="99"/>
        <v>38</v>
      </c>
      <c r="T1555">
        <f>INDEX([1]IDEN_level_ids!$B:$B,MATCH(G1555,[1]IDEN_level_ids!$A:$A,0),1)</f>
        <v>1139</v>
      </c>
      <c r="U1555">
        <f>INDEX([1]IDEN_level_ids!$B:$B,MATCH(H1555,[1]IDEN_level_ids!$A:$A,0),1)</f>
        <v>933</v>
      </c>
    </row>
    <row r="1556" spans="1:21" hidden="1" x14ac:dyDescent="0.25">
      <c r="A1556">
        <v>52283.45</v>
      </c>
      <c r="B1556">
        <v>1912.6511</v>
      </c>
      <c r="C1556">
        <v>9</v>
      </c>
      <c r="D1556" t="s">
        <v>573</v>
      </c>
      <c r="F1556">
        <v>1969</v>
      </c>
      <c r="G1556" s="1" t="s">
        <v>49</v>
      </c>
      <c r="H1556" s="1" t="s">
        <v>578</v>
      </c>
      <c r="I1556">
        <v>0.18779999999999999</v>
      </c>
      <c r="J1556">
        <v>52283.406199999998</v>
      </c>
      <c r="K1556">
        <v>-1.6000000000000001E-3</v>
      </c>
      <c r="L1556">
        <v>8.9599999999999992E-3</v>
      </c>
      <c r="M1556">
        <v>0.245</v>
      </c>
      <c r="N1556">
        <v>1.32E-2</v>
      </c>
      <c r="O1556">
        <v>9.0799999999999995E-3</v>
      </c>
      <c r="P1556" s="3">
        <f t="shared" si="96"/>
        <v>1912.6511353018977</v>
      </c>
      <c r="Q1556" s="3">
        <f t="shared" si="97"/>
        <v>-1.6023079942897311E-3</v>
      </c>
      <c r="R1556" s="3">
        <f t="shared" si="98"/>
        <v>8.9599999999999992E-3</v>
      </c>
      <c r="S1556">
        <f t="shared" si="99"/>
        <v>38</v>
      </c>
      <c r="T1556">
        <f>INDEX([1]IDEN_level_ids!$B:$B,MATCH(G1556,[1]IDEN_level_ids!$A:$A,0),1)</f>
        <v>1214</v>
      </c>
      <c r="U1556">
        <f>INDEX([1]IDEN_level_ids!$B:$B,MATCH(H1556,[1]IDEN_level_ids!$A:$A,0),1)</f>
        <v>1003</v>
      </c>
    </row>
    <row r="1557" spans="1:21" hidden="1" x14ac:dyDescent="0.25">
      <c r="A1557">
        <v>52266.159</v>
      </c>
      <c r="B1557">
        <v>1913.2838999999999</v>
      </c>
      <c r="C1557">
        <v>9</v>
      </c>
      <c r="D1557" t="s">
        <v>573</v>
      </c>
      <c r="E1557" t="s">
        <v>66</v>
      </c>
      <c r="F1557">
        <v>1969</v>
      </c>
      <c r="G1557" s="1" t="s">
        <v>69</v>
      </c>
      <c r="H1557" s="1" t="s">
        <v>579</v>
      </c>
      <c r="I1557">
        <v>0</v>
      </c>
      <c r="J1557">
        <v>52266.115899999997</v>
      </c>
      <c r="K1557">
        <v>-1.58E-3</v>
      </c>
      <c r="L1557">
        <v>2.35E-2</v>
      </c>
      <c r="M1557">
        <v>0.64200000000000002</v>
      </c>
      <c r="N1557">
        <v>3.3E-3</v>
      </c>
      <c r="O1557">
        <v>2.358E-2</v>
      </c>
      <c r="P1557" s="3">
        <f t="shared" si="96"/>
        <v>1913.2838898683947</v>
      </c>
      <c r="Q1557" s="3">
        <f t="shared" si="97"/>
        <v>-1.5777437108681625E-3</v>
      </c>
      <c r="R1557" s="3">
        <f t="shared" si="98"/>
        <v>2.35E-2</v>
      </c>
      <c r="S1557">
        <f t="shared" si="99"/>
        <v>38</v>
      </c>
      <c r="T1557">
        <f>INDEX([1]IDEN_level_ids!$B:$B,MATCH(G1557,[1]IDEN_level_ids!$A:$A,0),1)</f>
        <v>1218</v>
      </c>
      <c r="U1557">
        <f>INDEX([1]IDEN_level_ids!$B:$B,MATCH(H1557,[1]IDEN_level_ids!$A:$A,0),1)</f>
        <v>1007</v>
      </c>
    </row>
    <row r="1558" spans="1:21" hidden="1" x14ac:dyDescent="0.25">
      <c r="A1558">
        <v>52256.922599999998</v>
      </c>
      <c r="B1558">
        <v>1913.6221</v>
      </c>
      <c r="C1558">
        <v>9</v>
      </c>
      <c r="D1558" t="s">
        <v>573</v>
      </c>
      <c r="F1558">
        <v>1969</v>
      </c>
      <c r="G1558" s="1" t="s">
        <v>117</v>
      </c>
      <c r="H1558" s="1" t="s">
        <v>508</v>
      </c>
      <c r="I1558">
        <v>0</v>
      </c>
      <c r="J1558">
        <v>52257.042500000003</v>
      </c>
      <c r="K1558">
        <v>4.3899999999999998E-3</v>
      </c>
      <c r="L1558">
        <v>8.9700000000000005E-3</v>
      </c>
      <c r="M1558">
        <v>0.245</v>
      </c>
      <c r="N1558">
        <v>1.38E-2</v>
      </c>
      <c r="O1558">
        <v>9.1000000000000004E-3</v>
      </c>
      <c r="P1558" s="3">
        <f t="shared" si="96"/>
        <v>1913.6220623906393</v>
      </c>
      <c r="Q1558" s="3">
        <f t="shared" si="97"/>
        <v>4.3906672540288127E-3</v>
      </c>
      <c r="R1558" s="3">
        <f t="shared" si="98"/>
        <v>8.9700000000000005E-3</v>
      </c>
      <c r="S1558">
        <f t="shared" si="99"/>
        <v>38</v>
      </c>
      <c r="T1558">
        <f>INDEX([1]IDEN_level_ids!$B:$B,MATCH(G1558,[1]IDEN_level_ids!$A:$A,0),1)</f>
        <v>1162</v>
      </c>
      <c r="U1558">
        <f>INDEX([1]IDEN_level_ids!$B:$B,MATCH(H1558,[1]IDEN_level_ids!$A:$A,0),1)</f>
        <v>961</v>
      </c>
    </row>
    <row r="1559" spans="1:21" hidden="1" x14ac:dyDescent="0.25">
      <c r="A1559">
        <v>52247.587599999999</v>
      </c>
      <c r="B1559">
        <v>1913.9639999999999</v>
      </c>
      <c r="C1559">
        <v>9</v>
      </c>
      <c r="D1559" t="s">
        <v>573</v>
      </c>
      <c r="F1559">
        <v>1969</v>
      </c>
      <c r="G1559" s="1" t="s">
        <v>285</v>
      </c>
      <c r="H1559" s="1" t="s">
        <v>432</v>
      </c>
      <c r="I1559">
        <v>0</v>
      </c>
      <c r="J1559">
        <v>52247.6296</v>
      </c>
      <c r="K1559">
        <v>1.5399999999999999E-3</v>
      </c>
      <c r="L1559">
        <v>8.9700000000000005E-3</v>
      </c>
      <c r="M1559">
        <v>0.245</v>
      </c>
      <c r="N1559">
        <v>2.53E-2</v>
      </c>
      <c r="O1559">
        <v>9.2099999999999994E-3</v>
      </c>
      <c r="P1559" s="3">
        <f t="shared" si="96"/>
        <v>1913.9639664434958</v>
      </c>
      <c r="Q1559" s="3">
        <f t="shared" si="97"/>
        <v>1.538567150646486E-3</v>
      </c>
      <c r="R1559" s="3">
        <f t="shared" si="98"/>
        <v>8.9700000000000005E-3</v>
      </c>
      <c r="S1559">
        <f t="shared" si="99"/>
        <v>38</v>
      </c>
      <c r="T1559">
        <f>INDEX([1]IDEN_level_ids!$B:$B,MATCH(G1559,[1]IDEN_level_ids!$A:$A,0),1)</f>
        <v>1150</v>
      </c>
      <c r="U1559">
        <f>INDEX([1]IDEN_level_ids!$B:$B,MATCH(H1559,[1]IDEN_level_ids!$A:$A,0),1)</f>
        <v>954</v>
      </c>
    </row>
    <row r="1560" spans="1:21" hidden="1" x14ac:dyDescent="0.25">
      <c r="A1560">
        <v>52228.019800000002</v>
      </c>
      <c r="B1560">
        <v>1914.6811</v>
      </c>
      <c r="C1560">
        <v>9</v>
      </c>
      <c r="D1560" t="s">
        <v>573</v>
      </c>
      <c r="F1560">
        <v>1969</v>
      </c>
      <c r="G1560" s="1" t="s">
        <v>117</v>
      </c>
      <c r="H1560" s="1" t="s">
        <v>493</v>
      </c>
      <c r="I1560">
        <v>0.1031</v>
      </c>
      <c r="J1560">
        <v>52228.108699999997</v>
      </c>
      <c r="K1560">
        <v>3.2599999999999999E-3</v>
      </c>
      <c r="L1560">
        <v>8.9800000000000001E-3</v>
      </c>
      <c r="M1560">
        <v>0.245</v>
      </c>
      <c r="N1560">
        <v>1.6E-2</v>
      </c>
      <c r="O1560">
        <v>9.1299999999999992E-3</v>
      </c>
      <c r="P1560" s="3">
        <f t="shared" si="96"/>
        <v>1914.6810540192066</v>
      </c>
      <c r="Q1560" s="3">
        <f t="shared" si="97"/>
        <v>3.2590715982223628E-3</v>
      </c>
      <c r="R1560" s="3">
        <f t="shared" si="98"/>
        <v>8.9800000000000001E-3</v>
      </c>
      <c r="S1560">
        <f t="shared" si="99"/>
        <v>38</v>
      </c>
      <c r="T1560">
        <f>INDEX([1]IDEN_level_ids!$B:$B,MATCH(G1560,[1]IDEN_level_ids!$A:$A,0),1)</f>
        <v>1162</v>
      </c>
      <c r="U1560">
        <f>INDEX([1]IDEN_level_ids!$B:$B,MATCH(H1560,[1]IDEN_level_ids!$A:$A,0),1)</f>
        <v>963</v>
      </c>
    </row>
    <row r="1561" spans="1:21" hidden="1" x14ac:dyDescent="0.25">
      <c r="A1561">
        <v>52189.180899999999</v>
      </c>
      <c r="B1561">
        <v>1916.1059</v>
      </c>
      <c r="C1561">
        <v>9</v>
      </c>
      <c r="D1561" t="s">
        <v>573</v>
      </c>
      <c r="F1561">
        <v>1969</v>
      </c>
      <c r="G1561" s="1" t="s">
        <v>22</v>
      </c>
      <c r="H1561" s="1" t="s">
        <v>437</v>
      </c>
      <c r="I1561">
        <v>0.193</v>
      </c>
      <c r="J1561">
        <v>52189.136899999998</v>
      </c>
      <c r="K1561">
        <v>-1.6199999999999999E-3</v>
      </c>
      <c r="L1561">
        <v>8.9899999999999997E-3</v>
      </c>
      <c r="M1561">
        <v>0.245</v>
      </c>
      <c r="N1561">
        <v>1.26E-2</v>
      </c>
      <c r="O1561">
        <v>9.11E-3</v>
      </c>
      <c r="P1561" s="3">
        <f t="shared" si="96"/>
        <v>1916.1059490780397</v>
      </c>
      <c r="Q1561" s="3">
        <f t="shared" si="97"/>
        <v>-1.6154446454947902E-3</v>
      </c>
      <c r="R1561" s="3">
        <f t="shared" si="98"/>
        <v>8.9899999999999997E-3</v>
      </c>
      <c r="S1561">
        <f t="shared" si="99"/>
        <v>38</v>
      </c>
      <c r="T1561">
        <f>INDEX([1]IDEN_level_ids!$B:$B,MATCH(G1561,[1]IDEN_level_ids!$A:$A,0),1)</f>
        <v>1236</v>
      </c>
      <c r="U1561">
        <f>INDEX([1]IDEN_level_ids!$B:$B,MATCH(H1561,[1]IDEN_level_ids!$A:$A,0),1)</f>
        <v>1039</v>
      </c>
    </row>
    <row r="1562" spans="1:21" hidden="1" x14ac:dyDescent="0.25">
      <c r="A1562">
        <v>52171.890399999997</v>
      </c>
      <c r="B1562">
        <v>1916.741</v>
      </c>
      <c r="C1562">
        <v>9</v>
      </c>
      <c r="D1562" t="s">
        <v>573</v>
      </c>
      <c r="F1562">
        <v>1969</v>
      </c>
      <c r="G1562" s="1" t="s">
        <v>100</v>
      </c>
      <c r="H1562" s="1" t="s">
        <v>505</v>
      </c>
      <c r="I1562">
        <v>0</v>
      </c>
      <c r="J1562">
        <v>52171.8917</v>
      </c>
      <c r="K1562">
        <v>5.0000000000000002E-5</v>
      </c>
      <c r="L1562">
        <v>8.9999999999999993E-3</v>
      </c>
      <c r="M1562">
        <v>0.245</v>
      </c>
      <c r="N1562">
        <v>1.78E-2</v>
      </c>
      <c r="O1562">
        <v>9.1599999999999997E-3</v>
      </c>
      <c r="P1562" s="3">
        <f t="shared" si="96"/>
        <v>1916.7409736029042</v>
      </c>
      <c r="Q1562" s="3">
        <f t="shared" si="97"/>
        <v>4.776064656653034E-5</v>
      </c>
      <c r="R1562" s="3">
        <f t="shared" si="98"/>
        <v>8.9999999999999993E-3</v>
      </c>
      <c r="S1562">
        <f t="shared" si="99"/>
        <v>38</v>
      </c>
      <c r="T1562">
        <f>INDEX([1]IDEN_level_ids!$B:$B,MATCH(G1562,[1]IDEN_level_ids!$A:$A,0),1)</f>
        <v>1146</v>
      </c>
      <c r="U1562">
        <f>INDEX([1]IDEN_level_ids!$B:$B,MATCH(H1562,[1]IDEN_level_ids!$A:$A,0),1)</f>
        <v>950</v>
      </c>
    </row>
    <row r="1563" spans="1:21" hidden="1" x14ac:dyDescent="0.25">
      <c r="A1563">
        <v>52159.373899999999</v>
      </c>
      <c r="B1563">
        <v>1917.2009</v>
      </c>
      <c r="C1563">
        <v>9</v>
      </c>
      <c r="D1563" t="s">
        <v>573</v>
      </c>
      <c r="F1563">
        <v>1969</v>
      </c>
      <c r="G1563" s="1" t="s">
        <v>542</v>
      </c>
      <c r="H1563" s="1" t="s">
        <v>561</v>
      </c>
      <c r="I1563">
        <v>0</v>
      </c>
      <c r="J1563">
        <v>52159.341099999998</v>
      </c>
      <c r="K1563">
        <v>-1.2099999999999999E-3</v>
      </c>
      <c r="L1563">
        <v>8.9999999999999993E-3</v>
      </c>
      <c r="M1563">
        <v>0.245</v>
      </c>
      <c r="N1563">
        <v>6.7199999999999996E-2</v>
      </c>
      <c r="O1563">
        <v>9.6500000000000006E-3</v>
      </c>
      <c r="P1563" s="3">
        <f t="shared" si="96"/>
        <v>1917.2009271376626</v>
      </c>
      <c r="Q1563" s="3">
        <f t="shared" si="97"/>
        <v>-1.2056170398864197E-3</v>
      </c>
      <c r="R1563" s="3">
        <f t="shared" si="98"/>
        <v>8.9999999999999993E-3</v>
      </c>
      <c r="S1563">
        <f t="shared" si="99"/>
        <v>38</v>
      </c>
      <c r="T1563">
        <f>INDEX([1]IDEN_level_ids!$B:$B,MATCH(G1563,[1]IDEN_level_ids!$A:$A,0),1)</f>
        <v>981</v>
      </c>
      <c r="U1563">
        <f>INDEX([1]IDEN_level_ids!$B:$B,MATCH(H1563,[1]IDEN_level_ids!$A:$A,0),1)</f>
        <v>545</v>
      </c>
    </row>
    <row r="1564" spans="1:21" hidden="1" x14ac:dyDescent="0.25">
      <c r="A1564">
        <v>52122.372799999997</v>
      </c>
      <c r="B1564">
        <v>1918.5618999999999</v>
      </c>
      <c r="C1564">
        <v>9</v>
      </c>
      <c r="D1564" t="s">
        <v>573</v>
      </c>
      <c r="F1564">
        <v>1969</v>
      </c>
      <c r="G1564" s="1" t="s">
        <v>94</v>
      </c>
      <c r="H1564" s="1" t="s">
        <v>562</v>
      </c>
      <c r="I1564">
        <v>0</v>
      </c>
      <c r="J1564">
        <v>52122.376600000003</v>
      </c>
      <c r="K1564">
        <v>1.3999999999999999E-4</v>
      </c>
      <c r="L1564">
        <v>9.0200000000000002E-3</v>
      </c>
      <c r="M1564">
        <v>0.245</v>
      </c>
      <c r="N1564">
        <v>1.4E-2</v>
      </c>
      <c r="O1564">
        <v>9.1500000000000001E-3</v>
      </c>
      <c r="P1564" s="3">
        <f t="shared" si="96"/>
        <v>1918.5619270195621</v>
      </c>
      <c r="Q1564" s="3">
        <f t="shared" si="97"/>
        <v>1.3987342504151457E-4</v>
      </c>
      <c r="R1564" s="3">
        <f t="shared" si="98"/>
        <v>9.0200000000000002E-3</v>
      </c>
      <c r="S1564">
        <f t="shared" si="99"/>
        <v>38</v>
      </c>
      <c r="T1564">
        <f>INDEX([1]IDEN_level_ids!$B:$B,MATCH(G1564,[1]IDEN_level_ids!$A:$A,0),1)</f>
        <v>1207</v>
      </c>
      <c r="U1564">
        <f>INDEX([1]IDEN_level_ids!$B:$B,MATCH(H1564,[1]IDEN_level_ids!$A:$A,0),1)</f>
        <v>999</v>
      </c>
    </row>
    <row r="1565" spans="1:21" hidden="1" x14ac:dyDescent="0.25">
      <c r="A1565">
        <v>52106.077100000002</v>
      </c>
      <c r="B1565">
        <v>1919.1619000000001</v>
      </c>
      <c r="C1565">
        <v>9</v>
      </c>
      <c r="D1565" t="s">
        <v>573</v>
      </c>
      <c r="F1565">
        <v>1969</v>
      </c>
      <c r="G1565" s="1" t="s">
        <v>94</v>
      </c>
      <c r="H1565" s="1" t="s">
        <v>580</v>
      </c>
      <c r="I1565">
        <v>0.15179999999999999</v>
      </c>
      <c r="J1565">
        <v>52106.008099999999</v>
      </c>
      <c r="K1565">
        <v>-2.5400000000000002E-3</v>
      </c>
      <c r="L1565">
        <v>9.0200000000000002E-3</v>
      </c>
      <c r="M1565">
        <v>0.245</v>
      </c>
      <c r="N1565">
        <v>1.15E-2</v>
      </c>
      <c r="O1565">
        <v>9.1299999999999992E-3</v>
      </c>
      <c r="P1565" s="3">
        <f t="shared" si="96"/>
        <v>1919.1619397500181</v>
      </c>
      <c r="Q1565" s="3">
        <f t="shared" si="97"/>
        <v>-2.5413993257643597E-3</v>
      </c>
      <c r="R1565" s="3">
        <f t="shared" si="98"/>
        <v>9.0200000000000002E-3</v>
      </c>
      <c r="S1565">
        <f t="shared" si="99"/>
        <v>38</v>
      </c>
      <c r="T1565">
        <f>INDEX([1]IDEN_level_ids!$B:$B,MATCH(G1565,[1]IDEN_level_ids!$A:$A,0),1)</f>
        <v>1207</v>
      </c>
      <c r="U1565">
        <f>INDEX([1]IDEN_level_ids!$B:$B,MATCH(H1565,[1]IDEN_level_ids!$A:$A,0),1)</f>
        <v>1001</v>
      </c>
    </row>
    <row r="1566" spans="1:21" hidden="1" x14ac:dyDescent="0.25">
      <c r="A1566">
        <v>52035.555999999997</v>
      </c>
      <c r="B1566">
        <v>1921.7628999999999</v>
      </c>
      <c r="C1566">
        <v>9</v>
      </c>
      <c r="D1566" t="s">
        <v>573</v>
      </c>
      <c r="F1566">
        <v>1969</v>
      </c>
      <c r="G1566" s="1" t="s">
        <v>46</v>
      </c>
      <c r="H1566" s="1" t="s">
        <v>520</v>
      </c>
      <c r="I1566">
        <v>0.22689999999999999</v>
      </c>
      <c r="J1566">
        <v>52035.493199999997</v>
      </c>
      <c r="K1566">
        <v>-2.32E-3</v>
      </c>
      <c r="L1566">
        <v>9.0500000000000008E-3</v>
      </c>
      <c r="M1566">
        <v>0.245</v>
      </c>
      <c r="N1566">
        <v>1.4800000000000001E-2</v>
      </c>
      <c r="O1566">
        <v>9.1800000000000007E-3</v>
      </c>
      <c r="P1566" s="3">
        <f t="shared" si="96"/>
        <v>1921.7628807502317</v>
      </c>
      <c r="Q1566" s="3">
        <f t="shared" si="97"/>
        <v>-2.3193151730538375E-3</v>
      </c>
      <c r="R1566" s="3">
        <f t="shared" si="98"/>
        <v>9.0500000000000008E-3</v>
      </c>
      <c r="S1566">
        <f t="shared" si="99"/>
        <v>38</v>
      </c>
      <c r="T1566">
        <f>INDEX([1]IDEN_level_ids!$B:$B,MATCH(G1566,[1]IDEN_level_ids!$A:$A,0),1)</f>
        <v>1212</v>
      </c>
      <c r="U1566">
        <f>INDEX([1]IDEN_level_ids!$B:$B,MATCH(H1566,[1]IDEN_level_ids!$A:$A,0),1)</f>
        <v>1002</v>
      </c>
    </row>
    <row r="1567" spans="1:21" hidden="1" x14ac:dyDescent="0.25">
      <c r="A1567">
        <v>52024.317000000003</v>
      </c>
      <c r="B1567">
        <v>1922.1780000000001</v>
      </c>
      <c r="C1567">
        <v>9</v>
      </c>
      <c r="D1567" t="s">
        <v>573</v>
      </c>
      <c r="F1567">
        <v>1969</v>
      </c>
      <c r="G1567" s="1" t="s">
        <v>81</v>
      </c>
      <c r="H1567" s="1" t="s">
        <v>537</v>
      </c>
      <c r="I1567">
        <v>0</v>
      </c>
      <c r="J1567">
        <v>52024.3439</v>
      </c>
      <c r="K1567">
        <v>9.8999999999999999E-4</v>
      </c>
      <c r="L1567">
        <v>9.0500000000000008E-3</v>
      </c>
      <c r="M1567">
        <v>0.245</v>
      </c>
      <c r="N1567">
        <v>1.9099999999999999E-2</v>
      </c>
      <c r="O1567">
        <v>9.2300000000000004E-3</v>
      </c>
      <c r="P1567" s="3">
        <f t="shared" si="96"/>
        <v>1922.178046085641</v>
      </c>
      <c r="Q1567" s="3">
        <f t="shared" si="97"/>
        <v>9.9389219667500583E-4</v>
      </c>
      <c r="R1567" s="3">
        <f t="shared" si="98"/>
        <v>9.0500000000000008E-3</v>
      </c>
      <c r="S1567">
        <f t="shared" si="99"/>
        <v>38</v>
      </c>
      <c r="T1567">
        <f>INDEX([1]IDEN_level_ids!$B:$B,MATCH(G1567,[1]IDEN_level_ids!$A:$A,0),1)</f>
        <v>1196</v>
      </c>
      <c r="U1567">
        <f>INDEX([1]IDEN_level_ids!$B:$B,MATCH(H1567,[1]IDEN_level_ids!$A:$A,0),1)</f>
        <v>991</v>
      </c>
    </row>
    <row r="1568" spans="1:21" hidden="1" x14ac:dyDescent="0.25">
      <c r="A1568">
        <v>52018.474699999999</v>
      </c>
      <c r="B1568">
        <v>1922.3939</v>
      </c>
      <c r="C1568">
        <v>9</v>
      </c>
      <c r="D1568" t="s">
        <v>573</v>
      </c>
      <c r="F1568">
        <v>1969</v>
      </c>
      <c r="G1568" s="1" t="s">
        <v>27</v>
      </c>
      <c r="H1568" s="1" t="s">
        <v>428</v>
      </c>
      <c r="I1568">
        <v>0.2928</v>
      </c>
      <c r="J1568">
        <v>52018.396000000001</v>
      </c>
      <c r="K1568">
        <v>-2.9099999999999998E-3</v>
      </c>
      <c r="L1568">
        <v>9.0500000000000008E-3</v>
      </c>
      <c r="M1568">
        <v>0.245</v>
      </c>
      <c r="N1568">
        <v>1.77E-2</v>
      </c>
      <c r="O1568">
        <v>9.2200000000000008E-3</v>
      </c>
      <c r="P1568" s="3">
        <f t="shared" si="96"/>
        <v>1922.3939297858728</v>
      </c>
      <c r="Q1568" s="3">
        <f t="shared" si="97"/>
        <v>-2.9084403577144258E-3</v>
      </c>
      <c r="R1568" s="3">
        <f t="shared" si="98"/>
        <v>9.0500000000000008E-3</v>
      </c>
      <c r="S1568">
        <f t="shared" si="99"/>
        <v>38</v>
      </c>
      <c r="T1568">
        <f>INDEX([1]IDEN_level_ids!$B:$B,MATCH(G1568,[1]IDEN_level_ids!$A:$A,0),1)</f>
        <v>1242</v>
      </c>
      <c r="U1568">
        <f>INDEX([1]IDEN_level_ids!$B:$B,MATCH(H1568,[1]IDEN_level_ids!$A:$A,0),1)</f>
        <v>1060</v>
      </c>
    </row>
    <row r="1569" spans="1:21" hidden="1" x14ac:dyDescent="0.25">
      <c r="A1569">
        <v>52016.713100000001</v>
      </c>
      <c r="B1569">
        <v>1922.4590000000001</v>
      </c>
      <c r="C1569">
        <v>9</v>
      </c>
      <c r="D1569" t="s">
        <v>573</v>
      </c>
      <c r="F1569">
        <v>1969</v>
      </c>
      <c r="G1569" s="1" t="s">
        <v>238</v>
      </c>
      <c r="H1569" s="1" t="s">
        <v>501</v>
      </c>
      <c r="I1569">
        <v>0.1444</v>
      </c>
      <c r="J1569">
        <v>52016.719400000002</v>
      </c>
      <c r="K1569">
        <v>2.3000000000000001E-4</v>
      </c>
      <c r="L1569">
        <v>9.0500000000000008E-3</v>
      </c>
      <c r="M1569">
        <v>0.245</v>
      </c>
      <c r="N1569">
        <v>1.83E-2</v>
      </c>
      <c r="O1569">
        <v>9.2200000000000008E-3</v>
      </c>
      <c r="P1569" s="3">
        <f t="shared" si="96"/>
        <v>1922.4590336523975</v>
      </c>
      <c r="Q1569" s="3">
        <f t="shared" si="97"/>
        <v>2.3283844234356366E-4</v>
      </c>
      <c r="R1569" s="3">
        <f t="shared" si="98"/>
        <v>9.0500000000000008E-3</v>
      </c>
      <c r="S1569">
        <f t="shared" si="99"/>
        <v>38</v>
      </c>
      <c r="T1569">
        <f>INDEX([1]IDEN_level_ids!$B:$B,MATCH(G1569,[1]IDEN_level_ids!$A:$A,0),1)</f>
        <v>1165</v>
      </c>
      <c r="U1569">
        <f>INDEX([1]IDEN_level_ids!$B:$B,MATCH(H1569,[1]IDEN_level_ids!$A:$A,0),1)</f>
        <v>969</v>
      </c>
    </row>
    <row r="1570" spans="1:21" hidden="1" x14ac:dyDescent="0.25">
      <c r="A1570">
        <v>52010.492100000003</v>
      </c>
      <c r="B1570">
        <v>1922.6890000000001</v>
      </c>
      <c r="C1570">
        <v>9</v>
      </c>
      <c r="D1570" t="s">
        <v>573</v>
      </c>
      <c r="F1570">
        <v>1969</v>
      </c>
      <c r="G1570" s="1" t="s">
        <v>27</v>
      </c>
      <c r="H1570" s="1" t="s">
        <v>377</v>
      </c>
      <c r="I1570">
        <v>0.2485</v>
      </c>
      <c r="J1570">
        <v>52010.423000000003</v>
      </c>
      <c r="K1570">
        <v>-2.5600000000000002E-3</v>
      </c>
      <c r="L1570">
        <v>9.0600000000000003E-3</v>
      </c>
      <c r="M1570">
        <v>0.245</v>
      </c>
      <c r="N1570">
        <v>1.5699999999999999E-2</v>
      </c>
      <c r="O1570">
        <v>9.1999999999999998E-3</v>
      </c>
      <c r="P1570" s="3">
        <f t="shared" si="96"/>
        <v>1922.6889799029607</v>
      </c>
      <c r="Q1570" s="3">
        <f t="shared" si="97"/>
        <v>-2.554445836949526E-3</v>
      </c>
      <c r="R1570" s="3">
        <f t="shared" si="98"/>
        <v>9.0600000000000003E-3</v>
      </c>
      <c r="S1570">
        <f t="shared" si="99"/>
        <v>38</v>
      </c>
      <c r="T1570">
        <f>INDEX([1]IDEN_level_ids!$B:$B,MATCH(G1570,[1]IDEN_level_ids!$A:$A,0),1)</f>
        <v>1242</v>
      </c>
      <c r="U1570">
        <f>INDEX([1]IDEN_level_ids!$B:$B,MATCH(H1570,[1]IDEN_level_ids!$A:$A,0),1)</f>
        <v>1057</v>
      </c>
    </row>
    <row r="1571" spans="1:21" hidden="1" x14ac:dyDescent="0.25">
      <c r="A1571">
        <v>51992.210800000001</v>
      </c>
      <c r="B1571">
        <v>1923.365</v>
      </c>
      <c r="C1571">
        <v>9</v>
      </c>
      <c r="D1571" t="s">
        <v>573</v>
      </c>
      <c r="F1571">
        <v>1969</v>
      </c>
      <c r="G1571" s="1" t="s">
        <v>86</v>
      </c>
      <c r="H1571" s="1" t="s">
        <v>554</v>
      </c>
      <c r="I1571">
        <v>0</v>
      </c>
      <c r="J1571">
        <v>51992.2143</v>
      </c>
      <c r="K1571">
        <v>1.2999999999999999E-4</v>
      </c>
      <c r="L1571">
        <v>9.0600000000000003E-3</v>
      </c>
      <c r="M1571">
        <v>0.245</v>
      </c>
      <c r="N1571">
        <v>1.4800000000000001E-2</v>
      </c>
      <c r="O1571">
        <v>9.1999999999999998E-3</v>
      </c>
      <c r="P1571" s="3">
        <f t="shared" si="96"/>
        <v>1923.3650283630561</v>
      </c>
      <c r="Q1571" s="3">
        <f t="shared" si="97"/>
        <v>1.2947664731655095E-4</v>
      </c>
      <c r="R1571" s="3">
        <f t="shared" si="98"/>
        <v>9.0600000000000003E-3</v>
      </c>
      <c r="S1571">
        <f t="shared" si="99"/>
        <v>38</v>
      </c>
      <c r="T1571">
        <f>INDEX([1]IDEN_level_ids!$B:$B,MATCH(G1571,[1]IDEN_level_ids!$A:$A,0),1)</f>
        <v>1183</v>
      </c>
      <c r="U1571">
        <f>INDEX([1]IDEN_level_ids!$B:$B,MATCH(H1571,[1]IDEN_level_ids!$A:$A,0),1)</f>
        <v>982</v>
      </c>
    </row>
    <row r="1572" spans="1:21" hidden="1" x14ac:dyDescent="0.25">
      <c r="A1572">
        <v>51962.873399999997</v>
      </c>
      <c r="B1572">
        <v>1924.4509</v>
      </c>
      <c r="C1572">
        <v>9</v>
      </c>
      <c r="D1572" t="s">
        <v>573</v>
      </c>
      <c r="F1572">
        <v>1969</v>
      </c>
      <c r="G1572" s="1" t="s">
        <v>166</v>
      </c>
      <c r="H1572" s="1" t="s">
        <v>513</v>
      </c>
      <c r="I1572">
        <v>0.19059999999999999</v>
      </c>
      <c r="J1572">
        <v>51962.868399999999</v>
      </c>
      <c r="K1572">
        <v>-1.9000000000000001E-4</v>
      </c>
      <c r="L1572">
        <v>9.0699999999999999E-3</v>
      </c>
      <c r="M1572">
        <v>0.245</v>
      </c>
      <c r="N1572">
        <v>1.4999999999999999E-2</v>
      </c>
      <c r="O1572">
        <v>9.2099999999999994E-3</v>
      </c>
      <c r="P1572" s="3">
        <f t="shared" si="96"/>
        <v>1924.4509292282517</v>
      </c>
      <c r="Q1572" s="3">
        <f t="shared" si="97"/>
        <v>-1.8517558669373102E-4</v>
      </c>
      <c r="R1572" s="3">
        <f t="shared" si="98"/>
        <v>9.0699999999999999E-3</v>
      </c>
      <c r="S1572">
        <f t="shared" si="99"/>
        <v>38</v>
      </c>
      <c r="T1572">
        <f>INDEX([1]IDEN_level_ids!$B:$B,MATCH(G1572,[1]IDEN_level_ids!$A:$A,0),1)</f>
        <v>1186</v>
      </c>
      <c r="U1572">
        <f>INDEX([1]IDEN_level_ids!$B:$B,MATCH(H1572,[1]IDEN_level_ids!$A:$A,0),1)</f>
        <v>979</v>
      </c>
    </row>
    <row r="1573" spans="1:21" hidden="1" x14ac:dyDescent="0.25">
      <c r="A1573">
        <v>51943.087899999999</v>
      </c>
      <c r="B1573">
        <v>1925.184</v>
      </c>
      <c r="C1573">
        <v>9</v>
      </c>
      <c r="D1573" t="s">
        <v>581</v>
      </c>
      <c r="F1573">
        <v>1969</v>
      </c>
      <c r="G1573" s="1" t="s">
        <v>265</v>
      </c>
      <c r="H1573" s="1" t="s">
        <v>508</v>
      </c>
      <c r="I1573">
        <v>0</v>
      </c>
      <c r="J1573">
        <v>51943.1443</v>
      </c>
      <c r="K1573">
        <v>2.0899999999999998E-3</v>
      </c>
      <c r="L1573">
        <v>9.0799999999999995E-3</v>
      </c>
      <c r="M1573">
        <v>0.245</v>
      </c>
      <c r="N1573">
        <v>1.4500000000000001E-2</v>
      </c>
      <c r="O1573">
        <v>9.2099999999999994E-3</v>
      </c>
      <c r="P1573" s="3">
        <f t="shared" si="96"/>
        <v>1925.1839665850903</v>
      </c>
      <c r="Q1573" s="3">
        <f t="shared" si="97"/>
        <v>2.0903697145513433E-3</v>
      </c>
      <c r="R1573" s="3">
        <f t="shared" si="98"/>
        <v>9.0799999999999995E-3</v>
      </c>
      <c r="S1573">
        <f t="shared" si="99"/>
        <v>39</v>
      </c>
      <c r="T1573">
        <f>INDEX([1]IDEN_level_ids!$B:$B,MATCH(G1573,[1]IDEN_level_ids!$A:$A,0),1)</f>
        <v>1161</v>
      </c>
      <c r="U1573">
        <f>INDEX([1]IDEN_level_ids!$B:$B,MATCH(H1573,[1]IDEN_level_ids!$A:$A,0),1)</f>
        <v>961</v>
      </c>
    </row>
    <row r="1574" spans="1:21" hidden="1" x14ac:dyDescent="0.25">
      <c r="A1574">
        <v>51897.262699999999</v>
      </c>
      <c r="B1574">
        <v>1926.8839</v>
      </c>
      <c r="C1574">
        <v>9</v>
      </c>
      <c r="D1574" t="s">
        <v>581</v>
      </c>
      <c r="F1574">
        <v>1969</v>
      </c>
      <c r="G1574" s="1" t="s">
        <v>118</v>
      </c>
      <c r="H1574" s="1" t="s">
        <v>582</v>
      </c>
      <c r="I1574">
        <v>-0.1898</v>
      </c>
      <c r="J1574">
        <v>51897.2863</v>
      </c>
      <c r="K1574">
        <v>8.8000000000000003E-4</v>
      </c>
      <c r="L1574">
        <v>9.1000000000000004E-3</v>
      </c>
      <c r="M1574">
        <v>0.245</v>
      </c>
      <c r="N1574">
        <v>2.2700000000000001E-2</v>
      </c>
      <c r="O1574">
        <v>9.3100000000000006E-3</v>
      </c>
      <c r="P1574" s="3">
        <f t="shared" si="96"/>
        <v>1926.8839009499436</v>
      </c>
      <c r="Q1574" s="3">
        <f t="shared" si="97"/>
        <v>8.7623965146121918E-4</v>
      </c>
      <c r="R1574" s="3">
        <f t="shared" si="98"/>
        <v>9.1000000000000004E-3</v>
      </c>
      <c r="S1574">
        <f t="shared" si="99"/>
        <v>39</v>
      </c>
      <c r="T1574">
        <f>INDEX([1]IDEN_level_ids!$B:$B,MATCH(G1574,[1]IDEN_level_ids!$A:$A,0),1)</f>
        <v>1237</v>
      </c>
      <c r="U1574">
        <f>INDEX([1]IDEN_level_ids!$B:$B,MATCH(H1574,[1]IDEN_level_ids!$A:$A,0),1)</f>
        <v>1042</v>
      </c>
    </row>
    <row r="1575" spans="1:21" hidden="1" x14ac:dyDescent="0.25">
      <c r="A1575">
        <v>51891.5792</v>
      </c>
      <c r="B1575">
        <v>1927.0949000000001</v>
      </c>
      <c r="C1575">
        <v>9</v>
      </c>
      <c r="D1575" t="s">
        <v>581</v>
      </c>
      <c r="F1575">
        <v>1969</v>
      </c>
      <c r="G1575" s="1" t="s">
        <v>46</v>
      </c>
      <c r="H1575" s="1" t="s">
        <v>578</v>
      </c>
      <c r="I1575">
        <v>0.18779999999999999</v>
      </c>
      <c r="J1575">
        <v>51891.444900000002</v>
      </c>
      <c r="K1575">
        <v>-4.9899999999999996E-3</v>
      </c>
      <c r="L1575">
        <v>9.1000000000000004E-3</v>
      </c>
      <c r="M1575">
        <v>0.245</v>
      </c>
      <c r="N1575">
        <v>1.3100000000000001E-2</v>
      </c>
      <c r="O1575">
        <v>9.2200000000000008E-3</v>
      </c>
      <c r="P1575" s="3">
        <f t="shared" si="96"/>
        <v>1927.0949456862936</v>
      </c>
      <c r="Q1575" s="3">
        <f t="shared" si="97"/>
        <v>-4.9875051986418839E-3</v>
      </c>
      <c r="R1575" s="3">
        <f t="shared" si="98"/>
        <v>9.1000000000000004E-3</v>
      </c>
      <c r="S1575">
        <f t="shared" si="99"/>
        <v>39</v>
      </c>
      <c r="T1575">
        <f>INDEX([1]IDEN_level_ids!$B:$B,MATCH(G1575,[1]IDEN_level_ids!$A:$A,0),1)</f>
        <v>1212</v>
      </c>
      <c r="U1575">
        <f>INDEX([1]IDEN_level_ids!$B:$B,MATCH(H1575,[1]IDEN_level_ids!$A:$A,0),1)</f>
        <v>1003</v>
      </c>
    </row>
    <row r="1576" spans="1:21" hidden="1" x14ac:dyDescent="0.25">
      <c r="A1576">
        <v>51875.884899999997</v>
      </c>
      <c r="B1576">
        <v>1927.6780000000001</v>
      </c>
      <c r="C1576">
        <v>9</v>
      </c>
      <c r="D1576" t="s">
        <v>581</v>
      </c>
      <c r="F1576">
        <v>1969</v>
      </c>
      <c r="G1576" s="1" t="s">
        <v>22</v>
      </c>
      <c r="H1576" s="1" t="s">
        <v>477</v>
      </c>
      <c r="I1576">
        <v>0.2382</v>
      </c>
      <c r="J1576">
        <v>51875.787700000001</v>
      </c>
      <c r="K1576">
        <v>-3.6099999999999999E-3</v>
      </c>
      <c r="L1576">
        <v>9.1000000000000004E-3</v>
      </c>
      <c r="M1576">
        <v>0.245</v>
      </c>
      <c r="N1576">
        <v>1.5100000000000001E-2</v>
      </c>
      <c r="O1576">
        <v>9.2399999999999999E-3</v>
      </c>
      <c r="P1576" s="3">
        <f t="shared" si="96"/>
        <v>1927.677960438994</v>
      </c>
      <c r="Q1576" s="3">
        <f t="shared" si="97"/>
        <v>-3.6119027017775807E-3</v>
      </c>
      <c r="R1576" s="3">
        <f t="shared" si="98"/>
        <v>9.1000000000000004E-3</v>
      </c>
      <c r="S1576">
        <f t="shared" si="99"/>
        <v>39</v>
      </c>
      <c r="T1576">
        <f>INDEX([1]IDEN_level_ids!$B:$B,MATCH(G1576,[1]IDEN_level_ids!$A:$A,0),1)</f>
        <v>1236</v>
      </c>
      <c r="U1576">
        <f>INDEX([1]IDEN_level_ids!$B:$B,MATCH(H1576,[1]IDEN_level_ids!$A:$A,0),1)</f>
        <v>1045</v>
      </c>
    </row>
    <row r="1577" spans="1:21" hidden="1" x14ac:dyDescent="0.25">
      <c r="A1577">
        <v>51873.300499999998</v>
      </c>
      <c r="B1577">
        <v>1927.7739999999999</v>
      </c>
      <c r="C1577">
        <v>9</v>
      </c>
      <c r="D1577" t="s">
        <v>581</v>
      </c>
      <c r="F1577">
        <v>1969</v>
      </c>
      <c r="G1577" s="1" t="s">
        <v>55</v>
      </c>
      <c r="H1577" s="1" t="s">
        <v>552</v>
      </c>
      <c r="I1577">
        <v>0</v>
      </c>
      <c r="J1577">
        <v>51873.338600000003</v>
      </c>
      <c r="K1577">
        <v>1.42E-3</v>
      </c>
      <c r="L1577">
        <v>9.1000000000000004E-3</v>
      </c>
      <c r="M1577">
        <v>0.245</v>
      </c>
      <c r="N1577">
        <v>1.32E-2</v>
      </c>
      <c r="O1577">
        <v>9.2300000000000004E-3</v>
      </c>
      <c r="P1577" s="3">
        <f t="shared" si="96"/>
        <v>1927.7740000368783</v>
      </c>
      <c r="Q1577" s="3">
        <f t="shared" si="97"/>
        <v>1.4159140589526942E-3</v>
      </c>
      <c r="R1577" s="3">
        <f t="shared" si="98"/>
        <v>9.1000000000000004E-3</v>
      </c>
      <c r="S1577">
        <f t="shared" si="99"/>
        <v>39</v>
      </c>
      <c r="T1577">
        <f>INDEX([1]IDEN_level_ids!$B:$B,MATCH(G1577,[1]IDEN_level_ids!$A:$A,0),1)</f>
        <v>1233</v>
      </c>
      <c r="U1577">
        <f>INDEX([1]IDEN_level_ids!$B:$B,MATCH(H1577,[1]IDEN_level_ids!$A:$A,0),1)</f>
        <v>1040</v>
      </c>
    </row>
    <row r="1578" spans="1:21" hidden="1" x14ac:dyDescent="0.25">
      <c r="A1578">
        <v>51872.0334</v>
      </c>
      <c r="B1578">
        <v>1927.8210999999999</v>
      </c>
      <c r="C1578">
        <v>9</v>
      </c>
      <c r="D1578" t="s">
        <v>581</v>
      </c>
      <c r="F1578">
        <v>1969</v>
      </c>
      <c r="G1578" s="1" t="s">
        <v>76</v>
      </c>
      <c r="H1578" s="1" t="s">
        <v>568</v>
      </c>
      <c r="I1578">
        <v>0</v>
      </c>
      <c r="J1578">
        <v>51871.991999999998</v>
      </c>
      <c r="K1578">
        <v>-1.5399999999999999E-3</v>
      </c>
      <c r="L1578">
        <v>9.1000000000000004E-3</v>
      </c>
      <c r="M1578">
        <v>0.245</v>
      </c>
      <c r="N1578">
        <v>1.5900000000000001E-2</v>
      </c>
      <c r="O1578">
        <v>9.2499999999999995E-3</v>
      </c>
      <c r="P1578" s="3">
        <f t="shared" si="96"/>
        <v>1927.8210905840449</v>
      </c>
      <c r="Q1578" s="3">
        <f t="shared" si="97"/>
        <v>-1.5386298091470962E-3</v>
      </c>
      <c r="R1578" s="3">
        <f t="shared" si="98"/>
        <v>9.1000000000000004E-3</v>
      </c>
      <c r="S1578">
        <f t="shared" si="99"/>
        <v>39</v>
      </c>
      <c r="T1578">
        <f>INDEX([1]IDEN_level_ids!$B:$B,MATCH(G1578,[1]IDEN_level_ids!$A:$A,0),1)</f>
        <v>1194</v>
      </c>
      <c r="U1578">
        <f>INDEX([1]IDEN_level_ids!$B:$B,MATCH(H1578,[1]IDEN_level_ids!$A:$A,0),1)</f>
        <v>988</v>
      </c>
    </row>
    <row r="1579" spans="1:21" hidden="1" x14ac:dyDescent="0.25">
      <c r="A1579">
        <v>51860.602700000003</v>
      </c>
      <c r="B1579">
        <v>1928.2460000000001</v>
      </c>
      <c r="C1579">
        <v>9</v>
      </c>
      <c r="D1579" t="s">
        <v>581</v>
      </c>
      <c r="F1579">
        <v>1969</v>
      </c>
      <c r="G1579" s="1" t="s">
        <v>73</v>
      </c>
      <c r="H1579" s="1" t="s">
        <v>556</v>
      </c>
      <c r="I1579">
        <v>0</v>
      </c>
      <c r="J1579">
        <v>51860.703200000004</v>
      </c>
      <c r="K1579">
        <v>3.7399999999999998E-3</v>
      </c>
      <c r="L1579">
        <v>9.11E-3</v>
      </c>
      <c r="M1579">
        <v>0.245</v>
      </c>
      <c r="N1579">
        <v>2.5000000000000001E-2</v>
      </c>
      <c r="O1579">
        <v>9.3399999999999993E-3</v>
      </c>
      <c r="P1579" s="3">
        <f t="shared" si="96"/>
        <v>1928.246005517402</v>
      </c>
      <c r="Q1579" s="3">
        <f t="shared" si="97"/>
        <v>3.7367160796293319E-3</v>
      </c>
      <c r="R1579" s="3">
        <f t="shared" si="98"/>
        <v>9.11E-3</v>
      </c>
      <c r="S1579">
        <f t="shared" si="99"/>
        <v>39</v>
      </c>
      <c r="T1579">
        <f>INDEX([1]IDEN_level_ids!$B:$B,MATCH(G1579,[1]IDEN_level_ids!$A:$A,0),1)</f>
        <v>1173</v>
      </c>
      <c r="U1579">
        <f>INDEX([1]IDEN_level_ids!$B:$B,MATCH(H1579,[1]IDEN_level_ids!$A:$A,0),1)</f>
        <v>973</v>
      </c>
    </row>
    <row r="1580" spans="1:21" hidden="1" x14ac:dyDescent="0.25">
      <c r="A1580">
        <v>51821.367899999997</v>
      </c>
      <c r="B1580">
        <v>1929.7058999999999</v>
      </c>
      <c r="C1580">
        <v>9</v>
      </c>
      <c r="D1580" t="s">
        <v>581</v>
      </c>
      <c r="F1580">
        <v>1969</v>
      </c>
      <c r="G1580" s="1" t="s">
        <v>118</v>
      </c>
      <c r="H1580" s="1" t="s">
        <v>583</v>
      </c>
      <c r="I1580">
        <v>8.1100000000000005E-2</v>
      </c>
      <c r="J1580">
        <v>51821.247300000003</v>
      </c>
      <c r="K1580">
        <v>-4.4900000000000001E-3</v>
      </c>
      <c r="L1580">
        <v>9.1199999999999996E-3</v>
      </c>
      <c r="M1580">
        <v>0.245</v>
      </c>
      <c r="N1580">
        <v>2.06E-2</v>
      </c>
      <c r="O1580">
        <v>9.3100000000000006E-3</v>
      </c>
      <c r="P1580" s="3">
        <f t="shared" si="96"/>
        <v>1929.7059119120629</v>
      </c>
      <c r="Q1580" s="3">
        <f t="shared" si="97"/>
        <v>-4.4908709282935888E-3</v>
      </c>
      <c r="R1580" s="3">
        <f t="shared" si="98"/>
        <v>9.1199999999999996E-3</v>
      </c>
      <c r="S1580">
        <f t="shared" si="99"/>
        <v>39</v>
      </c>
      <c r="T1580">
        <f>INDEX([1]IDEN_level_ids!$B:$B,MATCH(G1580,[1]IDEN_level_ids!$A:$A,0),1)</f>
        <v>1237</v>
      </c>
      <c r="U1580">
        <f>INDEX([1]IDEN_level_ids!$B:$B,MATCH(H1580,[1]IDEN_level_ids!$A:$A,0),1)</f>
        <v>1043</v>
      </c>
    </row>
    <row r="1581" spans="1:21" hidden="1" x14ac:dyDescent="0.25">
      <c r="A1581">
        <v>51815.618000000002</v>
      </c>
      <c r="B1581">
        <v>1929.92</v>
      </c>
      <c r="C1581">
        <v>9</v>
      </c>
      <c r="D1581" t="s">
        <v>581</v>
      </c>
      <c r="F1581">
        <v>1969</v>
      </c>
      <c r="G1581" s="1" t="s">
        <v>68</v>
      </c>
      <c r="H1581" s="1" t="s">
        <v>541</v>
      </c>
      <c r="I1581">
        <v>0</v>
      </c>
      <c r="J1581">
        <v>51815.623</v>
      </c>
      <c r="K1581">
        <v>1.9000000000000001E-4</v>
      </c>
      <c r="L1581">
        <v>9.1199999999999996E-3</v>
      </c>
      <c r="M1581">
        <v>0.245</v>
      </c>
      <c r="N1581">
        <v>1.44E-2</v>
      </c>
      <c r="O1581">
        <v>9.2599999999999991E-3</v>
      </c>
      <c r="P1581" s="3">
        <f t="shared" si="96"/>
        <v>1929.9200484301855</v>
      </c>
      <c r="Q1581" s="3">
        <f t="shared" si="97"/>
        <v>1.8622955144564912E-4</v>
      </c>
      <c r="R1581" s="3">
        <f t="shared" si="98"/>
        <v>9.1199999999999996E-3</v>
      </c>
      <c r="S1581">
        <f t="shared" si="99"/>
        <v>39</v>
      </c>
      <c r="T1581">
        <f>INDEX([1]IDEN_level_ids!$B:$B,MATCH(G1581,[1]IDEN_level_ids!$A:$A,0),1)</f>
        <v>1229</v>
      </c>
      <c r="U1581">
        <f>INDEX([1]IDEN_level_ids!$B:$B,MATCH(H1581,[1]IDEN_level_ids!$A:$A,0),1)</f>
        <v>1028</v>
      </c>
    </row>
    <row r="1582" spans="1:21" hidden="1" x14ac:dyDescent="0.25">
      <c r="A1582">
        <v>51813.441700000003</v>
      </c>
      <c r="B1582">
        <v>1930.0011</v>
      </c>
      <c r="C1582">
        <v>9</v>
      </c>
      <c r="D1582" t="s">
        <v>581</v>
      </c>
      <c r="F1582">
        <v>1969</v>
      </c>
      <c r="G1582" s="1" t="s">
        <v>554</v>
      </c>
      <c r="H1582" s="1" t="s">
        <v>561</v>
      </c>
      <c r="I1582">
        <v>0</v>
      </c>
      <c r="J1582">
        <v>51813.475100000003</v>
      </c>
      <c r="K1582">
        <v>1.24E-3</v>
      </c>
      <c r="L1582">
        <v>9.1299999999999992E-3</v>
      </c>
      <c r="M1582">
        <v>0.245</v>
      </c>
      <c r="N1582">
        <v>4.9000000000000002E-2</v>
      </c>
      <c r="O1582">
        <v>9.5999999999999992E-3</v>
      </c>
      <c r="P1582" s="3">
        <f t="shared" si="96"/>
        <v>1930.0011101173384</v>
      </c>
      <c r="Q1582" s="3">
        <f t="shared" si="97"/>
        <v>1.2441172291346447E-3</v>
      </c>
      <c r="R1582" s="3">
        <f t="shared" si="98"/>
        <v>9.1299999999999992E-3</v>
      </c>
      <c r="S1582">
        <f t="shared" si="99"/>
        <v>39</v>
      </c>
      <c r="T1582">
        <f>INDEX([1]IDEN_level_ids!$B:$B,MATCH(G1582,[1]IDEN_level_ids!$A:$A,0),1)</f>
        <v>982</v>
      </c>
      <c r="U1582">
        <f>INDEX([1]IDEN_level_ids!$B:$B,MATCH(H1582,[1]IDEN_level_ids!$A:$A,0),1)</f>
        <v>545</v>
      </c>
    </row>
    <row r="1583" spans="1:21" hidden="1" x14ac:dyDescent="0.25">
      <c r="A1583">
        <v>51804.103600000002</v>
      </c>
      <c r="B1583">
        <v>1930.3489999999999</v>
      </c>
      <c r="C1583">
        <v>9</v>
      </c>
      <c r="D1583" t="s">
        <v>581</v>
      </c>
      <c r="F1583">
        <v>1969</v>
      </c>
      <c r="G1583" s="1" t="s">
        <v>72</v>
      </c>
      <c r="H1583" s="1" t="s">
        <v>570</v>
      </c>
      <c r="I1583">
        <v>0</v>
      </c>
      <c r="J1583">
        <v>51804.035900000003</v>
      </c>
      <c r="K1583">
        <v>-2.5200000000000001E-3</v>
      </c>
      <c r="L1583">
        <v>9.1299999999999992E-3</v>
      </c>
      <c r="M1583">
        <v>0.245</v>
      </c>
      <c r="N1583">
        <v>1.2699999999999999E-2</v>
      </c>
      <c r="O1583">
        <v>9.2499999999999995E-3</v>
      </c>
      <c r="P1583" s="3">
        <f t="shared" si="96"/>
        <v>1930.3490081044467</v>
      </c>
      <c r="Q1583" s="3">
        <f t="shared" si="97"/>
        <v>-2.5226727141216543E-3</v>
      </c>
      <c r="R1583" s="3">
        <f t="shared" si="98"/>
        <v>9.1299999999999992E-3</v>
      </c>
      <c r="S1583">
        <f t="shared" si="99"/>
        <v>39</v>
      </c>
      <c r="T1583">
        <f>INDEX([1]IDEN_level_ids!$B:$B,MATCH(G1583,[1]IDEN_level_ids!$A:$A,0),1)</f>
        <v>1225</v>
      </c>
      <c r="U1583">
        <f>INDEX([1]IDEN_level_ids!$B:$B,MATCH(H1583,[1]IDEN_level_ids!$A:$A,0),1)</f>
        <v>1015</v>
      </c>
    </row>
    <row r="1584" spans="1:21" hidden="1" x14ac:dyDescent="0.25">
      <c r="A1584">
        <v>51791.650900000001</v>
      </c>
      <c r="B1584">
        <v>1930.8131000000001</v>
      </c>
      <c r="C1584">
        <v>9</v>
      </c>
      <c r="D1584" t="s">
        <v>581</v>
      </c>
      <c r="F1584">
        <v>1969</v>
      </c>
      <c r="G1584" s="1" t="s">
        <v>464</v>
      </c>
      <c r="H1584" s="1" t="s">
        <v>575</v>
      </c>
      <c r="I1584">
        <v>0</v>
      </c>
      <c r="J1584">
        <v>51791.753499999999</v>
      </c>
      <c r="K1584">
        <v>3.82E-3</v>
      </c>
      <c r="L1584">
        <v>9.1299999999999992E-3</v>
      </c>
      <c r="M1584">
        <v>0.245</v>
      </c>
      <c r="N1584">
        <v>7.2900000000000006E-2</v>
      </c>
      <c r="O1584">
        <v>9.8499999999999994E-3</v>
      </c>
      <c r="P1584" s="3">
        <f t="shared" si="96"/>
        <v>1930.8131380689392</v>
      </c>
      <c r="Q1584" s="3">
        <f t="shared" si="97"/>
        <v>3.8249608205660479E-3</v>
      </c>
      <c r="R1584" s="3">
        <f t="shared" si="98"/>
        <v>9.1299999999999992E-3</v>
      </c>
      <c r="S1584">
        <f t="shared" si="99"/>
        <v>39</v>
      </c>
      <c r="T1584">
        <f>INDEX([1]IDEN_level_ids!$B:$B,MATCH(G1584,[1]IDEN_level_ids!$A:$A,0),1)</f>
        <v>1076</v>
      </c>
      <c r="U1584">
        <f>INDEX([1]IDEN_level_ids!$B:$B,MATCH(H1584,[1]IDEN_level_ids!$A:$A,0),1)</f>
        <v>771</v>
      </c>
    </row>
    <row r="1585" spans="1:21" hidden="1" x14ac:dyDescent="0.25">
      <c r="A1585">
        <v>51776.7736</v>
      </c>
      <c r="B1585">
        <v>1931.3679</v>
      </c>
      <c r="C1585">
        <v>9</v>
      </c>
      <c r="D1585" t="s">
        <v>581</v>
      </c>
      <c r="F1585">
        <v>1969</v>
      </c>
      <c r="G1585" s="1" t="s">
        <v>563</v>
      </c>
      <c r="H1585" s="1" t="s">
        <v>507</v>
      </c>
      <c r="I1585">
        <v>0</v>
      </c>
      <c r="J1585">
        <v>51776.715100000001</v>
      </c>
      <c r="K1585">
        <v>-2.1800000000000001E-3</v>
      </c>
      <c r="L1585">
        <v>9.1400000000000006E-3</v>
      </c>
      <c r="M1585">
        <v>0.245</v>
      </c>
      <c r="N1585">
        <v>0.13320000000000001</v>
      </c>
      <c r="O1585">
        <v>1.0540000000000001E-2</v>
      </c>
      <c r="P1585" s="3">
        <f t="shared" si="96"/>
        <v>1931.3679290360417</v>
      </c>
      <c r="Q1585" s="3">
        <f t="shared" si="97"/>
        <v>-2.1821589807586861E-3</v>
      </c>
      <c r="R1585" s="3">
        <f t="shared" si="98"/>
        <v>9.1400000000000006E-3</v>
      </c>
      <c r="S1585">
        <f t="shared" si="99"/>
        <v>39</v>
      </c>
      <c r="T1585">
        <f>INDEX([1]IDEN_level_ids!$B:$B,MATCH(G1585,[1]IDEN_level_ids!$A:$A,0),1)</f>
        <v>1032</v>
      </c>
      <c r="U1585">
        <f>INDEX([1]IDEN_level_ids!$B:$B,MATCH(H1585,[1]IDEN_level_ids!$A:$A,0),1)</f>
        <v>667</v>
      </c>
    </row>
    <row r="1586" spans="1:21" hidden="1" x14ac:dyDescent="0.25">
      <c r="A1586">
        <v>51766.825900000003</v>
      </c>
      <c r="B1586">
        <v>1931.7391</v>
      </c>
      <c r="C1586">
        <v>9</v>
      </c>
      <c r="D1586" t="s">
        <v>581</v>
      </c>
      <c r="F1586">
        <v>1969</v>
      </c>
      <c r="G1586" s="1" t="s">
        <v>77</v>
      </c>
      <c r="H1586" s="1" t="s">
        <v>584</v>
      </c>
      <c r="I1586">
        <v>0</v>
      </c>
      <c r="J1586">
        <v>51767.238799999999</v>
      </c>
      <c r="K1586">
        <v>1.541E-2</v>
      </c>
      <c r="L1586">
        <v>9.1400000000000006E-3</v>
      </c>
      <c r="M1586">
        <v>0.245</v>
      </c>
      <c r="N1586">
        <v>1.6400000000000001E-2</v>
      </c>
      <c r="O1586">
        <v>9.2899999999999996E-3</v>
      </c>
      <c r="P1586" s="3">
        <f t="shared" si="96"/>
        <v>1931.7390676641812</v>
      </c>
      <c r="Q1586" s="3">
        <f t="shared" si="97"/>
        <v>1.5407718849019147E-2</v>
      </c>
      <c r="R1586" s="3">
        <f t="shared" si="98"/>
        <v>9.1400000000000006E-3</v>
      </c>
      <c r="S1586">
        <f t="shared" si="99"/>
        <v>39</v>
      </c>
      <c r="T1586">
        <f>INDEX([1]IDEN_level_ids!$B:$B,MATCH(G1586,[1]IDEN_level_ids!$A:$A,0),1)</f>
        <v>1197</v>
      </c>
      <c r="U1586">
        <f>INDEX([1]IDEN_level_ids!$B:$B,MATCH(H1586,[1]IDEN_level_ids!$A:$A,0),1)</f>
        <v>992</v>
      </c>
    </row>
    <row r="1587" spans="1:21" hidden="1" x14ac:dyDescent="0.25">
      <c r="A1587">
        <v>51754.986599999997</v>
      </c>
      <c r="B1587">
        <v>1932.181</v>
      </c>
      <c r="C1587">
        <v>9</v>
      </c>
      <c r="D1587" t="s">
        <v>581</v>
      </c>
      <c r="E1587" t="s">
        <v>66</v>
      </c>
      <c r="F1587">
        <v>1969</v>
      </c>
      <c r="G1587" s="1" t="s">
        <v>534</v>
      </c>
      <c r="H1587" s="1" t="s">
        <v>433</v>
      </c>
      <c r="I1587">
        <v>0.22489999999999999</v>
      </c>
      <c r="J1587">
        <v>51754.627099999998</v>
      </c>
      <c r="K1587">
        <v>-1.342E-2</v>
      </c>
      <c r="L1587">
        <v>2.3970000000000002E-2</v>
      </c>
      <c r="M1587">
        <v>0.64200000000000002</v>
      </c>
      <c r="N1587">
        <v>1.04E-2</v>
      </c>
      <c r="O1587">
        <v>2.4219999999999998E-2</v>
      </c>
      <c r="P1587" s="3">
        <f t="shared" si="96"/>
        <v>1932.1809659206831</v>
      </c>
      <c r="Q1587" s="3">
        <f t="shared" si="97"/>
        <v>-1.3421390437315495E-2</v>
      </c>
      <c r="R1587" s="3">
        <f t="shared" si="98"/>
        <v>2.3970000000000002E-2</v>
      </c>
      <c r="S1587">
        <f t="shared" si="99"/>
        <v>39</v>
      </c>
      <c r="T1587">
        <f>INDEX([1]IDEN_level_ids!$B:$B,MATCH(G1587,[1]IDEN_level_ids!$A:$A,0),1)</f>
        <v>1116</v>
      </c>
      <c r="U1587">
        <f>INDEX([1]IDEN_level_ids!$B:$B,MATCH(H1587,[1]IDEN_level_ids!$A:$A,0),1)</f>
        <v>918</v>
      </c>
    </row>
    <row r="1588" spans="1:21" hidden="1" x14ac:dyDescent="0.25">
      <c r="A1588">
        <v>51736.484400000001</v>
      </c>
      <c r="B1588">
        <v>1932.8720000000001</v>
      </c>
      <c r="C1588">
        <v>9</v>
      </c>
      <c r="D1588" t="s">
        <v>581</v>
      </c>
      <c r="F1588">
        <v>1969</v>
      </c>
      <c r="G1588" s="1" t="s">
        <v>33</v>
      </c>
      <c r="H1588" s="1" t="s">
        <v>544</v>
      </c>
      <c r="I1588">
        <v>0</v>
      </c>
      <c r="J1588">
        <v>51736.537300000004</v>
      </c>
      <c r="K1588">
        <v>1.98E-3</v>
      </c>
      <c r="L1588">
        <v>9.1500000000000001E-3</v>
      </c>
      <c r="M1588">
        <v>0.245</v>
      </c>
      <c r="N1588">
        <v>1.38E-2</v>
      </c>
      <c r="O1588">
        <v>9.2800000000000001E-3</v>
      </c>
      <c r="P1588" s="3">
        <f t="shared" si="96"/>
        <v>1932.871959889103</v>
      </c>
      <c r="Q1588" s="3">
        <f t="shared" si="97"/>
        <v>1.9763388124829362E-3</v>
      </c>
      <c r="R1588" s="3">
        <f t="shared" si="98"/>
        <v>9.1500000000000001E-3</v>
      </c>
      <c r="S1588">
        <f t="shared" si="99"/>
        <v>39</v>
      </c>
      <c r="T1588">
        <f>INDEX([1]IDEN_level_ids!$B:$B,MATCH(G1588,[1]IDEN_level_ids!$A:$A,0),1)</f>
        <v>1220</v>
      </c>
      <c r="U1588">
        <f>INDEX([1]IDEN_level_ids!$B:$B,MATCH(H1588,[1]IDEN_level_ids!$A:$A,0),1)</f>
        <v>1011</v>
      </c>
    </row>
    <row r="1589" spans="1:21" hidden="1" x14ac:dyDescent="0.25">
      <c r="A1589">
        <v>51719.918700000002</v>
      </c>
      <c r="B1589">
        <v>1933.4911</v>
      </c>
      <c r="C1589">
        <v>9</v>
      </c>
      <c r="D1589" t="s">
        <v>581</v>
      </c>
      <c r="F1589">
        <v>1969</v>
      </c>
      <c r="G1589" s="1" t="s">
        <v>94</v>
      </c>
      <c r="H1589" s="1" t="s">
        <v>578</v>
      </c>
      <c r="I1589">
        <v>0.18779999999999999</v>
      </c>
      <c r="J1589">
        <v>51719.855300000003</v>
      </c>
      <c r="K1589">
        <v>-2.3700000000000001E-3</v>
      </c>
      <c r="L1589">
        <v>9.1599999999999997E-3</v>
      </c>
      <c r="M1589">
        <v>0.245</v>
      </c>
      <c r="N1589">
        <v>1.23E-2</v>
      </c>
      <c r="O1589">
        <v>9.2700000000000005E-3</v>
      </c>
      <c r="P1589" s="3">
        <f t="shared" si="96"/>
        <v>1933.4910516787027</v>
      </c>
      <c r="Q1589" s="3">
        <f t="shared" si="97"/>
        <v>-2.3701406735199271E-3</v>
      </c>
      <c r="R1589" s="3">
        <f t="shared" si="98"/>
        <v>9.1599999999999997E-3</v>
      </c>
      <c r="S1589">
        <f t="shared" si="99"/>
        <v>39</v>
      </c>
      <c r="T1589">
        <f>INDEX([1]IDEN_level_ids!$B:$B,MATCH(G1589,[1]IDEN_level_ids!$A:$A,0),1)</f>
        <v>1207</v>
      </c>
      <c r="U1589">
        <f>INDEX([1]IDEN_level_ids!$B:$B,MATCH(H1589,[1]IDEN_level_ids!$A:$A,0),1)</f>
        <v>1003</v>
      </c>
    </row>
    <row r="1590" spans="1:21" hidden="1" x14ac:dyDescent="0.25">
      <c r="A1590">
        <v>51712.322699999997</v>
      </c>
      <c r="B1590">
        <v>1933.7751000000001</v>
      </c>
      <c r="C1590">
        <v>9</v>
      </c>
      <c r="D1590" t="s">
        <v>581</v>
      </c>
      <c r="F1590">
        <v>1969</v>
      </c>
      <c r="G1590" s="1" t="s">
        <v>49</v>
      </c>
      <c r="H1590" s="1" t="s">
        <v>510</v>
      </c>
      <c r="I1590">
        <v>0</v>
      </c>
      <c r="J1590">
        <v>51712.2716</v>
      </c>
      <c r="K1590">
        <v>-1.91E-3</v>
      </c>
      <c r="L1590">
        <v>9.1599999999999997E-3</v>
      </c>
      <c r="M1590">
        <v>0.245</v>
      </c>
      <c r="N1590">
        <v>1.7899999999999999E-2</v>
      </c>
      <c r="O1590">
        <v>9.3299999999999998E-3</v>
      </c>
      <c r="P1590" s="3">
        <f t="shared" si="96"/>
        <v>1933.7750613162848</v>
      </c>
      <c r="Q1590" s="3">
        <f t="shared" si="97"/>
        <v>-1.9108792278075271E-3</v>
      </c>
      <c r="R1590" s="3">
        <f t="shared" si="98"/>
        <v>9.1599999999999997E-3</v>
      </c>
      <c r="S1590">
        <f t="shared" si="99"/>
        <v>39</v>
      </c>
      <c r="T1590">
        <f>INDEX([1]IDEN_level_ids!$B:$B,MATCH(G1590,[1]IDEN_level_ids!$A:$A,0),1)</f>
        <v>1214</v>
      </c>
      <c r="U1590">
        <f>INDEX([1]IDEN_level_ids!$B:$B,MATCH(H1590,[1]IDEN_level_ids!$A:$A,0),1)</f>
        <v>1006</v>
      </c>
    </row>
    <row r="1591" spans="1:21" hidden="1" x14ac:dyDescent="0.25">
      <c r="A1591">
        <v>51709.916499999999</v>
      </c>
      <c r="B1591">
        <v>1933.865</v>
      </c>
      <c r="C1591">
        <v>9</v>
      </c>
      <c r="D1591" t="s">
        <v>581</v>
      </c>
      <c r="F1591">
        <v>1969</v>
      </c>
      <c r="G1591" s="1" t="s">
        <v>279</v>
      </c>
      <c r="H1591" s="1" t="s">
        <v>405</v>
      </c>
      <c r="I1591">
        <v>0.18920000000000001</v>
      </c>
      <c r="J1591">
        <v>51710.158100000001</v>
      </c>
      <c r="K1591">
        <v>9.0299999999999998E-3</v>
      </c>
      <c r="L1591">
        <v>9.1599999999999997E-3</v>
      </c>
      <c r="M1591">
        <v>0.245</v>
      </c>
      <c r="N1591">
        <v>6.5500000000000003E-2</v>
      </c>
      <c r="O1591">
        <v>9.7999999999999997E-3</v>
      </c>
      <c r="P1591" s="3">
        <f t="shared" si="96"/>
        <v>1933.8650450151085</v>
      </c>
      <c r="Q1591" s="3">
        <f t="shared" si="97"/>
        <v>9.035396758463321E-3</v>
      </c>
      <c r="R1591" s="3">
        <f t="shared" si="98"/>
        <v>9.1599999999999997E-3</v>
      </c>
      <c r="S1591">
        <f t="shared" si="99"/>
        <v>39</v>
      </c>
      <c r="T1591">
        <f>INDEX([1]IDEN_level_ids!$B:$B,MATCH(G1591,[1]IDEN_level_ids!$A:$A,0),1)</f>
        <v>1129</v>
      </c>
      <c r="U1591">
        <f>INDEX([1]IDEN_level_ids!$B:$B,MATCH(H1591,[1]IDEN_level_ids!$A:$A,0),1)</f>
        <v>927</v>
      </c>
    </row>
    <row r="1592" spans="1:21" hidden="1" x14ac:dyDescent="0.25">
      <c r="A1592">
        <v>51671.839599999999</v>
      </c>
      <c r="B1592">
        <v>1935.2900999999999</v>
      </c>
      <c r="C1592">
        <v>9</v>
      </c>
      <c r="D1592" t="s">
        <v>581</v>
      </c>
      <c r="F1592">
        <v>1969</v>
      </c>
      <c r="G1592" s="1" t="s">
        <v>504</v>
      </c>
      <c r="H1592" s="1" t="s">
        <v>435</v>
      </c>
      <c r="I1592">
        <v>-0.6966</v>
      </c>
      <c r="J1592">
        <v>51671.6469</v>
      </c>
      <c r="K1592">
        <v>-7.2199999999999999E-3</v>
      </c>
      <c r="L1592">
        <v>9.1800000000000007E-3</v>
      </c>
      <c r="M1592">
        <v>0.245</v>
      </c>
      <c r="N1592">
        <v>0.1545</v>
      </c>
      <c r="O1592">
        <v>1.085E-2</v>
      </c>
      <c r="P1592" s="3">
        <f t="shared" si="96"/>
        <v>1935.2901072250581</v>
      </c>
      <c r="Q1592" s="3">
        <f t="shared" si="97"/>
        <v>-7.2173121243395144E-3</v>
      </c>
      <c r="R1592" s="3">
        <f t="shared" si="98"/>
        <v>9.1800000000000007E-3</v>
      </c>
      <c r="S1592">
        <f t="shared" si="99"/>
        <v>39</v>
      </c>
      <c r="T1592">
        <f>INDEX([1]IDEN_level_ids!$B:$B,MATCH(G1592,[1]IDEN_level_ids!$A:$A,0),1)</f>
        <v>1118</v>
      </c>
      <c r="U1592">
        <f>INDEX([1]IDEN_level_ids!$B:$B,MATCH(H1592,[1]IDEN_level_ids!$A:$A,0),1)</f>
        <v>917</v>
      </c>
    </row>
    <row r="1593" spans="1:21" hidden="1" x14ac:dyDescent="0.25">
      <c r="A1593">
        <v>51663.887999999999</v>
      </c>
      <c r="B1593">
        <v>1935.588</v>
      </c>
      <c r="C1593">
        <v>9</v>
      </c>
      <c r="D1593" t="s">
        <v>581</v>
      </c>
      <c r="F1593">
        <v>1969</v>
      </c>
      <c r="G1593" s="1" t="s">
        <v>94</v>
      </c>
      <c r="H1593" s="1" t="s">
        <v>565</v>
      </c>
      <c r="I1593">
        <v>0.12280000000000001</v>
      </c>
      <c r="J1593">
        <v>51663.880100000002</v>
      </c>
      <c r="K1593">
        <v>-2.9E-4</v>
      </c>
      <c r="L1593">
        <v>9.1800000000000007E-3</v>
      </c>
      <c r="M1593">
        <v>0.245</v>
      </c>
      <c r="N1593">
        <v>1.2E-2</v>
      </c>
      <c r="O1593">
        <v>9.2899999999999996E-3</v>
      </c>
      <c r="P1593" s="3">
        <f t="shared" si="96"/>
        <v>1935.5879681374349</v>
      </c>
      <c r="Q1593" s="3">
        <f t="shared" si="97"/>
        <v>-2.9597360685329477E-4</v>
      </c>
      <c r="R1593" s="3">
        <f t="shared" si="98"/>
        <v>9.1800000000000007E-3</v>
      </c>
      <c r="S1593">
        <f t="shared" si="99"/>
        <v>39</v>
      </c>
      <c r="T1593">
        <f>INDEX([1]IDEN_level_ids!$B:$B,MATCH(G1593,[1]IDEN_level_ids!$A:$A,0),1)</f>
        <v>1207</v>
      </c>
      <c r="U1593">
        <f>INDEX([1]IDEN_level_ids!$B:$B,MATCH(H1593,[1]IDEN_level_ids!$A:$A,0),1)</f>
        <v>1004</v>
      </c>
    </row>
    <row r="1594" spans="1:21" hidden="1" x14ac:dyDescent="0.25">
      <c r="A1594">
        <v>51640.1397</v>
      </c>
      <c r="B1594">
        <v>1936.4781</v>
      </c>
      <c r="C1594">
        <v>9</v>
      </c>
      <c r="D1594" t="s">
        <v>581</v>
      </c>
      <c r="F1594">
        <v>1969</v>
      </c>
      <c r="G1594" s="1" t="s">
        <v>141</v>
      </c>
      <c r="H1594" s="1" t="s">
        <v>474</v>
      </c>
      <c r="I1594">
        <v>0.1988</v>
      </c>
      <c r="J1594">
        <v>51640.057200000003</v>
      </c>
      <c r="K1594">
        <v>-3.0999999999999999E-3</v>
      </c>
      <c r="L1594">
        <v>9.1900000000000003E-3</v>
      </c>
      <c r="M1594">
        <v>0.245</v>
      </c>
      <c r="N1594">
        <v>1.5299999999999999E-2</v>
      </c>
      <c r="O1594">
        <v>9.3299999999999998E-3</v>
      </c>
      <c r="P1594" s="3">
        <f t="shared" si="96"/>
        <v>1936.4781075524472</v>
      </c>
      <c r="Q1594" s="3">
        <f t="shared" si="97"/>
        <v>-3.0937115977849317E-3</v>
      </c>
      <c r="R1594" s="3">
        <f t="shared" si="98"/>
        <v>9.1900000000000003E-3</v>
      </c>
      <c r="S1594">
        <f t="shared" si="99"/>
        <v>39</v>
      </c>
      <c r="T1594">
        <f>INDEX([1]IDEN_level_ids!$B:$B,MATCH(G1594,[1]IDEN_level_ids!$A:$A,0),1)</f>
        <v>1155</v>
      </c>
      <c r="U1594">
        <f>INDEX([1]IDEN_level_ids!$B:$B,MATCH(H1594,[1]IDEN_level_ids!$A:$A,0),1)</f>
        <v>959</v>
      </c>
    </row>
    <row r="1595" spans="1:21" hidden="1" x14ac:dyDescent="0.25">
      <c r="A1595">
        <v>51635.315199999997</v>
      </c>
      <c r="B1595">
        <v>1936.6590000000001</v>
      </c>
      <c r="C1595">
        <v>9</v>
      </c>
      <c r="D1595" t="s">
        <v>581</v>
      </c>
      <c r="F1595">
        <v>1969</v>
      </c>
      <c r="G1595" s="1" t="s">
        <v>118</v>
      </c>
      <c r="H1595" s="1" t="s">
        <v>468</v>
      </c>
      <c r="I1595">
        <v>0.122</v>
      </c>
      <c r="J1595">
        <v>51635.2719</v>
      </c>
      <c r="K1595">
        <v>-1.6199999999999999E-3</v>
      </c>
      <c r="L1595">
        <v>9.1900000000000003E-3</v>
      </c>
      <c r="M1595">
        <v>0.245</v>
      </c>
      <c r="N1595">
        <v>1.9099999999999999E-2</v>
      </c>
      <c r="O1595">
        <v>9.3699999999999999E-3</v>
      </c>
      <c r="P1595" s="3">
        <f t="shared" si="96"/>
        <v>1936.6590406714513</v>
      </c>
      <c r="Q1595" s="3">
        <f t="shared" si="97"/>
        <v>-1.6240320496763161E-3</v>
      </c>
      <c r="R1595" s="3">
        <f t="shared" si="98"/>
        <v>9.1900000000000003E-3</v>
      </c>
      <c r="S1595">
        <f t="shared" si="99"/>
        <v>39</v>
      </c>
      <c r="T1595">
        <f>INDEX([1]IDEN_level_ids!$B:$B,MATCH(G1595,[1]IDEN_level_ids!$A:$A,0),1)</f>
        <v>1237</v>
      </c>
      <c r="U1595">
        <f>INDEX([1]IDEN_level_ids!$B:$B,MATCH(H1595,[1]IDEN_level_ids!$A:$A,0),1)</f>
        <v>1044</v>
      </c>
    </row>
    <row r="1596" spans="1:21" hidden="1" x14ac:dyDescent="0.25">
      <c r="A1596">
        <v>51622.8387</v>
      </c>
      <c r="B1596">
        <v>1937.1270999999999</v>
      </c>
      <c r="C1596">
        <v>9</v>
      </c>
      <c r="D1596" t="s">
        <v>581</v>
      </c>
      <c r="F1596">
        <v>1969</v>
      </c>
      <c r="G1596" s="1" t="s">
        <v>56</v>
      </c>
      <c r="H1596" s="1" t="s">
        <v>472</v>
      </c>
      <c r="I1596">
        <v>0</v>
      </c>
      <c r="J1596">
        <v>51622.924299999999</v>
      </c>
      <c r="K1596">
        <v>3.2100000000000002E-3</v>
      </c>
      <c r="L1596">
        <v>9.1900000000000003E-3</v>
      </c>
      <c r="M1596">
        <v>0.245</v>
      </c>
      <c r="N1596">
        <v>1.18E-2</v>
      </c>
      <c r="O1596">
        <v>9.2999999999999992E-3</v>
      </c>
      <c r="P1596" s="3">
        <f t="shared" si="96"/>
        <v>1937.1271033958076</v>
      </c>
      <c r="Q1596" s="3">
        <f t="shared" si="97"/>
        <v>3.2121016447490547E-3</v>
      </c>
      <c r="R1596" s="3">
        <f t="shared" si="98"/>
        <v>9.1900000000000003E-3</v>
      </c>
      <c r="S1596">
        <f t="shared" si="99"/>
        <v>39</v>
      </c>
      <c r="T1596">
        <f>INDEX([1]IDEN_level_ids!$B:$B,MATCH(G1596,[1]IDEN_level_ids!$A:$A,0),1)</f>
        <v>1221</v>
      </c>
      <c r="U1596">
        <f>INDEX([1]IDEN_level_ids!$B:$B,MATCH(H1596,[1]IDEN_level_ids!$A:$A,0),1)</f>
        <v>1012</v>
      </c>
    </row>
    <row r="1597" spans="1:21" hidden="1" x14ac:dyDescent="0.25">
      <c r="A1597">
        <v>51606.884599999998</v>
      </c>
      <c r="B1597">
        <v>1937.7260000000001</v>
      </c>
      <c r="C1597">
        <v>9</v>
      </c>
      <c r="D1597" t="s">
        <v>581</v>
      </c>
      <c r="F1597">
        <v>1969</v>
      </c>
      <c r="G1597" s="1" t="s">
        <v>182</v>
      </c>
      <c r="H1597" s="1" t="s">
        <v>524</v>
      </c>
      <c r="I1597">
        <v>0</v>
      </c>
      <c r="J1597">
        <v>51606.894999999997</v>
      </c>
      <c r="K1597">
        <v>3.8999999999999999E-4</v>
      </c>
      <c r="L1597">
        <v>9.1999999999999998E-3</v>
      </c>
      <c r="M1597">
        <v>0.245</v>
      </c>
      <c r="N1597">
        <v>3.3700000000000001E-2</v>
      </c>
      <c r="O1597">
        <v>9.5200000000000007E-3</v>
      </c>
      <c r="P1597" s="3">
        <f t="shared" si="96"/>
        <v>1937.7259599196966</v>
      </c>
      <c r="Q1597" s="3">
        <f t="shared" si="97"/>
        <v>3.904972384134453E-4</v>
      </c>
      <c r="R1597" s="3">
        <f t="shared" si="98"/>
        <v>9.1999999999999998E-3</v>
      </c>
      <c r="S1597">
        <f t="shared" si="99"/>
        <v>39</v>
      </c>
      <c r="T1597">
        <f>INDEX([1]IDEN_level_ids!$B:$B,MATCH(G1597,[1]IDEN_level_ids!$A:$A,0),1)</f>
        <v>1210</v>
      </c>
      <c r="U1597">
        <f>INDEX([1]IDEN_level_ids!$B:$B,MATCH(H1597,[1]IDEN_level_ids!$A:$A,0),1)</f>
        <v>998</v>
      </c>
    </row>
    <row r="1598" spans="1:21" hidden="1" x14ac:dyDescent="0.25">
      <c r="A1598">
        <v>51568.694300000003</v>
      </c>
      <c r="B1598">
        <v>1939.1610000000001</v>
      </c>
      <c r="C1598">
        <v>9</v>
      </c>
      <c r="D1598" t="s">
        <v>581</v>
      </c>
      <c r="F1598">
        <v>1969</v>
      </c>
      <c r="G1598" s="1" t="s">
        <v>552</v>
      </c>
      <c r="H1598" s="1" t="s">
        <v>558</v>
      </c>
      <c r="I1598">
        <v>0</v>
      </c>
      <c r="J1598">
        <v>51568.589</v>
      </c>
      <c r="K1598">
        <v>-3.96E-3</v>
      </c>
      <c r="L1598">
        <v>9.2099999999999994E-3</v>
      </c>
      <c r="M1598">
        <v>0.245</v>
      </c>
      <c r="N1598">
        <v>0.25669999999999998</v>
      </c>
      <c r="O1598">
        <v>1.239E-2</v>
      </c>
      <c r="P1598" s="3">
        <f t="shared" si="96"/>
        <v>1939.1609843416181</v>
      </c>
      <c r="Q1598" s="3">
        <f t="shared" si="97"/>
        <v>-3.9596517108293483E-3</v>
      </c>
      <c r="R1598" s="3">
        <f t="shared" si="98"/>
        <v>9.2099999999999994E-3</v>
      </c>
      <c r="S1598">
        <f t="shared" si="99"/>
        <v>39</v>
      </c>
      <c r="T1598">
        <f>INDEX([1]IDEN_level_ids!$B:$B,MATCH(G1598,[1]IDEN_level_ids!$A:$A,0),1)</f>
        <v>1040</v>
      </c>
      <c r="U1598">
        <f>INDEX([1]IDEN_level_ids!$B:$B,MATCH(H1598,[1]IDEN_level_ids!$A:$A,0),1)</f>
        <v>683</v>
      </c>
    </row>
    <row r="1599" spans="1:21" hidden="1" x14ac:dyDescent="0.25">
      <c r="A1599">
        <v>51565.022700000001</v>
      </c>
      <c r="B1599">
        <v>1939.2991</v>
      </c>
      <c r="C1599">
        <v>9</v>
      </c>
      <c r="D1599" t="s">
        <v>581</v>
      </c>
      <c r="F1599">
        <v>1969</v>
      </c>
      <c r="G1599" s="1" t="s">
        <v>354</v>
      </c>
      <c r="H1599" s="1" t="s">
        <v>439</v>
      </c>
      <c r="I1599">
        <v>-0.57169999999999999</v>
      </c>
      <c r="J1599">
        <v>51565.061099999999</v>
      </c>
      <c r="K1599">
        <v>1.4499999999999999E-3</v>
      </c>
      <c r="L1599">
        <v>9.2099999999999994E-3</v>
      </c>
      <c r="M1599">
        <v>0.245</v>
      </c>
      <c r="N1599">
        <v>0.2155</v>
      </c>
      <c r="O1599">
        <v>1.174E-2</v>
      </c>
      <c r="P1599" s="3">
        <f t="shared" si="96"/>
        <v>1939.2990590111774</v>
      </c>
      <c r="Q1599" s="3">
        <f t="shared" si="97"/>
        <v>1.4441771672863979E-3</v>
      </c>
      <c r="R1599" s="3">
        <f t="shared" si="98"/>
        <v>9.2099999999999994E-3</v>
      </c>
      <c r="S1599">
        <f t="shared" si="99"/>
        <v>39</v>
      </c>
      <c r="T1599">
        <f>INDEX([1]IDEN_level_ids!$B:$B,MATCH(G1599,[1]IDEN_level_ids!$A:$A,0),1)</f>
        <v>1135</v>
      </c>
      <c r="U1599">
        <f>INDEX([1]IDEN_level_ids!$B:$B,MATCH(H1599,[1]IDEN_level_ids!$A:$A,0),1)</f>
        <v>931</v>
      </c>
    </row>
    <row r="1600" spans="1:21" hidden="1" x14ac:dyDescent="0.25">
      <c r="A1600">
        <v>51525.938099999999</v>
      </c>
      <c r="B1600">
        <v>1940.7701</v>
      </c>
      <c r="C1600">
        <v>9</v>
      </c>
      <c r="D1600" t="s">
        <v>581</v>
      </c>
      <c r="F1600">
        <v>1969</v>
      </c>
      <c r="G1600" s="1" t="s">
        <v>253</v>
      </c>
      <c r="H1600" s="1" t="s">
        <v>567</v>
      </c>
      <c r="I1600">
        <v>0</v>
      </c>
      <c r="J1600">
        <v>51525.892500000002</v>
      </c>
      <c r="K1600">
        <v>-1.72E-3</v>
      </c>
      <c r="L1600">
        <v>9.2300000000000004E-3</v>
      </c>
      <c r="M1600">
        <v>0.245</v>
      </c>
      <c r="N1600">
        <v>3.5299999999999998E-2</v>
      </c>
      <c r="O1600">
        <v>9.5600000000000008E-3</v>
      </c>
      <c r="P1600" s="3">
        <f t="shared" si="96"/>
        <v>1940.7700992444425</v>
      </c>
      <c r="Q1600" s="3">
        <f t="shared" si="97"/>
        <v>-1.7175659115764574E-3</v>
      </c>
      <c r="R1600" s="3">
        <f t="shared" si="98"/>
        <v>9.2300000000000004E-3</v>
      </c>
      <c r="S1600">
        <f t="shared" si="99"/>
        <v>39</v>
      </c>
      <c r="T1600">
        <f>INDEX([1]IDEN_level_ids!$B:$B,MATCH(G1600,[1]IDEN_level_ids!$A:$A,0),1)</f>
        <v>1181</v>
      </c>
      <c r="U1600">
        <f>INDEX([1]IDEN_level_ids!$B:$B,MATCH(H1600,[1]IDEN_level_ids!$A:$A,0),1)</f>
        <v>983</v>
      </c>
    </row>
    <row r="1601" spans="1:21" hidden="1" x14ac:dyDescent="0.25">
      <c r="A1601">
        <v>51523.734799999998</v>
      </c>
      <c r="B1601">
        <v>1940.8531</v>
      </c>
      <c r="C1601">
        <v>9</v>
      </c>
      <c r="D1601" t="s">
        <v>581</v>
      </c>
      <c r="F1601">
        <v>1969</v>
      </c>
      <c r="G1601" s="1" t="s">
        <v>55</v>
      </c>
      <c r="H1601" s="1" t="s">
        <v>437</v>
      </c>
      <c r="I1601">
        <v>0.193</v>
      </c>
      <c r="J1601">
        <v>51523.635699999999</v>
      </c>
      <c r="K1601">
        <v>-3.7299999999999998E-3</v>
      </c>
      <c r="L1601">
        <v>9.2300000000000004E-3</v>
      </c>
      <c r="M1601">
        <v>0.245</v>
      </c>
      <c r="N1601">
        <v>1.2200000000000001E-2</v>
      </c>
      <c r="O1601">
        <v>9.3399999999999993E-3</v>
      </c>
      <c r="P1601" s="3">
        <f t="shared" si="96"/>
        <v>1940.8530920394383</v>
      </c>
      <c r="Q1601" s="3">
        <f t="shared" si="97"/>
        <v>-3.7330157083488302E-3</v>
      </c>
      <c r="R1601" s="3">
        <f t="shared" si="98"/>
        <v>9.2300000000000004E-3</v>
      </c>
      <c r="S1601">
        <f t="shared" si="99"/>
        <v>39</v>
      </c>
      <c r="T1601">
        <f>INDEX([1]IDEN_level_ids!$B:$B,MATCH(G1601,[1]IDEN_level_ids!$A:$A,0),1)</f>
        <v>1233</v>
      </c>
      <c r="U1601">
        <f>INDEX([1]IDEN_level_ids!$B:$B,MATCH(H1601,[1]IDEN_level_ids!$A:$A,0),1)</f>
        <v>1039</v>
      </c>
    </row>
    <row r="1602" spans="1:21" hidden="1" x14ac:dyDescent="0.25">
      <c r="A1602">
        <v>51521.693700000003</v>
      </c>
      <c r="B1602">
        <v>1940.93</v>
      </c>
      <c r="C1602">
        <v>9</v>
      </c>
      <c r="D1602" t="s">
        <v>581</v>
      </c>
      <c r="F1602">
        <v>1969</v>
      </c>
      <c r="G1602" s="1" t="s">
        <v>207</v>
      </c>
      <c r="H1602" s="1" t="s">
        <v>553</v>
      </c>
      <c r="I1602">
        <v>0</v>
      </c>
      <c r="J1602">
        <v>51521.654999999999</v>
      </c>
      <c r="K1602">
        <v>-1.4599999999999999E-3</v>
      </c>
      <c r="L1602">
        <v>9.2300000000000004E-3</v>
      </c>
      <c r="M1602">
        <v>0.245</v>
      </c>
      <c r="N1602">
        <v>2.52E-2</v>
      </c>
      <c r="O1602">
        <v>9.4699999999999993E-3</v>
      </c>
      <c r="P1602" s="3">
        <f t="shared" ref="P1602:P1665" si="100">100000000/$A1602</f>
        <v>1940.9299815002005</v>
      </c>
      <c r="Q1602" s="3">
        <f t="shared" ref="Q1602:Q1665" si="101">100000000/($A1602)-100000000/$J1602</f>
        <v>-1.457911052966665E-3</v>
      </c>
      <c r="R1602" s="3">
        <f t="shared" si="98"/>
        <v>9.2300000000000004E-3</v>
      </c>
      <c r="S1602">
        <f t="shared" si="99"/>
        <v>39</v>
      </c>
      <c r="T1602">
        <f>INDEX([1]IDEN_level_ids!$B:$B,MATCH(G1602,[1]IDEN_level_ids!$A:$A,0),1)</f>
        <v>1177</v>
      </c>
      <c r="U1602">
        <f>INDEX([1]IDEN_level_ids!$B:$B,MATCH(H1602,[1]IDEN_level_ids!$A:$A,0),1)</f>
        <v>976</v>
      </c>
    </row>
    <row r="1603" spans="1:21" hidden="1" x14ac:dyDescent="0.25">
      <c r="A1603">
        <v>51505.082699999999</v>
      </c>
      <c r="B1603">
        <v>1941.556</v>
      </c>
      <c r="C1603">
        <v>9</v>
      </c>
      <c r="D1603" t="s">
        <v>581</v>
      </c>
      <c r="F1603">
        <v>1969</v>
      </c>
      <c r="G1603" s="1" t="s">
        <v>24</v>
      </c>
      <c r="H1603" s="1" t="s">
        <v>377</v>
      </c>
      <c r="I1603">
        <v>0.2485</v>
      </c>
      <c r="J1603">
        <v>51505.008300000001</v>
      </c>
      <c r="K1603">
        <v>-2.81E-3</v>
      </c>
      <c r="L1603">
        <v>9.2399999999999999E-3</v>
      </c>
      <c r="M1603">
        <v>0.245</v>
      </c>
      <c r="N1603">
        <v>2.35E-2</v>
      </c>
      <c r="O1603">
        <v>9.4599999999999997E-3</v>
      </c>
      <c r="P1603" s="3">
        <f t="shared" si="100"/>
        <v>1941.5559544378714</v>
      </c>
      <c r="Q1603" s="3">
        <f t="shared" si="101"/>
        <v>-2.8046158572578861E-3</v>
      </c>
      <c r="R1603" s="3">
        <f t="shared" ref="R1603:R1666" si="102">$L1603</f>
        <v>9.2399999999999999E-3</v>
      </c>
      <c r="S1603">
        <f t="shared" si="99"/>
        <v>39</v>
      </c>
      <c r="T1603">
        <f>INDEX([1]IDEN_level_ids!$B:$B,MATCH(G1603,[1]IDEN_level_ids!$A:$A,0),1)</f>
        <v>1241</v>
      </c>
      <c r="U1603">
        <f>INDEX([1]IDEN_level_ids!$B:$B,MATCH(H1603,[1]IDEN_level_ids!$A:$A,0),1)</f>
        <v>1057</v>
      </c>
    </row>
    <row r="1604" spans="1:21" hidden="1" x14ac:dyDescent="0.25">
      <c r="A1604">
        <v>51494.921799999996</v>
      </c>
      <c r="B1604">
        <v>1941.9391000000001</v>
      </c>
      <c r="C1604">
        <v>9</v>
      </c>
      <c r="D1604" t="s">
        <v>581</v>
      </c>
      <c r="F1604">
        <v>1969</v>
      </c>
      <c r="G1604" s="1" t="s">
        <v>40</v>
      </c>
      <c r="H1604" s="1" t="s">
        <v>550</v>
      </c>
      <c r="I1604">
        <v>0</v>
      </c>
      <c r="J1604">
        <v>51494.8943</v>
      </c>
      <c r="K1604">
        <v>-1.0399999999999999E-3</v>
      </c>
      <c r="L1604">
        <v>9.2399999999999999E-3</v>
      </c>
      <c r="M1604">
        <v>0.245</v>
      </c>
      <c r="N1604">
        <v>1.6799999999999999E-2</v>
      </c>
      <c r="O1604">
        <v>9.4000000000000004E-3</v>
      </c>
      <c r="P1604" s="3">
        <f t="shared" si="100"/>
        <v>1941.9390593190494</v>
      </c>
      <c r="Q1604" s="3">
        <f t="shared" si="101"/>
        <v>-1.037060563930936E-3</v>
      </c>
      <c r="R1604" s="3">
        <f t="shared" si="102"/>
        <v>9.2399999999999999E-3</v>
      </c>
      <c r="S1604">
        <f t="shared" ref="S1604:S1667" si="103">IF(D1604=D1603,S1603,S1603+1)</f>
        <v>39</v>
      </c>
      <c r="T1604">
        <f>INDEX([1]IDEN_level_ids!$B:$B,MATCH(G1604,[1]IDEN_level_ids!$A:$A,0),1)</f>
        <v>1199</v>
      </c>
      <c r="U1604">
        <f>INDEX([1]IDEN_level_ids!$B:$B,MATCH(H1604,[1]IDEN_level_ids!$A:$A,0),1)</f>
        <v>997</v>
      </c>
    </row>
    <row r="1605" spans="1:21" hidden="1" x14ac:dyDescent="0.25">
      <c r="A1605">
        <v>51460.2333</v>
      </c>
      <c r="B1605">
        <v>1943.2481</v>
      </c>
      <c r="C1605">
        <v>9</v>
      </c>
      <c r="D1605" t="s">
        <v>581</v>
      </c>
      <c r="F1605">
        <v>1969</v>
      </c>
      <c r="G1605" s="1" t="s">
        <v>36</v>
      </c>
      <c r="H1605" s="1" t="s">
        <v>528</v>
      </c>
      <c r="I1605">
        <v>0</v>
      </c>
      <c r="J1605">
        <v>51460.253599999996</v>
      </c>
      <c r="K1605">
        <v>7.6999999999999996E-4</v>
      </c>
      <c r="L1605">
        <v>9.2499999999999995E-3</v>
      </c>
      <c r="M1605">
        <v>0.245</v>
      </c>
      <c r="N1605">
        <v>1.89E-2</v>
      </c>
      <c r="O1605">
        <v>9.4299999999999991E-3</v>
      </c>
      <c r="P1605" s="3">
        <f t="shared" si="100"/>
        <v>1943.2480886168078</v>
      </c>
      <c r="Q1605" s="3">
        <f t="shared" si="101"/>
        <v>7.665709636057727E-4</v>
      </c>
      <c r="R1605" s="3">
        <f t="shared" si="102"/>
        <v>9.2499999999999995E-3</v>
      </c>
      <c r="S1605">
        <f t="shared" si="103"/>
        <v>39</v>
      </c>
      <c r="T1605">
        <f>INDEX([1]IDEN_level_ids!$B:$B,MATCH(G1605,[1]IDEN_level_ids!$A:$A,0),1)</f>
        <v>1217</v>
      </c>
      <c r="U1605">
        <f>INDEX([1]IDEN_level_ids!$B:$B,MATCH(H1605,[1]IDEN_level_ids!$A:$A,0),1)</f>
        <v>1009</v>
      </c>
    </row>
    <row r="1606" spans="1:21" hidden="1" x14ac:dyDescent="0.25">
      <c r="A1606">
        <v>51449.592799999999</v>
      </c>
      <c r="B1606">
        <v>1943.65</v>
      </c>
      <c r="C1606">
        <v>9</v>
      </c>
      <c r="D1606" t="s">
        <v>581</v>
      </c>
      <c r="F1606">
        <v>1969</v>
      </c>
      <c r="G1606" s="1" t="s">
        <v>197</v>
      </c>
      <c r="H1606" s="1" t="s">
        <v>542</v>
      </c>
      <c r="I1606">
        <v>0</v>
      </c>
      <c r="J1606">
        <v>51449.517500000002</v>
      </c>
      <c r="K1606">
        <v>-2.8400000000000001E-3</v>
      </c>
      <c r="L1606">
        <v>9.2499999999999995E-3</v>
      </c>
      <c r="M1606">
        <v>0.245</v>
      </c>
      <c r="N1606">
        <v>3.1300000000000001E-2</v>
      </c>
      <c r="O1606">
        <v>9.5499999999999995E-3</v>
      </c>
      <c r="P1606" s="3">
        <f t="shared" si="100"/>
        <v>1943.6499796748635</v>
      </c>
      <c r="Q1606" s="3">
        <f t="shared" si="101"/>
        <v>-2.8446689216252707E-3</v>
      </c>
      <c r="R1606" s="3">
        <f t="shared" si="102"/>
        <v>9.2499999999999995E-3</v>
      </c>
      <c r="S1606">
        <f t="shared" si="103"/>
        <v>39</v>
      </c>
      <c r="T1606">
        <f>INDEX([1]IDEN_level_ids!$B:$B,MATCH(G1606,[1]IDEN_level_ids!$A:$A,0),1)</f>
        <v>1182</v>
      </c>
      <c r="U1606">
        <f>INDEX([1]IDEN_level_ids!$B:$B,MATCH(H1606,[1]IDEN_level_ids!$A:$A,0),1)</f>
        <v>981</v>
      </c>
    </row>
    <row r="1607" spans="1:21" hidden="1" x14ac:dyDescent="0.25">
      <c r="A1607">
        <v>51444.695899999999</v>
      </c>
      <c r="B1607">
        <v>1943.835</v>
      </c>
      <c r="C1607">
        <v>9</v>
      </c>
      <c r="D1607" t="s">
        <v>581</v>
      </c>
      <c r="F1607">
        <v>1969</v>
      </c>
      <c r="G1607" s="1" t="s">
        <v>33</v>
      </c>
      <c r="H1607" s="1" t="s">
        <v>472</v>
      </c>
      <c r="I1607">
        <v>0</v>
      </c>
      <c r="J1607">
        <v>51444.7454</v>
      </c>
      <c r="K1607">
        <v>1.8699999999999999E-3</v>
      </c>
      <c r="L1607">
        <v>9.2599999999999991E-3</v>
      </c>
      <c r="M1607">
        <v>0.245</v>
      </c>
      <c r="N1607">
        <v>1.11E-2</v>
      </c>
      <c r="O1607">
        <v>9.3600000000000003E-3</v>
      </c>
      <c r="P1607" s="3">
        <f t="shared" si="100"/>
        <v>1943.8349911598953</v>
      </c>
      <c r="Q1607" s="3">
        <f t="shared" si="101"/>
        <v>1.8703529644881201E-3</v>
      </c>
      <c r="R1607" s="3">
        <f t="shared" si="102"/>
        <v>9.2599999999999991E-3</v>
      </c>
      <c r="S1607">
        <f t="shared" si="103"/>
        <v>39</v>
      </c>
      <c r="T1607">
        <f>INDEX([1]IDEN_level_ids!$B:$B,MATCH(G1607,[1]IDEN_level_ids!$A:$A,0),1)</f>
        <v>1220</v>
      </c>
      <c r="U1607">
        <f>INDEX([1]IDEN_level_ids!$B:$B,MATCH(H1607,[1]IDEN_level_ids!$A:$A,0),1)</f>
        <v>1012</v>
      </c>
    </row>
    <row r="1608" spans="1:21" hidden="1" x14ac:dyDescent="0.25">
      <c r="A1608">
        <v>51412.482000000004</v>
      </c>
      <c r="B1608">
        <v>1945.0530000000001</v>
      </c>
      <c r="C1608">
        <v>9</v>
      </c>
      <c r="D1608" t="s">
        <v>581</v>
      </c>
      <c r="F1608">
        <v>1969</v>
      </c>
      <c r="G1608" s="1" t="s">
        <v>18</v>
      </c>
      <c r="H1608" s="1" t="s">
        <v>470</v>
      </c>
      <c r="I1608">
        <v>0.20880000000000001</v>
      </c>
      <c r="J1608">
        <v>51412.376300000004</v>
      </c>
      <c r="K1608">
        <v>-4.0000000000000001E-3</v>
      </c>
      <c r="L1608">
        <v>9.2700000000000005E-3</v>
      </c>
      <c r="M1608">
        <v>0.245</v>
      </c>
      <c r="N1608">
        <v>1.38E-2</v>
      </c>
      <c r="O1608">
        <v>9.4000000000000004E-3</v>
      </c>
      <c r="P1608" s="3">
        <f t="shared" si="100"/>
        <v>1945.0529542611848</v>
      </c>
      <c r="Q1608" s="3">
        <f t="shared" si="101"/>
        <v>-3.9988833830193471E-3</v>
      </c>
      <c r="R1608" s="3">
        <f t="shared" si="102"/>
        <v>9.2700000000000005E-3</v>
      </c>
      <c r="S1608">
        <f t="shared" si="103"/>
        <v>39</v>
      </c>
      <c r="T1608">
        <f>INDEX([1]IDEN_level_ids!$B:$B,MATCH(G1608,[1]IDEN_level_ids!$A:$A,0),1)</f>
        <v>1226</v>
      </c>
      <c r="U1608">
        <f>INDEX([1]IDEN_level_ids!$B:$B,MATCH(H1608,[1]IDEN_level_ids!$A:$A,0),1)</f>
        <v>1026</v>
      </c>
    </row>
    <row r="1609" spans="1:21" hidden="1" x14ac:dyDescent="0.25">
      <c r="A1609">
        <v>51376.448799999998</v>
      </c>
      <c r="B1609">
        <v>1946.4170999999999</v>
      </c>
      <c r="C1609">
        <v>9</v>
      </c>
      <c r="D1609" t="s">
        <v>581</v>
      </c>
      <c r="F1609">
        <v>1969</v>
      </c>
      <c r="G1609" s="1" t="s">
        <v>41</v>
      </c>
      <c r="H1609" s="1" t="s">
        <v>569</v>
      </c>
      <c r="I1609">
        <v>0</v>
      </c>
      <c r="J1609">
        <v>51376.452100000002</v>
      </c>
      <c r="K1609">
        <v>1.2E-4</v>
      </c>
      <c r="L1609">
        <v>9.2800000000000001E-3</v>
      </c>
      <c r="M1609">
        <v>0.245</v>
      </c>
      <c r="N1609">
        <v>1.3299999999999999E-2</v>
      </c>
      <c r="O1609">
        <v>9.41E-3</v>
      </c>
      <c r="P1609" s="3">
        <f t="shared" si="100"/>
        <v>1946.4171295545052</v>
      </c>
      <c r="Q1609" s="3">
        <f t="shared" si="101"/>
        <v>1.2502180038609367E-4</v>
      </c>
      <c r="R1609" s="3">
        <f t="shared" si="102"/>
        <v>9.2800000000000001E-3</v>
      </c>
      <c r="S1609">
        <f t="shared" si="103"/>
        <v>39</v>
      </c>
      <c r="T1609">
        <f>INDEX([1]IDEN_level_ids!$B:$B,MATCH(G1609,[1]IDEN_level_ids!$A:$A,0),1)</f>
        <v>1238</v>
      </c>
      <c r="U1609">
        <f>INDEX([1]IDEN_level_ids!$B:$B,MATCH(H1609,[1]IDEN_level_ids!$A:$A,0),1)</f>
        <v>1049</v>
      </c>
    </row>
    <row r="1610" spans="1:21" hidden="1" x14ac:dyDescent="0.25">
      <c r="A1610">
        <v>51363.705999999998</v>
      </c>
      <c r="B1610">
        <v>1946.9</v>
      </c>
      <c r="C1610">
        <v>9</v>
      </c>
      <c r="D1610" t="s">
        <v>581</v>
      </c>
      <c r="F1610">
        <v>1969</v>
      </c>
      <c r="G1610" s="1" t="s">
        <v>41</v>
      </c>
      <c r="H1610" s="1" t="s">
        <v>438</v>
      </c>
      <c r="I1610">
        <v>0</v>
      </c>
      <c r="J1610">
        <v>51363.627699999997</v>
      </c>
      <c r="K1610">
        <v>-2.97E-3</v>
      </c>
      <c r="L1610">
        <v>9.2899999999999996E-3</v>
      </c>
      <c r="M1610">
        <v>0.245</v>
      </c>
      <c r="N1610">
        <v>1.2E-2</v>
      </c>
      <c r="O1610">
        <v>9.4000000000000004E-3</v>
      </c>
      <c r="P1610" s="3">
        <f t="shared" si="100"/>
        <v>1946.9000153532536</v>
      </c>
      <c r="Q1610" s="3">
        <f t="shared" si="101"/>
        <v>-2.9679031258638133E-3</v>
      </c>
      <c r="R1610" s="3">
        <f t="shared" si="102"/>
        <v>9.2899999999999996E-3</v>
      </c>
      <c r="S1610">
        <f t="shared" si="103"/>
        <v>39</v>
      </c>
      <c r="T1610">
        <f>INDEX([1]IDEN_level_ids!$B:$B,MATCH(G1610,[1]IDEN_level_ids!$A:$A,0),1)</f>
        <v>1238</v>
      </c>
      <c r="U1610">
        <f>INDEX([1]IDEN_level_ids!$B:$B,MATCH(H1610,[1]IDEN_level_ids!$A:$A,0),1)</f>
        <v>1051</v>
      </c>
    </row>
    <row r="1611" spans="1:21" hidden="1" x14ac:dyDescent="0.25">
      <c r="A1611">
        <v>51360.117400000003</v>
      </c>
      <c r="B1611">
        <v>1947.0360000000001</v>
      </c>
      <c r="C1611">
        <v>9</v>
      </c>
      <c r="D1611" t="s">
        <v>581</v>
      </c>
      <c r="F1611">
        <v>1969</v>
      </c>
      <c r="G1611" s="1" t="s">
        <v>72</v>
      </c>
      <c r="H1611" s="1" t="s">
        <v>585</v>
      </c>
      <c r="I1611">
        <v>0</v>
      </c>
      <c r="J1611">
        <v>51360.0988</v>
      </c>
      <c r="K1611">
        <v>-7.1000000000000002E-4</v>
      </c>
      <c r="L1611">
        <v>9.2899999999999996E-3</v>
      </c>
      <c r="M1611">
        <v>0.245</v>
      </c>
      <c r="N1611">
        <v>1.2E-2</v>
      </c>
      <c r="O1611">
        <v>9.4000000000000004E-3</v>
      </c>
      <c r="P1611" s="3">
        <f t="shared" si="100"/>
        <v>1947.036047857632</v>
      </c>
      <c r="Q1611" s="3">
        <f t="shared" si="101"/>
        <v>-7.0511683861695928E-4</v>
      </c>
      <c r="R1611" s="3">
        <f t="shared" si="102"/>
        <v>9.2899999999999996E-3</v>
      </c>
      <c r="S1611">
        <f t="shared" si="103"/>
        <v>39</v>
      </c>
      <c r="T1611">
        <f>INDEX([1]IDEN_level_ids!$B:$B,MATCH(G1611,[1]IDEN_level_ids!$A:$A,0),1)</f>
        <v>1225</v>
      </c>
      <c r="U1611">
        <f>INDEX([1]IDEN_level_ids!$B:$B,MATCH(H1611,[1]IDEN_level_ids!$A:$A,0),1)</f>
        <v>1019</v>
      </c>
    </row>
    <row r="1612" spans="1:21" hidden="1" x14ac:dyDescent="0.25">
      <c r="A1612">
        <v>51325.110999999997</v>
      </c>
      <c r="B1612">
        <v>1948.364</v>
      </c>
      <c r="C1612">
        <v>9</v>
      </c>
      <c r="D1612" t="s">
        <v>581</v>
      </c>
      <c r="F1612">
        <v>1969</v>
      </c>
      <c r="G1612" s="1" t="s">
        <v>117</v>
      </c>
      <c r="H1612" s="1" t="s">
        <v>501</v>
      </c>
      <c r="I1612">
        <v>0.1444</v>
      </c>
      <c r="J1612">
        <v>51325.141000000003</v>
      </c>
      <c r="K1612">
        <v>1.14E-3</v>
      </c>
      <c r="L1612">
        <v>9.2999999999999992E-3</v>
      </c>
      <c r="M1612">
        <v>0.245</v>
      </c>
      <c r="N1612">
        <v>1.77E-2</v>
      </c>
      <c r="O1612">
        <v>9.4699999999999993E-3</v>
      </c>
      <c r="P1612" s="3">
        <f t="shared" si="100"/>
        <v>1948.3640278927016</v>
      </c>
      <c r="Q1612" s="3">
        <f t="shared" si="101"/>
        <v>1.138836050131431E-3</v>
      </c>
      <c r="R1612" s="3">
        <f t="shared" si="102"/>
        <v>9.2999999999999992E-3</v>
      </c>
      <c r="S1612">
        <f t="shared" si="103"/>
        <v>39</v>
      </c>
      <c r="T1612">
        <f>INDEX([1]IDEN_level_ids!$B:$B,MATCH(G1612,[1]IDEN_level_ids!$A:$A,0),1)</f>
        <v>1162</v>
      </c>
      <c r="U1612">
        <f>INDEX([1]IDEN_level_ids!$B:$B,MATCH(H1612,[1]IDEN_level_ids!$A:$A,0),1)</f>
        <v>969</v>
      </c>
    </row>
    <row r="1613" spans="1:21" hidden="1" x14ac:dyDescent="0.25">
      <c r="A1613">
        <v>51304.259599999998</v>
      </c>
      <c r="B1613">
        <v>1949.1559</v>
      </c>
      <c r="C1613">
        <v>9</v>
      </c>
      <c r="D1613" t="s">
        <v>581</v>
      </c>
      <c r="F1613">
        <v>1969</v>
      </c>
      <c r="G1613" s="1" t="s">
        <v>27</v>
      </c>
      <c r="H1613" s="1" t="s">
        <v>458</v>
      </c>
      <c r="I1613">
        <v>0</v>
      </c>
      <c r="J1613">
        <v>51304.267</v>
      </c>
      <c r="K1613">
        <v>2.7999999999999998E-4</v>
      </c>
      <c r="L1613">
        <v>9.3100000000000006E-3</v>
      </c>
      <c r="M1613">
        <v>0.245</v>
      </c>
      <c r="N1613">
        <v>1.47E-2</v>
      </c>
      <c r="O1613">
        <v>9.4500000000000001E-3</v>
      </c>
      <c r="P1613" s="3">
        <f t="shared" si="100"/>
        <v>1949.1558942602887</v>
      </c>
      <c r="Q1613" s="3">
        <f t="shared" si="101"/>
        <v>2.8114140332036186E-4</v>
      </c>
      <c r="R1613" s="3">
        <f t="shared" si="102"/>
        <v>9.3100000000000006E-3</v>
      </c>
      <c r="S1613">
        <f t="shared" si="103"/>
        <v>39</v>
      </c>
      <c r="T1613">
        <f>INDEX([1]IDEN_level_ids!$B:$B,MATCH(G1613,[1]IDEN_level_ids!$A:$A,0),1)</f>
        <v>1242</v>
      </c>
      <c r="U1613">
        <f>INDEX([1]IDEN_level_ids!$B:$B,MATCH(H1613,[1]IDEN_level_ids!$A:$A,0),1)</f>
        <v>1064</v>
      </c>
    </row>
    <row r="1614" spans="1:21" hidden="1" x14ac:dyDescent="0.25">
      <c r="A1614">
        <v>51288.390599999999</v>
      </c>
      <c r="B1614">
        <v>1949.759</v>
      </c>
      <c r="C1614">
        <v>9</v>
      </c>
      <c r="D1614" t="s">
        <v>581</v>
      </c>
      <c r="F1614">
        <v>1969</v>
      </c>
      <c r="G1614" s="1" t="s">
        <v>22</v>
      </c>
      <c r="H1614" s="1" t="s">
        <v>469</v>
      </c>
      <c r="I1614">
        <v>0.26919999999999999</v>
      </c>
      <c r="J1614">
        <v>51288.280100000004</v>
      </c>
      <c r="K1614">
        <v>-4.1999999999999997E-3</v>
      </c>
      <c r="L1614">
        <v>9.3100000000000006E-3</v>
      </c>
      <c r="M1614">
        <v>0.245</v>
      </c>
      <c r="N1614">
        <v>1.43E-2</v>
      </c>
      <c r="O1614">
        <v>9.4500000000000001E-3</v>
      </c>
      <c r="P1614" s="3">
        <f t="shared" si="100"/>
        <v>1949.7589772294396</v>
      </c>
      <c r="Q1614" s="3">
        <f t="shared" si="101"/>
        <v>-4.2007329268471949E-3</v>
      </c>
      <c r="R1614" s="3">
        <f t="shared" si="102"/>
        <v>9.3100000000000006E-3</v>
      </c>
      <c r="S1614">
        <f t="shared" si="103"/>
        <v>39</v>
      </c>
      <c r="T1614">
        <f>INDEX([1]IDEN_level_ids!$B:$B,MATCH(G1614,[1]IDEN_level_ids!$A:$A,0),1)</f>
        <v>1236</v>
      </c>
      <c r="U1614">
        <f>INDEX([1]IDEN_level_ids!$B:$B,MATCH(H1614,[1]IDEN_level_ids!$A:$A,0),1)</f>
        <v>1048</v>
      </c>
    </row>
    <row r="1615" spans="1:21" hidden="1" x14ac:dyDescent="0.25">
      <c r="A1615">
        <v>51259.336900000002</v>
      </c>
      <c r="B1615">
        <v>1950.8641</v>
      </c>
      <c r="C1615">
        <v>9</v>
      </c>
      <c r="D1615" t="s">
        <v>586</v>
      </c>
      <c r="F1615">
        <v>1969</v>
      </c>
      <c r="G1615" s="1" t="s">
        <v>53</v>
      </c>
      <c r="H1615" s="1" t="s">
        <v>454</v>
      </c>
      <c r="I1615">
        <v>0</v>
      </c>
      <c r="J1615">
        <v>51259.383000000002</v>
      </c>
      <c r="K1615">
        <v>1.7600000000000001E-3</v>
      </c>
      <c r="L1615">
        <v>9.3200000000000002E-3</v>
      </c>
      <c r="M1615">
        <v>0.245</v>
      </c>
      <c r="N1615">
        <v>1.35E-2</v>
      </c>
      <c r="O1615">
        <v>9.4500000000000001E-3</v>
      </c>
      <c r="P1615" s="3">
        <f t="shared" si="100"/>
        <v>1950.8640971124228</v>
      </c>
      <c r="Q1615" s="3">
        <f t="shared" si="101"/>
        <v>1.7545048265219521E-3</v>
      </c>
      <c r="R1615" s="3">
        <f t="shared" si="102"/>
        <v>9.3200000000000002E-3</v>
      </c>
      <c r="S1615">
        <f t="shared" si="103"/>
        <v>40</v>
      </c>
      <c r="T1615">
        <f>INDEX([1]IDEN_level_ids!$B:$B,MATCH(G1615,[1]IDEN_level_ids!$A:$A,0),1)</f>
        <v>1231</v>
      </c>
      <c r="U1615">
        <f>INDEX([1]IDEN_level_ids!$B:$B,MATCH(H1615,[1]IDEN_level_ids!$A:$A,0),1)</f>
        <v>1036</v>
      </c>
    </row>
    <row r="1616" spans="1:21" hidden="1" x14ac:dyDescent="0.25">
      <c r="A1616">
        <v>51255.293799999999</v>
      </c>
      <c r="B1616">
        <v>1951.018</v>
      </c>
      <c r="C1616">
        <v>9</v>
      </c>
      <c r="D1616" t="s">
        <v>586</v>
      </c>
      <c r="E1616" t="s">
        <v>66</v>
      </c>
      <c r="F1616">
        <v>1969</v>
      </c>
      <c r="G1616" s="1" t="s">
        <v>511</v>
      </c>
      <c r="H1616" s="1" t="s">
        <v>447</v>
      </c>
      <c r="I1616">
        <v>-0.56940000000000002</v>
      </c>
      <c r="J1616">
        <v>51255.1034</v>
      </c>
      <c r="K1616">
        <v>-7.2500000000000004E-3</v>
      </c>
      <c r="L1616">
        <v>2.444E-2</v>
      </c>
      <c r="M1616">
        <v>0.64200000000000002</v>
      </c>
      <c r="N1616">
        <v>3.2500000000000001E-2</v>
      </c>
      <c r="O1616">
        <v>2.5260000000000001E-2</v>
      </c>
      <c r="P1616" s="3">
        <f t="shared" si="100"/>
        <v>1951.0179844096417</v>
      </c>
      <c r="Q1616" s="3">
        <f t="shared" si="101"/>
        <v>-7.2475480408229487E-3</v>
      </c>
      <c r="R1616" s="3">
        <f t="shared" si="102"/>
        <v>2.444E-2</v>
      </c>
      <c r="S1616">
        <f t="shared" si="103"/>
        <v>40</v>
      </c>
      <c r="T1616">
        <f>INDEX([1]IDEN_level_ids!$B:$B,MATCH(G1616,[1]IDEN_level_ids!$A:$A,0),1)</f>
        <v>1139</v>
      </c>
      <c r="U1616">
        <f>INDEX([1]IDEN_level_ids!$B:$B,MATCH(H1616,[1]IDEN_level_ids!$A:$A,0),1)</f>
        <v>937</v>
      </c>
    </row>
    <row r="1617" spans="1:21" hidden="1" x14ac:dyDescent="0.25">
      <c r="A1617">
        <v>51230.344899999996</v>
      </c>
      <c r="B1617">
        <v>1951.9681</v>
      </c>
      <c r="C1617">
        <v>9</v>
      </c>
      <c r="D1617" t="s">
        <v>586</v>
      </c>
      <c r="F1617">
        <v>1969</v>
      </c>
      <c r="G1617" s="1" t="s">
        <v>283</v>
      </c>
      <c r="H1617" s="1" t="s">
        <v>567</v>
      </c>
      <c r="I1617">
        <v>0</v>
      </c>
      <c r="J1617">
        <v>51230.633600000001</v>
      </c>
      <c r="K1617">
        <v>1.0999999999999999E-2</v>
      </c>
      <c r="L1617">
        <v>9.3299999999999998E-3</v>
      </c>
      <c r="M1617">
        <v>0.245</v>
      </c>
      <c r="N1617">
        <v>2.8400000000000002E-2</v>
      </c>
      <c r="O1617">
        <v>9.6100000000000005E-3</v>
      </c>
      <c r="P1617" s="3">
        <f t="shared" si="100"/>
        <v>1951.9681195821895</v>
      </c>
      <c r="Q1617" s="3">
        <f t="shared" si="101"/>
        <v>1.099992634362934E-2</v>
      </c>
      <c r="R1617" s="3">
        <f t="shared" si="102"/>
        <v>9.3299999999999998E-3</v>
      </c>
      <c r="S1617">
        <f t="shared" si="103"/>
        <v>40</v>
      </c>
      <c r="T1617">
        <f>INDEX([1]IDEN_level_ids!$B:$B,MATCH(G1617,[1]IDEN_level_ids!$A:$A,0),1)</f>
        <v>1178</v>
      </c>
      <c r="U1617">
        <f>INDEX([1]IDEN_level_ids!$B:$B,MATCH(H1617,[1]IDEN_level_ids!$A:$A,0),1)</f>
        <v>983</v>
      </c>
    </row>
    <row r="1618" spans="1:21" hidden="1" x14ac:dyDescent="0.25">
      <c r="A1618">
        <v>51219.140899999999</v>
      </c>
      <c r="B1618">
        <v>1952.3951</v>
      </c>
      <c r="C1618">
        <v>9</v>
      </c>
      <c r="D1618" t="s">
        <v>586</v>
      </c>
      <c r="F1618">
        <v>1969</v>
      </c>
      <c r="G1618" s="1" t="s">
        <v>69</v>
      </c>
      <c r="H1618" s="1" t="s">
        <v>570</v>
      </c>
      <c r="I1618">
        <v>0</v>
      </c>
      <c r="J1618">
        <v>51219.248599999999</v>
      </c>
      <c r="K1618">
        <v>4.1099999999999999E-3</v>
      </c>
      <c r="L1618">
        <v>9.3399999999999993E-3</v>
      </c>
      <c r="M1618">
        <v>0.245</v>
      </c>
      <c r="N1618">
        <v>1.2800000000000001E-2</v>
      </c>
      <c r="O1618">
        <v>9.4599999999999997E-3</v>
      </c>
      <c r="P1618" s="3">
        <f t="shared" si="100"/>
        <v>1952.3951054790145</v>
      </c>
      <c r="Q1618" s="3">
        <f t="shared" si="101"/>
        <v>4.1053502075101278E-3</v>
      </c>
      <c r="R1618" s="3">
        <f t="shared" si="102"/>
        <v>9.3399999999999993E-3</v>
      </c>
      <c r="S1618">
        <f t="shared" si="103"/>
        <v>40</v>
      </c>
      <c r="T1618">
        <f>INDEX([1]IDEN_level_ids!$B:$B,MATCH(G1618,[1]IDEN_level_ids!$A:$A,0),1)</f>
        <v>1218</v>
      </c>
      <c r="U1618">
        <f>INDEX([1]IDEN_level_ids!$B:$B,MATCH(H1618,[1]IDEN_level_ids!$A:$A,0),1)</f>
        <v>1015</v>
      </c>
    </row>
    <row r="1619" spans="1:21" hidden="1" x14ac:dyDescent="0.25">
      <c r="A1619">
        <v>51194.8649</v>
      </c>
      <c r="B1619">
        <v>1953.3208999999999</v>
      </c>
      <c r="C1619">
        <v>9</v>
      </c>
      <c r="D1619" t="s">
        <v>586</v>
      </c>
      <c r="F1619">
        <v>1969</v>
      </c>
      <c r="G1619" s="1" t="s">
        <v>83</v>
      </c>
      <c r="H1619" s="1" t="s">
        <v>553</v>
      </c>
      <c r="I1619">
        <v>0</v>
      </c>
      <c r="J1619">
        <v>51194.886899999998</v>
      </c>
      <c r="K1619">
        <v>8.4000000000000003E-4</v>
      </c>
      <c r="L1619">
        <v>9.3500000000000007E-3</v>
      </c>
      <c r="M1619">
        <v>0.245</v>
      </c>
      <c r="N1619">
        <v>2.4899999999999999E-2</v>
      </c>
      <c r="O1619">
        <v>9.5899999999999996E-3</v>
      </c>
      <c r="P1619" s="3">
        <f t="shared" si="100"/>
        <v>1953.3209081678815</v>
      </c>
      <c r="Q1619" s="3">
        <f t="shared" si="101"/>
        <v>8.3940140461891133E-4</v>
      </c>
      <c r="R1619" s="3">
        <f t="shared" si="102"/>
        <v>9.3500000000000007E-3</v>
      </c>
      <c r="S1619">
        <f t="shared" si="103"/>
        <v>40</v>
      </c>
      <c r="T1619">
        <f>INDEX([1]IDEN_level_ids!$B:$B,MATCH(G1619,[1]IDEN_level_ids!$A:$A,0),1)</f>
        <v>1175</v>
      </c>
      <c r="U1619">
        <f>INDEX([1]IDEN_level_ids!$B:$B,MATCH(H1619,[1]IDEN_level_ids!$A:$A,0),1)</f>
        <v>976</v>
      </c>
    </row>
    <row r="1620" spans="1:21" hidden="1" x14ac:dyDescent="0.25">
      <c r="A1620">
        <v>51189.361799999999</v>
      </c>
      <c r="B1620">
        <v>1953.5309</v>
      </c>
      <c r="C1620">
        <v>9</v>
      </c>
      <c r="D1620" t="s">
        <v>586</v>
      </c>
      <c r="F1620">
        <v>1969</v>
      </c>
      <c r="G1620" s="1" t="s">
        <v>212</v>
      </c>
      <c r="H1620" s="1" t="s">
        <v>457</v>
      </c>
      <c r="I1620">
        <v>0</v>
      </c>
      <c r="J1620">
        <v>51189.341099999998</v>
      </c>
      <c r="K1620">
        <v>-7.9000000000000001E-4</v>
      </c>
      <c r="L1620">
        <v>9.3500000000000007E-3</v>
      </c>
      <c r="M1620">
        <v>0.245</v>
      </c>
      <c r="N1620">
        <v>0.1726</v>
      </c>
      <c r="O1620">
        <v>1.1299999999999999E-2</v>
      </c>
      <c r="P1620" s="3">
        <f t="shared" si="100"/>
        <v>1953.5308994612237</v>
      </c>
      <c r="Q1620" s="3">
        <f t="shared" si="101"/>
        <v>-7.8997089531185338E-4</v>
      </c>
      <c r="R1620" s="3">
        <f t="shared" si="102"/>
        <v>9.3500000000000007E-3</v>
      </c>
      <c r="S1620">
        <f t="shared" si="103"/>
        <v>40</v>
      </c>
      <c r="T1620">
        <f>INDEX([1]IDEN_level_ids!$B:$B,MATCH(G1620,[1]IDEN_level_ids!$A:$A,0),1)</f>
        <v>1123</v>
      </c>
      <c r="U1620">
        <f>INDEX([1]IDEN_level_ids!$B:$B,MATCH(H1620,[1]IDEN_level_ids!$A:$A,0),1)</f>
        <v>924</v>
      </c>
    </row>
    <row r="1621" spans="1:21" hidden="1" x14ac:dyDescent="0.25">
      <c r="A1621">
        <v>51174.6656</v>
      </c>
      <c r="B1621">
        <v>1954.0918999999999</v>
      </c>
      <c r="C1621">
        <v>9</v>
      </c>
      <c r="D1621" t="s">
        <v>586</v>
      </c>
      <c r="F1621">
        <v>1969</v>
      </c>
      <c r="G1621" s="1" t="s">
        <v>72</v>
      </c>
      <c r="H1621" s="1" t="s">
        <v>536</v>
      </c>
      <c r="I1621">
        <v>0</v>
      </c>
      <c r="J1621">
        <v>51174.691500000001</v>
      </c>
      <c r="K1621">
        <v>9.8999999999999999E-4</v>
      </c>
      <c r="L1621">
        <v>9.3500000000000007E-3</v>
      </c>
      <c r="M1621">
        <v>0.245</v>
      </c>
      <c r="N1621">
        <v>1.0800000000000001E-2</v>
      </c>
      <c r="O1621">
        <v>9.4599999999999997E-3</v>
      </c>
      <c r="P1621" s="3">
        <f t="shared" si="100"/>
        <v>1954.0919091027729</v>
      </c>
      <c r="Q1621" s="3">
        <f t="shared" si="101"/>
        <v>9.8898457349605451E-4</v>
      </c>
      <c r="R1621" s="3">
        <f t="shared" si="102"/>
        <v>9.3500000000000007E-3</v>
      </c>
      <c r="S1621">
        <f t="shared" si="103"/>
        <v>40</v>
      </c>
      <c r="T1621">
        <f>INDEX([1]IDEN_level_ids!$B:$B,MATCH(G1621,[1]IDEN_level_ids!$A:$A,0),1)</f>
        <v>1225</v>
      </c>
      <c r="U1621">
        <f>INDEX([1]IDEN_level_ids!$B:$B,MATCH(H1621,[1]IDEN_level_ids!$A:$A,0),1)</f>
        <v>1021</v>
      </c>
    </row>
    <row r="1622" spans="1:21" hidden="1" x14ac:dyDescent="0.25">
      <c r="A1622">
        <v>51171.9372</v>
      </c>
      <c r="B1622">
        <v>1954.1960999999999</v>
      </c>
      <c r="C1622">
        <v>9</v>
      </c>
      <c r="D1622" t="s">
        <v>586</v>
      </c>
      <c r="F1622">
        <v>1969</v>
      </c>
      <c r="G1622" s="1" t="s">
        <v>204</v>
      </c>
      <c r="H1622" s="1" t="s">
        <v>567</v>
      </c>
      <c r="I1622">
        <v>0</v>
      </c>
      <c r="J1622">
        <v>51172.031900000002</v>
      </c>
      <c r="K1622">
        <v>3.62E-3</v>
      </c>
      <c r="L1622">
        <v>9.3600000000000003E-3</v>
      </c>
      <c r="M1622">
        <v>0.245</v>
      </c>
      <c r="N1622">
        <v>2.7400000000000001E-2</v>
      </c>
      <c r="O1622">
        <v>9.6200000000000001E-3</v>
      </c>
      <c r="P1622" s="3">
        <f t="shared" si="100"/>
        <v>1954.1960979347093</v>
      </c>
      <c r="Q1622" s="3">
        <f t="shared" si="101"/>
        <v>3.6164749296858645E-3</v>
      </c>
      <c r="R1622" s="3">
        <f t="shared" si="102"/>
        <v>9.3600000000000003E-3</v>
      </c>
      <c r="S1622">
        <f t="shared" si="103"/>
        <v>40</v>
      </c>
      <c r="T1622">
        <f>INDEX([1]IDEN_level_ids!$B:$B,MATCH(G1622,[1]IDEN_level_ids!$A:$A,0),1)</f>
        <v>1176</v>
      </c>
      <c r="U1622">
        <f>INDEX([1]IDEN_level_ids!$B:$B,MATCH(H1622,[1]IDEN_level_ids!$A:$A,0),1)</f>
        <v>983</v>
      </c>
    </row>
    <row r="1623" spans="1:21" hidden="1" x14ac:dyDescent="0.25">
      <c r="A1623">
        <v>51166.967199999999</v>
      </c>
      <c r="B1623">
        <v>1954.3859</v>
      </c>
      <c r="C1623">
        <v>9</v>
      </c>
      <c r="D1623" t="s">
        <v>586</v>
      </c>
      <c r="F1623">
        <v>1969</v>
      </c>
      <c r="G1623" s="1" t="s">
        <v>33</v>
      </c>
      <c r="H1623" s="1" t="s">
        <v>481</v>
      </c>
      <c r="I1623">
        <v>0</v>
      </c>
      <c r="J1623">
        <v>51167.024700000002</v>
      </c>
      <c r="K1623">
        <v>2.2000000000000001E-3</v>
      </c>
      <c r="L1623">
        <v>9.3600000000000003E-3</v>
      </c>
      <c r="M1623">
        <v>0.245</v>
      </c>
      <c r="N1623">
        <v>1.35E-2</v>
      </c>
      <c r="O1623">
        <v>9.4900000000000002E-3</v>
      </c>
      <c r="P1623" s="3">
        <f t="shared" si="100"/>
        <v>1954.3859148251413</v>
      </c>
      <c r="Q1623" s="3">
        <f t="shared" si="101"/>
        <v>2.196281506712694E-3</v>
      </c>
      <c r="R1623" s="3">
        <f t="shared" si="102"/>
        <v>9.3600000000000003E-3</v>
      </c>
      <c r="S1623">
        <f t="shared" si="103"/>
        <v>40</v>
      </c>
      <c r="T1623">
        <f>INDEX([1]IDEN_level_ids!$B:$B,MATCH(G1623,[1]IDEN_level_ids!$A:$A,0),1)</f>
        <v>1220</v>
      </c>
      <c r="U1623">
        <f>INDEX([1]IDEN_level_ids!$B:$B,MATCH(H1623,[1]IDEN_level_ids!$A:$A,0),1)</f>
        <v>1016</v>
      </c>
    </row>
    <row r="1624" spans="1:21" hidden="1" x14ac:dyDescent="0.25">
      <c r="A1624">
        <v>51165.161200000002</v>
      </c>
      <c r="B1624">
        <v>1954.4549</v>
      </c>
      <c r="C1624">
        <v>9</v>
      </c>
      <c r="D1624" t="s">
        <v>586</v>
      </c>
      <c r="E1624" t="s">
        <v>427</v>
      </c>
      <c r="F1624">
        <v>1969</v>
      </c>
      <c r="G1624" s="1" t="s">
        <v>276</v>
      </c>
      <c r="H1624" s="1" t="s">
        <v>421</v>
      </c>
      <c r="I1624">
        <v>-0.70099999999999996</v>
      </c>
      <c r="J1624">
        <v>51164.779300000002</v>
      </c>
      <c r="K1624">
        <v>-1.4590000000000001E-2</v>
      </c>
      <c r="L1624">
        <v>1.436E-2</v>
      </c>
      <c r="M1624">
        <v>0.37580000000000002</v>
      </c>
      <c r="N1624">
        <v>8.1199999999999994E-2</v>
      </c>
      <c r="O1624">
        <v>1.5630000000000002E-2</v>
      </c>
      <c r="P1624" s="3">
        <f t="shared" si="100"/>
        <v>1954.4548996749763</v>
      </c>
      <c r="Q1624" s="3">
        <f t="shared" si="101"/>
        <v>-1.4588283901503019E-2</v>
      </c>
      <c r="R1624" s="3">
        <f t="shared" si="102"/>
        <v>1.436E-2</v>
      </c>
      <c r="S1624">
        <f t="shared" si="103"/>
        <v>40</v>
      </c>
      <c r="T1624">
        <f>INDEX([1]IDEN_level_ids!$B:$B,MATCH(G1624,[1]IDEN_level_ids!$A:$A,0),1)</f>
        <v>1131</v>
      </c>
      <c r="U1624">
        <f>INDEX([1]IDEN_level_ids!$B:$B,MATCH(H1624,[1]IDEN_level_ids!$A:$A,0),1)</f>
        <v>930</v>
      </c>
    </row>
    <row r="1625" spans="1:21" hidden="1" x14ac:dyDescent="0.25">
      <c r="A1625">
        <v>51163.066599999998</v>
      </c>
      <c r="B1625">
        <v>1954.5349000000001</v>
      </c>
      <c r="C1625">
        <v>9</v>
      </c>
      <c r="D1625" t="s">
        <v>586</v>
      </c>
      <c r="F1625">
        <v>1969</v>
      </c>
      <c r="G1625" s="1" t="s">
        <v>68</v>
      </c>
      <c r="H1625" s="1" t="s">
        <v>587</v>
      </c>
      <c r="I1625">
        <v>9.9500000000000005E-2</v>
      </c>
      <c r="J1625">
        <v>51163.056700000001</v>
      </c>
      <c r="K1625">
        <v>-3.8000000000000002E-4</v>
      </c>
      <c r="L1625">
        <v>9.3600000000000003E-3</v>
      </c>
      <c r="M1625">
        <v>0.245</v>
      </c>
      <c r="N1625">
        <v>1.15E-2</v>
      </c>
      <c r="O1625">
        <v>9.4699999999999993E-3</v>
      </c>
      <c r="P1625" s="3">
        <f t="shared" si="100"/>
        <v>1954.534914449401</v>
      </c>
      <c r="Q1625" s="3">
        <f t="shared" si="101"/>
        <v>-3.7820053944415122E-4</v>
      </c>
      <c r="R1625" s="3">
        <f t="shared" si="102"/>
        <v>9.3600000000000003E-3</v>
      </c>
      <c r="S1625">
        <f t="shared" si="103"/>
        <v>40</v>
      </c>
      <c r="T1625">
        <f>INDEX([1]IDEN_level_ids!$B:$B,MATCH(G1625,[1]IDEN_level_ids!$A:$A,0),1)</f>
        <v>1229</v>
      </c>
      <c r="U1625">
        <f>INDEX([1]IDEN_level_ids!$B:$B,MATCH(H1625,[1]IDEN_level_ids!$A:$A,0),1)</f>
        <v>1035</v>
      </c>
    </row>
    <row r="1626" spans="1:21" hidden="1" x14ac:dyDescent="0.25">
      <c r="A1626">
        <v>51143.8851</v>
      </c>
      <c r="B1626">
        <v>1955.268</v>
      </c>
      <c r="C1626">
        <v>9</v>
      </c>
      <c r="D1626" t="s">
        <v>586</v>
      </c>
      <c r="F1626">
        <v>1969</v>
      </c>
      <c r="G1626" s="1" t="s">
        <v>71</v>
      </c>
      <c r="H1626" s="1" t="s">
        <v>513</v>
      </c>
      <c r="I1626">
        <v>0.19059999999999999</v>
      </c>
      <c r="J1626">
        <v>51143.851699999999</v>
      </c>
      <c r="K1626">
        <v>-1.2800000000000001E-3</v>
      </c>
      <c r="L1626">
        <v>9.3699999999999999E-3</v>
      </c>
      <c r="M1626">
        <v>0.245</v>
      </c>
      <c r="N1626">
        <v>1.4500000000000001E-2</v>
      </c>
      <c r="O1626">
        <v>9.4999999999999998E-3</v>
      </c>
      <c r="P1626" s="3">
        <f t="shared" si="100"/>
        <v>1955.2679622299559</v>
      </c>
      <c r="Q1626" s="3">
        <f t="shared" si="101"/>
        <v>-1.2769071504408203E-3</v>
      </c>
      <c r="R1626" s="3">
        <f t="shared" si="102"/>
        <v>9.3699999999999999E-3</v>
      </c>
      <c r="S1626">
        <f t="shared" si="103"/>
        <v>40</v>
      </c>
      <c r="T1626">
        <f>INDEX([1]IDEN_level_ids!$B:$B,MATCH(G1626,[1]IDEN_level_ids!$A:$A,0),1)</f>
        <v>1179</v>
      </c>
      <c r="U1626">
        <f>INDEX([1]IDEN_level_ids!$B:$B,MATCH(H1626,[1]IDEN_level_ids!$A:$A,0),1)</f>
        <v>979</v>
      </c>
    </row>
    <row r="1627" spans="1:21" hidden="1" x14ac:dyDescent="0.25">
      <c r="A1627">
        <v>51137.269399999997</v>
      </c>
      <c r="B1627">
        <v>1955.5209</v>
      </c>
      <c r="C1627">
        <v>9</v>
      </c>
      <c r="D1627" t="s">
        <v>586</v>
      </c>
      <c r="F1627">
        <v>1969</v>
      </c>
      <c r="G1627" s="1" t="s">
        <v>220</v>
      </c>
      <c r="H1627" s="1" t="s">
        <v>588</v>
      </c>
      <c r="I1627">
        <v>0</v>
      </c>
      <c r="J1627">
        <v>51137.322399999997</v>
      </c>
      <c r="K1627">
        <v>2.0300000000000001E-3</v>
      </c>
      <c r="L1627">
        <v>9.3699999999999999E-3</v>
      </c>
      <c r="M1627">
        <v>0.245</v>
      </c>
      <c r="N1627">
        <v>2.9600000000000001E-2</v>
      </c>
      <c r="O1627">
        <v>9.6500000000000006E-3</v>
      </c>
      <c r="P1627" s="3">
        <f t="shared" si="100"/>
        <v>1955.5209179784638</v>
      </c>
      <c r="Q1627" s="3">
        <f t="shared" si="101"/>
        <v>2.0267507916287286E-3</v>
      </c>
      <c r="R1627" s="3">
        <f t="shared" si="102"/>
        <v>9.3699999999999999E-3</v>
      </c>
      <c r="S1627">
        <f t="shared" si="103"/>
        <v>40</v>
      </c>
      <c r="T1627">
        <f>INDEX([1]IDEN_level_ids!$B:$B,MATCH(G1627,[1]IDEN_level_ids!$A:$A,0),1)</f>
        <v>1142</v>
      </c>
      <c r="U1627">
        <f>INDEX([1]IDEN_level_ids!$B:$B,MATCH(H1627,[1]IDEN_level_ids!$A:$A,0),1)</f>
        <v>949</v>
      </c>
    </row>
    <row r="1628" spans="1:21" hidden="1" x14ac:dyDescent="0.25">
      <c r="A1628">
        <v>51124.950100000002</v>
      </c>
      <c r="B1628">
        <v>1955.9920999999999</v>
      </c>
      <c r="C1628">
        <v>9</v>
      </c>
      <c r="D1628" t="s">
        <v>586</v>
      </c>
      <c r="F1628">
        <v>1969</v>
      </c>
      <c r="G1628" s="1" t="s">
        <v>18</v>
      </c>
      <c r="H1628" s="1" t="s">
        <v>563</v>
      </c>
      <c r="I1628">
        <v>0</v>
      </c>
      <c r="J1628">
        <v>51124.9683</v>
      </c>
      <c r="K1628">
        <v>6.9999999999999999E-4</v>
      </c>
      <c r="L1628">
        <v>9.3699999999999999E-3</v>
      </c>
      <c r="M1628">
        <v>0.245</v>
      </c>
      <c r="N1628">
        <v>1.6500000000000001E-2</v>
      </c>
      <c r="O1628">
        <v>9.5300000000000003E-3</v>
      </c>
      <c r="P1628" s="3">
        <f t="shared" si="100"/>
        <v>1955.9921291737357</v>
      </c>
      <c r="Q1628" s="3">
        <f t="shared" si="101"/>
        <v>6.9631450014639995E-4</v>
      </c>
      <c r="R1628" s="3">
        <f t="shared" si="102"/>
        <v>9.3699999999999999E-3</v>
      </c>
      <c r="S1628">
        <f t="shared" si="103"/>
        <v>40</v>
      </c>
      <c r="T1628">
        <f>INDEX([1]IDEN_level_ids!$B:$B,MATCH(G1628,[1]IDEN_level_ids!$A:$A,0),1)</f>
        <v>1226</v>
      </c>
      <c r="U1628">
        <f>INDEX([1]IDEN_level_ids!$B:$B,MATCH(H1628,[1]IDEN_level_ids!$A:$A,0),1)</f>
        <v>1032</v>
      </c>
    </row>
    <row r="1629" spans="1:21" hidden="1" x14ac:dyDescent="0.25">
      <c r="A1629">
        <v>51099.740400000002</v>
      </c>
      <c r="B1629">
        <v>1956.9571000000001</v>
      </c>
      <c r="C1629">
        <v>9</v>
      </c>
      <c r="D1629" t="s">
        <v>586</v>
      </c>
      <c r="F1629">
        <v>1969</v>
      </c>
      <c r="G1629" s="1" t="s">
        <v>276</v>
      </c>
      <c r="H1629" s="1" t="s">
        <v>439</v>
      </c>
      <c r="I1629">
        <v>-0.70099999999999996</v>
      </c>
      <c r="J1629">
        <v>51099.603000000003</v>
      </c>
      <c r="K1629">
        <v>-5.2599999999999999E-3</v>
      </c>
      <c r="L1629">
        <v>9.3799999999999994E-3</v>
      </c>
      <c r="M1629">
        <v>0.245</v>
      </c>
      <c r="N1629">
        <v>0.21659999999999999</v>
      </c>
      <c r="O1629">
        <v>1.1979999999999999E-2</v>
      </c>
      <c r="P1629" s="3">
        <f t="shared" si="100"/>
        <v>1956.9571042282632</v>
      </c>
      <c r="Q1629" s="3">
        <f t="shared" si="101"/>
        <v>-5.2619959908497549E-3</v>
      </c>
      <c r="R1629" s="3">
        <f t="shared" si="102"/>
        <v>9.3799999999999994E-3</v>
      </c>
      <c r="S1629">
        <f t="shared" si="103"/>
        <v>40</v>
      </c>
      <c r="T1629">
        <f>INDEX([1]IDEN_level_ids!$B:$B,MATCH(G1629,[1]IDEN_level_ids!$A:$A,0),1)</f>
        <v>1131</v>
      </c>
      <c r="U1629">
        <f>INDEX([1]IDEN_level_ids!$B:$B,MATCH(H1629,[1]IDEN_level_ids!$A:$A,0),1)</f>
        <v>931</v>
      </c>
    </row>
    <row r="1630" spans="1:21" hidden="1" x14ac:dyDescent="0.25">
      <c r="A1630">
        <v>51097.601900000001</v>
      </c>
      <c r="B1630">
        <v>1957.039</v>
      </c>
      <c r="C1630">
        <v>9</v>
      </c>
      <c r="D1630" t="s">
        <v>586</v>
      </c>
      <c r="F1630">
        <v>1969</v>
      </c>
      <c r="G1630" s="1" t="s">
        <v>288</v>
      </c>
      <c r="H1630" s="1" t="s">
        <v>474</v>
      </c>
      <c r="I1630">
        <v>0.1988</v>
      </c>
      <c r="J1630">
        <v>51097.706200000001</v>
      </c>
      <c r="K1630">
        <v>3.9899999999999996E-3</v>
      </c>
      <c r="L1630">
        <v>9.3799999999999994E-3</v>
      </c>
      <c r="M1630">
        <v>0.245</v>
      </c>
      <c r="N1630">
        <v>1.5599999999999999E-2</v>
      </c>
      <c r="O1630">
        <v>9.5300000000000003E-3</v>
      </c>
      <c r="P1630" s="3">
        <f t="shared" si="100"/>
        <v>1957.0390053862782</v>
      </c>
      <c r="Q1630" s="3">
        <f t="shared" si="101"/>
        <v>3.994683586370229E-3</v>
      </c>
      <c r="R1630" s="3">
        <f t="shared" si="102"/>
        <v>9.3799999999999994E-3</v>
      </c>
      <c r="S1630">
        <f t="shared" si="103"/>
        <v>40</v>
      </c>
      <c r="T1630">
        <f>INDEX([1]IDEN_level_ids!$B:$B,MATCH(G1630,[1]IDEN_level_ids!$A:$A,0),1)</f>
        <v>1151</v>
      </c>
      <c r="U1630">
        <f>INDEX([1]IDEN_level_ids!$B:$B,MATCH(H1630,[1]IDEN_level_ids!$A:$A,0),1)</f>
        <v>959</v>
      </c>
    </row>
    <row r="1631" spans="1:21" hidden="1" x14ac:dyDescent="0.25">
      <c r="A1631">
        <v>51089.796699999999</v>
      </c>
      <c r="B1631">
        <v>1957.338</v>
      </c>
      <c r="C1631">
        <v>9</v>
      </c>
      <c r="D1631" t="s">
        <v>586</v>
      </c>
      <c r="F1631">
        <v>1969</v>
      </c>
      <c r="G1631" s="1" t="s">
        <v>71</v>
      </c>
      <c r="H1631" s="1" t="s">
        <v>589</v>
      </c>
      <c r="I1631">
        <v>0</v>
      </c>
      <c r="J1631">
        <v>51089.824699999997</v>
      </c>
      <c r="K1631">
        <v>1.07E-3</v>
      </c>
      <c r="L1631">
        <v>9.3900000000000008E-3</v>
      </c>
      <c r="M1631">
        <v>0.245</v>
      </c>
      <c r="N1631">
        <v>1.2200000000000001E-2</v>
      </c>
      <c r="O1631">
        <v>9.4999999999999998E-3</v>
      </c>
      <c r="P1631" s="3">
        <f t="shared" si="100"/>
        <v>1957.3379903467105</v>
      </c>
      <c r="Q1631" s="3">
        <f t="shared" si="101"/>
        <v>1.0727275744102371E-3</v>
      </c>
      <c r="R1631" s="3">
        <f t="shared" si="102"/>
        <v>9.3900000000000008E-3</v>
      </c>
      <c r="S1631">
        <f t="shared" si="103"/>
        <v>40</v>
      </c>
      <c r="T1631">
        <f>INDEX([1]IDEN_level_ids!$B:$B,MATCH(G1631,[1]IDEN_level_ids!$A:$A,0),1)</f>
        <v>1179</v>
      </c>
      <c r="U1631">
        <f>INDEX([1]IDEN_level_ids!$B:$B,MATCH(H1631,[1]IDEN_level_ids!$A:$A,0),1)</f>
        <v>984</v>
      </c>
    </row>
    <row r="1632" spans="1:21" hidden="1" x14ac:dyDescent="0.25">
      <c r="A1632">
        <v>51074.921399999999</v>
      </c>
      <c r="B1632">
        <v>1957.9081000000001</v>
      </c>
      <c r="C1632">
        <v>9</v>
      </c>
      <c r="D1632" t="s">
        <v>586</v>
      </c>
      <c r="F1632">
        <v>1969</v>
      </c>
      <c r="G1632" s="1" t="s">
        <v>56</v>
      </c>
      <c r="H1632" s="1" t="s">
        <v>461</v>
      </c>
      <c r="I1632">
        <v>0.1797</v>
      </c>
      <c r="J1632">
        <v>51074.874100000001</v>
      </c>
      <c r="K1632">
        <v>-1.81E-3</v>
      </c>
      <c r="L1632">
        <v>9.3900000000000008E-3</v>
      </c>
      <c r="M1632">
        <v>0.245</v>
      </c>
      <c r="N1632">
        <v>1.12E-2</v>
      </c>
      <c r="O1632">
        <v>9.4999999999999998E-3</v>
      </c>
      <c r="P1632" s="3">
        <f t="shared" si="100"/>
        <v>1957.9080546563505</v>
      </c>
      <c r="Q1632" s="3">
        <f t="shared" si="101"/>
        <v>-1.8132017476091278E-3</v>
      </c>
      <c r="R1632" s="3">
        <f t="shared" si="102"/>
        <v>9.3900000000000008E-3</v>
      </c>
      <c r="S1632">
        <f t="shared" si="103"/>
        <v>40</v>
      </c>
      <c r="T1632">
        <f>INDEX([1]IDEN_level_ids!$B:$B,MATCH(G1632,[1]IDEN_level_ids!$A:$A,0),1)</f>
        <v>1221</v>
      </c>
      <c r="U1632">
        <f>INDEX([1]IDEN_level_ids!$B:$B,MATCH(H1632,[1]IDEN_level_ids!$A:$A,0),1)</f>
        <v>1017</v>
      </c>
    </row>
    <row r="1633" spans="1:21" hidden="1" x14ac:dyDescent="0.25">
      <c r="A1633">
        <v>51072.497100000001</v>
      </c>
      <c r="B1633">
        <v>1958.001</v>
      </c>
      <c r="C1633">
        <v>9</v>
      </c>
      <c r="D1633" t="s">
        <v>586</v>
      </c>
      <c r="F1633">
        <v>1969</v>
      </c>
      <c r="G1633" s="1" t="s">
        <v>49</v>
      </c>
      <c r="H1633" s="1" t="s">
        <v>528</v>
      </c>
      <c r="I1633">
        <v>0</v>
      </c>
      <c r="J1633">
        <v>51072.564599999998</v>
      </c>
      <c r="K1633">
        <v>2.5899999999999999E-3</v>
      </c>
      <c r="L1633">
        <v>9.3900000000000008E-3</v>
      </c>
      <c r="M1633">
        <v>0.245</v>
      </c>
      <c r="N1633">
        <v>1.4E-2</v>
      </c>
      <c r="O1633">
        <v>9.5300000000000003E-3</v>
      </c>
      <c r="P1633" s="3">
        <f t="shared" si="100"/>
        <v>1958.0009922796589</v>
      </c>
      <c r="Q1633" s="3">
        <f t="shared" si="101"/>
        <v>2.587789902690929E-3</v>
      </c>
      <c r="R1633" s="3">
        <f t="shared" si="102"/>
        <v>9.3900000000000008E-3</v>
      </c>
      <c r="S1633">
        <f t="shared" si="103"/>
        <v>40</v>
      </c>
      <c r="T1633">
        <f>INDEX([1]IDEN_level_ids!$B:$B,MATCH(G1633,[1]IDEN_level_ids!$A:$A,0),1)</f>
        <v>1214</v>
      </c>
      <c r="U1633">
        <f>INDEX([1]IDEN_level_ids!$B:$B,MATCH(H1633,[1]IDEN_level_ids!$A:$A,0),1)</f>
        <v>1009</v>
      </c>
    </row>
    <row r="1634" spans="1:21" hidden="1" x14ac:dyDescent="0.25">
      <c r="A1634">
        <v>51062.428500000002</v>
      </c>
      <c r="B1634">
        <v>1958.3870999999999</v>
      </c>
      <c r="C1634">
        <v>9</v>
      </c>
      <c r="D1634" t="s">
        <v>586</v>
      </c>
      <c r="F1634">
        <v>1969</v>
      </c>
      <c r="G1634" s="1" t="s">
        <v>22</v>
      </c>
      <c r="H1634" s="1" t="s">
        <v>438</v>
      </c>
      <c r="I1634">
        <v>0</v>
      </c>
      <c r="J1634">
        <v>51062.423900000002</v>
      </c>
      <c r="K1634">
        <v>-1.8000000000000001E-4</v>
      </c>
      <c r="L1634">
        <v>9.4000000000000004E-3</v>
      </c>
      <c r="M1634">
        <v>0.245</v>
      </c>
      <c r="N1634">
        <v>1.11E-2</v>
      </c>
      <c r="O1634">
        <v>9.4999999999999998E-3</v>
      </c>
      <c r="P1634" s="3">
        <f t="shared" si="100"/>
        <v>1958.3870751466511</v>
      </c>
      <c r="Q1634" s="3">
        <f t="shared" si="101"/>
        <v>-1.7642289299146796E-4</v>
      </c>
      <c r="R1634" s="3">
        <f t="shared" si="102"/>
        <v>9.4000000000000004E-3</v>
      </c>
      <c r="S1634">
        <f t="shared" si="103"/>
        <v>40</v>
      </c>
      <c r="T1634">
        <f>INDEX([1]IDEN_level_ids!$B:$B,MATCH(G1634,[1]IDEN_level_ids!$A:$A,0),1)</f>
        <v>1236</v>
      </c>
      <c r="U1634">
        <f>INDEX([1]IDEN_level_ids!$B:$B,MATCH(H1634,[1]IDEN_level_ids!$A:$A,0),1)</f>
        <v>1051</v>
      </c>
    </row>
    <row r="1635" spans="1:21" hidden="1" x14ac:dyDescent="0.25">
      <c r="A1635">
        <v>51054.608899999999</v>
      </c>
      <c r="B1635">
        <v>1958.6869999999999</v>
      </c>
      <c r="C1635">
        <v>9</v>
      </c>
      <c r="D1635" t="s">
        <v>586</v>
      </c>
      <c r="F1635">
        <v>1969</v>
      </c>
      <c r="G1635" s="1" t="s">
        <v>251</v>
      </c>
      <c r="H1635" s="1" t="s">
        <v>537</v>
      </c>
      <c r="I1635">
        <v>0</v>
      </c>
      <c r="J1635">
        <v>51054.686000000002</v>
      </c>
      <c r="K1635">
        <v>2.96E-3</v>
      </c>
      <c r="L1635">
        <v>9.4000000000000004E-3</v>
      </c>
      <c r="M1635">
        <v>0.245</v>
      </c>
      <c r="N1635">
        <v>2.23E-2</v>
      </c>
      <c r="O1635">
        <v>9.6100000000000005E-3</v>
      </c>
      <c r="P1635" s="3">
        <f t="shared" si="100"/>
        <v>1958.6870246302092</v>
      </c>
      <c r="Q1635" s="3">
        <f t="shared" si="101"/>
        <v>2.957902230491527E-3</v>
      </c>
      <c r="R1635" s="3">
        <f t="shared" si="102"/>
        <v>9.4000000000000004E-3</v>
      </c>
      <c r="S1635">
        <f t="shared" si="103"/>
        <v>40</v>
      </c>
      <c r="T1635">
        <f>INDEX([1]IDEN_level_ids!$B:$B,MATCH(G1635,[1]IDEN_level_ids!$A:$A,0),1)</f>
        <v>1192</v>
      </c>
      <c r="U1635">
        <f>INDEX([1]IDEN_level_ids!$B:$B,MATCH(H1635,[1]IDEN_level_ids!$A:$A,0),1)</f>
        <v>991</v>
      </c>
    </row>
    <row r="1636" spans="1:21" hidden="1" x14ac:dyDescent="0.25">
      <c r="A1636">
        <v>51021.421900000001</v>
      </c>
      <c r="B1636">
        <v>1959.9611</v>
      </c>
      <c r="C1636">
        <v>9</v>
      </c>
      <c r="D1636" t="s">
        <v>586</v>
      </c>
      <c r="F1636">
        <v>1969</v>
      </c>
      <c r="G1636" s="1" t="s">
        <v>51</v>
      </c>
      <c r="H1636" s="1" t="s">
        <v>528</v>
      </c>
      <c r="I1636">
        <v>0</v>
      </c>
      <c r="J1636">
        <v>51021.4084</v>
      </c>
      <c r="K1636">
        <v>-5.1999999999999995E-4</v>
      </c>
      <c r="L1636">
        <v>9.41E-3</v>
      </c>
      <c r="M1636">
        <v>0.245</v>
      </c>
      <c r="N1636">
        <v>1.43E-2</v>
      </c>
      <c r="O1636">
        <v>9.5499999999999995E-3</v>
      </c>
      <c r="P1636" s="3">
        <f t="shared" si="100"/>
        <v>1959.9610570633665</v>
      </c>
      <c r="Q1636" s="3">
        <f t="shared" si="101"/>
        <v>-5.185955287743127E-4</v>
      </c>
      <c r="R1636" s="3">
        <f t="shared" si="102"/>
        <v>9.41E-3</v>
      </c>
      <c r="S1636">
        <f t="shared" si="103"/>
        <v>40</v>
      </c>
      <c r="T1636">
        <f>INDEX([1]IDEN_level_ids!$B:$B,MATCH(G1636,[1]IDEN_level_ids!$A:$A,0),1)</f>
        <v>1213</v>
      </c>
      <c r="U1636">
        <f>INDEX([1]IDEN_level_ids!$B:$B,MATCH(H1636,[1]IDEN_level_ids!$A:$A,0),1)</f>
        <v>1009</v>
      </c>
    </row>
    <row r="1637" spans="1:21" hidden="1" x14ac:dyDescent="0.25">
      <c r="A1637">
        <v>51001.283799999997</v>
      </c>
      <c r="B1637">
        <v>1960.7349999999999</v>
      </c>
      <c r="C1637">
        <v>9</v>
      </c>
      <c r="D1637" t="s">
        <v>586</v>
      </c>
      <c r="F1637">
        <v>1969</v>
      </c>
      <c r="G1637" s="1" t="s">
        <v>216</v>
      </c>
      <c r="H1637" s="1" t="s">
        <v>590</v>
      </c>
      <c r="I1637">
        <v>0</v>
      </c>
      <c r="J1637">
        <v>51001.2785</v>
      </c>
      <c r="K1637">
        <v>-2.0000000000000001E-4</v>
      </c>
      <c r="L1637">
        <v>9.4199999999999996E-3</v>
      </c>
      <c r="M1637">
        <v>0.245</v>
      </c>
      <c r="N1637">
        <v>2.2800000000000001E-2</v>
      </c>
      <c r="O1637">
        <v>9.6399999999999993E-3</v>
      </c>
      <c r="P1637" s="3">
        <f t="shared" si="100"/>
        <v>1960.7349570286701</v>
      </c>
      <c r="Q1637" s="3">
        <f t="shared" si="101"/>
        <v>-2.0375754434098781E-4</v>
      </c>
      <c r="R1637" s="3">
        <f t="shared" si="102"/>
        <v>9.4199999999999996E-3</v>
      </c>
      <c r="S1637">
        <f t="shared" si="103"/>
        <v>40</v>
      </c>
      <c r="T1637">
        <f>INDEX([1]IDEN_level_ids!$B:$B,MATCH(G1637,[1]IDEN_level_ids!$A:$A,0),1)</f>
        <v>1170</v>
      </c>
      <c r="U1637">
        <f>INDEX([1]IDEN_level_ids!$B:$B,MATCH(H1637,[1]IDEN_level_ids!$A:$A,0),1)</f>
        <v>974</v>
      </c>
    </row>
    <row r="1638" spans="1:21" hidden="1" x14ac:dyDescent="0.25">
      <c r="A1638">
        <v>50987.500399999997</v>
      </c>
      <c r="B1638">
        <v>1961.2650000000001</v>
      </c>
      <c r="C1638">
        <v>9</v>
      </c>
      <c r="D1638" t="s">
        <v>586</v>
      </c>
      <c r="F1638">
        <v>1969</v>
      </c>
      <c r="G1638" s="1" t="s">
        <v>275</v>
      </c>
      <c r="H1638" s="1" t="s">
        <v>426</v>
      </c>
      <c r="I1638">
        <v>0</v>
      </c>
      <c r="J1638">
        <v>50987.372499999998</v>
      </c>
      <c r="K1638">
        <v>-4.9199999999999999E-3</v>
      </c>
      <c r="L1638">
        <v>9.4199999999999996E-3</v>
      </c>
      <c r="M1638">
        <v>0.245</v>
      </c>
      <c r="N1638">
        <v>0.1928</v>
      </c>
      <c r="O1638">
        <v>1.167E-2</v>
      </c>
      <c r="P1638" s="3">
        <f t="shared" si="100"/>
        <v>1961.2650005490366</v>
      </c>
      <c r="Q1638" s="3">
        <f t="shared" si="101"/>
        <v>-4.9197630955859495E-3</v>
      </c>
      <c r="R1638" s="3">
        <f t="shared" si="102"/>
        <v>9.4199999999999996E-3</v>
      </c>
      <c r="S1638">
        <f t="shared" si="103"/>
        <v>40</v>
      </c>
      <c r="T1638">
        <f>INDEX([1]IDEN_level_ids!$B:$B,MATCH(G1638,[1]IDEN_level_ids!$A:$A,0),1)</f>
        <v>1134</v>
      </c>
      <c r="U1638">
        <f>INDEX([1]IDEN_level_ids!$B:$B,MATCH(H1638,[1]IDEN_level_ids!$A:$A,0),1)</f>
        <v>932</v>
      </c>
    </row>
    <row r="1639" spans="1:21" hidden="1" x14ac:dyDescent="0.25">
      <c r="A1639">
        <v>50970.241300000002</v>
      </c>
      <c r="B1639">
        <v>1961.9291000000001</v>
      </c>
      <c r="C1639">
        <v>9</v>
      </c>
      <c r="D1639" t="s">
        <v>586</v>
      </c>
      <c r="F1639">
        <v>1969</v>
      </c>
      <c r="G1639" s="1" t="s">
        <v>27</v>
      </c>
      <c r="H1639" s="1" t="s">
        <v>451</v>
      </c>
      <c r="I1639">
        <v>0.28199999999999997</v>
      </c>
      <c r="J1639">
        <v>50970.1495</v>
      </c>
      <c r="K1639">
        <v>-3.5300000000000002E-3</v>
      </c>
      <c r="L1639">
        <v>9.4299999999999991E-3</v>
      </c>
      <c r="M1639">
        <v>0.245</v>
      </c>
      <c r="N1639">
        <v>1.55E-2</v>
      </c>
      <c r="O1639">
        <v>9.58E-3</v>
      </c>
      <c r="P1639" s="3">
        <f t="shared" si="100"/>
        <v>1961.9291070532954</v>
      </c>
      <c r="Q1639" s="3">
        <f t="shared" si="101"/>
        <v>-3.5335405877958692E-3</v>
      </c>
      <c r="R1639" s="3">
        <f t="shared" si="102"/>
        <v>9.4299999999999991E-3</v>
      </c>
      <c r="S1639">
        <f t="shared" si="103"/>
        <v>40</v>
      </c>
      <c r="T1639">
        <f>INDEX([1]IDEN_level_ids!$B:$B,MATCH(G1639,[1]IDEN_level_ids!$A:$A,0),1)</f>
        <v>1242</v>
      </c>
      <c r="U1639">
        <f>INDEX([1]IDEN_level_ids!$B:$B,MATCH(H1639,[1]IDEN_level_ids!$A:$A,0),1)</f>
        <v>1066</v>
      </c>
    </row>
    <row r="1640" spans="1:21" hidden="1" x14ac:dyDescent="0.25">
      <c r="A1640">
        <v>50957.540500000003</v>
      </c>
      <c r="B1640">
        <v>1962.4181000000001</v>
      </c>
      <c r="C1640">
        <v>9</v>
      </c>
      <c r="D1640" t="s">
        <v>586</v>
      </c>
      <c r="F1640">
        <v>1969</v>
      </c>
      <c r="G1640" s="1" t="s">
        <v>239</v>
      </c>
      <c r="H1640" s="1" t="s">
        <v>572</v>
      </c>
      <c r="I1640">
        <v>0</v>
      </c>
      <c r="J1640">
        <v>50957.527300000002</v>
      </c>
      <c r="K1640">
        <v>-5.1000000000000004E-4</v>
      </c>
      <c r="L1640">
        <v>9.4299999999999991E-3</v>
      </c>
      <c r="M1640">
        <v>0.245</v>
      </c>
      <c r="N1640">
        <v>0.2586</v>
      </c>
      <c r="O1640">
        <v>1.273E-2</v>
      </c>
      <c r="P1640" s="3">
        <f t="shared" si="100"/>
        <v>1962.4181037544383</v>
      </c>
      <c r="Q1640" s="3">
        <f t="shared" si="101"/>
        <v>-5.0834332728300069E-4</v>
      </c>
      <c r="R1640" s="3">
        <f t="shared" si="102"/>
        <v>9.4299999999999991E-3</v>
      </c>
      <c r="S1640">
        <f t="shared" si="103"/>
        <v>40</v>
      </c>
      <c r="T1640">
        <f>INDEX([1]IDEN_level_ids!$B:$B,MATCH(G1640,[1]IDEN_level_ids!$A:$A,0),1)</f>
        <v>1167</v>
      </c>
      <c r="U1640">
        <f>INDEX([1]IDEN_level_ids!$B:$B,MATCH(H1640,[1]IDEN_level_ids!$A:$A,0),1)</f>
        <v>977</v>
      </c>
    </row>
    <row r="1641" spans="1:21" hidden="1" x14ac:dyDescent="0.25">
      <c r="A1641">
        <v>50932.0288</v>
      </c>
      <c r="B1641">
        <v>1963.4011</v>
      </c>
      <c r="C1641">
        <v>9</v>
      </c>
      <c r="D1641" t="s">
        <v>586</v>
      </c>
      <c r="F1641">
        <v>1969</v>
      </c>
      <c r="G1641" s="1" t="s">
        <v>515</v>
      </c>
      <c r="H1641" s="1" t="s">
        <v>489</v>
      </c>
      <c r="I1641">
        <v>0.2036</v>
      </c>
      <c r="J1641">
        <v>50932.082799999996</v>
      </c>
      <c r="K1641">
        <v>2.0799999999999998E-3</v>
      </c>
      <c r="L1641">
        <v>9.4400000000000005E-3</v>
      </c>
      <c r="M1641">
        <v>0.245</v>
      </c>
      <c r="N1641">
        <v>3.09E-2</v>
      </c>
      <c r="O1641">
        <v>9.7400000000000004E-3</v>
      </c>
      <c r="P1641" s="3">
        <f t="shared" si="100"/>
        <v>1963.4010730787932</v>
      </c>
      <c r="Q1641" s="3">
        <f t="shared" si="101"/>
        <v>2.0816674305024208E-3</v>
      </c>
      <c r="R1641" s="3">
        <f t="shared" si="102"/>
        <v>9.4400000000000005E-3</v>
      </c>
      <c r="S1641">
        <f t="shared" si="103"/>
        <v>40</v>
      </c>
      <c r="T1641">
        <f>INDEX([1]IDEN_level_ids!$B:$B,MATCH(G1641,[1]IDEN_level_ids!$A:$A,0),1)</f>
        <v>1140</v>
      </c>
      <c r="U1641">
        <f>INDEX([1]IDEN_level_ids!$B:$B,MATCH(H1641,[1]IDEN_level_ids!$A:$A,0),1)</f>
        <v>945</v>
      </c>
    </row>
    <row r="1642" spans="1:21" hidden="1" x14ac:dyDescent="0.25">
      <c r="A1642">
        <v>50923.4735</v>
      </c>
      <c r="B1642">
        <v>1963.7309</v>
      </c>
      <c r="C1642">
        <v>9</v>
      </c>
      <c r="D1642" t="s">
        <v>586</v>
      </c>
      <c r="E1642" t="s">
        <v>52</v>
      </c>
      <c r="F1642">
        <v>1969</v>
      </c>
      <c r="G1642" s="1" t="s">
        <v>56</v>
      </c>
      <c r="H1642" s="1" t="s">
        <v>585</v>
      </c>
      <c r="I1642">
        <v>0</v>
      </c>
      <c r="J1642">
        <v>50923.742400000003</v>
      </c>
      <c r="K1642">
        <v>1.0370000000000001E-2</v>
      </c>
      <c r="L1642">
        <v>1.065E-2</v>
      </c>
      <c r="M1642">
        <v>0.27600000000000002</v>
      </c>
      <c r="N1642">
        <v>8.9999999999999993E-3</v>
      </c>
      <c r="O1642">
        <v>1.074E-2</v>
      </c>
      <c r="P1642" s="3">
        <f t="shared" si="100"/>
        <v>1963.7309304912203</v>
      </c>
      <c r="Q1642" s="3">
        <f t="shared" si="101"/>
        <v>1.0369372365857998E-2</v>
      </c>
      <c r="R1642" s="3">
        <f t="shared" si="102"/>
        <v>1.065E-2</v>
      </c>
      <c r="S1642">
        <f t="shared" si="103"/>
        <v>40</v>
      </c>
      <c r="T1642">
        <f>INDEX([1]IDEN_level_ids!$B:$B,MATCH(G1642,[1]IDEN_level_ids!$A:$A,0),1)</f>
        <v>1221</v>
      </c>
      <c r="U1642">
        <f>INDEX([1]IDEN_level_ids!$B:$B,MATCH(H1642,[1]IDEN_level_ids!$A:$A,0),1)</f>
        <v>1019</v>
      </c>
    </row>
    <row r="1643" spans="1:21" hidden="1" x14ac:dyDescent="0.25">
      <c r="A1643">
        <v>50922.042600000001</v>
      </c>
      <c r="B1643">
        <v>1963.7861</v>
      </c>
      <c r="C1643">
        <v>9</v>
      </c>
      <c r="D1643" t="s">
        <v>586</v>
      </c>
      <c r="E1643" t="s">
        <v>52</v>
      </c>
      <c r="F1643">
        <v>1969</v>
      </c>
      <c r="G1643" s="1" t="s">
        <v>27</v>
      </c>
      <c r="H1643" s="1" t="s">
        <v>375</v>
      </c>
      <c r="I1643">
        <v>0.21110000000000001</v>
      </c>
      <c r="J1643">
        <v>50921.95</v>
      </c>
      <c r="K1643">
        <v>-3.5699999999999998E-3</v>
      </c>
      <c r="L1643">
        <v>1.065E-2</v>
      </c>
      <c r="M1643">
        <v>0.27600000000000002</v>
      </c>
      <c r="N1643">
        <v>1.11E-2</v>
      </c>
      <c r="O1643">
        <v>1.076E-2</v>
      </c>
      <c r="P1643" s="3">
        <f t="shared" si="100"/>
        <v>1963.7861109679839</v>
      </c>
      <c r="Q1643" s="3">
        <f t="shared" si="101"/>
        <v>-3.5710846477741143E-3</v>
      </c>
      <c r="R1643" s="3">
        <f t="shared" si="102"/>
        <v>1.065E-2</v>
      </c>
      <c r="S1643">
        <f t="shared" si="103"/>
        <v>40</v>
      </c>
      <c r="T1643">
        <f>INDEX([1]IDEN_level_ids!$B:$B,MATCH(G1643,[1]IDEN_level_ids!$A:$A,0),1)</f>
        <v>1242</v>
      </c>
      <c r="U1643">
        <f>INDEX([1]IDEN_level_ids!$B:$B,MATCH(H1643,[1]IDEN_level_ids!$A:$A,0),1)</f>
        <v>1065</v>
      </c>
    </row>
    <row r="1644" spans="1:21" hidden="1" x14ac:dyDescent="0.25">
      <c r="A1644">
        <v>50918.804100000001</v>
      </c>
      <c r="B1644">
        <v>1963.9110000000001</v>
      </c>
      <c r="C1644">
        <v>9</v>
      </c>
      <c r="D1644" t="s">
        <v>586</v>
      </c>
      <c r="F1644">
        <v>1969</v>
      </c>
      <c r="G1644" s="1" t="s">
        <v>243</v>
      </c>
      <c r="H1644" s="1" t="s">
        <v>524</v>
      </c>
      <c r="I1644">
        <v>0</v>
      </c>
      <c r="J1644">
        <v>50918.854200000002</v>
      </c>
      <c r="K1644">
        <v>1.9300000000000001E-3</v>
      </c>
      <c r="L1644">
        <v>9.4500000000000001E-3</v>
      </c>
      <c r="M1644">
        <v>0.245</v>
      </c>
      <c r="N1644">
        <v>2.8400000000000002E-2</v>
      </c>
      <c r="O1644">
        <v>9.7300000000000008E-3</v>
      </c>
      <c r="P1644" s="3">
        <f t="shared" si="100"/>
        <v>1963.9110102352149</v>
      </c>
      <c r="Q1644" s="3">
        <f t="shared" si="101"/>
        <v>1.9323282733694214E-3</v>
      </c>
      <c r="R1644" s="3">
        <f t="shared" si="102"/>
        <v>9.4500000000000001E-3</v>
      </c>
      <c r="S1644">
        <f t="shared" si="103"/>
        <v>40</v>
      </c>
      <c r="T1644">
        <f>INDEX([1]IDEN_level_ids!$B:$B,MATCH(G1644,[1]IDEN_level_ids!$A:$A,0),1)</f>
        <v>1205</v>
      </c>
      <c r="U1644">
        <f>INDEX([1]IDEN_level_ids!$B:$B,MATCH(H1644,[1]IDEN_level_ids!$A:$A,0),1)</f>
        <v>998</v>
      </c>
    </row>
    <row r="1645" spans="1:21" hidden="1" x14ac:dyDescent="0.25">
      <c r="A1645">
        <v>50917.1728</v>
      </c>
      <c r="B1645">
        <v>1963.9739</v>
      </c>
      <c r="C1645">
        <v>9</v>
      </c>
      <c r="D1645" t="s">
        <v>586</v>
      </c>
      <c r="F1645">
        <v>1969</v>
      </c>
      <c r="G1645" s="1" t="s">
        <v>72</v>
      </c>
      <c r="H1645" s="1" t="s">
        <v>467</v>
      </c>
      <c r="I1645">
        <v>0</v>
      </c>
      <c r="J1645">
        <v>50917.214500000002</v>
      </c>
      <c r="K1645">
        <v>1.6100000000000001E-3</v>
      </c>
      <c r="L1645">
        <v>9.4500000000000001E-3</v>
      </c>
      <c r="M1645">
        <v>0.245</v>
      </c>
      <c r="N1645">
        <v>1.0800000000000001E-2</v>
      </c>
      <c r="O1645">
        <v>9.5499999999999995E-3</v>
      </c>
      <c r="P1645" s="3">
        <f t="shared" si="100"/>
        <v>1963.9739306185515</v>
      </c>
      <c r="Q1645" s="3">
        <f t="shared" si="101"/>
        <v>1.6084484141174471E-3</v>
      </c>
      <c r="R1645" s="3">
        <f t="shared" si="102"/>
        <v>9.4500000000000001E-3</v>
      </c>
      <c r="S1645">
        <f t="shared" si="103"/>
        <v>40</v>
      </c>
      <c r="T1645">
        <f>INDEX([1]IDEN_level_ids!$B:$B,MATCH(G1645,[1]IDEN_level_ids!$A:$A,0),1)</f>
        <v>1225</v>
      </c>
      <c r="U1645">
        <f>INDEX([1]IDEN_level_ids!$B:$B,MATCH(H1645,[1]IDEN_level_ids!$A:$A,0),1)</f>
        <v>1025</v>
      </c>
    </row>
    <row r="1646" spans="1:21" hidden="1" x14ac:dyDescent="0.25">
      <c r="A1646">
        <v>50865.477599999998</v>
      </c>
      <c r="B1646">
        <v>1965.9699000000001</v>
      </c>
      <c r="C1646">
        <v>9</v>
      </c>
      <c r="D1646" t="s">
        <v>586</v>
      </c>
      <c r="F1646">
        <v>1969</v>
      </c>
      <c r="G1646" s="1" t="s">
        <v>72</v>
      </c>
      <c r="H1646" s="1" t="s">
        <v>475</v>
      </c>
      <c r="I1646">
        <v>0.13919999999999999</v>
      </c>
      <c r="J1646">
        <v>50865.411200000002</v>
      </c>
      <c r="K1646">
        <v>-2.5600000000000002E-3</v>
      </c>
      <c r="L1646">
        <v>9.4699999999999993E-3</v>
      </c>
      <c r="M1646">
        <v>0.245</v>
      </c>
      <c r="N1646">
        <v>1.09E-2</v>
      </c>
      <c r="O1646">
        <v>9.5700000000000004E-3</v>
      </c>
      <c r="P1646" s="3">
        <f t="shared" si="100"/>
        <v>1965.9699410745334</v>
      </c>
      <c r="Q1646" s="3">
        <f t="shared" si="101"/>
        <v>-2.566388455534252E-3</v>
      </c>
      <c r="R1646" s="3">
        <f t="shared" si="102"/>
        <v>9.4699999999999993E-3</v>
      </c>
      <c r="S1646">
        <f t="shared" si="103"/>
        <v>40</v>
      </c>
      <c r="T1646">
        <f>INDEX([1]IDEN_level_ids!$B:$B,MATCH(G1646,[1]IDEN_level_ids!$A:$A,0),1)</f>
        <v>1225</v>
      </c>
      <c r="U1646">
        <f>INDEX([1]IDEN_level_ids!$B:$B,MATCH(H1646,[1]IDEN_level_ids!$A:$A,0),1)</f>
        <v>1030</v>
      </c>
    </row>
    <row r="1647" spans="1:21" hidden="1" x14ac:dyDescent="0.25">
      <c r="A1647">
        <v>50859.317900000002</v>
      </c>
      <c r="B1647">
        <v>1966.2080000000001</v>
      </c>
      <c r="C1647">
        <v>9</v>
      </c>
      <c r="D1647" t="s">
        <v>586</v>
      </c>
      <c r="E1647" t="s">
        <v>236</v>
      </c>
      <c r="F1647">
        <v>1969</v>
      </c>
      <c r="G1647" s="1" t="s">
        <v>271</v>
      </c>
      <c r="H1647" s="1" t="s">
        <v>501</v>
      </c>
      <c r="I1647">
        <v>0.1444</v>
      </c>
      <c r="J1647">
        <v>50859.427499999998</v>
      </c>
      <c r="K1647">
        <v>4.2399999999999998E-3</v>
      </c>
      <c r="L1647">
        <v>1.453E-2</v>
      </c>
      <c r="M1647">
        <v>0.37580000000000002</v>
      </c>
      <c r="N1647">
        <v>7.1999999999999998E-3</v>
      </c>
      <c r="O1647">
        <v>1.464E-2</v>
      </c>
      <c r="P1647" s="3">
        <f t="shared" si="100"/>
        <v>1966.2080446422974</v>
      </c>
      <c r="Q1647" s="3">
        <f t="shared" si="101"/>
        <v>4.2370984549506829E-3</v>
      </c>
      <c r="R1647" s="3">
        <f t="shared" si="102"/>
        <v>1.453E-2</v>
      </c>
      <c r="S1647">
        <f t="shared" si="103"/>
        <v>40</v>
      </c>
      <c r="T1647">
        <f>INDEX([1]IDEN_level_ids!$B:$B,MATCH(G1647,[1]IDEN_level_ids!$A:$A,0),1)</f>
        <v>1158</v>
      </c>
      <c r="U1647">
        <f>INDEX([1]IDEN_level_ids!$B:$B,MATCH(H1647,[1]IDEN_level_ids!$A:$A,0),1)</f>
        <v>969</v>
      </c>
    </row>
    <row r="1648" spans="1:21" hidden="1" x14ac:dyDescent="0.25">
      <c r="A1648">
        <v>50851.714399999997</v>
      </c>
      <c r="B1648">
        <v>1966.502</v>
      </c>
      <c r="C1648">
        <v>9</v>
      </c>
      <c r="D1648" t="s">
        <v>586</v>
      </c>
      <c r="F1648">
        <v>1969</v>
      </c>
      <c r="G1648" s="1" t="s">
        <v>197</v>
      </c>
      <c r="H1648" s="1" t="s">
        <v>526</v>
      </c>
      <c r="I1648">
        <v>0</v>
      </c>
      <c r="J1648">
        <v>50851.646999999997</v>
      </c>
      <c r="K1648">
        <v>-2.6099999999999999E-3</v>
      </c>
      <c r="L1648">
        <v>9.4699999999999993E-3</v>
      </c>
      <c r="M1648">
        <v>0.245</v>
      </c>
      <c r="N1648">
        <v>1.55E-2</v>
      </c>
      <c r="O1648">
        <v>9.6200000000000001E-3</v>
      </c>
      <c r="P1648" s="3">
        <f t="shared" si="100"/>
        <v>1966.5020379332582</v>
      </c>
      <c r="Q1648" s="3">
        <f t="shared" si="101"/>
        <v>-2.6064492533350858E-3</v>
      </c>
      <c r="R1648" s="3">
        <f t="shared" si="102"/>
        <v>9.4699999999999993E-3</v>
      </c>
      <c r="S1648">
        <f t="shared" si="103"/>
        <v>40</v>
      </c>
      <c r="T1648">
        <f>INDEX([1]IDEN_level_ids!$B:$B,MATCH(G1648,[1]IDEN_level_ids!$A:$A,0),1)</f>
        <v>1182</v>
      </c>
      <c r="U1648">
        <f>INDEX([1]IDEN_level_ids!$B:$B,MATCH(H1648,[1]IDEN_level_ids!$A:$A,0),1)</f>
        <v>989</v>
      </c>
    </row>
    <row r="1649" spans="1:21" hidden="1" x14ac:dyDescent="0.25">
      <c r="A1649">
        <v>50846.334900000002</v>
      </c>
      <c r="B1649">
        <v>1966.7101</v>
      </c>
      <c r="C1649">
        <v>9</v>
      </c>
      <c r="D1649" t="s">
        <v>586</v>
      </c>
      <c r="F1649">
        <v>1969</v>
      </c>
      <c r="G1649" s="1" t="s">
        <v>187</v>
      </c>
      <c r="H1649" s="1" t="s">
        <v>562</v>
      </c>
      <c r="I1649">
        <v>0</v>
      </c>
      <c r="J1649">
        <v>50846.411999999997</v>
      </c>
      <c r="K1649">
        <v>2.98E-3</v>
      </c>
      <c r="L1649">
        <v>9.4800000000000006E-3</v>
      </c>
      <c r="M1649">
        <v>0.245</v>
      </c>
      <c r="N1649">
        <v>1.47E-2</v>
      </c>
      <c r="O1649">
        <v>9.6200000000000001E-3</v>
      </c>
      <c r="P1649" s="3">
        <f t="shared" si="100"/>
        <v>1966.7100922155157</v>
      </c>
      <c r="Q1649" s="3">
        <f t="shared" si="101"/>
        <v>2.9821838381849375E-3</v>
      </c>
      <c r="R1649" s="3">
        <f t="shared" si="102"/>
        <v>9.4800000000000006E-3</v>
      </c>
      <c r="S1649">
        <f t="shared" si="103"/>
        <v>40</v>
      </c>
      <c r="T1649">
        <f>INDEX([1]IDEN_level_ids!$B:$B,MATCH(G1649,[1]IDEN_level_ids!$A:$A,0),1)</f>
        <v>1204</v>
      </c>
      <c r="U1649">
        <f>INDEX([1]IDEN_level_ids!$B:$B,MATCH(H1649,[1]IDEN_level_ids!$A:$A,0),1)</f>
        <v>999</v>
      </c>
    </row>
    <row r="1650" spans="1:21" hidden="1" x14ac:dyDescent="0.25">
      <c r="A1650">
        <v>50832.818299999999</v>
      </c>
      <c r="B1650">
        <v>1967.2329999999999</v>
      </c>
      <c r="C1650">
        <v>9</v>
      </c>
      <c r="D1650" t="s">
        <v>586</v>
      </c>
      <c r="F1650">
        <v>1969</v>
      </c>
      <c r="G1650" s="1" t="s">
        <v>207</v>
      </c>
      <c r="H1650" s="1" t="s">
        <v>542</v>
      </c>
      <c r="I1650">
        <v>0</v>
      </c>
      <c r="J1650">
        <v>50832.870600000002</v>
      </c>
      <c r="K1650">
        <v>2.0200000000000001E-3</v>
      </c>
      <c r="L1650">
        <v>9.4800000000000006E-3</v>
      </c>
      <c r="M1650">
        <v>0.245</v>
      </c>
      <c r="N1650">
        <v>3.1099999999999999E-2</v>
      </c>
      <c r="O1650">
        <v>9.7900000000000001E-3</v>
      </c>
      <c r="P1650" s="3">
        <f t="shared" si="100"/>
        <v>1967.2330463723276</v>
      </c>
      <c r="Q1650" s="3">
        <f t="shared" si="101"/>
        <v>2.0240109818132623E-3</v>
      </c>
      <c r="R1650" s="3">
        <f t="shared" si="102"/>
        <v>9.4800000000000006E-3</v>
      </c>
      <c r="S1650">
        <f t="shared" si="103"/>
        <v>40</v>
      </c>
      <c r="T1650">
        <f>INDEX([1]IDEN_level_ids!$B:$B,MATCH(G1650,[1]IDEN_level_ids!$A:$A,0),1)</f>
        <v>1177</v>
      </c>
      <c r="U1650">
        <f>INDEX([1]IDEN_level_ids!$B:$B,MATCH(H1650,[1]IDEN_level_ids!$A:$A,0),1)</f>
        <v>981</v>
      </c>
    </row>
    <row r="1651" spans="1:21" hidden="1" x14ac:dyDescent="0.25">
      <c r="A1651">
        <v>50829.202100000002</v>
      </c>
      <c r="B1651">
        <v>1967.373</v>
      </c>
      <c r="C1651">
        <v>9</v>
      </c>
      <c r="D1651" t="s">
        <v>586</v>
      </c>
      <c r="F1651">
        <v>1969</v>
      </c>
      <c r="G1651" s="1" t="s">
        <v>100</v>
      </c>
      <c r="H1651" s="1" t="s">
        <v>471</v>
      </c>
      <c r="I1651">
        <v>0</v>
      </c>
      <c r="J1651">
        <v>50829.393600000003</v>
      </c>
      <c r="K1651">
        <v>7.4099999999999999E-3</v>
      </c>
      <c r="L1651">
        <v>9.4800000000000006E-3</v>
      </c>
      <c r="M1651">
        <v>0.245</v>
      </c>
      <c r="N1651">
        <v>2.4899999999999999E-2</v>
      </c>
      <c r="O1651">
        <v>9.7199999999999995E-3</v>
      </c>
      <c r="P1651" s="3">
        <f t="shared" si="100"/>
        <v>1967.3730034806113</v>
      </c>
      <c r="Q1651" s="3">
        <f t="shared" si="101"/>
        <v>7.4120878389294376E-3</v>
      </c>
      <c r="R1651" s="3">
        <f t="shared" si="102"/>
        <v>9.4800000000000006E-3</v>
      </c>
      <c r="S1651">
        <f t="shared" si="103"/>
        <v>40</v>
      </c>
      <c r="T1651">
        <f>INDEX([1]IDEN_level_ids!$B:$B,MATCH(G1651,[1]IDEN_level_ids!$A:$A,0),1)</f>
        <v>1146</v>
      </c>
      <c r="U1651">
        <f>INDEX([1]IDEN_level_ids!$B:$B,MATCH(H1651,[1]IDEN_level_ids!$A:$A,0),1)</f>
        <v>955</v>
      </c>
    </row>
    <row r="1652" spans="1:21" hidden="1" x14ac:dyDescent="0.25">
      <c r="A1652">
        <v>50823.129500000003</v>
      </c>
      <c r="B1652">
        <v>1967.6080999999999</v>
      </c>
      <c r="C1652">
        <v>9</v>
      </c>
      <c r="D1652" t="s">
        <v>586</v>
      </c>
      <c r="F1652">
        <v>1969</v>
      </c>
      <c r="G1652" s="1" t="s">
        <v>71</v>
      </c>
      <c r="H1652" s="1" t="s">
        <v>542</v>
      </c>
      <c r="I1652">
        <v>0</v>
      </c>
      <c r="J1652">
        <v>50823.201699999998</v>
      </c>
      <c r="K1652">
        <v>2.8E-3</v>
      </c>
      <c r="L1652">
        <v>9.4800000000000006E-3</v>
      </c>
      <c r="M1652">
        <v>0.245</v>
      </c>
      <c r="N1652">
        <v>3.1E-2</v>
      </c>
      <c r="O1652">
        <v>9.7900000000000001E-3</v>
      </c>
      <c r="P1652" s="3">
        <f t="shared" si="100"/>
        <v>1967.6080749809</v>
      </c>
      <c r="Q1652" s="3">
        <f t="shared" si="101"/>
        <v>2.795205698475911E-3</v>
      </c>
      <c r="R1652" s="3">
        <f t="shared" si="102"/>
        <v>9.4800000000000006E-3</v>
      </c>
      <c r="S1652">
        <f t="shared" si="103"/>
        <v>40</v>
      </c>
      <c r="T1652">
        <f>INDEX([1]IDEN_level_ids!$B:$B,MATCH(G1652,[1]IDEN_level_ids!$A:$A,0),1)</f>
        <v>1179</v>
      </c>
      <c r="U1652">
        <f>INDEX([1]IDEN_level_ids!$B:$B,MATCH(H1652,[1]IDEN_level_ids!$A:$A,0),1)</f>
        <v>981</v>
      </c>
    </row>
    <row r="1653" spans="1:21" hidden="1" x14ac:dyDescent="0.25">
      <c r="A1653">
        <v>50807.150999999998</v>
      </c>
      <c r="B1653">
        <v>1968.2268999999999</v>
      </c>
      <c r="C1653">
        <v>9</v>
      </c>
      <c r="D1653" t="s">
        <v>586</v>
      </c>
      <c r="F1653">
        <v>1969</v>
      </c>
      <c r="G1653" s="1" t="s">
        <v>53</v>
      </c>
      <c r="H1653" s="1" t="s">
        <v>582</v>
      </c>
      <c r="I1653">
        <v>-0.1898</v>
      </c>
      <c r="J1653">
        <v>50807.183799999999</v>
      </c>
      <c r="K1653">
        <v>1.2700000000000001E-3</v>
      </c>
      <c r="L1653">
        <v>9.4900000000000002E-3</v>
      </c>
      <c r="M1653">
        <v>0.245</v>
      </c>
      <c r="N1653">
        <v>1.7100000000000001E-2</v>
      </c>
      <c r="O1653">
        <v>9.6600000000000002E-3</v>
      </c>
      <c r="P1653" s="3">
        <f t="shared" si="100"/>
        <v>1968.2268742051685</v>
      </c>
      <c r="Q1653" s="3">
        <f t="shared" si="101"/>
        <v>1.2706439649718959E-3</v>
      </c>
      <c r="R1653" s="3">
        <f t="shared" si="102"/>
        <v>9.4900000000000002E-3</v>
      </c>
      <c r="S1653">
        <f t="shared" si="103"/>
        <v>40</v>
      </c>
      <c r="T1653">
        <f>INDEX([1]IDEN_level_ids!$B:$B,MATCH(G1653,[1]IDEN_level_ids!$A:$A,0),1)</f>
        <v>1231</v>
      </c>
      <c r="U1653">
        <f>INDEX([1]IDEN_level_ids!$B:$B,MATCH(H1653,[1]IDEN_level_ids!$A:$A,0),1)</f>
        <v>1042</v>
      </c>
    </row>
    <row r="1654" spans="1:21" hidden="1" x14ac:dyDescent="0.25">
      <c r="A1654">
        <v>50799.325700000001</v>
      </c>
      <c r="B1654">
        <v>1968.5300999999999</v>
      </c>
      <c r="C1654">
        <v>9</v>
      </c>
      <c r="D1654" t="s">
        <v>586</v>
      </c>
      <c r="F1654">
        <v>1969</v>
      </c>
      <c r="G1654" s="1" t="s">
        <v>245</v>
      </c>
      <c r="H1654" s="1" t="s">
        <v>556</v>
      </c>
      <c r="I1654">
        <v>0</v>
      </c>
      <c r="J1654">
        <v>50799.378400000001</v>
      </c>
      <c r="K1654">
        <v>2.0400000000000001E-3</v>
      </c>
      <c r="L1654">
        <v>9.4900000000000002E-3</v>
      </c>
      <c r="M1654">
        <v>0.245</v>
      </c>
      <c r="N1654">
        <v>2.47E-2</v>
      </c>
      <c r="O1654">
        <v>9.7300000000000008E-3</v>
      </c>
      <c r="P1654" s="3">
        <f t="shared" si="100"/>
        <v>1968.5300665319658</v>
      </c>
      <c r="Q1654" s="3">
        <f t="shared" si="101"/>
        <v>2.0421811796040856E-3</v>
      </c>
      <c r="R1654" s="3">
        <f t="shared" si="102"/>
        <v>9.4900000000000002E-3</v>
      </c>
      <c r="S1654">
        <f t="shared" si="103"/>
        <v>40</v>
      </c>
      <c r="T1654">
        <f>INDEX([1]IDEN_level_ids!$B:$B,MATCH(G1654,[1]IDEN_level_ids!$A:$A,0),1)</f>
        <v>1169</v>
      </c>
      <c r="U1654">
        <f>INDEX([1]IDEN_level_ids!$B:$B,MATCH(H1654,[1]IDEN_level_ids!$A:$A,0),1)</f>
        <v>973</v>
      </c>
    </row>
    <row r="1655" spans="1:21" hidden="1" x14ac:dyDescent="0.25">
      <c r="A1655">
        <v>50770.438900000001</v>
      </c>
      <c r="B1655">
        <v>1969.6501000000001</v>
      </c>
      <c r="C1655">
        <v>9</v>
      </c>
      <c r="D1655" t="s">
        <v>586</v>
      </c>
      <c r="F1655">
        <v>1969</v>
      </c>
      <c r="G1655" s="1" t="s">
        <v>16</v>
      </c>
      <c r="H1655" s="1" t="s">
        <v>522</v>
      </c>
      <c r="I1655">
        <v>0</v>
      </c>
      <c r="J1655">
        <v>50770.484900000003</v>
      </c>
      <c r="K1655">
        <v>1.7799999999999999E-3</v>
      </c>
      <c r="L1655">
        <v>9.4999999999999998E-3</v>
      </c>
      <c r="M1655">
        <v>0.245</v>
      </c>
      <c r="N1655">
        <v>3.3399999999999999E-2</v>
      </c>
      <c r="O1655">
        <v>9.8300000000000002E-3</v>
      </c>
      <c r="P1655" s="3">
        <f t="shared" si="100"/>
        <v>1969.6500988885482</v>
      </c>
      <c r="Q1655" s="3">
        <f t="shared" si="101"/>
        <v>1.7845782786025666E-3</v>
      </c>
      <c r="R1655" s="3">
        <f t="shared" si="102"/>
        <v>9.4999999999999998E-3</v>
      </c>
      <c r="S1655">
        <f t="shared" si="103"/>
        <v>40</v>
      </c>
      <c r="T1655">
        <f>INDEX([1]IDEN_level_ids!$B:$B,MATCH(G1655,[1]IDEN_level_ids!$A:$A,0),1)</f>
        <v>1223</v>
      </c>
      <c r="U1655">
        <f>INDEX([1]IDEN_level_ids!$B:$B,MATCH(H1655,[1]IDEN_level_ids!$A:$A,0),1)</f>
        <v>1029</v>
      </c>
    </row>
    <row r="1656" spans="1:21" hidden="1" x14ac:dyDescent="0.25">
      <c r="A1656">
        <v>50766.806799999998</v>
      </c>
      <c r="B1656">
        <v>1969.7909999999999</v>
      </c>
      <c r="C1656">
        <v>9</v>
      </c>
      <c r="D1656" t="s">
        <v>586</v>
      </c>
      <c r="F1656">
        <v>1969</v>
      </c>
      <c r="G1656" s="1" t="s">
        <v>69</v>
      </c>
      <c r="H1656" s="1" t="s">
        <v>576</v>
      </c>
      <c r="I1656">
        <v>0.1002</v>
      </c>
      <c r="J1656">
        <v>50766.757799999999</v>
      </c>
      <c r="K1656">
        <v>-1.9E-3</v>
      </c>
      <c r="L1656">
        <v>9.5099999999999994E-3</v>
      </c>
      <c r="M1656">
        <v>0.245</v>
      </c>
      <c r="N1656">
        <v>1.17E-2</v>
      </c>
      <c r="O1656">
        <v>9.6200000000000001E-3</v>
      </c>
      <c r="P1656" s="3">
        <f t="shared" si="100"/>
        <v>1969.7910170706266</v>
      </c>
      <c r="Q1656" s="3">
        <f t="shared" si="101"/>
        <v>-1.9012393941011396E-3</v>
      </c>
      <c r="R1656" s="3">
        <f t="shared" si="102"/>
        <v>9.5099999999999994E-3</v>
      </c>
      <c r="S1656">
        <f t="shared" si="103"/>
        <v>40</v>
      </c>
      <c r="T1656">
        <f>INDEX([1]IDEN_level_ids!$B:$B,MATCH(G1656,[1]IDEN_level_ids!$A:$A,0),1)</f>
        <v>1218</v>
      </c>
      <c r="U1656">
        <f>INDEX([1]IDEN_level_ids!$B:$B,MATCH(H1656,[1]IDEN_level_ids!$A:$A,0),1)</f>
        <v>1024</v>
      </c>
    </row>
    <row r="1657" spans="1:21" hidden="1" x14ac:dyDescent="0.25">
      <c r="A1657">
        <v>50759.078099999999</v>
      </c>
      <c r="B1657">
        <v>1970.0908999999999</v>
      </c>
      <c r="C1657">
        <v>9</v>
      </c>
      <c r="D1657" t="s">
        <v>586</v>
      </c>
      <c r="F1657">
        <v>1969</v>
      </c>
      <c r="G1657" s="1" t="s">
        <v>273</v>
      </c>
      <c r="H1657" s="1" t="s">
        <v>357</v>
      </c>
      <c r="I1657">
        <v>0</v>
      </c>
      <c r="J1657">
        <v>50758.978600000002</v>
      </c>
      <c r="K1657">
        <v>-3.8600000000000001E-3</v>
      </c>
      <c r="L1657">
        <v>9.5099999999999994E-3</v>
      </c>
      <c r="M1657">
        <v>0.245</v>
      </c>
      <c r="N1657">
        <v>9.0399999999999994E-2</v>
      </c>
      <c r="O1657">
        <v>1.0449999999999999E-2</v>
      </c>
      <c r="P1657" s="3">
        <f t="shared" si="100"/>
        <v>1970.0909422151228</v>
      </c>
      <c r="Q1657" s="3">
        <f t="shared" si="101"/>
        <v>-3.8618595990556059E-3</v>
      </c>
      <c r="R1657" s="3">
        <f t="shared" si="102"/>
        <v>9.5099999999999994E-3</v>
      </c>
      <c r="S1657">
        <f t="shared" si="103"/>
        <v>40</v>
      </c>
      <c r="T1657">
        <f>INDEX([1]IDEN_level_ids!$B:$B,MATCH(G1657,[1]IDEN_level_ids!$A:$A,0),1)</f>
        <v>1105</v>
      </c>
      <c r="U1657">
        <f>INDEX([1]IDEN_level_ids!$B:$B,MATCH(H1657,[1]IDEN_level_ids!$A:$A,0),1)</f>
        <v>916</v>
      </c>
    </row>
    <row r="1658" spans="1:21" hidden="1" x14ac:dyDescent="0.25">
      <c r="A1658">
        <v>50746.663399999998</v>
      </c>
      <c r="B1658">
        <v>1970.5728999999999</v>
      </c>
      <c r="C1658">
        <v>9</v>
      </c>
      <c r="D1658" t="s">
        <v>586</v>
      </c>
      <c r="F1658">
        <v>1969</v>
      </c>
      <c r="G1658" s="1" t="s">
        <v>27</v>
      </c>
      <c r="H1658" s="1" t="s">
        <v>448</v>
      </c>
      <c r="I1658">
        <v>0.2167</v>
      </c>
      <c r="J1658">
        <v>50746.6155</v>
      </c>
      <c r="K1658">
        <v>-1.8600000000000001E-3</v>
      </c>
      <c r="L1658">
        <v>9.5099999999999994E-3</v>
      </c>
      <c r="M1658">
        <v>0.245</v>
      </c>
      <c r="N1658">
        <v>1.4E-2</v>
      </c>
      <c r="O1658">
        <v>9.6500000000000006E-3</v>
      </c>
      <c r="P1658" s="3">
        <f t="shared" si="100"/>
        <v>1970.572906671141</v>
      </c>
      <c r="Q1658" s="3">
        <f t="shared" si="101"/>
        <v>-1.8600342366426048E-3</v>
      </c>
      <c r="R1658" s="3">
        <f t="shared" si="102"/>
        <v>9.5099999999999994E-3</v>
      </c>
      <c r="S1658">
        <f t="shared" si="103"/>
        <v>40</v>
      </c>
      <c r="T1658">
        <f>INDEX([1]IDEN_level_ids!$B:$B,MATCH(G1658,[1]IDEN_level_ids!$A:$A,0),1)</f>
        <v>1242</v>
      </c>
      <c r="U1658">
        <f>INDEX([1]IDEN_level_ids!$B:$B,MATCH(H1658,[1]IDEN_level_ids!$A:$A,0),1)</f>
        <v>1067</v>
      </c>
    </row>
    <row r="1659" spans="1:21" hidden="1" x14ac:dyDescent="0.25">
      <c r="A1659">
        <v>50729.285199999998</v>
      </c>
      <c r="B1659">
        <v>1971.248</v>
      </c>
      <c r="C1659">
        <v>9</v>
      </c>
      <c r="D1659" t="s">
        <v>586</v>
      </c>
      <c r="F1659">
        <v>1969</v>
      </c>
      <c r="G1659" s="1" t="s">
        <v>563</v>
      </c>
      <c r="H1659" s="1" t="s">
        <v>558</v>
      </c>
      <c r="I1659">
        <v>0</v>
      </c>
      <c r="J1659">
        <v>50729.289400000001</v>
      </c>
      <c r="K1659">
        <v>1.7000000000000001E-4</v>
      </c>
      <c r="L1659">
        <v>9.5200000000000007E-3</v>
      </c>
      <c r="M1659">
        <v>0.245</v>
      </c>
      <c r="N1659">
        <v>0.26019999999999999</v>
      </c>
      <c r="O1659">
        <v>1.2869999999999999E-2</v>
      </c>
      <c r="P1659" s="3">
        <f t="shared" si="100"/>
        <v>1971.2479607341284</v>
      </c>
      <c r="Q1659" s="3">
        <f t="shared" si="101"/>
        <v>1.6320436452588183E-4</v>
      </c>
      <c r="R1659" s="3">
        <f t="shared" si="102"/>
        <v>9.5200000000000007E-3</v>
      </c>
      <c r="S1659">
        <f t="shared" si="103"/>
        <v>40</v>
      </c>
      <c r="T1659">
        <f>INDEX([1]IDEN_level_ids!$B:$B,MATCH(G1659,[1]IDEN_level_ids!$A:$A,0),1)</f>
        <v>1032</v>
      </c>
      <c r="U1659">
        <f>INDEX([1]IDEN_level_ids!$B:$B,MATCH(H1659,[1]IDEN_level_ids!$A:$A,0),1)</f>
        <v>683</v>
      </c>
    </row>
    <row r="1660" spans="1:21" hidden="1" x14ac:dyDescent="0.25">
      <c r="A1660">
        <v>50728.281799999997</v>
      </c>
      <c r="B1660">
        <v>1971.287</v>
      </c>
      <c r="C1660">
        <v>9</v>
      </c>
      <c r="D1660" t="s">
        <v>586</v>
      </c>
      <c r="F1660">
        <v>1969</v>
      </c>
      <c r="G1660" s="1" t="s">
        <v>73</v>
      </c>
      <c r="H1660" s="1" t="s">
        <v>538</v>
      </c>
      <c r="I1660">
        <v>0</v>
      </c>
      <c r="J1660">
        <v>50728.310400000002</v>
      </c>
      <c r="K1660">
        <v>1.1100000000000001E-3</v>
      </c>
      <c r="L1660">
        <v>9.5200000000000007E-3</v>
      </c>
      <c r="M1660">
        <v>0.245</v>
      </c>
      <c r="N1660">
        <v>1.37E-2</v>
      </c>
      <c r="O1660">
        <v>9.6500000000000006E-3</v>
      </c>
      <c r="P1660" s="3">
        <f t="shared" si="100"/>
        <v>1971.2869518084092</v>
      </c>
      <c r="Q1660" s="3">
        <f t="shared" si="101"/>
        <v>1.1113874359125475E-3</v>
      </c>
      <c r="R1660" s="3">
        <f t="shared" si="102"/>
        <v>9.5200000000000007E-3</v>
      </c>
      <c r="S1660">
        <f t="shared" si="103"/>
        <v>40</v>
      </c>
      <c r="T1660">
        <f>INDEX([1]IDEN_level_ids!$B:$B,MATCH(G1660,[1]IDEN_level_ids!$A:$A,0),1)</f>
        <v>1173</v>
      </c>
      <c r="U1660">
        <f>INDEX([1]IDEN_level_ids!$B:$B,MATCH(H1660,[1]IDEN_level_ids!$A:$A,0),1)</f>
        <v>978</v>
      </c>
    </row>
    <row r="1661" spans="1:21" hidden="1" x14ac:dyDescent="0.25">
      <c r="A1661">
        <v>50719.301099999997</v>
      </c>
      <c r="B1661">
        <v>1971.636</v>
      </c>
      <c r="C1661">
        <v>9</v>
      </c>
      <c r="D1661" t="s">
        <v>586</v>
      </c>
      <c r="F1661">
        <v>1969</v>
      </c>
      <c r="G1661" s="1" t="s">
        <v>118</v>
      </c>
      <c r="H1661" s="1" t="s">
        <v>591</v>
      </c>
      <c r="I1661">
        <v>0</v>
      </c>
      <c r="J1661">
        <v>50719.314700000003</v>
      </c>
      <c r="K1661">
        <v>5.2999999999999998E-4</v>
      </c>
      <c r="L1661">
        <v>9.5200000000000007E-3</v>
      </c>
      <c r="M1661">
        <v>0.245</v>
      </c>
      <c r="N1661">
        <v>2.1399999999999999E-2</v>
      </c>
      <c r="O1661">
        <v>9.7300000000000008E-3</v>
      </c>
      <c r="P1661" s="3">
        <f t="shared" si="100"/>
        <v>1971.6360011120107</v>
      </c>
      <c r="Q1661" s="3">
        <f t="shared" si="101"/>
        <v>5.2867925728605769E-4</v>
      </c>
      <c r="R1661" s="3">
        <f t="shared" si="102"/>
        <v>9.5200000000000007E-3</v>
      </c>
      <c r="S1661">
        <f t="shared" si="103"/>
        <v>40</v>
      </c>
      <c r="T1661">
        <f>INDEX([1]IDEN_level_ids!$B:$B,MATCH(G1661,[1]IDEN_level_ids!$A:$A,0),1)</f>
        <v>1237</v>
      </c>
      <c r="U1661">
        <f>INDEX([1]IDEN_level_ids!$B:$B,MATCH(H1661,[1]IDEN_level_ids!$A:$A,0),1)</f>
        <v>1053</v>
      </c>
    </row>
    <row r="1662" spans="1:21" hidden="1" x14ac:dyDescent="0.25">
      <c r="A1662">
        <v>50716.8842</v>
      </c>
      <c r="B1662">
        <v>1971.73</v>
      </c>
      <c r="C1662">
        <v>9</v>
      </c>
      <c r="D1662" t="s">
        <v>586</v>
      </c>
      <c r="F1662">
        <v>1969</v>
      </c>
      <c r="G1662" s="1" t="s">
        <v>53</v>
      </c>
      <c r="H1662" s="1" t="s">
        <v>445</v>
      </c>
      <c r="I1662">
        <v>0</v>
      </c>
      <c r="J1662">
        <v>50716.940399999999</v>
      </c>
      <c r="K1662">
        <v>2.1800000000000001E-3</v>
      </c>
      <c r="L1662">
        <v>9.5200000000000007E-3</v>
      </c>
      <c r="M1662">
        <v>0.245</v>
      </c>
      <c r="N1662">
        <v>1.32E-2</v>
      </c>
      <c r="O1662">
        <v>9.6500000000000006E-3</v>
      </c>
      <c r="P1662" s="3">
        <f t="shared" si="100"/>
        <v>1971.7299589157333</v>
      </c>
      <c r="Q1662" s="3">
        <f t="shared" si="101"/>
        <v>2.1848956741905567E-3</v>
      </c>
      <c r="R1662" s="3">
        <f t="shared" si="102"/>
        <v>9.5200000000000007E-3</v>
      </c>
      <c r="S1662">
        <f t="shared" si="103"/>
        <v>40</v>
      </c>
      <c r="T1662">
        <f>INDEX([1]IDEN_level_ids!$B:$B,MATCH(G1662,[1]IDEN_level_ids!$A:$A,0),1)</f>
        <v>1231</v>
      </c>
      <c r="U1662">
        <f>INDEX([1]IDEN_level_ids!$B:$B,MATCH(H1662,[1]IDEN_level_ids!$A:$A,0),1)</f>
        <v>1041</v>
      </c>
    </row>
    <row r="1663" spans="1:21" hidden="1" x14ac:dyDescent="0.25">
      <c r="A1663">
        <v>50712.177900000002</v>
      </c>
      <c r="B1663">
        <v>1971.9129</v>
      </c>
      <c r="C1663">
        <v>9</v>
      </c>
      <c r="D1663" t="s">
        <v>586</v>
      </c>
      <c r="F1663">
        <v>1969</v>
      </c>
      <c r="G1663" s="1" t="s">
        <v>252</v>
      </c>
      <c r="H1663" s="1" t="s">
        <v>531</v>
      </c>
      <c r="I1663">
        <v>0</v>
      </c>
      <c r="J1663">
        <v>50712.271800000002</v>
      </c>
      <c r="K1663">
        <v>3.65E-3</v>
      </c>
      <c r="L1663">
        <v>9.5300000000000003E-3</v>
      </c>
      <c r="M1663">
        <v>0.245</v>
      </c>
      <c r="N1663">
        <v>0.13059999999999999</v>
      </c>
      <c r="O1663">
        <v>1.0959999999999999E-2</v>
      </c>
      <c r="P1663" s="3">
        <f t="shared" si="100"/>
        <v>1971.9129436166454</v>
      </c>
      <c r="Q1663" s="3">
        <f t="shared" si="101"/>
        <v>3.6512390163352393E-3</v>
      </c>
      <c r="R1663" s="3">
        <f t="shared" si="102"/>
        <v>9.5300000000000003E-3</v>
      </c>
      <c r="S1663">
        <f t="shared" si="103"/>
        <v>40</v>
      </c>
      <c r="T1663">
        <f>INDEX([1]IDEN_level_ids!$B:$B,MATCH(G1663,[1]IDEN_level_ids!$A:$A,0),1)</f>
        <v>1188</v>
      </c>
      <c r="U1663">
        <f>INDEX([1]IDEN_level_ids!$B:$B,MATCH(H1663,[1]IDEN_level_ids!$A:$A,0),1)</f>
        <v>990</v>
      </c>
    </row>
    <row r="1664" spans="1:21" hidden="1" x14ac:dyDescent="0.25">
      <c r="A1664">
        <v>50704.796900000001</v>
      </c>
      <c r="B1664">
        <v>1972.2</v>
      </c>
      <c r="C1664">
        <v>9</v>
      </c>
      <c r="D1664" t="s">
        <v>586</v>
      </c>
      <c r="F1664">
        <v>1969</v>
      </c>
      <c r="G1664" s="1" t="s">
        <v>72</v>
      </c>
      <c r="H1664" s="1" t="s">
        <v>541</v>
      </c>
      <c r="I1664">
        <v>0</v>
      </c>
      <c r="J1664">
        <v>50704.785400000001</v>
      </c>
      <c r="K1664">
        <v>-4.4000000000000002E-4</v>
      </c>
      <c r="L1664">
        <v>9.5300000000000003E-3</v>
      </c>
      <c r="M1664">
        <v>0.245</v>
      </c>
      <c r="N1664">
        <v>1.2699999999999999E-2</v>
      </c>
      <c r="O1664">
        <v>9.6500000000000006E-3</v>
      </c>
      <c r="P1664" s="3">
        <f t="shared" si="100"/>
        <v>1972.199991200438</v>
      </c>
      <c r="Q1664" s="3">
        <f t="shared" si="101"/>
        <v>-4.4730097397405189E-4</v>
      </c>
      <c r="R1664" s="3">
        <f t="shared" si="102"/>
        <v>9.5300000000000003E-3</v>
      </c>
      <c r="S1664">
        <f t="shared" si="103"/>
        <v>40</v>
      </c>
      <c r="T1664">
        <f>INDEX([1]IDEN_level_ids!$B:$B,MATCH(G1664,[1]IDEN_level_ids!$A:$A,0),1)</f>
        <v>1225</v>
      </c>
      <c r="U1664">
        <f>INDEX([1]IDEN_level_ids!$B:$B,MATCH(H1664,[1]IDEN_level_ids!$A:$A,0),1)</f>
        <v>1028</v>
      </c>
    </row>
    <row r="1665" spans="1:21" hidden="1" x14ac:dyDescent="0.25">
      <c r="A1665">
        <v>50694.079299999998</v>
      </c>
      <c r="B1665">
        <v>1972.6169</v>
      </c>
      <c r="C1665">
        <v>9</v>
      </c>
      <c r="D1665" t="s">
        <v>586</v>
      </c>
      <c r="F1665">
        <v>1969</v>
      </c>
      <c r="G1665" s="1" t="s">
        <v>20</v>
      </c>
      <c r="H1665" s="1" t="s">
        <v>469</v>
      </c>
      <c r="I1665">
        <v>0.26919999999999999</v>
      </c>
      <c r="J1665">
        <v>50694.1204</v>
      </c>
      <c r="K1665">
        <v>1.6000000000000001E-3</v>
      </c>
      <c r="L1665">
        <v>9.5300000000000003E-3</v>
      </c>
      <c r="M1665">
        <v>0.245</v>
      </c>
      <c r="N1665">
        <v>1.6199999999999999E-2</v>
      </c>
      <c r="O1665">
        <v>9.6900000000000007E-3</v>
      </c>
      <c r="P1665" s="3">
        <f t="shared" si="100"/>
        <v>1972.6169481886616</v>
      </c>
      <c r="Q1665" s="3">
        <f t="shared" si="101"/>
        <v>1.5992891469522874E-3</v>
      </c>
      <c r="R1665" s="3">
        <f t="shared" si="102"/>
        <v>9.5300000000000003E-3</v>
      </c>
      <c r="S1665">
        <f t="shared" si="103"/>
        <v>40</v>
      </c>
      <c r="T1665">
        <f>INDEX([1]IDEN_level_ids!$B:$B,MATCH(G1665,[1]IDEN_level_ids!$A:$A,0),1)</f>
        <v>1235</v>
      </c>
      <c r="U1665">
        <f>INDEX([1]IDEN_level_ids!$B:$B,MATCH(H1665,[1]IDEN_level_ids!$A:$A,0),1)</f>
        <v>1048</v>
      </c>
    </row>
    <row r="1666" spans="1:21" hidden="1" x14ac:dyDescent="0.25">
      <c r="A1666">
        <v>50687.910300000003</v>
      </c>
      <c r="B1666">
        <v>1972.857</v>
      </c>
      <c r="C1666">
        <v>9</v>
      </c>
      <c r="D1666" t="s">
        <v>586</v>
      </c>
      <c r="F1666">
        <v>1969</v>
      </c>
      <c r="G1666" s="1" t="s">
        <v>243</v>
      </c>
      <c r="H1666" s="1" t="s">
        <v>565</v>
      </c>
      <c r="I1666">
        <v>0.12280000000000001</v>
      </c>
      <c r="J1666">
        <v>50687.937700000002</v>
      </c>
      <c r="K1666">
        <v>1.07E-3</v>
      </c>
      <c r="L1666">
        <v>9.5399999999999999E-3</v>
      </c>
      <c r="M1666">
        <v>0.245</v>
      </c>
      <c r="N1666">
        <v>1.11E-2</v>
      </c>
      <c r="O1666">
        <v>9.6399999999999993E-3</v>
      </c>
      <c r="P1666" s="3">
        <f t="shared" ref="P1666:P1729" si="104">100000000/$A1666</f>
        <v>1972.8570266192251</v>
      </c>
      <c r="Q1666" s="3">
        <f t="shared" ref="Q1666:Q1729" si="105">100000000/($A1666)-100000000/$J1666</f>
        <v>1.0664525916581624E-3</v>
      </c>
      <c r="R1666" s="3">
        <f t="shared" si="102"/>
        <v>9.5399999999999999E-3</v>
      </c>
      <c r="S1666">
        <f t="shared" si="103"/>
        <v>40</v>
      </c>
      <c r="T1666">
        <f>INDEX([1]IDEN_level_ids!$B:$B,MATCH(G1666,[1]IDEN_level_ids!$A:$A,0),1)</f>
        <v>1205</v>
      </c>
      <c r="U1666">
        <f>INDEX([1]IDEN_level_ids!$B:$B,MATCH(H1666,[1]IDEN_level_ids!$A:$A,0),1)</f>
        <v>1004</v>
      </c>
    </row>
    <row r="1667" spans="1:21" hidden="1" x14ac:dyDescent="0.25">
      <c r="A1667">
        <v>50674.810400000002</v>
      </c>
      <c r="B1667">
        <v>1973.367</v>
      </c>
      <c r="C1667">
        <v>9</v>
      </c>
      <c r="D1667" t="s">
        <v>586</v>
      </c>
      <c r="F1667">
        <v>1969</v>
      </c>
      <c r="G1667" s="1" t="s">
        <v>141</v>
      </c>
      <c r="H1667" s="1" t="s">
        <v>508</v>
      </c>
      <c r="I1667">
        <v>0</v>
      </c>
      <c r="J1667">
        <v>50674.898699999998</v>
      </c>
      <c r="K1667">
        <v>3.4399999999999999E-3</v>
      </c>
      <c r="L1667">
        <v>9.5399999999999999E-3</v>
      </c>
      <c r="M1667">
        <v>0.245</v>
      </c>
      <c r="N1667">
        <v>1.2200000000000001E-2</v>
      </c>
      <c r="O1667">
        <v>9.6600000000000002E-3</v>
      </c>
      <c r="P1667" s="3">
        <f t="shared" si="104"/>
        <v>1973.367028128042</v>
      </c>
      <c r="Q1667" s="3">
        <f t="shared" si="105"/>
        <v>3.4385526769256103E-3</v>
      </c>
      <c r="R1667" s="3">
        <f t="shared" ref="R1667:R1730" si="106">$L1667</f>
        <v>9.5399999999999999E-3</v>
      </c>
      <c r="S1667">
        <f t="shared" si="103"/>
        <v>40</v>
      </c>
      <c r="T1667">
        <f>INDEX([1]IDEN_level_ids!$B:$B,MATCH(G1667,[1]IDEN_level_ids!$A:$A,0),1)</f>
        <v>1155</v>
      </c>
      <c r="U1667">
        <f>INDEX([1]IDEN_level_ids!$B:$B,MATCH(H1667,[1]IDEN_level_ids!$A:$A,0),1)</f>
        <v>961</v>
      </c>
    </row>
    <row r="1668" spans="1:21" hidden="1" x14ac:dyDescent="0.25">
      <c r="A1668">
        <v>50669.086199999998</v>
      </c>
      <c r="B1668">
        <v>1973.59</v>
      </c>
      <c r="C1668">
        <v>9</v>
      </c>
      <c r="D1668" t="s">
        <v>586</v>
      </c>
      <c r="F1668">
        <v>1969</v>
      </c>
      <c r="G1668" s="1" t="s">
        <v>49</v>
      </c>
      <c r="H1668" s="1" t="s">
        <v>544</v>
      </c>
      <c r="I1668">
        <v>0</v>
      </c>
      <c r="J1668">
        <v>50669.144500000002</v>
      </c>
      <c r="K1668">
        <v>2.2699999999999999E-3</v>
      </c>
      <c r="L1668">
        <v>9.5399999999999999E-3</v>
      </c>
      <c r="M1668">
        <v>0.245</v>
      </c>
      <c r="N1668">
        <v>1.2699999999999999E-2</v>
      </c>
      <c r="O1668">
        <v>9.6600000000000002E-3</v>
      </c>
      <c r="P1668" s="3">
        <f t="shared" si="104"/>
        <v>1973.589963815057</v>
      </c>
      <c r="Q1668" s="3">
        <f t="shared" si="105"/>
        <v>2.2708158196564909E-3</v>
      </c>
      <c r="R1668" s="3">
        <f t="shared" si="106"/>
        <v>9.5399999999999999E-3</v>
      </c>
      <c r="S1668">
        <f t="shared" ref="S1668:S1731" si="107">IF(D1668=D1667,S1667,S1667+1)</f>
        <v>40</v>
      </c>
      <c r="T1668">
        <f>INDEX([1]IDEN_level_ids!$B:$B,MATCH(G1668,[1]IDEN_level_ids!$A:$A,0),1)</f>
        <v>1214</v>
      </c>
      <c r="U1668">
        <f>INDEX([1]IDEN_level_ids!$B:$B,MATCH(H1668,[1]IDEN_level_ids!$A:$A,0),1)</f>
        <v>1011</v>
      </c>
    </row>
    <row r="1669" spans="1:21" hidden="1" x14ac:dyDescent="0.25">
      <c r="A1669">
        <v>50617.9954</v>
      </c>
      <c r="B1669">
        <v>1975.5820000000001</v>
      </c>
      <c r="C1669">
        <v>9</v>
      </c>
      <c r="D1669" t="s">
        <v>592</v>
      </c>
      <c r="F1669">
        <v>1969</v>
      </c>
      <c r="G1669" s="1" t="s">
        <v>51</v>
      </c>
      <c r="H1669" s="1" t="s">
        <v>544</v>
      </c>
      <c r="I1669">
        <v>0</v>
      </c>
      <c r="J1669">
        <v>50617.988299999997</v>
      </c>
      <c r="K1669">
        <v>-2.7999999999999998E-4</v>
      </c>
      <c r="L1669">
        <v>9.5600000000000008E-3</v>
      </c>
      <c r="M1669">
        <v>0.245</v>
      </c>
      <c r="N1669">
        <v>1.3100000000000001E-2</v>
      </c>
      <c r="O1669">
        <v>9.6900000000000007E-3</v>
      </c>
      <c r="P1669" s="3">
        <f t="shared" si="104"/>
        <v>1975.5819883772008</v>
      </c>
      <c r="Q1669" s="3">
        <f t="shared" si="105"/>
        <v>-2.771076565295516E-4</v>
      </c>
      <c r="R1669" s="3">
        <f t="shared" si="106"/>
        <v>9.5600000000000008E-3</v>
      </c>
      <c r="S1669">
        <f t="shared" si="107"/>
        <v>41</v>
      </c>
      <c r="T1669">
        <f>INDEX([1]IDEN_level_ids!$B:$B,MATCH(G1669,[1]IDEN_level_ids!$A:$A,0),1)</f>
        <v>1213</v>
      </c>
      <c r="U1669">
        <f>INDEX([1]IDEN_level_ids!$B:$B,MATCH(H1669,[1]IDEN_level_ids!$A:$A,0),1)</f>
        <v>1011</v>
      </c>
    </row>
    <row r="1670" spans="1:21" hidden="1" x14ac:dyDescent="0.25">
      <c r="A1670">
        <v>50612.873</v>
      </c>
      <c r="B1670">
        <v>1975.7819</v>
      </c>
      <c r="C1670">
        <v>9</v>
      </c>
      <c r="D1670" t="s">
        <v>592</v>
      </c>
      <c r="F1670">
        <v>1969</v>
      </c>
      <c r="G1670" s="1" t="s">
        <v>527</v>
      </c>
      <c r="H1670" s="1" t="s">
        <v>93</v>
      </c>
      <c r="I1670">
        <v>0</v>
      </c>
      <c r="J1670">
        <v>50612.820200000002</v>
      </c>
      <c r="K1670">
        <v>-2.0600000000000002E-3</v>
      </c>
      <c r="L1670">
        <v>9.5600000000000008E-3</v>
      </c>
      <c r="M1670">
        <v>0.245</v>
      </c>
      <c r="N1670">
        <v>0.19139999999999999</v>
      </c>
      <c r="O1670">
        <v>1.183E-2</v>
      </c>
      <c r="P1670" s="3">
        <f t="shared" si="104"/>
        <v>1975.7819319997898</v>
      </c>
      <c r="Q1670" s="3">
        <f t="shared" si="105"/>
        <v>-2.0611632703548821E-3</v>
      </c>
      <c r="R1670" s="3">
        <f t="shared" si="106"/>
        <v>9.5600000000000008E-3</v>
      </c>
      <c r="S1670">
        <f t="shared" si="107"/>
        <v>41</v>
      </c>
      <c r="T1670">
        <f>INDEX([1]IDEN_level_ids!$B:$B,MATCH(G1670,[1]IDEN_level_ids!$A:$A,0),1)</f>
        <v>980</v>
      </c>
      <c r="U1670">
        <f>INDEX([1]IDEN_level_ids!$B:$B,MATCH(H1670,[1]IDEN_level_ids!$A:$A,0),1)</f>
        <v>554</v>
      </c>
    </row>
    <row r="1671" spans="1:21" hidden="1" x14ac:dyDescent="0.25">
      <c r="A1671">
        <v>50545.205499999996</v>
      </c>
      <c r="B1671">
        <v>1978.4269999999999</v>
      </c>
      <c r="C1671">
        <v>9</v>
      </c>
      <c r="D1671" t="s">
        <v>592</v>
      </c>
      <c r="F1671">
        <v>1969</v>
      </c>
      <c r="G1671" s="1" t="s">
        <v>53</v>
      </c>
      <c r="H1671" s="1" t="s">
        <v>468</v>
      </c>
      <c r="I1671">
        <v>0.122</v>
      </c>
      <c r="J1671">
        <v>50545.169399999999</v>
      </c>
      <c r="K1671">
        <v>-1.41E-3</v>
      </c>
      <c r="L1671">
        <v>9.5899999999999996E-3</v>
      </c>
      <c r="M1671">
        <v>0.245</v>
      </c>
      <c r="N1671">
        <v>1.3100000000000001E-2</v>
      </c>
      <c r="O1671">
        <v>9.7199999999999995E-3</v>
      </c>
      <c r="P1671" s="3">
        <f t="shared" si="104"/>
        <v>1978.4270142100818</v>
      </c>
      <c r="Q1671" s="3">
        <f t="shared" si="105"/>
        <v>-1.4130176248272619E-3</v>
      </c>
      <c r="R1671" s="3">
        <f t="shared" si="106"/>
        <v>9.5899999999999996E-3</v>
      </c>
      <c r="S1671">
        <f t="shared" si="107"/>
        <v>41</v>
      </c>
      <c r="T1671">
        <f>INDEX([1]IDEN_level_ids!$B:$B,MATCH(G1671,[1]IDEN_level_ids!$A:$A,0),1)</f>
        <v>1231</v>
      </c>
      <c r="U1671">
        <f>INDEX([1]IDEN_level_ids!$B:$B,MATCH(H1671,[1]IDEN_level_ids!$A:$A,0),1)</f>
        <v>1044</v>
      </c>
    </row>
    <row r="1672" spans="1:21" hidden="1" x14ac:dyDescent="0.25">
      <c r="A1672">
        <v>50512.907599999999</v>
      </c>
      <c r="B1672">
        <v>1979.692</v>
      </c>
      <c r="C1672">
        <v>9</v>
      </c>
      <c r="D1672" t="s">
        <v>592</v>
      </c>
      <c r="F1672">
        <v>1969</v>
      </c>
      <c r="G1672" s="1" t="s">
        <v>20</v>
      </c>
      <c r="H1672" s="1" t="s">
        <v>516</v>
      </c>
      <c r="I1672">
        <v>0.26919999999999999</v>
      </c>
      <c r="J1672">
        <v>50512.877200000003</v>
      </c>
      <c r="K1672">
        <v>-1.1900000000000001E-3</v>
      </c>
      <c r="L1672">
        <v>9.5999999999999992E-3</v>
      </c>
      <c r="M1672">
        <v>0.245</v>
      </c>
      <c r="N1672">
        <v>1.8700000000000001E-2</v>
      </c>
      <c r="O1672">
        <v>9.7800000000000005E-3</v>
      </c>
      <c r="P1672" s="3">
        <f t="shared" si="104"/>
        <v>1979.6920183624513</v>
      </c>
      <c r="Q1672" s="3">
        <f t="shared" si="105"/>
        <v>-1.1914315850845014E-3</v>
      </c>
      <c r="R1672" s="3">
        <f t="shared" si="106"/>
        <v>9.5999999999999992E-3</v>
      </c>
      <c r="S1672">
        <f t="shared" si="107"/>
        <v>41</v>
      </c>
      <c r="T1672">
        <f>INDEX([1]IDEN_level_ids!$B:$B,MATCH(G1672,[1]IDEN_level_ids!$A:$A,0),1)</f>
        <v>1235</v>
      </c>
      <c r="U1672">
        <f>INDEX([1]IDEN_level_ids!$B:$B,MATCH(H1672,[1]IDEN_level_ids!$A:$A,0),1)</f>
        <v>1050</v>
      </c>
    </row>
    <row r="1673" spans="1:21" hidden="1" x14ac:dyDescent="0.25">
      <c r="A1673">
        <v>50511.558499999999</v>
      </c>
      <c r="B1673">
        <v>1979.7448999999999</v>
      </c>
      <c r="C1673">
        <v>9</v>
      </c>
      <c r="D1673" t="s">
        <v>592</v>
      </c>
      <c r="E1673" t="s">
        <v>66</v>
      </c>
      <c r="F1673">
        <v>1969</v>
      </c>
      <c r="G1673" s="1" t="s">
        <v>585</v>
      </c>
      <c r="H1673" s="1" t="s">
        <v>519</v>
      </c>
      <c r="I1673">
        <v>0</v>
      </c>
      <c r="J1673">
        <v>50511.587500000001</v>
      </c>
      <c r="K1673">
        <v>1.14E-3</v>
      </c>
      <c r="L1673">
        <v>2.5159999999999998E-2</v>
      </c>
      <c r="M1673">
        <v>0.64200000000000002</v>
      </c>
      <c r="N1673">
        <v>1.1900000000000001E-2</v>
      </c>
      <c r="O1673">
        <v>2.547E-2</v>
      </c>
      <c r="P1673" s="3">
        <f t="shared" si="104"/>
        <v>1979.744893438598</v>
      </c>
      <c r="Q1673" s="3">
        <f t="shared" si="105"/>
        <v>1.1366224021003291E-3</v>
      </c>
      <c r="R1673" s="3">
        <f t="shared" si="106"/>
        <v>2.5159999999999998E-2</v>
      </c>
      <c r="S1673">
        <f t="shared" si="107"/>
        <v>41</v>
      </c>
      <c r="T1673">
        <f>INDEX([1]IDEN_level_ids!$B:$B,MATCH(G1673,[1]IDEN_level_ids!$A:$A,0),1)</f>
        <v>1019</v>
      </c>
      <c r="U1673">
        <f>INDEX([1]IDEN_level_ids!$B:$B,MATCH(H1673,[1]IDEN_level_ids!$A:$A,0),1)</f>
        <v>660</v>
      </c>
    </row>
    <row r="1674" spans="1:21" hidden="1" x14ac:dyDescent="0.25">
      <c r="A1674">
        <v>50500.1803</v>
      </c>
      <c r="B1674">
        <v>1980.1909000000001</v>
      </c>
      <c r="C1674">
        <v>9</v>
      </c>
      <c r="D1674" t="s">
        <v>592</v>
      </c>
      <c r="E1674" t="s">
        <v>45</v>
      </c>
      <c r="F1674">
        <v>1969</v>
      </c>
      <c r="G1674" s="1" t="s">
        <v>504</v>
      </c>
      <c r="H1674" s="1" t="s">
        <v>412</v>
      </c>
      <c r="I1674">
        <v>-0.6966</v>
      </c>
      <c r="J1674">
        <v>50499.882599999997</v>
      </c>
      <c r="K1674">
        <v>-1.167E-2</v>
      </c>
      <c r="L1674">
        <v>1.89E-2</v>
      </c>
      <c r="M1674">
        <v>0.48199999999999998</v>
      </c>
      <c r="N1674">
        <v>3.2800000000000003E-2</v>
      </c>
      <c r="O1674">
        <v>1.9539999999999998E-2</v>
      </c>
      <c r="P1674" s="3">
        <f t="shared" si="104"/>
        <v>1980.1909499321134</v>
      </c>
      <c r="Q1674" s="3">
        <f t="shared" si="105"/>
        <v>-1.1673350816863604E-2</v>
      </c>
      <c r="R1674" s="3">
        <f t="shared" si="106"/>
        <v>1.89E-2</v>
      </c>
      <c r="S1674">
        <f t="shared" si="107"/>
        <v>41</v>
      </c>
      <c r="T1674">
        <f>INDEX([1]IDEN_level_ids!$B:$B,MATCH(G1674,[1]IDEN_level_ids!$A:$A,0),1)</f>
        <v>1118</v>
      </c>
      <c r="U1674">
        <f>INDEX([1]IDEN_level_ids!$B:$B,MATCH(H1674,[1]IDEN_level_ids!$A:$A,0),1)</f>
        <v>923</v>
      </c>
    </row>
    <row r="1675" spans="1:21" hidden="1" x14ac:dyDescent="0.25">
      <c r="A1675">
        <v>50497.728999999999</v>
      </c>
      <c r="B1675">
        <v>1980.2871</v>
      </c>
      <c r="C1675">
        <v>9</v>
      </c>
      <c r="D1675" t="s">
        <v>592</v>
      </c>
      <c r="F1675">
        <v>1969</v>
      </c>
      <c r="G1675" s="1" t="s">
        <v>62</v>
      </c>
      <c r="H1675" s="1" t="s">
        <v>520</v>
      </c>
      <c r="I1675">
        <v>0.22689999999999999</v>
      </c>
      <c r="J1675">
        <v>50497.637499999997</v>
      </c>
      <c r="K1675">
        <v>-3.5899999999999999E-3</v>
      </c>
      <c r="L1675">
        <v>9.6100000000000005E-3</v>
      </c>
      <c r="M1675">
        <v>0.245</v>
      </c>
      <c r="N1675">
        <v>1.54E-2</v>
      </c>
      <c r="O1675">
        <v>9.7599999999999996E-3</v>
      </c>
      <c r="P1675" s="3">
        <f t="shared" si="104"/>
        <v>1980.2870738998977</v>
      </c>
      <c r="Q1675" s="3">
        <f t="shared" si="105"/>
        <v>-3.588212760632814E-3</v>
      </c>
      <c r="R1675" s="3">
        <f t="shared" si="106"/>
        <v>9.6100000000000005E-3</v>
      </c>
      <c r="S1675">
        <f t="shared" si="107"/>
        <v>41</v>
      </c>
      <c r="T1675">
        <f>INDEX([1]IDEN_level_ids!$B:$B,MATCH(G1675,[1]IDEN_level_ids!$A:$A,0),1)</f>
        <v>1203</v>
      </c>
      <c r="U1675">
        <f>INDEX([1]IDEN_level_ids!$B:$B,MATCH(H1675,[1]IDEN_level_ids!$A:$A,0),1)</f>
        <v>1002</v>
      </c>
    </row>
    <row r="1676" spans="1:21" hidden="1" x14ac:dyDescent="0.25">
      <c r="A1676">
        <v>50482.948400000001</v>
      </c>
      <c r="B1676">
        <v>1980.8669</v>
      </c>
      <c r="C1676">
        <v>9</v>
      </c>
      <c r="D1676" t="s">
        <v>592</v>
      </c>
      <c r="F1676">
        <v>1969</v>
      </c>
      <c r="G1676" s="1" t="s">
        <v>108</v>
      </c>
      <c r="H1676" s="1" t="s">
        <v>486</v>
      </c>
      <c r="I1676">
        <v>0.38450000000000001</v>
      </c>
      <c r="J1676">
        <v>50482.951099999998</v>
      </c>
      <c r="K1676">
        <v>1E-4</v>
      </c>
      <c r="L1676">
        <v>9.6100000000000005E-3</v>
      </c>
      <c r="M1676">
        <v>0.245</v>
      </c>
      <c r="N1676">
        <v>1.7999999999999999E-2</v>
      </c>
      <c r="O1676">
        <v>9.7900000000000001E-3</v>
      </c>
      <c r="P1676" s="3">
        <f t="shared" si="104"/>
        <v>1980.8668702876316</v>
      </c>
      <c r="Q1676" s="3">
        <f t="shared" si="105"/>
        <v>1.0594350032988586E-4</v>
      </c>
      <c r="R1676" s="3">
        <f t="shared" si="106"/>
        <v>9.6100000000000005E-3</v>
      </c>
      <c r="S1676">
        <f t="shared" si="107"/>
        <v>41</v>
      </c>
      <c r="T1676">
        <f>INDEX([1]IDEN_level_ids!$B:$B,MATCH(G1676,[1]IDEN_level_ids!$A:$A,0),1)</f>
        <v>1149</v>
      </c>
      <c r="U1676">
        <f>INDEX([1]IDEN_level_ids!$B:$B,MATCH(H1676,[1]IDEN_level_ids!$A:$A,0),1)</f>
        <v>958</v>
      </c>
    </row>
    <row r="1677" spans="1:21" hidden="1" x14ac:dyDescent="0.25">
      <c r="A1677">
        <v>50480.828099999999</v>
      </c>
      <c r="B1677">
        <v>1980.9501</v>
      </c>
      <c r="C1677">
        <v>9</v>
      </c>
      <c r="D1677" t="s">
        <v>592</v>
      </c>
      <c r="F1677">
        <v>1969</v>
      </c>
      <c r="G1677" s="1" t="s">
        <v>56</v>
      </c>
      <c r="H1677" s="1" t="s">
        <v>467</v>
      </c>
      <c r="I1677">
        <v>0</v>
      </c>
      <c r="J1677">
        <v>50480.858</v>
      </c>
      <c r="K1677">
        <v>1.1800000000000001E-3</v>
      </c>
      <c r="L1677">
        <v>9.6100000000000005E-3</v>
      </c>
      <c r="M1677">
        <v>0.245</v>
      </c>
      <c r="N1677">
        <v>1.04E-2</v>
      </c>
      <c r="O1677">
        <v>9.7099999999999999E-3</v>
      </c>
      <c r="P1677" s="3">
        <f t="shared" si="104"/>
        <v>1980.9500708250071</v>
      </c>
      <c r="Q1677" s="3">
        <f t="shared" si="105"/>
        <v>1.1733240969533654E-3</v>
      </c>
      <c r="R1677" s="3">
        <f t="shared" si="106"/>
        <v>9.6100000000000005E-3</v>
      </c>
      <c r="S1677">
        <f t="shared" si="107"/>
        <v>41</v>
      </c>
      <c r="T1677">
        <f>INDEX([1]IDEN_level_ids!$B:$B,MATCH(G1677,[1]IDEN_level_ids!$A:$A,0),1)</f>
        <v>1221</v>
      </c>
      <c r="U1677">
        <f>INDEX([1]IDEN_level_ids!$B:$B,MATCH(H1677,[1]IDEN_level_ids!$A:$A,0),1)</f>
        <v>1025</v>
      </c>
    </row>
    <row r="1678" spans="1:21" hidden="1" x14ac:dyDescent="0.25">
      <c r="A1678">
        <v>50475.989300000001</v>
      </c>
      <c r="B1678">
        <v>1981.14</v>
      </c>
      <c r="C1678">
        <v>9</v>
      </c>
      <c r="D1678" t="s">
        <v>592</v>
      </c>
      <c r="F1678">
        <v>1969</v>
      </c>
      <c r="G1678" s="1" t="s">
        <v>239</v>
      </c>
      <c r="H1678" s="1" t="s">
        <v>590</v>
      </c>
      <c r="I1678">
        <v>0</v>
      </c>
      <c r="J1678">
        <v>50476.053899999999</v>
      </c>
      <c r="K1678">
        <v>2.5400000000000002E-3</v>
      </c>
      <c r="L1678">
        <v>9.6200000000000001E-3</v>
      </c>
      <c r="M1678">
        <v>0.245</v>
      </c>
      <c r="N1678">
        <v>2.2599999999999999E-2</v>
      </c>
      <c r="O1678">
        <v>9.8399999999999998E-3</v>
      </c>
      <c r="P1678" s="3">
        <f t="shared" si="104"/>
        <v>1981.1399714358843</v>
      </c>
      <c r="Q1678" s="3">
        <f t="shared" si="105"/>
        <v>2.5354922238420841E-3</v>
      </c>
      <c r="R1678" s="3">
        <f t="shared" si="106"/>
        <v>9.6200000000000001E-3</v>
      </c>
      <c r="S1678">
        <f t="shared" si="107"/>
        <v>41</v>
      </c>
      <c r="T1678">
        <f>INDEX([1]IDEN_level_ids!$B:$B,MATCH(G1678,[1]IDEN_level_ids!$A:$A,0),1)</f>
        <v>1167</v>
      </c>
      <c r="U1678">
        <f>INDEX([1]IDEN_level_ids!$B:$B,MATCH(H1678,[1]IDEN_level_ids!$A:$A,0),1)</f>
        <v>974</v>
      </c>
    </row>
    <row r="1679" spans="1:21" hidden="1" x14ac:dyDescent="0.25">
      <c r="A1679">
        <v>50464.781799999997</v>
      </c>
      <c r="B1679">
        <v>1981.58</v>
      </c>
      <c r="C1679">
        <v>9</v>
      </c>
      <c r="D1679" t="s">
        <v>592</v>
      </c>
      <c r="F1679">
        <v>1969</v>
      </c>
      <c r="G1679" s="1" t="s">
        <v>24</v>
      </c>
      <c r="H1679" s="1" t="s">
        <v>451</v>
      </c>
      <c r="I1679">
        <v>0.28199999999999997</v>
      </c>
      <c r="J1679">
        <v>50464.734799999998</v>
      </c>
      <c r="K1679">
        <v>-1.8500000000000001E-3</v>
      </c>
      <c r="L1679">
        <v>9.6200000000000001E-3</v>
      </c>
      <c r="M1679">
        <v>0.245</v>
      </c>
      <c r="N1679">
        <v>2.2599999999999999E-2</v>
      </c>
      <c r="O1679">
        <v>9.8399999999999998E-3</v>
      </c>
      <c r="P1679" s="3">
        <f t="shared" si="104"/>
        <v>1981.5799540423259</v>
      </c>
      <c r="Q1679" s="3">
        <f t="shared" si="105"/>
        <v>-1.84553150256761E-3</v>
      </c>
      <c r="R1679" s="3">
        <f t="shared" si="106"/>
        <v>9.6200000000000001E-3</v>
      </c>
      <c r="S1679">
        <f t="shared" si="107"/>
        <v>41</v>
      </c>
      <c r="T1679">
        <f>INDEX([1]IDEN_level_ids!$B:$B,MATCH(G1679,[1]IDEN_level_ids!$A:$A,0),1)</f>
        <v>1241</v>
      </c>
      <c r="U1679">
        <f>INDEX([1]IDEN_level_ids!$B:$B,MATCH(H1679,[1]IDEN_level_ids!$A:$A,0),1)</f>
        <v>1066</v>
      </c>
    </row>
    <row r="1680" spans="1:21" hidden="1" x14ac:dyDescent="0.25">
      <c r="A1680">
        <v>50443.194300000003</v>
      </c>
      <c r="B1680">
        <v>1982.4280000000001</v>
      </c>
      <c r="C1680">
        <v>9</v>
      </c>
      <c r="D1680" t="s">
        <v>592</v>
      </c>
      <c r="F1680">
        <v>1969</v>
      </c>
      <c r="G1680" s="1" t="s">
        <v>40</v>
      </c>
      <c r="H1680" s="1" t="s">
        <v>580</v>
      </c>
      <c r="I1680">
        <v>0.15179999999999999</v>
      </c>
      <c r="J1680">
        <v>50443.306199999999</v>
      </c>
      <c r="K1680">
        <v>4.4000000000000003E-3</v>
      </c>
      <c r="L1680">
        <v>9.6299999999999997E-3</v>
      </c>
      <c r="M1680">
        <v>0.245</v>
      </c>
      <c r="N1680">
        <v>9.1000000000000004E-3</v>
      </c>
      <c r="O1680">
        <v>9.7199999999999995E-3</v>
      </c>
      <c r="P1680" s="3">
        <f t="shared" si="104"/>
        <v>1982.4279843435686</v>
      </c>
      <c r="Q1680" s="3">
        <f t="shared" si="105"/>
        <v>4.3976834222121397E-3</v>
      </c>
      <c r="R1680" s="3">
        <f t="shared" si="106"/>
        <v>9.6299999999999997E-3</v>
      </c>
      <c r="S1680">
        <f t="shared" si="107"/>
        <v>41</v>
      </c>
      <c r="T1680">
        <f>INDEX([1]IDEN_level_ids!$B:$B,MATCH(G1680,[1]IDEN_level_ids!$A:$A,0),1)</f>
        <v>1199</v>
      </c>
      <c r="U1680">
        <f>INDEX([1]IDEN_level_ids!$B:$B,MATCH(H1680,[1]IDEN_level_ids!$A:$A,0),1)</f>
        <v>1001</v>
      </c>
    </row>
    <row r="1681" spans="1:21" hidden="1" x14ac:dyDescent="0.25">
      <c r="A1681">
        <v>50441.567600000002</v>
      </c>
      <c r="B1681">
        <v>1982.4919</v>
      </c>
      <c r="C1681">
        <v>9</v>
      </c>
      <c r="D1681" t="s">
        <v>592</v>
      </c>
      <c r="F1681">
        <v>1969</v>
      </c>
      <c r="G1681" s="1" t="s">
        <v>55</v>
      </c>
      <c r="H1681" s="1" t="s">
        <v>516</v>
      </c>
      <c r="I1681">
        <v>0.26919999999999999</v>
      </c>
      <c r="J1681">
        <v>50441.535600000003</v>
      </c>
      <c r="K1681">
        <v>-1.2600000000000001E-3</v>
      </c>
      <c r="L1681">
        <v>9.6299999999999997E-3</v>
      </c>
      <c r="M1681">
        <v>0.245</v>
      </c>
      <c r="N1681">
        <v>1.5599999999999999E-2</v>
      </c>
      <c r="O1681">
        <v>9.7800000000000005E-3</v>
      </c>
      <c r="P1681" s="3">
        <f t="shared" si="104"/>
        <v>1982.4919160521886</v>
      </c>
      <c r="Q1681" s="3">
        <f t="shared" si="105"/>
        <v>-1.2576885410453542E-3</v>
      </c>
      <c r="R1681" s="3">
        <f t="shared" si="106"/>
        <v>9.6299999999999997E-3</v>
      </c>
      <c r="S1681">
        <f t="shared" si="107"/>
        <v>41</v>
      </c>
      <c r="T1681">
        <f>INDEX([1]IDEN_level_ids!$B:$B,MATCH(G1681,[1]IDEN_level_ids!$A:$A,0),1)</f>
        <v>1233</v>
      </c>
      <c r="U1681">
        <f>INDEX([1]IDEN_level_ids!$B:$B,MATCH(H1681,[1]IDEN_level_ids!$A:$A,0),1)</f>
        <v>1050</v>
      </c>
    </row>
    <row r="1682" spans="1:21" hidden="1" x14ac:dyDescent="0.25">
      <c r="A1682">
        <v>50434.1109</v>
      </c>
      <c r="B1682">
        <v>1982.7850000000001</v>
      </c>
      <c r="C1682">
        <v>9</v>
      </c>
      <c r="D1682" t="s">
        <v>592</v>
      </c>
      <c r="F1682">
        <v>1969</v>
      </c>
      <c r="G1682" s="1" t="s">
        <v>84</v>
      </c>
      <c r="H1682" s="1" t="s">
        <v>560</v>
      </c>
      <c r="I1682">
        <v>0</v>
      </c>
      <c r="J1682">
        <v>50434.105100000001</v>
      </c>
      <c r="K1682">
        <v>-2.3000000000000001E-4</v>
      </c>
      <c r="L1682">
        <v>9.6299999999999997E-3</v>
      </c>
      <c r="M1682">
        <v>0.245</v>
      </c>
      <c r="N1682">
        <v>3.7499999999999999E-2</v>
      </c>
      <c r="O1682">
        <v>1.001E-2</v>
      </c>
      <c r="P1682" s="3">
        <f t="shared" si="104"/>
        <v>1982.7850281385649</v>
      </c>
      <c r="Q1682" s="3">
        <f t="shared" si="105"/>
        <v>-2.2802334115112899E-4</v>
      </c>
      <c r="R1682" s="3">
        <f t="shared" si="106"/>
        <v>9.6299999999999997E-3</v>
      </c>
      <c r="S1682">
        <f t="shared" si="107"/>
        <v>41</v>
      </c>
      <c r="T1682">
        <f>INDEX([1]IDEN_level_ids!$B:$B,MATCH(G1682,[1]IDEN_level_ids!$A:$A,0),1)</f>
        <v>1191</v>
      </c>
      <c r="U1682">
        <f>INDEX([1]IDEN_level_ids!$B:$B,MATCH(H1682,[1]IDEN_level_ids!$A:$A,0),1)</f>
        <v>993</v>
      </c>
    </row>
    <row r="1683" spans="1:21" hidden="1" x14ac:dyDescent="0.25">
      <c r="A1683">
        <v>50429.125</v>
      </c>
      <c r="B1683">
        <v>1982.9811</v>
      </c>
      <c r="C1683">
        <v>9</v>
      </c>
      <c r="D1683" t="s">
        <v>592</v>
      </c>
      <c r="F1683">
        <v>1969</v>
      </c>
      <c r="G1683" s="1" t="s">
        <v>56</v>
      </c>
      <c r="H1683" s="1" t="s">
        <v>475</v>
      </c>
      <c r="I1683">
        <v>0.13919999999999999</v>
      </c>
      <c r="J1683">
        <v>50429.054799999998</v>
      </c>
      <c r="K1683">
        <v>-2.7599999999999999E-3</v>
      </c>
      <c r="L1683">
        <v>9.6299999999999997E-3</v>
      </c>
      <c r="M1683">
        <v>0.245</v>
      </c>
      <c r="N1683">
        <v>1.0500000000000001E-2</v>
      </c>
      <c r="O1683">
        <v>9.7400000000000004E-3</v>
      </c>
      <c r="P1683" s="3">
        <f t="shared" si="104"/>
        <v>1982.9810650095556</v>
      </c>
      <c r="Q1683" s="3">
        <f t="shared" si="105"/>
        <v>-2.7604180033904413E-3</v>
      </c>
      <c r="R1683" s="3">
        <f t="shared" si="106"/>
        <v>9.6299999999999997E-3</v>
      </c>
      <c r="S1683">
        <f t="shared" si="107"/>
        <v>41</v>
      </c>
      <c r="T1683">
        <f>INDEX([1]IDEN_level_ids!$B:$B,MATCH(G1683,[1]IDEN_level_ids!$A:$A,0),1)</f>
        <v>1221</v>
      </c>
      <c r="U1683">
        <f>INDEX([1]IDEN_level_ids!$B:$B,MATCH(H1683,[1]IDEN_level_ids!$A:$A,0),1)</f>
        <v>1030</v>
      </c>
    </row>
    <row r="1684" spans="1:21" hidden="1" x14ac:dyDescent="0.25">
      <c r="A1684">
        <v>50426.967199999999</v>
      </c>
      <c r="B1684">
        <v>1983.0659000000001</v>
      </c>
      <c r="C1684">
        <v>9</v>
      </c>
      <c r="D1684" t="s">
        <v>592</v>
      </c>
      <c r="F1684">
        <v>1969</v>
      </c>
      <c r="G1684" s="1" t="s">
        <v>68</v>
      </c>
      <c r="H1684" s="1" t="s">
        <v>582</v>
      </c>
      <c r="I1684">
        <v>-0.1898</v>
      </c>
      <c r="J1684">
        <v>50426.978499999997</v>
      </c>
      <c r="K1684">
        <v>4.4000000000000002E-4</v>
      </c>
      <c r="L1684">
        <v>9.6299999999999997E-3</v>
      </c>
      <c r="M1684">
        <v>0.245</v>
      </c>
      <c r="N1684">
        <v>1.5299999999999999E-2</v>
      </c>
      <c r="O1684">
        <v>9.7800000000000005E-3</v>
      </c>
      <c r="P1684" s="3">
        <f t="shared" si="104"/>
        <v>1983.0659179519328</v>
      </c>
      <c r="Q1684" s="3">
        <f t="shared" si="105"/>
        <v>4.4437809947339701E-4</v>
      </c>
      <c r="R1684" s="3">
        <f t="shared" si="106"/>
        <v>9.6299999999999997E-3</v>
      </c>
      <c r="S1684">
        <f t="shared" si="107"/>
        <v>41</v>
      </c>
      <c r="T1684">
        <f>INDEX([1]IDEN_level_ids!$B:$B,MATCH(G1684,[1]IDEN_level_ids!$A:$A,0),1)</f>
        <v>1229</v>
      </c>
      <c r="U1684">
        <f>INDEX([1]IDEN_level_ids!$B:$B,MATCH(H1684,[1]IDEN_level_ids!$A:$A,0),1)</f>
        <v>1042</v>
      </c>
    </row>
    <row r="1685" spans="1:21" hidden="1" x14ac:dyDescent="0.25">
      <c r="A1685">
        <v>50420.733699999997</v>
      </c>
      <c r="B1685">
        <v>1983.3110999999999</v>
      </c>
      <c r="C1685">
        <v>9</v>
      </c>
      <c r="D1685" t="s">
        <v>592</v>
      </c>
      <c r="F1685">
        <v>1969</v>
      </c>
      <c r="G1685" s="1" t="s">
        <v>41</v>
      </c>
      <c r="H1685" s="1" t="s">
        <v>410</v>
      </c>
      <c r="I1685">
        <v>7.6499999999999999E-2</v>
      </c>
      <c r="J1685">
        <v>50420.721400000002</v>
      </c>
      <c r="K1685">
        <v>-4.8000000000000001E-4</v>
      </c>
      <c r="L1685">
        <v>9.6399999999999993E-3</v>
      </c>
      <c r="M1685">
        <v>0.245</v>
      </c>
      <c r="N1685">
        <v>1.17E-2</v>
      </c>
      <c r="O1685">
        <v>9.75E-3</v>
      </c>
      <c r="P1685" s="3">
        <f t="shared" si="104"/>
        <v>1983.3110837893262</v>
      </c>
      <c r="Q1685" s="3">
        <f t="shared" si="105"/>
        <v>-4.8382342902186792E-4</v>
      </c>
      <c r="R1685" s="3">
        <f t="shared" si="106"/>
        <v>9.6399999999999993E-3</v>
      </c>
      <c r="S1685">
        <f t="shared" si="107"/>
        <v>41</v>
      </c>
      <c r="T1685">
        <f>INDEX([1]IDEN_level_ids!$B:$B,MATCH(G1685,[1]IDEN_level_ids!$A:$A,0),1)</f>
        <v>1238</v>
      </c>
      <c r="U1685">
        <f>INDEX([1]IDEN_level_ids!$B:$B,MATCH(H1685,[1]IDEN_level_ids!$A:$A,0),1)</f>
        <v>1056</v>
      </c>
    </row>
    <row r="1686" spans="1:21" hidden="1" x14ac:dyDescent="0.25">
      <c r="A1686">
        <v>50396.876900000003</v>
      </c>
      <c r="B1686">
        <v>1984.2499</v>
      </c>
      <c r="C1686">
        <v>9</v>
      </c>
      <c r="D1686" t="s">
        <v>592</v>
      </c>
      <c r="F1686">
        <v>1969</v>
      </c>
      <c r="G1686" s="1" t="s">
        <v>55</v>
      </c>
      <c r="H1686" s="1" t="s">
        <v>438</v>
      </c>
      <c r="I1686">
        <v>0</v>
      </c>
      <c r="J1686">
        <v>50396.922700000003</v>
      </c>
      <c r="K1686">
        <v>1.8E-3</v>
      </c>
      <c r="L1686">
        <v>9.6500000000000006E-3</v>
      </c>
      <c r="M1686">
        <v>0.245</v>
      </c>
      <c r="N1686">
        <v>1.04E-2</v>
      </c>
      <c r="O1686">
        <v>9.75E-3</v>
      </c>
      <c r="P1686" s="3">
        <f t="shared" si="104"/>
        <v>1984.2499406942416</v>
      </c>
      <c r="Q1686" s="3">
        <f t="shared" si="105"/>
        <v>1.8032578659585852E-3</v>
      </c>
      <c r="R1686" s="3">
        <f t="shared" si="106"/>
        <v>9.6500000000000006E-3</v>
      </c>
      <c r="S1686">
        <f t="shared" si="107"/>
        <v>41</v>
      </c>
      <c r="T1686">
        <f>INDEX([1]IDEN_level_ids!$B:$B,MATCH(G1686,[1]IDEN_level_ids!$A:$A,0),1)</f>
        <v>1233</v>
      </c>
      <c r="U1686">
        <f>INDEX([1]IDEN_level_ids!$B:$B,MATCH(H1686,[1]IDEN_level_ids!$A:$A,0),1)</f>
        <v>1051</v>
      </c>
    </row>
    <row r="1687" spans="1:21" hidden="1" x14ac:dyDescent="0.25">
      <c r="A1687">
        <v>50394.387300000002</v>
      </c>
      <c r="B1687">
        <v>1984.348</v>
      </c>
      <c r="C1687">
        <v>9</v>
      </c>
      <c r="D1687" t="s">
        <v>592</v>
      </c>
      <c r="E1687" t="s">
        <v>52</v>
      </c>
      <c r="F1687">
        <v>1969</v>
      </c>
      <c r="G1687" s="1" t="s">
        <v>172</v>
      </c>
      <c r="H1687" s="1" t="s">
        <v>447</v>
      </c>
      <c r="I1687">
        <v>0</v>
      </c>
      <c r="J1687">
        <v>50394.563000000002</v>
      </c>
      <c r="K1687">
        <v>6.9199999999999999E-3</v>
      </c>
      <c r="L1687">
        <v>1.0869999999999999E-2</v>
      </c>
      <c r="M1687">
        <v>0.27600000000000002</v>
      </c>
      <c r="N1687">
        <v>0.1628</v>
      </c>
      <c r="O1687">
        <v>1.298E-2</v>
      </c>
      <c r="P1687" s="3">
        <f t="shared" si="104"/>
        <v>1984.3479672586475</v>
      </c>
      <c r="Q1687" s="3">
        <f t="shared" si="105"/>
        <v>6.9184038336516096E-3</v>
      </c>
      <c r="R1687" s="3">
        <f t="shared" si="106"/>
        <v>1.0869999999999999E-2</v>
      </c>
      <c r="S1687">
        <f t="shared" si="107"/>
        <v>41</v>
      </c>
      <c r="T1687">
        <f>INDEX([1]IDEN_level_ids!$B:$B,MATCH(G1687,[1]IDEN_level_ids!$A:$A,0),1)</f>
        <v>1136</v>
      </c>
      <c r="U1687">
        <f>INDEX([1]IDEN_level_ids!$B:$B,MATCH(H1687,[1]IDEN_level_ids!$A:$A,0),1)</f>
        <v>937</v>
      </c>
    </row>
    <row r="1688" spans="1:21" hidden="1" x14ac:dyDescent="0.25">
      <c r="A1688">
        <v>50393.575400000002</v>
      </c>
      <c r="B1688">
        <v>1984.3798999999999</v>
      </c>
      <c r="C1688">
        <v>9</v>
      </c>
      <c r="D1688" t="s">
        <v>592</v>
      </c>
      <c r="F1688">
        <v>1969</v>
      </c>
      <c r="G1688" s="1" t="s">
        <v>269</v>
      </c>
      <c r="H1688" s="1" t="s">
        <v>485</v>
      </c>
      <c r="I1688">
        <v>0</v>
      </c>
      <c r="J1688">
        <v>50393.449800000002</v>
      </c>
      <c r="K1688">
        <v>-4.9399999999999999E-3</v>
      </c>
      <c r="L1688">
        <v>9.6500000000000006E-3</v>
      </c>
      <c r="M1688">
        <v>0.245</v>
      </c>
      <c r="N1688">
        <v>2.6599999999999999E-2</v>
      </c>
      <c r="O1688">
        <v>9.9100000000000004E-3</v>
      </c>
      <c r="P1688" s="3">
        <f t="shared" si="104"/>
        <v>1984.3799374473438</v>
      </c>
      <c r="Q1688" s="3">
        <f t="shared" si="105"/>
        <v>-4.9458435794349498E-3</v>
      </c>
      <c r="R1688" s="3">
        <f t="shared" si="106"/>
        <v>9.6500000000000006E-3</v>
      </c>
      <c r="S1688">
        <f t="shared" si="107"/>
        <v>41</v>
      </c>
      <c r="T1688">
        <f>INDEX([1]IDEN_level_ids!$B:$B,MATCH(G1688,[1]IDEN_level_ids!$A:$A,0),1)</f>
        <v>1137</v>
      </c>
      <c r="U1688">
        <f>INDEX([1]IDEN_level_ids!$B:$B,MATCH(H1688,[1]IDEN_level_ids!$A:$A,0),1)</f>
        <v>940</v>
      </c>
    </row>
    <row r="1689" spans="1:21" hidden="1" x14ac:dyDescent="0.25">
      <c r="A1689">
        <v>50385.499499999998</v>
      </c>
      <c r="B1689">
        <v>1984.6980000000001</v>
      </c>
      <c r="C1689">
        <v>9</v>
      </c>
      <c r="D1689" t="s">
        <v>592</v>
      </c>
      <c r="F1689">
        <v>1969</v>
      </c>
      <c r="G1689" s="1" t="s">
        <v>27</v>
      </c>
      <c r="H1689" s="1" t="s">
        <v>557</v>
      </c>
      <c r="I1689">
        <v>0</v>
      </c>
      <c r="J1689">
        <v>50385.547500000001</v>
      </c>
      <c r="K1689">
        <v>1.89E-3</v>
      </c>
      <c r="L1689">
        <v>9.6500000000000006E-3</v>
      </c>
      <c r="M1689">
        <v>0.245</v>
      </c>
      <c r="N1689">
        <v>1.4E-2</v>
      </c>
      <c r="O1689">
        <v>9.7900000000000001E-3</v>
      </c>
      <c r="P1689" s="3">
        <f t="shared" si="104"/>
        <v>1984.6979982802395</v>
      </c>
      <c r="Q1689" s="3">
        <f t="shared" si="105"/>
        <v>1.8907307483004843E-3</v>
      </c>
      <c r="R1689" s="3">
        <f t="shared" si="106"/>
        <v>9.6500000000000006E-3</v>
      </c>
      <c r="S1689">
        <f t="shared" si="107"/>
        <v>41</v>
      </c>
      <c r="T1689">
        <f>INDEX([1]IDEN_level_ids!$B:$B,MATCH(G1689,[1]IDEN_level_ids!$A:$A,0),1)</f>
        <v>1242</v>
      </c>
      <c r="U1689">
        <f>INDEX([1]IDEN_level_ids!$B:$B,MATCH(H1689,[1]IDEN_level_ids!$A:$A,0),1)</f>
        <v>1069</v>
      </c>
    </row>
    <row r="1690" spans="1:21" hidden="1" x14ac:dyDescent="0.25">
      <c r="A1690">
        <v>50381.131300000001</v>
      </c>
      <c r="B1690">
        <v>1984.8701000000001</v>
      </c>
      <c r="C1690">
        <v>9</v>
      </c>
      <c r="D1690" t="s">
        <v>592</v>
      </c>
      <c r="F1690">
        <v>1969</v>
      </c>
      <c r="G1690" s="1" t="s">
        <v>230</v>
      </c>
      <c r="H1690" s="1" t="s">
        <v>579</v>
      </c>
      <c r="I1690">
        <v>0</v>
      </c>
      <c r="J1690">
        <v>50381.167800000003</v>
      </c>
      <c r="K1690">
        <v>1.4400000000000001E-3</v>
      </c>
      <c r="L1690">
        <v>9.6500000000000006E-3</v>
      </c>
      <c r="M1690">
        <v>0.245</v>
      </c>
      <c r="N1690">
        <v>3.4700000000000002E-2</v>
      </c>
      <c r="O1690">
        <v>0.01</v>
      </c>
      <c r="P1690" s="3">
        <f t="shared" si="104"/>
        <v>1984.8700777388062</v>
      </c>
      <c r="Q1690" s="3">
        <f t="shared" si="105"/>
        <v>1.4379928256857966E-3</v>
      </c>
      <c r="R1690" s="3">
        <f t="shared" si="106"/>
        <v>9.6500000000000006E-3</v>
      </c>
      <c r="S1690">
        <f t="shared" si="107"/>
        <v>41</v>
      </c>
      <c r="T1690">
        <f>INDEX([1]IDEN_level_ids!$B:$B,MATCH(G1690,[1]IDEN_level_ids!$A:$A,0),1)</f>
        <v>1208</v>
      </c>
      <c r="U1690">
        <f>INDEX([1]IDEN_level_ids!$B:$B,MATCH(H1690,[1]IDEN_level_ids!$A:$A,0),1)</f>
        <v>1007</v>
      </c>
    </row>
    <row r="1691" spans="1:21" hidden="1" x14ac:dyDescent="0.25">
      <c r="A1691">
        <v>50377.247000000003</v>
      </c>
      <c r="B1691">
        <v>1985.0231000000001</v>
      </c>
      <c r="C1691">
        <v>9</v>
      </c>
      <c r="D1691" t="s">
        <v>592</v>
      </c>
      <c r="F1691">
        <v>1969</v>
      </c>
      <c r="G1691" s="1" t="s">
        <v>49</v>
      </c>
      <c r="H1691" s="1" t="s">
        <v>472</v>
      </c>
      <c r="I1691">
        <v>0</v>
      </c>
      <c r="J1691">
        <v>50377.352599999998</v>
      </c>
      <c r="K1691">
        <v>4.1599999999999996E-3</v>
      </c>
      <c r="L1691">
        <v>9.6500000000000006E-3</v>
      </c>
      <c r="M1691">
        <v>0.245</v>
      </c>
      <c r="N1691">
        <v>1.04E-2</v>
      </c>
      <c r="O1691">
        <v>9.75E-3</v>
      </c>
      <c r="P1691" s="3">
        <f t="shared" si="104"/>
        <v>1985.0231196635257</v>
      </c>
      <c r="Q1691" s="3">
        <f t="shared" si="105"/>
        <v>4.1609658030665742E-3</v>
      </c>
      <c r="R1691" s="3">
        <f t="shared" si="106"/>
        <v>9.6500000000000006E-3</v>
      </c>
      <c r="S1691">
        <f t="shared" si="107"/>
        <v>41</v>
      </c>
      <c r="T1691">
        <f>INDEX([1]IDEN_level_ids!$B:$B,MATCH(G1691,[1]IDEN_level_ids!$A:$A,0),1)</f>
        <v>1214</v>
      </c>
      <c r="U1691">
        <f>INDEX([1]IDEN_level_ids!$B:$B,MATCH(H1691,[1]IDEN_level_ids!$A:$A,0),1)</f>
        <v>1012</v>
      </c>
    </row>
    <row r="1692" spans="1:21" hidden="1" x14ac:dyDescent="0.25">
      <c r="A1692">
        <v>50352.594400000002</v>
      </c>
      <c r="B1692">
        <v>1985.9949999999999</v>
      </c>
      <c r="C1692">
        <v>9</v>
      </c>
      <c r="D1692" t="s">
        <v>592</v>
      </c>
      <c r="E1692" t="s">
        <v>236</v>
      </c>
      <c r="F1692">
        <v>1969</v>
      </c>
      <c r="G1692" s="1" t="s">
        <v>187</v>
      </c>
      <c r="H1692" s="1" t="s">
        <v>566</v>
      </c>
      <c r="I1692">
        <v>0</v>
      </c>
      <c r="J1692">
        <v>50352.6705</v>
      </c>
      <c r="K1692">
        <v>3.0000000000000001E-3</v>
      </c>
      <c r="L1692">
        <v>1.482E-2</v>
      </c>
      <c r="M1692">
        <v>0.37580000000000002</v>
      </c>
      <c r="N1692">
        <v>9.4999999999999998E-3</v>
      </c>
      <c r="O1692">
        <v>1.4970000000000001E-2</v>
      </c>
      <c r="P1692" s="3">
        <f t="shared" si="104"/>
        <v>1985.9949857916358</v>
      </c>
      <c r="Q1692" s="3">
        <f t="shared" si="105"/>
        <v>3.001513463232186E-3</v>
      </c>
      <c r="R1692" s="3">
        <f t="shared" si="106"/>
        <v>1.482E-2</v>
      </c>
      <c r="S1692">
        <f t="shared" si="107"/>
        <v>41</v>
      </c>
      <c r="T1692">
        <f>INDEX([1]IDEN_level_ids!$B:$B,MATCH(G1692,[1]IDEN_level_ids!$A:$A,0),1)</f>
        <v>1204</v>
      </c>
      <c r="U1692">
        <f>INDEX([1]IDEN_level_ids!$B:$B,MATCH(H1692,[1]IDEN_level_ids!$A:$A,0),1)</f>
        <v>1000</v>
      </c>
    </row>
    <row r="1693" spans="1:21" hidden="1" x14ac:dyDescent="0.25">
      <c r="A1693">
        <v>50311.152399999999</v>
      </c>
      <c r="B1693">
        <v>1987.6309000000001</v>
      </c>
      <c r="C1693">
        <v>9</v>
      </c>
      <c r="D1693" t="s">
        <v>592</v>
      </c>
      <c r="F1693">
        <v>1969</v>
      </c>
      <c r="G1693" s="1" t="s">
        <v>56</v>
      </c>
      <c r="H1693" s="1" t="s">
        <v>540</v>
      </c>
      <c r="I1693">
        <v>0.25219999999999998</v>
      </c>
      <c r="J1693">
        <v>50311.1371</v>
      </c>
      <c r="K1693">
        <v>-5.9999999999999995E-4</v>
      </c>
      <c r="L1693">
        <v>9.6799999999999994E-3</v>
      </c>
      <c r="M1693">
        <v>0.245</v>
      </c>
      <c r="N1693">
        <v>1.1299999999999999E-2</v>
      </c>
      <c r="O1693">
        <v>9.7900000000000001E-3</v>
      </c>
      <c r="P1693" s="3">
        <f t="shared" si="104"/>
        <v>1987.6308776421508</v>
      </c>
      <c r="Q1693" s="3">
        <f t="shared" si="105"/>
        <v>-6.0445368922046327E-4</v>
      </c>
      <c r="R1693" s="3">
        <f t="shared" si="106"/>
        <v>9.6799999999999994E-3</v>
      </c>
      <c r="S1693">
        <f t="shared" si="107"/>
        <v>41</v>
      </c>
      <c r="T1693">
        <f>INDEX([1]IDEN_level_ids!$B:$B,MATCH(G1693,[1]IDEN_level_ids!$A:$A,0),1)</f>
        <v>1221</v>
      </c>
      <c r="U1693">
        <f>INDEX([1]IDEN_level_ids!$B:$B,MATCH(H1693,[1]IDEN_level_ids!$A:$A,0),1)</f>
        <v>1027</v>
      </c>
    </row>
    <row r="1694" spans="1:21" hidden="1" x14ac:dyDescent="0.25">
      <c r="A1694">
        <v>50298.294399999999</v>
      </c>
      <c r="B1694">
        <v>1988.1389999999999</v>
      </c>
      <c r="C1694">
        <v>9</v>
      </c>
      <c r="D1694" t="s">
        <v>592</v>
      </c>
      <c r="F1694">
        <v>1969</v>
      </c>
      <c r="G1694" s="1" t="s">
        <v>41</v>
      </c>
      <c r="H1694" s="1" t="s">
        <v>377</v>
      </c>
      <c r="I1694">
        <v>0.2485</v>
      </c>
      <c r="J1694">
        <v>50298.291299999997</v>
      </c>
      <c r="K1694">
        <v>-1.2E-4</v>
      </c>
      <c r="L1694">
        <v>9.6799999999999994E-3</v>
      </c>
      <c r="M1694">
        <v>0.245</v>
      </c>
      <c r="N1694">
        <v>1.2E-2</v>
      </c>
      <c r="O1694">
        <v>9.7999999999999997E-3</v>
      </c>
      <c r="P1694" s="3">
        <f t="shared" si="104"/>
        <v>1988.138985484168</v>
      </c>
      <c r="Q1694" s="3">
        <f t="shared" si="105"/>
        <v>-1.2253360296199389E-4</v>
      </c>
      <c r="R1694" s="3">
        <f t="shared" si="106"/>
        <v>9.6799999999999994E-3</v>
      </c>
      <c r="S1694">
        <f t="shared" si="107"/>
        <v>41</v>
      </c>
      <c r="T1694">
        <f>INDEX([1]IDEN_level_ids!$B:$B,MATCH(G1694,[1]IDEN_level_ids!$A:$A,0),1)</f>
        <v>1238</v>
      </c>
      <c r="U1694">
        <f>INDEX([1]IDEN_level_ids!$B:$B,MATCH(H1694,[1]IDEN_level_ids!$A:$A,0),1)</f>
        <v>1057</v>
      </c>
    </row>
    <row r="1695" spans="1:21" hidden="1" x14ac:dyDescent="0.25">
      <c r="A1695">
        <v>50282.333200000001</v>
      </c>
      <c r="B1695">
        <v>1988.7701</v>
      </c>
      <c r="C1695">
        <v>9</v>
      </c>
      <c r="D1695" t="s">
        <v>592</v>
      </c>
      <c r="F1695">
        <v>1969</v>
      </c>
      <c r="G1695" s="1" t="s">
        <v>76</v>
      </c>
      <c r="H1695" s="1" t="s">
        <v>550</v>
      </c>
      <c r="I1695">
        <v>0</v>
      </c>
      <c r="J1695">
        <v>50282.337299999999</v>
      </c>
      <c r="K1695">
        <v>1.6000000000000001E-4</v>
      </c>
      <c r="L1695">
        <v>9.6900000000000007E-3</v>
      </c>
      <c r="M1695">
        <v>0.245</v>
      </c>
      <c r="N1695">
        <v>1.6199999999999999E-2</v>
      </c>
      <c r="O1695">
        <v>9.8499999999999994E-3</v>
      </c>
      <c r="P1695" s="3">
        <f t="shared" si="104"/>
        <v>1988.7700835648573</v>
      </c>
      <c r="Q1695" s="3">
        <f t="shared" si="105"/>
        <v>1.6216345102293417E-4</v>
      </c>
      <c r="R1695" s="3">
        <f t="shared" si="106"/>
        <v>9.6900000000000007E-3</v>
      </c>
      <c r="S1695">
        <f t="shared" si="107"/>
        <v>41</v>
      </c>
      <c r="T1695">
        <f>INDEX([1]IDEN_level_ids!$B:$B,MATCH(G1695,[1]IDEN_level_ids!$A:$A,0),1)</f>
        <v>1194</v>
      </c>
      <c r="U1695">
        <f>INDEX([1]IDEN_level_ids!$B:$B,MATCH(H1695,[1]IDEN_level_ids!$A:$A,0),1)</f>
        <v>997</v>
      </c>
    </row>
    <row r="1696" spans="1:21" hidden="1" x14ac:dyDescent="0.25">
      <c r="A1696">
        <v>50268.461199999998</v>
      </c>
      <c r="B1696">
        <v>1989.3189</v>
      </c>
      <c r="C1696">
        <v>9</v>
      </c>
      <c r="D1696" t="s">
        <v>592</v>
      </c>
      <c r="F1696">
        <v>1969</v>
      </c>
      <c r="G1696" s="1" t="s">
        <v>56</v>
      </c>
      <c r="H1696" s="1" t="s">
        <v>541</v>
      </c>
      <c r="I1696">
        <v>0</v>
      </c>
      <c r="J1696">
        <v>50268.428999999996</v>
      </c>
      <c r="K1696">
        <v>-1.2700000000000001E-3</v>
      </c>
      <c r="L1696">
        <v>9.7000000000000003E-3</v>
      </c>
      <c r="M1696">
        <v>0.245</v>
      </c>
      <c r="N1696">
        <v>1.2500000000000001E-2</v>
      </c>
      <c r="O1696">
        <v>9.8200000000000006E-3</v>
      </c>
      <c r="P1696" s="3">
        <f t="shared" si="104"/>
        <v>1989.3189012119592</v>
      </c>
      <c r="Q1696" s="3">
        <f t="shared" si="105"/>
        <v>-1.2742802966840827E-3</v>
      </c>
      <c r="R1696" s="3">
        <f t="shared" si="106"/>
        <v>9.7000000000000003E-3</v>
      </c>
      <c r="S1696">
        <f t="shared" si="107"/>
        <v>41</v>
      </c>
      <c r="T1696">
        <f>INDEX([1]IDEN_level_ids!$B:$B,MATCH(G1696,[1]IDEN_level_ids!$A:$A,0),1)</f>
        <v>1221</v>
      </c>
      <c r="U1696">
        <f>INDEX([1]IDEN_level_ids!$B:$B,MATCH(H1696,[1]IDEN_level_ids!$A:$A,0),1)</f>
        <v>1028</v>
      </c>
    </row>
    <row r="1697" spans="1:21" hidden="1" x14ac:dyDescent="0.25">
      <c r="A1697">
        <v>50260.197200000002</v>
      </c>
      <c r="B1697">
        <v>1989.646</v>
      </c>
      <c r="C1697">
        <v>9</v>
      </c>
      <c r="D1697" t="s">
        <v>592</v>
      </c>
      <c r="F1697">
        <v>1969</v>
      </c>
      <c r="G1697" s="1" t="s">
        <v>73</v>
      </c>
      <c r="H1697" s="1" t="s">
        <v>542</v>
      </c>
      <c r="I1697">
        <v>0</v>
      </c>
      <c r="J1697">
        <v>50260.208899999998</v>
      </c>
      <c r="K1697">
        <v>4.6000000000000001E-4</v>
      </c>
      <c r="L1697">
        <v>9.7000000000000003E-3</v>
      </c>
      <c r="M1697">
        <v>0.245</v>
      </c>
      <c r="N1697">
        <v>3.0700000000000002E-2</v>
      </c>
      <c r="O1697">
        <v>1.001E-2</v>
      </c>
      <c r="P1697" s="3">
        <f t="shared" si="104"/>
        <v>1989.6459936691215</v>
      </c>
      <c r="Q1697" s="3">
        <f t="shared" si="105"/>
        <v>4.6316676002788881E-4</v>
      </c>
      <c r="R1697" s="3">
        <f t="shared" si="106"/>
        <v>9.7000000000000003E-3</v>
      </c>
      <c r="S1697">
        <f t="shared" si="107"/>
        <v>41</v>
      </c>
      <c r="T1697">
        <f>INDEX([1]IDEN_level_ids!$B:$B,MATCH(G1697,[1]IDEN_level_ids!$A:$A,0),1)</f>
        <v>1173</v>
      </c>
      <c r="U1697">
        <f>INDEX([1]IDEN_level_ids!$B:$B,MATCH(H1697,[1]IDEN_level_ids!$A:$A,0),1)</f>
        <v>981</v>
      </c>
    </row>
    <row r="1698" spans="1:21" hidden="1" x14ac:dyDescent="0.25">
      <c r="A1698">
        <v>50213.181199999999</v>
      </c>
      <c r="B1698">
        <v>1991.509</v>
      </c>
      <c r="C1698">
        <v>9</v>
      </c>
      <c r="D1698" t="s">
        <v>592</v>
      </c>
      <c r="F1698">
        <v>1969</v>
      </c>
      <c r="G1698" s="1" t="s">
        <v>283</v>
      </c>
      <c r="H1698" s="1" t="s">
        <v>531</v>
      </c>
      <c r="I1698">
        <v>0</v>
      </c>
      <c r="J1698">
        <v>50213.210700000003</v>
      </c>
      <c r="K1698">
        <v>1.17E-3</v>
      </c>
      <c r="L1698">
        <v>9.7199999999999995E-3</v>
      </c>
      <c r="M1698">
        <v>0.245</v>
      </c>
      <c r="N1698">
        <v>0.13150000000000001</v>
      </c>
      <c r="O1698">
        <v>1.119E-2</v>
      </c>
      <c r="P1698" s="3">
        <f t="shared" si="104"/>
        <v>1991.5089546248466</v>
      </c>
      <c r="Q1698" s="3">
        <f t="shared" si="105"/>
        <v>1.1700011482389527E-3</v>
      </c>
      <c r="R1698" s="3">
        <f t="shared" si="106"/>
        <v>9.7199999999999995E-3</v>
      </c>
      <c r="S1698">
        <f t="shared" si="107"/>
        <v>41</v>
      </c>
      <c r="T1698">
        <f>INDEX([1]IDEN_level_ids!$B:$B,MATCH(G1698,[1]IDEN_level_ids!$A:$A,0),1)</f>
        <v>1178</v>
      </c>
      <c r="U1698">
        <f>INDEX([1]IDEN_level_ids!$B:$B,MATCH(H1698,[1]IDEN_level_ids!$A:$A,0),1)</f>
        <v>990</v>
      </c>
    </row>
    <row r="1699" spans="1:21" hidden="1" x14ac:dyDescent="0.25">
      <c r="A1699">
        <v>50210.3292</v>
      </c>
      <c r="B1699">
        <v>1991.6221</v>
      </c>
      <c r="C1699">
        <v>9</v>
      </c>
      <c r="D1699" t="s">
        <v>592</v>
      </c>
      <c r="F1699">
        <v>1969</v>
      </c>
      <c r="G1699" s="1" t="s">
        <v>279</v>
      </c>
      <c r="H1699" s="1" t="s">
        <v>426</v>
      </c>
      <c r="I1699">
        <v>0.18920000000000001</v>
      </c>
      <c r="J1699">
        <v>50210.634400000003</v>
      </c>
      <c r="K1699">
        <v>1.2109999999999999E-2</v>
      </c>
      <c r="L1699">
        <v>9.7199999999999995E-3</v>
      </c>
      <c r="M1699">
        <v>0.245</v>
      </c>
      <c r="N1699">
        <v>0.19739999999999999</v>
      </c>
      <c r="O1699">
        <v>1.2109999999999999E-2</v>
      </c>
      <c r="P1699" s="3">
        <f t="shared" si="104"/>
        <v>1991.622074447582</v>
      </c>
      <c r="Q1699" s="3">
        <f t="shared" si="105"/>
        <v>1.210586291904292E-2</v>
      </c>
      <c r="R1699" s="3">
        <f t="shared" si="106"/>
        <v>9.7199999999999995E-3</v>
      </c>
      <c r="S1699">
        <f t="shared" si="107"/>
        <v>41</v>
      </c>
      <c r="T1699">
        <f>INDEX([1]IDEN_level_ids!$B:$B,MATCH(G1699,[1]IDEN_level_ids!$A:$A,0),1)</f>
        <v>1129</v>
      </c>
      <c r="U1699">
        <f>INDEX([1]IDEN_level_ids!$B:$B,MATCH(H1699,[1]IDEN_level_ids!$A:$A,0),1)</f>
        <v>932</v>
      </c>
    </row>
    <row r="1700" spans="1:21" hidden="1" x14ac:dyDescent="0.25">
      <c r="A1700">
        <v>50204.934399999998</v>
      </c>
      <c r="B1700">
        <v>1991.8361</v>
      </c>
      <c r="C1700">
        <v>9</v>
      </c>
      <c r="D1700" t="s">
        <v>592</v>
      </c>
      <c r="F1700">
        <v>1969</v>
      </c>
      <c r="G1700" s="1" t="s">
        <v>216</v>
      </c>
      <c r="H1700" s="1" t="s">
        <v>513</v>
      </c>
      <c r="I1700">
        <v>0.19059999999999999</v>
      </c>
      <c r="J1700">
        <v>50204.998599999999</v>
      </c>
      <c r="K1700">
        <v>2.5500000000000002E-3</v>
      </c>
      <c r="L1700">
        <v>9.7199999999999995E-3</v>
      </c>
      <c r="M1700">
        <v>0.245</v>
      </c>
      <c r="N1700">
        <v>1.34E-2</v>
      </c>
      <c r="O1700">
        <v>9.8499999999999994E-3</v>
      </c>
      <c r="P1700" s="3">
        <f t="shared" si="104"/>
        <v>1991.8360853390539</v>
      </c>
      <c r="Q1700" s="3">
        <f t="shared" si="105"/>
        <v>2.5470745990787691E-3</v>
      </c>
      <c r="R1700" s="3">
        <f t="shared" si="106"/>
        <v>9.7199999999999995E-3</v>
      </c>
      <c r="S1700">
        <f t="shared" si="107"/>
        <v>41</v>
      </c>
      <c r="T1700">
        <f>INDEX([1]IDEN_level_ids!$B:$B,MATCH(G1700,[1]IDEN_level_ids!$A:$A,0),1)</f>
        <v>1170</v>
      </c>
      <c r="U1700">
        <f>INDEX([1]IDEN_level_ids!$B:$B,MATCH(H1700,[1]IDEN_level_ids!$A:$A,0),1)</f>
        <v>979</v>
      </c>
    </row>
    <row r="1701" spans="1:21" hidden="1" x14ac:dyDescent="0.25">
      <c r="A1701">
        <v>50201.229700000004</v>
      </c>
      <c r="B1701">
        <v>1991.9830999999999</v>
      </c>
      <c r="C1701">
        <v>9</v>
      </c>
      <c r="D1701" t="s">
        <v>592</v>
      </c>
      <c r="F1701">
        <v>1969</v>
      </c>
      <c r="G1701" s="1" t="s">
        <v>40</v>
      </c>
      <c r="H1701" s="1" t="s">
        <v>520</v>
      </c>
      <c r="I1701">
        <v>0.22689999999999999</v>
      </c>
      <c r="J1701">
        <v>50201.201699999998</v>
      </c>
      <c r="K1701">
        <v>-1.1100000000000001E-3</v>
      </c>
      <c r="L1701">
        <v>9.7199999999999995E-3</v>
      </c>
      <c r="M1701">
        <v>0.245</v>
      </c>
      <c r="N1701">
        <v>1.1900000000000001E-2</v>
      </c>
      <c r="O1701">
        <v>9.8399999999999998E-3</v>
      </c>
      <c r="P1701" s="3">
        <f t="shared" si="104"/>
        <v>1991.9830768607644</v>
      </c>
      <c r="Q1701" s="3">
        <f t="shared" si="105"/>
        <v>-1.1110396619642415E-3</v>
      </c>
      <c r="R1701" s="3">
        <f t="shared" si="106"/>
        <v>9.7199999999999995E-3</v>
      </c>
      <c r="S1701">
        <f t="shared" si="107"/>
        <v>41</v>
      </c>
      <c r="T1701">
        <f>INDEX([1]IDEN_level_ids!$B:$B,MATCH(G1701,[1]IDEN_level_ids!$A:$A,0),1)</f>
        <v>1199</v>
      </c>
      <c r="U1701">
        <f>INDEX([1]IDEN_level_ids!$B:$B,MATCH(H1701,[1]IDEN_level_ids!$A:$A,0),1)</f>
        <v>1002</v>
      </c>
    </row>
    <row r="1702" spans="1:21" hidden="1" x14ac:dyDescent="0.25">
      <c r="A1702">
        <v>50166.904999999999</v>
      </c>
      <c r="B1702">
        <v>1993.346</v>
      </c>
      <c r="C1702">
        <v>9</v>
      </c>
      <c r="D1702" t="s">
        <v>592</v>
      </c>
      <c r="E1702" t="s">
        <v>52</v>
      </c>
      <c r="F1702">
        <v>1969</v>
      </c>
      <c r="G1702" s="1" t="s">
        <v>194</v>
      </c>
      <c r="H1702" s="1" t="s">
        <v>560</v>
      </c>
      <c r="I1702">
        <v>0</v>
      </c>
      <c r="J1702">
        <v>50166.913</v>
      </c>
      <c r="K1702">
        <v>3.2000000000000003E-4</v>
      </c>
      <c r="L1702">
        <v>1.0970000000000001E-2</v>
      </c>
      <c r="M1702">
        <v>0.27600000000000002</v>
      </c>
      <c r="N1702">
        <v>2.8400000000000002E-2</v>
      </c>
      <c r="O1702">
        <v>1.129E-2</v>
      </c>
      <c r="P1702" s="3">
        <f t="shared" si="104"/>
        <v>1993.3460116784163</v>
      </c>
      <c r="Q1702" s="3">
        <f t="shared" si="105"/>
        <v>3.1787421517037728E-4</v>
      </c>
      <c r="R1702" s="3">
        <f t="shared" si="106"/>
        <v>1.0970000000000001E-2</v>
      </c>
      <c r="S1702">
        <f t="shared" si="107"/>
        <v>41</v>
      </c>
      <c r="T1702">
        <f>INDEX([1]IDEN_level_ids!$B:$B,MATCH(G1702,[1]IDEN_level_ids!$A:$A,0),1)</f>
        <v>1187</v>
      </c>
      <c r="U1702">
        <f>INDEX([1]IDEN_level_ids!$B:$B,MATCH(H1702,[1]IDEN_level_ids!$A:$A,0),1)</f>
        <v>993</v>
      </c>
    </row>
    <row r="1703" spans="1:21" hidden="1" x14ac:dyDescent="0.25">
      <c r="A1703">
        <v>50164.9931</v>
      </c>
      <c r="B1703">
        <v>1993.422</v>
      </c>
      <c r="C1703">
        <v>9</v>
      </c>
      <c r="D1703" t="s">
        <v>592</v>
      </c>
      <c r="E1703" t="s">
        <v>52</v>
      </c>
      <c r="F1703">
        <v>1969</v>
      </c>
      <c r="G1703" s="1" t="s">
        <v>68</v>
      </c>
      <c r="H1703" s="1" t="s">
        <v>468</v>
      </c>
      <c r="I1703">
        <v>0.122</v>
      </c>
      <c r="J1703">
        <v>50164.964099999997</v>
      </c>
      <c r="K1703">
        <v>-1.15E-3</v>
      </c>
      <c r="L1703">
        <v>1.0970000000000001E-2</v>
      </c>
      <c r="M1703">
        <v>0.27600000000000002</v>
      </c>
      <c r="N1703">
        <v>9.1000000000000004E-3</v>
      </c>
      <c r="O1703">
        <v>1.107E-2</v>
      </c>
      <c r="P1703" s="3">
        <f t="shared" si="104"/>
        <v>1993.4219825498192</v>
      </c>
      <c r="Q1703" s="3">
        <f t="shared" si="105"/>
        <v>-1.1523827145083487E-3</v>
      </c>
      <c r="R1703" s="3">
        <f t="shared" si="106"/>
        <v>1.0970000000000001E-2</v>
      </c>
      <c r="S1703">
        <f t="shared" si="107"/>
        <v>41</v>
      </c>
      <c r="T1703">
        <f>INDEX([1]IDEN_level_ids!$B:$B,MATCH(G1703,[1]IDEN_level_ids!$A:$A,0),1)</f>
        <v>1229</v>
      </c>
      <c r="U1703">
        <f>INDEX([1]IDEN_level_ids!$B:$B,MATCH(H1703,[1]IDEN_level_ids!$A:$A,0),1)</f>
        <v>1044</v>
      </c>
    </row>
    <row r="1704" spans="1:21" hidden="1" x14ac:dyDescent="0.25">
      <c r="A1704">
        <v>50149.7739</v>
      </c>
      <c r="B1704">
        <v>1994.0269000000001</v>
      </c>
      <c r="C1704">
        <v>9</v>
      </c>
      <c r="D1704" t="s">
        <v>592</v>
      </c>
      <c r="F1704">
        <v>1969</v>
      </c>
      <c r="G1704" s="1" t="s">
        <v>100</v>
      </c>
      <c r="H1704" s="1" t="s">
        <v>509</v>
      </c>
      <c r="I1704">
        <v>0.15859999999999999</v>
      </c>
      <c r="J1704">
        <v>50149.7664</v>
      </c>
      <c r="K1704">
        <v>-2.9999999999999997E-4</v>
      </c>
      <c r="L1704">
        <v>9.7400000000000004E-3</v>
      </c>
      <c r="M1704">
        <v>0.245</v>
      </c>
      <c r="N1704">
        <v>1.24E-2</v>
      </c>
      <c r="O1704">
        <v>9.8600000000000007E-3</v>
      </c>
      <c r="P1704" s="3">
        <f t="shared" si="104"/>
        <v>1994.0269361812616</v>
      </c>
      <c r="Q1704" s="3">
        <f t="shared" si="105"/>
        <v>-2.9821080124747823E-4</v>
      </c>
      <c r="R1704" s="3">
        <f t="shared" si="106"/>
        <v>9.7400000000000004E-3</v>
      </c>
      <c r="S1704">
        <f t="shared" si="107"/>
        <v>41</v>
      </c>
      <c r="T1704">
        <f>INDEX([1]IDEN_level_ids!$B:$B,MATCH(G1704,[1]IDEN_level_ids!$A:$A,0),1)</f>
        <v>1146</v>
      </c>
      <c r="U1704">
        <f>INDEX([1]IDEN_level_ids!$B:$B,MATCH(H1704,[1]IDEN_level_ids!$A:$A,0),1)</f>
        <v>956</v>
      </c>
    </row>
    <row r="1705" spans="1:21" hidden="1" x14ac:dyDescent="0.25">
      <c r="A1705">
        <v>50133.05</v>
      </c>
      <c r="B1705">
        <v>1994.6921</v>
      </c>
      <c r="C1705">
        <v>9</v>
      </c>
      <c r="D1705" t="s">
        <v>592</v>
      </c>
      <c r="F1705">
        <v>1969</v>
      </c>
      <c r="G1705" s="1" t="s">
        <v>33</v>
      </c>
      <c r="H1705" s="1" t="s">
        <v>540</v>
      </c>
      <c r="I1705">
        <v>0.25219999999999998</v>
      </c>
      <c r="J1705">
        <v>50132.958200000001</v>
      </c>
      <c r="K1705">
        <v>-3.65E-3</v>
      </c>
      <c r="L1705">
        <v>9.75E-3</v>
      </c>
      <c r="M1705">
        <v>0.245</v>
      </c>
      <c r="N1705">
        <v>1.0999999999999999E-2</v>
      </c>
      <c r="O1705">
        <v>9.8600000000000007E-3</v>
      </c>
      <c r="P1705" s="3">
        <f t="shared" si="104"/>
        <v>1994.692124257351</v>
      </c>
      <c r="Q1705" s="3">
        <f t="shared" si="105"/>
        <v>-3.65254203211407E-3</v>
      </c>
      <c r="R1705" s="3">
        <f t="shared" si="106"/>
        <v>9.75E-3</v>
      </c>
      <c r="S1705">
        <f t="shared" si="107"/>
        <v>41</v>
      </c>
      <c r="T1705">
        <f>INDEX([1]IDEN_level_ids!$B:$B,MATCH(G1705,[1]IDEN_level_ids!$A:$A,0),1)</f>
        <v>1220</v>
      </c>
      <c r="U1705">
        <f>INDEX([1]IDEN_level_ids!$B:$B,MATCH(H1705,[1]IDEN_level_ids!$A:$A,0),1)</f>
        <v>1027</v>
      </c>
    </row>
    <row r="1706" spans="1:21" hidden="1" x14ac:dyDescent="0.25">
      <c r="A1706">
        <v>50100.477899999998</v>
      </c>
      <c r="B1706">
        <v>1995.9889000000001</v>
      </c>
      <c r="C1706">
        <v>9</v>
      </c>
      <c r="D1706" t="s">
        <v>592</v>
      </c>
      <c r="F1706">
        <v>1969</v>
      </c>
      <c r="G1706" s="1" t="s">
        <v>302</v>
      </c>
      <c r="H1706" s="1" t="s">
        <v>364</v>
      </c>
      <c r="I1706">
        <v>0</v>
      </c>
      <c r="J1706">
        <v>50100.437100000003</v>
      </c>
      <c r="K1706">
        <v>-1.6299999999999999E-3</v>
      </c>
      <c r="L1706">
        <v>9.7599999999999996E-3</v>
      </c>
      <c r="M1706">
        <v>0.245</v>
      </c>
      <c r="N1706">
        <v>0.12139999999999999</v>
      </c>
      <c r="O1706">
        <v>1.111E-2</v>
      </c>
      <c r="P1706" s="3">
        <f t="shared" si="104"/>
        <v>1995.9889444487715</v>
      </c>
      <c r="Q1706" s="3">
        <f t="shared" si="105"/>
        <v>-1.6254618449238478E-3</v>
      </c>
      <c r="R1706" s="3">
        <f t="shared" si="106"/>
        <v>9.7599999999999996E-3</v>
      </c>
      <c r="S1706">
        <f t="shared" si="107"/>
        <v>41</v>
      </c>
      <c r="T1706">
        <f>INDEX([1]IDEN_level_ids!$B:$B,MATCH(G1706,[1]IDEN_level_ids!$A:$A,0),1)</f>
        <v>1100</v>
      </c>
      <c r="U1706">
        <f>INDEX([1]IDEN_level_ids!$B:$B,MATCH(H1706,[1]IDEN_level_ids!$A:$A,0),1)</f>
        <v>903</v>
      </c>
    </row>
    <row r="1707" spans="1:21" hidden="1" x14ac:dyDescent="0.25">
      <c r="A1707">
        <v>50099.621700000003</v>
      </c>
      <c r="B1707">
        <v>1996.0231000000001</v>
      </c>
      <c r="C1707">
        <v>9</v>
      </c>
      <c r="D1707" t="s">
        <v>592</v>
      </c>
      <c r="E1707" t="s">
        <v>52</v>
      </c>
      <c r="F1707">
        <v>1969</v>
      </c>
      <c r="G1707" s="1" t="s">
        <v>49</v>
      </c>
      <c r="H1707" s="1" t="s">
        <v>481</v>
      </c>
      <c r="I1707">
        <v>0</v>
      </c>
      <c r="J1707">
        <v>50099.6319</v>
      </c>
      <c r="K1707">
        <v>4.0000000000000002E-4</v>
      </c>
      <c r="L1707">
        <v>1.0999999999999999E-2</v>
      </c>
      <c r="M1707">
        <v>0.27600000000000002</v>
      </c>
      <c r="N1707">
        <v>1.04E-2</v>
      </c>
      <c r="O1707">
        <v>1.111E-2</v>
      </c>
      <c r="P1707" s="3">
        <f t="shared" si="104"/>
        <v>1996.0230557988423</v>
      </c>
      <c r="Q1707" s="3">
        <f t="shared" si="105"/>
        <v>4.0637893698658445E-4</v>
      </c>
      <c r="R1707" s="3">
        <f t="shared" si="106"/>
        <v>1.0999999999999999E-2</v>
      </c>
      <c r="S1707">
        <f t="shared" si="107"/>
        <v>41</v>
      </c>
      <c r="T1707">
        <f>INDEX([1]IDEN_level_ids!$B:$B,MATCH(G1707,[1]IDEN_level_ids!$A:$A,0),1)</f>
        <v>1214</v>
      </c>
      <c r="U1707">
        <f>INDEX([1]IDEN_level_ids!$B:$B,MATCH(H1707,[1]IDEN_level_ids!$A:$A,0),1)</f>
        <v>1016</v>
      </c>
    </row>
    <row r="1708" spans="1:21" hidden="1" x14ac:dyDescent="0.25">
      <c r="A1708">
        <v>50089.5861</v>
      </c>
      <c r="B1708">
        <v>1996.423</v>
      </c>
      <c r="C1708">
        <v>9</v>
      </c>
      <c r="D1708" t="s">
        <v>592</v>
      </c>
      <c r="F1708">
        <v>1969</v>
      </c>
      <c r="G1708" s="1" t="s">
        <v>354</v>
      </c>
      <c r="H1708" s="1" t="s">
        <v>447</v>
      </c>
      <c r="I1708">
        <v>-0.57169999999999999</v>
      </c>
      <c r="J1708">
        <v>50089.600200000001</v>
      </c>
      <c r="K1708">
        <v>5.5999999999999995E-4</v>
      </c>
      <c r="L1708">
        <v>9.7599999999999996E-3</v>
      </c>
      <c r="M1708">
        <v>0.245</v>
      </c>
      <c r="N1708">
        <v>0.2177</v>
      </c>
      <c r="O1708">
        <v>1.248E-2</v>
      </c>
      <c r="P1708" s="3">
        <f t="shared" si="104"/>
        <v>1996.4229650522107</v>
      </c>
      <c r="Q1708" s="3">
        <f t="shared" si="105"/>
        <v>5.6198419815700618E-4</v>
      </c>
      <c r="R1708" s="3">
        <f t="shared" si="106"/>
        <v>9.7599999999999996E-3</v>
      </c>
      <c r="S1708">
        <f t="shared" si="107"/>
        <v>41</v>
      </c>
      <c r="T1708">
        <f>INDEX([1]IDEN_level_ids!$B:$B,MATCH(G1708,[1]IDEN_level_ids!$A:$A,0),1)</f>
        <v>1135</v>
      </c>
      <c r="U1708">
        <f>INDEX([1]IDEN_level_ids!$B:$B,MATCH(H1708,[1]IDEN_level_ids!$A:$A,0),1)</f>
        <v>937</v>
      </c>
    </row>
    <row r="1709" spans="1:21" hidden="1" x14ac:dyDescent="0.25">
      <c r="A1709">
        <v>50082.262499999997</v>
      </c>
      <c r="B1709">
        <v>1996.7148999999999</v>
      </c>
      <c r="C1709">
        <v>9</v>
      </c>
      <c r="D1709" t="s">
        <v>592</v>
      </c>
      <c r="F1709">
        <v>1969</v>
      </c>
      <c r="G1709" s="1" t="s">
        <v>193</v>
      </c>
      <c r="H1709" s="1" t="s">
        <v>566</v>
      </c>
      <c r="I1709">
        <v>0</v>
      </c>
      <c r="J1709">
        <v>50082.2664</v>
      </c>
      <c r="K1709">
        <v>1.6000000000000001E-4</v>
      </c>
      <c r="L1709">
        <v>9.7699999999999992E-3</v>
      </c>
      <c r="M1709">
        <v>0.245</v>
      </c>
      <c r="N1709">
        <v>2.18E-2</v>
      </c>
      <c r="O1709">
        <v>9.9900000000000006E-3</v>
      </c>
      <c r="P1709" s="3">
        <f t="shared" si="104"/>
        <v>1996.7149048028732</v>
      </c>
      <c r="Q1709" s="3">
        <f t="shared" si="105"/>
        <v>1.5548793408015626E-4</v>
      </c>
      <c r="R1709" s="3">
        <f t="shared" si="106"/>
        <v>9.7699999999999992E-3</v>
      </c>
      <c r="S1709">
        <f t="shared" si="107"/>
        <v>41</v>
      </c>
      <c r="T1709">
        <f>INDEX([1]IDEN_level_ids!$B:$B,MATCH(G1709,[1]IDEN_level_ids!$A:$A,0),1)</f>
        <v>1202</v>
      </c>
      <c r="U1709">
        <f>INDEX([1]IDEN_level_ids!$B:$B,MATCH(H1709,[1]IDEN_level_ids!$A:$A,0),1)</f>
        <v>1000</v>
      </c>
    </row>
    <row r="1710" spans="1:21" hidden="1" x14ac:dyDescent="0.25">
      <c r="A1710">
        <v>50052.251300000004</v>
      </c>
      <c r="B1710">
        <v>1997.9121</v>
      </c>
      <c r="C1710">
        <v>9</v>
      </c>
      <c r="D1710" t="s">
        <v>592</v>
      </c>
      <c r="F1710">
        <v>1969</v>
      </c>
      <c r="G1710" s="1" t="s">
        <v>72</v>
      </c>
      <c r="H1710" s="1" t="s">
        <v>587</v>
      </c>
      <c r="I1710">
        <v>9.9500000000000005E-2</v>
      </c>
      <c r="J1710">
        <v>50052.219100000002</v>
      </c>
      <c r="K1710">
        <v>-1.2899999999999999E-3</v>
      </c>
      <c r="L1710">
        <v>9.7800000000000005E-3</v>
      </c>
      <c r="M1710">
        <v>0.245</v>
      </c>
      <c r="N1710">
        <v>1.04E-2</v>
      </c>
      <c r="O1710">
        <v>9.8799999999999999E-3</v>
      </c>
      <c r="P1710" s="3">
        <f t="shared" si="104"/>
        <v>1997.9121298785615</v>
      </c>
      <c r="Q1710" s="3">
        <f t="shared" si="105"/>
        <v>-1.2853130538132973E-3</v>
      </c>
      <c r="R1710" s="3">
        <f t="shared" si="106"/>
        <v>9.7800000000000005E-3</v>
      </c>
      <c r="S1710">
        <f t="shared" si="107"/>
        <v>41</v>
      </c>
      <c r="T1710">
        <f>INDEX([1]IDEN_level_ids!$B:$B,MATCH(G1710,[1]IDEN_level_ids!$A:$A,0),1)</f>
        <v>1225</v>
      </c>
      <c r="U1710">
        <f>INDEX([1]IDEN_level_ids!$B:$B,MATCH(H1710,[1]IDEN_level_ids!$A:$A,0),1)</f>
        <v>1035</v>
      </c>
    </row>
    <row r="1711" spans="1:21" hidden="1" x14ac:dyDescent="0.25">
      <c r="A1711">
        <v>50048.444100000001</v>
      </c>
      <c r="B1711">
        <v>1998.0641000000001</v>
      </c>
      <c r="C1711">
        <v>9</v>
      </c>
      <c r="D1711" t="s">
        <v>592</v>
      </c>
      <c r="F1711">
        <v>1969</v>
      </c>
      <c r="G1711" s="1" t="s">
        <v>51</v>
      </c>
      <c r="H1711" s="1" t="s">
        <v>481</v>
      </c>
      <c r="I1711">
        <v>0</v>
      </c>
      <c r="J1711">
        <v>50048.475700000003</v>
      </c>
      <c r="K1711">
        <v>1.2600000000000001E-3</v>
      </c>
      <c r="L1711">
        <v>9.7800000000000005E-3</v>
      </c>
      <c r="M1711">
        <v>0.245</v>
      </c>
      <c r="N1711">
        <v>1.37E-2</v>
      </c>
      <c r="O1711">
        <v>9.92E-3</v>
      </c>
      <c r="P1711" s="3">
        <f t="shared" si="104"/>
        <v>1998.0641116473789</v>
      </c>
      <c r="Q1711" s="3">
        <f t="shared" si="105"/>
        <v>1.2615534249107441E-3</v>
      </c>
      <c r="R1711" s="3">
        <f t="shared" si="106"/>
        <v>9.7800000000000005E-3</v>
      </c>
      <c r="S1711">
        <f t="shared" si="107"/>
        <v>41</v>
      </c>
      <c r="T1711">
        <f>INDEX([1]IDEN_level_ids!$B:$B,MATCH(G1711,[1]IDEN_level_ids!$A:$A,0),1)</f>
        <v>1213</v>
      </c>
      <c r="U1711">
        <f>INDEX([1]IDEN_level_ids!$B:$B,MATCH(H1711,[1]IDEN_level_ids!$A:$A,0),1)</f>
        <v>1016</v>
      </c>
    </row>
    <row r="1712" spans="1:21" hidden="1" x14ac:dyDescent="0.25">
      <c r="A1712">
        <v>50035.076099999998</v>
      </c>
      <c r="B1712">
        <v>1998.5979</v>
      </c>
      <c r="C1712">
        <v>9</v>
      </c>
      <c r="D1712" t="s">
        <v>592</v>
      </c>
      <c r="F1712">
        <v>1969</v>
      </c>
      <c r="G1712" s="1" t="s">
        <v>245</v>
      </c>
      <c r="H1712" s="1" t="s">
        <v>527</v>
      </c>
      <c r="I1712">
        <v>0</v>
      </c>
      <c r="J1712">
        <v>50035.262499999997</v>
      </c>
      <c r="K1712">
        <v>7.45E-3</v>
      </c>
      <c r="L1712">
        <v>9.7900000000000001E-3</v>
      </c>
      <c r="M1712">
        <v>0.245</v>
      </c>
      <c r="N1712">
        <v>2.5100000000000001E-2</v>
      </c>
      <c r="O1712">
        <v>1.004E-2</v>
      </c>
      <c r="P1712" s="3">
        <f t="shared" si="104"/>
        <v>1998.5979395762326</v>
      </c>
      <c r="Q1712" s="3">
        <f t="shared" si="105"/>
        <v>7.4455221640619129E-3</v>
      </c>
      <c r="R1712" s="3">
        <f t="shared" si="106"/>
        <v>9.7900000000000001E-3</v>
      </c>
      <c r="S1712">
        <f t="shared" si="107"/>
        <v>41</v>
      </c>
      <c r="T1712">
        <f>INDEX([1]IDEN_level_ids!$B:$B,MATCH(G1712,[1]IDEN_level_ids!$A:$A,0),1)</f>
        <v>1169</v>
      </c>
      <c r="U1712">
        <f>INDEX([1]IDEN_level_ids!$B:$B,MATCH(H1712,[1]IDEN_level_ids!$A:$A,0),1)</f>
        <v>980</v>
      </c>
    </row>
    <row r="1713" spans="1:21" hidden="1" x14ac:dyDescent="0.25">
      <c r="A1713">
        <v>50027.390599999999</v>
      </c>
      <c r="B1713">
        <v>1998.905</v>
      </c>
      <c r="C1713">
        <v>9</v>
      </c>
      <c r="D1713" t="s">
        <v>592</v>
      </c>
      <c r="F1713">
        <v>1969</v>
      </c>
      <c r="G1713" s="1" t="s">
        <v>118</v>
      </c>
      <c r="H1713" s="1" t="s">
        <v>593</v>
      </c>
      <c r="I1713">
        <v>0</v>
      </c>
      <c r="J1713">
        <v>50027.440799999997</v>
      </c>
      <c r="K1713">
        <v>2E-3</v>
      </c>
      <c r="L1713">
        <v>9.7900000000000001E-3</v>
      </c>
      <c r="M1713">
        <v>0.245</v>
      </c>
      <c r="N1713">
        <v>2.12E-2</v>
      </c>
      <c r="O1713">
        <v>0.01</v>
      </c>
      <c r="P1713" s="3">
        <f t="shared" si="104"/>
        <v>1998.9049758673602</v>
      </c>
      <c r="Q1713" s="3">
        <f t="shared" si="105"/>
        <v>2.0057997808180517E-3</v>
      </c>
      <c r="R1713" s="3">
        <f t="shared" si="106"/>
        <v>9.7900000000000001E-3</v>
      </c>
      <c r="S1713">
        <f t="shared" si="107"/>
        <v>41</v>
      </c>
      <c r="T1713">
        <f>INDEX([1]IDEN_level_ids!$B:$B,MATCH(G1713,[1]IDEN_level_ids!$A:$A,0),1)</f>
        <v>1237</v>
      </c>
      <c r="U1713">
        <f>INDEX([1]IDEN_level_ids!$B:$B,MATCH(H1713,[1]IDEN_level_ids!$A:$A,0),1)</f>
        <v>1059</v>
      </c>
    </row>
    <row r="1714" spans="1:21" hidden="1" x14ac:dyDescent="0.25">
      <c r="A1714">
        <v>50005.124000000003</v>
      </c>
      <c r="B1714">
        <v>1999.7951</v>
      </c>
      <c r="C1714">
        <v>9</v>
      </c>
      <c r="D1714" t="s">
        <v>592</v>
      </c>
      <c r="F1714">
        <v>1969</v>
      </c>
      <c r="G1714" s="1" t="s">
        <v>22</v>
      </c>
      <c r="H1714" s="1" t="s">
        <v>428</v>
      </c>
      <c r="I1714">
        <v>0.2928</v>
      </c>
      <c r="J1714">
        <v>50005.0605</v>
      </c>
      <c r="K1714">
        <v>-2.5400000000000002E-3</v>
      </c>
      <c r="L1714">
        <v>9.7999999999999997E-3</v>
      </c>
      <c r="M1714">
        <v>0.245</v>
      </c>
      <c r="N1714">
        <v>1.3599999999999999E-2</v>
      </c>
      <c r="O1714">
        <v>9.9299999999999996E-3</v>
      </c>
      <c r="P1714" s="3">
        <f t="shared" si="104"/>
        <v>1999.7950610021483</v>
      </c>
      <c r="Q1714" s="3">
        <f t="shared" si="105"/>
        <v>-2.539482706652052E-3</v>
      </c>
      <c r="R1714" s="3">
        <f t="shared" si="106"/>
        <v>9.7999999999999997E-3</v>
      </c>
      <c r="S1714">
        <f t="shared" si="107"/>
        <v>41</v>
      </c>
      <c r="T1714">
        <f>INDEX([1]IDEN_level_ids!$B:$B,MATCH(G1714,[1]IDEN_level_ids!$A:$A,0),1)</f>
        <v>1236</v>
      </c>
      <c r="U1714">
        <f>INDEX([1]IDEN_level_ids!$B:$B,MATCH(H1714,[1]IDEN_level_ids!$A:$A,0),1)</f>
        <v>1060</v>
      </c>
    </row>
    <row r="1715" spans="1:21" hidden="1" x14ac:dyDescent="0.25">
      <c r="A1715">
        <v>50002.447200000002</v>
      </c>
      <c r="B1715">
        <v>1999.9021</v>
      </c>
      <c r="C1715">
        <v>9</v>
      </c>
      <c r="D1715" t="s">
        <v>592</v>
      </c>
      <c r="F1715">
        <v>1969</v>
      </c>
      <c r="G1715" s="1" t="s">
        <v>207</v>
      </c>
      <c r="H1715" s="1" t="s">
        <v>531</v>
      </c>
      <c r="I1715">
        <v>0</v>
      </c>
      <c r="J1715">
        <v>50002.572699999997</v>
      </c>
      <c r="K1715">
        <v>5.0200000000000002E-3</v>
      </c>
      <c r="L1715">
        <v>9.7999999999999997E-3</v>
      </c>
      <c r="M1715">
        <v>0.245</v>
      </c>
      <c r="N1715">
        <v>0.1303</v>
      </c>
      <c r="O1715">
        <v>1.1270000000000001E-2</v>
      </c>
      <c r="P1715" s="3">
        <f t="shared" si="104"/>
        <v>1999.9021167907956</v>
      </c>
      <c r="Q1715" s="3">
        <f t="shared" si="105"/>
        <v>5.0194960397220711E-3</v>
      </c>
      <c r="R1715" s="3">
        <f t="shared" si="106"/>
        <v>9.7999999999999997E-3</v>
      </c>
      <c r="S1715">
        <f t="shared" si="107"/>
        <v>41</v>
      </c>
      <c r="T1715">
        <f>INDEX([1]IDEN_level_ids!$B:$B,MATCH(G1715,[1]IDEN_level_ids!$A:$A,0),1)</f>
        <v>1177</v>
      </c>
      <c r="U1715">
        <f>INDEX([1]IDEN_level_ids!$B:$B,MATCH(H1715,[1]IDEN_level_ids!$A:$A,0),1)</f>
        <v>990</v>
      </c>
    </row>
    <row r="1716" spans="1:21" hidden="1" x14ac:dyDescent="0.25">
      <c r="A1716">
        <v>49997.100200000001</v>
      </c>
      <c r="B1716">
        <v>2000.116</v>
      </c>
      <c r="C1716">
        <v>9</v>
      </c>
      <c r="D1716" t="s">
        <v>594</v>
      </c>
      <c r="E1716" t="s">
        <v>236</v>
      </c>
      <c r="F1716">
        <v>1969</v>
      </c>
      <c r="G1716" s="1" t="s">
        <v>22</v>
      </c>
      <c r="H1716" s="1" t="s">
        <v>377</v>
      </c>
      <c r="I1716">
        <v>0.2485</v>
      </c>
      <c r="J1716">
        <v>49997.087500000001</v>
      </c>
      <c r="K1716">
        <v>-5.1000000000000004E-4</v>
      </c>
      <c r="L1716">
        <v>1.504E-2</v>
      </c>
      <c r="M1716">
        <v>0.37580000000000002</v>
      </c>
      <c r="N1716">
        <v>5.0000000000000001E-3</v>
      </c>
      <c r="O1716">
        <v>1.511E-2</v>
      </c>
      <c r="P1716" s="3">
        <f t="shared" si="104"/>
        <v>2000.1159987274621</v>
      </c>
      <c r="Q1716" s="3">
        <f t="shared" si="105"/>
        <v>-5.0805905812012497E-4</v>
      </c>
      <c r="R1716" s="3">
        <f t="shared" si="106"/>
        <v>1.504E-2</v>
      </c>
      <c r="S1716">
        <f t="shared" si="107"/>
        <v>42</v>
      </c>
      <c r="T1716">
        <f>INDEX([1]IDEN_level_ids!$B:$B,MATCH(G1716,[1]IDEN_level_ids!$A:$A,0),1)</f>
        <v>1236</v>
      </c>
      <c r="U1716">
        <f>INDEX([1]IDEN_level_ids!$B:$B,MATCH(H1716,[1]IDEN_level_ids!$A:$A,0),1)</f>
        <v>1057</v>
      </c>
    </row>
    <row r="1717" spans="1:21" hidden="1" x14ac:dyDescent="0.25">
      <c r="A1717">
        <v>49988.4496</v>
      </c>
      <c r="B1717">
        <v>2000.4621</v>
      </c>
      <c r="C1717">
        <v>9</v>
      </c>
      <c r="D1717" t="s">
        <v>594</v>
      </c>
      <c r="F1717">
        <v>1969</v>
      </c>
      <c r="G1717" s="1" t="s">
        <v>79</v>
      </c>
      <c r="H1717" s="1" t="s">
        <v>576</v>
      </c>
      <c r="I1717">
        <v>0.1002</v>
      </c>
      <c r="J1717">
        <v>49988.445099999997</v>
      </c>
      <c r="K1717">
        <v>-1.8000000000000001E-4</v>
      </c>
      <c r="L1717">
        <v>9.7999999999999997E-3</v>
      </c>
      <c r="M1717">
        <v>0.245</v>
      </c>
      <c r="N1717">
        <v>1.17E-2</v>
      </c>
      <c r="O1717">
        <v>9.92E-3</v>
      </c>
      <c r="P1717" s="3">
        <f t="shared" si="104"/>
        <v>2000.4621227540531</v>
      </c>
      <c r="Q1717" s="3">
        <f t="shared" si="105"/>
        <v>-1.8008320807894052E-4</v>
      </c>
      <c r="R1717" s="3">
        <f t="shared" si="106"/>
        <v>9.7999999999999997E-3</v>
      </c>
      <c r="S1717">
        <f t="shared" si="107"/>
        <v>42</v>
      </c>
      <c r="T1717">
        <f>INDEX([1]IDEN_level_ids!$B:$B,MATCH(G1717,[1]IDEN_level_ids!$A:$A,0),1)</f>
        <v>1216</v>
      </c>
      <c r="U1717">
        <f>INDEX([1]IDEN_level_ids!$B:$B,MATCH(H1717,[1]IDEN_level_ids!$A:$A,0),1)</f>
        <v>1024</v>
      </c>
    </row>
    <row r="1718" spans="1:21" hidden="1" x14ac:dyDescent="0.25">
      <c r="A1718">
        <v>49985.327599999997</v>
      </c>
      <c r="B1718">
        <v>2000.5871</v>
      </c>
      <c r="C1718">
        <v>9</v>
      </c>
      <c r="D1718" t="s">
        <v>594</v>
      </c>
      <c r="F1718">
        <v>1969</v>
      </c>
      <c r="G1718" s="1" t="s">
        <v>46</v>
      </c>
      <c r="H1718" s="1" t="s">
        <v>472</v>
      </c>
      <c r="I1718">
        <v>0</v>
      </c>
      <c r="J1718">
        <v>49985.391300000003</v>
      </c>
      <c r="K1718">
        <v>2.5500000000000002E-3</v>
      </c>
      <c r="L1718">
        <v>9.8099999999999993E-3</v>
      </c>
      <c r="M1718">
        <v>0.245</v>
      </c>
      <c r="N1718">
        <v>1.0500000000000001E-2</v>
      </c>
      <c r="O1718">
        <v>9.9100000000000004E-3</v>
      </c>
      <c r="P1718" s="3">
        <f t="shared" si="104"/>
        <v>2000.587068274011</v>
      </c>
      <c r="Q1718" s="3">
        <f t="shared" si="105"/>
        <v>2.5494928206626355E-3</v>
      </c>
      <c r="R1718" s="3">
        <f t="shared" si="106"/>
        <v>9.8099999999999993E-3</v>
      </c>
      <c r="S1718">
        <f t="shared" si="107"/>
        <v>42</v>
      </c>
      <c r="T1718">
        <f>INDEX([1]IDEN_level_ids!$B:$B,MATCH(G1718,[1]IDEN_level_ids!$A:$A,0),1)</f>
        <v>1212</v>
      </c>
      <c r="U1718">
        <f>INDEX([1]IDEN_level_ids!$B:$B,MATCH(H1718,[1]IDEN_level_ids!$A:$A,0),1)</f>
        <v>1012</v>
      </c>
    </row>
    <row r="1719" spans="1:21" hidden="1" x14ac:dyDescent="0.25">
      <c r="A1719">
        <v>49964.000899999999</v>
      </c>
      <c r="B1719">
        <v>2001.441</v>
      </c>
      <c r="C1719">
        <v>9</v>
      </c>
      <c r="D1719" t="s">
        <v>594</v>
      </c>
      <c r="F1719">
        <v>1969</v>
      </c>
      <c r="G1719" s="1" t="s">
        <v>238</v>
      </c>
      <c r="H1719" s="1" t="s">
        <v>590</v>
      </c>
      <c r="I1719">
        <v>0</v>
      </c>
      <c r="J1719">
        <v>49964.068200000002</v>
      </c>
      <c r="K1719">
        <v>2.6900000000000001E-3</v>
      </c>
      <c r="L1719">
        <v>9.8099999999999993E-3</v>
      </c>
      <c r="M1719">
        <v>0.245</v>
      </c>
      <c r="N1719">
        <v>2.3E-2</v>
      </c>
      <c r="O1719">
        <v>1.004E-2</v>
      </c>
      <c r="P1719" s="3">
        <f t="shared" si="104"/>
        <v>2001.4410014951386</v>
      </c>
      <c r="Q1719" s="3">
        <f t="shared" si="105"/>
        <v>2.6958769424254569E-3</v>
      </c>
      <c r="R1719" s="3">
        <f t="shared" si="106"/>
        <v>9.8099999999999993E-3</v>
      </c>
      <c r="S1719">
        <f t="shared" si="107"/>
        <v>42</v>
      </c>
      <c r="T1719">
        <f>INDEX([1]IDEN_level_ids!$B:$B,MATCH(G1719,[1]IDEN_level_ids!$A:$A,0),1)</f>
        <v>1165</v>
      </c>
      <c r="U1719">
        <f>INDEX([1]IDEN_level_ids!$B:$B,MATCH(H1719,[1]IDEN_level_ids!$A:$A,0),1)</f>
        <v>974</v>
      </c>
    </row>
    <row r="1720" spans="1:21" hidden="1" x14ac:dyDescent="0.25">
      <c r="A1720">
        <v>49961.328200000004</v>
      </c>
      <c r="B1720">
        <v>2001.5481</v>
      </c>
      <c r="C1720">
        <v>9</v>
      </c>
      <c r="D1720" t="s">
        <v>594</v>
      </c>
      <c r="F1720">
        <v>1969</v>
      </c>
      <c r="G1720" s="1" t="s">
        <v>86</v>
      </c>
      <c r="H1720" s="1" t="s">
        <v>560</v>
      </c>
      <c r="I1720">
        <v>0</v>
      </c>
      <c r="J1720">
        <v>49961.397199999999</v>
      </c>
      <c r="K1720">
        <v>2.7699999999999999E-3</v>
      </c>
      <c r="L1720">
        <v>9.8099999999999993E-3</v>
      </c>
      <c r="M1720">
        <v>0.245</v>
      </c>
      <c r="N1720">
        <v>3.7100000000000001E-2</v>
      </c>
      <c r="O1720">
        <v>1.0189999999999999E-2</v>
      </c>
      <c r="P1720" s="3">
        <f t="shared" si="104"/>
        <v>2001.5480693325521</v>
      </c>
      <c r="Q1720" s="3">
        <f t="shared" si="105"/>
        <v>2.7642705072139506E-3</v>
      </c>
      <c r="R1720" s="3">
        <f t="shared" si="106"/>
        <v>9.8099999999999993E-3</v>
      </c>
      <c r="S1720">
        <f t="shared" si="107"/>
        <v>42</v>
      </c>
      <c r="T1720">
        <f>INDEX([1]IDEN_level_ids!$B:$B,MATCH(G1720,[1]IDEN_level_ids!$A:$A,0),1)</f>
        <v>1183</v>
      </c>
      <c r="U1720">
        <f>INDEX([1]IDEN_level_ids!$B:$B,MATCH(H1720,[1]IDEN_level_ids!$A:$A,0),1)</f>
        <v>993</v>
      </c>
    </row>
    <row r="1721" spans="1:21" hidden="1" x14ac:dyDescent="0.25">
      <c r="A1721">
        <v>49954.069199999998</v>
      </c>
      <c r="B1721">
        <v>2001.8389</v>
      </c>
      <c r="C1721">
        <v>9</v>
      </c>
      <c r="D1721" t="s">
        <v>594</v>
      </c>
      <c r="F1721">
        <v>1969</v>
      </c>
      <c r="G1721" s="1" t="s">
        <v>166</v>
      </c>
      <c r="H1721" s="1" t="s">
        <v>555</v>
      </c>
      <c r="I1721">
        <v>0</v>
      </c>
      <c r="J1721">
        <v>49954.247600000002</v>
      </c>
      <c r="K1721">
        <v>7.1500000000000001E-3</v>
      </c>
      <c r="L1721">
        <v>9.8200000000000006E-3</v>
      </c>
      <c r="M1721">
        <v>0.245</v>
      </c>
      <c r="N1721">
        <v>1.4500000000000001E-2</v>
      </c>
      <c r="O1721">
        <v>9.9600000000000001E-3</v>
      </c>
      <c r="P1721" s="3">
        <f t="shared" si="104"/>
        <v>2001.8389212624945</v>
      </c>
      <c r="Q1721" s="3">
        <f t="shared" si="105"/>
        <v>7.1491030437300651E-3</v>
      </c>
      <c r="R1721" s="3">
        <f t="shared" si="106"/>
        <v>9.8200000000000006E-3</v>
      </c>
      <c r="S1721">
        <f t="shared" si="107"/>
        <v>42</v>
      </c>
      <c r="T1721">
        <f>INDEX([1]IDEN_level_ids!$B:$B,MATCH(G1721,[1]IDEN_level_ids!$A:$A,0),1)</f>
        <v>1186</v>
      </c>
      <c r="U1721">
        <f>INDEX([1]IDEN_level_ids!$B:$B,MATCH(H1721,[1]IDEN_level_ids!$A:$A,0),1)</f>
        <v>995</v>
      </c>
    </row>
    <row r="1722" spans="1:21" hidden="1" x14ac:dyDescent="0.25">
      <c r="A1722">
        <v>49925.088100000001</v>
      </c>
      <c r="B1722">
        <v>2003.001</v>
      </c>
      <c r="C1722">
        <v>9</v>
      </c>
      <c r="D1722" t="s">
        <v>594</v>
      </c>
      <c r="F1722">
        <v>1969</v>
      </c>
      <c r="G1722" s="1" t="s">
        <v>77</v>
      </c>
      <c r="H1722" s="1" t="s">
        <v>565</v>
      </c>
      <c r="I1722">
        <v>0.12280000000000001</v>
      </c>
      <c r="J1722">
        <v>49925.153700000003</v>
      </c>
      <c r="K1722">
        <v>2.63E-3</v>
      </c>
      <c r="L1722">
        <v>9.8300000000000002E-3</v>
      </c>
      <c r="M1722">
        <v>0.245</v>
      </c>
      <c r="N1722">
        <v>1.15E-2</v>
      </c>
      <c r="O1722">
        <v>9.9399999999999992E-3</v>
      </c>
      <c r="P1722" s="3">
        <f t="shared" si="104"/>
        <v>2003.0009721705428</v>
      </c>
      <c r="Q1722" s="3">
        <f t="shared" si="105"/>
        <v>2.6318770005673287E-3</v>
      </c>
      <c r="R1722" s="3">
        <f t="shared" si="106"/>
        <v>9.8300000000000002E-3</v>
      </c>
      <c r="S1722">
        <f t="shared" si="107"/>
        <v>42</v>
      </c>
      <c r="T1722">
        <f>INDEX([1]IDEN_level_ids!$B:$B,MATCH(G1722,[1]IDEN_level_ids!$A:$A,0),1)</f>
        <v>1197</v>
      </c>
      <c r="U1722">
        <f>INDEX([1]IDEN_level_ids!$B:$B,MATCH(H1722,[1]IDEN_level_ids!$A:$A,0),1)</f>
        <v>1004</v>
      </c>
    </row>
    <row r="1723" spans="1:21" hidden="1" x14ac:dyDescent="0.25">
      <c r="A1723">
        <v>49902.491099999999</v>
      </c>
      <c r="B1723">
        <v>2003.9079999999999</v>
      </c>
      <c r="C1723">
        <v>9</v>
      </c>
      <c r="D1723" t="s">
        <v>594</v>
      </c>
      <c r="F1723">
        <v>1969</v>
      </c>
      <c r="G1723" s="1" t="s">
        <v>247</v>
      </c>
      <c r="H1723" s="1" t="s">
        <v>566</v>
      </c>
      <c r="I1723">
        <v>0</v>
      </c>
      <c r="J1723">
        <v>49902.480100000001</v>
      </c>
      <c r="K1723">
        <v>-4.4000000000000002E-4</v>
      </c>
      <c r="L1723">
        <v>9.8399999999999998E-3</v>
      </c>
      <c r="M1723">
        <v>0.245</v>
      </c>
      <c r="N1723">
        <v>2.52E-2</v>
      </c>
      <c r="O1723">
        <v>1.009E-2</v>
      </c>
      <c r="P1723" s="3">
        <f t="shared" si="104"/>
        <v>2003.90797725126</v>
      </c>
      <c r="Q1723" s="3">
        <f t="shared" si="105"/>
        <v>-4.4172128718855674E-4</v>
      </c>
      <c r="R1723" s="3">
        <f t="shared" si="106"/>
        <v>9.8399999999999998E-3</v>
      </c>
      <c r="S1723">
        <f t="shared" si="107"/>
        <v>42</v>
      </c>
      <c r="T1723">
        <f>INDEX([1]IDEN_level_ids!$B:$B,MATCH(G1723,[1]IDEN_level_ids!$A:$A,0),1)</f>
        <v>1200</v>
      </c>
      <c r="U1723">
        <f>INDEX([1]IDEN_level_ids!$B:$B,MATCH(H1723,[1]IDEN_level_ids!$A:$A,0),1)</f>
        <v>1000</v>
      </c>
    </row>
    <row r="1724" spans="1:21" hidden="1" x14ac:dyDescent="0.25">
      <c r="A1724">
        <v>49889.840700000001</v>
      </c>
      <c r="B1724">
        <v>2004.4160999999999</v>
      </c>
      <c r="C1724">
        <v>9</v>
      </c>
      <c r="D1724" t="s">
        <v>594</v>
      </c>
      <c r="F1724">
        <v>1969</v>
      </c>
      <c r="G1724" s="1" t="s">
        <v>77</v>
      </c>
      <c r="H1724" s="1" t="s">
        <v>566</v>
      </c>
      <c r="I1724">
        <v>0</v>
      </c>
      <c r="J1724">
        <v>49889.908600000002</v>
      </c>
      <c r="K1724">
        <v>2.7299999999999998E-3</v>
      </c>
      <c r="L1724">
        <v>9.8399999999999998E-3</v>
      </c>
      <c r="M1724">
        <v>0.245</v>
      </c>
      <c r="N1724">
        <v>2.1600000000000001E-2</v>
      </c>
      <c r="O1724">
        <v>1.0059999999999999E-2</v>
      </c>
      <c r="P1724" s="3">
        <f t="shared" si="104"/>
        <v>2004.4161014929839</v>
      </c>
      <c r="Q1724" s="3">
        <f t="shared" si="105"/>
        <v>2.728003660649847E-3</v>
      </c>
      <c r="R1724" s="3">
        <f t="shared" si="106"/>
        <v>9.8399999999999998E-3</v>
      </c>
      <c r="S1724">
        <f t="shared" si="107"/>
        <v>42</v>
      </c>
      <c r="T1724">
        <f>INDEX([1]IDEN_level_ids!$B:$B,MATCH(G1724,[1]IDEN_level_ids!$A:$A,0),1)</f>
        <v>1197</v>
      </c>
      <c r="U1724">
        <f>INDEX([1]IDEN_level_ids!$B:$B,MATCH(H1724,[1]IDEN_level_ids!$A:$A,0),1)</f>
        <v>1000</v>
      </c>
    </row>
    <row r="1725" spans="1:21" hidden="1" x14ac:dyDescent="0.25">
      <c r="A1725">
        <v>49854.996899999998</v>
      </c>
      <c r="B1725">
        <v>2005.817</v>
      </c>
      <c r="C1725">
        <v>9</v>
      </c>
      <c r="D1725" t="s">
        <v>594</v>
      </c>
      <c r="F1725">
        <v>1969</v>
      </c>
      <c r="G1725" s="1" t="s">
        <v>108</v>
      </c>
      <c r="H1725" s="1" t="s">
        <v>474</v>
      </c>
      <c r="I1725">
        <v>0.1988</v>
      </c>
      <c r="J1725">
        <v>49855.048199999997</v>
      </c>
      <c r="K1725">
        <v>2.0600000000000002E-3</v>
      </c>
      <c r="L1725">
        <v>9.8600000000000007E-3</v>
      </c>
      <c r="M1725">
        <v>0.245</v>
      </c>
      <c r="N1725">
        <v>1.46E-2</v>
      </c>
      <c r="O1725">
        <v>0.01</v>
      </c>
      <c r="P1725" s="3">
        <f t="shared" si="104"/>
        <v>2005.8169936422162</v>
      </c>
      <c r="Q1725" s="3">
        <f t="shared" si="105"/>
        <v>2.0639517058498313E-3</v>
      </c>
      <c r="R1725" s="3">
        <f t="shared" si="106"/>
        <v>9.8600000000000007E-3</v>
      </c>
      <c r="S1725">
        <f t="shared" si="107"/>
        <v>42</v>
      </c>
      <c r="T1725">
        <f>INDEX([1]IDEN_level_ids!$B:$B,MATCH(G1725,[1]IDEN_level_ids!$A:$A,0),1)</f>
        <v>1149</v>
      </c>
      <c r="U1725">
        <f>INDEX([1]IDEN_level_ids!$B:$B,MATCH(H1725,[1]IDEN_level_ids!$A:$A,0),1)</f>
        <v>959</v>
      </c>
    </row>
    <row r="1726" spans="1:21" hidden="1" x14ac:dyDescent="0.25">
      <c r="A1726">
        <v>49848.661800000002</v>
      </c>
      <c r="B1726">
        <v>2006.0718999999999</v>
      </c>
      <c r="C1726">
        <v>9</v>
      </c>
      <c r="D1726" t="s">
        <v>594</v>
      </c>
      <c r="F1726">
        <v>1969</v>
      </c>
      <c r="G1726" s="1" t="s">
        <v>556</v>
      </c>
      <c r="H1726" s="1" t="s">
        <v>93</v>
      </c>
      <c r="I1726">
        <v>0</v>
      </c>
      <c r="J1726">
        <v>49848.704299999998</v>
      </c>
      <c r="K1726">
        <v>1.7099999999999999E-3</v>
      </c>
      <c r="L1726">
        <v>9.8600000000000007E-3</v>
      </c>
      <c r="M1726">
        <v>0.245</v>
      </c>
      <c r="N1726">
        <v>0.19209999999999999</v>
      </c>
      <c r="O1726">
        <v>1.2200000000000001E-2</v>
      </c>
      <c r="P1726" s="3">
        <f t="shared" si="104"/>
        <v>2006.0719062271796</v>
      </c>
      <c r="Q1726" s="3">
        <f t="shared" si="105"/>
        <v>1.7103364509694075E-3</v>
      </c>
      <c r="R1726" s="3">
        <f t="shared" si="106"/>
        <v>9.8600000000000007E-3</v>
      </c>
      <c r="S1726">
        <f t="shared" si="107"/>
        <v>42</v>
      </c>
      <c r="T1726">
        <f>INDEX([1]IDEN_level_ids!$B:$B,MATCH(G1726,[1]IDEN_level_ids!$A:$A,0),1)</f>
        <v>973</v>
      </c>
      <c r="U1726">
        <f>INDEX([1]IDEN_level_ids!$B:$B,MATCH(H1726,[1]IDEN_level_ids!$A:$A,0),1)</f>
        <v>554</v>
      </c>
    </row>
    <row r="1727" spans="1:21" hidden="1" x14ac:dyDescent="0.25">
      <c r="A1727">
        <v>49836.4113</v>
      </c>
      <c r="B1727">
        <v>2006.5650000000001</v>
      </c>
      <c r="C1727">
        <v>9</v>
      </c>
      <c r="D1727" t="s">
        <v>594</v>
      </c>
      <c r="F1727">
        <v>1969</v>
      </c>
      <c r="G1727" s="1" t="s">
        <v>140</v>
      </c>
      <c r="H1727" s="1" t="s">
        <v>578</v>
      </c>
      <c r="I1727">
        <v>0.18779999999999999</v>
      </c>
      <c r="J1727">
        <v>49836.480600000003</v>
      </c>
      <c r="K1727">
        <v>2.7899999999999999E-3</v>
      </c>
      <c r="L1727">
        <v>9.8600000000000007E-3</v>
      </c>
      <c r="M1727">
        <v>0.245</v>
      </c>
      <c r="N1727">
        <v>1.1299999999999999E-2</v>
      </c>
      <c r="O1727">
        <v>9.9799999999999993E-3</v>
      </c>
      <c r="P1727" s="3">
        <f t="shared" si="104"/>
        <v>2006.5650272855823</v>
      </c>
      <c r="Q1727" s="3">
        <f t="shared" si="105"/>
        <v>2.7902242438813118E-3</v>
      </c>
      <c r="R1727" s="3">
        <f t="shared" si="106"/>
        <v>9.8600000000000007E-3</v>
      </c>
      <c r="S1727">
        <f t="shared" si="107"/>
        <v>42</v>
      </c>
      <c r="T1727">
        <f>INDEX([1]IDEN_level_ids!$B:$B,MATCH(G1727,[1]IDEN_level_ids!$A:$A,0),1)</f>
        <v>1198</v>
      </c>
      <c r="U1727">
        <f>INDEX([1]IDEN_level_ids!$B:$B,MATCH(H1727,[1]IDEN_level_ids!$A:$A,0),1)</f>
        <v>1003</v>
      </c>
    </row>
    <row r="1728" spans="1:21" hidden="1" x14ac:dyDescent="0.25">
      <c r="A1728">
        <v>49831.4951</v>
      </c>
      <c r="B1728">
        <v>2006.7629999999999</v>
      </c>
      <c r="C1728">
        <v>9</v>
      </c>
      <c r="D1728" t="s">
        <v>594</v>
      </c>
      <c r="F1728">
        <v>1969</v>
      </c>
      <c r="G1728" s="1" t="s">
        <v>83</v>
      </c>
      <c r="H1728" s="1" t="s">
        <v>568</v>
      </c>
      <c r="I1728">
        <v>0</v>
      </c>
      <c r="J1728">
        <v>49831.695200000002</v>
      </c>
      <c r="K1728">
        <v>8.0599999999999995E-3</v>
      </c>
      <c r="L1728">
        <v>9.8700000000000003E-3</v>
      </c>
      <c r="M1728">
        <v>0.245</v>
      </c>
      <c r="N1728">
        <v>1.5100000000000001E-2</v>
      </c>
      <c r="O1728">
        <v>1.0019999999999999E-2</v>
      </c>
      <c r="P1728" s="3">
        <f t="shared" si="104"/>
        <v>2006.7629879321039</v>
      </c>
      <c r="Q1728" s="3">
        <f t="shared" si="105"/>
        <v>8.0581901192999794E-3</v>
      </c>
      <c r="R1728" s="3">
        <f t="shared" si="106"/>
        <v>9.8700000000000003E-3</v>
      </c>
      <c r="S1728">
        <f t="shared" si="107"/>
        <v>42</v>
      </c>
      <c r="T1728">
        <f>INDEX([1]IDEN_level_ids!$B:$B,MATCH(G1728,[1]IDEN_level_ids!$A:$A,0),1)</f>
        <v>1175</v>
      </c>
      <c r="U1728">
        <f>INDEX([1]IDEN_level_ids!$B:$B,MATCH(H1728,[1]IDEN_level_ids!$A:$A,0),1)</f>
        <v>988</v>
      </c>
    </row>
    <row r="1729" spans="1:21" hidden="1" x14ac:dyDescent="0.25">
      <c r="A1729">
        <v>49807.2958</v>
      </c>
      <c r="B1729">
        <v>2007.7380000000001</v>
      </c>
      <c r="C1729">
        <v>9</v>
      </c>
      <c r="D1729" t="s">
        <v>594</v>
      </c>
      <c r="F1729">
        <v>1969</v>
      </c>
      <c r="G1729" s="1" t="s">
        <v>56</v>
      </c>
      <c r="H1729" s="1" t="s">
        <v>452</v>
      </c>
      <c r="I1729">
        <v>0.18779999999999999</v>
      </c>
      <c r="J1729">
        <v>49807.347800000003</v>
      </c>
      <c r="K1729">
        <v>2.0899999999999998E-3</v>
      </c>
      <c r="L1729">
        <v>9.8799999999999999E-3</v>
      </c>
      <c r="M1729">
        <v>0.245</v>
      </c>
      <c r="N1729">
        <v>1.17E-2</v>
      </c>
      <c r="O1729">
        <v>9.9900000000000006E-3</v>
      </c>
      <c r="P1729" s="3">
        <f t="shared" si="104"/>
        <v>2007.737990866792</v>
      </c>
      <c r="Q1729" s="3">
        <f t="shared" si="105"/>
        <v>2.0961239686130284E-3</v>
      </c>
      <c r="R1729" s="3">
        <f t="shared" si="106"/>
        <v>9.8799999999999999E-3</v>
      </c>
      <c r="S1729">
        <f t="shared" si="107"/>
        <v>42</v>
      </c>
      <c r="T1729">
        <f>INDEX([1]IDEN_level_ids!$B:$B,MATCH(G1729,[1]IDEN_level_ids!$A:$A,0),1)</f>
        <v>1221</v>
      </c>
      <c r="U1729">
        <f>INDEX([1]IDEN_level_ids!$B:$B,MATCH(H1729,[1]IDEN_level_ids!$A:$A,0),1)</f>
        <v>1033</v>
      </c>
    </row>
    <row r="1730" spans="1:21" hidden="1" x14ac:dyDescent="0.25">
      <c r="A1730">
        <v>49799.162300000004</v>
      </c>
      <c r="B1730">
        <v>2008.0659000000001</v>
      </c>
      <c r="C1730">
        <v>9</v>
      </c>
      <c r="D1730" t="s">
        <v>594</v>
      </c>
      <c r="F1730">
        <v>1969</v>
      </c>
      <c r="G1730" s="1" t="s">
        <v>53</v>
      </c>
      <c r="H1730" s="1" t="s">
        <v>569</v>
      </c>
      <c r="I1730">
        <v>0</v>
      </c>
      <c r="J1730">
        <v>49799.2958</v>
      </c>
      <c r="K1730">
        <v>5.3800000000000002E-3</v>
      </c>
      <c r="L1730">
        <v>9.8799999999999999E-3</v>
      </c>
      <c r="M1730">
        <v>0.245</v>
      </c>
      <c r="N1730">
        <v>1.4200000000000001E-2</v>
      </c>
      <c r="O1730">
        <v>1.0019999999999999E-2</v>
      </c>
      <c r="P1730" s="3">
        <f t="shared" ref="P1730:P1793" si="108">100000000/$A1730</f>
        <v>2008.0659067632548</v>
      </c>
      <c r="Q1730" s="3">
        <f t="shared" ref="Q1730:Q1793" si="109">100000000/($A1730)-100000000/$J1730</f>
        <v>5.3831443647140986E-3</v>
      </c>
      <c r="R1730" s="3">
        <f t="shared" si="106"/>
        <v>9.8799999999999999E-3</v>
      </c>
      <c r="S1730">
        <f t="shared" si="107"/>
        <v>42</v>
      </c>
      <c r="T1730">
        <f>INDEX([1]IDEN_level_ids!$B:$B,MATCH(G1730,[1]IDEN_level_ids!$A:$A,0),1)</f>
        <v>1231</v>
      </c>
      <c r="U1730">
        <f>INDEX([1]IDEN_level_ids!$B:$B,MATCH(H1730,[1]IDEN_level_ids!$A:$A,0),1)</f>
        <v>1049</v>
      </c>
    </row>
    <row r="1731" spans="1:21" hidden="1" x14ac:dyDescent="0.25">
      <c r="A1731">
        <v>49773.359499999999</v>
      </c>
      <c r="B1731">
        <v>2009.1069</v>
      </c>
      <c r="C1731">
        <v>9</v>
      </c>
      <c r="D1731" t="s">
        <v>594</v>
      </c>
      <c r="F1731">
        <v>1969</v>
      </c>
      <c r="G1731" s="1" t="s">
        <v>53</v>
      </c>
      <c r="H1731" s="1" t="s">
        <v>595</v>
      </c>
      <c r="I1731">
        <v>0</v>
      </c>
      <c r="J1731">
        <v>49773.510900000001</v>
      </c>
      <c r="K1731">
        <v>6.11E-3</v>
      </c>
      <c r="L1731">
        <v>9.8899999999999995E-3</v>
      </c>
      <c r="M1731">
        <v>0.245</v>
      </c>
      <c r="N1731">
        <v>1.4999999999999999E-2</v>
      </c>
      <c r="O1731">
        <v>1.004E-2</v>
      </c>
      <c r="P1731" s="3">
        <f t="shared" si="108"/>
        <v>2009.1068998466942</v>
      </c>
      <c r="Q1731" s="3">
        <f t="shared" si="109"/>
        <v>6.1112583609883586E-3</v>
      </c>
      <c r="R1731" s="3">
        <f t="shared" ref="R1731:R1794" si="110">$L1731</f>
        <v>9.8899999999999995E-3</v>
      </c>
      <c r="S1731">
        <f t="shared" si="107"/>
        <v>42</v>
      </c>
      <c r="T1731">
        <f>INDEX([1]IDEN_level_ids!$B:$B,MATCH(G1731,[1]IDEN_level_ids!$A:$A,0),1)</f>
        <v>1231</v>
      </c>
      <c r="U1731">
        <f>INDEX([1]IDEN_level_ids!$B:$B,MATCH(H1731,[1]IDEN_level_ids!$A:$A,0),1)</f>
        <v>1052</v>
      </c>
    </row>
    <row r="1732" spans="1:21" hidden="1" x14ac:dyDescent="0.25">
      <c r="A1732">
        <v>49764.437700000002</v>
      </c>
      <c r="B1732">
        <v>2009.4671000000001</v>
      </c>
      <c r="C1732">
        <v>9</v>
      </c>
      <c r="D1732" t="s">
        <v>594</v>
      </c>
      <c r="F1732">
        <v>1969</v>
      </c>
      <c r="G1732" s="1" t="s">
        <v>197</v>
      </c>
      <c r="H1732" s="1" t="s">
        <v>560</v>
      </c>
      <c r="I1732">
        <v>0</v>
      </c>
      <c r="J1732">
        <v>49764.566500000001</v>
      </c>
      <c r="K1732">
        <v>5.1999999999999998E-3</v>
      </c>
      <c r="L1732">
        <v>9.8899999999999995E-3</v>
      </c>
      <c r="M1732">
        <v>0.245</v>
      </c>
      <c r="N1732">
        <v>3.6499999999999998E-2</v>
      </c>
      <c r="O1732">
        <v>1.027E-2</v>
      </c>
      <c r="P1732" s="3">
        <f t="shared" si="108"/>
        <v>2009.4670938078336</v>
      </c>
      <c r="Q1732" s="3">
        <f t="shared" si="109"/>
        <v>5.2008764444053668E-3</v>
      </c>
      <c r="R1732" s="3">
        <f t="shared" si="110"/>
        <v>9.8899999999999995E-3</v>
      </c>
      <c r="S1732">
        <f t="shared" ref="S1732:S1795" si="111">IF(D1732=D1731,S1731,S1731+1)</f>
        <v>42</v>
      </c>
      <c r="T1732">
        <f>INDEX([1]IDEN_level_ids!$B:$B,MATCH(G1732,[1]IDEN_level_ids!$A:$A,0),1)</f>
        <v>1182</v>
      </c>
      <c r="U1732">
        <f>INDEX([1]IDEN_level_ids!$B:$B,MATCH(H1732,[1]IDEN_level_ids!$A:$A,0),1)</f>
        <v>993</v>
      </c>
    </row>
    <row r="1733" spans="1:21" hidden="1" x14ac:dyDescent="0.25">
      <c r="A1733">
        <v>49753.595600000001</v>
      </c>
      <c r="B1733">
        <v>2009.905</v>
      </c>
      <c r="C1733">
        <v>9</v>
      </c>
      <c r="D1733" t="s">
        <v>594</v>
      </c>
      <c r="F1733">
        <v>1969</v>
      </c>
      <c r="G1733" s="1" t="s">
        <v>69</v>
      </c>
      <c r="H1733" s="1" t="s">
        <v>441</v>
      </c>
      <c r="I1733">
        <v>7.22E-2</v>
      </c>
      <c r="J1733">
        <v>49753.676399999997</v>
      </c>
      <c r="K1733">
        <v>3.2699999999999999E-3</v>
      </c>
      <c r="L1733">
        <v>9.9000000000000008E-3</v>
      </c>
      <c r="M1733">
        <v>0.245</v>
      </c>
      <c r="N1733">
        <v>1.29E-2</v>
      </c>
      <c r="O1733">
        <v>1.0030000000000001E-2</v>
      </c>
      <c r="P1733" s="3">
        <f t="shared" si="108"/>
        <v>2009.9049886557345</v>
      </c>
      <c r="Q1733" s="3">
        <f t="shared" si="109"/>
        <v>3.2640868942053203E-3</v>
      </c>
      <c r="R1733" s="3">
        <f t="shared" si="110"/>
        <v>9.9000000000000008E-3</v>
      </c>
      <c r="S1733">
        <f t="shared" si="111"/>
        <v>42</v>
      </c>
      <c r="T1733">
        <f>INDEX([1]IDEN_level_ids!$B:$B,MATCH(G1733,[1]IDEN_level_ids!$A:$A,0),1)</f>
        <v>1218</v>
      </c>
      <c r="U1733">
        <f>INDEX([1]IDEN_level_ids!$B:$B,MATCH(H1733,[1]IDEN_level_ids!$A:$A,0),1)</f>
        <v>1034</v>
      </c>
    </row>
    <row r="1734" spans="1:21" hidden="1" x14ac:dyDescent="0.25">
      <c r="A1734">
        <v>49742.851199999997</v>
      </c>
      <c r="B1734">
        <v>2010.3390999999999</v>
      </c>
      <c r="C1734">
        <v>9</v>
      </c>
      <c r="D1734" t="s">
        <v>594</v>
      </c>
      <c r="F1734">
        <v>1969</v>
      </c>
      <c r="G1734" s="1" t="s">
        <v>141</v>
      </c>
      <c r="H1734" s="1" t="s">
        <v>501</v>
      </c>
      <c r="I1734">
        <v>0.1444</v>
      </c>
      <c r="J1734">
        <v>49742.997100000001</v>
      </c>
      <c r="K1734">
        <v>5.8999999999999999E-3</v>
      </c>
      <c r="L1734">
        <v>9.9000000000000008E-3</v>
      </c>
      <c r="M1734">
        <v>0.245</v>
      </c>
      <c r="N1734">
        <v>1.6799999999999999E-2</v>
      </c>
      <c r="O1734">
        <v>1.0070000000000001E-2</v>
      </c>
      <c r="P1734" s="3">
        <f t="shared" si="108"/>
        <v>2010.3391258762426</v>
      </c>
      <c r="Q1734" s="3">
        <f t="shared" si="109"/>
        <v>5.8964778074823698E-3</v>
      </c>
      <c r="R1734" s="3">
        <f t="shared" si="110"/>
        <v>9.9000000000000008E-3</v>
      </c>
      <c r="S1734">
        <f t="shared" si="111"/>
        <v>42</v>
      </c>
      <c r="T1734">
        <f>INDEX([1]IDEN_level_ids!$B:$B,MATCH(G1734,[1]IDEN_level_ids!$A:$A,0),1)</f>
        <v>1155</v>
      </c>
      <c r="U1734">
        <f>INDEX([1]IDEN_level_ids!$B:$B,MATCH(H1734,[1]IDEN_level_ids!$A:$A,0),1)</f>
        <v>969</v>
      </c>
    </row>
    <row r="1735" spans="1:21" hidden="1" x14ac:dyDescent="0.25">
      <c r="A1735">
        <v>49726.305999999997</v>
      </c>
      <c r="B1735">
        <v>2011.008</v>
      </c>
      <c r="C1735">
        <v>9</v>
      </c>
      <c r="D1735" t="s">
        <v>594</v>
      </c>
      <c r="E1735" t="s">
        <v>236</v>
      </c>
      <c r="F1735">
        <v>1969</v>
      </c>
      <c r="G1735" s="1" t="s">
        <v>166</v>
      </c>
      <c r="H1735" s="1" t="s">
        <v>584</v>
      </c>
      <c r="I1735">
        <v>0</v>
      </c>
      <c r="J1735">
        <v>49726.525500000003</v>
      </c>
      <c r="K1735">
        <v>8.8800000000000007E-3</v>
      </c>
      <c r="L1735">
        <v>1.52E-2</v>
      </c>
      <c r="M1735">
        <v>0.37580000000000002</v>
      </c>
      <c r="N1735">
        <v>6.1999999999999998E-3</v>
      </c>
      <c r="O1735">
        <v>1.529E-2</v>
      </c>
      <c r="P1735" s="3">
        <f t="shared" si="108"/>
        <v>2011.0080165616969</v>
      </c>
      <c r="Q1735" s="3">
        <f t="shared" si="109"/>
        <v>8.8768771838658722E-3</v>
      </c>
      <c r="R1735" s="3">
        <f t="shared" si="110"/>
        <v>1.52E-2</v>
      </c>
      <c r="S1735">
        <f t="shared" si="111"/>
        <v>42</v>
      </c>
      <c r="T1735">
        <f>INDEX([1]IDEN_level_ids!$B:$B,MATCH(G1735,[1]IDEN_level_ids!$A:$A,0),1)</f>
        <v>1186</v>
      </c>
      <c r="U1735">
        <f>INDEX([1]IDEN_level_ids!$B:$B,MATCH(H1735,[1]IDEN_level_ids!$A:$A,0),1)</f>
        <v>992</v>
      </c>
    </row>
    <row r="1736" spans="1:21" hidden="1" x14ac:dyDescent="0.25">
      <c r="A1736">
        <v>49716.911200000002</v>
      </c>
      <c r="B1736">
        <v>2011.3879999999999</v>
      </c>
      <c r="C1736">
        <v>9</v>
      </c>
      <c r="D1736" t="s">
        <v>594</v>
      </c>
      <c r="F1736">
        <v>1969</v>
      </c>
      <c r="G1736" s="1" t="s">
        <v>244</v>
      </c>
      <c r="H1736" s="1" t="s">
        <v>562</v>
      </c>
      <c r="I1736">
        <v>0</v>
      </c>
      <c r="J1736">
        <v>49717.157200000001</v>
      </c>
      <c r="K1736">
        <v>9.9500000000000005E-3</v>
      </c>
      <c r="L1736">
        <v>9.9100000000000004E-3</v>
      </c>
      <c r="M1736">
        <v>0.245</v>
      </c>
      <c r="N1736">
        <v>1.4999999999999999E-2</v>
      </c>
      <c r="O1736">
        <v>1.0059999999999999E-2</v>
      </c>
      <c r="P1736" s="3">
        <f t="shared" si="108"/>
        <v>2011.3880284662575</v>
      </c>
      <c r="Q1736" s="3">
        <f t="shared" si="109"/>
        <v>9.9523279864115466E-3</v>
      </c>
      <c r="R1736" s="3">
        <f t="shared" si="110"/>
        <v>9.9100000000000004E-3</v>
      </c>
      <c r="S1736">
        <f t="shared" si="111"/>
        <v>42</v>
      </c>
      <c r="T1736">
        <f>INDEX([1]IDEN_level_ids!$B:$B,MATCH(G1736,[1]IDEN_level_ids!$A:$A,0),1)</f>
        <v>1195</v>
      </c>
      <c r="U1736">
        <f>INDEX([1]IDEN_level_ids!$B:$B,MATCH(H1736,[1]IDEN_level_ids!$A:$A,0),1)</f>
        <v>999</v>
      </c>
    </row>
    <row r="1737" spans="1:21" hidden="1" x14ac:dyDescent="0.25">
      <c r="A1737">
        <v>49711.842700000001</v>
      </c>
      <c r="B1737">
        <v>2011.5931</v>
      </c>
      <c r="C1737">
        <v>9</v>
      </c>
      <c r="D1737" t="s">
        <v>594</v>
      </c>
      <c r="F1737">
        <v>1969</v>
      </c>
      <c r="G1737" s="1" t="s">
        <v>27</v>
      </c>
      <c r="H1737" s="1" t="s">
        <v>407</v>
      </c>
      <c r="I1737">
        <v>0.20150000000000001</v>
      </c>
      <c r="J1737">
        <v>49711.948499999999</v>
      </c>
      <c r="K1737">
        <v>4.28E-3</v>
      </c>
      <c r="L1737">
        <v>9.9100000000000004E-3</v>
      </c>
      <c r="M1737">
        <v>0.245</v>
      </c>
      <c r="N1737">
        <v>1.38E-2</v>
      </c>
      <c r="O1737">
        <v>1.005E-2</v>
      </c>
      <c r="P1737" s="3">
        <f t="shared" si="108"/>
        <v>2011.5931047552981</v>
      </c>
      <c r="Q1737" s="3">
        <f t="shared" si="109"/>
        <v>4.2811951029761985E-3</v>
      </c>
      <c r="R1737" s="3">
        <f t="shared" si="110"/>
        <v>9.9100000000000004E-3</v>
      </c>
      <c r="S1737">
        <f t="shared" si="111"/>
        <v>42</v>
      </c>
      <c r="T1737">
        <f>INDEX([1]IDEN_level_ids!$B:$B,MATCH(G1737,[1]IDEN_level_ids!$A:$A,0),1)</f>
        <v>1242</v>
      </c>
      <c r="U1737">
        <f>INDEX([1]IDEN_level_ids!$B:$B,MATCH(H1737,[1]IDEN_level_ids!$A:$A,0),1)</f>
        <v>1073</v>
      </c>
    </row>
    <row r="1738" spans="1:21" hidden="1" x14ac:dyDescent="0.25">
      <c r="A1738">
        <v>49679.667500000003</v>
      </c>
      <c r="B1738">
        <v>2012.8959</v>
      </c>
      <c r="C1738">
        <v>9</v>
      </c>
      <c r="D1738" t="s">
        <v>594</v>
      </c>
      <c r="F1738">
        <v>1969</v>
      </c>
      <c r="G1738" s="1" t="s">
        <v>239</v>
      </c>
      <c r="H1738" s="1" t="s">
        <v>513</v>
      </c>
      <c r="I1738">
        <v>0.19059999999999999</v>
      </c>
      <c r="J1738">
        <v>49679.773999999998</v>
      </c>
      <c r="K1738">
        <v>4.3200000000000001E-3</v>
      </c>
      <c r="L1738">
        <v>9.9299999999999996E-3</v>
      </c>
      <c r="M1738">
        <v>0.245</v>
      </c>
      <c r="N1738">
        <v>1.4200000000000001E-2</v>
      </c>
      <c r="O1738">
        <v>1.0070000000000001E-2</v>
      </c>
      <c r="P1738" s="3">
        <f t="shared" si="108"/>
        <v>2012.8959196435844</v>
      </c>
      <c r="Q1738" s="3">
        <f t="shared" si="109"/>
        <v>4.3151044815203932E-3</v>
      </c>
      <c r="R1738" s="3">
        <f t="shared" si="110"/>
        <v>9.9299999999999996E-3</v>
      </c>
      <c r="S1738">
        <f t="shared" si="111"/>
        <v>42</v>
      </c>
      <c r="T1738">
        <f>INDEX([1]IDEN_level_ids!$B:$B,MATCH(G1738,[1]IDEN_level_ids!$A:$A,0),1)</f>
        <v>1167</v>
      </c>
      <c r="U1738">
        <f>INDEX([1]IDEN_level_ids!$B:$B,MATCH(H1738,[1]IDEN_level_ids!$A:$A,0),1)</f>
        <v>979</v>
      </c>
    </row>
    <row r="1739" spans="1:21" hidden="1" x14ac:dyDescent="0.25">
      <c r="A1739">
        <v>49676.726999999999</v>
      </c>
      <c r="B1739">
        <v>2013.0151000000001</v>
      </c>
      <c r="C1739">
        <v>9</v>
      </c>
      <c r="D1739" t="s">
        <v>594</v>
      </c>
      <c r="F1739">
        <v>1969</v>
      </c>
      <c r="G1739" s="1" t="s">
        <v>41</v>
      </c>
      <c r="H1739" s="1" t="s">
        <v>431</v>
      </c>
      <c r="I1739">
        <v>0.21</v>
      </c>
      <c r="J1739">
        <v>49676.783000000003</v>
      </c>
      <c r="K1739">
        <v>2.2699999999999999E-3</v>
      </c>
      <c r="L1739">
        <v>9.9299999999999996E-3</v>
      </c>
      <c r="M1739">
        <v>0.245</v>
      </c>
      <c r="N1739">
        <v>1.26E-2</v>
      </c>
      <c r="O1739">
        <v>1.005E-2</v>
      </c>
      <c r="P1739" s="3">
        <f t="shared" si="108"/>
        <v>2013.0150684041644</v>
      </c>
      <c r="Q1739" s="3">
        <f t="shared" si="109"/>
        <v>2.2692460547659721E-3</v>
      </c>
      <c r="R1739" s="3">
        <f t="shared" si="110"/>
        <v>9.9299999999999996E-3</v>
      </c>
      <c r="S1739">
        <f t="shared" si="111"/>
        <v>42</v>
      </c>
      <c r="T1739">
        <f>INDEX([1]IDEN_level_ids!$B:$B,MATCH(G1739,[1]IDEN_level_ids!$A:$A,0),1)</f>
        <v>1238</v>
      </c>
      <c r="U1739">
        <f>INDEX([1]IDEN_level_ids!$B:$B,MATCH(H1739,[1]IDEN_level_ids!$A:$A,0),1)</f>
        <v>1062</v>
      </c>
    </row>
    <row r="1740" spans="1:21" hidden="1" x14ac:dyDescent="0.25">
      <c r="A1740">
        <v>49654.974000000002</v>
      </c>
      <c r="B1740">
        <v>2013.8969</v>
      </c>
      <c r="C1740">
        <v>9</v>
      </c>
      <c r="D1740" t="s">
        <v>594</v>
      </c>
      <c r="F1740">
        <v>1969</v>
      </c>
      <c r="G1740" s="1" t="s">
        <v>251</v>
      </c>
      <c r="H1740" s="1" t="s">
        <v>574</v>
      </c>
      <c r="I1740">
        <v>0</v>
      </c>
      <c r="J1740">
        <v>49655.279699999999</v>
      </c>
      <c r="K1740">
        <v>1.24E-2</v>
      </c>
      <c r="L1740">
        <v>9.9399999999999992E-3</v>
      </c>
      <c r="M1740">
        <v>0.245</v>
      </c>
      <c r="N1740">
        <v>4.5100000000000001E-2</v>
      </c>
      <c r="O1740">
        <v>1.0410000000000001E-2</v>
      </c>
      <c r="P1740" s="3">
        <f t="shared" si="108"/>
        <v>2013.896936085396</v>
      </c>
      <c r="Q1740" s="3">
        <f t="shared" si="109"/>
        <v>1.2398445786175216E-2</v>
      </c>
      <c r="R1740" s="3">
        <f t="shared" si="110"/>
        <v>9.9399999999999992E-3</v>
      </c>
      <c r="S1740">
        <f t="shared" si="111"/>
        <v>42</v>
      </c>
      <c r="T1740">
        <f>INDEX([1]IDEN_level_ids!$B:$B,MATCH(G1740,[1]IDEN_level_ids!$A:$A,0),1)</f>
        <v>1192</v>
      </c>
      <c r="U1740">
        <f>INDEX([1]IDEN_level_ids!$B:$B,MATCH(H1740,[1]IDEN_level_ids!$A:$A,0),1)</f>
        <v>996</v>
      </c>
    </row>
    <row r="1741" spans="1:21" hidden="1" x14ac:dyDescent="0.25">
      <c r="A1741">
        <v>49629.120300000002</v>
      </c>
      <c r="B1741">
        <v>2014.9460999999999</v>
      </c>
      <c r="C1741">
        <v>9</v>
      </c>
      <c r="D1741" t="s">
        <v>594</v>
      </c>
      <c r="F1741">
        <v>1969</v>
      </c>
      <c r="G1741" s="1" t="s">
        <v>33</v>
      </c>
      <c r="H1741" s="1" t="s">
        <v>452</v>
      </c>
      <c r="I1741">
        <v>0.18779999999999999</v>
      </c>
      <c r="J1741">
        <v>49629.168899999997</v>
      </c>
      <c r="K1741">
        <v>1.97E-3</v>
      </c>
      <c r="L1741">
        <v>9.9500000000000005E-3</v>
      </c>
      <c r="M1741">
        <v>0.245</v>
      </c>
      <c r="N1741">
        <v>1.1599999999999999E-2</v>
      </c>
      <c r="O1741">
        <v>1.0059999999999999E-2</v>
      </c>
      <c r="P1741" s="3">
        <f t="shared" si="108"/>
        <v>2014.9460517437381</v>
      </c>
      <c r="Q1741" s="3">
        <f t="shared" si="109"/>
        <v>1.973161757177877E-3</v>
      </c>
      <c r="R1741" s="3">
        <f t="shared" si="110"/>
        <v>9.9500000000000005E-3</v>
      </c>
      <c r="S1741">
        <f t="shared" si="111"/>
        <v>42</v>
      </c>
      <c r="T1741">
        <f>INDEX([1]IDEN_level_ids!$B:$B,MATCH(G1741,[1]IDEN_level_ids!$A:$A,0),1)</f>
        <v>1220</v>
      </c>
      <c r="U1741">
        <f>INDEX([1]IDEN_level_ids!$B:$B,MATCH(H1741,[1]IDEN_level_ids!$A:$A,0),1)</f>
        <v>1033</v>
      </c>
    </row>
    <row r="1742" spans="1:21" hidden="1" x14ac:dyDescent="0.25">
      <c r="A1742">
        <v>49622.520299999996</v>
      </c>
      <c r="B1742">
        <v>2015.2139999999999</v>
      </c>
      <c r="C1742">
        <v>9</v>
      </c>
      <c r="D1742" t="s">
        <v>594</v>
      </c>
      <c r="F1742">
        <v>1969</v>
      </c>
      <c r="G1742" s="1" t="s">
        <v>18</v>
      </c>
      <c r="H1742" s="1" t="s">
        <v>477</v>
      </c>
      <c r="I1742">
        <v>0.2382</v>
      </c>
      <c r="J1742">
        <v>49622.616499999996</v>
      </c>
      <c r="K1742">
        <v>3.9100000000000003E-3</v>
      </c>
      <c r="L1742">
        <v>9.9500000000000005E-3</v>
      </c>
      <c r="M1742">
        <v>0.245</v>
      </c>
      <c r="N1742">
        <v>1.4200000000000001E-2</v>
      </c>
      <c r="O1742">
        <v>1.009E-2</v>
      </c>
      <c r="P1742" s="3">
        <f t="shared" si="108"/>
        <v>2015.2140478846256</v>
      </c>
      <c r="Q1742" s="3">
        <f t="shared" si="109"/>
        <v>3.9067587540557724E-3</v>
      </c>
      <c r="R1742" s="3">
        <f t="shared" si="110"/>
        <v>9.9500000000000005E-3</v>
      </c>
      <c r="S1742">
        <f t="shared" si="111"/>
        <v>42</v>
      </c>
      <c r="T1742">
        <f>INDEX([1]IDEN_level_ids!$B:$B,MATCH(G1742,[1]IDEN_level_ids!$A:$A,0),1)</f>
        <v>1226</v>
      </c>
      <c r="U1742">
        <f>INDEX([1]IDEN_level_ids!$B:$B,MATCH(H1742,[1]IDEN_level_ids!$A:$A,0),1)</f>
        <v>1045</v>
      </c>
    </row>
    <row r="1743" spans="1:21" hidden="1" x14ac:dyDescent="0.25">
      <c r="A1743">
        <v>49621.215499999998</v>
      </c>
      <c r="B1743">
        <v>2015.2670000000001</v>
      </c>
      <c r="C1743">
        <v>9</v>
      </c>
      <c r="D1743" t="s">
        <v>594</v>
      </c>
      <c r="F1743">
        <v>1969</v>
      </c>
      <c r="G1743" s="1" t="s">
        <v>295</v>
      </c>
      <c r="H1743" s="1" t="s">
        <v>487</v>
      </c>
      <c r="I1743">
        <v>0</v>
      </c>
      <c r="J1743">
        <v>49621.294199999997</v>
      </c>
      <c r="K1743">
        <v>3.2000000000000002E-3</v>
      </c>
      <c r="L1743">
        <v>9.9500000000000005E-3</v>
      </c>
      <c r="M1743">
        <v>0.245</v>
      </c>
      <c r="N1743">
        <v>1.26E-2</v>
      </c>
      <c r="O1743">
        <v>1.008E-2</v>
      </c>
      <c r="P1743" s="3">
        <f t="shared" si="108"/>
        <v>2015.2670383497559</v>
      </c>
      <c r="Q1743" s="3">
        <f t="shared" si="109"/>
        <v>3.1962390032731491E-3</v>
      </c>
      <c r="R1743" s="3">
        <f t="shared" si="110"/>
        <v>9.9500000000000005E-3</v>
      </c>
      <c r="S1743">
        <f t="shared" si="111"/>
        <v>42</v>
      </c>
      <c r="T1743">
        <f>INDEX([1]IDEN_level_ids!$B:$B,MATCH(G1743,[1]IDEN_level_ids!$A:$A,0),1)</f>
        <v>1152</v>
      </c>
      <c r="U1743">
        <f>INDEX([1]IDEN_level_ids!$B:$B,MATCH(H1743,[1]IDEN_level_ids!$A:$A,0),1)</f>
        <v>968</v>
      </c>
    </row>
    <row r="1744" spans="1:21" hidden="1" x14ac:dyDescent="0.25">
      <c r="A1744">
        <v>49615.7768</v>
      </c>
      <c r="B1744">
        <v>2015.4879000000001</v>
      </c>
      <c r="C1744">
        <v>9</v>
      </c>
      <c r="D1744" t="s">
        <v>594</v>
      </c>
      <c r="F1744">
        <v>1969</v>
      </c>
      <c r="G1744" s="1" t="s">
        <v>56</v>
      </c>
      <c r="H1744" s="1" t="s">
        <v>587</v>
      </c>
      <c r="I1744">
        <v>9.9500000000000005E-2</v>
      </c>
      <c r="J1744">
        <v>49615.862699999998</v>
      </c>
      <c r="K1744">
        <v>3.49E-3</v>
      </c>
      <c r="L1744">
        <v>9.9500000000000005E-3</v>
      </c>
      <c r="M1744">
        <v>0.245</v>
      </c>
      <c r="N1744">
        <v>1.11E-2</v>
      </c>
      <c r="O1744">
        <v>1.0059999999999999E-2</v>
      </c>
      <c r="P1744" s="3">
        <f t="shared" si="108"/>
        <v>2015.4879445523466</v>
      </c>
      <c r="Q1744" s="3">
        <f t="shared" si="109"/>
        <v>3.4894165901278029E-3</v>
      </c>
      <c r="R1744" s="3">
        <f t="shared" si="110"/>
        <v>9.9500000000000005E-3</v>
      </c>
      <c r="S1744">
        <f t="shared" si="111"/>
        <v>42</v>
      </c>
      <c r="T1744">
        <f>INDEX([1]IDEN_level_ids!$B:$B,MATCH(G1744,[1]IDEN_level_ids!$A:$A,0),1)</f>
        <v>1221</v>
      </c>
      <c r="U1744">
        <f>INDEX([1]IDEN_level_ids!$B:$B,MATCH(H1744,[1]IDEN_level_ids!$A:$A,0),1)</f>
        <v>1035</v>
      </c>
    </row>
    <row r="1745" spans="1:21" hidden="1" x14ac:dyDescent="0.25">
      <c r="A1745">
        <v>49613.237699999998</v>
      </c>
      <c r="B1745">
        <v>2015.5911000000001</v>
      </c>
      <c r="C1745">
        <v>9</v>
      </c>
      <c r="D1745" t="s">
        <v>594</v>
      </c>
      <c r="F1745">
        <v>1969</v>
      </c>
      <c r="G1745" s="1" t="s">
        <v>72</v>
      </c>
      <c r="H1745" s="1" t="s">
        <v>476</v>
      </c>
      <c r="I1745">
        <v>0</v>
      </c>
      <c r="J1745">
        <v>49613.362200000003</v>
      </c>
      <c r="K1745">
        <v>5.0600000000000003E-3</v>
      </c>
      <c r="L1745">
        <v>9.9500000000000005E-3</v>
      </c>
      <c r="M1745">
        <v>0.245</v>
      </c>
      <c r="N1745">
        <v>1.1599999999999999E-2</v>
      </c>
      <c r="O1745">
        <v>1.0070000000000001E-2</v>
      </c>
      <c r="P1745" s="3">
        <f t="shared" si="108"/>
        <v>2015.5910929392944</v>
      </c>
      <c r="Q1745" s="3">
        <f t="shared" si="109"/>
        <v>5.057933587977459E-3</v>
      </c>
      <c r="R1745" s="3">
        <f t="shared" si="110"/>
        <v>9.9500000000000005E-3</v>
      </c>
      <c r="S1745">
        <f t="shared" si="111"/>
        <v>42</v>
      </c>
      <c r="T1745">
        <f>INDEX([1]IDEN_level_ids!$B:$B,MATCH(G1745,[1]IDEN_level_ids!$A:$A,0),1)</f>
        <v>1225</v>
      </c>
      <c r="U1745">
        <f>INDEX([1]IDEN_level_ids!$B:$B,MATCH(H1745,[1]IDEN_level_ids!$A:$A,0),1)</f>
        <v>1037</v>
      </c>
    </row>
    <row r="1746" spans="1:21" hidden="1" x14ac:dyDescent="0.25">
      <c r="A1746">
        <v>49587.506000000001</v>
      </c>
      <c r="B1746">
        <v>2016.6369999999999</v>
      </c>
      <c r="C1746">
        <v>9</v>
      </c>
      <c r="D1746" t="s">
        <v>594</v>
      </c>
      <c r="F1746">
        <v>1969</v>
      </c>
      <c r="G1746" s="1" t="s">
        <v>194</v>
      </c>
      <c r="H1746" s="1" t="s">
        <v>550</v>
      </c>
      <c r="I1746">
        <v>0</v>
      </c>
      <c r="J1746">
        <v>49587.802199999998</v>
      </c>
      <c r="K1746">
        <v>1.205E-2</v>
      </c>
      <c r="L1746">
        <v>9.9600000000000001E-3</v>
      </c>
      <c r="M1746">
        <v>0.245</v>
      </c>
      <c r="N1746">
        <v>1.67E-2</v>
      </c>
      <c r="O1746">
        <v>1.013E-2</v>
      </c>
      <c r="P1746" s="3">
        <f t="shared" si="108"/>
        <v>2016.6370133638097</v>
      </c>
      <c r="Q1746" s="3">
        <f t="shared" si="109"/>
        <v>1.2045863233424825E-2</v>
      </c>
      <c r="R1746" s="3">
        <f t="shared" si="110"/>
        <v>9.9600000000000001E-3</v>
      </c>
      <c r="S1746">
        <f t="shared" si="111"/>
        <v>42</v>
      </c>
      <c r="T1746">
        <f>INDEX([1]IDEN_level_ids!$B:$B,MATCH(G1746,[1]IDEN_level_ids!$A:$A,0),1)</f>
        <v>1187</v>
      </c>
      <c r="U1746">
        <f>INDEX([1]IDEN_level_ids!$B:$B,MATCH(H1746,[1]IDEN_level_ids!$A:$A,0),1)</f>
        <v>997</v>
      </c>
    </row>
    <row r="1747" spans="1:21" hidden="1" x14ac:dyDescent="0.25">
      <c r="A1747">
        <v>49585.6875</v>
      </c>
      <c r="B1747">
        <v>2016.711</v>
      </c>
      <c r="C1747">
        <v>9</v>
      </c>
      <c r="D1747" t="s">
        <v>594</v>
      </c>
      <c r="F1747">
        <v>1969</v>
      </c>
      <c r="G1747" s="1" t="s">
        <v>73</v>
      </c>
      <c r="H1747" s="1" t="s">
        <v>568</v>
      </c>
      <c r="I1747">
        <v>0</v>
      </c>
      <c r="J1747">
        <v>49585.801599999999</v>
      </c>
      <c r="K1747">
        <v>4.64E-3</v>
      </c>
      <c r="L1747">
        <v>9.9600000000000001E-3</v>
      </c>
      <c r="M1747">
        <v>0.245</v>
      </c>
      <c r="N1747">
        <v>1.4999999999999999E-2</v>
      </c>
      <c r="O1747">
        <v>1.0120000000000001E-2</v>
      </c>
      <c r="P1747" s="3">
        <f t="shared" si="108"/>
        <v>2016.7109712858171</v>
      </c>
      <c r="Q1747" s="3">
        <f t="shared" si="109"/>
        <v>4.6405768264321523E-3</v>
      </c>
      <c r="R1747" s="3">
        <f t="shared" si="110"/>
        <v>9.9600000000000001E-3</v>
      </c>
      <c r="S1747">
        <f t="shared" si="111"/>
        <v>42</v>
      </c>
      <c r="T1747">
        <f>INDEX([1]IDEN_level_ids!$B:$B,MATCH(G1747,[1]IDEN_level_ids!$A:$A,0),1)</f>
        <v>1173</v>
      </c>
      <c r="U1747">
        <f>INDEX([1]IDEN_level_ids!$B:$B,MATCH(H1747,[1]IDEN_level_ids!$A:$A,0),1)</f>
        <v>988</v>
      </c>
    </row>
    <row r="1748" spans="1:21" hidden="1" x14ac:dyDescent="0.25">
      <c r="A1748">
        <v>49560.277800000003</v>
      </c>
      <c r="B1748">
        <v>2017.7448999999999</v>
      </c>
      <c r="C1748">
        <v>9</v>
      </c>
      <c r="D1748" t="s">
        <v>594</v>
      </c>
      <c r="F1748">
        <v>1969</v>
      </c>
      <c r="G1748" s="1" t="s">
        <v>285</v>
      </c>
      <c r="H1748" s="1" t="s">
        <v>508</v>
      </c>
      <c r="I1748">
        <v>0</v>
      </c>
      <c r="J1748">
        <v>49560.493300000002</v>
      </c>
      <c r="K1748">
        <v>8.7799999999999996E-3</v>
      </c>
      <c r="L1748">
        <v>9.9699999999999997E-3</v>
      </c>
      <c r="M1748">
        <v>0.245</v>
      </c>
      <c r="N1748">
        <v>1.41E-2</v>
      </c>
      <c r="O1748">
        <v>1.0120000000000001E-2</v>
      </c>
      <c r="P1748" s="3">
        <f t="shared" si="108"/>
        <v>2017.7449449244207</v>
      </c>
      <c r="Q1748" s="3">
        <f t="shared" si="109"/>
        <v>8.7736018483610678E-3</v>
      </c>
      <c r="R1748" s="3">
        <f t="shared" si="110"/>
        <v>9.9699999999999997E-3</v>
      </c>
      <c r="S1748">
        <f t="shared" si="111"/>
        <v>42</v>
      </c>
      <c r="T1748">
        <f>INDEX([1]IDEN_level_ids!$B:$B,MATCH(G1748,[1]IDEN_level_ids!$A:$A,0),1)</f>
        <v>1150</v>
      </c>
      <c r="U1748">
        <f>INDEX([1]IDEN_level_ids!$B:$B,MATCH(H1748,[1]IDEN_level_ids!$A:$A,0),1)</f>
        <v>961</v>
      </c>
    </row>
    <row r="1749" spans="1:21" hidden="1" x14ac:dyDescent="0.25">
      <c r="A1749">
        <v>49544.563800000004</v>
      </c>
      <c r="B1749">
        <v>2018.3849</v>
      </c>
      <c r="C1749">
        <v>9</v>
      </c>
      <c r="D1749" t="s">
        <v>594</v>
      </c>
      <c r="F1749">
        <v>1969</v>
      </c>
      <c r="G1749" s="1" t="s">
        <v>245</v>
      </c>
      <c r="H1749" s="1" t="s">
        <v>554</v>
      </c>
      <c r="I1749">
        <v>0</v>
      </c>
      <c r="J1749">
        <v>49544.750099999997</v>
      </c>
      <c r="K1749">
        <v>7.5900000000000004E-3</v>
      </c>
      <c r="L1749">
        <v>9.9799999999999993E-3</v>
      </c>
      <c r="M1749">
        <v>0.245</v>
      </c>
      <c r="N1749">
        <v>1.38E-2</v>
      </c>
      <c r="O1749">
        <v>1.0120000000000001E-2</v>
      </c>
      <c r="P1749" s="3">
        <f t="shared" si="108"/>
        <v>2018.3849110807994</v>
      </c>
      <c r="Q1749" s="3">
        <f t="shared" si="109"/>
        <v>7.5896055216162495E-3</v>
      </c>
      <c r="R1749" s="3">
        <f t="shared" si="110"/>
        <v>9.9799999999999993E-3</v>
      </c>
      <c r="S1749">
        <f t="shared" si="111"/>
        <v>42</v>
      </c>
      <c r="T1749">
        <f>INDEX([1]IDEN_level_ids!$B:$B,MATCH(G1749,[1]IDEN_level_ids!$A:$A,0),1)</f>
        <v>1169</v>
      </c>
      <c r="U1749">
        <f>INDEX([1]IDEN_level_ids!$B:$B,MATCH(H1749,[1]IDEN_level_ids!$A:$A,0),1)</f>
        <v>982</v>
      </c>
    </row>
    <row r="1750" spans="1:21" hidden="1" x14ac:dyDescent="0.25">
      <c r="A1750">
        <v>49485.891600000003</v>
      </c>
      <c r="B1750">
        <v>2020.778</v>
      </c>
      <c r="C1750">
        <v>9</v>
      </c>
      <c r="D1750" t="s">
        <v>594</v>
      </c>
      <c r="F1750">
        <v>1969</v>
      </c>
      <c r="G1750" s="1" t="s">
        <v>40</v>
      </c>
      <c r="H1750" s="1" t="s">
        <v>510</v>
      </c>
      <c r="I1750">
        <v>0</v>
      </c>
      <c r="J1750">
        <v>49486.018799999998</v>
      </c>
      <c r="K1750">
        <v>5.1999999999999998E-3</v>
      </c>
      <c r="L1750">
        <v>0.01</v>
      </c>
      <c r="M1750">
        <v>0.245</v>
      </c>
      <c r="N1750">
        <v>1.6899999999999998E-2</v>
      </c>
      <c r="O1750">
        <v>1.018E-2</v>
      </c>
      <c r="P1750" s="3">
        <f t="shared" si="108"/>
        <v>2020.7779786673582</v>
      </c>
      <c r="Q1750" s="3">
        <f t="shared" si="109"/>
        <v>5.1942541572316259E-3</v>
      </c>
      <c r="R1750" s="3">
        <f t="shared" si="110"/>
        <v>0.01</v>
      </c>
      <c r="S1750">
        <f t="shared" si="111"/>
        <v>42</v>
      </c>
      <c r="T1750">
        <f>INDEX([1]IDEN_level_ids!$B:$B,MATCH(G1750,[1]IDEN_level_ids!$A:$A,0),1)</f>
        <v>1199</v>
      </c>
      <c r="U1750">
        <f>INDEX([1]IDEN_level_ids!$B:$B,MATCH(H1750,[1]IDEN_level_ids!$A:$A,0),1)</f>
        <v>1006</v>
      </c>
    </row>
    <row r="1751" spans="1:21" hidden="1" x14ac:dyDescent="0.25">
      <c r="A1751">
        <v>49474.361900000004</v>
      </c>
      <c r="B1751">
        <v>2021.2489</v>
      </c>
      <c r="C1751">
        <v>9</v>
      </c>
      <c r="D1751" t="s">
        <v>594</v>
      </c>
      <c r="F1751">
        <v>1969</v>
      </c>
      <c r="G1751" s="1" t="s">
        <v>239</v>
      </c>
      <c r="H1751" s="1" t="s">
        <v>577</v>
      </c>
      <c r="I1751">
        <v>2.3900000000000001E-2</v>
      </c>
      <c r="J1751">
        <v>49474.584799999997</v>
      </c>
      <c r="K1751">
        <v>9.1000000000000004E-3</v>
      </c>
      <c r="L1751">
        <v>1.001E-2</v>
      </c>
      <c r="M1751">
        <v>0.245</v>
      </c>
      <c r="N1751">
        <v>1.12E-2</v>
      </c>
      <c r="O1751">
        <v>1.0120000000000001E-2</v>
      </c>
      <c r="P1751" s="3">
        <f t="shared" si="108"/>
        <v>2021.2489087201343</v>
      </c>
      <c r="Q1751" s="3">
        <f t="shared" si="109"/>
        <v>9.1064206715145701E-3</v>
      </c>
      <c r="R1751" s="3">
        <f t="shared" si="110"/>
        <v>1.001E-2</v>
      </c>
      <c r="S1751">
        <f t="shared" si="111"/>
        <v>42</v>
      </c>
      <c r="T1751">
        <f>INDEX([1]IDEN_level_ids!$B:$B,MATCH(G1751,[1]IDEN_level_ids!$A:$A,0),1)</f>
        <v>1167</v>
      </c>
      <c r="U1751">
        <f>INDEX([1]IDEN_level_ids!$B:$B,MATCH(H1751,[1]IDEN_level_ids!$A:$A,0),1)</f>
        <v>985</v>
      </c>
    </row>
    <row r="1752" spans="1:21" hidden="1" x14ac:dyDescent="0.25">
      <c r="A1752">
        <v>49455.322399999997</v>
      </c>
      <c r="B1752">
        <v>2022.0271</v>
      </c>
      <c r="C1752">
        <v>9</v>
      </c>
      <c r="D1752" t="s">
        <v>594</v>
      </c>
      <c r="F1752">
        <v>1969</v>
      </c>
      <c r="G1752" s="1" t="s">
        <v>81</v>
      </c>
      <c r="H1752" s="1" t="s">
        <v>565</v>
      </c>
      <c r="I1752">
        <v>0.12280000000000001</v>
      </c>
      <c r="J1752">
        <v>49455.381099999999</v>
      </c>
      <c r="K1752">
        <v>2.3999999999999998E-3</v>
      </c>
      <c r="L1752">
        <v>1.0019999999999999E-2</v>
      </c>
      <c r="M1752">
        <v>0.245</v>
      </c>
      <c r="N1752">
        <v>1.14E-2</v>
      </c>
      <c r="O1752">
        <v>1.013E-2</v>
      </c>
      <c r="P1752" s="3">
        <f t="shared" si="108"/>
        <v>2022.0270568896342</v>
      </c>
      <c r="Q1752" s="3">
        <f t="shared" si="109"/>
        <v>2.4000014882403775E-3</v>
      </c>
      <c r="R1752" s="3">
        <f t="shared" si="110"/>
        <v>1.0019999999999999E-2</v>
      </c>
      <c r="S1752">
        <f t="shared" si="111"/>
        <v>42</v>
      </c>
      <c r="T1752">
        <f>INDEX([1]IDEN_level_ids!$B:$B,MATCH(G1752,[1]IDEN_level_ids!$A:$A,0),1)</f>
        <v>1196</v>
      </c>
      <c r="U1752">
        <f>INDEX([1]IDEN_level_ids!$B:$B,MATCH(H1752,[1]IDEN_level_ids!$A:$A,0),1)</f>
        <v>1004</v>
      </c>
    </row>
    <row r="1753" spans="1:21" hidden="1" x14ac:dyDescent="0.25">
      <c r="A1753">
        <v>49437.258199999997</v>
      </c>
      <c r="B1753">
        <v>2022.7659000000001</v>
      </c>
      <c r="C1753">
        <v>9</v>
      </c>
      <c r="D1753" t="s">
        <v>594</v>
      </c>
      <c r="F1753">
        <v>1969</v>
      </c>
      <c r="G1753" s="1" t="s">
        <v>46</v>
      </c>
      <c r="H1753" s="1" t="s">
        <v>461</v>
      </c>
      <c r="I1753">
        <v>0.1797</v>
      </c>
      <c r="J1753">
        <v>49437.341099999998</v>
      </c>
      <c r="K1753">
        <v>3.3899999999999998E-3</v>
      </c>
      <c r="L1753">
        <v>1.0019999999999999E-2</v>
      </c>
      <c r="M1753">
        <v>0.245</v>
      </c>
      <c r="N1753">
        <v>1.12E-2</v>
      </c>
      <c r="O1753">
        <v>1.014E-2</v>
      </c>
      <c r="P1753" s="3">
        <f t="shared" si="108"/>
        <v>2022.7658984534869</v>
      </c>
      <c r="Q1753" s="3">
        <f t="shared" si="109"/>
        <v>3.3919156908268633E-3</v>
      </c>
      <c r="R1753" s="3">
        <f t="shared" si="110"/>
        <v>1.0019999999999999E-2</v>
      </c>
      <c r="S1753">
        <f t="shared" si="111"/>
        <v>42</v>
      </c>
      <c r="T1753">
        <f>INDEX([1]IDEN_level_ids!$B:$B,MATCH(G1753,[1]IDEN_level_ids!$A:$A,0),1)</f>
        <v>1212</v>
      </c>
      <c r="U1753">
        <f>INDEX([1]IDEN_level_ids!$B:$B,MATCH(H1753,[1]IDEN_level_ids!$A:$A,0),1)</f>
        <v>1017</v>
      </c>
    </row>
    <row r="1754" spans="1:21" hidden="1" x14ac:dyDescent="0.25">
      <c r="A1754">
        <v>49431.414299999997</v>
      </c>
      <c r="B1754">
        <v>2023.0050000000001</v>
      </c>
      <c r="C1754">
        <v>9</v>
      </c>
      <c r="D1754" t="s">
        <v>594</v>
      </c>
      <c r="F1754">
        <v>1969</v>
      </c>
      <c r="G1754" s="1" t="s">
        <v>288</v>
      </c>
      <c r="H1754" s="1" t="s">
        <v>483</v>
      </c>
      <c r="I1754">
        <v>0</v>
      </c>
      <c r="J1754">
        <v>49431.546699999999</v>
      </c>
      <c r="K1754">
        <v>5.4200000000000003E-3</v>
      </c>
      <c r="L1754">
        <v>1.0030000000000001E-2</v>
      </c>
      <c r="M1754">
        <v>0.245</v>
      </c>
      <c r="N1754">
        <v>1.6799999999999999E-2</v>
      </c>
      <c r="O1754">
        <v>1.0200000000000001E-2</v>
      </c>
      <c r="P1754" s="3">
        <f t="shared" si="108"/>
        <v>2023.0050346748831</v>
      </c>
      <c r="Q1754" s="3">
        <f t="shared" si="109"/>
        <v>5.4185208532544493E-3</v>
      </c>
      <c r="R1754" s="3">
        <f t="shared" si="110"/>
        <v>1.0030000000000001E-2</v>
      </c>
      <c r="S1754">
        <f t="shared" si="111"/>
        <v>42</v>
      </c>
      <c r="T1754">
        <f>INDEX([1]IDEN_level_ids!$B:$B,MATCH(G1754,[1]IDEN_level_ids!$A:$A,0),1)</f>
        <v>1151</v>
      </c>
      <c r="U1754">
        <f>INDEX([1]IDEN_level_ids!$B:$B,MATCH(H1754,[1]IDEN_level_ids!$A:$A,0),1)</f>
        <v>970</v>
      </c>
    </row>
    <row r="1755" spans="1:21" hidden="1" x14ac:dyDescent="0.25">
      <c r="A1755">
        <v>49422.009100000003</v>
      </c>
      <c r="B1755">
        <v>2023.39</v>
      </c>
      <c r="C1755">
        <v>9</v>
      </c>
      <c r="D1755" t="s">
        <v>594</v>
      </c>
      <c r="F1755">
        <v>1969</v>
      </c>
      <c r="G1755" s="1" t="s">
        <v>72</v>
      </c>
      <c r="H1755" s="1" t="s">
        <v>437</v>
      </c>
      <c r="I1755">
        <v>0.193</v>
      </c>
      <c r="J1755">
        <v>49422.141600000003</v>
      </c>
      <c r="K1755">
        <v>5.4299999999999999E-3</v>
      </c>
      <c r="L1755">
        <v>1.0030000000000001E-2</v>
      </c>
      <c r="M1755">
        <v>0.245</v>
      </c>
      <c r="N1755">
        <v>1.15E-2</v>
      </c>
      <c r="O1755">
        <v>1.0149999999999999E-2</v>
      </c>
      <c r="P1755" s="3">
        <f t="shared" si="108"/>
        <v>2023.3900203785927</v>
      </c>
      <c r="Q1755" s="3">
        <f t="shared" si="109"/>
        <v>5.4246774627699779E-3</v>
      </c>
      <c r="R1755" s="3">
        <f t="shared" si="110"/>
        <v>1.0030000000000001E-2</v>
      </c>
      <c r="S1755">
        <f t="shared" si="111"/>
        <v>42</v>
      </c>
      <c r="T1755">
        <f>INDEX([1]IDEN_level_ids!$B:$B,MATCH(G1755,[1]IDEN_level_ids!$A:$A,0),1)</f>
        <v>1225</v>
      </c>
      <c r="U1755">
        <f>INDEX([1]IDEN_level_ids!$B:$B,MATCH(H1755,[1]IDEN_level_ids!$A:$A,0),1)</f>
        <v>1039</v>
      </c>
    </row>
    <row r="1756" spans="1:21" hidden="1" x14ac:dyDescent="0.25">
      <c r="A1756">
        <v>49410.823900000003</v>
      </c>
      <c r="B1756">
        <v>2023.8480999999999</v>
      </c>
      <c r="C1756">
        <v>9</v>
      </c>
      <c r="D1756" t="s">
        <v>594</v>
      </c>
      <c r="F1756">
        <v>1969</v>
      </c>
      <c r="G1756" s="1" t="s">
        <v>20</v>
      </c>
      <c r="H1756" s="1" t="s">
        <v>428</v>
      </c>
      <c r="I1756">
        <v>0.2928</v>
      </c>
      <c r="J1756">
        <v>49410.900800000003</v>
      </c>
      <c r="K1756">
        <v>3.15E-3</v>
      </c>
      <c r="L1756">
        <v>1.0030000000000001E-2</v>
      </c>
      <c r="M1756">
        <v>0.245</v>
      </c>
      <c r="N1756">
        <v>1.7100000000000001E-2</v>
      </c>
      <c r="O1756">
        <v>1.021E-2</v>
      </c>
      <c r="P1756" s="3">
        <f t="shared" si="108"/>
        <v>2023.8480581174845</v>
      </c>
      <c r="Q1756" s="3">
        <f t="shared" si="109"/>
        <v>3.1497890779519366E-3</v>
      </c>
      <c r="R1756" s="3">
        <f t="shared" si="110"/>
        <v>1.0030000000000001E-2</v>
      </c>
      <c r="S1756">
        <f t="shared" si="111"/>
        <v>42</v>
      </c>
      <c r="T1756">
        <f>INDEX([1]IDEN_level_ids!$B:$B,MATCH(G1756,[1]IDEN_level_ids!$A:$A,0),1)</f>
        <v>1235</v>
      </c>
      <c r="U1756">
        <f>INDEX([1]IDEN_level_ids!$B:$B,MATCH(H1756,[1]IDEN_level_ids!$A:$A,0),1)</f>
        <v>1060</v>
      </c>
    </row>
    <row r="1757" spans="1:21" hidden="1" x14ac:dyDescent="0.25">
      <c r="A1757">
        <v>49393.934399999998</v>
      </c>
      <c r="B1757">
        <v>2024.5400999999999</v>
      </c>
      <c r="C1757">
        <v>9</v>
      </c>
      <c r="D1757" t="s">
        <v>594</v>
      </c>
      <c r="F1757">
        <v>1969</v>
      </c>
      <c r="G1757" s="1" t="s">
        <v>27</v>
      </c>
      <c r="H1757" s="1" t="s">
        <v>398</v>
      </c>
      <c r="I1757">
        <v>0.2341</v>
      </c>
      <c r="J1757">
        <v>49394.097000000002</v>
      </c>
      <c r="K1757">
        <v>6.6699999999999997E-3</v>
      </c>
      <c r="L1757">
        <v>1.004E-2</v>
      </c>
      <c r="M1757">
        <v>0.245</v>
      </c>
      <c r="N1757">
        <v>1.4999999999999999E-2</v>
      </c>
      <c r="O1757">
        <v>1.0189999999999999E-2</v>
      </c>
      <c r="P1757" s="3">
        <f t="shared" si="108"/>
        <v>2024.5400819903102</v>
      </c>
      <c r="Q1757" s="3">
        <f t="shared" si="109"/>
        <v>6.6645659569530835E-3</v>
      </c>
      <c r="R1757" s="3">
        <f t="shared" si="110"/>
        <v>1.004E-2</v>
      </c>
      <c r="S1757">
        <f t="shared" si="111"/>
        <v>42</v>
      </c>
      <c r="T1757">
        <f>INDEX([1]IDEN_level_ids!$B:$B,MATCH(G1757,[1]IDEN_level_ids!$A:$A,0),1)</f>
        <v>1242</v>
      </c>
      <c r="U1757">
        <f>INDEX([1]IDEN_level_ids!$B:$B,MATCH(H1757,[1]IDEN_level_ids!$A:$A,0),1)</f>
        <v>1075</v>
      </c>
    </row>
    <row r="1758" spans="1:21" hidden="1" x14ac:dyDescent="0.25">
      <c r="A1758">
        <v>49393.129500000003</v>
      </c>
      <c r="B1758">
        <v>2024.5731000000001</v>
      </c>
      <c r="C1758">
        <v>9</v>
      </c>
      <c r="D1758" t="s">
        <v>594</v>
      </c>
      <c r="E1758" t="s">
        <v>52</v>
      </c>
      <c r="F1758">
        <v>1969</v>
      </c>
      <c r="G1758" s="1" t="s">
        <v>68</v>
      </c>
      <c r="H1758" s="1" t="s">
        <v>595</v>
      </c>
      <c r="I1758">
        <v>0</v>
      </c>
      <c r="J1758">
        <v>49393.3056</v>
      </c>
      <c r="K1758">
        <v>7.2199999999999999E-3</v>
      </c>
      <c r="L1758">
        <v>1.1310000000000001E-2</v>
      </c>
      <c r="M1758">
        <v>0.27600000000000002</v>
      </c>
      <c r="N1758">
        <v>1.11E-2</v>
      </c>
      <c r="O1758">
        <v>1.1440000000000001E-2</v>
      </c>
      <c r="P1758" s="3">
        <f t="shared" si="108"/>
        <v>2024.5730734676367</v>
      </c>
      <c r="Q1758" s="3">
        <f t="shared" si="109"/>
        <v>7.2181303498837224E-3</v>
      </c>
      <c r="R1758" s="3">
        <f t="shared" si="110"/>
        <v>1.1310000000000001E-2</v>
      </c>
      <c r="S1758">
        <f t="shared" si="111"/>
        <v>42</v>
      </c>
      <c r="T1758">
        <f>INDEX([1]IDEN_level_ids!$B:$B,MATCH(G1758,[1]IDEN_level_ids!$A:$A,0),1)</f>
        <v>1229</v>
      </c>
      <c r="U1758">
        <f>INDEX([1]IDEN_level_ids!$B:$B,MATCH(H1758,[1]IDEN_level_ids!$A:$A,0),1)</f>
        <v>1052</v>
      </c>
    </row>
    <row r="1759" spans="1:21" hidden="1" x14ac:dyDescent="0.25">
      <c r="A1759">
        <v>49383.835700000003</v>
      </c>
      <c r="B1759">
        <v>2024.9540999999999</v>
      </c>
      <c r="C1759">
        <v>9</v>
      </c>
      <c r="D1759" t="s">
        <v>594</v>
      </c>
      <c r="F1759">
        <v>1969</v>
      </c>
      <c r="G1759" s="1" t="s">
        <v>36</v>
      </c>
      <c r="H1759" s="1" t="s">
        <v>522</v>
      </c>
      <c r="I1759">
        <v>0</v>
      </c>
      <c r="J1759">
        <v>49384.003400000001</v>
      </c>
      <c r="K1759">
        <v>6.8700000000000002E-3</v>
      </c>
      <c r="L1759">
        <v>1.005E-2</v>
      </c>
      <c r="M1759">
        <v>0.245</v>
      </c>
      <c r="N1759">
        <v>3.3099999999999997E-2</v>
      </c>
      <c r="O1759">
        <v>1.039E-2</v>
      </c>
      <c r="P1759" s="3">
        <f t="shared" si="108"/>
        <v>2024.9540883678258</v>
      </c>
      <c r="Q1759" s="3">
        <f t="shared" si="109"/>
        <v>6.8764129521241557E-3</v>
      </c>
      <c r="R1759" s="3">
        <f t="shared" si="110"/>
        <v>1.005E-2</v>
      </c>
      <c r="S1759">
        <f t="shared" si="111"/>
        <v>42</v>
      </c>
      <c r="T1759">
        <f>INDEX([1]IDEN_level_ids!$B:$B,MATCH(G1759,[1]IDEN_level_ids!$A:$A,0),1)</f>
        <v>1217</v>
      </c>
      <c r="U1759">
        <f>INDEX([1]IDEN_level_ids!$B:$B,MATCH(H1759,[1]IDEN_level_ids!$A:$A,0),1)</f>
        <v>1029</v>
      </c>
    </row>
    <row r="1760" spans="1:21" hidden="1" x14ac:dyDescent="0.25">
      <c r="A1760">
        <v>49375.498800000001</v>
      </c>
      <c r="B1760">
        <v>2025.296</v>
      </c>
      <c r="C1760">
        <v>9</v>
      </c>
      <c r="D1760" t="s">
        <v>596</v>
      </c>
      <c r="F1760">
        <v>1969</v>
      </c>
      <c r="G1760" s="1" t="s">
        <v>22</v>
      </c>
      <c r="H1760" s="1" t="s">
        <v>431</v>
      </c>
      <c r="I1760">
        <v>0.21</v>
      </c>
      <c r="J1760">
        <v>49375.5792</v>
      </c>
      <c r="K1760">
        <v>3.3E-3</v>
      </c>
      <c r="L1760">
        <v>1.005E-2</v>
      </c>
      <c r="M1760">
        <v>0.245</v>
      </c>
      <c r="N1760">
        <v>1.2800000000000001E-2</v>
      </c>
      <c r="O1760">
        <v>1.018E-2</v>
      </c>
      <c r="P1760" s="3">
        <f t="shared" si="108"/>
        <v>2025.2959955920485</v>
      </c>
      <c r="Q1760" s="3">
        <f t="shared" si="109"/>
        <v>3.2978610211102932E-3</v>
      </c>
      <c r="R1760" s="3">
        <f t="shared" si="110"/>
        <v>1.005E-2</v>
      </c>
      <c r="S1760">
        <f t="shared" si="111"/>
        <v>43</v>
      </c>
      <c r="T1760">
        <f>INDEX([1]IDEN_level_ids!$B:$B,MATCH(G1760,[1]IDEN_level_ids!$A:$A,0),1)</f>
        <v>1236</v>
      </c>
      <c r="U1760">
        <f>INDEX([1]IDEN_level_ids!$B:$B,MATCH(H1760,[1]IDEN_level_ids!$A:$A,0),1)</f>
        <v>1062</v>
      </c>
    </row>
    <row r="1761" spans="1:21" hidden="1" x14ac:dyDescent="0.25">
      <c r="A1761">
        <v>49358.172599999998</v>
      </c>
      <c r="B1761">
        <v>2026.0069000000001</v>
      </c>
      <c r="C1761">
        <v>9</v>
      </c>
      <c r="D1761" t="s">
        <v>596</v>
      </c>
      <c r="E1761" t="s">
        <v>52</v>
      </c>
      <c r="F1761">
        <v>1969</v>
      </c>
      <c r="G1761" s="1" t="s">
        <v>282</v>
      </c>
      <c r="H1761" s="1" t="s">
        <v>374</v>
      </c>
      <c r="I1761">
        <v>0</v>
      </c>
      <c r="J1761">
        <v>49358.271099999998</v>
      </c>
      <c r="K1761">
        <v>4.0400000000000002E-3</v>
      </c>
      <c r="L1761">
        <v>1.133E-2</v>
      </c>
      <c r="M1761">
        <v>0.27600000000000002</v>
      </c>
      <c r="N1761">
        <v>1.9099999999999999E-2</v>
      </c>
      <c r="O1761">
        <v>1.155E-2</v>
      </c>
      <c r="P1761" s="3">
        <f t="shared" si="108"/>
        <v>2026.0069352729645</v>
      </c>
      <c r="Q1761" s="3">
        <f t="shared" si="109"/>
        <v>4.0431254717532283E-3</v>
      </c>
      <c r="R1761" s="3">
        <f t="shared" si="110"/>
        <v>1.133E-2</v>
      </c>
      <c r="S1761">
        <f t="shared" si="111"/>
        <v>43</v>
      </c>
      <c r="T1761">
        <f>INDEX([1]IDEN_level_ids!$B:$B,MATCH(G1761,[1]IDEN_level_ids!$A:$A,0),1)</f>
        <v>1128</v>
      </c>
      <c r="U1761">
        <f>INDEX([1]IDEN_level_ids!$B:$B,MATCH(H1761,[1]IDEN_level_ids!$A:$A,0),1)</f>
        <v>936</v>
      </c>
    </row>
    <row r="1762" spans="1:21" hidden="1" x14ac:dyDescent="0.25">
      <c r="A1762">
        <v>49335.2592</v>
      </c>
      <c r="B1762">
        <v>2026.9478999999999</v>
      </c>
      <c r="C1762">
        <v>9</v>
      </c>
      <c r="D1762" t="s">
        <v>596</v>
      </c>
      <c r="F1762">
        <v>1969</v>
      </c>
      <c r="G1762" s="1" t="s">
        <v>56</v>
      </c>
      <c r="H1762" s="1" t="s">
        <v>552</v>
      </c>
      <c r="I1762">
        <v>0</v>
      </c>
      <c r="J1762">
        <v>49335.487999999998</v>
      </c>
      <c r="K1762">
        <v>9.4000000000000004E-3</v>
      </c>
      <c r="L1762">
        <v>1.0070000000000001E-2</v>
      </c>
      <c r="M1762">
        <v>0.245</v>
      </c>
      <c r="N1762">
        <v>1.2999999999999999E-2</v>
      </c>
      <c r="O1762">
        <v>1.0200000000000001E-2</v>
      </c>
      <c r="P1762" s="3">
        <f t="shared" si="108"/>
        <v>2026.947899363626</v>
      </c>
      <c r="Q1762" s="3">
        <f t="shared" si="109"/>
        <v>9.4002451010055665E-3</v>
      </c>
      <c r="R1762" s="3">
        <f t="shared" si="110"/>
        <v>1.0070000000000001E-2</v>
      </c>
      <c r="S1762">
        <f t="shared" si="111"/>
        <v>43</v>
      </c>
      <c r="T1762">
        <f>INDEX([1]IDEN_level_ids!$B:$B,MATCH(G1762,[1]IDEN_level_ids!$A:$A,0),1)</f>
        <v>1221</v>
      </c>
      <c r="U1762">
        <f>INDEX([1]IDEN_level_ids!$B:$B,MATCH(H1762,[1]IDEN_level_ids!$A:$A,0),1)</f>
        <v>1040</v>
      </c>
    </row>
    <row r="1763" spans="1:21" hidden="1" x14ac:dyDescent="0.25">
      <c r="A1763">
        <v>49331.508199999997</v>
      </c>
      <c r="B1763">
        <v>2027.1020000000001</v>
      </c>
      <c r="C1763">
        <v>9</v>
      </c>
      <c r="D1763" t="s">
        <v>596</v>
      </c>
      <c r="F1763">
        <v>1969</v>
      </c>
      <c r="G1763" s="1" t="s">
        <v>55</v>
      </c>
      <c r="H1763" s="1" t="s">
        <v>377</v>
      </c>
      <c r="I1763">
        <v>0.2485</v>
      </c>
      <c r="J1763">
        <v>49331.586199999998</v>
      </c>
      <c r="K1763">
        <v>3.2000000000000002E-3</v>
      </c>
      <c r="L1763">
        <v>1.0070000000000001E-2</v>
      </c>
      <c r="M1763">
        <v>0.245</v>
      </c>
      <c r="N1763">
        <v>1.26E-2</v>
      </c>
      <c r="O1763">
        <v>1.0200000000000001E-2</v>
      </c>
      <c r="P1763" s="3">
        <f t="shared" si="108"/>
        <v>2027.1020215838446</v>
      </c>
      <c r="Q1763" s="3">
        <f t="shared" si="109"/>
        <v>3.2051261648575746E-3</v>
      </c>
      <c r="R1763" s="3">
        <f t="shared" si="110"/>
        <v>1.0070000000000001E-2</v>
      </c>
      <c r="S1763">
        <f t="shared" si="111"/>
        <v>43</v>
      </c>
      <c r="T1763">
        <f>INDEX([1]IDEN_level_ids!$B:$B,MATCH(G1763,[1]IDEN_level_ids!$A:$A,0),1)</f>
        <v>1233</v>
      </c>
      <c r="U1763">
        <f>INDEX([1]IDEN_level_ids!$B:$B,MATCH(H1763,[1]IDEN_level_ids!$A:$A,0),1)</f>
        <v>1057</v>
      </c>
    </row>
    <row r="1764" spans="1:21" hidden="1" x14ac:dyDescent="0.25">
      <c r="A1764">
        <v>49329.2716</v>
      </c>
      <c r="B1764">
        <v>2027.1939</v>
      </c>
      <c r="C1764">
        <v>9</v>
      </c>
      <c r="D1764" t="s">
        <v>596</v>
      </c>
      <c r="F1764">
        <v>1969</v>
      </c>
      <c r="G1764" s="1" t="s">
        <v>187</v>
      </c>
      <c r="H1764" s="1" t="s">
        <v>579</v>
      </c>
      <c r="I1764">
        <v>0</v>
      </c>
      <c r="J1764">
        <v>49329.459499999997</v>
      </c>
      <c r="K1764">
        <v>7.7200000000000003E-3</v>
      </c>
      <c r="L1764">
        <v>1.0070000000000001E-2</v>
      </c>
      <c r="M1764">
        <v>0.245</v>
      </c>
      <c r="N1764">
        <v>2.2599999999999999E-2</v>
      </c>
      <c r="O1764">
        <v>1.03E-2</v>
      </c>
      <c r="P1764" s="3">
        <f t="shared" si="108"/>
        <v>2027.1939308343649</v>
      </c>
      <c r="Q1764" s="3">
        <f t="shared" si="109"/>
        <v>7.7217497102992638E-3</v>
      </c>
      <c r="R1764" s="3">
        <f t="shared" si="110"/>
        <v>1.0070000000000001E-2</v>
      </c>
      <c r="S1764">
        <f t="shared" si="111"/>
        <v>43</v>
      </c>
      <c r="T1764">
        <f>INDEX([1]IDEN_level_ids!$B:$B,MATCH(G1764,[1]IDEN_level_ids!$A:$A,0),1)</f>
        <v>1204</v>
      </c>
      <c r="U1764">
        <f>INDEX([1]IDEN_level_ids!$B:$B,MATCH(H1764,[1]IDEN_level_ids!$A:$A,0),1)</f>
        <v>1007</v>
      </c>
    </row>
    <row r="1765" spans="1:21" hidden="1" x14ac:dyDescent="0.25">
      <c r="A1765">
        <v>49326.3243</v>
      </c>
      <c r="B1765">
        <v>2027.3151</v>
      </c>
      <c r="C1765">
        <v>9</v>
      </c>
      <c r="D1765" t="s">
        <v>596</v>
      </c>
      <c r="F1765">
        <v>1969</v>
      </c>
      <c r="G1765" s="1" t="s">
        <v>24</v>
      </c>
      <c r="H1765" s="1" t="s">
        <v>396</v>
      </c>
      <c r="I1765">
        <v>0.31509999999999999</v>
      </c>
      <c r="J1765">
        <v>49326.501799999998</v>
      </c>
      <c r="K1765">
        <v>7.3000000000000001E-3</v>
      </c>
      <c r="L1765">
        <v>1.0070000000000001E-2</v>
      </c>
      <c r="M1765">
        <v>0.245</v>
      </c>
      <c r="N1765">
        <v>2.4500000000000001E-2</v>
      </c>
      <c r="O1765">
        <v>1.0319999999999999E-2</v>
      </c>
      <c r="P1765" s="3">
        <f t="shared" si="108"/>
        <v>2027.3150578138659</v>
      </c>
      <c r="Q1765" s="3">
        <f t="shared" si="109"/>
        <v>7.29523500808682E-3</v>
      </c>
      <c r="R1765" s="3">
        <f t="shared" si="110"/>
        <v>1.0070000000000001E-2</v>
      </c>
      <c r="S1765">
        <f t="shared" si="111"/>
        <v>43</v>
      </c>
      <c r="T1765">
        <f>INDEX([1]IDEN_level_ids!$B:$B,MATCH(G1765,[1]IDEN_level_ids!$A:$A,0),1)</f>
        <v>1241</v>
      </c>
      <c r="U1765">
        <f>INDEX([1]IDEN_level_ids!$B:$B,MATCH(H1765,[1]IDEN_level_ids!$A:$A,0),1)</f>
        <v>1072</v>
      </c>
    </row>
    <row r="1766" spans="1:21" hidden="1" x14ac:dyDescent="0.25">
      <c r="A1766">
        <v>49304.5844</v>
      </c>
      <c r="B1766">
        <v>2028.2090000000001</v>
      </c>
      <c r="C1766">
        <v>9</v>
      </c>
      <c r="D1766" t="s">
        <v>596</v>
      </c>
      <c r="F1766">
        <v>1969</v>
      </c>
      <c r="G1766" s="1" t="s">
        <v>81</v>
      </c>
      <c r="H1766" s="1" t="s">
        <v>548</v>
      </c>
      <c r="I1766">
        <v>0</v>
      </c>
      <c r="J1766">
        <v>49304.790399999998</v>
      </c>
      <c r="K1766">
        <v>8.4700000000000001E-3</v>
      </c>
      <c r="L1766">
        <v>1.008E-2</v>
      </c>
      <c r="M1766">
        <v>0.245</v>
      </c>
      <c r="N1766">
        <v>2.5399999999999999E-2</v>
      </c>
      <c r="O1766">
        <v>1.034E-2</v>
      </c>
      <c r="P1766" s="3">
        <f t="shared" si="108"/>
        <v>2028.2089630594271</v>
      </c>
      <c r="Q1766" s="3">
        <f t="shared" si="109"/>
        <v>8.474045686170939E-3</v>
      </c>
      <c r="R1766" s="3">
        <f t="shared" si="110"/>
        <v>1.008E-2</v>
      </c>
      <c r="S1766">
        <f t="shared" si="111"/>
        <v>43</v>
      </c>
      <c r="T1766">
        <f>INDEX([1]IDEN_level_ids!$B:$B,MATCH(G1766,[1]IDEN_level_ids!$A:$A,0),1)</f>
        <v>1196</v>
      </c>
      <c r="U1766">
        <f>INDEX([1]IDEN_level_ids!$B:$B,MATCH(H1766,[1]IDEN_level_ids!$A:$A,0),1)</f>
        <v>1005</v>
      </c>
    </row>
    <row r="1767" spans="1:21" hidden="1" x14ac:dyDescent="0.25">
      <c r="A1767">
        <v>49290.706400000003</v>
      </c>
      <c r="B1767">
        <v>2028.78</v>
      </c>
      <c r="C1767">
        <v>9</v>
      </c>
      <c r="D1767" t="s">
        <v>596</v>
      </c>
      <c r="F1767">
        <v>1969</v>
      </c>
      <c r="G1767" s="1" t="s">
        <v>22</v>
      </c>
      <c r="H1767" s="1" t="s">
        <v>458</v>
      </c>
      <c r="I1767">
        <v>0</v>
      </c>
      <c r="J1767">
        <v>49290.931499999999</v>
      </c>
      <c r="K1767">
        <v>9.2700000000000005E-3</v>
      </c>
      <c r="L1767">
        <v>1.008E-2</v>
      </c>
      <c r="M1767">
        <v>0.245</v>
      </c>
      <c r="N1767">
        <v>1.32E-2</v>
      </c>
      <c r="O1767">
        <v>1.022E-2</v>
      </c>
      <c r="P1767" s="3">
        <f t="shared" si="108"/>
        <v>2028.7800135889306</v>
      </c>
      <c r="Q1767" s="3">
        <f t="shared" si="109"/>
        <v>9.2649574098686571E-3</v>
      </c>
      <c r="R1767" s="3">
        <f t="shared" si="110"/>
        <v>1.008E-2</v>
      </c>
      <c r="S1767">
        <f t="shared" si="111"/>
        <v>43</v>
      </c>
      <c r="T1767">
        <f>INDEX([1]IDEN_level_ids!$B:$B,MATCH(G1767,[1]IDEN_level_ids!$A:$A,0),1)</f>
        <v>1236</v>
      </c>
      <c r="U1767">
        <f>INDEX([1]IDEN_level_ids!$B:$B,MATCH(H1767,[1]IDEN_level_ids!$A:$A,0),1)</f>
        <v>1064</v>
      </c>
    </row>
    <row r="1768" spans="1:21" hidden="1" x14ac:dyDescent="0.25">
      <c r="A1768">
        <v>49287.161999999997</v>
      </c>
      <c r="B1768">
        <v>2028.9259</v>
      </c>
      <c r="C1768">
        <v>9</v>
      </c>
      <c r="D1768" t="s">
        <v>596</v>
      </c>
      <c r="F1768">
        <v>1969</v>
      </c>
      <c r="G1768" s="1" t="s">
        <v>299</v>
      </c>
      <c r="H1768" s="1" t="s">
        <v>367</v>
      </c>
      <c r="I1768">
        <v>0</v>
      </c>
      <c r="J1768">
        <v>49287.423900000002</v>
      </c>
      <c r="K1768">
        <v>1.078E-2</v>
      </c>
      <c r="L1768">
        <v>1.008E-2</v>
      </c>
      <c r="M1768">
        <v>0.245</v>
      </c>
      <c r="N1768">
        <v>9.0999999999999998E-2</v>
      </c>
      <c r="O1768">
        <v>1.11E-2</v>
      </c>
      <c r="P1768" s="3">
        <f t="shared" si="108"/>
        <v>2028.9259097531321</v>
      </c>
      <c r="Q1768" s="3">
        <f t="shared" si="109"/>
        <v>1.0781161881141088E-2</v>
      </c>
      <c r="R1768" s="3">
        <f t="shared" si="110"/>
        <v>1.008E-2</v>
      </c>
      <c r="S1768">
        <f t="shared" si="111"/>
        <v>43</v>
      </c>
      <c r="T1768">
        <f>INDEX([1]IDEN_level_ids!$B:$B,MATCH(G1768,[1]IDEN_level_ids!$A:$A,0),1)</f>
        <v>1101</v>
      </c>
      <c r="U1768">
        <f>INDEX([1]IDEN_level_ids!$B:$B,MATCH(H1768,[1]IDEN_level_ids!$A:$A,0),1)</f>
        <v>907</v>
      </c>
    </row>
    <row r="1769" spans="1:21" hidden="1" x14ac:dyDescent="0.25">
      <c r="A1769">
        <v>49286.360500000003</v>
      </c>
      <c r="B1769">
        <v>2028.9589000000001</v>
      </c>
      <c r="C1769">
        <v>9</v>
      </c>
      <c r="D1769" t="s">
        <v>596</v>
      </c>
      <c r="F1769">
        <v>1969</v>
      </c>
      <c r="G1769" s="1" t="s">
        <v>216</v>
      </c>
      <c r="H1769" s="1" t="s">
        <v>526</v>
      </c>
      <c r="I1769">
        <v>0</v>
      </c>
      <c r="J1769">
        <v>49286.4781</v>
      </c>
      <c r="K1769">
        <v>4.8399999999999997E-3</v>
      </c>
      <c r="L1769">
        <v>1.009E-2</v>
      </c>
      <c r="M1769">
        <v>0.245</v>
      </c>
      <c r="N1769">
        <v>1.7000000000000001E-2</v>
      </c>
      <c r="O1769">
        <v>1.026E-2</v>
      </c>
      <c r="P1769" s="3">
        <f t="shared" si="108"/>
        <v>2028.9589043605683</v>
      </c>
      <c r="Q1769" s="3">
        <f t="shared" si="109"/>
        <v>4.8411973496058636E-3</v>
      </c>
      <c r="R1769" s="3">
        <f t="shared" si="110"/>
        <v>1.009E-2</v>
      </c>
      <c r="S1769">
        <f t="shared" si="111"/>
        <v>43</v>
      </c>
      <c r="T1769">
        <f>INDEX([1]IDEN_level_ids!$B:$B,MATCH(G1769,[1]IDEN_level_ids!$A:$A,0),1)</f>
        <v>1170</v>
      </c>
      <c r="U1769">
        <f>INDEX([1]IDEN_level_ids!$B:$B,MATCH(H1769,[1]IDEN_level_ids!$A:$A,0),1)</f>
        <v>989</v>
      </c>
    </row>
    <row r="1770" spans="1:21" hidden="1" x14ac:dyDescent="0.25">
      <c r="A1770">
        <v>49280.699000000001</v>
      </c>
      <c r="B1770">
        <v>2029.192</v>
      </c>
      <c r="C1770">
        <v>9</v>
      </c>
      <c r="D1770" t="s">
        <v>596</v>
      </c>
      <c r="F1770">
        <v>1969</v>
      </c>
      <c r="G1770" s="1" t="s">
        <v>597</v>
      </c>
      <c r="H1770" s="1" t="s">
        <v>430</v>
      </c>
      <c r="I1770">
        <v>-0.80959999999999999</v>
      </c>
      <c r="J1770">
        <v>49280.502500000002</v>
      </c>
      <c r="K1770">
        <v>-8.09E-3</v>
      </c>
      <c r="L1770">
        <v>1.009E-2</v>
      </c>
      <c r="M1770">
        <v>0.245</v>
      </c>
      <c r="N1770">
        <v>0.29170000000000001</v>
      </c>
      <c r="O1770">
        <v>1.4239999999999999E-2</v>
      </c>
      <c r="P1770" s="3">
        <f t="shared" si="108"/>
        <v>2029.1919966476125</v>
      </c>
      <c r="Q1770" s="3">
        <f t="shared" si="109"/>
        <v>-8.0911558752632118E-3</v>
      </c>
      <c r="R1770" s="3">
        <f t="shared" si="110"/>
        <v>1.009E-2</v>
      </c>
      <c r="S1770">
        <f t="shared" si="111"/>
        <v>43</v>
      </c>
      <c r="T1770">
        <f>INDEX([1]IDEN_level_ids!$B:$B,MATCH(G1770,[1]IDEN_level_ids!$A:$A,0),1)</f>
        <v>1090</v>
      </c>
      <c r="U1770">
        <f>INDEX([1]IDEN_level_ids!$B:$B,MATCH(H1770,[1]IDEN_level_ids!$A:$A,0),1)</f>
        <v>897</v>
      </c>
    </row>
    <row r="1771" spans="1:21" hidden="1" x14ac:dyDescent="0.25">
      <c r="A1771">
        <v>49265.597900000001</v>
      </c>
      <c r="B1771">
        <v>2029.8140000000001</v>
      </c>
      <c r="C1771">
        <v>9</v>
      </c>
      <c r="D1771" t="s">
        <v>596</v>
      </c>
      <c r="F1771">
        <v>1969</v>
      </c>
      <c r="G1771" s="1" t="s">
        <v>94</v>
      </c>
      <c r="H1771" s="1" t="s">
        <v>461</v>
      </c>
      <c r="I1771">
        <v>0.1797</v>
      </c>
      <c r="J1771">
        <v>49265.751499999998</v>
      </c>
      <c r="K1771">
        <v>6.3299999999999997E-3</v>
      </c>
      <c r="L1771">
        <v>1.009E-2</v>
      </c>
      <c r="M1771">
        <v>0.245</v>
      </c>
      <c r="N1771">
        <v>1.0699999999999999E-2</v>
      </c>
      <c r="O1771">
        <v>1.0200000000000001E-2</v>
      </c>
      <c r="P1771" s="3">
        <f t="shared" si="108"/>
        <v>2029.8139931840753</v>
      </c>
      <c r="Q1771" s="3">
        <f t="shared" si="109"/>
        <v>6.3285227536198363E-3</v>
      </c>
      <c r="R1771" s="3">
        <f t="shared" si="110"/>
        <v>1.009E-2</v>
      </c>
      <c r="S1771">
        <f t="shared" si="111"/>
        <v>43</v>
      </c>
      <c r="T1771">
        <f>INDEX([1]IDEN_level_ids!$B:$B,MATCH(G1771,[1]IDEN_level_ids!$A:$A,0),1)</f>
        <v>1207</v>
      </c>
      <c r="U1771">
        <f>INDEX([1]IDEN_level_ids!$B:$B,MATCH(H1771,[1]IDEN_level_ids!$A:$A,0),1)</f>
        <v>1017</v>
      </c>
    </row>
    <row r="1772" spans="1:21" hidden="1" x14ac:dyDescent="0.25">
      <c r="A1772">
        <v>49257.904799999997</v>
      </c>
      <c r="B1772">
        <v>2030.1310000000001</v>
      </c>
      <c r="C1772">
        <v>9</v>
      </c>
      <c r="D1772" t="s">
        <v>596</v>
      </c>
      <c r="F1772">
        <v>1969</v>
      </c>
      <c r="G1772" s="1" t="s">
        <v>41</v>
      </c>
      <c r="H1772" s="1" t="s">
        <v>451</v>
      </c>
      <c r="I1772">
        <v>0.28199999999999997</v>
      </c>
      <c r="J1772">
        <v>49258.017800000001</v>
      </c>
      <c r="K1772">
        <v>4.6600000000000001E-3</v>
      </c>
      <c r="L1772">
        <v>1.01E-2</v>
      </c>
      <c r="M1772">
        <v>0.245</v>
      </c>
      <c r="N1772">
        <v>1.4E-2</v>
      </c>
      <c r="O1772">
        <v>1.0240000000000001E-2</v>
      </c>
      <c r="P1772" s="3">
        <f t="shared" si="108"/>
        <v>2030.1310095511819</v>
      </c>
      <c r="Q1772" s="3">
        <f t="shared" si="109"/>
        <v>4.6572073813422321E-3</v>
      </c>
      <c r="R1772" s="3">
        <f t="shared" si="110"/>
        <v>1.01E-2</v>
      </c>
      <c r="S1772">
        <f t="shared" si="111"/>
        <v>43</v>
      </c>
      <c r="T1772">
        <f>INDEX([1]IDEN_level_ids!$B:$B,MATCH(G1772,[1]IDEN_level_ids!$A:$A,0),1)</f>
        <v>1238</v>
      </c>
      <c r="U1772">
        <f>INDEX([1]IDEN_level_ids!$B:$B,MATCH(H1772,[1]IDEN_level_ids!$A:$A,0),1)</f>
        <v>1066</v>
      </c>
    </row>
    <row r="1773" spans="1:21" hidden="1" x14ac:dyDescent="0.25">
      <c r="A1773">
        <v>49230.622499999998</v>
      </c>
      <c r="B1773">
        <v>2031.2561000000001</v>
      </c>
      <c r="C1773">
        <v>9</v>
      </c>
      <c r="D1773" t="s">
        <v>596</v>
      </c>
      <c r="F1773">
        <v>1969</v>
      </c>
      <c r="G1773" s="1" t="s">
        <v>76</v>
      </c>
      <c r="H1773" s="1" t="s">
        <v>580</v>
      </c>
      <c r="I1773">
        <v>0.15179999999999999</v>
      </c>
      <c r="J1773">
        <v>49230.749199999998</v>
      </c>
      <c r="K1773">
        <v>5.2300000000000003E-3</v>
      </c>
      <c r="L1773">
        <v>1.0109999999999999E-2</v>
      </c>
      <c r="M1773">
        <v>0.245</v>
      </c>
      <c r="N1773">
        <v>1.1299999999999999E-2</v>
      </c>
      <c r="O1773">
        <v>1.022E-2</v>
      </c>
      <c r="P1773" s="3">
        <f t="shared" si="108"/>
        <v>2031.2560540951927</v>
      </c>
      <c r="Q1773" s="3">
        <f t="shared" si="109"/>
        <v>5.22763001254134E-3</v>
      </c>
      <c r="R1773" s="3">
        <f t="shared" si="110"/>
        <v>1.0109999999999999E-2</v>
      </c>
      <c r="S1773">
        <f t="shared" si="111"/>
        <v>43</v>
      </c>
      <c r="T1773">
        <f>INDEX([1]IDEN_level_ids!$B:$B,MATCH(G1773,[1]IDEN_level_ids!$A:$A,0),1)</f>
        <v>1194</v>
      </c>
      <c r="U1773">
        <f>INDEX([1]IDEN_level_ids!$B:$B,MATCH(H1773,[1]IDEN_level_ids!$A:$A,0),1)</f>
        <v>1001</v>
      </c>
    </row>
    <row r="1774" spans="1:21" hidden="1" x14ac:dyDescent="0.25">
      <c r="A1774">
        <v>49225.801099999997</v>
      </c>
      <c r="B1774">
        <v>2031.4549999999999</v>
      </c>
      <c r="C1774">
        <v>9</v>
      </c>
      <c r="D1774" t="s">
        <v>596</v>
      </c>
      <c r="F1774">
        <v>1969</v>
      </c>
      <c r="G1774" s="1" t="s">
        <v>72</v>
      </c>
      <c r="H1774" s="1" t="s">
        <v>445</v>
      </c>
      <c r="I1774">
        <v>0</v>
      </c>
      <c r="J1774">
        <v>49225.897499999999</v>
      </c>
      <c r="K1774">
        <v>3.98E-3</v>
      </c>
      <c r="L1774">
        <v>1.0109999999999999E-2</v>
      </c>
      <c r="M1774">
        <v>0.245</v>
      </c>
      <c r="N1774">
        <v>1.2699999999999999E-2</v>
      </c>
      <c r="O1774">
        <v>1.0240000000000001E-2</v>
      </c>
      <c r="P1774" s="3">
        <f t="shared" si="108"/>
        <v>2031.4550045992041</v>
      </c>
      <c r="Q1774" s="3">
        <f t="shared" si="109"/>
        <v>3.9782365054179536E-3</v>
      </c>
      <c r="R1774" s="3">
        <f t="shared" si="110"/>
        <v>1.0109999999999999E-2</v>
      </c>
      <c r="S1774">
        <f t="shared" si="111"/>
        <v>43</v>
      </c>
      <c r="T1774">
        <f>INDEX([1]IDEN_level_ids!$B:$B,MATCH(G1774,[1]IDEN_level_ids!$A:$A,0),1)</f>
        <v>1225</v>
      </c>
      <c r="U1774">
        <f>INDEX([1]IDEN_level_ids!$B:$B,MATCH(H1774,[1]IDEN_level_ids!$A:$A,0),1)</f>
        <v>1041</v>
      </c>
    </row>
    <row r="1775" spans="1:21" hidden="1" x14ac:dyDescent="0.25">
      <c r="A1775">
        <v>49223.305200000003</v>
      </c>
      <c r="B1775">
        <v>2031.558</v>
      </c>
      <c r="C1775">
        <v>9</v>
      </c>
      <c r="D1775" t="s">
        <v>596</v>
      </c>
      <c r="F1775">
        <v>1969</v>
      </c>
      <c r="G1775" s="1" t="s">
        <v>244</v>
      </c>
      <c r="H1775" s="1" t="s">
        <v>566</v>
      </c>
      <c r="I1775">
        <v>0</v>
      </c>
      <c r="J1775">
        <v>49223.415699999998</v>
      </c>
      <c r="K1775">
        <v>4.5599999999999998E-3</v>
      </c>
      <c r="L1775">
        <v>1.0109999999999999E-2</v>
      </c>
      <c r="M1775">
        <v>0.245</v>
      </c>
      <c r="N1775">
        <v>2.35E-2</v>
      </c>
      <c r="O1775">
        <v>1.035E-2</v>
      </c>
      <c r="P1775" s="3">
        <f t="shared" si="108"/>
        <v>2031.558010858645</v>
      </c>
      <c r="Q1775" s="3">
        <f t="shared" si="109"/>
        <v>4.5605766483731713E-3</v>
      </c>
      <c r="R1775" s="3">
        <f t="shared" si="110"/>
        <v>1.0109999999999999E-2</v>
      </c>
      <c r="S1775">
        <f t="shared" si="111"/>
        <v>43</v>
      </c>
      <c r="T1775">
        <f>INDEX([1]IDEN_level_ids!$B:$B,MATCH(G1775,[1]IDEN_level_ids!$A:$A,0),1)</f>
        <v>1195</v>
      </c>
      <c r="U1775">
        <f>INDEX([1]IDEN_level_ids!$B:$B,MATCH(H1775,[1]IDEN_level_ids!$A:$A,0),1)</f>
        <v>1000</v>
      </c>
    </row>
    <row r="1776" spans="1:21" hidden="1" x14ac:dyDescent="0.25">
      <c r="A1776">
        <v>49215.869899999998</v>
      </c>
      <c r="B1776">
        <v>2031.8649</v>
      </c>
      <c r="C1776">
        <v>9</v>
      </c>
      <c r="D1776" t="s">
        <v>596</v>
      </c>
      <c r="F1776">
        <v>1969</v>
      </c>
      <c r="G1776" s="1" t="s">
        <v>27</v>
      </c>
      <c r="H1776" s="1" t="s">
        <v>464</v>
      </c>
      <c r="I1776">
        <v>0</v>
      </c>
      <c r="J1776">
        <v>49216.020799999998</v>
      </c>
      <c r="K1776">
        <v>6.2300000000000003E-3</v>
      </c>
      <c r="L1776">
        <v>1.0109999999999999E-2</v>
      </c>
      <c r="M1776">
        <v>0.245</v>
      </c>
      <c r="N1776">
        <v>1.5599999999999999E-2</v>
      </c>
      <c r="O1776">
        <v>1.027E-2</v>
      </c>
      <c r="P1776" s="3">
        <f t="shared" si="108"/>
        <v>2031.8649289992536</v>
      </c>
      <c r="Q1776" s="3">
        <f t="shared" si="109"/>
        <v>6.2298498091877264E-3</v>
      </c>
      <c r="R1776" s="3">
        <f t="shared" si="110"/>
        <v>1.0109999999999999E-2</v>
      </c>
      <c r="S1776">
        <f t="shared" si="111"/>
        <v>43</v>
      </c>
      <c r="T1776">
        <f>INDEX([1]IDEN_level_ids!$B:$B,MATCH(G1776,[1]IDEN_level_ids!$A:$A,0),1)</f>
        <v>1242</v>
      </c>
      <c r="U1776">
        <f>INDEX([1]IDEN_level_ids!$B:$B,MATCH(H1776,[1]IDEN_level_ids!$A:$A,0),1)</f>
        <v>1076</v>
      </c>
    </row>
    <row r="1777" spans="1:21" hidden="1" x14ac:dyDescent="0.25">
      <c r="A1777">
        <v>49209.766900000002</v>
      </c>
      <c r="B1777">
        <v>2032.1169</v>
      </c>
      <c r="C1777">
        <v>9</v>
      </c>
      <c r="D1777" t="s">
        <v>596</v>
      </c>
      <c r="F1777">
        <v>1969</v>
      </c>
      <c r="G1777" s="1" t="s">
        <v>41</v>
      </c>
      <c r="H1777" s="1" t="s">
        <v>375</v>
      </c>
      <c r="I1777">
        <v>0.21110000000000001</v>
      </c>
      <c r="J1777">
        <v>49209.818200000002</v>
      </c>
      <c r="K1777">
        <v>2.1199999999999999E-3</v>
      </c>
      <c r="L1777">
        <v>1.0120000000000001E-2</v>
      </c>
      <c r="M1777">
        <v>0.245</v>
      </c>
      <c r="N1777">
        <v>1.3100000000000001E-2</v>
      </c>
      <c r="O1777">
        <v>1.025E-2</v>
      </c>
      <c r="P1777" s="3">
        <f t="shared" si="108"/>
        <v>2032.1169210821845</v>
      </c>
      <c r="Q1777" s="3">
        <f t="shared" si="109"/>
        <v>2.1184308714055078E-3</v>
      </c>
      <c r="R1777" s="3">
        <f t="shared" si="110"/>
        <v>1.0120000000000001E-2</v>
      </c>
      <c r="S1777">
        <f t="shared" si="111"/>
        <v>43</v>
      </c>
      <c r="T1777">
        <f>INDEX([1]IDEN_level_ids!$B:$B,MATCH(G1777,[1]IDEN_level_ids!$A:$A,0),1)</f>
        <v>1238</v>
      </c>
      <c r="U1777">
        <f>INDEX([1]IDEN_level_ids!$B:$B,MATCH(H1777,[1]IDEN_level_ids!$A:$A,0),1)</f>
        <v>1065</v>
      </c>
    </row>
    <row r="1778" spans="1:21" hidden="1" x14ac:dyDescent="0.25">
      <c r="A1778">
        <v>49206.473400000003</v>
      </c>
      <c r="B1778">
        <v>2032.2529</v>
      </c>
      <c r="C1778">
        <v>9</v>
      </c>
      <c r="D1778" t="s">
        <v>596</v>
      </c>
      <c r="F1778">
        <v>1969</v>
      </c>
      <c r="G1778" s="1" t="s">
        <v>24</v>
      </c>
      <c r="H1778" s="1" t="s">
        <v>407</v>
      </c>
      <c r="I1778">
        <v>0.20150000000000001</v>
      </c>
      <c r="J1778">
        <v>49206.533799999997</v>
      </c>
      <c r="K1778">
        <v>2.49E-3</v>
      </c>
      <c r="L1778">
        <v>1.0120000000000001E-2</v>
      </c>
      <c r="M1778">
        <v>0.245</v>
      </c>
      <c r="N1778">
        <v>2.2499999999999999E-2</v>
      </c>
      <c r="O1778">
        <v>1.035E-2</v>
      </c>
      <c r="P1778" s="3">
        <f t="shared" si="108"/>
        <v>2032.2529352408335</v>
      </c>
      <c r="Q1778" s="3">
        <f t="shared" si="109"/>
        <v>2.4945483414740011E-3</v>
      </c>
      <c r="R1778" s="3">
        <f t="shared" si="110"/>
        <v>1.0120000000000001E-2</v>
      </c>
      <c r="S1778">
        <f t="shared" si="111"/>
        <v>43</v>
      </c>
      <c r="T1778">
        <f>INDEX([1]IDEN_level_ids!$B:$B,MATCH(G1778,[1]IDEN_level_ids!$A:$A,0),1)</f>
        <v>1241</v>
      </c>
      <c r="U1778">
        <f>INDEX([1]IDEN_level_ids!$B:$B,MATCH(H1778,[1]IDEN_level_ids!$A:$A,0),1)</f>
        <v>1073</v>
      </c>
    </row>
    <row r="1779" spans="1:21" hidden="1" x14ac:dyDescent="0.25">
      <c r="A1779">
        <v>49200.977500000001</v>
      </c>
      <c r="B1779">
        <v>2032.4799</v>
      </c>
      <c r="C1779">
        <v>9</v>
      </c>
      <c r="D1779" t="s">
        <v>596</v>
      </c>
      <c r="F1779">
        <v>1969</v>
      </c>
      <c r="G1779" s="1" t="s">
        <v>16</v>
      </c>
      <c r="H1779" s="1" t="s">
        <v>477</v>
      </c>
      <c r="I1779">
        <v>0.2382</v>
      </c>
      <c r="J1779">
        <v>49201.034599999999</v>
      </c>
      <c r="K1779">
        <v>2.3600000000000001E-3</v>
      </c>
      <c r="L1779">
        <v>1.0120000000000001E-2</v>
      </c>
      <c r="M1779">
        <v>0.245</v>
      </c>
      <c r="N1779">
        <v>1.89E-2</v>
      </c>
      <c r="O1779">
        <v>1.0319999999999999E-2</v>
      </c>
      <c r="P1779" s="3">
        <f t="shared" si="108"/>
        <v>2032.4799441230614</v>
      </c>
      <c r="Q1779" s="3">
        <f t="shared" si="109"/>
        <v>2.3587838295497932E-3</v>
      </c>
      <c r="R1779" s="3">
        <f t="shared" si="110"/>
        <v>1.0120000000000001E-2</v>
      </c>
      <c r="S1779">
        <f t="shared" si="111"/>
        <v>43</v>
      </c>
      <c r="T1779">
        <f>INDEX([1]IDEN_level_ids!$B:$B,MATCH(G1779,[1]IDEN_level_ids!$A:$A,0),1)</f>
        <v>1223</v>
      </c>
      <c r="U1779">
        <f>INDEX([1]IDEN_level_ids!$B:$B,MATCH(H1779,[1]IDEN_level_ids!$A:$A,0),1)</f>
        <v>1045</v>
      </c>
    </row>
    <row r="1780" spans="1:21" hidden="1" x14ac:dyDescent="0.25">
      <c r="A1780">
        <v>49188.027000000002</v>
      </c>
      <c r="B1780">
        <v>2033.0151000000001</v>
      </c>
      <c r="C1780">
        <v>9</v>
      </c>
      <c r="D1780" t="s">
        <v>596</v>
      </c>
      <c r="F1780">
        <v>1969</v>
      </c>
      <c r="G1780" s="1" t="s">
        <v>18</v>
      </c>
      <c r="H1780" s="1" t="s">
        <v>462</v>
      </c>
      <c r="I1780">
        <v>0.27239999999999998</v>
      </c>
      <c r="J1780">
        <v>49188.086300000003</v>
      </c>
      <c r="K1780">
        <v>2.4499999999999999E-3</v>
      </c>
      <c r="L1780">
        <v>1.013E-2</v>
      </c>
      <c r="M1780">
        <v>0.245</v>
      </c>
      <c r="N1780">
        <v>1.84E-2</v>
      </c>
      <c r="O1780">
        <v>1.0319999999999999E-2</v>
      </c>
      <c r="P1780" s="3">
        <f t="shared" si="108"/>
        <v>2033.0150668576318</v>
      </c>
      <c r="Q1780" s="3">
        <f t="shared" si="109"/>
        <v>2.4509551506071148E-3</v>
      </c>
      <c r="R1780" s="3">
        <f t="shared" si="110"/>
        <v>1.013E-2</v>
      </c>
      <c r="S1780">
        <f t="shared" si="111"/>
        <v>43</v>
      </c>
      <c r="T1780">
        <f>INDEX([1]IDEN_level_ids!$B:$B,MATCH(G1780,[1]IDEN_level_ids!$A:$A,0),1)</f>
        <v>1226</v>
      </c>
      <c r="U1780">
        <f>INDEX([1]IDEN_level_ids!$B:$B,MATCH(H1780,[1]IDEN_level_ids!$A:$A,0),1)</f>
        <v>1047</v>
      </c>
    </row>
    <row r="1781" spans="1:21" hidden="1" x14ac:dyDescent="0.25">
      <c r="A1781">
        <v>49185.272199999999</v>
      </c>
      <c r="B1781">
        <v>2033.1288999999999</v>
      </c>
      <c r="C1781">
        <v>9</v>
      </c>
      <c r="D1781" t="s">
        <v>596</v>
      </c>
      <c r="F1781">
        <v>1969</v>
      </c>
      <c r="G1781" s="1" t="s">
        <v>197</v>
      </c>
      <c r="H1781" s="1" t="s">
        <v>550</v>
      </c>
      <c r="I1781">
        <v>0</v>
      </c>
      <c r="J1781">
        <v>49185.455600000001</v>
      </c>
      <c r="K1781">
        <v>7.5799999999999999E-3</v>
      </c>
      <c r="L1781">
        <v>1.013E-2</v>
      </c>
      <c r="M1781">
        <v>0.245</v>
      </c>
      <c r="N1781">
        <v>1.7100000000000001E-2</v>
      </c>
      <c r="O1781">
        <v>1.03E-2</v>
      </c>
      <c r="P1781" s="3">
        <f t="shared" si="108"/>
        <v>2033.128933258196</v>
      </c>
      <c r="Q1781" s="3">
        <f t="shared" si="109"/>
        <v>7.581018449855037E-3</v>
      </c>
      <c r="R1781" s="3">
        <f t="shared" si="110"/>
        <v>1.013E-2</v>
      </c>
      <c r="S1781">
        <f t="shared" si="111"/>
        <v>43</v>
      </c>
      <c r="T1781">
        <f>INDEX([1]IDEN_level_ids!$B:$B,MATCH(G1781,[1]IDEN_level_ids!$A:$A,0),1)</f>
        <v>1182</v>
      </c>
      <c r="U1781">
        <f>INDEX([1]IDEN_level_ids!$B:$B,MATCH(H1781,[1]IDEN_level_ids!$A:$A,0),1)</f>
        <v>997</v>
      </c>
    </row>
    <row r="1782" spans="1:21" hidden="1" x14ac:dyDescent="0.25">
      <c r="A1782">
        <v>49176.827499999999</v>
      </c>
      <c r="B1782">
        <v>2033.4781</v>
      </c>
      <c r="C1782">
        <v>9</v>
      </c>
      <c r="D1782" t="s">
        <v>596</v>
      </c>
      <c r="F1782">
        <v>1969</v>
      </c>
      <c r="G1782" s="1" t="s">
        <v>56</v>
      </c>
      <c r="H1782" s="1" t="s">
        <v>476</v>
      </c>
      <c r="I1782">
        <v>0</v>
      </c>
      <c r="J1782">
        <v>49177.005799999999</v>
      </c>
      <c r="K1782">
        <v>7.3699999999999998E-3</v>
      </c>
      <c r="L1782">
        <v>1.013E-2</v>
      </c>
      <c r="M1782">
        <v>0.245</v>
      </c>
      <c r="N1782">
        <v>1.23E-2</v>
      </c>
      <c r="O1782">
        <v>1.026E-2</v>
      </c>
      <c r="P1782" s="3">
        <f t="shared" si="108"/>
        <v>2033.4780644400048</v>
      </c>
      <c r="Q1782" s="3">
        <f t="shared" si="109"/>
        <v>7.3727371764107374E-3</v>
      </c>
      <c r="R1782" s="3">
        <f t="shared" si="110"/>
        <v>1.013E-2</v>
      </c>
      <c r="S1782">
        <f t="shared" si="111"/>
        <v>43</v>
      </c>
      <c r="T1782">
        <f>INDEX([1]IDEN_level_ids!$B:$B,MATCH(G1782,[1]IDEN_level_ids!$A:$A,0),1)</f>
        <v>1221</v>
      </c>
      <c r="U1782">
        <f>INDEX([1]IDEN_level_ids!$B:$B,MATCH(H1782,[1]IDEN_level_ids!$A:$A,0),1)</f>
        <v>1037</v>
      </c>
    </row>
    <row r="1783" spans="1:21" hidden="1" x14ac:dyDescent="0.25">
      <c r="A1783">
        <v>49171.001400000001</v>
      </c>
      <c r="B1783">
        <v>2033.7190000000001</v>
      </c>
      <c r="C1783">
        <v>9</v>
      </c>
      <c r="D1783" t="s">
        <v>596</v>
      </c>
      <c r="F1783">
        <v>1969</v>
      </c>
      <c r="G1783" s="1" t="s">
        <v>528</v>
      </c>
      <c r="H1783" s="1" t="s">
        <v>521</v>
      </c>
      <c r="I1783">
        <v>0</v>
      </c>
      <c r="J1783">
        <v>49170.999199999998</v>
      </c>
      <c r="K1783">
        <v>-9.0000000000000006E-5</v>
      </c>
      <c r="L1783">
        <v>1.013E-2</v>
      </c>
      <c r="M1783">
        <v>0.245</v>
      </c>
      <c r="N1783">
        <v>0.20499999999999999</v>
      </c>
      <c r="O1783">
        <v>1.2749999999999999E-2</v>
      </c>
      <c r="P1783" s="3">
        <f t="shared" si="108"/>
        <v>2033.7190041445851</v>
      </c>
      <c r="Q1783" s="3">
        <f t="shared" si="109"/>
        <v>-9.099228986997332E-5</v>
      </c>
      <c r="R1783" s="3">
        <f t="shared" si="110"/>
        <v>1.013E-2</v>
      </c>
      <c r="S1783">
        <f t="shared" si="111"/>
        <v>43</v>
      </c>
      <c r="T1783">
        <f>INDEX([1]IDEN_level_ids!$B:$B,MATCH(G1783,[1]IDEN_level_ids!$A:$A,0),1)</f>
        <v>1009</v>
      </c>
      <c r="U1783">
        <f>INDEX([1]IDEN_level_ids!$B:$B,MATCH(H1783,[1]IDEN_level_ids!$A:$A,0),1)</f>
        <v>672</v>
      </c>
    </row>
    <row r="1784" spans="1:21" hidden="1" x14ac:dyDescent="0.25">
      <c r="A1784">
        <v>49165.416100000002</v>
      </c>
      <c r="B1784">
        <v>2033.95</v>
      </c>
      <c r="C1784">
        <v>9</v>
      </c>
      <c r="D1784" t="s">
        <v>596</v>
      </c>
      <c r="F1784">
        <v>1969</v>
      </c>
      <c r="G1784" s="1" t="s">
        <v>51</v>
      </c>
      <c r="H1784" s="1" t="s">
        <v>470</v>
      </c>
      <c r="I1784">
        <v>0.20880000000000001</v>
      </c>
      <c r="J1784">
        <v>49165.467700000001</v>
      </c>
      <c r="K1784">
        <v>2.1299999999999999E-3</v>
      </c>
      <c r="L1784">
        <v>1.013E-2</v>
      </c>
      <c r="M1784">
        <v>0.245</v>
      </c>
      <c r="N1784">
        <v>1.29E-2</v>
      </c>
      <c r="O1784">
        <v>1.027E-2</v>
      </c>
      <c r="P1784" s="3">
        <f t="shared" si="108"/>
        <v>2033.9500391210966</v>
      </c>
      <c r="Q1784" s="3">
        <f t="shared" si="109"/>
        <v>2.1346653845739638E-3</v>
      </c>
      <c r="R1784" s="3">
        <f t="shared" si="110"/>
        <v>1.013E-2</v>
      </c>
      <c r="S1784">
        <f t="shared" si="111"/>
        <v>43</v>
      </c>
      <c r="T1784">
        <f>INDEX([1]IDEN_level_ids!$B:$B,MATCH(G1784,[1]IDEN_level_ids!$A:$A,0),1)</f>
        <v>1213</v>
      </c>
      <c r="U1784">
        <f>INDEX([1]IDEN_level_ids!$B:$B,MATCH(H1784,[1]IDEN_level_ids!$A:$A,0),1)</f>
        <v>1026</v>
      </c>
    </row>
    <row r="1785" spans="1:21" hidden="1" x14ac:dyDescent="0.25">
      <c r="A1785">
        <v>49159.712299999999</v>
      </c>
      <c r="B1785">
        <v>2034.1859999999999</v>
      </c>
      <c r="C1785">
        <v>9</v>
      </c>
      <c r="D1785" t="s">
        <v>596</v>
      </c>
      <c r="F1785">
        <v>1969</v>
      </c>
      <c r="G1785" s="1" t="s">
        <v>53</v>
      </c>
      <c r="H1785" s="1" t="s">
        <v>416</v>
      </c>
      <c r="I1785">
        <v>0.1961</v>
      </c>
      <c r="J1785">
        <v>49159.904699999999</v>
      </c>
      <c r="K1785">
        <v>7.9600000000000001E-3</v>
      </c>
      <c r="L1785">
        <v>1.014E-2</v>
      </c>
      <c r="M1785">
        <v>0.245</v>
      </c>
      <c r="N1785">
        <v>1.46E-2</v>
      </c>
      <c r="O1785">
        <v>1.0290000000000001E-2</v>
      </c>
      <c r="P1785" s="3">
        <f t="shared" si="108"/>
        <v>2034.1860300105948</v>
      </c>
      <c r="Q1785" s="3">
        <f t="shared" si="109"/>
        <v>7.9613130774305318E-3</v>
      </c>
      <c r="R1785" s="3">
        <f t="shared" si="110"/>
        <v>1.014E-2</v>
      </c>
      <c r="S1785">
        <f t="shared" si="111"/>
        <v>43</v>
      </c>
      <c r="T1785">
        <f>INDEX([1]IDEN_level_ids!$B:$B,MATCH(G1785,[1]IDEN_level_ids!$A:$A,0),1)</f>
        <v>1231</v>
      </c>
      <c r="U1785">
        <f>INDEX([1]IDEN_level_ids!$B:$B,MATCH(H1785,[1]IDEN_level_ids!$A:$A,0),1)</f>
        <v>1055</v>
      </c>
    </row>
    <row r="1786" spans="1:21" hidden="1" x14ac:dyDescent="0.25">
      <c r="A1786">
        <v>49157.199800000002</v>
      </c>
      <c r="B1786">
        <v>2034.29</v>
      </c>
      <c r="C1786">
        <v>9</v>
      </c>
      <c r="D1786" t="s">
        <v>596</v>
      </c>
      <c r="F1786">
        <v>1969</v>
      </c>
      <c r="G1786" s="1" t="s">
        <v>33</v>
      </c>
      <c r="H1786" s="1" t="s">
        <v>552</v>
      </c>
      <c r="I1786">
        <v>0</v>
      </c>
      <c r="J1786">
        <v>49157.309099999999</v>
      </c>
      <c r="K1786">
        <v>4.5199999999999997E-3</v>
      </c>
      <c r="L1786">
        <v>1.014E-2</v>
      </c>
      <c r="M1786">
        <v>0.245</v>
      </c>
      <c r="N1786">
        <v>1.2800000000000001E-2</v>
      </c>
      <c r="O1786">
        <v>1.027E-2</v>
      </c>
      <c r="P1786" s="3">
        <f t="shared" si="108"/>
        <v>2034.2900003836264</v>
      </c>
      <c r="Q1786" s="3">
        <f t="shared" si="109"/>
        <v>4.5231909782614821E-3</v>
      </c>
      <c r="R1786" s="3">
        <f t="shared" si="110"/>
        <v>1.014E-2</v>
      </c>
      <c r="S1786">
        <f t="shared" si="111"/>
        <v>43</v>
      </c>
      <c r="T1786">
        <f>INDEX([1]IDEN_level_ids!$B:$B,MATCH(G1786,[1]IDEN_level_ids!$A:$A,0),1)</f>
        <v>1220</v>
      </c>
      <c r="U1786">
        <f>INDEX([1]IDEN_level_ids!$B:$B,MATCH(H1786,[1]IDEN_level_ids!$A:$A,0),1)</f>
        <v>1040</v>
      </c>
    </row>
    <row r="1787" spans="1:21" hidden="1" x14ac:dyDescent="0.25">
      <c r="A1787">
        <v>49142.608399999997</v>
      </c>
      <c r="B1787">
        <v>2034.894</v>
      </c>
      <c r="C1787">
        <v>9</v>
      </c>
      <c r="D1787" t="s">
        <v>596</v>
      </c>
      <c r="F1787">
        <v>1969</v>
      </c>
      <c r="G1787" s="1" t="s">
        <v>62</v>
      </c>
      <c r="H1787" s="1" t="s">
        <v>528</v>
      </c>
      <c r="I1787">
        <v>0</v>
      </c>
      <c r="J1787">
        <v>49142.7477</v>
      </c>
      <c r="K1787">
        <v>5.77E-3</v>
      </c>
      <c r="L1787">
        <v>1.014E-2</v>
      </c>
      <c r="M1787">
        <v>0.245</v>
      </c>
      <c r="N1787">
        <v>1.7600000000000001E-2</v>
      </c>
      <c r="O1787">
        <v>1.0330000000000001E-2</v>
      </c>
      <c r="P1787" s="3">
        <f t="shared" si="108"/>
        <v>2034.894020806596</v>
      </c>
      <c r="Q1787" s="3">
        <f t="shared" si="109"/>
        <v>5.7681092403072398E-3</v>
      </c>
      <c r="R1787" s="3">
        <f t="shared" si="110"/>
        <v>1.014E-2</v>
      </c>
      <c r="S1787">
        <f t="shared" si="111"/>
        <v>43</v>
      </c>
      <c r="T1787">
        <f>INDEX([1]IDEN_level_ids!$B:$B,MATCH(G1787,[1]IDEN_level_ids!$A:$A,0),1)</f>
        <v>1203</v>
      </c>
      <c r="U1787">
        <f>INDEX([1]IDEN_level_ids!$B:$B,MATCH(H1787,[1]IDEN_level_ids!$A:$A,0),1)</f>
        <v>1009</v>
      </c>
    </row>
    <row r="1788" spans="1:21" hidden="1" x14ac:dyDescent="0.25">
      <c r="A1788">
        <v>49114.439700000003</v>
      </c>
      <c r="B1788">
        <v>2036.0610999999999</v>
      </c>
      <c r="C1788">
        <v>9</v>
      </c>
      <c r="D1788" t="s">
        <v>596</v>
      </c>
      <c r="F1788">
        <v>1969</v>
      </c>
      <c r="G1788" s="1" t="s">
        <v>94</v>
      </c>
      <c r="H1788" s="1" t="s">
        <v>585</v>
      </c>
      <c r="I1788">
        <v>0</v>
      </c>
      <c r="J1788">
        <v>49114.619700000003</v>
      </c>
      <c r="K1788">
        <v>7.4599999999999996E-3</v>
      </c>
      <c r="L1788">
        <v>1.0160000000000001E-2</v>
      </c>
      <c r="M1788">
        <v>0.245</v>
      </c>
      <c r="N1788">
        <v>1.18E-2</v>
      </c>
      <c r="O1788">
        <v>1.0279999999999999E-2</v>
      </c>
      <c r="P1788" s="3">
        <f t="shared" si="108"/>
        <v>2036.0610975268846</v>
      </c>
      <c r="Q1788" s="3">
        <f t="shared" si="109"/>
        <v>7.4619532797441934E-3</v>
      </c>
      <c r="R1788" s="3">
        <f t="shared" si="110"/>
        <v>1.0160000000000001E-2</v>
      </c>
      <c r="S1788">
        <f t="shared" si="111"/>
        <v>43</v>
      </c>
      <c r="T1788">
        <f>INDEX([1]IDEN_level_ids!$B:$B,MATCH(G1788,[1]IDEN_level_ids!$A:$A,0),1)</f>
        <v>1207</v>
      </c>
      <c r="U1788">
        <f>INDEX([1]IDEN_level_ids!$B:$B,MATCH(H1788,[1]IDEN_level_ids!$A:$A,0),1)</f>
        <v>1019</v>
      </c>
    </row>
    <row r="1789" spans="1:21" hidden="1" x14ac:dyDescent="0.25">
      <c r="A1789">
        <v>49113.427300000003</v>
      </c>
      <c r="B1789">
        <v>2036.1031</v>
      </c>
      <c r="C1789">
        <v>9</v>
      </c>
      <c r="D1789" t="s">
        <v>596</v>
      </c>
      <c r="F1789">
        <v>1969</v>
      </c>
      <c r="G1789" s="1" t="s">
        <v>279</v>
      </c>
      <c r="H1789" s="1" t="s">
        <v>447</v>
      </c>
      <c r="I1789">
        <v>0.18920000000000001</v>
      </c>
      <c r="J1789">
        <v>49113.610200000003</v>
      </c>
      <c r="K1789">
        <v>7.5799999999999999E-3</v>
      </c>
      <c r="L1789">
        <v>1.0160000000000001E-2</v>
      </c>
      <c r="M1789">
        <v>0.245</v>
      </c>
      <c r="N1789">
        <v>0.2104</v>
      </c>
      <c r="O1789">
        <v>1.286E-2</v>
      </c>
      <c r="P1789" s="3">
        <f t="shared" si="108"/>
        <v>2036.1030678875061</v>
      </c>
      <c r="Q1789" s="3">
        <f t="shared" si="109"/>
        <v>7.5824857835868897E-3</v>
      </c>
      <c r="R1789" s="3">
        <f t="shared" si="110"/>
        <v>1.0160000000000001E-2</v>
      </c>
      <c r="S1789">
        <f t="shared" si="111"/>
        <v>43</v>
      </c>
      <c r="T1789">
        <f>INDEX([1]IDEN_level_ids!$B:$B,MATCH(G1789,[1]IDEN_level_ids!$A:$A,0),1)</f>
        <v>1129</v>
      </c>
      <c r="U1789">
        <f>INDEX([1]IDEN_level_ids!$B:$B,MATCH(H1789,[1]IDEN_level_ids!$A:$A,0),1)</f>
        <v>937</v>
      </c>
    </row>
    <row r="1790" spans="1:21" hidden="1" x14ac:dyDescent="0.25">
      <c r="A1790">
        <v>49105.904000000002</v>
      </c>
      <c r="B1790">
        <v>2036.415</v>
      </c>
      <c r="C1790">
        <v>9</v>
      </c>
      <c r="D1790" t="s">
        <v>596</v>
      </c>
      <c r="E1790" t="s">
        <v>52</v>
      </c>
      <c r="F1790">
        <v>1969</v>
      </c>
      <c r="G1790" s="1" t="s">
        <v>94</v>
      </c>
      <c r="H1790" s="1" t="s">
        <v>576</v>
      </c>
      <c r="I1790">
        <v>0.1002</v>
      </c>
      <c r="J1790">
        <v>49106.066099999996</v>
      </c>
      <c r="K1790">
        <v>6.7200000000000003E-3</v>
      </c>
      <c r="L1790">
        <v>1.145E-2</v>
      </c>
      <c r="M1790">
        <v>0.27600000000000002</v>
      </c>
      <c r="N1790">
        <v>8.9999999999999993E-3</v>
      </c>
      <c r="O1790">
        <v>1.155E-2</v>
      </c>
      <c r="P1790" s="3">
        <f t="shared" si="108"/>
        <v>2036.4150103010015</v>
      </c>
      <c r="Q1790" s="3">
        <f t="shared" si="109"/>
        <v>6.722242268097034E-3</v>
      </c>
      <c r="R1790" s="3">
        <f t="shared" si="110"/>
        <v>1.145E-2</v>
      </c>
      <c r="S1790">
        <f t="shared" si="111"/>
        <v>43</v>
      </c>
      <c r="T1790">
        <f>INDEX([1]IDEN_level_ids!$B:$B,MATCH(G1790,[1]IDEN_level_ids!$A:$A,0),1)</f>
        <v>1207</v>
      </c>
      <c r="U1790">
        <f>INDEX([1]IDEN_level_ids!$B:$B,MATCH(H1790,[1]IDEN_level_ids!$A:$A,0),1)</f>
        <v>1024</v>
      </c>
    </row>
    <row r="1791" spans="1:21" hidden="1" x14ac:dyDescent="0.25">
      <c r="A1791">
        <v>49077.877099999998</v>
      </c>
      <c r="B1791">
        <v>2037.5779</v>
      </c>
      <c r="C1791">
        <v>9</v>
      </c>
      <c r="D1791" t="s">
        <v>596</v>
      </c>
      <c r="F1791">
        <v>1969</v>
      </c>
      <c r="G1791" s="1" t="s">
        <v>273</v>
      </c>
      <c r="H1791" s="1" t="s">
        <v>412</v>
      </c>
      <c r="I1791">
        <v>0</v>
      </c>
      <c r="J1791">
        <v>49077.740899999997</v>
      </c>
      <c r="K1791">
        <v>-5.6600000000000001E-3</v>
      </c>
      <c r="L1791">
        <v>1.017E-2</v>
      </c>
      <c r="M1791">
        <v>0.245</v>
      </c>
      <c r="N1791">
        <v>0.11260000000000001</v>
      </c>
      <c r="O1791">
        <v>1.146E-2</v>
      </c>
      <c r="P1791" s="3">
        <f t="shared" si="108"/>
        <v>2037.5779456850223</v>
      </c>
      <c r="Q1791" s="3">
        <f t="shared" si="109"/>
        <v>-5.6546636237726489E-3</v>
      </c>
      <c r="R1791" s="3">
        <f t="shared" si="110"/>
        <v>1.017E-2</v>
      </c>
      <c r="S1791">
        <f t="shared" si="111"/>
        <v>43</v>
      </c>
      <c r="T1791">
        <f>INDEX([1]IDEN_level_ids!$B:$B,MATCH(G1791,[1]IDEN_level_ids!$A:$A,0),1)</f>
        <v>1105</v>
      </c>
      <c r="U1791">
        <f>INDEX([1]IDEN_level_ids!$B:$B,MATCH(H1791,[1]IDEN_level_ids!$A:$A,0),1)</f>
        <v>923</v>
      </c>
    </row>
    <row r="1792" spans="1:21" hidden="1" x14ac:dyDescent="0.25">
      <c r="A1792">
        <v>49058.902900000001</v>
      </c>
      <c r="B1792">
        <v>2038.366</v>
      </c>
      <c r="C1792">
        <v>9</v>
      </c>
      <c r="D1792" t="s">
        <v>596</v>
      </c>
      <c r="F1792">
        <v>1969</v>
      </c>
      <c r="G1792" s="1" t="s">
        <v>193</v>
      </c>
      <c r="H1792" s="1" t="s">
        <v>579</v>
      </c>
      <c r="I1792">
        <v>0</v>
      </c>
      <c r="J1792">
        <v>49059.055500000002</v>
      </c>
      <c r="K1792">
        <v>6.3400000000000001E-3</v>
      </c>
      <c r="L1792">
        <v>1.018E-2</v>
      </c>
      <c r="M1792">
        <v>0.245</v>
      </c>
      <c r="N1792">
        <v>2.23E-2</v>
      </c>
      <c r="O1792">
        <v>1.0410000000000001E-2</v>
      </c>
      <c r="P1792" s="3">
        <f t="shared" si="108"/>
        <v>2038.3660067538933</v>
      </c>
      <c r="Q1792" s="3">
        <f t="shared" si="109"/>
        <v>6.3404125794477295E-3</v>
      </c>
      <c r="R1792" s="3">
        <f t="shared" si="110"/>
        <v>1.018E-2</v>
      </c>
      <c r="S1792">
        <f t="shared" si="111"/>
        <v>43</v>
      </c>
      <c r="T1792">
        <f>INDEX([1]IDEN_level_ids!$B:$B,MATCH(G1792,[1]IDEN_level_ids!$A:$A,0),1)</f>
        <v>1202</v>
      </c>
      <c r="U1792">
        <f>INDEX([1]IDEN_level_ids!$B:$B,MATCH(H1792,[1]IDEN_level_ids!$A:$A,0),1)</f>
        <v>1007</v>
      </c>
    </row>
    <row r="1793" spans="1:21" hidden="1" x14ac:dyDescent="0.25">
      <c r="A1793">
        <v>49051.298900000002</v>
      </c>
      <c r="B1793">
        <v>2038.682</v>
      </c>
      <c r="C1793">
        <v>9</v>
      </c>
      <c r="D1793" t="s">
        <v>596</v>
      </c>
      <c r="F1793">
        <v>1969</v>
      </c>
      <c r="G1793" s="1" t="s">
        <v>280</v>
      </c>
      <c r="H1793" s="1" t="s">
        <v>447</v>
      </c>
      <c r="I1793">
        <v>0</v>
      </c>
      <c r="J1793">
        <v>49051.103799999997</v>
      </c>
      <c r="K1793">
        <v>-8.1099999999999992E-3</v>
      </c>
      <c r="L1793">
        <v>1.018E-2</v>
      </c>
      <c r="M1793">
        <v>0.245</v>
      </c>
      <c r="N1793">
        <v>0.20780000000000001</v>
      </c>
      <c r="O1793">
        <v>1.285E-2</v>
      </c>
      <c r="P1793" s="3">
        <f t="shared" si="108"/>
        <v>2038.6819970632826</v>
      </c>
      <c r="Q1793" s="3">
        <f t="shared" si="109"/>
        <v>-8.1088258332329133E-3</v>
      </c>
      <c r="R1793" s="3">
        <f t="shared" si="110"/>
        <v>1.018E-2</v>
      </c>
      <c r="S1793">
        <f t="shared" si="111"/>
        <v>43</v>
      </c>
      <c r="T1793">
        <f>INDEX([1]IDEN_level_ids!$B:$B,MATCH(G1793,[1]IDEN_level_ids!$A:$A,0),1)</f>
        <v>1130</v>
      </c>
      <c r="U1793">
        <f>INDEX([1]IDEN_level_ids!$B:$B,MATCH(H1793,[1]IDEN_level_ids!$A:$A,0),1)</f>
        <v>937</v>
      </c>
    </row>
    <row r="1794" spans="1:21" hidden="1" x14ac:dyDescent="0.25">
      <c r="A1794">
        <v>49034.487200000003</v>
      </c>
      <c r="B1794">
        <v>2039.3810000000001</v>
      </c>
      <c r="C1794">
        <v>9</v>
      </c>
      <c r="D1794" t="s">
        <v>596</v>
      </c>
      <c r="F1794">
        <v>1969</v>
      </c>
      <c r="G1794" s="1" t="s">
        <v>41</v>
      </c>
      <c r="H1794" s="1" t="s">
        <v>448</v>
      </c>
      <c r="I1794">
        <v>0.2167</v>
      </c>
      <c r="J1794">
        <v>49034.483800000002</v>
      </c>
      <c r="K1794">
        <v>-1.3999999999999999E-4</v>
      </c>
      <c r="L1794">
        <v>1.0189999999999999E-2</v>
      </c>
      <c r="M1794">
        <v>0.245</v>
      </c>
      <c r="N1794">
        <v>1.3299999999999999E-2</v>
      </c>
      <c r="O1794">
        <v>1.0330000000000001E-2</v>
      </c>
      <c r="P1794" s="3">
        <f t="shared" ref="P1794:P1857" si="112">100000000/$A1794</f>
        <v>2039.3809685849023</v>
      </c>
      <c r="Q1794" s="3">
        <f t="shared" ref="Q1794:Q1857" si="113">100000000/($A1794)-100000000/$J1794</f>
        <v>-1.4140855068944802E-4</v>
      </c>
      <c r="R1794" s="3">
        <f t="shared" si="110"/>
        <v>1.0189999999999999E-2</v>
      </c>
      <c r="S1794">
        <f t="shared" si="111"/>
        <v>43</v>
      </c>
      <c r="T1794">
        <f>INDEX([1]IDEN_level_ids!$B:$B,MATCH(G1794,[1]IDEN_level_ids!$A:$A,0),1)</f>
        <v>1238</v>
      </c>
      <c r="U1794">
        <f>INDEX([1]IDEN_level_ids!$B:$B,MATCH(H1794,[1]IDEN_level_ids!$A:$A,0),1)</f>
        <v>1067</v>
      </c>
    </row>
    <row r="1795" spans="1:21" hidden="1" x14ac:dyDescent="0.25">
      <c r="A1795">
        <v>48945.1607</v>
      </c>
      <c r="B1795">
        <v>2043.1029000000001</v>
      </c>
      <c r="C1795">
        <v>9</v>
      </c>
      <c r="D1795" t="s">
        <v>596</v>
      </c>
      <c r="F1795">
        <v>1969</v>
      </c>
      <c r="G1795" s="1" t="s">
        <v>51</v>
      </c>
      <c r="H1795" s="1" t="s">
        <v>522</v>
      </c>
      <c r="I1795">
        <v>0</v>
      </c>
      <c r="J1795">
        <v>48945.158199999998</v>
      </c>
      <c r="K1795">
        <v>-1E-4</v>
      </c>
      <c r="L1795">
        <v>1.023E-2</v>
      </c>
      <c r="M1795">
        <v>0.245</v>
      </c>
      <c r="N1795">
        <v>2.98E-2</v>
      </c>
      <c r="O1795">
        <v>1.0540000000000001E-2</v>
      </c>
      <c r="P1795" s="3">
        <f t="shared" si="112"/>
        <v>2043.1029047576505</v>
      </c>
      <c r="Q1795" s="3">
        <f t="shared" si="113"/>
        <v>-1.0435674244035908E-4</v>
      </c>
      <c r="R1795" s="3">
        <f t="shared" ref="R1795:R1858" si="114">$L1795</f>
        <v>1.023E-2</v>
      </c>
      <c r="S1795">
        <f t="shared" si="111"/>
        <v>43</v>
      </c>
      <c r="T1795">
        <f>INDEX([1]IDEN_level_ids!$B:$B,MATCH(G1795,[1]IDEN_level_ids!$A:$A,0),1)</f>
        <v>1213</v>
      </c>
      <c r="U1795">
        <f>INDEX([1]IDEN_level_ids!$B:$B,MATCH(H1795,[1]IDEN_level_ids!$A:$A,0),1)</f>
        <v>1029</v>
      </c>
    </row>
    <row r="1796" spans="1:21" hidden="1" x14ac:dyDescent="0.25">
      <c r="A1796">
        <v>48907.266900000002</v>
      </c>
      <c r="B1796">
        <v>2044.6858999999999</v>
      </c>
      <c r="C1796">
        <v>9</v>
      </c>
      <c r="D1796" t="s">
        <v>596</v>
      </c>
      <c r="F1796">
        <v>1969</v>
      </c>
      <c r="G1796" s="1" t="s">
        <v>71</v>
      </c>
      <c r="H1796" s="1" t="s">
        <v>584</v>
      </c>
      <c r="I1796">
        <v>0</v>
      </c>
      <c r="J1796">
        <v>48907.508800000003</v>
      </c>
      <c r="K1796">
        <v>1.0109999999999999E-2</v>
      </c>
      <c r="L1796">
        <v>1.0240000000000001E-2</v>
      </c>
      <c r="M1796">
        <v>0.245</v>
      </c>
      <c r="N1796">
        <v>1.6E-2</v>
      </c>
      <c r="O1796">
        <v>1.0410000000000001E-2</v>
      </c>
      <c r="P1796" s="3">
        <f t="shared" si="112"/>
        <v>2044.6859196705591</v>
      </c>
      <c r="Q1796" s="3">
        <f t="shared" si="113"/>
        <v>1.0113161273238802E-2</v>
      </c>
      <c r="R1796" s="3">
        <f t="shared" si="114"/>
        <v>1.0240000000000001E-2</v>
      </c>
      <c r="S1796">
        <f t="shared" ref="S1796:S1859" si="115">IF(D1796=D1795,S1795,S1795+1)</f>
        <v>43</v>
      </c>
      <c r="T1796">
        <f>INDEX([1]IDEN_level_ids!$B:$B,MATCH(G1796,[1]IDEN_level_ids!$A:$A,0),1)</f>
        <v>1179</v>
      </c>
      <c r="U1796">
        <f>INDEX([1]IDEN_level_ids!$B:$B,MATCH(H1796,[1]IDEN_level_ids!$A:$A,0),1)</f>
        <v>992</v>
      </c>
    </row>
    <row r="1797" spans="1:21" hidden="1" x14ac:dyDescent="0.25">
      <c r="A1797">
        <v>48888.636899999998</v>
      </c>
      <c r="B1797">
        <v>2045.4650999999999</v>
      </c>
      <c r="C1797">
        <v>9</v>
      </c>
      <c r="D1797" t="s">
        <v>596</v>
      </c>
      <c r="F1797">
        <v>1969</v>
      </c>
      <c r="G1797" s="1" t="s">
        <v>24</v>
      </c>
      <c r="H1797" s="1" t="s">
        <v>398</v>
      </c>
      <c r="I1797">
        <v>0.2341</v>
      </c>
      <c r="J1797">
        <v>48888.6823</v>
      </c>
      <c r="K1797">
        <v>1.9E-3</v>
      </c>
      <c r="L1797">
        <v>1.025E-2</v>
      </c>
      <c r="M1797">
        <v>0.245</v>
      </c>
      <c r="N1797">
        <v>2.3E-2</v>
      </c>
      <c r="O1797">
        <v>1.0489999999999999E-2</v>
      </c>
      <c r="P1797" s="3">
        <f t="shared" si="112"/>
        <v>2045.4650884324412</v>
      </c>
      <c r="Q1797" s="3">
        <f t="shared" si="113"/>
        <v>1.8995012885625329E-3</v>
      </c>
      <c r="R1797" s="3">
        <f t="shared" si="114"/>
        <v>1.025E-2</v>
      </c>
      <c r="S1797">
        <f t="shared" si="115"/>
        <v>43</v>
      </c>
      <c r="T1797">
        <f>INDEX([1]IDEN_level_ids!$B:$B,MATCH(G1797,[1]IDEN_level_ids!$A:$A,0),1)</f>
        <v>1241</v>
      </c>
      <c r="U1797">
        <f>INDEX([1]IDEN_level_ids!$B:$B,MATCH(H1797,[1]IDEN_level_ids!$A:$A,0),1)</f>
        <v>1075</v>
      </c>
    </row>
    <row r="1798" spans="1:21" hidden="1" x14ac:dyDescent="0.25">
      <c r="A1798">
        <v>48886.274400000002</v>
      </c>
      <c r="B1798">
        <v>2045.5639000000001</v>
      </c>
      <c r="C1798">
        <v>9</v>
      </c>
      <c r="D1798" t="s">
        <v>596</v>
      </c>
      <c r="F1798">
        <v>1969</v>
      </c>
      <c r="G1798" s="1" t="s">
        <v>492</v>
      </c>
      <c r="H1798" s="1" t="s">
        <v>489</v>
      </c>
      <c r="I1798">
        <v>0.17580000000000001</v>
      </c>
      <c r="J1798">
        <v>48886.269500000002</v>
      </c>
      <c r="K1798">
        <v>-2.0000000000000001E-4</v>
      </c>
      <c r="L1798">
        <v>1.025E-2</v>
      </c>
      <c r="M1798">
        <v>0.245</v>
      </c>
      <c r="N1798">
        <v>2.8899999999999999E-2</v>
      </c>
      <c r="O1798">
        <v>1.056E-2</v>
      </c>
      <c r="P1798" s="3">
        <f t="shared" si="112"/>
        <v>2045.563938494769</v>
      </c>
      <c r="Q1798" s="3">
        <f t="shared" si="113"/>
        <v>-2.0503228006418794E-4</v>
      </c>
      <c r="R1798" s="3">
        <f t="shared" si="114"/>
        <v>1.025E-2</v>
      </c>
      <c r="S1798">
        <f t="shared" si="115"/>
        <v>43</v>
      </c>
      <c r="T1798">
        <f>INDEX([1]IDEN_level_ids!$B:$B,MATCH(G1798,[1]IDEN_level_ids!$A:$A,0),1)</f>
        <v>1132</v>
      </c>
      <c r="U1798">
        <f>INDEX([1]IDEN_level_ids!$B:$B,MATCH(H1798,[1]IDEN_level_ids!$A:$A,0),1)</f>
        <v>945</v>
      </c>
    </row>
    <row r="1799" spans="1:21" hidden="1" x14ac:dyDescent="0.25">
      <c r="A1799">
        <v>48877.909299999999</v>
      </c>
      <c r="B1799">
        <v>2045.914</v>
      </c>
      <c r="C1799">
        <v>9</v>
      </c>
      <c r="D1799" t="s">
        <v>596</v>
      </c>
      <c r="F1799">
        <v>1969</v>
      </c>
      <c r="G1799" s="1" t="s">
        <v>51</v>
      </c>
      <c r="H1799" s="1" t="s">
        <v>563</v>
      </c>
      <c r="I1799">
        <v>0</v>
      </c>
      <c r="J1799">
        <v>48878.059699999998</v>
      </c>
      <c r="K1799">
        <v>6.2899999999999996E-3</v>
      </c>
      <c r="L1799">
        <v>1.025E-2</v>
      </c>
      <c r="M1799">
        <v>0.245</v>
      </c>
      <c r="N1799">
        <v>1.7000000000000001E-2</v>
      </c>
      <c r="O1799">
        <v>1.043E-2</v>
      </c>
      <c r="P1799" s="3">
        <f t="shared" si="112"/>
        <v>2045.914021940378</v>
      </c>
      <c r="Q1799" s="3">
        <f t="shared" si="113"/>
        <v>6.2953699632544158E-3</v>
      </c>
      <c r="R1799" s="3">
        <f t="shared" si="114"/>
        <v>1.025E-2</v>
      </c>
      <c r="S1799">
        <f t="shared" si="115"/>
        <v>43</v>
      </c>
      <c r="T1799">
        <f>INDEX([1]IDEN_level_ids!$B:$B,MATCH(G1799,[1]IDEN_level_ids!$A:$A,0),1)</f>
        <v>1213</v>
      </c>
      <c r="U1799">
        <f>INDEX([1]IDEN_level_ids!$B:$B,MATCH(H1799,[1]IDEN_level_ids!$A:$A,0),1)</f>
        <v>1032</v>
      </c>
    </row>
    <row r="1800" spans="1:21" hidden="1" x14ac:dyDescent="0.25">
      <c r="A1800">
        <v>48866.538399999998</v>
      </c>
      <c r="B1800">
        <v>2046.3901000000001</v>
      </c>
      <c r="C1800">
        <v>9</v>
      </c>
      <c r="D1800" t="s">
        <v>596</v>
      </c>
      <c r="F1800">
        <v>1969</v>
      </c>
      <c r="G1800" s="1" t="s">
        <v>77</v>
      </c>
      <c r="H1800" s="1" t="s">
        <v>579</v>
      </c>
      <c r="I1800">
        <v>0</v>
      </c>
      <c r="J1800">
        <v>48866.697699999997</v>
      </c>
      <c r="K1800">
        <v>6.6699999999999997E-3</v>
      </c>
      <c r="L1800">
        <v>1.026E-2</v>
      </c>
      <c r="M1800">
        <v>0.245</v>
      </c>
      <c r="N1800">
        <v>2.18E-2</v>
      </c>
      <c r="O1800">
        <v>1.0489999999999999E-2</v>
      </c>
      <c r="P1800" s="3">
        <f t="shared" si="112"/>
        <v>2046.3900917524375</v>
      </c>
      <c r="Q1800" s="3">
        <f t="shared" si="113"/>
        <v>6.6710041185160662E-3</v>
      </c>
      <c r="R1800" s="3">
        <f t="shared" si="114"/>
        <v>1.026E-2</v>
      </c>
      <c r="S1800">
        <f t="shared" si="115"/>
        <v>43</v>
      </c>
      <c r="T1800">
        <f>INDEX([1]IDEN_level_ids!$B:$B,MATCH(G1800,[1]IDEN_level_ids!$A:$A,0),1)</f>
        <v>1197</v>
      </c>
      <c r="U1800">
        <f>INDEX([1]IDEN_level_ids!$B:$B,MATCH(H1800,[1]IDEN_level_ids!$A:$A,0),1)</f>
        <v>1007</v>
      </c>
    </row>
    <row r="1801" spans="1:21" hidden="1" x14ac:dyDescent="0.25">
      <c r="A1801">
        <v>48859.328500000003</v>
      </c>
      <c r="B1801">
        <v>2046.6921</v>
      </c>
      <c r="C1801">
        <v>9</v>
      </c>
      <c r="D1801" t="s">
        <v>596</v>
      </c>
      <c r="F1801">
        <v>1969</v>
      </c>
      <c r="G1801" s="1" t="s">
        <v>285</v>
      </c>
      <c r="H1801" s="1" t="s">
        <v>483</v>
      </c>
      <c r="I1801">
        <v>0</v>
      </c>
      <c r="J1801">
        <v>48859.492400000003</v>
      </c>
      <c r="K1801">
        <v>6.8700000000000002E-3</v>
      </c>
      <c r="L1801">
        <v>1.026E-2</v>
      </c>
      <c r="M1801">
        <v>0.245</v>
      </c>
      <c r="N1801">
        <v>1.6799999999999999E-2</v>
      </c>
      <c r="O1801">
        <v>1.044E-2</v>
      </c>
      <c r="P1801" s="3">
        <f t="shared" si="112"/>
        <v>2046.6920661834308</v>
      </c>
      <c r="Q1801" s="3">
        <f t="shared" si="113"/>
        <v>6.8656634189210308E-3</v>
      </c>
      <c r="R1801" s="3">
        <f t="shared" si="114"/>
        <v>1.026E-2</v>
      </c>
      <c r="S1801">
        <f t="shared" si="115"/>
        <v>43</v>
      </c>
      <c r="T1801">
        <f>INDEX([1]IDEN_level_ids!$B:$B,MATCH(G1801,[1]IDEN_level_ids!$A:$A,0),1)</f>
        <v>1150</v>
      </c>
      <c r="U1801">
        <f>INDEX([1]IDEN_level_ids!$B:$B,MATCH(H1801,[1]IDEN_level_ids!$A:$A,0),1)</f>
        <v>970</v>
      </c>
    </row>
    <row r="1802" spans="1:21" hidden="1" x14ac:dyDescent="0.25">
      <c r="A1802">
        <v>48857.847300000001</v>
      </c>
      <c r="B1802">
        <v>2046.7541000000001</v>
      </c>
      <c r="C1802">
        <v>9</v>
      </c>
      <c r="D1802" t="s">
        <v>596</v>
      </c>
      <c r="F1802">
        <v>1969</v>
      </c>
      <c r="G1802" s="1" t="s">
        <v>82</v>
      </c>
      <c r="H1802" s="1" t="s">
        <v>548</v>
      </c>
      <c r="I1802">
        <v>0</v>
      </c>
      <c r="J1802">
        <v>48858.019399999997</v>
      </c>
      <c r="K1802">
        <v>7.2100000000000003E-3</v>
      </c>
      <c r="L1802">
        <v>1.026E-2</v>
      </c>
      <c r="M1802">
        <v>0.245</v>
      </c>
      <c r="N1802">
        <v>2.5499999999999998E-2</v>
      </c>
      <c r="O1802">
        <v>1.0529999999999999E-2</v>
      </c>
      <c r="P1802" s="3">
        <f t="shared" si="112"/>
        <v>2046.7541147683762</v>
      </c>
      <c r="Q1802" s="3">
        <f t="shared" si="113"/>
        <v>7.2095919456387492E-3</v>
      </c>
      <c r="R1802" s="3">
        <f t="shared" si="114"/>
        <v>1.026E-2</v>
      </c>
      <c r="S1802">
        <f t="shared" si="115"/>
        <v>43</v>
      </c>
      <c r="T1802">
        <f>INDEX([1]IDEN_level_ids!$B:$B,MATCH(G1802,[1]IDEN_level_ids!$A:$A,0),1)</f>
        <v>1193</v>
      </c>
      <c r="U1802">
        <f>INDEX([1]IDEN_level_ids!$B:$B,MATCH(H1802,[1]IDEN_level_ids!$A:$A,0),1)</f>
        <v>1005</v>
      </c>
    </row>
    <row r="1803" spans="1:21" hidden="1" x14ac:dyDescent="0.25">
      <c r="A1803">
        <v>48853.815300000002</v>
      </c>
      <c r="B1803">
        <v>2046.923</v>
      </c>
      <c r="C1803">
        <v>9</v>
      </c>
      <c r="D1803" t="s">
        <v>596</v>
      </c>
      <c r="F1803">
        <v>1969</v>
      </c>
      <c r="G1803" s="1" t="s">
        <v>18</v>
      </c>
      <c r="H1803" s="1" t="s">
        <v>516</v>
      </c>
      <c r="I1803">
        <v>0.26919999999999999</v>
      </c>
      <c r="J1803">
        <v>48853.865700000002</v>
      </c>
      <c r="K1803">
        <v>2.1099999999999999E-3</v>
      </c>
      <c r="L1803">
        <v>1.026E-2</v>
      </c>
      <c r="M1803">
        <v>0.245</v>
      </c>
      <c r="N1803">
        <v>1.7100000000000001E-2</v>
      </c>
      <c r="O1803">
        <v>1.044E-2</v>
      </c>
      <c r="P1803" s="3">
        <f t="shared" si="112"/>
        <v>2046.9230373497562</v>
      </c>
      <c r="Q1803" s="3">
        <f t="shared" si="113"/>
        <v>2.1117043575031857E-3</v>
      </c>
      <c r="R1803" s="3">
        <f t="shared" si="114"/>
        <v>1.026E-2</v>
      </c>
      <c r="S1803">
        <f t="shared" si="115"/>
        <v>43</v>
      </c>
      <c r="T1803">
        <f>INDEX([1]IDEN_level_ids!$B:$B,MATCH(G1803,[1]IDEN_level_ids!$A:$A,0),1)</f>
        <v>1226</v>
      </c>
      <c r="U1803">
        <f>INDEX([1]IDEN_level_ids!$B:$B,MATCH(H1803,[1]IDEN_level_ids!$A:$A,0),1)</f>
        <v>1050</v>
      </c>
    </row>
    <row r="1804" spans="1:21" hidden="1" x14ac:dyDescent="0.25">
      <c r="A1804">
        <v>48847.014199999998</v>
      </c>
      <c r="B1804">
        <v>2047.2080000000001</v>
      </c>
      <c r="C1804">
        <v>9</v>
      </c>
      <c r="D1804" t="s">
        <v>596</v>
      </c>
      <c r="F1804">
        <v>1969</v>
      </c>
      <c r="G1804" s="1" t="s">
        <v>238</v>
      </c>
      <c r="H1804" s="1" t="s">
        <v>542</v>
      </c>
      <c r="I1804">
        <v>0</v>
      </c>
      <c r="J1804">
        <v>48847.138299999999</v>
      </c>
      <c r="K1804">
        <v>5.1999999999999998E-3</v>
      </c>
      <c r="L1804">
        <v>1.027E-2</v>
      </c>
      <c r="M1804">
        <v>0.245</v>
      </c>
      <c r="N1804">
        <v>3.27E-2</v>
      </c>
      <c r="O1804">
        <v>1.061E-2</v>
      </c>
      <c r="P1804" s="3">
        <f t="shared" si="112"/>
        <v>2047.20803590079</v>
      </c>
      <c r="Q1804" s="3">
        <f t="shared" si="113"/>
        <v>5.2010931672157312E-3</v>
      </c>
      <c r="R1804" s="3">
        <f t="shared" si="114"/>
        <v>1.027E-2</v>
      </c>
      <c r="S1804">
        <f t="shared" si="115"/>
        <v>43</v>
      </c>
      <c r="T1804">
        <f>INDEX([1]IDEN_level_ids!$B:$B,MATCH(G1804,[1]IDEN_level_ids!$A:$A,0),1)</f>
        <v>1165</v>
      </c>
      <c r="U1804">
        <f>INDEX([1]IDEN_level_ids!$B:$B,MATCH(H1804,[1]IDEN_level_ids!$A:$A,0),1)</f>
        <v>981</v>
      </c>
    </row>
    <row r="1805" spans="1:21" hidden="1" x14ac:dyDescent="0.25">
      <c r="A1805">
        <v>48844.0815</v>
      </c>
      <c r="B1805">
        <v>2047.3309999999999</v>
      </c>
      <c r="C1805">
        <v>9</v>
      </c>
      <c r="D1805" t="s">
        <v>596</v>
      </c>
      <c r="F1805">
        <v>1969</v>
      </c>
      <c r="G1805" s="1" t="s">
        <v>117</v>
      </c>
      <c r="H1805" s="1" t="s">
        <v>553</v>
      </c>
      <c r="I1805">
        <v>0</v>
      </c>
      <c r="J1805">
        <v>48844.3442</v>
      </c>
      <c r="K1805">
        <v>1.1010000000000001E-2</v>
      </c>
      <c r="L1805">
        <v>1.027E-2</v>
      </c>
      <c r="M1805">
        <v>0.245</v>
      </c>
      <c r="N1805">
        <v>2.5700000000000001E-2</v>
      </c>
      <c r="O1805">
        <v>1.0540000000000001E-2</v>
      </c>
      <c r="P1805" s="3">
        <f t="shared" si="112"/>
        <v>2047.3309545190239</v>
      </c>
      <c r="Q1805" s="3">
        <f t="shared" si="113"/>
        <v>1.1011179504066604E-2</v>
      </c>
      <c r="R1805" s="3">
        <f t="shared" si="114"/>
        <v>1.027E-2</v>
      </c>
      <c r="S1805">
        <f t="shared" si="115"/>
        <v>43</v>
      </c>
      <c r="T1805">
        <f>INDEX([1]IDEN_level_ids!$B:$B,MATCH(G1805,[1]IDEN_level_ids!$A:$A,0),1)</f>
        <v>1162</v>
      </c>
      <c r="U1805">
        <f>INDEX([1]IDEN_level_ids!$B:$B,MATCH(H1805,[1]IDEN_level_ids!$A:$A,0),1)</f>
        <v>976</v>
      </c>
    </row>
    <row r="1806" spans="1:21" hidden="1" x14ac:dyDescent="0.25">
      <c r="A1806">
        <v>48843.175300000003</v>
      </c>
      <c r="B1806">
        <v>2047.3688999999999</v>
      </c>
      <c r="C1806">
        <v>9</v>
      </c>
      <c r="D1806" t="s">
        <v>596</v>
      </c>
      <c r="F1806">
        <v>1969</v>
      </c>
      <c r="G1806" s="1" t="s">
        <v>46</v>
      </c>
      <c r="H1806" s="1" t="s">
        <v>467</v>
      </c>
      <c r="I1806">
        <v>0</v>
      </c>
      <c r="J1806">
        <v>48843.324999999997</v>
      </c>
      <c r="K1806">
        <v>6.28E-3</v>
      </c>
      <c r="L1806">
        <v>1.027E-2</v>
      </c>
      <c r="M1806">
        <v>0.245</v>
      </c>
      <c r="N1806">
        <v>1.2E-2</v>
      </c>
      <c r="O1806">
        <v>1.039E-2</v>
      </c>
      <c r="P1806" s="3">
        <f t="shared" si="112"/>
        <v>2047.3689391770563</v>
      </c>
      <c r="Q1806" s="3">
        <f t="shared" si="113"/>
        <v>6.2749849685133086E-3</v>
      </c>
      <c r="R1806" s="3">
        <f t="shared" si="114"/>
        <v>1.027E-2</v>
      </c>
      <c r="S1806">
        <f t="shared" si="115"/>
        <v>43</v>
      </c>
      <c r="T1806">
        <f>INDEX([1]IDEN_level_ids!$B:$B,MATCH(G1806,[1]IDEN_level_ids!$A:$A,0),1)</f>
        <v>1212</v>
      </c>
      <c r="U1806">
        <f>INDEX([1]IDEN_level_ids!$B:$B,MATCH(H1806,[1]IDEN_level_ids!$A:$A,0),1)</f>
        <v>1025</v>
      </c>
    </row>
    <row r="1807" spans="1:21" hidden="1" x14ac:dyDescent="0.25">
      <c r="A1807">
        <v>48833.181100000002</v>
      </c>
      <c r="B1807">
        <v>2047.788</v>
      </c>
      <c r="C1807">
        <v>9</v>
      </c>
      <c r="D1807" t="s">
        <v>596</v>
      </c>
      <c r="F1807">
        <v>1969</v>
      </c>
      <c r="G1807" s="1" t="s">
        <v>243</v>
      </c>
      <c r="H1807" s="1" t="s">
        <v>551</v>
      </c>
      <c r="I1807">
        <v>0</v>
      </c>
      <c r="J1807">
        <v>48833.305800000002</v>
      </c>
      <c r="K1807">
        <v>5.2300000000000003E-3</v>
      </c>
      <c r="L1807">
        <v>1.027E-2</v>
      </c>
      <c r="M1807">
        <v>0.245</v>
      </c>
      <c r="N1807">
        <v>0.15490000000000001</v>
      </c>
      <c r="O1807">
        <v>1.2160000000000001E-2</v>
      </c>
      <c r="P1807" s="3">
        <f t="shared" si="112"/>
        <v>2047.7879537526176</v>
      </c>
      <c r="Q1807" s="3">
        <f t="shared" si="113"/>
        <v>5.2292007196683699E-3</v>
      </c>
      <c r="R1807" s="3">
        <f t="shared" si="114"/>
        <v>1.027E-2</v>
      </c>
      <c r="S1807">
        <f t="shared" si="115"/>
        <v>43</v>
      </c>
      <c r="T1807">
        <f>INDEX([1]IDEN_level_ids!$B:$B,MATCH(G1807,[1]IDEN_level_ids!$A:$A,0),1)</f>
        <v>1205</v>
      </c>
      <c r="U1807">
        <f>INDEX([1]IDEN_level_ids!$B:$B,MATCH(H1807,[1]IDEN_level_ids!$A:$A,0),1)</f>
        <v>1013</v>
      </c>
    </row>
    <row r="1808" spans="1:21" hidden="1" x14ac:dyDescent="0.25">
      <c r="A1808">
        <v>48824.596799999999</v>
      </c>
      <c r="B1808">
        <v>2048.1480000000001</v>
      </c>
      <c r="C1808">
        <v>9</v>
      </c>
      <c r="D1808" t="s">
        <v>596</v>
      </c>
      <c r="F1808">
        <v>1969</v>
      </c>
      <c r="G1808" s="1" t="s">
        <v>46</v>
      </c>
      <c r="H1808" s="1" t="s">
        <v>470</v>
      </c>
      <c r="I1808">
        <v>0.20880000000000001</v>
      </c>
      <c r="J1808">
        <v>48824.662600000003</v>
      </c>
      <c r="K1808">
        <v>2.7599999999999999E-3</v>
      </c>
      <c r="L1808">
        <v>1.0279999999999999E-2</v>
      </c>
      <c r="M1808">
        <v>0.245</v>
      </c>
      <c r="N1808">
        <v>1.21E-2</v>
      </c>
      <c r="O1808">
        <v>1.04E-2</v>
      </c>
      <c r="P1808" s="3">
        <f t="shared" si="112"/>
        <v>2048.1479941274192</v>
      </c>
      <c r="Q1808" s="3">
        <f t="shared" si="113"/>
        <v>2.7602471959653485E-3</v>
      </c>
      <c r="R1808" s="3">
        <f t="shared" si="114"/>
        <v>1.0279999999999999E-2</v>
      </c>
      <c r="S1808">
        <f t="shared" si="115"/>
        <v>43</v>
      </c>
      <c r="T1808">
        <f>INDEX([1]IDEN_level_ids!$B:$B,MATCH(G1808,[1]IDEN_level_ids!$A:$A,0),1)</f>
        <v>1212</v>
      </c>
      <c r="U1808">
        <f>INDEX([1]IDEN_level_ids!$B:$B,MATCH(H1808,[1]IDEN_level_ids!$A:$A,0),1)</f>
        <v>1026</v>
      </c>
    </row>
    <row r="1809" spans="1:21" hidden="1" x14ac:dyDescent="0.25">
      <c r="A1809">
        <v>48817.994599999998</v>
      </c>
      <c r="B1809">
        <v>2048.4250000000002</v>
      </c>
      <c r="C1809">
        <v>9</v>
      </c>
      <c r="D1809" t="s">
        <v>596</v>
      </c>
      <c r="F1809">
        <v>1969</v>
      </c>
      <c r="G1809" s="1" t="s">
        <v>83</v>
      </c>
      <c r="H1809" s="1" t="s">
        <v>555</v>
      </c>
      <c r="I1809">
        <v>0</v>
      </c>
      <c r="J1809">
        <v>48818.131600000001</v>
      </c>
      <c r="K1809">
        <v>5.7499999999999999E-3</v>
      </c>
      <c r="L1809">
        <v>1.0279999999999999E-2</v>
      </c>
      <c r="M1809">
        <v>0.245</v>
      </c>
      <c r="N1809">
        <v>1.6199999999999999E-2</v>
      </c>
      <c r="O1809">
        <v>1.0449999999999999E-2</v>
      </c>
      <c r="P1809" s="3">
        <f t="shared" si="112"/>
        <v>2048.4249879449167</v>
      </c>
      <c r="Q1809" s="3">
        <f t="shared" si="113"/>
        <v>5.7485654233460082E-3</v>
      </c>
      <c r="R1809" s="3">
        <f t="shared" si="114"/>
        <v>1.0279999999999999E-2</v>
      </c>
      <c r="S1809">
        <f t="shared" si="115"/>
        <v>43</v>
      </c>
      <c r="T1809">
        <f>INDEX([1]IDEN_level_ids!$B:$B,MATCH(G1809,[1]IDEN_level_ids!$A:$A,0),1)</f>
        <v>1175</v>
      </c>
      <c r="U1809">
        <f>INDEX([1]IDEN_level_ids!$B:$B,MATCH(H1809,[1]IDEN_level_ids!$A:$A,0),1)</f>
        <v>995</v>
      </c>
    </row>
    <row r="1810" spans="1:21" hidden="1" x14ac:dyDescent="0.25">
      <c r="A1810">
        <v>48809.106299999999</v>
      </c>
      <c r="B1810">
        <v>2048.7979999999998</v>
      </c>
      <c r="C1810">
        <v>9</v>
      </c>
      <c r="D1810" t="s">
        <v>596</v>
      </c>
      <c r="F1810">
        <v>1969</v>
      </c>
      <c r="G1810" s="1" t="s">
        <v>18</v>
      </c>
      <c r="H1810" s="1" t="s">
        <v>438</v>
      </c>
      <c r="I1810">
        <v>0</v>
      </c>
      <c r="J1810">
        <v>48809.252800000002</v>
      </c>
      <c r="K1810">
        <v>6.1500000000000001E-3</v>
      </c>
      <c r="L1810">
        <v>1.0279999999999999E-2</v>
      </c>
      <c r="M1810">
        <v>0.245</v>
      </c>
      <c r="N1810">
        <v>1.29E-2</v>
      </c>
      <c r="O1810">
        <v>1.042E-2</v>
      </c>
      <c r="P1810" s="3">
        <f t="shared" si="112"/>
        <v>2048.7980129232565</v>
      </c>
      <c r="Q1810" s="3">
        <f t="shared" si="113"/>
        <v>6.1494264236898744E-3</v>
      </c>
      <c r="R1810" s="3">
        <f t="shared" si="114"/>
        <v>1.0279999999999999E-2</v>
      </c>
      <c r="S1810">
        <f t="shared" si="115"/>
        <v>43</v>
      </c>
      <c r="T1810">
        <f>INDEX([1]IDEN_level_ids!$B:$B,MATCH(G1810,[1]IDEN_level_ids!$A:$A,0),1)</f>
        <v>1226</v>
      </c>
      <c r="U1810">
        <f>INDEX([1]IDEN_level_ids!$B:$B,MATCH(H1810,[1]IDEN_level_ids!$A:$A,0),1)</f>
        <v>1051</v>
      </c>
    </row>
    <row r="1811" spans="1:21" hidden="1" x14ac:dyDescent="0.25">
      <c r="A1811">
        <v>48807.509899999997</v>
      </c>
      <c r="B1811">
        <v>2048.8649999999998</v>
      </c>
      <c r="C1811">
        <v>9</v>
      </c>
      <c r="D1811" t="s">
        <v>596</v>
      </c>
      <c r="F1811">
        <v>1969</v>
      </c>
      <c r="G1811" s="1" t="s">
        <v>33</v>
      </c>
      <c r="H1811" s="1" t="s">
        <v>437</v>
      </c>
      <c r="I1811">
        <v>0.193</v>
      </c>
      <c r="J1811">
        <v>48807.606200000002</v>
      </c>
      <c r="K1811">
        <v>4.0400000000000002E-3</v>
      </c>
      <c r="L1811">
        <v>1.0279999999999999E-2</v>
      </c>
      <c r="M1811">
        <v>0.245</v>
      </c>
      <c r="N1811">
        <v>1.12E-2</v>
      </c>
      <c r="O1811">
        <v>1.04E-2</v>
      </c>
      <c r="P1811" s="3">
        <f t="shared" si="112"/>
        <v>2048.8650251751524</v>
      </c>
      <c r="Q1811" s="3">
        <f t="shared" si="113"/>
        <v>4.042519543418166E-3</v>
      </c>
      <c r="R1811" s="3">
        <f t="shared" si="114"/>
        <v>1.0279999999999999E-2</v>
      </c>
      <c r="S1811">
        <f t="shared" si="115"/>
        <v>43</v>
      </c>
      <c r="T1811">
        <f>INDEX([1]IDEN_level_ids!$B:$B,MATCH(G1811,[1]IDEN_level_ids!$A:$A,0),1)</f>
        <v>1220</v>
      </c>
      <c r="U1811">
        <f>INDEX([1]IDEN_level_ids!$B:$B,MATCH(H1811,[1]IDEN_level_ids!$A:$A,0),1)</f>
        <v>1039</v>
      </c>
    </row>
    <row r="1812" spans="1:21" hidden="1" x14ac:dyDescent="0.25">
      <c r="A1812">
        <v>48789.434500000003</v>
      </c>
      <c r="B1812">
        <v>2049.6241</v>
      </c>
      <c r="C1812">
        <v>9</v>
      </c>
      <c r="D1812" t="s">
        <v>596</v>
      </c>
      <c r="F1812">
        <v>1969</v>
      </c>
      <c r="G1812" s="1" t="s">
        <v>56</v>
      </c>
      <c r="H1812" s="1" t="s">
        <v>445</v>
      </c>
      <c r="I1812">
        <v>0</v>
      </c>
      <c r="J1812">
        <v>48789.540999999997</v>
      </c>
      <c r="K1812">
        <v>4.47E-3</v>
      </c>
      <c r="L1812">
        <v>1.0290000000000001E-2</v>
      </c>
      <c r="M1812">
        <v>0.245</v>
      </c>
      <c r="N1812">
        <v>1.2699999999999999E-2</v>
      </c>
      <c r="O1812">
        <v>1.042E-2</v>
      </c>
      <c r="P1812" s="3">
        <f t="shared" si="112"/>
        <v>2049.6240840832043</v>
      </c>
      <c r="Q1812" s="3">
        <f t="shared" si="113"/>
        <v>4.4740114472006098E-3</v>
      </c>
      <c r="R1812" s="3">
        <f t="shared" si="114"/>
        <v>1.0290000000000001E-2</v>
      </c>
      <c r="S1812">
        <f t="shared" si="115"/>
        <v>43</v>
      </c>
      <c r="T1812">
        <f>INDEX([1]IDEN_level_ids!$B:$B,MATCH(G1812,[1]IDEN_level_ids!$A:$A,0),1)</f>
        <v>1221</v>
      </c>
      <c r="U1812">
        <f>INDEX([1]IDEN_level_ids!$B:$B,MATCH(H1812,[1]IDEN_level_ids!$A:$A,0),1)</f>
        <v>1041</v>
      </c>
    </row>
    <row r="1813" spans="1:21" hidden="1" x14ac:dyDescent="0.25">
      <c r="A1813">
        <v>48779.629500000003</v>
      </c>
      <c r="B1813">
        <v>2050.0360999999998</v>
      </c>
      <c r="C1813">
        <v>9</v>
      </c>
      <c r="D1813" t="s">
        <v>598</v>
      </c>
      <c r="F1813">
        <v>1969</v>
      </c>
      <c r="G1813" s="1" t="s">
        <v>68</v>
      </c>
      <c r="H1813" s="1" t="s">
        <v>416</v>
      </c>
      <c r="I1813">
        <v>0.1961</v>
      </c>
      <c r="J1813">
        <v>48779.699399999998</v>
      </c>
      <c r="K1813">
        <v>2.9399999999999999E-3</v>
      </c>
      <c r="L1813">
        <v>1.03E-2</v>
      </c>
      <c r="M1813">
        <v>0.245</v>
      </c>
      <c r="N1813">
        <v>1.2800000000000001E-2</v>
      </c>
      <c r="O1813">
        <v>1.043E-2</v>
      </c>
      <c r="P1813" s="3">
        <f t="shared" si="112"/>
        <v>2050.0360708971762</v>
      </c>
      <c r="Q1813" s="3">
        <f t="shared" si="113"/>
        <v>2.9376466663961764E-3</v>
      </c>
      <c r="R1813" s="3">
        <f t="shared" si="114"/>
        <v>1.03E-2</v>
      </c>
      <c r="S1813">
        <f t="shared" si="115"/>
        <v>44</v>
      </c>
      <c r="T1813">
        <f>INDEX([1]IDEN_level_ids!$B:$B,MATCH(G1813,[1]IDEN_level_ids!$A:$A,0),1)</f>
        <v>1229</v>
      </c>
      <c r="U1813">
        <f>INDEX([1]IDEN_level_ids!$B:$B,MATCH(H1813,[1]IDEN_level_ids!$A:$A,0),1)</f>
        <v>1055</v>
      </c>
    </row>
    <row r="1814" spans="1:21" hidden="1" x14ac:dyDescent="0.25">
      <c r="A1814">
        <v>48766.522599999997</v>
      </c>
      <c r="B1814">
        <v>2050.5871000000002</v>
      </c>
      <c r="C1814">
        <v>9</v>
      </c>
      <c r="D1814" t="s">
        <v>598</v>
      </c>
      <c r="F1814">
        <v>1969</v>
      </c>
      <c r="G1814" s="1" t="s">
        <v>16</v>
      </c>
      <c r="H1814" s="1" t="s">
        <v>462</v>
      </c>
      <c r="I1814">
        <v>0.27239999999999998</v>
      </c>
      <c r="J1814">
        <v>48766.504399999998</v>
      </c>
      <c r="K1814">
        <v>-7.6999999999999996E-4</v>
      </c>
      <c r="L1814">
        <v>1.03E-2</v>
      </c>
      <c r="M1814">
        <v>0.245</v>
      </c>
      <c r="N1814">
        <v>2.1999999999999999E-2</v>
      </c>
      <c r="O1814">
        <v>1.0529999999999999E-2</v>
      </c>
      <c r="P1814" s="3">
        <f t="shared" si="112"/>
        <v>2050.587055801268</v>
      </c>
      <c r="Q1814" s="3">
        <f t="shared" si="113"/>
        <v>-7.6529340958586545E-4</v>
      </c>
      <c r="R1814" s="3">
        <f t="shared" si="114"/>
        <v>1.03E-2</v>
      </c>
      <c r="S1814">
        <f t="shared" si="115"/>
        <v>44</v>
      </c>
      <c r="T1814">
        <f>INDEX([1]IDEN_level_ids!$B:$B,MATCH(G1814,[1]IDEN_level_ids!$A:$A,0),1)</f>
        <v>1223</v>
      </c>
      <c r="U1814">
        <f>INDEX([1]IDEN_level_ids!$B:$B,MATCH(H1814,[1]IDEN_level_ids!$A:$A,0),1)</f>
        <v>1047</v>
      </c>
    </row>
    <row r="1815" spans="1:21" hidden="1" x14ac:dyDescent="0.25">
      <c r="A1815">
        <v>48761.175000000003</v>
      </c>
      <c r="B1815">
        <v>2050.8119000000002</v>
      </c>
      <c r="C1815">
        <v>9</v>
      </c>
      <c r="D1815" t="s">
        <v>598</v>
      </c>
      <c r="F1815">
        <v>1969</v>
      </c>
      <c r="G1815" s="1" t="s">
        <v>20</v>
      </c>
      <c r="H1815" s="1" t="s">
        <v>466</v>
      </c>
      <c r="I1815">
        <v>0.28410000000000002</v>
      </c>
      <c r="J1815">
        <v>48761.187299999998</v>
      </c>
      <c r="K1815">
        <v>5.1000000000000004E-4</v>
      </c>
      <c r="L1815">
        <v>1.03E-2</v>
      </c>
      <c r="M1815">
        <v>0.245</v>
      </c>
      <c r="N1815">
        <v>1.7399999999999999E-2</v>
      </c>
      <c r="O1815">
        <v>1.0489999999999999E-2</v>
      </c>
      <c r="P1815" s="3">
        <f t="shared" si="112"/>
        <v>2050.8119420830199</v>
      </c>
      <c r="Q1815" s="3">
        <f t="shared" si="113"/>
        <v>5.1731691291934112E-4</v>
      </c>
      <c r="R1815" s="3">
        <f t="shared" si="114"/>
        <v>1.03E-2</v>
      </c>
      <c r="S1815">
        <f t="shared" si="115"/>
        <v>44</v>
      </c>
      <c r="T1815">
        <f>INDEX([1]IDEN_level_ids!$B:$B,MATCH(G1815,[1]IDEN_level_ids!$A:$A,0),1)</f>
        <v>1235</v>
      </c>
      <c r="U1815">
        <f>INDEX([1]IDEN_level_ids!$B:$B,MATCH(H1815,[1]IDEN_level_ids!$A:$A,0),1)</f>
        <v>1061</v>
      </c>
    </row>
    <row r="1816" spans="1:21" hidden="1" x14ac:dyDescent="0.25">
      <c r="A1816">
        <v>48758.818800000001</v>
      </c>
      <c r="B1816">
        <v>2050.9110000000001</v>
      </c>
      <c r="C1816">
        <v>9</v>
      </c>
      <c r="D1816" t="s">
        <v>598</v>
      </c>
      <c r="F1816">
        <v>1969</v>
      </c>
      <c r="G1816" s="1" t="s">
        <v>27</v>
      </c>
      <c r="H1816" s="1" t="s">
        <v>450</v>
      </c>
      <c r="I1816">
        <v>0.21909999999999999</v>
      </c>
      <c r="J1816">
        <v>48758.938800000004</v>
      </c>
      <c r="K1816">
        <v>5.0499999999999998E-3</v>
      </c>
      <c r="L1816">
        <v>1.03E-2</v>
      </c>
      <c r="M1816">
        <v>0.245</v>
      </c>
      <c r="N1816">
        <v>1.5100000000000001E-2</v>
      </c>
      <c r="O1816">
        <v>1.0460000000000001E-2</v>
      </c>
      <c r="P1816" s="3">
        <f t="shared" si="112"/>
        <v>2050.9110446293257</v>
      </c>
      <c r="Q1816" s="3">
        <f t="shared" si="113"/>
        <v>5.0474709137233731E-3</v>
      </c>
      <c r="R1816" s="3">
        <f t="shared" si="114"/>
        <v>1.03E-2</v>
      </c>
      <c r="S1816">
        <f t="shared" si="115"/>
        <v>44</v>
      </c>
      <c r="T1816">
        <f>INDEX([1]IDEN_level_ids!$B:$B,MATCH(G1816,[1]IDEN_level_ids!$A:$A,0),1)</f>
        <v>1242</v>
      </c>
      <c r="U1816">
        <f>INDEX([1]IDEN_level_ids!$B:$B,MATCH(H1816,[1]IDEN_level_ids!$A:$A,0),1)</f>
        <v>1077</v>
      </c>
    </row>
    <row r="1817" spans="1:21" hidden="1" x14ac:dyDescent="0.25">
      <c r="A1817">
        <v>48739.213300000003</v>
      </c>
      <c r="B1817">
        <v>2051.7359999999999</v>
      </c>
      <c r="C1817">
        <v>9</v>
      </c>
      <c r="D1817" t="s">
        <v>598</v>
      </c>
      <c r="F1817">
        <v>1969</v>
      </c>
      <c r="G1817" s="1" t="s">
        <v>62</v>
      </c>
      <c r="H1817" s="1" t="s">
        <v>544</v>
      </c>
      <c r="I1817">
        <v>0</v>
      </c>
      <c r="J1817">
        <v>48739.327599999997</v>
      </c>
      <c r="K1817">
        <v>4.81E-3</v>
      </c>
      <c r="L1817">
        <v>1.031E-2</v>
      </c>
      <c r="M1817">
        <v>0.245</v>
      </c>
      <c r="N1817">
        <v>1.6500000000000001E-2</v>
      </c>
      <c r="O1817">
        <v>1.0489999999999999E-2</v>
      </c>
      <c r="P1817" s="3">
        <f t="shared" si="112"/>
        <v>2051.736029969938</v>
      </c>
      <c r="Q1817" s="3">
        <f t="shared" si="113"/>
        <v>4.8115852182490926E-3</v>
      </c>
      <c r="R1817" s="3">
        <f t="shared" si="114"/>
        <v>1.031E-2</v>
      </c>
      <c r="S1817">
        <f t="shared" si="115"/>
        <v>44</v>
      </c>
      <c r="T1817">
        <f>INDEX([1]IDEN_level_ids!$B:$B,MATCH(G1817,[1]IDEN_level_ids!$A:$A,0),1)</f>
        <v>1203</v>
      </c>
      <c r="U1817">
        <f>INDEX([1]IDEN_level_ids!$B:$B,MATCH(H1817,[1]IDEN_level_ids!$A:$A,0),1)</f>
        <v>1011</v>
      </c>
    </row>
    <row r="1818" spans="1:21" hidden="1" x14ac:dyDescent="0.25">
      <c r="A1818">
        <v>48733.226900000001</v>
      </c>
      <c r="B1818">
        <v>2051.9881</v>
      </c>
      <c r="C1818">
        <v>9</v>
      </c>
      <c r="D1818" t="s">
        <v>598</v>
      </c>
      <c r="F1818">
        <v>1969</v>
      </c>
      <c r="G1818" s="1" t="s">
        <v>22</v>
      </c>
      <c r="H1818" s="1" t="s">
        <v>448</v>
      </c>
      <c r="I1818">
        <v>0.2167</v>
      </c>
      <c r="J1818">
        <v>48733.279900000001</v>
      </c>
      <c r="K1818">
        <v>2.2300000000000002E-3</v>
      </c>
      <c r="L1818">
        <v>1.0319999999999999E-2</v>
      </c>
      <c r="M1818">
        <v>0.245</v>
      </c>
      <c r="N1818">
        <v>1.2699999999999999E-2</v>
      </c>
      <c r="O1818">
        <v>1.0449999999999999E-2</v>
      </c>
      <c r="P1818" s="3">
        <f t="shared" si="112"/>
        <v>2051.9880656620339</v>
      </c>
      <c r="Q1818" s="3">
        <f t="shared" si="113"/>
        <v>2.2316447343655454E-3</v>
      </c>
      <c r="R1818" s="3">
        <f t="shared" si="114"/>
        <v>1.0319999999999999E-2</v>
      </c>
      <c r="S1818">
        <f t="shared" si="115"/>
        <v>44</v>
      </c>
      <c r="T1818">
        <f>INDEX([1]IDEN_level_ids!$B:$B,MATCH(G1818,[1]IDEN_level_ids!$A:$A,0),1)</f>
        <v>1236</v>
      </c>
      <c r="U1818">
        <f>INDEX([1]IDEN_level_ids!$B:$B,MATCH(H1818,[1]IDEN_level_ids!$A:$A,0),1)</f>
        <v>1067</v>
      </c>
    </row>
    <row r="1819" spans="1:21" hidden="1" x14ac:dyDescent="0.25">
      <c r="A1819">
        <v>48731.0916</v>
      </c>
      <c r="B1819">
        <v>2052.078</v>
      </c>
      <c r="C1819">
        <v>9</v>
      </c>
      <c r="D1819" t="s">
        <v>598</v>
      </c>
      <c r="F1819">
        <v>1969</v>
      </c>
      <c r="G1819" s="1" t="s">
        <v>69</v>
      </c>
      <c r="H1819" s="1" t="s">
        <v>582</v>
      </c>
      <c r="I1819">
        <v>-0.1898</v>
      </c>
      <c r="J1819">
        <v>48731.353600000002</v>
      </c>
      <c r="K1819">
        <v>1.103E-2</v>
      </c>
      <c r="L1819">
        <v>1.0319999999999999E-2</v>
      </c>
      <c r="M1819">
        <v>0.245</v>
      </c>
      <c r="N1819">
        <v>1.7600000000000001E-2</v>
      </c>
      <c r="O1819">
        <v>1.0500000000000001E-2</v>
      </c>
      <c r="P1819" s="3">
        <f t="shared" si="112"/>
        <v>2052.0779797183941</v>
      </c>
      <c r="Q1819" s="3">
        <f t="shared" si="113"/>
        <v>1.1032823654204549E-2</v>
      </c>
      <c r="R1819" s="3">
        <f t="shared" si="114"/>
        <v>1.0319999999999999E-2</v>
      </c>
      <c r="S1819">
        <f t="shared" si="115"/>
        <v>44</v>
      </c>
      <c r="T1819">
        <f>INDEX([1]IDEN_level_ids!$B:$B,MATCH(G1819,[1]IDEN_level_ids!$A:$A,0),1)</f>
        <v>1218</v>
      </c>
      <c r="U1819">
        <f>INDEX([1]IDEN_level_ids!$B:$B,MATCH(H1819,[1]IDEN_level_ids!$A:$A,0),1)</f>
        <v>1042</v>
      </c>
    </row>
    <row r="1820" spans="1:21" hidden="1" x14ac:dyDescent="0.25">
      <c r="A1820">
        <v>48729.830800000003</v>
      </c>
      <c r="B1820">
        <v>2052.1311000000001</v>
      </c>
      <c r="C1820">
        <v>9</v>
      </c>
      <c r="D1820" t="s">
        <v>598</v>
      </c>
      <c r="F1820">
        <v>1969</v>
      </c>
      <c r="G1820" s="1" t="s">
        <v>182</v>
      </c>
      <c r="H1820" s="1" t="s">
        <v>599</v>
      </c>
      <c r="I1820">
        <v>0</v>
      </c>
      <c r="J1820">
        <v>48729.846799999999</v>
      </c>
      <c r="K1820">
        <v>6.7000000000000002E-4</v>
      </c>
      <c r="L1820">
        <v>1.0319999999999999E-2</v>
      </c>
      <c r="M1820">
        <v>0.245</v>
      </c>
      <c r="N1820">
        <v>2.4899999999999999E-2</v>
      </c>
      <c r="O1820">
        <v>1.0580000000000001E-2</v>
      </c>
      <c r="P1820" s="3">
        <f t="shared" si="112"/>
        <v>2052.1310736831042</v>
      </c>
      <c r="Q1820" s="3">
        <f t="shared" si="113"/>
        <v>6.737984895153204E-4</v>
      </c>
      <c r="R1820" s="3">
        <f t="shared" si="114"/>
        <v>1.0319999999999999E-2</v>
      </c>
      <c r="S1820">
        <f t="shared" si="115"/>
        <v>44</v>
      </c>
      <c r="T1820">
        <f>INDEX([1]IDEN_level_ids!$B:$B,MATCH(G1820,[1]IDEN_level_ids!$A:$A,0),1)</f>
        <v>1210</v>
      </c>
      <c r="U1820">
        <f>INDEX([1]IDEN_level_ids!$B:$B,MATCH(H1820,[1]IDEN_level_ids!$A:$A,0),1)</f>
        <v>1014</v>
      </c>
    </row>
    <row r="1821" spans="1:21" hidden="1" x14ac:dyDescent="0.25">
      <c r="A1821">
        <v>48728.239399999999</v>
      </c>
      <c r="B1821">
        <v>2052.1981000000001</v>
      </c>
      <c r="C1821">
        <v>9</v>
      </c>
      <c r="D1821" t="s">
        <v>598</v>
      </c>
      <c r="F1821">
        <v>1969</v>
      </c>
      <c r="G1821" s="1" t="s">
        <v>280</v>
      </c>
      <c r="H1821" s="1" t="s">
        <v>485</v>
      </c>
      <c r="I1821">
        <v>0</v>
      </c>
      <c r="J1821">
        <v>48728.320500000002</v>
      </c>
      <c r="K1821">
        <v>3.4199999999999999E-3</v>
      </c>
      <c r="L1821">
        <v>1.0319999999999999E-2</v>
      </c>
      <c r="M1821">
        <v>0.245</v>
      </c>
      <c r="N1821">
        <v>2.6499999999999999E-2</v>
      </c>
      <c r="O1821">
        <v>1.06E-2</v>
      </c>
      <c r="P1821" s="3">
        <f t="shared" si="112"/>
        <v>2052.1980935761039</v>
      </c>
      <c r="Q1821" s="3">
        <f t="shared" si="113"/>
        <v>3.415534614759963E-3</v>
      </c>
      <c r="R1821" s="3">
        <f t="shared" si="114"/>
        <v>1.0319999999999999E-2</v>
      </c>
      <c r="S1821">
        <f t="shared" si="115"/>
        <v>44</v>
      </c>
      <c r="T1821">
        <f>INDEX([1]IDEN_level_ids!$B:$B,MATCH(G1821,[1]IDEN_level_ids!$A:$A,0),1)</f>
        <v>1130</v>
      </c>
      <c r="U1821">
        <f>INDEX([1]IDEN_level_ids!$B:$B,MATCH(H1821,[1]IDEN_level_ids!$A:$A,0),1)</f>
        <v>940</v>
      </c>
    </row>
    <row r="1822" spans="1:21" hidden="1" x14ac:dyDescent="0.25">
      <c r="A1822">
        <v>48722.636500000001</v>
      </c>
      <c r="B1822">
        <v>2052.4340999999999</v>
      </c>
      <c r="C1822">
        <v>9</v>
      </c>
      <c r="D1822" t="s">
        <v>598</v>
      </c>
      <c r="F1822">
        <v>1969</v>
      </c>
      <c r="G1822" s="1" t="s">
        <v>118</v>
      </c>
      <c r="H1822" s="1" t="s">
        <v>375</v>
      </c>
      <c r="I1822">
        <v>0.21110000000000001</v>
      </c>
      <c r="J1822">
        <v>48722.764499999997</v>
      </c>
      <c r="K1822">
        <v>5.3899999999999998E-3</v>
      </c>
      <c r="L1822">
        <v>1.0319999999999999E-2</v>
      </c>
      <c r="M1822">
        <v>0.245</v>
      </c>
      <c r="N1822">
        <v>1.9099999999999999E-2</v>
      </c>
      <c r="O1822">
        <v>1.052E-2</v>
      </c>
      <c r="P1822" s="3">
        <f t="shared" si="112"/>
        <v>2052.434087798184</v>
      </c>
      <c r="Q1822" s="3">
        <f t="shared" si="113"/>
        <v>5.3919675110591925E-3</v>
      </c>
      <c r="R1822" s="3">
        <f t="shared" si="114"/>
        <v>1.0319999999999999E-2</v>
      </c>
      <c r="S1822">
        <f t="shared" si="115"/>
        <v>44</v>
      </c>
      <c r="T1822">
        <f>INDEX([1]IDEN_level_ids!$B:$B,MATCH(G1822,[1]IDEN_level_ids!$A:$A,0),1)</f>
        <v>1237</v>
      </c>
      <c r="U1822">
        <f>INDEX([1]IDEN_level_ids!$B:$B,MATCH(H1822,[1]IDEN_level_ids!$A:$A,0),1)</f>
        <v>1065</v>
      </c>
    </row>
    <row r="1823" spans="1:21" hidden="1" x14ac:dyDescent="0.25">
      <c r="A1823">
        <v>48696.6103</v>
      </c>
      <c r="B1823">
        <v>2053.5309999999999</v>
      </c>
      <c r="C1823">
        <v>9</v>
      </c>
      <c r="D1823" t="s">
        <v>598</v>
      </c>
      <c r="F1823">
        <v>1969</v>
      </c>
      <c r="G1823" s="1" t="s">
        <v>20</v>
      </c>
      <c r="H1823" s="1" t="s">
        <v>458</v>
      </c>
      <c r="I1823">
        <v>0</v>
      </c>
      <c r="J1823">
        <v>48696.771800000002</v>
      </c>
      <c r="K1823">
        <v>6.8100000000000001E-3</v>
      </c>
      <c r="L1823">
        <v>1.0330000000000001E-2</v>
      </c>
      <c r="M1823">
        <v>0.245</v>
      </c>
      <c r="N1823">
        <v>1.5900000000000001E-2</v>
      </c>
      <c r="O1823">
        <v>1.0500000000000001E-2</v>
      </c>
      <c r="P1823" s="3">
        <f t="shared" si="112"/>
        <v>2053.5310236983782</v>
      </c>
      <c r="Q1823" s="3">
        <f t="shared" si="113"/>
        <v>6.8104157230663986E-3</v>
      </c>
      <c r="R1823" s="3">
        <f t="shared" si="114"/>
        <v>1.0330000000000001E-2</v>
      </c>
      <c r="S1823">
        <f t="shared" si="115"/>
        <v>44</v>
      </c>
      <c r="T1823">
        <f>INDEX([1]IDEN_level_ids!$B:$B,MATCH(G1823,[1]IDEN_level_ids!$A:$A,0),1)</f>
        <v>1235</v>
      </c>
      <c r="U1823">
        <f>INDEX([1]IDEN_level_ids!$B:$B,MATCH(H1823,[1]IDEN_level_ids!$A:$A,0),1)</f>
        <v>1064</v>
      </c>
    </row>
    <row r="1824" spans="1:21" hidden="1" x14ac:dyDescent="0.25">
      <c r="A1824">
        <v>48689.878299999997</v>
      </c>
      <c r="B1824">
        <v>2053.8148999999999</v>
      </c>
      <c r="C1824">
        <v>9</v>
      </c>
      <c r="D1824" t="s">
        <v>598</v>
      </c>
      <c r="F1824">
        <v>1969</v>
      </c>
      <c r="G1824" s="1" t="s">
        <v>55</v>
      </c>
      <c r="H1824" s="1" t="s">
        <v>466</v>
      </c>
      <c r="I1824">
        <v>0.28410000000000002</v>
      </c>
      <c r="J1824">
        <v>48689.845699999998</v>
      </c>
      <c r="K1824">
        <v>-1.3799999999999999E-3</v>
      </c>
      <c r="L1824">
        <v>1.0330000000000001E-2</v>
      </c>
      <c r="M1824">
        <v>0.245</v>
      </c>
      <c r="N1824">
        <v>1.43E-2</v>
      </c>
      <c r="O1824">
        <v>1.048E-2</v>
      </c>
      <c r="P1824" s="3">
        <f t="shared" si="112"/>
        <v>2053.8149506937666</v>
      </c>
      <c r="Q1824" s="3">
        <f t="shared" si="113"/>
        <v>-1.3751197284364025E-3</v>
      </c>
      <c r="R1824" s="3">
        <f t="shared" si="114"/>
        <v>1.0330000000000001E-2</v>
      </c>
      <c r="S1824">
        <f t="shared" si="115"/>
        <v>44</v>
      </c>
      <c r="T1824">
        <f>INDEX([1]IDEN_level_ids!$B:$B,MATCH(G1824,[1]IDEN_level_ids!$A:$A,0),1)</f>
        <v>1233</v>
      </c>
      <c r="U1824">
        <f>INDEX([1]IDEN_level_ids!$B:$B,MATCH(H1824,[1]IDEN_level_ids!$A:$A,0),1)</f>
        <v>1061</v>
      </c>
    </row>
    <row r="1825" spans="1:21" hidden="1" x14ac:dyDescent="0.25">
      <c r="A1825">
        <v>48681.5095</v>
      </c>
      <c r="B1825">
        <v>2054.1680000000001</v>
      </c>
      <c r="C1825">
        <v>9</v>
      </c>
      <c r="D1825" t="s">
        <v>598</v>
      </c>
      <c r="F1825">
        <v>1969</v>
      </c>
      <c r="G1825" s="1" t="s">
        <v>53</v>
      </c>
      <c r="H1825" s="1" t="s">
        <v>600</v>
      </c>
      <c r="I1825">
        <v>0</v>
      </c>
      <c r="J1825">
        <v>48681.604599999999</v>
      </c>
      <c r="K1825">
        <v>4.0099999999999997E-3</v>
      </c>
      <c r="L1825">
        <v>1.034E-2</v>
      </c>
      <c r="M1825">
        <v>0.245</v>
      </c>
      <c r="N1825">
        <v>1.49E-2</v>
      </c>
      <c r="O1825">
        <v>1.0489999999999999E-2</v>
      </c>
      <c r="P1825" s="3">
        <f t="shared" si="112"/>
        <v>2054.1680204061872</v>
      </c>
      <c r="Q1825" s="3">
        <f t="shared" si="113"/>
        <v>4.0128377104338142E-3</v>
      </c>
      <c r="R1825" s="3">
        <f t="shared" si="114"/>
        <v>1.034E-2</v>
      </c>
      <c r="S1825">
        <f t="shared" si="115"/>
        <v>44</v>
      </c>
      <c r="T1825">
        <f>INDEX([1]IDEN_level_ids!$B:$B,MATCH(G1825,[1]IDEN_level_ids!$A:$A,0),1)</f>
        <v>1231</v>
      </c>
      <c r="U1825">
        <f>INDEX([1]IDEN_level_ids!$B:$B,MATCH(H1825,[1]IDEN_level_ids!$A:$A,0),1)</f>
        <v>1058</v>
      </c>
    </row>
    <row r="1826" spans="1:21" hidden="1" x14ac:dyDescent="0.25">
      <c r="A1826">
        <v>48671.3482</v>
      </c>
      <c r="B1826">
        <v>2054.5969</v>
      </c>
      <c r="C1826">
        <v>9</v>
      </c>
      <c r="D1826" t="s">
        <v>598</v>
      </c>
      <c r="F1826">
        <v>1969</v>
      </c>
      <c r="G1826" s="1" t="s">
        <v>209</v>
      </c>
      <c r="H1826" s="1" t="s">
        <v>585</v>
      </c>
      <c r="I1826">
        <v>0</v>
      </c>
      <c r="J1826">
        <v>48671.453999999998</v>
      </c>
      <c r="K1826">
        <v>4.47E-3</v>
      </c>
      <c r="L1826">
        <v>1.034E-2</v>
      </c>
      <c r="M1826">
        <v>0.245</v>
      </c>
      <c r="N1826">
        <v>1.23E-2</v>
      </c>
      <c r="O1826">
        <v>1.047E-2</v>
      </c>
      <c r="P1826" s="3">
        <f t="shared" si="112"/>
        <v>2054.5968767719487</v>
      </c>
      <c r="Q1826" s="3">
        <f t="shared" si="113"/>
        <v>4.4661979804914154E-3</v>
      </c>
      <c r="R1826" s="3">
        <f t="shared" si="114"/>
        <v>1.034E-2</v>
      </c>
      <c r="S1826">
        <f t="shared" si="115"/>
        <v>44</v>
      </c>
      <c r="T1826">
        <f>INDEX([1]IDEN_level_ids!$B:$B,MATCH(G1826,[1]IDEN_level_ids!$A:$A,0),1)</f>
        <v>1209</v>
      </c>
      <c r="U1826">
        <f>INDEX([1]IDEN_level_ids!$B:$B,MATCH(H1826,[1]IDEN_level_ids!$A:$A,0),1)</f>
        <v>1019</v>
      </c>
    </row>
    <row r="1827" spans="1:21" hidden="1" x14ac:dyDescent="0.25">
      <c r="A1827">
        <v>48630.420299999998</v>
      </c>
      <c r="B1827">
        <v>2056.326</v>
      </c>
      <c r="C1827">
        <v>9</v>
      </c>
      <c r="D1827" t="s">
        <v>598</v>
      </c>
      <c r="F1827">
        <v>1969</v>
      </c>
      <c r="G1827" s="1" t="s">
        <v>108</v>
      </c>
      <c r="H1827" s="1" t="s">
        <v>491</v>
      </c>
      <c r="I1827">
        <v>0</v>
      </c>
      <c r="J1827">
        <v>48630.536</v>
      </c>
      <c r="K1827">
        <v>4.8900000000000002E-3</v>
      </c>
      <c r="L1827">
        <v>1.0359999999999999E-2</v>
      </c>
      <c r="M1827">
        <v>0.245</v>
      </c>
      <c r="N1827">
        <v>1.6E-2</v>
      </c>
      <c r="O1827">
        <v>1.0529999999999999E-2</v>
      </c>
      <c r="P1827" s="3">
        <f t="shared" si="112"/>
        <v>2056.326048245156</v>
      </c>
      <c r="Q1827" s="3">
        <f t="shared" si="113"/>
        <v>4.8923360373009928E-3</v>
      </c>
      <c r="R1827" s="3">
        <f t="shared" si="114"/>
        <v>1.0359999999999999E-2</v>
      </c>
      <c r="S1827">
        <f t="shared" si="115"/>
        <v>44</v>
      </c>
      <c r="T1827">
        <f>INDEX([1]IDEN_level_ids!$B:$B,MATCH(G1827,[1]IDEN_level_ids!$A:$A,0),1)</f>
        <v>1149</v>
      </c>
      <c r="U1827">
        <f>INDEX([1]IDEN_level_ids!$B:$B,MATCH(H1827,[1]IDEN_level_ids!$A:$A,0),1)</f>
        <v>967</v>
      </c>
    </row>
    <row r="1828" spans="1:21" hidden="1" x14ac:dyDescent="0.25">
      <c r="A1828">
        <v>48628.455499999996</v>
      </c>
      <c r="B1828">
        <v>2056.4090999999999</v>
      </c>
      <c r="C1828">
        <v>9</v>
      </c>
      <c r="D1828" t="s">
        <v>598</v>
      </c>
      <c r="F1828">
        <v>1969</v>
      </c>
      <c r="G1828" s="1" t="s">
        <v>285</v>
      </c>
      <c r="H1828" s="1" t="s">
        <v>501</v>
      </c>
      <c r="I1828">
        <v>0.1444</v>
      </c>
      <c r="J1828">
        <v>48628.591800000002</v>
      </c>
      <c r="K1828">
        <v>5.7600000000000004E-3</v>
      </c>
      <c r="L1828">
        <v>1.0359999999999999E-2</v>
      </c>
      <c r="M1828">
        <v>0.245</v>
      </c>
      <c r="N1828">
        <v>1.8100000000000002E-2</v>
      </c>
      <c r="O1828">
        <v>1.055E-2</v>
      </c>
      <c r="P1828" s="3">
        <f t="shared" si="112"/>
        <v>2056.4091327144865</v>
      </c>
      <c r="Q1828" s="3">
        <f t="shared" si="113"/>
        <v>5.7638634889372042E-3</v>
      </c>
      <c r="R1828" s="3">
        <f t="shared" si="114"/>
        <v>1.0359999999999999E-2</v>
      </c>
      <c r="S1828">
        <f t="shared" si="115"/>
        <v>44</v>
      </c>
      <c r="T1828">
        <f>INDEX([1]IDEN_level_ids!$B:$B,MATCH(G1828,[1]IDEN_level_ids!$A:$A,0),1)</f>
        <v>1150</v>
      </c>
      <c r="U1828">
        <f>INDEX([1]IDEN_level_ids!$B:$B,MATCH(H1828,[1]IDEN_level_ids!$A:$A,0),1)</f>
        <v>969</v>
      </c>
    </row>
    <row r="1829" spans="1:21" hidden="1" x14ac:dyDescent="0.25">
      <c r="A1829">
        <v>48625.240599999997</v>
      </c>
      <c r="B1829">
        <v>2056.5450999999998</v>
      </c>
      <c r="C1829">
        <v>9</v>
      </c>
      <c r="D1829" t="s">
        <v>598</v>
      </c>
      <c r="F1829">
        <v>1969</v>
      </c>
      <c r="G1829" s="1" t="s">
        <v>55</v>
      </c>
      <c r="H1829" s="1" t="s">
        <v>458</v>
      </c>
      <c r="I1829">
        <v>0</v>
      </c>
      <c r="J1829">
        <v>48625.4303</v>
      </c>
      <c r="K1829">
        <v>8.0199999999999994E-3</v>
      </c>
      <c r="L1829">
        <v>1.0359999999999999E-2</v>
      </c>
      <c r="M1829">
        <v>0.245</v>
      </c>
      <c r="N1829">
        <v>1.29E-2</v>
      </c>
      <c r="O1829">
        <v>1.0500000000000001E-2</v>
      </c>
      <c r="P1829" s="3">
        <f t="shared" si="112"/>
        <v>2056.5450939897255</v>
      </c>
      <c r="Q1829" s="3">
        <f t="shared" si="113"/>
        <v>8.0230982416651386E-3</v>
      </c>
      <c r="R1829" s="3">
        <f t="shared" si="114"/>
        <v>1.0359999999999999E-2</v>
      </c>
      <c r="S1829">
        <f t="shared" si="115"/>
        <v>44</v>
      </c>
      <c r="T1829">
        <f>INDEX([1]IDEN_level_ids!$B:$B,MATCH(G1829,[1]IDEN_level_ids!$A:$A,0),1)</f>
        <v>1233</v>
      </c>
      <c r="U1829">
        <f>INDEX([1]IDEN_level_ids!$B:$B,MATCH(H1829,[1]IDEN_level_ids!$A:$A,0),1)</f>
        <v>1064</v>
      </c>
    </row>
    <row r="1830" spans="1:21" hidden="1" x14ac:dyDescent="0.25">
      <c r="A1830">
        <v>48619.899799999999</v>
      </c>
      <c r="B1830">
        <v>2056.7710000000002</v>
      </c>
      <c r="C1830">
        <v>9</v>
      </c>
      <c r="D1830" t="s">
        <v>598</v>
      </c>
      <c r="F1830">
        <v>1969</v>
      </c>
      <c r="G1830" s="1" t="s">
        <v>94</v>
      </c>
      <c r="H1830" s="1" t="s">
        <v>475</v>
      </c>
      <c r="I1830">
        <v>0.13919999999999999</v>
      </c>
      <c r="J1830">
        <v>48619.932099999998</v>
      </c>
      <c r="K1830">
        <v>1.3699999999999999E-3</v>
      </c>
      <c r="L1830">
        <v>1.0359999999999999E-2</v>
      </c>
      <c r="M1830">
        <v>0.245</v>
      </c>
      <c r="N1830">
        <v>1.06E-2</v>
      </c>
      <c r="O1830">
        <v>1.047E-2</v>
      </c>
      <c r="P1830" s="3">
        <f t="shared" si="112"/>
        <v>2056.7710014079462</v>
      </c>
      <c r="Q1830" s="3">
        <f t="shared" si="113"/>
        <v>1.3663882377841219E-3</v>
      </c>
      <c r="R1830" s="3">
        <f t="shared" si="114"/>
        <v>1.0359999999999999E-2</v>
      </c>
      <c r="S1830">
        <f t="shared" si="115"/>
        <v>44</v>
      </c>
      <c r="T1830">
        <f>INDEX([1]IDEN_level_ids!$B:$B,MATCH(G1830,[1]IDEN_level_ids!$A:$A,0),1)</f>
        <v>1207</v>
      </c>
      <c r="U1830">
        <f>INDEX([1]IDEN_level_ids!$B:$B,MATCH(H1830,[1]IDEN_level_ids!$A:$A,0),1)</f>
        <v>1030</v>
      </c>
    </row>
    <row r="1831" spans="1:21" hidden="1" x14ac:dyDescent="0.25">
      <c r="A1831">
        <v>48613.4948</v>
      </c>
      <c r="B1831">
        <v>2057.0419999999999</v>
      </c>
      <c r="C1831">
        <v>9</v>
      </c>
      <c r="D1831" t="s">
        <v>598</v>
      </c>
      <c r="F1831">
        <v>1969</v>
      </c>
      <c r="G1831" s="1" t="s">
        <v>16</v>
      </c>
      <c r="H1831" s="1" t="s">
        <v>469</v>
      </c>
      <c r="I1831">
        <v>0.26919999999999999</v>
      </c>
      <c r="J1831">
        <v>48613.527000000002</v>
      </c>
      <c r="K1831">
        <v>1.3600000000000001E-3</v>
      </c>
      <c r="L1831">
        <v>1.0370000000000001E-2</v>
      </c>
      <c r="M1831">
        <v>0.245</v>
      </c>
      <c r="N1831">
        <v>1.84E-2</v>
      </c>
      <c r="O1831">
        <v>1.056E-2</v>
      </c>
      <c r="P1831" s="3">
        <f t="shared" si="112"/>
        <v>2057.0419882670108</v>
      </c>
      <c r="Q1831" s="3">
        <f t="shared" si="113"/>
        <v>1.3625168980979652E-3</v>
      </c>
      <c r="R1831" s="3">
        <f t="shared" si="114"/>
        <v>1.0370000000000001E-2</v>
      </c>
      <c r="S1831">
        <f t="shared" si="115"/>
        <v>44</v>
      </c>
      <c r="T1831">
        <f>INDEX([1]IDEN_level_ids!$B:$B,MATCH(G1831,[1]IDEN_level_ids!$A:$A,0),1)</f>
        <v>1223</v>
      </c>
      <c r="U1831">
        <f>INDEX([1]IDEN_level_ids!$B:$B,MATCH(H1831,[1]IDEN_level_ids!$A:$A,0),1)</f>
        <v>1048</v>
      </c>
    </row>
    <row r="1832" spans="1:21" hidden="1" x14ac:dyDescent="0.25">
      <c r="A1832">
        <v>48582.106599999999</v>
      </c>
      <c r="B1832">
        <v>2058.3710000000001</v>
      </c>
      <c r="C1832">
        <v>9</v>
      </c>
      <c r="D1832" t="s">
        <v>598</v>
      </c>
      <c r="F1832">
        <v>1969</v>
      </c>
      <c r="G1832" s="1" t="s">
        <v>282</v>
      </c>
      <c r="H1832" s="1" t="s">
        <v>389</v>
      </c>
      <c r="I1832">
        <v>0.23219999999999999</v>
      </c>
      <c r="J1832">
        <v>48582.153100000003</v>
      </c>
      <c r="K1832">
        <v>1.97E-3</v>
      </c>
      <c r="L1832">
        <v>1.038E-2</v>
      </c>
      <c r="M1832">
        <v>0.245</v>
      </c>
      <c r="N1832">
        <v>1.5900000000000001E-2</v>
      </c>
      <c r="O1832">
        <v>1.055E-2</v>
      </c>
      <c r="P1832" s="3">
        <f t="shared" si="112"/>
        <v>2058.3710134957382</v>
      </c>
      <c r="Q1832" s="3">
        <f t="shared" si="113"/>
        <v>1.9701525357049832E-3</v>
      </c>
      <c r="R1832" s="3">
        <f t="shared" si="114"/>
        <v>1.038E-2</v>
      </c>
      <c r="S1832">
        <f t="shared" si="115"/>
        <v>44</v>
      </c>
      <c r="T1832">
        <f>INDEX([1]IDEN_level_ids!$B:$B,MATCH(G1832,[1]IDEN_level_ids!$A:$A,0),1)</f>
        <v>1128</v>
      </c>
      <c r="U1832">
        <f>INDEX([1]IDEN_level_ids!$B:$B,MATCH(H1832,[1]IDEN_level_ids!$A:$A,0),1)</f>
        <v>942</v>
      </c>
    </row>
    <row r="1833" spans="1:21" hidden="1" x14ac:dyDescent="0.25">
      <c r="A1833">
        <v>48575.215199999999</v>
      </c>
      <c r="B1833">
        <v>2058.663</v>
      </c>
      <c r="C1833">
        <v>9</v>
      </c>
      <c r="D1833" t="s">
        <v>598</v>
      </c>
      <c r="F1833">
        <v>1969</v>
      </c>
      <c r="G1833" s="1" t="s">
        <v>73</v>
      </c>
      <c r="H1833" s="1" t="s">
        <v>560</v>
      </c>
      <c r="I1833">
        <v>0</v>
      </c>
      <c r="J1833">
        <v>48575.257799999999</v>
      </c>
      <c r="K1833">
        <v>1.81E-3</v>
      </c>
      <c r="L1833">
        <v>1.038E-2</v>
      </c>
      <c r="M1833">
        <v>0.245</v>
      </c>
      <c r="N1833">
        <v>3.7600000000000001E-2</v>
      </c>
      <c r="O1833">
        <v>1.0789999999999999E-2</v>
      </c>
      <c r="P1833" s="3">
        <f t="shared" si="112"/>
        <v>2058.6630360414752</v>
      </c>
      <c r="Q1833" s="3">
        <f t="shared" si="113"/>
        <v>1.8054262459372694E-3</v>
      </c>
      <c r="R1833" s="3">
        <f t="shared" si="114"/>
        <v>1.038E-2</v>
      </c>
      <c r="S1833">
        <f t="shared" si="115"/>
        <v>44</v>
      </c>
      <c r="T1833">
        <f>INDEX([1]IDEN_level_ids!$B:$B,MATCH(G1833,[1]IDEN_level_ids!$A:$A,0),1)</f>
        <v>1173</v>
      </c>
      <c r="U1833">
        <f>INDEX([1]IDEN_level_ids!$B:$B,MATCH(H1833,[1]IDEN_level_ids!$A:$A,0),1)</f>
        <v>993</v>
      </c>
    </row>
    <row r="1834" spans="1:21" hidden="1" x14ac:dyDescent="0.25">
      <c r="A1834">
        <v>48572.0792</v>
      </c>
      <c r="B1834">
        <v>2058.7959999999998</v>
      </c>
      <c r="C1834">
        <v>9</v>
      </c>
      <c r="D1834" t="s">
        <v>598</v>
      </c>
      <c r="F1834">
        <v>1969</v>
      </c>
      <c r="G1834" s="1" t="s">
        <v>73</v>
      </c>
      <c r="H1834" s="1" t="s">
        <v>555</v>
      </c>
      <c r="I1834">
        <v>0</v>
      </c>
      <c r="J1834">
        <v>48572.237999999998</v>
      </c>
      <c r="K1834">
        <v>6.7299999999999999E-3</v>
      </c>
      <c r="L1834">
        <v>1.038E-2</v>
      </c>
      <c r="M1834">
        <v>0.245</v>
      </c>
      <c r="N1834">
        <v>1.5299999999999999E-2</v>
      </c>
      <c r="O1834">
        <v>1.055E-2</v>
      </c>
      <c r="P1834" s="3">
        <f t="shared" si="112"/>
        <v>2058.7959512344696</v>
      </c>
      <c r="Q1834" s="3">
        <f t="shared" si="113"/>
        <v>6.7309395349184342E-3</v>
      </c>
      <c r="R1834" s="3">
        <f t="shared" si="114"/>
        <v>1.038E-2</v>
      </c>
      <c r="S1834">
        <f t="shared" si="115"/>
        <v>44</v>
      </c>
      <c r="T1834">
        <f>INDEX([1]IDEN_level_ids!$B:$B,MATCH(G1834,[1]IDEN_level_ids!$A:$A,0),1)</f>
        <v>1173</v>
      </c>
      <c r="U1834">
        <f>INDEX([1]IDEN_level_ids!$B:$B,MATCH(H1834,[1]IDEN_level_ids!$A:$A,0),1)</f>
        <v>995</v>
      </c>
    </row>
    <row r="1835" spans="1:21" hidden="1" x14ac:dyDescent="0.25">
      <c r="A1835">
        <v>48530.285400000001</v>
      </c>
      <c r="B1835">
        <v>2060.569</v>
      </c>
      <c r="C1835">
        <v>9</v>
      </c>
      <c r="D1835" t="s">
        <v>598</v>
      </c>
      <c r="F1835">
        <v>1969</v>
      </c>
      <c r="G1835" s="1" t="s">
        <v>118</v>
      </c>
      <c r="H1835" s="1" t="s">
        <v>419</v>
      </c>
      <c r="I1835">
        <v>0.20910000000000001</v>
      </c>
      <c r="J1835">
        <v>48530.375699999997</v>
      </c>
      <c r="K1835">
        <v>3.8300000000000001E-3</v>
      </c>
      <c r="L1835">
        <v>1.04E-2</v>
      </c>
      <c r="M1835">
        <v>0.245</v>
      </c>
      <c r="N1835">
        <v>1.9599999999999999E-2</v>
      </c>
      <c r="O1835">
        <v>1.061E-2</v>
      </c>
      <c r="P1835" s="3">
        <f t="shared" si="112"/>
        <v>2060.568965868888</v>
      </c>
      <c r="Q1835" s="3">
        <f t="shared" si="113"/>
        <v>3.8340807159329415E-3</v>
      </c>
      <c r="R1835" s="3">
        <f t="shared" si="114"/>
        <v>1.04E-2</v>
      </c>
      <c r="S1835">
        <f t="shared" si="115"/>
        <v>44</v>
      </c>
      <c r="T1835">
        <f>INDEX([1]IDEN_level_ids!$B:$B,MATCH(G1835,[1]IDEN_level_ids!$A:$A,0),1)</f>
        <v>1237</v>
      </c>
      <c r="U1835">
        <f>INDEX([1]IDEN_level_ids!$B:$B,MATCH(H1835,[1]IDEN_level_ids!$A:$A,0),1)</f>
        <v>1068</v>
      </c>
    </row>
    <row r="1836" spans="1:21" hidden="1" x14ac:dyDescent="0.25">
      <c r="A1836">
        <v>48528.706299999998</v>
      </c>
      <c r="B1836">
        <v>2060.636</v>
      </c>
      <c r="C1836">
        <v>9</v>
      </c>
      <c r="D1836" t="s">
        <v>598</v>
      </c>
      <c r="F1836">
        <v>1969</v>
      </c>
      <c r="G1836" s="1" t="s">
        <v>239</v>
      </c>
      <c r="H1836" s="1" t="s">
        <v>531</v>
      </c>
      <c r="I1836">
        <v>0</v>
      </c>
      <c r="J1836">
        <v>48528.826099999998</v>
      </c>
      <c r="K1836">
        <v>5.0899999999999999E-3</v>
      </c>
      <c r="L1836">
        <v>1.04E-2</v>
      </c>
      <c r="M1836">
        <v>0.245</v>
      </c>
      <c r="N1836">
        <v>0.13239999999999999</v>
      </c>
      <c r="O1836">
        <v>1.1990000000000001E-2</v>
      </c>
      <c r="P1836" s="3">
        <f t="shared" si="112"/>
        <v>2060.6360157596041</v>
      </c>
      <c r="Q1836" s="3">
        <f t="shared" si="113"/>
        <v>5.0869599476754956E-3</v>
      </c>
      <c r="R1836" s="3">
        <f t="shared" si="114"/>
        <v>1.04E-2</v>
      </c>
      <c r="S1836">
        <f t="shared" si="115"/>
        <v>44</v>
      </c>
      <c r="T1836">
        <f>INDEX([1]IDEN_level_ids!$B:$B,MATCH(G1836,[1]IDEN_level_ids!$A:$A,0),1)</f>
        <v>1167</v>
      </c>
      <c r="U1836">
        <f>INDEX([1]IDEN_level_ids!$B:$B,MATCH(H1836,[1]IDEN_level_ids!$A:$A,0),1)</f>
        <v>990</v>
      </c>
    </row>
    <row r="1837" spans="1:21" hidden="1" x14ac:dyDescent="0.25">
      <c r="A1837">
        <v>48526.115400000002</v>
      </c>
      <c r="B1837">
        <v>2060.7460000000001</v>
      </c>
      <c r="C1837">
        <v>9</v>
      </c>
      <c r="D1837" t="s">
        <v>598</v>
      </c>
      <c r="F1837">
        <v>1969</v>
      </c>
      <c r="G1837" s="1" t="s">
        <v>271</v>
      </c>
      <c r="H1837" s="1" t="s">
        <v>527</v>
      </c>
      <c r="I1837">
        <v>0</v>
      </c>
      <c r="J1837">
        <v>48526.224699999999</v>
      </c>
      <c r="K1837">
        <v>4.64E-3</v>
      </c>
      <c r="L1837">
        <v>1.04E-2</v>
      </c>
      <c r="M1837">
        <v>0.245</v>
      </c>
      <c r="N1837">
        <v>2.58E-2</v>
      </c>
      <c r="O1837">
        <v>1.068E-2</v>
      </c>
      <c r="P1837" s="3">
        <f t="shared" si="112"/>
        <v>2060.746036967962</v>
      </c>
      <c r="Q1837" s="3">
        <f t="shared" si="113"/>
        <v>4.6416044770012377E-3</v>
      </c>
      <c r="R1837" s="3">
        <f t="shared" si="114"/>
        <v>1.04E-2</v>
      </c>
      <c r="S1837">
        <f t="shared" si="115"/>
        <v>44</v>
      </c>
      <c r="T1837">
        <f>INDEX([1]IDEN_level_ids!$B:$B,MATCH(G1837,[1]IDEN_level_ids!$A:$A,0),1)</f>
        <v>1158</v>
      </c>
      <c r="U1837">
        <f>INDEX([1]IDEN_level_ids!$B:$B,MATCH(H1837,[1]IDEN_level_ids!$A:$A,0),1)</f>
        <v>980</v>
      </c>
    </row>
    <row r="1838" spans="1:21" hidden="1" x14ac:dyDescent="0.25">
      <c r="A1838">
        <v>48510.225299999998</v>
      </c>
      <c r="B1838">
        <v>2061.4211</v>
      </c>
      <c r="C1838">
        <v>9</v>
      </c>
      <c r="D1838" t="s">
        <v>598</v>
      </c>
      <c r="F1838">
        <v>1969</v>
      </c>
      <c r="G1838" s="1" t="s">
        <v>27</v>
      </c>
      <c r="H1838" s="1" t="s">
        <v>446</v>
      </c>
      <c r="I1838">
        <v>0.23219999999999999</v>
      </c>
      <c r="J1838">
        <v>48510.311900000001</v>
      </c>
      <c r="K1838">
        <v>3.6800000000000001E-3</v>
      </c>
      <c r="L1838">
        <v>1.0410000000000001E-2</v>
      </c>
      <c r="M1838">
        <v>0.245</v>
      </c>
      <c r="N1838">
        <v>1.4800000000000001E-2</v>
      </c>
      <c r="O1838">
        <v>1.057E-2</v>
      </c>
      <c r="P1838" s="3">
        <f t="shared" si="112"/>
        <v>2061.4210587886096</v>
      </c>
      <c r="Q1838" s="3">
        <f t="shared" si="113"/>
        <v>3.6800230031985848E-3</v>
      </c>
      <c r="R1838" s="3">
        <f t="shared" si="114"/>
        <v>1.0410000000000001E-2</v>
      </c>
      <c r="S1838">
        <f t="shared" si="115"/>
        <v>44</v>
      </c>
      <c r="T1838">
        <f>INDEX([1]IDEN_level_ids!$B:$B,MATCH(G1838,[1]IDEN_level_ids!$A:$A,0),1)</f>
        <v>1242</v>
      </c>
      <c r="U1838">
        <f>INDEX([1]IDEN_level_ids!$B:$B,MATCH(H1838,[1]IDEN_level_ids!$A:$A,0),1)</f>
        <v>1079</v>
      </c>
    </row>
    <row r="1839" spans="1:21" hidden="1" x14ac:dyDescent="0.25">
      <c r="A1839">
        <v>48476.154699999999</v>
      </c>
      <c r="B1839">
        <v>2062.8699000000001</v>
      </c>
      <c r="C1839">
        <v>9</v>
      </c>
      <c r="D1839" t="s">
        <v>598</v>
      </c>
      <c r="F1839">
        <v>1969</v>
      </c>
      <c r="G1839" s="1" t="s">
        <v>117</v>
      </c>
      <c r="H1839" s="1" t="s">
        <v>513</v>
      </c>
      <c r="I1839">
        <v>0.19059999999999999</v>
      </c>
      <c r="J1839">
        <v>48476.209799999997</v>
      </c>
      <c r="K1839">
        <v>2.3500000000000001E-3</v>
      </c>
      <c r="L1839">
        <v>1.043E-2</v>
      </c>
      <c r="M1839">
        <v>0.245</v>
      </c>
      <c r="N1839">
        <v>1.43E-2</v>
      </c>
      <c r="O1839">
        <v>1.0580000000000001E-2</v>
      </c>
      <c r="P1839" s="3">
        <f t="shared" si="112"/>
        <v>2062.8698917820725</v>
      </c>
      <c r="Q1839" s="3">
        <f t="shared" si="113"/>
        <v>2.3447404719263432E-3</v>
      </c>
      <c r="R1839" s="3">
        <f t="shared" si="114"/>
        <v>1.043E-2</v>
      </c>
      <c r="S1839">
        <f t="shared" si="115"/>
        <v>44</v>
      </c>
      <c r="T1839">
        <f>INDEX([1]IDEN_level_ids!$B:$B,MATCH(G1839,[1]IDEN_level_ids!$A:$A,0),1)</f>
        <v>1162</v>
      </c>
      <c r="U1839">
        <f>INDEX([1]IDEN_level_ids!$B:$B,MATCH(H1839,[1]IDEN_level_ids!$A:$A,0),1)</f>
        <v>979</v>
      </c>
    </row>
    <row r="1840" spans="1:21" hidden="1" x14ac:dyDescent="0.25">
      <c r="A1840">
        <v>48469.313999999998</v>
      </c>
      <c r="B1840">
        <v>2063.1610000000001</v>
      </c>
      <c r="C1840">
        <v>9</v>
      </c>
      <c r="D1840" t="s">
        <v>598</v>
      </c>
      <c r="F1840">
        <v>1969</v>
      </c>
      <c r="G1840" s="1" t="s">
        <v>69</v>
      </c>
      <c r="H1840" s="1" t="s">
        <v>468</v>
      </c>
      <c r="I1840">
        <v>0.122</v>
      </c>
      <c r="J1840">
        <v>48469.339200000002</v>
      </c>
      <c r="K1840">
        <v>1.07E-3</v>
      </c>
      <c r="L1840">
        <v>1.043E-2</v>
      </c>
      <c r="M1840">
        <v>0.245</v>
      </c>
      <c r="N1840">
        <v>1.26E-2</v>
      </c>
      <c r="O1840">
        <v>1.056E-2</v>
      </c>
      <c r="P1840" s="3">
        <f t="shared" si="112"/>
        <v>2063.1610342164117</v>
      </c>
      <c r="Q1840" s="3">
        <f t="shared" si="113"/>
        <v>1.0726710725066368E-3</v>
      </c>
      <c r="R1840" s="3">
        <f t="shared" si="114"/>
        <v>1.043E-2</v>
      </c>
      <c r="S1840">
        <f t="shared" si="115"/>
        <v>44</v>
      </c>
      <c r="T1840">
        <f>INDEX([1]IDEN_level_ids!$B:$B,MATCH(G1840,[1]IDEN_level_ids!$A:$A,0),1)</f>
        <v>1218</v>
      </c>
      <c r="U1840">
        <f>INDEX([1]IDEN_level_ids!$B:$B,MATCH(H1840,[1]IDEN_level_ids!$A:$A,0),1)</f>
        <v>1044</v>
      </c>
    </row>
    <row r="1841" spans="1:21" hidden="1" x14ac:dyDescent="0.25">
      <c r="A1841">
        <v>48461.8704</v>
      </c>
      <c r="B1841">
        <v>2063.4778999999999</v>
      </c>
      <c r="C1841">
        <v>9</v>
      </c>
      <c r="D1841" t="s">
        <v>598</v>
      </c>
      <c r="F1841">
        <v>1969</v>
      </c>
      <c r="G1841" s="1" t="s">
        <v>180</v>
      </c>
      <c r="H1841" s="1" t="s">
        <v>562</v>
      </c>
      <c r="I1841">
        <v>0</v>
      </c>
      <c r="J1841">
        <v>48461.972099999999</v>
      </c>
      <c r="K1841">
        <v>4.3299999999999996E-3</v>
      </c>
      <c r="L1841">
        <v>1.043E-2</v>
      </c>
      <c r="M1841">
        <v>0.245</v>
      </c>
      <c r="N1841">
        <v>1.41E-2</v>
      </c>
      <c r="O1841">
        <v>1.0580000000000001E-2</v>
      </c>
      <c r="P1841" s="3">
        <f t="shared" si="112"/>
        <v>2063.4779296508541</v>
      </c>
      <c r="Q1841" s="3">
        <f t="shared" si="113"/>
        <v>4.3303170787112322E-3</v>
      </c>
      <c r="R1841" s="3">
        <f t="shared" si="114"/>
        <v>1.043E-2</v>
      </c>
      <c r="S1841">
        <f t="shared" si="115"/>
        <v>44</v>
      </c>
      <c r="T1841">
        <f>INDEX([1]IDEN_level_ids!$B:$B,MATCH(G1841,[1]IDEN_level_ids!$A:$A,0),1)</f>
        <v>1184</v>
      </c>
      <c r="U1841">
        <f>INDEX([1]IDEN_level_ids!$B:$B,MATCH(H1841,[1]IDEN_level_ids!$A:$A,0),1)</f>
        <v>999</v>
      </c>
    </row>
    <row r="1842" spans="1:21" hidden="1" x14ac:dyDescent="0.25">
      <c r="A1842">
        <v>48459.192000000003</v>
      </c>
      <c r="B1842">
        <v>2063.5920000000001</v>
      </c>
      <c r="C1842">
        <v>9</v>
      </c>
      <c r="D1842" t="s">
        <v>598</v>
      </c>
      <c r="F1842">
        <v>1969</v>
      </c>
      <c r="G1842" s="1" t="s">
        <v>94</v>
      </c>
      <c r="H1842" s="1" t="s">
        <v>541</v>
      </c>
      <c r="I1842">
        <v>0</v>
      </c>
      <c r="J1842">
        <v>48459.306299999997</v>
      </c>
      <c r="K1842">
        <v>4.8700000000000002E-3</v>
      </c>
      <c r="L1842">
        <v>1.043E-2</v>
      </c>
      <c r="M1842">
        <v>0.245</v>
      </c>
      <c r="N1842">
        <v>1.29E-2</v>
      </c>
      <c r="O1842">
        <v>1.057E-2</v>
      </c>
      <c r="P1842" s="3">
        <f t="shared" si="112"/>
        <v>2063.5919806504407</v>
      </c>
      <c r="Q1842" s="3">
        <f t="shared" si="113"/>
        <v>4.8673532783141127E-3</v>
      </c>
      <c r="R1842" s="3">
        <f t="shared" si="114"/>
        <v>1.043E-2</v>
      </c>
      <c r="S1842">
        <f t="shared" si="115"/>
        <v>44</v>
      </c>
      <c r="T1842">
        <f>INDEX([1]IDEN_level_ids!$B:$B,MATCH(G1842,[1]IDEN_level_ids!$A:$A,0),1)</f>
        <v>1207</v>
      </c>
      <c r="U1842">
        <f>INDEX([1]IDEN_level_ids!$B:$B,MATCH(H1842,[1]IDEN_level_ids!$A:$A,0),1)</f>
        <v>1028</v>
      </c>
    </row>
    <row r="1843" spans="1:21" hidden="1" x14ac:dyDescent="0.25">
      <c r="A1843">
        <v>48455.127800000002</v>
      </c>
      <c r="B1843">
        <v>2063.7651000000001</v>
      </c>
      <c r="C1843">
        <v>9</v>
      </c>
      <c r="D1843" t="s">
        <v>598</v>
      </c>
      <c r="F1843">
        <v>1969</v>
      </c>
      <c r="G1843" s="1" t="s">
        <v>283</v>
      </c>
      <c r="H1843" s="1" t="s">
        <v>574</v>
      </c>
      <c r="I1843">
        <v>0</v>
      </c>
      <c r="J1843">
        <v>48455.287100000001</v>
      </c>
      <c r="K1843">
        <v>6.79E-3</v>
      </c>
      <c r="L1843">
        <v>1.043E-2</v>
      </c>
      <c r="M1843">
        <v>0.245</v>
      </c>
      <c r="N1843">
        <v>4.3900000000000002E-2</v>
      </c>
      <c r="O1843">
        <v>1.091E-2</v>
      </c>
      <c r="P1843" s="3">
        <f t="shared" si="112"/>
        <v>2063.7650655417319</v>
      </c>
      <c r="Q1843" s="3">
        <f t="shared" si="113"/>
        <v>6.784765804241033E-3</v>
      </c>
      <c r="R1843" s="3">
        <f t="shared" si="114"/>
        <v>1.043E-2</v>
      </c>
      <c r="S1843">
        <f t="shared" si="115"/>
        <v>44</v>
      </c>
      <c r="T1843">
        <f>INDEX([1]IDEN_level_ids!$B:$B,MATCH(G1843,[1]IDEN_level_ids!$A:$A,0),1)</f>
        <v>1178</v>
      </c>
      <c r="U1843">
        <f>INDEX([1]IDEN_level_ids!$B:$B,MATCH(H1843,[1]IDEN_level_ids!$A:$A,0),1)</f>
        <v>996</v>
      </c>
    </row>
    <row r="1844" spans="1:21" hidden="1" x14ac:dyDescent="0.25">
      <c r="A1844">
        <v>48450.41</v>
      </c>
      <c r="B1844">
        <v>2063.9659999999999</v>
      </c>
      <c r="C1844">
        <v>9</v>
      </c>
      <c r="D1844" t="s">
        <v>598</v>
      </c>
      <c r="F1844">
        <v>1969</v>
      </c>
      <c r="G1844" s="1" t="s">
        <v>251</v>
      </c>
      <c r="H1844" s="1" t="s">
        <v>566</v>
      </c>
      <c r="I1844">
        <v>0</v>
      </c>
      <c r="J1844">
        <v>48450.478199999998</v>
      </c>
      <c r="K1844">
        <v>2.9099999999999998E-3</v>
      </c>
      <c r="L1844">
        <v>1.044E-2</v>
      </c>
      <c r="M1844">
        <v>0.245</v>
      </c>
      <c r="N1844">
        <v>2.5499999999999998E-2</v>
      </c>
      <c r="O1844">
        <v>1.0710000000000001E-2</v>
      </c>
      <c r="P1844" s="3">
        <f t="shared" si="112"/>
        <v>2063.9660221657564</v>
      </c>
      <c r="Q1844" s="3">
        <f t="shared" si="113"/>
        <v>2.9052857253191178E-3</v>
      </c>
      <c r="R1844" s="3">
        <f t="shared" si="114"/>
        <v>1.044E-2</v>
      </c>
      <c r="S1844">
        <f t="shared" si="115"/>
        <v>44</v>
      </c>
      <c r="T1844">
        <f>INDEX([1]IDEN_level_ids!$B:$B,MATCH(G1844,[1]IDEN_level_ids!$A:$A,0),1)</f>
        <v>1192</v>
      </c>
      <c r="U1844">
        <f>INDEX([1]IDEN_level_ids!$B:$B,MATCH(H1844,[1]IDEN_level_ids!$A:$A,0),1)</f>
        <v>1000</v>
      </c>
    </row>
    <row r="1845" spans="1:21" hidden="1" x14ac:dyDescent="0.25">
      <c r="A1845">
        <v>48445.482400000001</v>
      </c>
      <c r="B1845">
        <v>2064.1759999999999</v>
      </c>
      <c r="C1845">
        <v>9</v>
      </c>
      <c r="D1845" t="s">
        <v>598</v>
      </c>
      <c r="F1845">
        <v>1969</v>
      </c>
      <c r="G1845" s="1" t="s">
        <v>180</v>
      </c>
      <c r="H1845" s="1" t="s">
        <v>580</v>
      </c>
      <c r="I1845">
        <v>0.15179999999999999</v>
      </c>
      <c r="J1845">
        <v>48445.603600000002</v>
      </c>
      <c r="K1845">
        <v>5.1599999999999997E-3</v>
      </c>
      <c r="L1845">
        <v>1.044E-2</v>
      </c>
      <c r="M1845">
        <v>0.245</v>
      </c>
      <c r="N1845">
        <v>1.0699999999999999E-2</v>
      </c>
      <c r="O1845">
        <v>1.055E-2</v>
      </c>
      <c r="P1845" s="3">
        <f t="shared" si="112"/>
        <v>2064.175957096053</v>
      </c>
      <c r="Q1845" s="3">
        <f t="shared" si="113"/>
        <v>5.1641038071466028E-3</v>
      </c>
      <c r="R1845" s="3">
        <f t="shared" si="114"/>
        <v>1.044E-2</v>
      </c>
      <c r="S1845">
        <f t="shared" si="115"/>
        <v>44</v>
      </c>
      <c r="T1845">
        <f>INDEX([1]IDEN_level_ids!$B:$B,MATCH(G1845,[1]IDEN_level_ids!$A:$A,0),1)</f>
        <v>1184</v>
      </c>
      <c r="U1845">
        <f>INDEX([1]IDEN_level_ids!$B:$B,MATCH(H1845,[1]IDEN_level_ids!$A:$A,0),1)</f>
        <v>1001</v>
      </c>
    </row>
    <row r="1846" spans="1:21" hidden="1" x14ac:dyDescent="0.25">
      <c r="A1846">
        <v>48442.7834</v>
      </c>
      <c r="B1846">
        <v>2064.2910000000002</v>
      </c>
      <c r="C1846">
        <v>9</v>
      </c>
      <c r="D1846" t="s">
        <v>598</v>
      </c>
      <c r="F1846">
        <v>1969</v>
      </c>
      <c r="G1846" s="1" t="s">
        <v>40</v>
      </c>
      <c r="H1846" s="1" t="s">
        <v>544</v>
      </c>
      <c r="I1846">
        <v>0</v>
      </c>
      <c r="J1846">
        <v>48442.8917</v>
      </c>
      <c r="K1846">
        <v>4.6100000000000004E-3</v>
      </c>
      <c r="L1846">
        <v>1.044E-2</v>
      </c>
      <c r="M1846">
        <v>0.245</v>
      </c>
      <c r="N1846">
        <v>1.26E-2</v>
      </c>
      <c r="O1846">
        <v>1.057E-2</v>
      </c>
      <c r="P1846" s="3">
        <f t="shared" si="112"/>
        <v>2064.2909630993663</v>
      </c>
      <c r="Q1846" s="3">
        <f t="shared" si="113"/>
        <v>4.6149745289767452E-3</v>
      </c>
      <c r="R1846" s="3">
        <f t="shared" si="114"/>
        <v>1.044E-2</v>
      </c>
      <c r="S1846">
        <f t="shared" si="115"/>
        <v>44</v>
      </c>
      <c r="T1846">
        <f>INDEX([1]IDEN_level_ids!$B:$B,MATCH(G1846,[1]IDEN_level_ids!$A:$A,0),1)</f>
        <v>1199</v>
      </c>
      <c r="U1846">
        <f>INDEX([1]IDEN_level_ids!$B:$B,MATCH(H1846,[1]IDEN_level_ids!$A:$A,0),1)</f>
        <v>1011</v>
      </c>
    </row>
    <row r="1847" spans="1:21" hidden="1" x14ac:dyDescent="0.25">
      <c r="A1847">
        <v>48432.339800000002</v>
      </c>
      <c r="B1847">
        <v>2064.7361000000001</v>
      </c>
      <c r="C1847">
        <v>9</v>
      </c>
      <c r="D1847" t="s">
        <v>598</v>
      </c>
      <c r="F1847">
        <v>1969</v>
      </c>
      <c r="G1847" s="1" t="s">
        <v>16</v>
      </c>
      <c r="H1847" s="1" t="s">
        <v>516</v>
      </c>
      <c r="I1847">
        <v>0.26919999999999999</v>
      </c>
      <c r="J1847">
        <v>48432.283799999997</v>
      </c>
      <c r="K1847">
        <v>-2.3800000000000002E-3</v>
      </c>
      <c r="L1847">
        <v>1.044E-2</v>
      </c>
      <c r="M1847">
        <v>0.245</v>
      </c>
      <c r="N1847">
        <v>2.0899999999999998E-2</v>
      </c>
      <c r="O1847">
        <v>1.0670000000000001E-2</v>
      </c>
      <c r="P1847" s="3">
        <f t="shared" si="112"/>
        <v>2064.7360918953577</v>
      </c>
      <c r="Q1847" s="3">
        <f t="shared" si="113"/>
        <v>-2.3873584332250175E-3</v>
      </c>
      <c r="R1847" s="3">
        <f t="shared" si="114"/>
        <v>1.044E-2</v>
      </c>
      <c r="S1847">
        <f t="shared" si="115"/>
        <v>44</v>
      </c>
      <c r="T1847">
        <f>INDEX([1]IDEN_level_ids!$B:$B,MATCH(G1847,[1]IDEN_level_ids!$A:$A,0),1)</f>
        <v>1223</v>
      </c>
      <c r="U1847">
        <f>INDEX([1]IDEN_level_ids!$B:$B,MATCH(H1847,[1]IDEN_level_ids!$A:$A,0),1)</f>
        <v>1050</v>
      </c>
    </row>
    <row r="1848" spans="1:21" hidden="1" x14ac:dyDescent="0.25">
      <c r="A1848">
        <v>48421.9997</v>
      </c>
      <c r="B1848">
        <v>2065.1770000000001</v>
      </c>
      <c r="C1848">
        <v>9</v>
      </c>
      <c r="D1848" t="s">
        <v>598</v>
      </c>
      <c r="F1848">
        <v>1969</v>
      </c>
      <c r="G1848" s="1" t="s">
        <v>117</v>
      </c>
      <c r="H1848" s="1" t="s">
        <v>589</v>
      </c>
      <c r="I1848">
        <v>0</v>
      </c>
      <c r="J1848">
        <v>48422.182800000002</v>
      </c>
      <c r="K1848">
        <v>7.8100000000000001E-3</v>
      </c>
      <c r="L1848">
        <v>1.0449999999999999E-2</v>
      </c>
      <c r="M1848">
        <v>0.245</v>
      </c>
      <c r="N1848">
        <v>1.2699999999999999E-2</v>
      </c>
      <c r="O1848">
        <v>1.0580000000000001E-2</v>
      </c>
      <c r="P1848" s="3">
        <f t="shared" si="112"/>
        <v>2065.1769984625398</v>
      </c>
      <c r="Q1848" s="3">
        <f t="shared" si="113"/>
        <v>7.8091049713293614E-3</v>
      </c>
      <c r="R1848" s="3">
        <f t="shared" si="114"/>
        <v>1.0449999999999999E-2</v>
      </c>
      <c r="S1848">
        <f t="shared" si="115"/>
        <v>44</v>
      </c>
      <c r="T1848">
        <f>INDEX([1]IDEN_level_ids!$B:$B,MATCH(G1848,[1]IDEN_level_ids!$A:$A,0),1)</f>
        <v>1162</v>
      </c>
      <c r="U1848">
        <f>INDEX([1]IDEN_level_ids!$B:$B,MATCH(H1848,[1]IDEN_level_ids!$A:$A,0),1)</f>
        <v>984</v>
      </c>
    </row>
    <row r="1849" spans="1:21" hidden="1" x14ac:dyDescent="0.25">
      <c r="A1849">
        <v>48405.172200000001</v>
      </c>
      <c r="B1849">
        <v>2065.8948999999998</v>
      </c>
      <c r="C1849">
        <v>9</v>
      </c>
      <c r="D1849" t="s">
        <v>598</v>
      </c>
      <c r="F1849">
        <v>1969</v>
      </c>
      <c r="G1849" s="1" t="s">
        <v>79</v>
      </c>
      <c r="H1849" s="1" t="s">
        <v>454</v>
      </c>
      <c r="I1849">
        <v>0</v>
      </c>
      <c r="J1849">
        <v>48405.24</v>
      </c>
      <c r="K1849">
        <v>2.8999999999999998E-3</v>
      </c>
      <c r="L1849">
        <v>1.0460000000000001E-2</v>
      </c>
      <c r="M1849">
        <v>0.245</v>
      </c>
      <c r="N1849">
        <v>1.23E-2</v>
      </c>
      <c r="O1849">
        <v>1.059E-2</v>
      </c>
      <c r="P1849" s="3">
        <f t="shared" si="112"/>
        <v>2065.894933434407</v>
      </c>
      <c r="Q1849" s="3">
        <f t="shared" si="113"/>
        <v>2.8936469789186958E-3</v>
      </c>
      <c r="R1849" s="3">
        <f t="shared" si="114"/>
        <v>1.0460000000000001E-2</v>
      </c>
      <c r="S1849">
        <f t="shared" si="115"/>
        <v>44</v>
      </c>
      <c r="T1849">
        <f>INDEX([1]IDEN_level_ids!$B:$B,MATCH(G1849,[1]IDEN_level_ids!$A:$A,0),1)</f>
        <v>1216</v>
      </c>
      <c r="U1849">
        <f>INDEX([1]IDEN_level_ids!$B:$B,MATCH(H1849,[1]IDEN_level_ids!$A:$A,0),1)</f>
        <v>1036</v>
      </c>
    </row>
    <row r="1850" spans="1:21" hidden="1" x14ac:dyDescent="0.25">
      <c r="A1850">
        <v>48396.386500000001</v>
      </c>
      <c r="B1850">
        <v>2066.27</v>
      </c>
      <c r="C1850">
        <v>9</v>
      </c>
      <c r="D1850" t="s">
        <v>598</v>
      </c>
      <c r="F1850">
        <v>1969</v>
      </c>
      <c r="G1850" s="1" t="s">
        <v>204</v>
      </c>
      <c r="H1850" s="1" t="s">
        <v>574</v>
      </c>
      <c r="I1850">
        <v>0</v>
      </c>
      <c r="J1850">
        <v>48396.6855</v>
      </c>
      <c r="K1850">
        <v>1.2760000000000001E-2</v>
      </c>
      <c r="L1850">
        <v>1.0460000000000001E-2</v>
      </c>
      <c r="M1850">
        <v>0.245</v>
      </c>
      <c r="N1850">
        <v>4.2799999999999998E-2</v>
      </c>
      <c r="O1850">
        <v>1.093E-2</v>
      </c>
      <c r="P1850" s="3">
        <f t="shared" si="112"/>
        <v>2066.2699683167461</v>
      </c>
      <c r="Q1850" s="3">
        <f t="shared" si="113"/>
        <v>1.2765641161877284E-2</v>
      </c>
      <c r="R1850" s="3">
        <f t="shared" si="114"/>
        <v>1.0460000000000001E-2</v>
      </c>
      <c r="S1850">
        <f t="shared" si="115"/>
        <v>44</v>
      </c>
      <c r="T1850">
        <f>INDEX([1]IDEN_level_ids!$B:$B,MATCH(G1850,[1]IDEN_level_ids!$A:$A,0),1)</f>
        <v>1176</v>
      </c>
      <c r="U1850">
        <f>INDEX([1]IDEN_level_ids!$B:$B,MATCH(H1850,[1]IDEN_level_ids!$A:$A,0),1)</f>
        <v>996</v>
      </c>
    </row>
    <row r="1851" spans="1:21" hidden="1" x14ac:dyDescent="0.25">
      <c r="A1851">
        <v>48378.498</v>
      </c>
      <c r="B1851">
        <v>2067.0340000000001</v>
      </c>
      <c r="C1851">
        <v>9</v>
      </c>
      <c r="D1851" t="s">
        <v>598</v>
      </c>
      <c r="F1851">
        <v>1969</v>
      </c>
      <c r="G1851" s="1" t="s">
        <v>271</v>
      </c>
      <c r="H1851" s="1" t="s">
        <v>553</v>
      </c>
      <c r="I1851">
        <v>0</v>
      </c>
      <c r="J1851">
        <v>48378.630700000002</v>
      </c>
      <c r="K1851">
        <v>5.6699999999999997E-3</v>
      </c>
      <c r="L1851">
        <v>1.047E-2</v>
      </c>
      <c r="M1851">
        <v>0.245</v>
      </c>
      <c r="N1851">
        <v>2.53E-2</v>
      </c>
      <c r="O1851">
        <v>1.074E-2</v>
      </c>
      <c r="P1851" s="3">
        <f t="shared" si="112"/>
        <v>2067.0339951438759</v>
      </c>
      <c r="Q1851" s="3">
        <f t="shared" si="113"/>
        <v>5.6697638442528842E-3</v>
      </c>
      <c r="R1851" s="3">
        <f t="shared" si="114"/>
        <v>1.047E-2</v>
      </c>
      <c r="S1851">
        <f t="shared" si="115"/>
        <v>44</v>
      </c>
      <c r="T1851">
        <f>INDEX([1]IDEN_level_ids!$B:$B,MATCH(G1851,[1]IDEN_level_ids!$A:$A,0),1)</f>
        <v>1158</v>
      </c>
      <c r="U1851">
        <f>INDEX([1]IDEN_level_ids!$B:$B,MATCH(H1851,[1]IDEN_level_ids!$A:$A,0),1)</f>
        <v>976</v>
      </c>
    </row>
    <row r="1852" spans="1:21" hidden="1" x14ac:dyDescent="0.25">
      <c r="A1852">
        <v>48362.632799999999</v>
      </c>
      <c r="B1852">
        <v>2067.7121000000002</v>
      </c>
      <c r="C1852">
        <v>9</v>
      </c>
      <c r="D1852" t="s">
        <v>598</v>
      </c>
      <c r="F1852">
        <v>1969</v>
      </c>
      <c r="G1852" s="1" t="s">
        <v>20</v>
      </c>
      <c r="H1852" s="1" t="s">
        <v>451</v>
      </c>
      <c r="I1852">
        <v>0.28199999999999997</v>
      </c>
      <c r="J1852">
        <v>48362.654300000002</v>
      </c>
      <c r="K1852">
        <v>9.2000000000000003E-4</v>
      </c>
      <c r="L1852">
        <v>1.047E-2</v>
      </c>
      <c r="M1852">
        <v>0.245</v>
      </c>
      <c r="N1852">
        <v>1.6E-2</v>
      </c>
      <c r="O1852">
        <v>1.064E-2</v>
      </c>
      <c r="P1852" s="3">
        <f t="shared" si="112"/>
        <v>2067.7120787353001</v>
      </c>
      <c r="Q1852" s="3">
        <f t="shared" si="113"/>
        <v>9.1921773810099694E-4</v>
      </c>
      <c r="R1852" s="3">
        <f t="shared" si="114"/>
        <v>1.047E-2</v>
      </c>
      <c r="S1852">
        <f t="shared" si="115"/>
        <v>44</v>
      </c>
      <c r="T1852">
        <f>INDEX([1]IDEN_level_ids!$B:$B,MATCH(G1852,[1]IDEN_level_ids!$A:$A,0),1)</f>
        <v>1235</v>
      </c>
      <c r="U1852">
        <f>INDEX([1]IDEN_level_ids!$B:$B,MATCH(H1852,[1]IDEN_level_ids!$A:$A,0),1)</f>
        <v>1066</v>
      </c>
    </row>
    <row r="1853" spans="1:21" hidden="1" x14ac:dyDescent="0.25">
      <c r="A1853">
        <v>48342.830199999997</v>
      </c>
      <c r="B1853">
        <v>2068.5590999999999</v>
      </c>
      <c r="C1853">
        <v>9</v>
      </c>
      <c r="D1853" t="s">
        <v>598</v>
      </c>
      <c r="F1853">
        <v>1969</v>
      </c>
      <c r="G1853" s="1" t="s">
        <v>166</v>
      </c>
      <c r="H1853" s="1" t="s">
        <v>562</v>
      </c>
      <c r="I1853">
        <v>0</v>
      </c>
      <c r="J1853">
        <v>48342.936900000001</v>
      </c>
      <c r="K1853">
        <v>4.5599999999999998E-3</v>
      </c>
      <c r="L1853">
        <v>1.048E-2</v>
      </c>
      <c r="M1853">
        <v>0.245</v>
      </c>
      <c r="N1853">
        <v>1.35E-2</v>
      </c>
      <c r="O1853">
        <v>1.0630000000000001E-2</v>
      </c>
      <c r="P1853" s="3">
        <f t="shared" si="112"/>
        <v>2068.5590724888921</v>
      </c>
      <c r="Q1853" s="3">
        <f t="shared" si="113"/>
        <v>4.5656153138224909E-3</v>
      </c>
      <c r="R1853" s="3">
        <f t="shared" si="114"/>
        <v>1.048E-2</v>
      </c>
      <c r="S1853">
        <f t="shared" si="115"/>
        <v>44</v>
      </c>
      <c r="T1853">
        <f>INDEX([1]IDEN_level_ids!$B:$B,MATCH(G1853,[1]IDEN_level_ids!$A:$A,0),1)</f>
        <v>1186</v>
      </c>
      <c r="U1853">
        <f>INDEX([1]IDEN_level_ids!$B:$B,MATCH(H1853,[1]IDEN_level_ids!$A:$A,0),1)</f>
        <v>999</v>
      </c>
    </row>
    <row r="1854" spans="1:21" hidden="1" x14ac:dyDescent="0.25">
      <c r="A1854">
        <v>48326.501499999998</v>
      </c>
      <c r="B1854">
        <v>2069.2579999999998</v>
      </c>
      <c r="C1854">
        <v>9</v>
      </c>
      <c r="D1854" t="s">
        <v>598</v>
      </c>
      <c r="F1854">
        <v>1969</v>
      </c>
      <c r="G1854" s="1" t="s">
        <v>166</v>
      </c>
      <c r="H1854" s="1" t="s">
        <v>580</v>
      </c>
      <c r="I1854">
        <v>0.15179999999999999</v>
      </c>
      <c r="J1854">
        <v>48326.568399999996</v>
      </c>
      <c r="K1854">
        <v>2.8700000000000002E-3</v>
      </c>
      <c r="L1854">
        <v>1.0489999999999999E-2</v>
      </c>
      <c r="M1854">
        <v>0.245</v>
      </c>
      <c r="N1854">
        <v>1.01E-2</v>
      </c>
      <c r="O1854">
        <v>1.06E-2</v>
      </c>
      <c r="P1854" s="3">
        <f t="shared" si="112"/>
        <v>2069.2580032924584</v>
      </c>
      <c r="Q1854" s="3">
        <f t="shared" si="113"/>
        <v>2.8645394240811584E-3</v>
      </c>
      <c r="R1854" s="3">
        <f t="shared" si="114"/>
        <v>1.0489999999999999E-2</v>
      </c>
      <c r="S1854">
        <f t="shared" si="115"/>
        <v>44</v>
      </c>
      <c r="T1854">
        <f>INDEX([1]IDEN_level_ids!$B:$B,MATCH(G1854,[1]IDEN_level_ids!$A:$A,0),1)</f>
        <v>1186</v>
      </c>
      <c r="U1854">
        <f>INDEX([1]IDEN_level_ids!$B:$B,MATCH(H1854,[1]IDEN_level_ids!$A:$A,0),1)</f>
        <v>1001</v>
      </c>
    </row>
    <row r="1855" spans="1:21" hidden="1" x14ac:dyDescent="0.25">
      <c r="A1855">
        <v>48308.198700000001</v>
      </c>
      <c r="B1855">
        <v>2070.0419999999999</v>
      </c>
      <c r="C1855">
        <v>9</v>
      </c>
      <c r="D1855" t="s">
        <v>598</v>
      </c>
      <c r="F1855">
        <v>1969</v>
      </c>
      <c r="G1855" s="1" t="s">
        <v>72</v>
      </c>
      <c r="H1855" s="1" t="s">
        <v>569</v>
      </c>
      <c r="I1855">
        <v>0</v>
      </c>
      <c r="J1855">
        <v>48308.252899999999</v>
      </c>
      <c r="K1855">
        <v>2.33E-3</v>
      </c>
      <c r="L1855">
        <v>1.0500000000000001E-2</v>
      </c>
      <c r="M1855">
        <v>0.245</v>
      </c>
      <c r="N1855">
        <v>1.29E-2</v>
      </c>
      <c r="O1855">
        <v>1.064E-2</v>
      </c>
      <c r="P1855" s="3">
        <f t="shared" si="112"/>
        <v>2070.0419947556438</v>
      </c>
      <c r="Q1855" s="3">
        <f t="shared" si="113"/>
        <v>2.3225074264701107E-3</v>
      </c>
      <c r="R1855" s="3">
        <f t="shared" si="114"/>
        <v>1.0500000000000001E-2</v>
      </c>
      <c r="S1855">
        <f t="shared" si="115"/>
        <v>44</v>
      </c>
      <c r="T1855">
        <f>INDEX([1]IDEN_level_ids!$B:$B,MATCH(G1855,[1]IDEN_level_ids!$A:$A,0),1)</f>
        <v>1225</v>
      </c>
      <c r="U1855">
        <f>INDEX([1]IDEN_level_ids!$B:$B,MATCH(H1855,[1]IDEN_level_ids!$A:$A,0),1)</f>
        <v>1049</v>
      </c>
    </row>
    <row r="1856" spans="1:21" hidden="1" x14ac:dyDescent="0.25">
      <c r="A1856">
        <v>48301.292300000001</v>
      </c>
      <c r="B1856">
        <v>2070.3380000000002</v>
      </c>
      <c r="C1856">
        <v>9</v>
      </c>
      <c r="D1856" t="s">
        <v>598</v>
      </c>
      <c r="F1856">
        <v>1969</v>
      </c>
      <c r="G1856" s="1" t="s">
        <v>68</v>
      </c>
      <c r="H1856" s="1" t="s">
        <v>600</v>
      </c>
      <c r="I1856">
        <v>0</v>
      </c>
      <c r="J1856">
        <v>48301.399299999997</v>
      </c>
      <c r="K1856">
        <v>4.5900000000000003E-3</v>
      </c>
      <c r="L1856">
        <v>1.0500000000000001E-2</v>
      </c>
      <c r="M1856">
        <v>0.245</v>
      </c>
      <c r="N1856">
        <v>1.3100000000000001E-2</v>
      </c>
      <c r="O1856">
        <v>1.064E-2</v>
      </c>
      <c r="P1856" s="3">
        <f t="shared" si="112"/>
        <v>2070.3379814125592</v>
      </c>
      <c r="Q1856" s="3">
        <f t="shared" si="113"/>
        <v>4.5863301520512323E-3</v>
      </c>
      <c r="R1856" s="3">
        <f t="shared" si="114"/>
        <v>1.0500000000000001E-2</v>
      </c>
      <c r="S1856">
        <f t="shared" si="115"/>
        <v>44</v>
      </c>
      <c r="T1856">
        <f>INDEX([1]IDEN_level_ids!$B:$B,MATCH(G1856,[1]IDEN_level_ids!$A:$A,0),1)</f>
        <v>1229</v>
      </c>
      <c r="U1856">
        <f>INDEX([1]IDEN_level_ids!$B:$B,MATCH(H1856,[1]IDEN_level_ids!$A:$A,0),1)</f>
        <v>1058</v>
      </c>
    </row>
    <row r="1857" spans="1:21" hidden="1" x14ac:dyDescent="0.25">
      <c r="A1857">
        <v>48291.263899999998</v>
      </c>
      <c r="B1857">
        <v>2070.7678999999998</v>
      </c>
      <c r="C1857">
        <v>9</v>
      </c>
      <c r="D1857" t="s">
        <v>598</v>
      </c>
      <c r="F1857">
        <v>1969</v>
      </c>
      <c r="G1857" s="1" t="s">
        <v>55</v>
      </c>
      <c r="H1857" s="1" t="s">
        <v>451</v>
      </c>
      <c r="I1857">
        <v>0.28199999999999997</v>
      </c>
      <c r="J1857">
        <v>48291.312700000002</v>
      </c>
      <c r="K1857">
        <v>2.0899999999999998E-3</v>
      </c>
      <c r="L1857">
        <v>1.051E-2</v>
      </c>
      <c r="M1857">
        <v>0.245</v>
      </c>
      <c r="N1857">
        <v>1.32E-2</v>
      </c>
      <c r="O1857">
        <v>1.065E-2</v>
      </c>
      <c r="P1857" s="3">
        <f t="shared" si="112"/>
        <v>2070.7679179214856</v>
      </c>
      <c r="Q1857" s="3">
        <f t="shared" si="113"/>
        <v>2.0925808130414225E-3</v>
      </c>
      <c r="R1857" s="3">
        <f t="shared" si="114"/>
        <v>1.051E-2</v>
      </c>
      <c r="S1857">
        <f t="shared" si="115"/>
        <v>44</v>
      </c>
      <c r="T1857">
        <f>INDEX([1]IDEN_level_ids!$B:$B,MATCH(G1857,[1]IDEN_level_ids!$A:$A,0),1)</f>
        <v>1233</v>
      </c>
      <c r="U1857">
        <f>INDEX([1]IDEN_level_ids!$B:$B,MATCH(H1857,[1]IDEN_level_ids!$A:$A,0),1)</f>
        <v>1066</v>
      </c>
    </row>
    <row r="1858" spans="1:21" hidden="1" x14ac:dyDescent="0.25">
      <c r="A1858">
        <v>48273.427000000003</v>
      </c>
      <c r="B1858">
        <v>2071.5331000000001</v>
      </c>
      <c r="C1858">
        <v>9</v>
      </c>
      <c r="D1858" t="s">
        <v>598</v>
      </c>
      <c r="F1858">
        <v>1969</v>
      </c>
      <c r="G1858" s="1" t="s">
        <v>76</v>
      </c>
      <c r="H1858" s="1" t="s">
        <v>510</v>
      </c>
      <c r="I1858">
        <v>0</v>
      </c>
      <c r="J1858">
        <v>48273.461799999997</v>
      </c>
      <c r="K1858">
        <v>1.49E-3</v>
      </c>
      <c r="L1858">
        <v>1.051E-2</v>
      </c>
      <c r="M1858">
        <v>0.245</v>
      </c>
      <c r="N1858">
        <v>1.77E-2</v>
      </c>
      <c r="O1858">
        <v>1.0699999999999999E-2</v>
      </c>
      <c r="P1858" s="3">
        <f t="shared" ref="P1858:P1921" si="116">100000000/$A1858</f>
        <v>2071.5330610358365</v>
      </c>
      <c r="Q1858" s="3">
        <f t="shared" ref="Q1858:Q1921" si="117">100000000/($A1858)-100000000/$J1858</f>
        <v>1.4933536526768876E-3</v>
      </c>
      <c r="R1858" s="3">
        <f t="shared" si="114"/>
        <v>1.051E-2</v>
      </c>
      <c r="S1858">
        <f t="shared" si="115"/>
        <v>44</v>
      </c>
      <c r="T1858">
        <f>INDEX([1]IDEN_level_ids!$B:$B,MATCH(G1858,[1]IDEN_level_ids!$A:$A,0),1)</f>
        <v>1194</v>
      </c>
      <c r="U1858">
        <f>INDEX([1]IDEN_level_ids!$B:$B,MATCH(H1858,[1]IDEN_level_ids!$A:$A,0),1)</f>
        <v>1006</v>
      </c>
    </row>
    <row r="1859" spans="1:21" hidden="1" x14ac:dyDescent="0.25">
      <c r="A1859">
        <v>48262.7601</v>
      </c>
      <c r="B1859">
        <v>2071.9908999999998</v>
      </c>
      <c r="C1859">
        <v>9</v>
      </c>
      <c r="D1859" t="s">
        <v>598</v>
      </c>
      <c r="F1859">
        <v>1969</v>
      </c>
      <c r="G1859" s="1" t="s">
        <v>193</v>
      </c>
      <c r="H1859" s="1" t="s">
        <v>551</v>
      </c>
      <c r="I1859">
        <v>0</v>
      </c>
      <c r="J1859">
        <v>48262.879500000003</v>
      </c>
      <c r="K1859">
        <v>5.13E-3</v>
      </c>
      <c r="L1859">
        <v>1.052E-2</v>
      </c>
      <c r="M1859">
        <v>0.245</v>
      </c>
      <c r="N1859">
        <v>0.15570000000000001</v>
      </c>
      <c r="O1859">
        <v>1.2460000000000001E-2</v>
      </c>
      <c r="P1859" s="3">
        <f t="shared" si="116"/>
        <v>2071.9909054683344</v>
      </c>
      <c r="Q1859" s="3">
        <f t="shared" si="117"/>
        <v>5.1260040154375019E-3</v>
      </c>
      <c r="R1859" s="3">
        <f t="shared" ref="R1859:R1922" si="118">$L1859</f>
        <v>1.052E-2</v>
      </c>
      <c r="S1859">
        <f t="shared" si="115"/>
        <v>44</v>
      </c>
      <c r="T1859">
        <f>INDEX([1]IDEN_level_ids!$B:$B,MATCH(G1859,[1]IDEN_level_ids!$A:$A,0),1)</f>
        <v>1202</v>
      </c>
      <c r="U1859">
        <f>INDEX([1]IDEN_level_ids!$B:$B,MATCH(H1859,[1]IDEN_level_ids!$A:$A,0),1)</f>
        <v>1013</v>
      </c>
    </row>
    <row r="1860" spans="1:21" hidden="1" x14ac:dyDescent="0.25">
      <c r="A1860">
        <v>48250.112500000003</v>
      </c>
      <c r="B1860">
        <v>2072.5340000000001</v>
      </c>
      <c r="C1860">
        <v>9</v>
      </c>
      <c r="D1860" t="s">
        <v>598</v>
      </c>
      <c r="F1860">
        <v>1969</v>
      </c>
      <c r="G1860" s="1" t="s">
        <v>79</v>
      </c>
      <c r="H1860" s="1" t="s">
        <v>476</v>
      </c>
      <c r="I1860">
        <v>0</v>
      </c>
      <c r="J1860">
        <v>48250.2621</v>
      </c>
      <c r="K1860">
        <v>6.43E-3</v>
      </c>
      <c r="L1860">
        <v>1.052E-2</v>
      </c>
      <c r="M1860">
        <v>0.245</v>
      </c>
      <c r="N1860">
        <v>1.2699999999999999E-2</v>
      </c>
      <c r="O1860">
        <v>1.0659999999999999E-2</v>
      </c>
      <c r="P1860" s="3">
        <f t="shared" si="116"/>
        <v>2072.5340277704013</v>
      </c>
      <c r="Q1860" s="3">
        <f t="shared" si="117"/>
        <v>6.425894431231427E-3</v>
      </c>
      <c r="R1860" s="3">
        <f t="shared" si="118"/>
        <v>1.052E-2</v>
      </c>
      <c r="S1860">
        <f t="shared" ref="S1860:S1923" si="119">IF(D1860=D1859,S1859,S1859+1)</f>
        <v>44</v>
      </c>
      <c r="T1860">
        <f>INDEX([1]IDEN_level_ids!$B:$B,MATCH(G1860,[1]IDEN_level_ids!$A:$A,0),1)</f>
        <v>1216</v>
      </c>
      <c r="U1860">
        <f>INDEX([1]IDEN_level_ids!$B:$B,MATCH(H1860,[1]IDEN_level_ids!$A:$A,0),1)</f>
        <v>1037</v>
      </c>
    </row>
    <row r="1861" spans="1:21" hidden="1" x14ac:dyDescent="0.25">
      <c r="A1861">
        <v>48241.918700000002</v>
      </c>
      <c r="B1861">
        <v>2072.886</v>
      </c>
      <c r="C1861">
        <v>9</v>
      </c>
      <c r="D1861" t="s">
        <v>598</v>
      </c>
      <c r="F1861">
        <v>1969</v>
      </c>
      <c r="G1861" s="1" t="s">
        <v>83</v>
      </c>
      <c r="H1861" s="1" t="s">
        <v>550</v>
      </c>
      <c r="I1861">
        <v>0</v>
      </c>
      <c r="J1861">
        <v>48242.0406</v>
      </c>
      <c r="K1861">
        <v>5.2399999999999999E-3</v>
      </c>
      <c r="L1861">
        <v>1.0529999999999999E-2</v>
      </c>
      <c r="M1861">
        <v>0.245</v>
      </c>
      <c r="N1861">
        <v>1.72E-2</v>
      </c>
      <c r="O1861">
        <v>1.0710000000000001E-2</v>
      </c>
      <c r="P1861" s="3">
        <f t="shared" si="116"/>
        <v>2072.8860438131787</v>
      </c>
      <c r="Q1861" s="3">
        <f t="shared" si="117"/>
        <v>5.237854900315142E-3</v>
      </c>
      <c r="R1861" s="3">
        <f t="shared" si="118"/>
        <v>1.0529999999999999E-2</v>
      </c>
      <c r="S1861">
        <f t="shared" si="119"/>
        <v>44</v>
      </c>
      <c r="T1861">
        <f>INDEX([1]IDEN_level_ids!$B:$B,MATCH(G1861,[1]IDEN_level_ids!$A:$A,0),1)</f>
        <v>1175</v>
      </c>
      <c r="U1861">
        <f>INDEX([1]IDEN_level_ids!$B:$B,MATCH(H1861,[1]IDEN_level_ids!$A:$A,0),1)</f>
        <v>997</v>
      </c>
    </row>
    <row r="1862" spans="1:21" hidden="1" x14ac:dyDescent="0.25">
      <c r="A1862">
        <v>48234.266000000003</v>
      </c>
      <c r="B1862">
        <v>2073.2148999999999</v>
      </c>
      <c r="C1862">
        <v>9</v>
      </c>
      <c r="D1862" t="s">
        <v>598</v>
      </c>
      <c r="F1862">
        <v>1969</v>
      </c>
      <c r="G1862" s="1" t="s">
        <v>180</v>
      </c>
      <c r="H1862" s="1" t="s">
        <v>524</v>
      </c>
      <c r="I1862">
        <v>0</v>
      </c>
      <c r="J1862">
        <v>48234.392099999997</v>
      </c>
      <c r="K1862">
        <v>5.4200000000000003E-3</v>
      </c>
      <c r="L1862">
        <v>1.0529999999999999E-2</v>
      </c>
      <c r="M1862">
        <v>0.245</v>
      </c>
      <c r="N1862">
        <v>2.98E-2</v>
      </c>
      <c r="O1862">
        <v>1.085E-2</v>
      </c>
      <c r="P1862" s="3">
        <f t="shared" si="116"/>
        <v>2073.214921524876</v>
      </c>
      <c r="Q1862" s="3">
        <f t="shared" si="117"/>
        <v>5.4200413896978716E-3</v>
      </c>
      <c r="R1862" s="3">
        <f t="shared" si="118"/>
        <v>1.0529999999999999E-2</v>
      </c>
      <c r="S1862">
        <f t="shared" si="119"/>
        <v>44</v>
      </c>
      <c r="T1862">
        <f>INDEX([1]IDEN_level_ids!$B:$B,MATCH(G1862,[1]IDEN_level_ids!$A:$A,0),1)</f>
        <v>1184</v>
      </c>
      <c r="U1862">
        <f>INDEX([1]IDEN_level_ids!$B:$B,MATCH(H1862,[1]IDEN_level_ids!$A:$A,0),1)</f>
        <v>998</v>
      </c>
    </row>
    <row r="1863" spans="1:21" hidden="1" x14ac:dyDescent="0.25">
      <c r="A1863">
        <v>48228.517399999997</v>
      </c>
      <c r="B1863">
        <v>2073.462</v>
      </c>
      <c r="C1863">
        <v>9</v>
      </c>
      <c r="D1863" t="s">
        <v>598</v>
      </c>
      <c r="F1863">
        <v>1969</v>
      </c>
      <c r="G1863" s="1" t="s">
        <v>209</v>
      </c>
      <c r="H1863" s="1" t="s">
        <v>467</v>
      </c>
      <c r="I1863">
        <v>0</v>
      </c>
      <c r="J1863">
        <v>48228.569600000003</v>
      </c>
      <c r="K1863">
        <v>2.2499999999999998E-3</v>
      </c>
      <c r="L1863">
        <v>1.0529999999999999E-2</v>
      </c>
      <c r="M1863">
        <v>0.245</v>
      </c>
      <c r="N1863">
        <v>1.2E-2</v>
      </c>
      <c r="O1863">
        <v>1.0659999999999999E-2</v>
      </c>
      <c r="P1863" s="3">
        <f t="shared" si="116"/>
        <v>2073.4620384577697</v>
      </c>
      <c r="Q1863" s="3">
        <f t="shared" si="117"/>
        <v>2.2442033700826869E-3</v>
      </c>
      <c r="R1863" s="3">
        <f t="shared" si="118"/>
        <v>1.0529999999999999E-2</v>
      </c>
      <c r="S1863">
        <f t="shared" si="119"/>
        <v>44</v>
      </c>
      <c r="T1863">
        <f>INDEX([1]IDEN_level_ids!$B:$B,MATCH(G1863,[1]IDEN_level_ids!$A:$A,0),1)</f>
        <v>1209</v>
      </c>
      <c r="U1863">
        <f>INDEX([1]IDEN_level_ids!$B:$B,MATCH(H1863,[1]IDEN_level_ids!$A:$A,0),1)</f>
        <v>1025</v>
      </c>
    </row>
    <row r="1864" spans="1:21" hidden="1" x14ac:dyDescent="0.25">
      <c r="A1864">
        <v>48222.077400000002</v>
      </c>
      <c r="B1864">
        <v>2073.7388999999998</v>
      </c>
      <c r="C1864">
        <v>9</v>
      </c>
      <c r="D1864" t="s">
        <v>598</v>
      </c>
      <c r="F1864">
        <v>1969</v>
      </c>
      <c r="G1864" s="1" t="s">
        <v>140</v>
      </c>
      <c r="H1864" s="1" t="s">
        <v>544</v>
      </c>
      <c r="I1864">
        <v>0</v>
      </c>
      <c r="J1864">
        <v>48222.218800000002</v>
      </c>
      <c r="K1864">
        <v>6.0800000000000003E-3</v>
      </c>
      <c r="L1864">
        <v>1.0540000000000001E-2</v>
      </c>
      <c r="M1864">
        <v>0.245</v>
      </c>
      <c r="N1864">
        <v>1.3899999999999999E-2</v>
      </c>
      <c r="O1864">
        <v>1.068E-2</v>
      </c>
      <c r="P1864" s="3">
        <f t="shared" si="116"/>
        <v>2073.7389468003298</v>
      </c>
      <c r="Q1864" s="3">
        <f t="shared" si="117"/>
        <v>6.0807381819358852E-3</v>
      </c>
      <c r="R1864" s="3">
        <f t="shared" si="118"/>
        <v>1.0540000000000001E-2</v>
      </c>
      <c r="S1864">
        <f t="shared" si="119"/>
        <v>44</v>
      </c>
      <c r="T1864">
        <f>INDEX([1]IDEN_level_ids!$B:$B,MATCH(G1864,[1]IDEN_level_ids!$A:$A,0),1)</f>
        <v>1198</v>
      </c>
      <c r="U1864">
        <f>INDEX([1]IDEN_level_ids!$B:$B,MATCH(H1864,[1]IDEN_level_ids!$A:$A,0),1)</f>
        <v>1011</v>
      </c>
    </row>
    <row r="1865" spans="1:21" hidden="1" x14ac:dyDescent="0.25">
      <c r="A1865">
        <v>48196.230300000003</v>
      </c>
      <c r="B1865">
        <v>2074.8510999999999</v>
      </c>
      <c r="C1865">
        <v>9</v>
      </c>
      <c r="D1865" t="s">
        <v>598</v>
      </c>
      <c r="F1865">
        <v>1969</v>
      </c>
      <c r="G1865" s="1" t="s">
        <v>216</v>
      </c>
      <c r="H1865" s="1" t="s">
        <v>555</v>
      </c>
      <c r="I1865">
        <v>0</v>
      </c>
      <c r="J1865">
        <v>48196.377699999997</v>
      </c>
      <c r="K1865">
        <v>6.3499999999999997E-3</v>
      </c>
      <c r="L1865">
        <v>1.055E-2</v>
      </c>
      <c r="M1865">
        <v>0.245</v>
      </c>
      <c r="N1865">
        <v>1.6E-2</v>
      </c>
      <c r="O1865">
        <v>1.072E-2</v>
      </c>
      <c r="P1865" s="3">
        <f t="shared" si="116"/>
        <v>2074.8510698356422</v>
      </c>
      <c r="Q1865" s="3">
        <f t="shared" si="117"/>
        <v>6.3455608551521436E-3</v>
      </c>
      <c r="R1865" s="3">
        <f t="shared" si="118"/>
        <v>1.055E-2</v>
      </c>
      <c r="S1865">
        <f t="shared" si="119"/>
        <v>44</v>
      </c>
      <c r="T1865">
        <f>INDEX([1]IDEN_level_ids!$B:$B,MATCH(G1865,[1]IDEN_level_ids!$A:$A,0),1)</f>
        <v>1170</v>
      </c>
      <c r="U1865">
        <f>INDEX([1]IDEN_level_ids!$B:$B,MATCH(H1865,[1]IDEN_level_ids!$A:$A,0),1)</f>
        <v>995</v>
      </c>
    </row>
    <row r="1866" spans="1:21" hidden="1" x14ac:dyDescent="0.25">
      <c r="A1866">
        <v>48175.426500000001</v>
      </c>
      <c r="B1866">
        <v>2075.7471</v>
      </c>
      <c r="C1866">
        <v>9</v>
      </c>
      <c r="D1866" t="s">
        <v>601</v>
      </c>
      <c r="F1866">
        <v>1969</v>
      </c>
      <c r="G1866" s="1" t="s">
        <v>118</v>
      </c>
      <c r="H1866" s="1" t="s">
        <v>413</v>
      </c>
      <c r="I1866">
        <v>4.7300000000000002E-2</v>
      </c>
      <c r="J1866">
        <v>48175.446600000003</v>
      </c>
      <c r="K1866">
        <v>8.7000000000000001E-4</v>
      </c>
      <c r="L1866">
        <v>1.056E-2</v>
      </c>
      <c r="M1866">
        <v>0.245</v>
      </c>
      <c r="N1866">
        <v>1.9900000000000001E-2</v>
      </c>
      <c r="O1866">
        <v>1.077E-2</v>
      </c>
      <c r="P1866" s="3">
        <f t="shared" si="116"/>
        <v>2075.7470616269479</v>
      </c>
      <c r="Q1866" s="3">
        <f t="shared" si="117"/>
        <v>8.6605353726554313E-4</v>
      </c>
      <c r="R1866" s="3">
        <f t="shared" si="118"/>
        <v>1.056E-2</v>
      </c>
      <c r="S1866">
        <f t="shared" si="119"/>
        <v>45</v>
      </c>
      <c r="T1866">
        <f>INDEX([1]IDEN_level_ids!$B:$B,MATCH(G1866,[1]IDEN_level_ids!$A:$A,0),1)</f>
        <v>1237</v>
      </c>
      <c r="U1866">
        <f>INDEX([1]IDEN_level_ids!$B:$B,MATCH(H1866,[1]IDEN_level_ids!$A:$A,0),1)</f>
        <v>1071</v>
      </c>
    </row>
    <row r="1867" spans="1:21" hidden="1" x14ac:dyDescent="0.25">
      <c r="A1867">
        <v>48161.248899999999</v>
      </c>
      <c r="B1867">
        <v>2076.3580999999999</v>
      </c>
      <c r="C1867">
        <v>9</v>
      </c>
      <c r="D1867" t="s">
        <v>601</v>
      </c>
      <c r="F1867">
        <v>1969</v>
      </c>
      <c r="G1867" s="1" t="s">
        <v>297</v>
      </c>
      <c r="H1867" s="1" t="s">
        <v>367</v>
      </c>
      <c r="I1867">
        <v>0</v>
      </c>
      <c r="J1867">
        <v>48161.375599999999</v>
      </c>
      <c r="K1867">
        <v>5.4599999999999996E-3</v>
      </c>
      <c r="L1867">
        <v>1.056E-2</v>
      </c>
      <c r="M1867">
        <v>0.245</v>
      </c>
      <c r="N1867">
        <v>9.2600000000000002E-2</v>
      </c>
      <c r="O1867">
        <v>1.1639999999999999E-2</v>
      </c>
      <c r="P1867" s="3">
        <f t="shared" si="116"/>
        <v>2076.35811537271</v>
      </c>
      <c r="Q1867" s="3">
        <f t="shared" si="117"/>
        <v>5.4623558803541528E-3</v>
      </c>
      <c r="R1867" s="3">
        <f t="shared" si="118"/>
        <v>1.056E-2</v>
      </c>
      <c r="S1867">
        <f t="shared" si="119"/>
        <v>45</v>
      </c>
      <c r="T1867">
        <f>INDEX([1]IDEN_level_ids!$B:$B,MATCH(G1867,[1]IDEN_level_ids!$A:$A,0),1)</f>
        <v>1099</v>
      </c>
      <c r="U1867">
        <f>INDEX([1]IDEN_level_ids!$B:$B,MATCH(H1867,[1]IDEN_level_ids!$A:$A,0),1)</f>
        <v>907</v>
      </c>
    </row>
    <row r="1868" spans="1:21" hidden="1" x14ac:dyDescent="0.25">
      <c r="A1868">
        <v>48157.84</v>
      </c>
      <c r="B1868">
        <v>2076.5050999999999</v>
      </c>
      <c r="C1868">
        <v>9</v>
      </c>
      <c r="D1868" t="s">
        <v>601</v>
      </c>
      <c r="F1868">
        <v>1969</v>
      </c>
      <c r="G1868" s="1" t="s">
        <v>271</v>
      </c>
      <c r="H1868" s="1" t="s">
        <v>538</v>
      </c>
      <c r="I1868">
        <v>0</v>
      </c>
      <c r="J1868">
        <v>48157.947899999999</v>
      </c>
      <c r="K1868">
        <v>4.6499999999999996E-3</v>
      </c>
      <c r="L1868">
        <v>1.056E-2</v>
      </c>
      <c r="M1868">
        <v>0.245</v>
      </c>
      <c r="N1868">
        <v>1.5800000000000002E-2</v>
      </c>
      <c r="O1868">
        <v>1.073E-2</v>
      </c>
      <c r="P1868" s="3">
        <f t="shared" si="116"/>
        <v>2076.5050924210886</v>
      </c>
      <c r="Q1868" s="3">
        <f t="shared" si="117"/>
        <v>4.6525009729521116E-3</v>
      </c>
      <c r="R1868" s="3">
        <f t="shared" si="118"/>
        <v>1.056E-2</v>
      </c>
      <c r="S1868">
        <f t="shared" si="119"/>
        <v>45</v>
      </c>
      <c r="T1868">
        <f>INDEX([1]IDEN_level_ids!$B:$B,MATCH(G1868,[1]IDEN_level_ids!$A:$A,0),1)</f>
        <v>1158</v>
      </c>
      <c r="U1868">
        <f>INDEX([1]IDEN_level_ids!$B:$B,MATCH(H1868,[1]IDEN_level_ids!$A:$A,0),1)</f>
        <v>978</v>
      </c>
    </row>
    <row r="1869" spans="1:21" hidden="1" x14ac:dyDescent="0.25">
      <c r="A1869">
        <v>48150.0484</v>
      </c>
      <c r="B1869">
        <v>2076.8411000000001</v>
      </c>
      <c r="C1869">
        <v>9</v>
      </c>
      <c r="D1869" t="s">
        <v>601</v>
      </c>
      <c r="F1869">
        <v>1969</v>
      </c>
      <c r="G1869" s="1" t="s">
        <v>194</v>
      </c>
      <c r="H1869" s="1" t="s">
        <v>578</v>
      </c>
      <c r="I1869">
        <v>0.18779999999999999</v>
      </c>
      <c r="J1869">
        <v>48150.061199999996</v>
      </c>
      <c r="K1869">
        <v>5.5999999999999995E-4</v>
      </c>
      <c r="L1869">
        <v>1.057E-2</v>
      </c>
      <c r="M1869">
        <v>0.245</v>
      </c>
      <c r="N1869">
        <v>1.2200000000000001E-2</v>
      </c>
      <c r="O1869">
        <v>1.0699999999999999E-2</v>
      </c>
      <c r="P1869" s="3">
        <f t="shared" si="116"/>
        <v>2076.8411107142315</v>
      </c>
      <c r="Q1869" s="3">
        <f t="shared" si="117"/>
        <v>5.5209828497027047E-4</v>
      </c>
      <c r="R1869" s="3">
        <f t="shared" si="118"/>
        <v>1.057E-2</v>
      </c>
      <c r="S1869">
        <f t="shared" si="119"/>
        <v>45</v>
      </c>
      <c r="T1869">
        <f>INDEX([1]IDEN_level_ids!$B:$B,MATCH(G1869,[1]IDEN_level_ids!$A:$A,0),1)</f>
        <v>1187</v>
      </c>
      <c r="U1869">
        <f>INDEX([1]IDEN_level_ids!$B:$B,MATCH(H1869,[1]IDEN_level_ids!$A:$A,0),1)</f>
        <v>1003</v>
      </c>
    </row>
    <row r="1870" spans="1:21" hidden="1" x14ac:dyDescent="0.25">
      <c r="A1870">
        <v>48138.556600000004</v>
      </c>
      <c r="B1870">
        <v>2077.3368999999998</v>
      </c>
      <c r="C1870">
        <v>9</v>
      </c>
      <c r="D1870" t="s">
        <v>601</v>
      </c>
      <c r="F1870">
        <v>1969</v>
      </c>
      <c r="G1870" s="1" t="s">
        <v>243</v>
      </c>
      <c r="H1870" s="1" t="s">
        <v>585</v>
      </c>
      <c r="I1870">
        <v>0</v>
      </c>
      <c r="J1870">
        <v>48138.677300000003</v>
      </c>
      <c r="K1870">
        <v>5.2100000000000002E-3</v>
      </c>
      <c r="L1870">
        <v>1.057E-2</v>
      </c>
      <c r="M1870">
        <v>0.245</v>
      </c>
      <c r="N1870">
        <v>1.29E-2</v>
      </c>
      <c r="O1870">
        <v>1.0710000000000001E-2</v>
      </c>
      <c r="P1870" s="3">
        <f t="shared" si="116"/>
        <v>2077.336901289641</v>
      </c>
      <c r="Q1870" s="3">
        <f t="shared" si="117"/>
        <v>5.2085885622545902E-3</v>
      </c>
      <c r="R1870" s="3">
        <f t="shared" si="118"/>
        <v>1.057E-2</v>
      </c>
      <c r="S1870">
        <f t="shared" si="119"/>
        <v>45</v>
      </c>
      <c r="T1870">
        <f>INDEX([1]IDEN_level_ids!$B:$B,MATCH(G1870,[1]IDEN_level_ids!$A:$A,0),1)</f>
        <v>1205</v>
      </c>
      <c r="U1870">
        <f>INDEX([1]IDEN_level_ids!$B:$B,MATCH(H1870,[1]IDEN_level_ids!$A:$A,0),1)</f>
        <v>1019</v>
      </c>
    </row>
    <row r="1871" spans="1:21" hidden="1" x14ac:dyDescent="0.25">
      <c r="A1871">
        <v>48135.934099999999</v>
      </c>
      <c r="B1871">
        <v>2077.4501</v>
      </c>
      <c r="C1871">
        <v>9</v>
      </c>
      <c r="D1871" t="s">
        <v>601</v>
      </c>
      <c r="F1871">
        <v>1969</v>
      </c>
      <c r="G1871" s="1" t="s">
        <v>38</v>
      </c>
      <c r="H1871" s="1" t="s">
        <v>570</v>
      </c>
      <c r="I1871">
        <v>0</v>
      </c>
      <c r="J1871">
        <v>48136.116999999998</v>
      </c>
      <c r="K1871">
        <v>7.8899999999999994E-3</v>
      </c>
      <c r="L1871">
        <v>1.057E-2</v>
      </c>
      <c r="M1871">
        <v>0.245</v>
      </c>
      <c r="N1871">
        <v>1.29E-2</v>
      </c>
      <c r="O1871">
        <v>1.0710000000000001E-2</v>
      </c>
      <c r="P1871" s="3">
        <f t="shared" si="116"/>
        <v>2077.4500769478159</v>
      </c>
      <c r="Q1871" s="3">
        <f t="shared" si="117"/>
        <v>7.8935660526440188E-3</v>
      </c>
      <c r="R1871" s="3">
        <f t="shared" si="118"/>
        <v>1.057E-2</v>
      </c>
      <c r="S1871">
        <f t="shared" si="119"/>
        <v>45</v>
      </c>
      <c r="T1871">
        <f>INDEX([1]IDEN_level_ids!$B:$B,MATCH(G1871,[1]IDEN_level_ids!$A:$A,0),1)</f>
        <v>1201</v>
      </c>
      <c r="U1871">
        <f>INDEX([1]IDEN_level_ids!$B:$B,MATCH(H1871,[1]IDEN_level_ids!$A:$A,0),1)</f>
        <v>1015</v>
      </c>
    </row>
    <row r="1872" spans="1:21" hidden="1" x14ac:dyDescent="0.25">
      <c r="A1872">
        <v>48133.7601</v>
      </c>
      <c r="B1872">
        <v>2077.5439000000001</v>
      </c>
      <c r="C1872">
        <v>9</v>
      </c>
      <c r="D1872" t="s">
        <v>601</v>
      </c>
      <c r="F1872">
        <v>1969</v>
      </c>
      <c r="G1872" s="1" t="s">
        <v>197</v>
      </c>
      <c r="H1872" s="1" t="s">
        <v>580</v>
      </c>
      <c r="I1872">
        <v>0.15179999999999999</v>
      </c>
      <c r="J1872">
        <v>48133.8675</v>
      </c>
      <c r="K1872">
        <v>4.64E-3</v>
      </c>
      <c r="L1872">
        <v>1.057E-2</v>
      </c>
      <c r="M1872">
        <v>0.245</v>
      </c>
      <c r="N1872">
        <v>1.1299999999999999E-2</v>
      </c>
      <c r="O1872">
        <v>1.069E-2</v>
      </c>
      <c r="P1872" s="3">
        <f t="shared" si="116"/>
        <v>2077.5439066519134</v>
      </c>
      <c r="Q1872" s="3">
        <f t="shared" si="117"/>
        <v>4.6355763033716357E-3</v>
      </c>
      <c r="R1872" s="3">
        <f t="shared" si="118"/>
        <v>1.057E-2</v>
      </c>
      <c r="S1872">
        <f t="shared" si="119"/>
        <v>45</v>
      </c>
      <c r="T1872">
        <f>INDEX([1]IDEN_level_ids!$B:$B,MATCH(G1872,[1]IDEN_level_ids!$A:$A,0),1)</f>
        <v>1182</v>
      </c>
      <c r="U1872">
        <f>INDEX([1]IDEN_level_ids!$B:$B,MATCH(H1872,[1]IDEN_level_ids!$A:$A,0),1)</f>
        <v>1001</v>
      </c>
    </row>
    <row r="1873" spans="1:21" hidden="1" x14ac:dyDescent="0.25">
      <c r="A1873">
        <v>48113.330300000001</v>
      </c>
      <c r="B1873">
        <v>2078.4261000000001</v>
      </c>
      <c r="C1873">
        <v>9</v>
      </c>
      <c r="D1873" t="s">
        <v>601</v>
      </c>
      <c r="F1873">
        <v>1969</v>
      </c>
      <c r="G1873" s="1" t="s">
        <v>550</v>
      </c>
      <c r="H1873" s="1" t="s">
        <v>530</v>
      </c>
      <c r="I1873">
        <v>0</v>
      </c>
      <c r="J1873">
        <v>48113.466</v>
      </c>
      <c r="K1873">
        <v>5.8599999999999998E-3</v>
      </c>
      <c r="L1873">
        <v>1.0580000000000001E-2</v>
      </c>
      <c r="M1873">
        <v>0.245</v>
      </c>
      <c r="N1873">
        <v>0.26650000000000001</v>
      </c>
      <c r="O1873">
        <v>1.443E-2</v>
      </c>
      <c r="P1873" s="3">
        <f t="shared" si="116"/>
        <v>2078.4260697913069</v>
      </c>
      <c r="Q1873" s="3">
        <f t="shared" si="117"/>
        <v>5.8620266031539359E-3</v>
      </c>
      <c r="R1873" s="3">
        <f t="shared" si="118"/>
        <v>1.0580000000000001E-2</v>
      </c>
      <c r="S1873">
        <f t="shared" si="119"/>
        <v>45</v>
      </c>
      <c r="T1873">
        <f>INDEX([1]IDEN_level_ids!$B:$B,MATCH(G1873,[1]IDEN_level_ids!$A:$A,0),1)</f>
        <v>997</v>
      </c>
      <c r="U1873">
        <f>INDEX([1]IDEN_level_ids!$B:$B,MATCH(H1873,[1]IDEN_level_ids!$A:$A,0),1)</f>
        <v>649</v>
      </c>
    </row>
    <row r="1874" spans="1:21" hidden="1" x14ac:dyDescent="0.25">
      <c r="A1874">
        <v>48111.874900000003</v>
      </c>
      <c r="B1874">
        <v>2078.4888999999998</v>
      </c>
      <c r="C1874">
        <v>9</v>
      </c>
      <c r="D1874" t="s">
        <v>601</v>
      </c>
      <c r="F1874">
        <v>1969</v>
      </c>
      <c r="G1874" s="1" t="s">
        <v>100</v>
      </c>
      <c r="H1874" s="1" t="s">
        <v>493</v>
      </c>
      <c r="I1874">
        <v>0.1031</v>
      </c>
      <c r="J1874">
        <v>48111.945200000002</v>
      </c>
      <c r="K1874">
        <v>3.0400000000000002E-3</v>
      </c>
      <c r="L1874">
        <v>1.0580000000000001E-2</v>
      </c>
      <c r="M1874">
        <v>0.245</v>
      </c>
      <c r="N1874">
        <v>1.7399999999999999E-2</v>
      </c>
      <c r="O1874">
        <v>1.077E-2</v>
      </c>
      <c r="P1874" s="3">
        <f t="shared" si="116"/>
        <v>2078.4889428617962</v>
      </c>
      <c r="Q1874" s="3">
        <f t="shared" si="117"/>
        <v>3.0370373110599758E-3</v>
      </c>
      <c r="R1874" s="3">
        <f t="shared" si="118"/>
        <v>1.0580000000000001E-2</v>
      </c>
      <c r="S1874">
        <f t="shared" si="119"/>
        <v>45</v>
      </c>
      <c r="T1874">
        <f>INDEX([1]IDEN_level_ids!$B:$B,MATCH(G1874,[1]IDEN_level_ids!$A:$A,0),1)</f>
        <v>1146</v>
      </c>
      <c r="U1874">
        <f>INDEX([1]IDEN_level_ids!$B:$B,MATCH(H1874,[1]IDEN_level_ids!$A:$A,0),1)</f>
        <v>963</v>
      </c>
    </row>
    <row r="1875" spans="1:21" hidden="1" x14ac:dyDescent="0.25">
      <c r="A1875">
        <v>48099.5861</v>
      </c>
      <c r="B1875">
        <v>2079.02</v>
      </c>
      <c r="C1875">
        <v>9</v>
      </c>
      <c r="D1875" t="s">
        <v>601</v>
      </c>
      <c r="F1875">
        <v>1969</v>
      </c>
      <c r="G1875" s="1" t="s">
        <v>53</v>
      </c>
      <c r="H1875" s="1" t="s">
        <v>431</v>
      </c>
      <c r="I1875">
        <v>0.21</v>
      </c>
      <c r="J1875">
        <v>48099.626799999998</v>
      </c>
      <c r="K1875">
        <v>1.7600000000000001E-3</v>
      </c>
      <c r="L1875">
        <v>1.059E-2</v>
      </c>
      <c r="M1875">
        <v>0.245</v>
      </c>
      <c r="N1875">
        <v>1.5699999999999999E-2</v>
      </c>
      <c r="O1875">
        <v>1.076E-2</v>
      </c>
      <c r="P1875" s="3">
        <f t="shared" si="116"/>
        <v>2079.0199689473002</v>
      </c>
      <c r="Q1875" s="3">
        <f t="shared" si="117"/>
        <v>1.7591843920854444E-3</v>
      </c>
      <c r="R1875" s="3">
        <f t="shared" si="118"/>
        <v>1.059E-2</v>
      </c>
      <c r="S1875">
        <f t="shared" si="119"/>
        <v>45</v>
      </c>
      <c r="T1875">
        <f>INDEX([1]IDEN_level_ids!$B:$B,MATCH(G1875,[1]IDEN_level_ids!$A:$A,0),1)</f>
        <v>1231</v>
      </c>
      <c r="U1875">
        <f>INDEX([1]IDEN_level_ids!$B:$B,MATCH(H1875,[1]IDEN_level_ids!$A:$A,0),1)</f>
        <v>1062</v>
      </c>
    </row>
    <row r="1876" spans="1:21" hidden="1" x14ac:dyDescent="0.25">
      <c r="A1876">
        <v>48089.844799999999</v>
      </c>
      <c r="B1876">
        <v>2079.4411</v>
      </c>
      <c r="C1876">
        <v>9</v>
      </c>
      <c r="D1876" t="s">
        <v>601</v>
      </c>
      <c r="F1876">
        <v>1969</v>
      </c>
      <c r="G1876" s="1" t="s">
        <v>49</v>
      </c>
      <c r="H1876" s="1" t="s">
        <v>552</v>
      </c>
      <c r="I1876">
        <v>0</v>
      </c>
      <c r="J1876">
        <v>48089.916299999997</v>
      </c>
      <c r="K1876">
        <v>3.0899999999999999E-3</v>
      </c>
      <c r="L1876">
        <v>1.059E-2</v>
      </c>
      <c r="M1876">
        <v>0.245</v>
      </c>
      <c r="N1876">
        <v>1.43E-2</v>
      </c>
      <c r="O1876">
        <v>1.0749999999999999E-2</v>
      </c>
      <c r="P1876" s="3">
        <f t="shared" si="116"/>
        <v>2079.4411047880944</v>
      </c>
      <c r="Q1876" s="3">
        <f t="shared" si="117"/>
        <v>3.0917092485651665E-3</v>
      </c>
      <c r="R1876" s="3">
        <f t="shared" si="118"/>
        <v>1.059E-2</v>
      </c>
      <c r="S1876">
        <f t="shared" si="119"/>
        <v>45</v>
      </c>
      <c r="T1876">
        <f>INDEX([1]IDEN_level_ids!$B:$B,MATCH(G1876,[1]IDEN_level_ids!$A:$A,0),1)</f>
        <v>1214</v>
      </c>
      <c r="U1876">
        <f>INDEX([1]IDEN_level_ids!$B:$B,MATCH(H1876,[1]IDEN_level_ids!$A:$A,0),1)</f>
        <v>1040</v>
      </c>
    </row>
    <row r="1877" spans="1:21" hidden="1" x14ac:dyDescent="0.25">
      <c r="A1877">
        <v>48088.554600000003</v>
      </c>
      <c r="B1877">
        <v>2079.4969000000001</v>
      </c>
      <c r="C1877">
        <v>9</v>
      </c>
      <c r="D1877" t="s">
        <v>601</v>
      </c>
      <c r="F1877">
        <v>1969</v>
      </c>
      <c r="G1877" s="1" t="s">
        <v>86</v>
      </c>
      <c r="H1877" s="1" t="s">
        <v>520</v>
      </c>
      <c r="I1877">
        <v>0.22689999999999999</v>
      </c>
      <c r="J1877">
        <v>48088.593699999998</v>
      </c>
      <c r="K1877">
        <v>1.6900000000000001E-3</v>
      </c>
      <c r="L1877">
        <v>1.059E-2</v>
      </c>
      <c r="M1877">
        <v>0.245</v>
      </c>
      <c r="N1877">
        <v>1.54E-2</v>
      </c>
      <c r="O1877">
        <v>1.076E-2</v>
      </c>
      <c r="P1877" s="3">
        <f t="shared" si="116"/>
        <v>2079.4968955045283</v>
      </c>
      <c r="Q1877" s="3">
        <f t="shared" si="117"/>
        <v>1.6908027946556103E-3</v>
      </c>
      <c r="R1877" s="3">
        <f t="shared" si="118"/>
        <v>1.059E-2</v>
      </c>
      <c r="S1877">
        <f t="shared" si="119"/>
        <v>45</v>
      </c>
      <c r="T1877">
        <f>INDEX([1]IDEN_level_ids!$B:$B,MATCH(G1877,[1]IDEN_level_ids!$A:$A,0),1)</f>
        <v>1183</v>
      </c>
      <c r="U1877">
        <f>INDEX([1]IDEN_level_ids!$B:$B,MATCH(H1877,[1]IDEN_level_ids!$A:$A,0),1)</f>
        <v>1002</v>
      </c>
    </row>
    <row r="1878" spans="1:21" hidden="1" x14ac:dyDescent="0.25">
      <c r="A1878">
        <v>48070.449399999998</v>
      </c>
      <c r="B1878">
        <v>2080.2800999999999</v>
      </c>
      <c r="C1878">
        <v>9</v>
      </c>
      <c r="D1878" t="s">
        <v>601</v>
      </c>
      <c r="F1878">
        <v>1969</v>
      </c>
      <c r="G1878" s="1" t="s">
        <v>77</v>
      </c>
      <c r="H1878" s="1" t="s">
        <v>551</v>
      </c>
      <c r="I1878">
        <v>0</v>
      </c>
      <c r="J1878">
        <v>48070.521699999998</v>
      </c>
      <c r="K1878">
        <v>3.13E-3</v>
      </c>
      <c r="L1878">
        <v>1.06E-2</v>
      </c>
      <c r="M1878">
        <v>0.245</v>
      </c>
      <c r="N1878">
        <v>0.15770000000000001</v>
      </c>
      <c r="O1878">
        <v>1.259E-2</v>
      </c>
      <c r="P1878" s="3">
        <f t="shared" si="116"/>
        <v>2080.2801148765629</v>
      </c>
      <c r="Q1878" s="3">
        <f t="shared" si="117"/>
        <v>3.1288250465877354E-3</v>
      </c>
      <c r="R1878" s="3">
        <f t="shared" si="118"/>
        <v>1.06E-2</v>
      </c>
      <c r="S1878">
        <f t="shared" si="119"/>
        <v>45</v>
      </c>
      <c r="T1878">
        <f>INDEX([1]IDEN_level_ids!$B:$B,MATCH(G1878,[1]IDEN_level_ids!$A:$A,0),1)</f>
        <v>1197</v>
      </c>
      <c r="U1878">
        <f>INDEX([1]IDEN_level_ids!$B:$B,MATCH(H1878,[1]IDEN_level_ids!$A:$A,0),1)</f>
        <v>1013</v>
      </c>
    </row>
    <row r="1879" spans="1:21" hidden="1" x14ac:dyDescent="0.25">
      <c r="A1879">
        <v>48035.629300000001</v>
      </c>
      <c r="B1879">
        <v>2081.7881000000002</v>
      </c>
      <c r="C1879">
        <v>9</v>
      </c>
      <c r="D1879" t="s">
        <v>601</v>
      </c>
      <c r="F1879">
        <v>1969</v>
      </c>
      <c r="G1879" s="1" t="s">
        <v>271</v>
      </c>
      <c r="H1879" s="1" t="s">
        <v>554</v>
      </c>
      <c r="I1879">
        <v>0</v>
      </c>
      <c r="J1879">
        <v>48035.712399999997</v>
      </c>
      <c r="K1879">
        <v>3.5999999999999999E-3</v>
      </c>
      <c r="L1879">
        <v>1.0619999999999999E-2</v>
      </c>
      <c r="M1879">
        <v>0.245</v>
      </c>
      <c r="N1879">
        <v>1.6E-2</v>
      </c>
      <c r="O1879">
        <v>1.0789999999999999E-2</v>
      </c>
      <c r="P1879" s="3">
        <f t="shared" si="116"/>
        <v>2081.7880697567962</v>
      </c>
      <c r="Q1879" s="3">
        <f t="shared" si="117"/>
        <v>3.6014161119055643E-3</v>
      </c>
      <c r="R1879" s="3">
        <f t="shared" si="118"/>
        <v>1.0619999999999999E-2</v>
      </c>
      <c r="S1879">
        <f t="shared" si="119"/>
        <v>45</v>
      </c>
      <c r="T1879">
        <f>INDEX([1]IDEN_level_ids!$B:$B,MATCH(G1879,[1]IDEN_level_ids!$A:$A,0),1)</f>
        <v>1158</v>
      </c>
      <c r="U1879">
        <f>INDEX([1]IDEN_level_ids!$B:$B,MATCH(H1879,[1]IDEN_level_ids!$A:$A,0),1)</f>
        <v>982</v>
      </c>
    </row>
    <row r="1880" spans="1:21" hidden="1" x14ac:dyDescent="0.25">
      <c r="A1880">
        <v>48012.062599999997</v>
      </c>
      <c r="B1880">
        <v>2082.8099000000002</v>
      </c>
      <c r="C1880">
        <v>9</v>
      </c>
      <c r="D1880" t="s">
        <v>601</v>
      </c>
      <c r="F1880">
        <v>1969</v>
      </c>
      <c r="G1880" s="1" t="s">
        <v>193</v>
      </c>
      <c r="H1880" s="1" t="s">
        <v>570</v>
      </c>
      <c r="I1880">
        <v>0</v>
      </c>
      <c r="J1880">
        <v>48012.188099999999</v>
      </c>
      <c r="K1880">
        <v>5.4400000000000004E-3</v>
      </c>
      <c r="L1880">
        <v>1.0630000000000001E-2</v>
      </c>
      <c r="M1880">
        <v>0.245</v>
      </c>
      <c r="N1880">
        <v>1.5599999999999999E-2</v>
      </c>
      <c r="O1880">
        <v>1.0800000000000001E-2</v>
      </c>
      <c r="P1880" s="3">
        <f t="shared" si="116"/>
        <v>2082.8099145234391</v>
      </c>
      <c r="Q1880" s="3">
        <f t="shared" si="117"/>
        <v>5.4442976797872689E-3</v>
      </c>
      <c r="R1880" s="3">
        <f t="shared" si="118"/>
        <v>1.0630000000000001E-2</v>
      </c>
      <c r="S1880">
        <f t="shared" si="119"/>
        <v>45</v>
      </c>
      <c r="T1880">
        <f>INDEX([1]IDEN_level_ids!$B:$B,MATCH(G1880,[1]IDEN_level_ids!$A:$A,0),1)</f>
        <v>1202</v>
      </c>
      <c r="U1880">
        <f>INDEX([1]IDEN_level_ids!$B:$B,MATCH(H1880,[1]IDEN_level_ids!$A:$A,0),1)</f>
        <v>1015</v>
      </c>
    </row>
    <row r="1881" spans="1:21" hidden="1" x14ac:dyDescent="0.25">
      <c r="A1881">
        <v>48004.8442</v>
      </c>
      <c r="B1881">
        <v>2083.1230999999998</v>
      </c>
      <c r="C1881">
        <v>9</v>
      </c>
      <c r="D1881" t="s">
        <v>601</v>
      </c>
      <c r="F1881">
        <v>1969</v>
      </c>
      <c r="G1881" s="1" t="s">
        <v>24</v>
      </c>
      <c r="H1881" s="1" t="s">
        <v>446</v>
      </c>
      <c r="I1881">
        <v>0.23219999999999999</v>
      </c>
      <c r="J1881">
        <v>48004.897199999999</v>
      </c>
      <c r="K1881">
        <v>2.3E-3</v>
      </c>
      <c r="L1881">
        <v>1.0630000000000001E-2</v>
      </c>
      <c r="M1881">
        <v>0.245</v>
      </c>
      <c r="N1881">
        <v>2.5999999999999999E-2</v>
      </c>
      <c r="O1881">
        <v>1.0919999999999999E-2</v>
      </c>
      <c r="P1881" s="3">
        <f t="shared" si="116"/>
        <v>2083.1231028138614</v>
      </c>
      <c r="Q1881" s="3">
        <f t="shared" si="117"/>
        <v>2.2998804474809731E-3</v>
      </c>
      <c r="R1881" s="3">
        <f t="shared" si="118"/>
        <v>1.0630000000000001E-2</v>
      </c>
      <c r="S1881">
        <f t="shared" si="119"/>
        <v>45</v>
      </c>
      <c r="T1881">
        <f>INDEX([1]IDEN_level_ids!$B:$B,MATCH(G1881,[1]IDEN_level_ids!$A:$A,0),1)</f>
        <v>1241</v>
      </c>
      <c r="U1881">
        <f>INDEX([1]IDEN_level_ids!$B:$B,MATCH(H1881,[1]IDEN_level_ids!$A:$A,0),1)</f>
        <v>1079</v>
      </c>
    </row>
    <row r="1882" spans="1:21" hidden="1" x14ac:dyDescent="0.25">
      <c r="A1882">
        <v>47998.188199999997</v>
      </c>
      <c r="B1882">
        <v>2083.4119999999998</v>
      </c>
      <c r="C1882">
        <v>9</v>
      </c>
      <c r="D1882" t="s">
        <v>601</v>
      </c>
      <c r="F1882">
        <v>1969</v>
      </c>
      <c r="G1882" s="1" t="s">
        <v>94</v>
      </c>
      <c r="H1882" s="1" t="s">
        <v>452</v>
      </c>
      <c r="I1882">
        <v>0.18779999999999999</v>
      </c>
      <c r="J1882">
        <v>47998.225100000003</v>
      </c>
      <c r="K1882">
        <v>1.6000000000000001E-3</v>
      </c>
      <c r="L1882">
        <v>1.0630000000000001E-2</v>
      </c>
      <c r="M1882">
        <v>0.245</v>
      </c>
      <c r="N1882">
        <v>1.43E-2</v>
      </c>
      <c r="O1882">
        <v>1.0789999999999999E-2</v>
      </c>
      <c r="P1882" s="3">
        <f t="shared" si="116"/>
        <v>2083.4119734544483</v>
      </c>
      <c r="Q1882" s="3">
        <f t="shared" si="117"/>
        <v>1.6016821805351356E-3</v>
      </c>
      <c r="R1882" s="3">
        <f t="shared" si="118"/>
        <v>1.0630000000000001E-2</v>
      </c>
      <c r="S1882">
        <f t="shared" si="119"/>
        <v>45</v>
      </c>
      <c r="T1882">
        <f>INDEX([1]IDEN_level_ids!$B:$B,MATCH(G1882,[1]IDEN_level_ids!$A:$A,0),1)</f>
        <v>1207</v>
      </c>
      <c r="U1882">
        <f>INDEX([1]IDEN_level_ids!$B:$B,MATCH(H1882,[1]IDEN_level_ids!$A:$A,0),1)</f>
        <v>1033</v>
      </c>
    </row>
    <row r="1883" spans="1:21" hidden="1" x14ac:dyDescent="0.25">
      <c r="A1883">
        <v>47996.069799999997</v>
      </c>
      <c r="B1883">
        <v>2083.5039000000002</v>
      </c>
      <c r="C1883">
        <v>9</v>
      </c>
      <c r="D1883" t="s">
        <v>601</v>
      </c>
      <c r="F1883">
        <v>1969</v>
      </c>
      <c r="G1883" s="1" t="s">
        <v>73</v>
      </c>
      <c r="H1883" s="1" t="s">
        <v>550</v>
      </c>
      <c r="I1883">
        <v>0</v>
      </c>
      <c r="J1883">
        <v>47996.146999999997</v>
      </c>
      <c r="K1883">
        <v>3.3500000000000001E-3</v>
      </c>
      <c r="L1883">
        <v>1.0630000000000001E-2</v>
      </c>
      <c r="M1883">
        <v>0.245</v>
      </c>
      <c r="N1883">
        <v>1.9400000000000001E-2</v>
      </c>
      <c r="O1883">
        <v>1.085E-2</v>
      </c>
      <c r="P1883" s="3">
        <f t="shared" si="116"/>
        <v>2083.5039288987782</v>
      </c>
      <c r="Q1883" s="3">
        <f t="shared" si="117"/>
        <v>3.3512378254272335E-3</v>
      </c>
      <c r="R1883" s="3">
        <f t="shared" si="118"/>
        <v>1.0630000000000001E-2</v>
      </c>
      <c r="S1883">
        <f t="shared" si="119"/>
        <v>45</v>
      </c>
      <c r="T1883">
        <f>INDEX([1]IDEN_level_ids!$B:$B,MATCH(G1883,[1]IDEN_level_ids!$A:$A,0),1)</f>
        <v>1173</v>
      </c>
      <c r="U1883">
        <f>INDEX([1]IDEN_level_ids!$B:$B,MATCH(H1883,[1]IDEN_level_ids!$A:$A,0),1)</f>
        <v>997</v>
      </c>
    </row>
    <row r="1884" spans="1:21" hidden="1" x14ac:dyDescent="0.25">
      <c r="A1884">
        <v>47976.724199999997</v>
      </c>
      <c r="B1884">
        <v>2084.3440999999998</v>
      </c>
      <c r="C1884">
        <v>9</v>
      </c>
      <c r="D1884" t="s">
        <v>601</v>
      </c>
      <c r="F1884">
        <v>1969</v>
      </c>
      <c r="G1884" s="1" t="s">
        <v>41</v>
      </c>
      <c r="H1884" s="1" t="s">
        <v>518</v>
      </c>
      <c r="I1884">
        <v>0</v>
      </c>
      <c r="J1884">
        <v>47976.852099999996</v>
      </c>
      <c r="K1884">
        <v>5.5500000000000002E-3</v>
      </c>
      <c r="L1884">
        <v>1.064E-2</v>
      </c>
      <c r="M1884">
        <v>0.245</v>
      </c>
      <c r="N1884">
        <v>1.8800000000000001E-2</v>
      </c>
      <c r="O1884">
        <v>1.085E-2</v>
      </c>
      <c r="P1884" s="3">
        <f t="shared" si="116"/>
        <v>2084.3440578212717</v>
      </c>
      <c r="Q1884" s="3">
        <f t="shared" si="117"/>
        <v>5.5565880902577192E-3</v>
      </c>
      <c r="R1884" s="3">
        <f t="shared" si="118"/>
        <v>1.064E-2</v>
      </c>
      <c r="S1884">
        <f t="shared" si="119"/>
        <v>45</v>
      </c>
      <c r="T1884">
        <f>INDEX([1]IDEN_level_ids!$B:$B,MATCH(G1884,[1]IDEN_level_ids!$A:$A,0),1)</f>
        <v>1238</v>
      </c>
      <c r="U1884">
        <f>INDEX([1]IDEN_level_ids!$B:$B,MATCH(H1884,[1]IDEN_level_ids!$A:$A,0),1)</f>
        <v>1074</v>
      </c>
    </row>
    <row r="1885" spans="1:21" hidden="1" x14ac:dyDescent="0.25">
      <c r="A1885">
        <v>47955.974000000002</v>
      </c>
      <c r="B1885">
        <v>2085.2458999999999</v>
      </c>
      <c r="C1885">
        <v>9</v>
      </c>
      <c r="D1885" t="s">
        <v>601</v>
      </c>
      <c r="F1885">
        <v>1969</v>
      </c>
      <c r="G1885" s="1" t="s">
        <v>290</v>
      </c>
      <c r="H1885" s="1" t="s">
        <v>572</v>
      </c>
      <c r="I1885">
        <v>0</v>
      </c>
      <c r="J1885">
        <v>47956.063300000002</v>
      </c>
      <c r="K1885">
        <v>3.8899999999999998E-3</v>
      </c>
      <c r="L1885">
        <v>1.065E-2</v>
      </c>
      <c r="M1885">
        <v>0.245</v>
      </c>
      <c r="N1885">
        <v>0.2576</v>
      </c>
      <c r="O1885">
        <v>1.435E-2</v>
      </c>
      <c r="P1885" s="3">
        <f t="shared" si="116"/>
        <v>2085.2459382849779</v>
      </c>
      <c r="Q1885" s="3">
        <f t="shared" si="117"/>
        <v>3.8829805762361502E-3</v>
      </c>
      <c r="R1885" s="3">
        <f t="shared" si="118"/>
        <v>1.065E-2</v>
      </c>
      <c r="S1885">
        <f t="shared" si="119"/>
        <v>45</v>
      </c>
      <c r="T1885">
        <f>INDEX([1]IDEN_level_ids!$B:$B,MATCH(G1885,[1]IDEN_level_ids!$A:$A,0),1)</f>
        <v>1153</v>
      </c>
      <c r="U1885">
        <f>INDEX([1]IDEN_level_ids!$B:$B,MATCH(H1885,[1]IDEN_level_ids!$A:$A,0),1)</f>
        <v>977</v>
      </c>
    </row>
    <row r="1886" spans="1:21" hidden="1" x14ac:dyDescent="0.25">
      <c r="A1886">
        <v>47922.282500000001</v>
      </c>
      <c r="B1886">
        <v>2086.712</v>
      </c>
      <c r="C1886">
        <v>9</v>
      </c>
      <c r="D1886" t="s">
        <v>601</v>
      </c>
      <c r="F1886">
        <v>1969</v>
      </c>
      <c r="G1886" s="1" t="s">
        <v>209</v>
      </c>
      <c r="H1886" s="1" t="s">
        <v>563</v>
      </c>
      <c r="I1886">
        <v>0</v>
      </c>
      <c r="J1886">
        <v>47922.499199999998</v>
      </c>
      <c r="K1886">
        <v>9.4400000000000005E-3</v>
      </c>
      <c r="L1886">
        <v>1.0670000000000001E-2</v>
      </c>
      <c r="M1886">
        <v>0.245</v>
      </c>
      <c r="N1886">
        <v>2.0400000000000001E-2</v>
      </c>
      <c r="O1886">
        <v>1.089E-2</v>
      </c>
      <c r="P1886" s="3">
        <f t="shared" si="116"/>
        <v>2086.711959097524</v>
      </c>
      <c r="Q1886" s="3">
        <f t="shared" si="117"/>
        <v>9.4358701876444684E-3</v>
      </c>
      <c r="R1886" s="3">
        <f t="shared" si="118"/>
        <v>1.0670000000000001E-2</v>
      </c>
      <c r="S1886">
        <f t="shared" si="119"/>
        <v>45</v>
      </c>
      <c r="T1886">
        <f>INDEX([1]IDEN_level_ids!$B:$B,MATCH(G1886,[1]IDEN_level_ids!$A:$A,0),1)</f>
        <v>1209</v>
      </c>
      <c r="U1886">
        <f>INDEX([1]IDEN_level_ids!$B:$B,MATCH(H1886,[1]IDEN_level_ids!$A:$A,0),1)</f>
        <v>1032</v>
      </c>
    </row>
    <row r="1887" spans="1:21" hidden="1" x14ac:dyDescent="0.25">
      <c r="A1887">
        <v>47911.078200000004</v>
      </c>
      <c r="B1887">
        <v>2087.1999000000001</v>
      </c>
      <c r="C1887">
        <v>9</v>
      </c>
      <c r="D1887" t="s">
        <v>601</v>
      </c>
      <c r="F1887">
        <v>1969</v>
      </c>
      <c r="G1887" s="1" t="s">
        <v>544</v>
      </c>
      <c r="H1887" s="1" t="s">
        <v>512</v>
      </c>
      <c r="I1887">
        <v>0</v>
      </c>
      <c r="J1887">
        <v>47911.065199999997</v>
      </c>
      <c r="K1887">
        <v>-5.6999999999999998E-4</v>
      </c>
      <c r="L1887">
        <v>1.0670000000000001E-2</v>
      </c>
      <c r="M1887">
        <v>0.245</v>
      </c>
      <c r="N1887">
        <v>0.1595</v>
      </c>
      <c r="O1887">
        <v>1.2699999999999999E-2</v>
      </c>
      <c r="P1887" s="3">
        <f t="shared" si="116"/>
        <v>2087.199949509798</v>
      </c>
      <c r="Q1887" s="3">
        <f t="shared" si="117"/>
        <v>-5.6633262602190371E-4</v>
      </c>
      <c r="R1887" s="3">
        <f t="shared" si="118"/>
        <v>1.0670000000000001E-2</v>
      </c>
      <c r="S1887">
        <f t="shared" si="119"/>
        <v>45</v>
      </c>
      <c r="T1887">
        <f>INDEX([1]IDEN_level_ids!$B:$B,MATCH(G1887,[1]IDEN_level_ids!$A:$A,0),1)</f>
        <v>1011</v>
      </c>
      <c r="U1887">
        <f>INDEX([1]IDEN_level_ids!$B:$B,MATCH(H1887,[1]IDEN_level_ids!$A:$A,0),1)</f>
        <v>711</v>
      </c>
    </row>
    <row r="1888" spans="1:21" hidden="1" x14ac:dyDescent="0.25">
      <c r="A1888">
        <v>47908.782599999999</v>
      </c>
      <c r="B1888">
        <v>2087.3000000000002</v>
      </c>
      <c r="C1888">
        <v>9</v>
      </c>
      <c r="D1888" t="s">
        <v>601</v>
      </c>
      <c r="F1888">
        <v>1969</v>
      </c>
      <c r="G1888" s="1" t="s">
        <v>602</v>
      </c>
      <c r="H1888" s="1" t="s">
        <v>485</v>
      </c>
      <c r="I1888">
        <v>0</v>
      </c>
      <c r="J1888">
        <v>47908.809300000001</v>
      </c>
      <c r="K1888">
        <v>1.16E-3</v>
      </c>
      <c r="L1888">
        <v>1.0670000000000001E-2</v>
      </c>
      <c r="M1888">
        <v>0.245</v>
      </c>
      <c r="N1888">
        <v>3.2800000000000003E-2</v>
      </c>
      <c r="O1888">
        <v>1.1039999999999999E-2</v>
      </c>
      <c r="P1888" s="3">
        <f t="shared" si="116"/>
        <v>2087.2999599033851</v>
      </c>
      <c r="Q1888" s="3">
        <f t="shared" si="117"/>
        <v>1.1632705914053076E-3</v>
      </c>
      <c r="R1888" s="3">
        <f t="shared" si="118"/>
        <v>1.0670000000000001E-2</v>
      </c>
      <c r="S1888">
        <f t="shared" si="119"/>
        <v>45</v>
      </c>
      <c r="T1888">
        <f>INDEX([1]IDEN_level_ids!$B:$B,MATCH(G1888,[1]IDEN_level_ids!$A:$A,0),1)</f>
        <v>1125</v>
      </c>
      <c r="U1888">
        <f>INDEX([1]IDEN_level_ids!$B:$B,MATCH(H1888,[1]IDEN_level_ids!$A:$A,0),1)</f>
        <v>940</v>
      </c>
    </row>
    <row r="1889" spans="1:21" hidden="1" x14ac:dyDescent="0.25">
      <c r="A1889">
        <v>47906.7857</v>
      </c>
      <c r="B1889">
        <v>2087.3870000000002</v>
      </c>
      <c r="C1889">
        <v>9</v>
      </c>
      <c r="D1889" t="s">
        <v>601</v>
      </c>
      <c r="F1889">
        <v>1969</v>
      </c>
      <c r="G1889" s="1" t="s">
        <v>33</v>
      </c>
      <c r="H1889" s="1" t="s">
        <v>469</v>
      </c>
      <c r="I1889">
        <v>0.26919999999999999</v>
      </c>
      <c r="J1889">
        <v>47906.749400000001</v>
      </c>
      <c r="K1889">
        <v>-1.58E-3</v>
      </c>
      <c r="L1889">
        <v>1.0670000000000001E-2</v>
      </c>
      <c r="M1889">
        <v>0.245</v>
      </c>
      <c r="N1889">
        <v>1.7999999999999999E-2</v>
      </c>
      <c r="O1889">
        <v>1.0869999999999999E-2</v>
      </c>
      <c r="P1889" s="3">
        <f t="shared" si="116"/>
        <v>2087.3869648908631</v>
      </c>
      <c r="Q1889" s="3">
        <f t="shared" si="117"/>
        <v>-1.5816591144357517E-3</v>
      </c>
      <c r="R1889" s="3">
        <f t="shared" si="118"/>
        <v>1.0670000000000001E-2</v>
      </c>
      <c r="S1889">
        <f t="shared" si="119"/>
        <v>45</v>
      </c>
      <c r="T1889">
        <f>INDEX([1]IDEN_level_ids!$B:$B,MATCH(G1889,[1]IDEN_level_ids!$A:$A,0),1)</f>
        <v>1220</v>
      </c>
      <c r="U1889">
        <f>INDEX([1]IDEN_level_ids!$B:$B,MATCH(H1889,[1]IDEN_level_ids!$A:$A,0),1)</f>
        <v>1048</v>
      </c>
    </row>
    <row r="1890" spans="1:21" hidden="1" x14ac:dyDescent="0.25">
      <c r="A1890">
        <v>47891.759100000003</v>
      </c>
      <c r="B1890">
        <v>2088.0419000000002</v>
      </c>
      <c r="C1890">
        <v>9</v>
      </c>
      <c r="D1890" t="s">
        <v>601</v>
      </c>
      <c r="F1890">
        <v>1969</v>
      </c>
      <c r="G1890" s="1" t="s">
        <v>197</v>
      </c>
      <c r="H1890" s="1" t="s">
        <v>520</v>
      </c>
      <c r="I1890">
        <v>0.22689999999999999</v>
      </c>
      <c r="J1890">
        <v>47891.762900000002</v>
      </c>
      <c r="K1890">
        <v>1.7000000000000001E-4</v>
      </c>
      <c r="L1890">
        <v>1.068E-2</v>
      </c>
      <c r="M1890">
        <v>0.245</v>
      </c>
      <c r="N1890">
        <v>1.8499999999999999E-2</v>
      </c>
      <c r="O1890">
        <v>1.0880000000000001E-2</v>
      </c>
      <c r="P1890" s="3">
        <f t="shared" si="116"/>
        <v>2088.0419069843688</v>
      </c>
      <c r="Q1890" s="3">
        <f t="shared" si="117"/>
        <v>1.6567690909141675E-4</v>
      </c>
      <c r="R1890" s="3">
        <f t="shared" si="118"/>
        <v>1.068E-2</v>
      </c>
      <c r="S1890">
        <f t="shared" si="119"/>
        <v>45</v>
      </c>
      <c r="T1890">
        <f>INDEX([1]IDEN_level_ids!$B:$B,MATCH(G1890,[1]IDEN_level_ids!$A:$A,0),1)</f>
        <v>1182</v>
      </c>
      <c r="U1890">
        <f>INDEX([1]IDEN_level_ids!$B:$B,MATCH(H1890,[1]IDEN_level_ids!$A:$A,0),1)</f>
        <v>1002</v>
      </c>
    </row>
    <row r="1891" spans="1:21" hidden="1" x14ac:dyDescent="0.25">
      <c r="A1891">
        <v>47884.786099999998</v>
      </c>
      <c r="B1891">
        <v>2088.346</v>
      </c>
      <c r="C1891">
        <v>9</v>
      </c>
      <c r="D1891" t="s">
        <v>601</v>
      </c>
      <c r="F1891">
        <v>1969</v>
      </c>
      <c r="G1891" s="1" t="s">
        <v>68</v>
      </c>
      <c r="H1891" s="1" t="s">
        <v>401</v>
      </c>
      <c r="I1891">
        <v>5.0500000000000003E-2</v>
      </c>
      <c r="J1891">
        <v>47884.903400000003</v>
      </c>
      <c r="K1891">
        <v>5.1200000000000004E-3</v>
      </c>
      <c r="L1891">
        <v>1.068E-2</v>
      </c>
      <c r="M1891">
        <v>0.245</v>
      </c>
      <c r="N1891">
        <v>1.77E-2</v>
      </c>
      <c r="O1891">
        <v>1.0880000000000001E-2</v>
      </c>
      <c r="P1891" s="3">
        <f t="shared" si="116"/>
        <v>2088.3459684076988</v>
      </c>
      <c r="Q1891" s="3">
        <f t="shared" si="117"/>
        <v>5.1156620297660993E-3</v>
      </c>
      <c r="R1891" s="3">
        <f t="shared" si="118"/>
        <v>1.068E-2</v>
      </c>
      <c r="S1891">
        <f t="shared" si="119"/>
        <v>45</v>
      </c>
      <c r="T1891">
        <f>INDEX([1]IDEN_level_ids!$B:$B,MATCH(G1891,[1]IDEN_level_ids!$A:$A,0),1)</f>
        <v>1229</v>
      </c>
      <c r="U1891">
        <f>INDEX([1]IDEN_level_ids!$B:$B,MATCH(H1891,[1]IDEN_level_ids!$A:$A,0),1)</f>
        <v>1063</v>
      </c>
    </row>
    <row r="1892" spans="1:21" hidden="1" x14ac:dyDescent="0.25">
      <c r="A1892">
        <v>47875.0887</v>
      </c>
      <c r="B1892">
        <v>2088.7689999999998</v>
      </c>
      <c r="C1892">
        <v>9</v>
      </c>
      <c r="D1892" t="s">
        <v>601</v>
      </c>
      <c r="F1892">
        <v>1969</v>
      </c>
      <c r="G1892" s="1" t="s">
        <v>220</v>
      </c>
      <c r="H1892" s="1" t="s">
        <v>495</v>
      </c>
      <c r="I1892">
        <v>9.74E-2</v>
      </c>
      <c r="J1892">
        <v>47875.097199999997</v>
      </c>
      <c r="K1892">
        <v>3.6999999999999999E-4</v>
      </c>
      <c r="L1892">
        <v>1.069E-2</v>
      </c>
      <c r="M1892">
        <v>0.245</v>
      </c>
      <c r="N1892">
        <v>2.1999999999999999E-2</v>
      </c>
      <c r="O1892">
        <v>1.093E-2</v>
      </c>
      <c r="P1892" s="3">
        <f t="shared" si="116"/>
        <v>2088.7689760040071</v>
      </c>
      <c r="Q1892" s="3">
        <f t="shared" si="117"/>
        <v>3.7085118037794018E-4</v>
      </c>
      <c r="R1892" s="3">
        <f t="shared" si="118"/>
        <v>1.069E-2</v>
      </c>
      <c r="S1892">
        <f t="shared" si="119"/>
        <v>45</v>
      </c>
      <c r="T1892">
        <f>INDEX([1]IDEN_level_ids!$B:$B,MATCH(G1892,[1]IDEN_level_ids!$A:$A,0),1)</f>
        <v>1142</v>
      </c>
      <c r="U1892">
        <f>INDEX([1]IDEN_level_ids!$B:$B,MATCH(H1892,[1]IDEN_level_ids!$A:$A,0),1)</f>
        <v>960</v>
      </c>
    </row>
    <row r="1893" spans="1:21" hidden="1" x14ac:dyDescent="0.25">
      <c r="A1893">
        <v>47873.278599999998</v>
      </c>
      <c r="B1893">
        <v>2088.848</v>
      </c>
      <c r="C1893">
        <v>9</v>
      </c>
      <c r="D1893" t="s">
        <v>601</v>
      </c>
      <c r="F1893">
        <v>1969</v>
      </c>
      <c r="G1893" s="1" t="s">
        <v>40</v>
      </c>
      <c r="H1893" s="1" t="s">
        <v>481</v>
      </c>
      <c r="I1893">
        <v>0</v>
      </c>
      <c r="J1893">
        <v>47873.379099999998</v>
      </c>
      <c r="K1893">
        <v>4.3800000000000002E-3</v>
      </c>
      <c r="L1893">
        <v>1.069E-2</v>
      </c>
      <c r="M1893">
        <v>0.245</v>
      </c>
      <c r="N1893">
        <v>1.9099999999999999E-2</v>
      </c>
      <c r="O1893">
        <v>1.09E-2</v>
      </c>
      <c r="P1893" s="3">
        <f t="shared" si="116"/>
        <v>2088.8479528535991</v>
      </c>
      <c r="Q1893" s="3">
        <f t="shared" si="117"/>
        <v>4.3850929937434557E-3</v>
      </c>
      <c r="R1893" s="3">
        <f t="shared" si="118"/>
        <v>1.069E-2</v>
      </c>
      <c r="S1893">
        <f t="shared" si="119"/>
        <v>45</v>
      </c>
      <c r="T1893">
        <f>INDEX([1]IDEN_level_ids!$B:$B,MATCH(G1893,[1]IDEN_level_ids!$A:$A,0),1)</f>
        <v>1199</v>
      </c>
      <c r="U1893">
        <f>INDEX([1]IDEN_level_ids!$B:$B,MATCH(H1893,[1]IDEN_level_ids!$A:$A,0),1)</f>
        <v>1016</v>
      </c>
    </row>
    <row r="1894" spans="1:21" hidden="1" x14ac:dyDescent="0.25">
      <c r="A1894">
        <v>47862.784</v>
      </c>
      <c r="B1894">
        <v>2089.306</v>
      </c>
      <c r="C1894">
        <v>9</v>
      </c>
      <c r="D1894" t="s">
        <v>601</v>
      </c>
      <c r="F1894">
        <v>1969</v>
      </c>
      <c r="G1894" s="1" t="s">
        <v>79</v>
      </c>
      <c r="H1894" s="1" t="s">
        <v>445</v>
      </c>
      <c r="I1894">
        <v>0</v>
      </c>
      <c r="J1894">
        <v>47862.797400000003</v>
      </c>
      <c r="K1894">
        <v>5.8E-4</v>
      </c>
      <c r="L1894">
        <v>1.069E-2</v>
      </c>
      <c r="M1894">
        <v>0.245</v>
      </c>
      <c r="N1894">
        <v>1.9099999999999999E-2</v>
      </c>
      <c r="O1894">
        <v>1.09E-2</v>
      </c>
      <c r="P1894" s="3">
        <f t="shared" si="116"/>
        <v>2089.305962645215</v>
      </c>
      <c r="Q1894" s="3">
        <f t="shared" si="117"/>
        <v>5.8493655660640798E-4</v>
      </c>
      <c r="R1894" s="3">
        <f t="shared" si="118"/>
        <v>1.069E-2</v>
      </c>
      <c r="S1894">
        <f t="shared" si="119"/>
        <v>45</v>
      </c>
      <c r="T1894">
        <f>INDEX([1]IDEN_level_ids!$B:$B,MATCH(G1894,[1]IDEN_level_ids!$A:$A,0),1)</f>
        <v>1216</v>
      </c>
      <c r="U1894">
        <f>INDEX([1]IDEN_level_ids!$B:$B,MATCH(H1894,[1]IDEN_level_ids!$A:$A,0),1)</f>
        <v>1041</v>
      </c>
    </row>
    <row r="1895" spans="1:21" hidden="1" x14ac:dyDescent="0.25">
      <c r="A1895">
        <v>47858.959799999997</v>
      </c>
      <c r="B1895">
        <v>2089.4729000000002</v>
      </c>
      <c r="C1895">
        <v>9</v>
      </c>
      <c r="D1895" t="s">
        <v>601</v>
      </c>
      <c r="F1895">
        <v>1969</v>
      </c>
      <c r="G1895" s="1" t="s">
        <v>56</v>
      </c>
      <c r="H1895" s="1" t="s">
        <v>438</v>
      </c>
      <c r="I1895">
        <v>0</v>
      </c>
      <c r="J1895">
        <v>47859.072099999998</v>
      </c>
      <c r="K1895">
        <v>4.8999999999999998E-3</v>
      </c>
      <c r="L1895">
        <v>1.0699999999999999E-2</v>
      </c>
      <c r="M1895">
        <v>0.245</v>
      </c>
      <c r="N1895">
        <v>1.8200000000000001E-2</v>
      </c>
      <c r="O1895">
        <v>1.089E-2</v>
      </c>
      <c r="P1895" s="3">
        <f t="shared" si="116"/>
        <v>2089.4729099398437</v>
      </c>
      <c r="Q1895" s="3">
        <f t="shared" si="117"/>
        <v>4.902890872926946E-3</v>
      </c>
      <c r="R1895" s="3">
        <f t="shared" si="118"/>
        <v>1.0699999999999999E-2</v>
      </c>
      <c r="S1895">
        <f t="shared" si="119"/>
        <v>45</v>
      </c>
      <c r="T1895">
        <f>INDEX([1]IDEN_level_ids!$B:$B,MATCH(G1895,[1]IDEN_level_ids!$A:$A,0),1)</f>
        <v>1221</v>
      </c>
      <c r="U1895">
        <f>INDEX([1]IDEN_level_ids!$B:$B,MATCH(H1895,[1]IDEN_level_ids!$A:$A,0),1)</f>
        <v>1051</v>
      </c>
    </row>
    <row r="1896" spans="1:21" hidden="1" x14ac:dyDescent="0.25">
      <c r="A1896">
        <v>47852.748800000001</v>
      </c>
      <c r="B1896">
        <v>2089.7440999999999</v>
      </c>
      <c r="C1896">
        <v>9</v>
      </c>
      <c r="D1896" t="s">
        <v>601</v>
      </c>
      <c r="F1896">
        <v>1969</v>
      </c>
      <c r="G1896" s="1" t="s">
        <v>180</v>
      </c>
      <c r="H1896" s="1" t="s">
        <v>548</v>
      </c>
      <c r="I1896">
        <v>0</v>
      </c>
      <c r="J1896">
        <v>47852.8848</v>
      </c>
      <c r="K1896">
        <v>5.94E-3</v>
      </c>
      <c r="L1896">
        <v>1.0699999999999999E-2</v>
      </c>
      <c r="M1896">
        <v>0.245</v>
      </c>
      <c r="N1896">
        <v>3.2099999999999997E-2</v>
      </c>
      <c r="O1896">
        <v>1.1050000000000001E-2</v>
      </c>
      <c r="P1896" s="3">
        <f t="shared" si="116"/>
        <v>2089.7441110007876</v>
      </c>
      <c r="Q1896" s="3">
        <f t="shared" si="117"/>
        <v>5.9391445320216008E-3</v>
      </c>
      <c r="R1896" s="3">
        <f t="shared" si="118"/>
        <v>1.0699999999999999E-2</v>
      </c>
      <c r="S1896">
        <f t="shared" si="119"/>
        <v>45</v>
      </c>
      <c r="T1896">
        <f>INDEX([1]IDEN_level_ids!$B:$B,MATCH(G1896,[1]IDEN_level_ids!$A:$A,0),1)</f>
        <v>1184</v>
      </c>
      <c r="U1896">
        <f>INDEX([1]IDEN_level_ids!$B:$B,MATCH(H1896,[1]IDEN_level_ids!$A:$A,0),1)</f>
        <v>1005</v>
      </c>
    </row>
    <row r="1897" spans="1:21" hidden="1" x14ac:dyDescent="0.25">
      <c r="A1897">
        <v>47843.388200000001</v>
      </c>
      <c r="B1897">
        <v>2090.1529999999998</v>
      </c>
      <c r="C1897">
        <v>9</v>
      </c>
      <c r="D1897" t="s">
        <v>601</v>
      </c>
      <c r="F1897">
        <v>1969</v>
      </c>
      <c r="G1897" s="1" t="s">
        <v>38</v>
      </c>
      <c r="H1897" s="1" t="s">
        <v>461</v>
      </c>
      <c r="I1897">
        <v>0.1797</v>
      </c>
      <c r="J1897">
        <v>47843.311600000001</v>
      </c>
      <c r="K1897">
        <v>-3.3400000000000001E-3</v>
      </c>
      <c r="L1897">
        <v>1.0699999999999999E-2</v>
      </c>
      <c r="M1897">
        <v>0.245</v>
      </c>
      <c r="N1897">
        <v>1.78E-2</v>
      </c>
      <c r="O1897">
        <v>1.09E-2</v>
      </c>
      <c r="P1897" s="3">
        <f t="shared" si="116"/>
        <v>2090.1529712312472</v>
      </c>
      <c r="Q1897" s="3">
        <f t="shared" si="117"/>
        <v>-3.3464597713646071E-3</v>
      </c>
      <c r="R1897" s="3">
        <f t="shared" si="118"/>
        <v>1.0699999999999999E-2</v>
      </c>
      <c r="S1897">
        <f t="shared" si="119"/>
        <v>45</v>
      </c>
      <c r="T1897">
        <f>INDEX([1]IDEN_level_ids!$B:$B,MATCH(G1897,[1]IDEN_level_ids!$A:$A,0),1)</f>
        <v>1201</v>
      </c>
      <c r="U1897">
        <f>INDEX([1]IDEN_level_ids!$B:$B,MATCH(H1897,[1]IDEN_level_ids!$A:$A,0),1)</f>
        <v>1017</v>
      </c>
    </row>
    <row r="1898" spans="1:21" hidden="1" x14ac:dyDescent="0.25">
      <c r="A1898">
        <v>47818.566599999998</v>
      </c>
      <c r="B1898">
        <v>2091.2379000000001</v>
      </c>
      <c r="C1898">
        <v>9</v>
      </c>
      <c r="D1898" t="s">
        <v>601</v>
      </c>
      <c r="F1898">
        <v>1969</v>
      </c>
      <c r="G1898" s="1" t="s">
        <v>22</v>
      </c>
      <c r="H1898" s="1" t="s">
        <v>396</v>
      </c>
      <c r="I1898">
        <v>0.31509999999999999</v>
      </c>
      <c r="J1898">
        <v>47818.580999999998</v>
      </c>
      <c r="K1898">
        <v>6.3000000000000003E-4</v>
      </c>
      <c r="L1898">
        <v>1.0710000000000001E-2</v>
      </c>
      <c r="M1898">
        <v>0.245</v>
      </c>
      <c r="N1898">
        <v>2.2499999999999999E-2</v>
      </c>
      <c r="O1898">
        <v>1.0959999999999999E-2</v>
      </c>
      <c r="P1898" s="3">
        <f t="shared" si="116"/>
        <v>2091.2379251451675</v>
      </c>
      <c r="Q1898" s="3">
        <f t="shared" si="117"/>
        <v>6.2975156288302969E-4</v>
      </c>
      <c r="R1898" s="3">
        <f t="shared" si="118"/>
        <v>1.0710000000000001E-2</v>
      </c>
      <c r="S1898">
        <f t="shared" si="119"/>
        <v>45</v>
      </c>
      <c r="T1898">
        <f>INDEX([1]IDEN_level_ids!$B:$B,MATCH(G1898,[1]IDEN_level_ids!$A:$A,0),1)</f>
        <v>1236</v>
      </c>
      <c r="U1898">
        <f>INDEX([1]IDEN_level_ids!$B:$B,MATCH(H1898,[1]IDEN_level_ids!$A:$A,0),1)</f>
        <v>1072</v>
      </c>
    </row>
    <row r="1899" spans="1:21" hidden="1" x14ac:dyDescent="0.25">
      <c r="A1899">
        <v>47814.608899999999</v>
      </c>
      <c r="B1899">
        <v>2091.4110000000001</v>
      </c>
      <c r="C1899">
        <v>9</v>
      </c>
      <c r="D1899" t="s">
        <v>601</v>
      </c>
      <c r="F1899">
        <v>1969</v>
      </c>
      <c r="G1899" s="1" t="s">
        <v>36</v>
      </c>
      <c r="H1899" s="1" t="s">
        <v>477</v>
      </c>
      <c r="I1899">
        <v>0.2382</v>
      </c>
      <c r="J1899">
        <v>47814.553099999997</v>
      </c>
      <c r="K1899">
        <v>-2.4399999999999999E-3</v>
      </c>
      <c r="L1899">
        <v>1.072E-2</v>
      </c>
      <c r="M1899">
        <v>0.245</v>
      </c>
      <c r="N1899">
        <v>2.6100000000000002E-2</v>
      </c>
      <c r="O1899">
        <v>1.0999999999999999E-2</v>
      </c>
      <c r="P1899" s="3">
        <f t="shared" si="116"/>
        <v>2091.4110206180103</v>
      </c>
      <c r="Q1899" s="3">
        <f t="shared" si="117"/>
        <v>-2.440694880533556E-3</v>
      </c>
      <c r="R1899" s="3">
        <f t="shared" si="118"/>
        <v>1.072E-2</v>
      </c>
      <c r="S1899">
        <f t="shared" si="119"/>
        <v>45</v>
      </c>
      <c r="T1899">
        <f>INDEX([1]IDEN_level_ids!$B:$B,MATCH(G1899,[1]IDEN_level_ids!$A:$A,0),1)</f>
        <v>1217</v>
      </c>
      <c r="U1899">
        <f>INDEX([1]IDEN_level_ids!$B:$B,MATCH(H1899,[1]IDEN_level_ids!$A:$A,0),1)</f>
        <v>1045</v>
      </c>
    </row>
    <row r="1900" spans="1:21" hidden="1" x14ac:dyDescent="0.25">
      <c r="A1900">
        <v>47806.678599999999</v>
      </c>
      <c r="B1900">
        <v>2091.7579999999998</v>
      </c>
      <c r="C1900">
        <v>9</v>
      </c>
      <c r="D1900" t="s">
        <v>601</v>
      </c>
      <c r="F1900">
        <v>1969</v>
      </c>
      <c r="G1900" s="1" t="s">
        <v>94</v>
      </c>
      <c r="H1900" s="1" t="s">
        <v>587</v>
      </c>
      <c r="I1900">
        <v>9.9500000000000005E-2</v>
      </c>
      <c r="J1900">
        <v>47806.74</v>
      </c>
      <c r="K1900">
        <v>2.6900000000000001E-3</v>
      </c>
      <c r="L1900">
        <v>1.072E-2</v>
      </c>
      <c r="M1900">
        <v>0.245</v>
      </c>
      <c r="N1900">
        <v>1.89E-2</v>
      </c>
      <c r="O1900">
        <v>1.093E-2</v>
      </c>
      <c r="P1900" s="3">
        <f t="shared" si="116"/>
        <v>2091.757949484489</v>
      </c>
      <c r="Q1900" s="3">
        <f t="shared" si="117"/>
        <v>2.6865236595767783E-3</v>
      </c>
      <c r="R1900" s="3">
        <f t="shared" si="118"/>
        <v>1.072E-2</v>
      </c>
      <c r="S1900">
        <f t="shared" si="119"/>
        <v>45</v>
      </c>
      <c r="T1900">
        <f>INDEX([1]IDEN_level_ids!$B:$B,MATCH(G1900,[1]IDEN_level_ids!$A:$A,0),1)</f>
        <v>1207</v>
      </c>
      <c r="U1900">
        <f>INDEX([1]IDEN_level_ids!$B:$B,MATCH(H1900,[1]IDEN_level_ids!$A:$A,0),1)</f>
        <v>1035</v>
      </c>
    </row>
    <row r="1901" spans="1:21" hidden="1" x14ac:dyDescent="0.25">
      <c r="A1901">
        <v>47805.122199999998</v>
      </c>
      <c r="B1901">
        <v>2091.8261000000002</v>
      </c>
      <c r="C1901">
        <v>9</v>
      </c>
      <c r="D1901" t="s">
        <v>601</v>
      </c>
      <c r="F1901">
        <v>1969</v>
      </c>
      <c r="G1901" s="1" t="s">
        <v>182</v>
      </c>
      <c r="H1901" s="1" t="s">
        <v>441</v>
      </c>
      <c r="I1901">
        <v>7.22E-2</v>
      </c>
      <c r="J1901">
        <v>47805.082999999999</v>
      </c>
      <c r="K1901">
        <v>-1.7099999999999999E-3</v>
      </c>
      <c r="L1901">
        <v>1.072E-2</v>
      </c>
      <c r="M1901">
        <v>0.245</v>
      </c>
      <c r="N1901">
        <v>2.52E-2</v>
      </c>
      <c r="O1901">
        <v>1.0999999999999999E-2</v>
      </c>
      <c r="P1901" s="3">
        <f t="shared" si="116"/>
        <v>2091.8260512259503</v>
      </c>
      <c r="Q1901" s="3">
        <f t="shared" si="117"/>
        <v>-1.7152900077235245E-3</v>
      </c>
      <c r="R1901" s="3">
        <f t="shared" si="118"/>
        <v>1.072E-2</v>
      </c>
      <c r="S1901">
        <f t="shared" si="119"/>
        <v>45</v>
      </c>
      <c r="T1901">
        <f>INDEX([1]IDEN_level_ids!$B:$B,MATCH(G1901,[1]IDEN_level_ids!$A:$A,0),1)</f>
        <v>1210</v>
      </c>
      <c r="U1901">
        <f>INDEX([1]IDEN_level_ids!$B:$B,MATCH(H1901,[1]IDEN_level_ids!$A:$A,0),1)</f>
        <v>1034</v>
      </c>
    </row>
    <row r="1902" spans="1:21" hidden="1" x14ac:dyDescent="0.25">
      <c r="A1902">
        <v>47789.518700000001</v>
      </c>
      <c r="B1902">
        <v>2092.509</v>
      </c>
      <c r="C1902">
        <v>9</v>
      </c>
      <c r="D1902" t="s">
        <v>601</v>
      </c>
      <c r="F1902">
        <v>1969</v>
      </c>
      <c r="G1902" s="1" t="s">
        <v>212</v>
      </c>
      <c r="H1902" s="1" t="s">
        <v>603</v>
      </c>
      <c r="I1902">
        <v>0.10929999999999999</v>
      </c>
      <c r="J1902">
        <v>47789.537600000003</v>
      </c>
      <c r="K1902">
        <v>8.3000000000000001E-4</v>
      </c>
      <c r="L1902">
        <v>1.073E-2</v>
      </c>
      <c r="M1902">
        <v>0.245</v>
      </c>
      <c r="N1902">
        <v>2.9000000000000001E-2</v>
      </c>
      <c r="O1902">
        <v>1.1050000000000001E-2</v>
      </c>
      <c r="P1902" s="3">
        <f t="shared" si="116"/>
        <v>2092.5090421553041</v>
      </c>
      <c r="Q1902" s="3">
        <f t="shared" si="117"/>
        <v>8.2755395578715252E-4</v>
      </c>
      <c r="R1902" s="3">
        <f t="shared" si="118"/>
        <v>1.073E-2</v>
      </c>
      <c r="S1902">
        <f t="shared" si="119"/>
        <v>45</v>
      </c>
      <c r="T1902">
        <f>INDEX([1]IDEN_level_ids!$B:$B,MATCH(G1902,[1]IDEN_level_ids!$A:$A,0),1)</f>
        <v>1123</v>
      </c>
      <c r="U1902">
        <f>INDEX([1]IDEN_level_ids!$B:$B,MATCH(H1902,[1]IDEN_level_ids!$A:$A,0),1)</f>
        <v>941</v>
      </c>
    </row>
    <row r="1903" spans="1:21" hidden="1" x14ac:dyDescent="0.25">
      <c r="A1903">
        <v>47757.568899999998</v>
      </c>
      <c r="B1903">
        <v>2093.9088999999999</v>
      </c>
      <c r="C1903">
        <v>9</v>
      </c>
      <c r="D1903" t="s">
        <v>601</v>
      </c>
      <c r="F1903">
        <v>1969</v>
      </c>
      <c r="G1903" s="1" t="s">
        <v>334</v>
      </c>
      <c r="H1903" s="1" t="s">
        <v>503</v>
      </c>
      <c r="I1903">
        <v>3.8699999999999998E-2</v>
      </c>
      <c r="J1903">
        <v>47757.618399999999</v>
      </c>
      <c r="K1903">
        <v>2.1700000000000001E-3</v>
      </c>
      <c r="L1903">
        <v>1.074E-2</v>
      </c>
      <c r="M1903">
        <v>0.245</v>
      </c>
      <c r="N1903">
        <v>2.6200000000000001E-2</v>
      </c>
      <c r="O1903">
        <v>1.103E-2</v>
      </c>
      <c r="P1903" s="3">
        <f t="shared" si="116"/>
        <v>2093.9089301088775</v>
      </c>
      <c r="Q1903" s="3">
        <f t="shared" si="117"/>
        <v>2.1703027814510278E-3</v>
      </c>
      <c r="R1903" s="3">
        <f t="shared" si="118"/>
        <v>1.074E-2</v>
      </c>
      <c r="S1903">
        <f t="shared" si="119"/>
        <v>45</v>
      </c>
      <c r="T1903">
        <f>INDEX([1]IDEN_level_ids!$B:$B,MATCH(G1903,[1]IDEN_level_ids!$A:$A,0),1)</f>
        <v>1124</v>
      </c>
      <c r="U1903">
        <f>INDEX([1]IDEN_level_ids!$B:$B,MATCH(H1903,[1]IDEN_level_ids!$A:$A,0),1)</f>
        <v>943</v>
      </c>
    </row>
    <row r="1904" spans="1:21" hidden="1" x14ac:dyDescent="0.25">
      <c r="A1904">
        <v>47751.959300000002</v>
      </c>
      <c r="B1904">
        <v>2094.1549</v>
      </c>
      <c r="C1904">
        <v>9</v>
      </c>
      <c r="D1904" t="s">
        <v>601</v>
      </c>
      <c r="F1904">
        <v>1969</v>
      </c>
      <c r="G1904" s="1" t="s">
        <v>18</v>
      </c>
      <c r="H1904" s="1" t="s">
        <v>428</v>
      </c>
      <c r="I1904">
        <v>0.2928</v>
      </c>
      <c r="J1904">
        <v>47751.8894</v>
      </c>
      <c r="K1904">
        <v>-3.0699999999999998E-3</v>
      </c>
      <c r="L1904">
        <v>1.074E-2</v>
      </c>
      <c r="M1904">
        <v>0.245</v>
      </c>
      <c r="N1904">
        <v>2.6100000000000002E-2</v>
      </c>
      <c r="O1904">
        <v>1.103E-2</v>
      </c>
      <c r="P1904" s="3">
        <f t="shared" si="116"/>
        <v>2094.1549093672475</v>
      </c>
      <c r="Q1904" s="3">
        <f t="shared" si="117"/>
        <v>-3.065458352011774E-3</v>
      </c>
      <c r="R1904" s="3">
        <f t="shared" si="118"/>
        <v>1.074E-2</v>
      </c>
      <c r="S1904">
        <f t="shared" si="119"/>
        <v>45</v>
      </c>
      <c r="T1904">
        <f>INDEX([1]IDEN_level_ids!$B:$B,MATCH(G1904,[1]IDEN_level_ids!$A:$A,0),1)</f>
        <v>1226</v>
      </c>
      <c r="U1904">
        <f>INDEX([1]IDEN_level_ids!$B:$B,MATCH(H1904,[1]IDEN_level_ids!$A:$A,0),1)</f>
        <v>1060</v>
      </c>
    </row>
    <row r="1905" spans="1:21" hidden="1" x14ac:dyDescent="0.25">
      <c r="A1905">
        <v>47733.769399999997</v>
      </c>
      <c r="B1905">
        <v>2094.9529000000002</v>
      </c>
      <c r="C1905">
        <v>9</v>
      </c>
      <c r="D1905" t="s">
        <v>601</v>
      </c>
      <c r="F1905">
        <v>1969</v>
      </c>
      <c r="G1905" s="1" t="s">
        <v>166</v>
      </c>
      <c r="H1905" s="1" t="s">
        <v>548</v>
      </c>
      <c r="I1905">
        <v>0</v>
      </c>
      <c r="J1905">
        <v>47733.849699999999</v>
      </c>
      <c r="K1905">
        <v>3.5200000000000001E-3</v>
      </c>
      <c r="L1905">
        <v>1.0749999999999999E-2</v>
      </c>
      <c r="M1905">
        <v>0.245</v>
      </c>
      <c r="N1905">
        <v>3.6600000000000001E-2</v>
      </c>
      <c r="O1905">
        <v>1.116E-2</v>
      </c>
      <c r="P1905" s="3">
        <f t="shared" si="116"/>
        <v>2094.952928649293</v>
      </c>
      <c r="Q1905" s="3">
        <f t="shared" si="117"/>
        <v>3.5242227731941966E-3</v>
      </c>
      <c r="R1905" s="3">
        <f t="shared" si="118"/>
        <v>1.0749999999999999E-2</v>
      </c>
      <c r="S1905">
        <f t="shared" si="119"/>
        <v>45</v>
      </c>
      <c r="T1905">
        <f>INDEX([1]IDEN_level_ids!$B:$B,MATCH(G1905,[1]IDEN_level_ids!$A:$A,0),1)</f>
        <v>1186</v>
      </c>
      <c r="U1905">
        <f>INDEX([1]IDEN_level_ids!$B:$B,MATCH(H1905,[1]IDEN_level_ids!$A:$A,0),1)</f>
        <v>1005</v>
      </c>
    </row>
    <row r="1906" spans="1:21" hidden="1" x14ac:dyDescent="0.25">
      <c r="A1906">
        <v>47698.634400000003</v>
      </c>
      <c r="B1906">
        <v>2096.4960999999998</v>
      </c>
      <c r="C1906">
        <v>9</v>
      </c>
      <c r="D1906" t="s">
        <v>601</v>
      </c>
      <c r="F1906">
        <v>1969</v>
      </c>
      <c r="G1906" s="1" t="s">
        <v>22</v>
      </c>
      <c r="H1906" s="1" t="s">
        <v>407</v>
      </c>
      <c r="I1906">
        <v>0.20150000000000001</v>
      </c>
      <c r="J1906">
        <v>47698.612999999998</v>
      </c>
      <c r="K1906">
        <v>-9.3999999999999997E-4</v>
      </c>
      <c r="L1906">
        <v>1.077E-2</v>
      </c>
      <c r="M1906">
        <v>0.245</v>
      </c>
      <c r="N1906">
        <v>2.5899999999999999E-2</v>
      </c>
      <c r="O1906">
        <v>1.1050000000000001E-2</v>
      </c>
      <c r="P1906" s="3">
        <f t="shared" si="116"/>
        <v>2096.4960791414187</v>
      </c>
      <c r="Q1906" s="3">
        <f t="shared" si="117"/>
        <v>-9.4059372531773988E-4</v>
      </c>
      <c r="R1906" s="3">
        <f t="shared" si="118"/>
        <v>1.077E-2</v>
      </c>
      <c r="S1906">
        <f t="shared" si="119"/>
        <v>45</v>
      </c>
      <c r="T1906">
        <f>INDEX([1]IDEN_level_ids!$B:$B,MATCH(G1906,[1]IDEN_level_ids!$A:$A,0),1)</f>
        <v>1236</v>
      </c>
      <c r="U1906">
        <f>INDEX([1]IDEN_level_ids!$B:$B,MATCH(H1906,[1]IDEN_level_ids!$A:$A,0),1)</f>
        <v>1073</v>
      </c>
    </row>
    <row r="1907" spans="1:21" hidden="1" x14ac:dyDescent="0.25">
      <c r="A1907">
        <v>47692.015599999999</v>
      </c>
      <c r="B1907">
        <v>2096.7869999999998</v>
      </c>
      <c r="C1907">
        <v>9</v>
      </c>
      <c r="D1907" t="s">
        <v>601</v>
      </c>
      <c r="F1907">
        <v>1969</v>
      </c>
      <c r="G1907" s="1" t="s">
        <v>38</v>
      </c>
      <c r="H1907" s="1" t="s">
        <v>585</v>
      </c>
      <c r="I1907">
        <v>0</v>
      </c>
      <c r="J1907">
        <v>47692.179900000003</v>
      </c>
      <c r="K1907">
        <v>7.2199999999999999E-3</v>
      </c>
      <c r="L1907">
        <v>1.077E-2</v>
      </c>
      <c r="M1907">
        <v>0.245</v>
      </c>
      <c r="N1907">
        <v>2.5499999999999998E-2</v>
      </c>
      <c r="O1907">
        <v>1.1050000000000001E-2</v>
      </c>
      <c r="P1907" s="3">
        <f t="shared" si="116"/>
        <v>2096.7870353544045</v>
      </c>
      <c r="Q1907" s="3">
        <f t="shared" si="117"/>
        <v>7.2234506924360176E-3</v>
      </c>
      <c r="R1907" s="3">
        <f t="shared" si="118"/>
        <v>1.077E-2</v>
      </c>
      <c r="S1907">
        <f t="shared" si="119"/>
        <v>45</v>
      </c>
      <c r="T1907">
        <f>INDEX([1]IDEN_level_ids!$B:$B,MATCH(G1907,[1]IDEN_level_ids!$A:$A,0),1)</f>
        <v>1201</v>
      </c>
      <c r="U1907">
        <f>INDEX([1]IDEN_level_ids!$B:$B,MATCH(H1907,[1]IDEN_level_ids!$A:$A,0),1)</f>
        <v>1019</v>
      </c>
    </row>
    <row r="1908" spans="1:21" hidden="1" x14ac:dyDescent="0.25">
      <c r="A1908">
        <v>47690.993199999997</v>
      </c>
      <c r="B1908">
        <v>2096.8319999999999</v>
      </c>
      <c r="C1908">
        <v>9</v>
      </c>
      <c r="D1908" t="s">
        <v>601</v>
      </c>
      <c r="F1908">
        <v>1969</v>
      </c>
      <c r="G1908" s="1" t="s">
        <v>79</v>
      </c>
      <c r="H1908" s="1" t="s">
        <v>468</v>
      </c>
      <c r="I1908">
        <v>0.122</v>
      </c>
      <c r="J1908">
        <v>47691.026400000002</v>
      </c>
      <c r="K1908">
        <v>1.4599999999999999E-3</v>
      </c>
      <c r="L1908">
        <v>1.077E-2</v>
      </c>
      <c r="M1908">
        <v>0.245</v>
      </c>
      <c r="N1908">
        <v>2.6800000000000001E-2</v>
      </c>
      <c r="O1908">
        <v>1.107E-2</v>
      </c>
      <c r="P1908" s="3">
        <f t="shared" si="116"/>
        <v>2096.831986296314</v>
      </c>
      <c r="Q1908" s="3">
        <f t="shared" si="117"/>
        <v>1.4597048375435406E-3</v>
      </c>
      <c r="R1908" s="3">
        <f t="shared" si="118"/>
        <v>1.077E-2</v>
      </c>
      <c r="S1908">
        <f t="shared" si="119"/>
        <v>45</v>
      </c>
      <c r="T1908">
        <f>INDEX([1]IDEN_level_ids!$B:$B,MATCH(G1908,[1]IDEN_level_ids!$A:$A,0),1)</f>
        <v>1216</v>
      </c>
      <c r="U1908">
        <f>INDEX([1]IDEN_level_ids!$B:$B,MATCH(H1908,[1]IDEN_level_ids!$A:$A,0),1)</f>
        <v>1044</v>
      </c>
    </row>
    <row r="1909" spans="1:21" hidden="1" x14ac:dyDescent="0.25">
      <c r="A1909">
        <v>47689.675000000003</v>
      </c>
      <c r="B1909">
        <v>2096.8899000000001</v>
      </c>
      <c r="C1909">
        <v>9</v>
      </c>
      <c r="D1909" t="s">
        <v>601</v>
      </c>
      <c r="F1909">
        <v>1969</v>
      </c>
      <c r="G1909" s="1" t="s">
        <v>271</v>
      </c>
      <c r="H1909" s="1" t="s">
        <v>542</v>
      </c>
      <c r="I1909">
        <v>0</v>
      </c>
      <c r="J1909">
        <v>47689.846400000002</v>
      </c>
      <c r="K1909">
        <v>7.5300000000000002E-3</v>
      </c>
      <c r="L1909">
        <v>1.077E-2</v>
      </c>
      <c r="M1909">
        <v>0.245</v>
      </c>
      <c r="N1909">
        <v>4.6399999999999997E-2</v>
      </c>
      <c r="O1909">
        <v>1.1299999999999999E-2</v>
      </c>
      <c r="P1909" s="3">
        <f t="shared" si="116"/>
        <v>2096.8899452554456</v>
      </c>
      <c r="Q1909" s="3">
        <f t="shared" si="117"/>
        <v>7.5363408304838231E-3</v>
      </c>
      <c r="R1909" s="3">
        <f t="shared" si="118"/>
        <v>1.077E-2</v>
      </c>
      <c r="S1909">
        <f t="shared" si="119"/>
        <v>45</v>
      </c>
      <c r="T1909">
        <f>INDEX([1]IDEN_level_ids!$B:$B,MATCH(G1909,[1]IDEN_level_ids!$A:$A,0),1)</f>
        <v>1158</v>
      </c>
      <c r="U1909">
        <f>INDEX([1]IDEN_level_ids!$B:$B,MATCH(H1909,[1]IDEN_level_ids!$A:$A,0),1)</f>
        <v>981</v>
      </c>
    </row>
    <row r="1910" spans="1:21" hidden="1" x14ac:dyDescent="0.25">
      <c r="A1910">
        <v>47687.512600000002</v>
      </c>
      <c r="B1910">
        <v>2096.9850000000001</v>
      </c>
      <c r="C1910">
        <v>9</v>
      </c>
      <c r="D1910" t="s">
        <v>601</v>
      </c>
      <c r="F1910">
        <v>1969</v>
      </c>
      <c r="G1910" s="1" t="s">
        <v>551</v>
      </c>
      <c r="H1910" s="1" t="s">
        <v>535</v>
      </c>
      <c r="I1910">
        <v>0</v>
      </c>
      <c r="J1910">
        <v>47687.619599999998</v>
      </c>
      <c r="K1910">
        <v>4.7000000000000002E-3</v>
      </c>
      <c r="L1910">
        <v>1.077E-2</v>
      </c>
      <c r="M1910">
        <v>0.245</v>
      </c>
      <c r="N1910">
        <v>0.31340000000000001</v>
      </c>
      <c r="O1910">
        <v>1.5689999999999999E-2</v>
      </c>
      <c r="P1910" s="3">
        <f t="shared" si="116"/>
        <v>2096.9850291583462</v>
      </c>
      <c r="Q1910" s="3">
        <f t="shared" si="117"/>
        <v>4.7051498900145816E-3</v>
      </c>
      <c r="R1910" s="3">
        <f t="shared" si="118"/>
        <v>1.077E-2</v>
      </c>
      <c r="S1910">
        <f t="shared" si="119"/>
        <v>45</v>
      </c>
      <c r="T1910">
        <f>INDEX([1]IDEN_level_ids!$B:$B,MATCH(G1910,[1]IDEN_level_ids!$A:$A,0),1)</f>
        <v>1013</v>
      </c>
      <c r="U1910">
        <f>INDEX([1]IDEN_level_ids!$B:$B,MATCH(H1910,[1]IDEN_level_ids!$A:$A,0),1)</f>
        <v>718</v>
      </c>
    </row>
    <row r="1911" spans="1:21" hidden="1" x14ac:dyDescent="0.25">
      <c r="A1911">
        <v>47685.4683</v>
      </c>
      <c r="B1911">
        <v>2097.0749000000001</v>
      </c>
      <c r="C1911">
        <v>9</v>
      </c>
      <c r="D1911" t="s">
        <v>601</v>
      </c>
      <c r="F1911">
        <v>1969</v>
      </c>
      <c r="G1911" s="1" t="s">
        <v>204</v>
      </c>
      <c r="H1911" s="1" t="s">
        <v>562</v>
      </c>
      <c r="I1911">
        <v>0</v>
      </c>
      <c r="J1911">
        <v>47685.625500000002</v>
      </c>
      <c r="K1911">
        <v>6.9100000000000003E-3</v>
      </c>
      <c r="L1911">
        <v>1.077E-2</v>
      </c>
      <c r="M1911">
        <v>0.245</v>
      </c>
      <c r="N1911">
        <v>2.93E-2</v>
      </c>
      <c r="O1911">
        <v>1.11E-2</v>
      </c>
      <c r="P1911" s="3">
        <f t="shared" si="116"/>
        <v>2097.0749279608103</v>
      </c>
      <c r="Q1911" s="3">
        <f t="shared" si="117"/>
        <v>6.9131981645114138E-3</v>
      </c>
      <c r="R1911" s="3">
        <f t="shared" si="118"/>
        <v>1.077E-2</v>
      </c>
      <c r="S1911">
        <f t="shared" si="119"/>
        <v>45</v>
      </c>
      <c r="T1911">
        <f>INDEX([1]IDEN_level_ids!$B:$B,MATCH(G1911,[1]IDEN_level_ids!$A:$A,0),1)</f>
        <v>1176</v>
      </c>
      <c r="U1911">
        <f>INDEX([1]IDEN_level_ids!$B:$B,MATCH(H1911,[1]IDEN_level_ids!$A:$A,0),1)</f>
        <v>999</v>
      </c>
    </row>
    <row r="1912" spans="1:21" hidden="1" x14ac:dyDescent="0.25">
      <c r="A1912">
        <v>47683.532299999999</v>
      </c>
      <c r="B1912">
        <v>2097.1601000000001</v>
      </c>
      <c r="C1912">
        <v>9</v>
      </c>
      <c r="D1912" t="s">
        <v>601</v>
      </c>
      <c r="F1912">
        <v>1969</v>
      </c>
      <c r="G1912" s="1" t="s">
        <v>38</v>
      </c>
      <c r="H1912" s="1" t="s">
        <v>576</v>
      </c>
      <c r="I1912">
        <v>0.1002</v>
      </c>
      <c r="J1912">
        <v>47683.626199999999</v>
      </c>
      <c r="K1912">
        <v>4.13E-3</v>
      </c>
      <c r="L1912">
        <v>1.077E-2</v>
      </c>
      <c r="M1912">
        <v>0.245</v>
      </c>
      <c r="N1912">
        <v>2.58E-2</v>
      </c>
      <c r="O1912">
        <v>1.106E-2</v>
      </c>
      <c r="P1912" s="3">
        <f t="shared" si="116"/>
        <v>2097.1600713397652</v>
      </c>
      <c r="Q1912" s="3">
        <f t="shared" si="117"/>
        <v>4.1297893299088173E-3</v>
      </c>
      <c r="R1912" s="3">
        <f t="shared" si="118"/>
        <v>1.077E-2</v>
      </c>
      <c r="S1912">
        <f t="shared" si="119"/>
        <v>45</v>
      </c>
      <c r="T1912">
        <f>INDEX([1]IDEN_level_ids!$B:$B,MATCH(G1912,[1]IDEN_level_ids!$A:$A,0),1)</f>
        <v>1201</v>
      </c>
      <c r="U1912">
        <f>INDEX([1]IDEN_level_ids!$B:$B,MATCH(H1912,[1]IDEN_level_ids!$A:$A,0),1)</f>
        <v>1024</v>
      </c>
    </row>
    <row r="1913" spans="1:21" hidden="1" x14ac:dyDescent="0.25">
      <c r="A1913">
        <v>47681.848899999997</v>
      </c>
      <c r="B1913">
        <v>2097.2341000000001</v>
      </c>
      <c r="C1913">
        <v>9</v>
      </c>
      <c r="D1913" t="s">
        <v>601</v>
      </c>
      <c r="F1913">
        <v>1969</v>
      </c>
      <c r="G1913" s="1" t="s">
        <v>41</v>
      </c>
      <c r="H1913" s="1" t="s">
        <v>398</v>
      </c>
      <c r="I1913">
        <v>0.2341</v>
      </c>
      <c r="J1913">
        <v>47681.965300000003</v>
      </c>
      <c r="K1913">
        <v>5.1200000000000004E-3</v>
      </c>
      <c r="L1913">
        <v>1.078E-2</v>
      </c>
      <c r="M1913">
        <v>0.245</v>
      </c>
      <c r="N1913">
        <v>2.8299999999999999E-2</v>
      </c>
      <c r="O1913">
        <v>1.1089999999999999E-2</v>
      </c>
      <c r="P1913" s="3">
        <f t="shared" si="116"/>
        <v>2097.2341112385011</v>
      </c>
      <c r="Q1913" s="3">
        <f t="shared" si="117"/>
        <v>5.1197145298829128E-3</v>
      </c>
      <c r="R1913" s="3">
        <f t="shared" si="118"/>
        <v>1.078E-2</v>
      </c>
      <c r="S1913">
        <f t="shared" si="119"/>
        <v>45</v>
      </c>
      <c r="T1913">
        <f>INDEX([1]IDEN_level_ids!$B:$B,MATCH(G1913,[1]IDEN_level_ids!$A:$A,0),1)</f>
        <v>1238</v>
      </c>
      <c r="U1913">
        <f>INDEX([1]IDEN_level_ids!$B:$B,MATCH(H1913,[1]IDEN_level_ids!$A:$A,0),1)</f>
        <v>1075</v>
      </c>
    </row>
    <row r="1914" spans="1:21" hidden="1" x14ac:dyDescent="0.25">
      <c r="A1914">
        <v>47680.714</v>
      </c>
      <c r="B1914">
        <v>2097.2840000000001</v>
      </c>
      <c r="C1914">
        <v>9</v>
      </c>
      <c r="D1914" t="s">
        <v>601</v>
      </c>
      <c r="F1914">
        <v>1969</v>
      </c>
      <c r="G1914" s="1" t="s">
        <v>33</v>
      </c>
      <c r="H1914" s="1" t="s">
        <v>438</v>
      </c>
      <c r="I1914">
        <v>0</v>
      </c>
      <c r="J1914">
        <v>47680.893199999999</v>
      </c>
      <c r="K1914">
        <v>7.8899999999999994E-3</v>
      </c>
      <c r="L1914">
        <v>1.078E-2</v>
      </c>
      <c r="M1914">
        <v>0.245</v>
      </c>
      <c r="N1914">
        <v>2.58E-2</v>
      </c>
      <c r="O1914">
        <v>1.106E-2</v>
      </c>
      <c r="P1914" s="3">
        <f t="shared" si="116"/>
        <v>2097.2840297651583</v>
      </c>
      <c r="Q1914" s="3">
        <f t="shared" si="117"/>
        <v>7.8822621162544237E-3</v>
      </c>
      <c r="R1914" s="3">
        <f t="shared" si="118"/>
        <v>1.078E-2</v>
      </c>
      <c r="S1914">
        <f t="shared" si="119"/>
        <v>45</v>
      </c>
      <c r="T1914">
        <f>INDEX([1]IDEN_level_ids!$B:$B,MATCH(G1914,[1]IDEN_level_ids!$A:$A,0),1)</f>
        <v>1220</v>
      </c>
      <c r="U1914">
        <f>INDEX([1]IDEN_level_ids!$B:$B,MATCH(H1914,[1]IDEN_level_ids!$A:$A,0),1)</f>
        <v>1051</v>
      </c>
    </row>
    <row r="1915" spans="1:21" hidden="1" x14ac:dyDescent="0.25">
      <c r="A1915">
        <v>47675.508600000001</v>
      </c>
      <c r="B1915">
        <v>2097.5129999999999</v>
      </c>
      <c r="C1915">
        <v>9</v>
      </c>
      <c r="D1915" t="s">
        <v>601</v>
      </c>
      <c r="F1915">
        <v>1969</v>
      </c>
      <c r="G1915" s="1" t="s">
        <v>22</v>
      </c>
      <c r="H1915" s="1" t="s">
        <v>518</v>
      </c>
      <c r="I1915">
        <v>0</v>
      </c>
      <c r="J1915">
        <v>47675.648300000001</v>
      </c>
      <c r="K1915">
        <v>6.1500000000000001E-3</v>
      </c>
      <c r="L1915">
        <v>1.078E-2</v>
      </c>
      <c r="M1915">
        <v>0.245</v>
      </c>
      <c r="N1915">
        <v>2.9899999999999999E-2</v>
      </c>
      <c r="O1915">
        <v>1.111E-2</v>
      </c>
      <c r="P1915" s="3">
        <f t="shared" si="116"/>
        <v>2097.5130195045258</v>
      </c>
      <c r="Q1915" s="3">
        <f t="shared" si="117"/>
        <v>6.1461685213544115E-3</v>
      </c>
      <c r="R1915" s="3">
        <f t="shared" si="118"/>
        <v>1.078E-2</v>
      </c>
      <c r="S1915">
        <f t="shared" si="119"/>
        <v>45</v>
      </c>
      <c r="T1915">
        <f>INDEX([1]IDEN_level_ids!$B:$B,MATCH(G1915,[1]IDEN_level_ids!$A:$A,0),1)</f>
        <v>1236</v>
      </c>
      <c r="U1915">
        <f>INDEX([1]IDEN_level_ids!$B:$B,MATCH(H1915,[1]IDEN_level_ids!$A:$A,0),1)</f>
        <v>1074</v>
      </c>
    </row>
    <row r="1916" spans="1:21" hidden="1" x14ac:dyDescent="0.25">
      <c r="A1916">
        <v>47673.508500000004</v>
      </c>
      <c r="B1916">
        <v>2097.6010000000001</v>
      </c>
      <c r="C1916">
        <v>9</v>
      </c>
      <c r="D1916" t="s">
        <v>601</v>
      </c>
      <c r="F1916">
        <v>1969</v>
      </c>
      <c r="G1916" s="1" t="s">
        <v>27</v>
      </c>
      <c r="H1916" s="1" t="s">
        <v>545</v>
      </c>
      <c r="I1916">
        <v>0</v>
      </c>
      <c r="J1916">
        <v>47673.675300000003</v>
      </c>
      <c r="K1916">
        <v>7.3400000000000002E-3</v>
      </c>
      <c r="L1916">
        <v>1.078E-2</v>
      </c>
      <c r="M1916">
        <v>0.245</v>
      </c>
      <c r="N1916">
        <v>3.09E-2</v>
      </c>
      <c r="O1916">
        <v>1.112E-2</v>
      </c>
      <c r="P1916" s="3">
        <f t="shared" si="116"/>
        <v>2097.601018813205</v>
      </c>
      <c r="Q1916" s="3">
        <f t="shared" si="117"/>
        <v>7.3390576189922285E-3</v>
      </c>
      <c r="R1916" s="3">
        <f t="shared" si="118"/>
        <v>1.078E-2</v>
      </c>
      <c r="S1916">
        <f t="shared" si="119"/>
        <v>45</v>
      </c>
      <c r="T1916">
        <f>INDEX([1]IDEN_level_ids!$B:$B,MATCH(G1916,[1]IDEN_level_ids!$A:$A,0),1)</f>
        <v>1242</v>
      </c>
      <c r="U1916">
        <f>INDEX([1]IDEN_level_ids!$B:$B,MATCH(H1916,[1]IDEN_level_ids!$A:$A,0),1)</f>
        <v>1081</v>
      </c>
    </row>
    <row r="1917" spans="1:21" hidden="1" x14ac:dyDescent="0.25">
      <c r="A1917">
        <v>47668.847800000003</v>
      </c>
      <c r="B1917">
        <v>2097.8060999999998</v>
      </c>
      <c r="C1917">
        <v>9</v>
      </c>
      <c r="D1917" t="s">
        <v>601</v>
      </c>
      <c r="F1917">
        <v>1969</v>
      </c>
      <c r="G1917" s="1" t="s">
        <v>72</v>
      </c>
      <c r="H1917" s="1" t="s">
        <v>416</v>
      </c>
      <c r="I1917">
        <v>0.1961</v>
      </c>
      <c r="J1917">
        <v>47668.861799999999</v>
      </c>
      <c r="K1917">
        <v>6.2E-4</v>
      </c>
      <c r="L1917">
        <v>1.078E-2</v>
      </c>
      <c r="M1917">
        <v>0.245</v>
      </c>
      <c r="N1917">
        <v>2.8199999999999999E-2</v>
      </c>
      <c r="O1917">
        <v>1.1089999999999999E-2</v>
      </c>
      <c r="P1917" s="3">
        <f t="shared" si="116"/>
        <v>2097.8061064022613</v>
      </c>
      <c r="Q1917" s="3">
        <f t="shared" si="117"/>
        <v>6.1611048340637353E-4</v>
      </c>
      <c r="R1917" s="3">
        <f t="shared" si="118"/>
        <v>1.078E-2</v>
      </c>
      <c r="S1917">
        <f t="shared" si="119"/>
        <v>45</v>
      </c>
      <c r="T1917">
        <f>INDEX([1]IDEN_level_ids!$B:$B,MATCH(G1917,[1]IDEN_level_ids!$A:$A,0),1)</f>
        <v>1225</v>
      </c>
      <c r="U1917">
        <f>INDEX([1]IDEN_level_ids!$B:$B,MATCH(H1917,[1]IDEN_level_ids!$A:$A,0),1)</f>
        <v>1055</v>
      </c>
    </row>
    <row r="1918" spans="1:21" hidden="1" x14ac:dyDescent="0.25">
      <c r="A1918">
        <v>47658.195599999999</v>
      </c>
      <c r="B1918">
        <v>2098.2750000000001</v>
      </c>
      <c r="C1918">
        <v>9</v>
      </c>
      <c r="D1918" t="s">
        <v>601</v>
      </c>
      <c r="F1918">
        <v>1969</v>
      </c>
      <c r="G1918" s="1" t="s">
        <v>238</v>
      </c>
      <c r="H1918" s="1" t="s">
        <v>537</v>
      </c>
      <c r="I1918">
        <v>0</v>
      </c>
      <c r="J1918">
        <v>47658.322999999997</v>
      </c>
      <c r="K1918">
        <v>5.6100000000000004E-3</v>
      </c>
      <c r="L1918">
        <v>1.0789999999999999E-2</v>
      </c>
      <c r="M1918">
        <v>0.245</v>
      </c>
      <c r="N1918">
        <v>3.56E-2</v>
      </c>
      <c r="O1918">
        <v>1.1180000000000001E-2</v>
      </c>
      <c r="P1918" s="3">
        <f t="shared" si="116"/>
        <v>2098.2749921820373</v>
      </c>
      <c r="Q1918" s="3">
        <f t="shared" si="117"/>
        <v>5.6090986249728303E-3</v>
      </c>
      <c r="R1918" s="3">
        <f t="shared" si="118"/>
        <v>1.0789999999999999E-2</v>
      </c>
      <c r="S1918">
        <f t="shared" si="119"/>
        <v>45</v>
      </c>
      <c r="T1918">
        <f>INDEX([1]IDEN_level_ids!$B:$B,MATCH(G1918,[1]IDEN_level_ids!$A:$A,0),1)</f>
        <v>1165</v>
      </c>
      <c r="U1918">
        <f>INDEX([1]IDEN_level_ids!$B:$B,MATCH(H1918,[1]IDEN_level_ids!$A:$A,0),1)</f>
        <v>991</v>
      </c>
    </row>
    <row r="1919" spans="1:21" hidden="1" x14ac:dyDescent="0.25">
      <c r="A1919">
        <v>47652.5651</v>
      </c>
      <c r="B1919">
        <v>2098.5228999999999</v>
      </c>
      <c r="C1919">
        <v>9</v>
      </c>
      <c r="D1919" t="s">
        <v>601</v>
      </c>
      <c r="F1919">
        <v>1969</v>
      </c>
      <c r="G1919" s="1" t="s">
        <v>140</v>
      </c>
      <c r="H1919" s="1" t="s">
        <v>481</v>
      </c>
      <c r="I1919">
        <v>0</v>
      </c>
      <c r="J1919">
        <v>47652.706200000001</v>
      </c>
      <c r="K1919">
        <v>6.2199999999999998E-3</v>
      </c>
      <c r="L1919">
        <v>1.0789999999999999E-2</v>
      </c>
      <c r="M1919">
        <v>0.245</v>
      </c>
      <c r="N1919">
        <v>3.0300000000000001E-2</v>
      </c>
      <c r="O1919">
        <v>1.1129999999999999E-2</v>
      </c>
      <c r="P1919" s="3">
        <f t="shared" si="116"/>
        <v>2098.5229187588898</v>
      </c>
      <c r="Q1919" s="3">
        <f t="shared" si="117"/>
        <v>6.2137412010088156E-3</v>
      </c>
      <c r="R1919" s="3">
        <f t="shared" si="118"/>
        <v>1.0789999999999999E-2</v>
      </c>
      <c r="S1919">
        <f t="shared" si="119"/>
        <v>45</v>
      </c>
      <c r="T1919">
        <f>INDEX([1]IDEN_level_ids!$B:$B,MATCH(G1919,[1]IDEN_level_ids!$A:$A,0),1)</f>
        <v>1198</v>
      </c>
      <c r="U1919">
        <f>INDEX([1]IDEN_level_ids!$B:$B,MATCH(H1919,[1]IDEN_level_ids!$A:$A,0),1)</f>
        <v>1016</v>
      </c>
    </row>
    <row r="1920" spans="1:21" hidden="1" x14ac:dyDescent="0.25">
      <c r="A1920">
        <v>47643.934099999999</v>
      </c>
      <c r="B1920">
        <v>2098.9031</v>
      </c>
      <c r="C1920">
        <v>9</v>
      </c>
      <c r="D1920" t="s">
        <v>601</v>
      </c>
      <c r="F1920">
        <v>1969</v>
      </c>
      <c r="G1920" s="1" t="s">
        <v>243</v>
      </c>
      <c r="H1920" s="1" t="s">
        <v>475</v>
      </c>
      <c r="I1920">
        <v>0.13919999999999999</v>
      </c>
      <c r="J1920">
        <v>47643.989699999998</v>
      </c>
      <c r="K1920">
        <v>2.4499999999999999E-3</v>
      </c>
      <c r="L1920">
        <v>1.0789999999999999E-2</v>
      </c>
      <c r="M1920">
        <v>0.245</v>
      </c>
      <c r="N1920">
        <v>2.86E-2</v>
      </c>
      <c r="O1920">
        <v>1.111E-2</v>
      </c>
      <c r="P1920" s="3">
        <f t="shared" si="116"/>
        <v>2098.9030794583355</v>
      </c>
      <c r="Q1920" s="3">
        <f t="shared" si="117"/>
        <v>2.4493962814631232E-3</v>
      </c>
      <c r="R1920" s="3">
        <f t="shared" si="118"/>
        <v>1.0789999999999999E-2</v>
      </c>
      <c r="S1920">
        <f t="shared" si="119"/>
        <v>45</v>
      </c>
      <c r="T1920">
        <f>INDEX([1]IDEN_level_ids!$B:$B,MATCH(G1920,[1]IDEN_level_ids!$A:$A,0),1)</f>
        <v>1205</v>
      </c>
      <c r="U1920">
        <f>INDEX([1]IDEN_level_ids!$B:$B,MATCH(H1920,[1]IDEN_level_ids!$A:$A,0),1)</f>
        <v>1030</v>
      </c>
    </row>
    <row r="1921" spans="1:21" hidden="1" x14ac:dyDescent="0.25">
      <c r="A1921">
        <v>47632.610999999997</v>
      </c>
      <c r="B1921">
        <v>2099.402</v>
      </c>
      <c r="C1921">
        <v>9</v>
      </c>
      <c r="D1921" t="s">
        <v>601</v>
      </c>
      <c r="F1921">
        <v>1969</v>
      </c>
      <c r="G1921" s="1" t="s">
        <v>53</v>
      </c>
      <c r="H1921" s="1" t="s">
        <v>375</v>
      </c>
      <c r="I1921">
        <v>0.21110000000000001</v>
      </c>
      <c r="J1921">
        <v>47632.661999999997</v>
      </c>
      <c r="K1921">
        <v>2.2499999999999998E-3</v>
      </c>
      <c r="L1921">
        <v>1.0800000000000001E-2</v>
      </c>
      <c r="M1921">
        <v>0.245</v>
      </c>
      <c r="N1921">
        <v>3.2599999999999997E-2</v>
      </c>
      <c r="O1921">
        <v>1.116E-2</v>
      </c>
      <c r="P1921" s="3">
        <f t="shared" si="116"/>
        <v>2099.4020252217542</v>
      </c>
      <c r="Q1921" s="3">
        <f t="shared" si="117"/>
        <v>2.2478169134956261E-3</v>
      </c>
      <c r="R1921" s="3">
        <f t="shared" si="118"/>
        <v>1.0800000000000001E-2</v>
      </c>
      <c r="S1921">
        <f t="shared" si="119"/>
        <v>45</v>
      </c>
      <c r="T1921">
        <f>INDEX([1]IDEN_level_ids!$B:$B,MATCH(G1921,[1]IDEN_level_ids!$A:$A,0),1)</f>
        <v>1231</v>
      </c>
      <c r="U1921">
        <f>INDEX([1]IDEN_level_ids!$B:$B,MATCH(H1921,[1]IDEN_level_ids!$A:$A,0),1)</f>
        <v>1065</v>
      </c>
    </row>
    <row r="1922" spans="1:21" hidden="1" x14ac:dyDescent="0.25">
      <c r="A1922">
        <v>47624.5605</v>
      </c>
      <c r="B1922">
        <v>2099.7568999999999</v>
      </c>
      <c r="C1922">
        <v>9</v>
      </c>
      <c r="D1922" t="s">
        <v>601</v>
      </c>
      <c r="F1922">
        <v>1969</v>
      </c>
      <c r="G1922" s="1" t="s">
        <v>295</v>
      </c>
      <c r="H1922" s="1" t="s">
        <v>572</v>
      </c>
      <c r="I1922">
        <v>0</v>
      </c>
      <c r="J1922">
        <v>47624.662300000004</v>
      </c>
      <c r="K1922">
        <v>4.4900000000000001E-3</v>
      </c>
      <c r="L1922">
        <v>1.0800000000000001E-2</v>
      </c>
      <c r="M1922">
        <v>0.245</v>
      </c>
      <c r="N1922">
        <v>0.26140000000000002</v>
      </c>
      <c r="O1922">
        <v>1.4619999999999999E-2</v>
      </c>
      <c r="P1922" s="3">
        <f t="shared" ref="P1922:P1985" si="120">100000000/$A1922</f>
        <v>2099.7569100926403</v>
      </c>
      <c r="Q1922" s="3">
        <f t="shared" ref="Q1922:Q1985" si="121">100000000/($A1922)-100000000/$J1922</f>
        <v>4.4883311111334478E-3</v>
      </c>
      <c r="R1922" s="3">
        <f t="shared" si="118"/>
        <v>1.0800000000000001E-2</v>
      </c>
      <c r="S1922">
        <f t="shared" si="119"/>
        <v>45</v>
      </c>
      <c r="T1922">
        <f>INDEX([1]IDEN_level_ids!$B:$B,MATCH(G1922,[1]IDEN_level_ids!$A:$A,0),1)</f>
        <v>1152</v>
      </c>
      <c r="U1922">
        <f>INDEX([1]IDEN_level_ids!$B:$B,MATCH(H1922,[1]IDEN_level_ids!$A:$A,0),1)</f>
        <v>977</v>
      </c>
    </row>
    <row r="1923" spans="1:21" hidden="1" x14ac:dyDescent="0.25">
      <c r="A1923">
        <v>47620.2255</v>
      </c>
      <c r="B1923">
        <v>2099.9481000000001</v>
      </c>
      <c r="C1923">
        <v>9</v>
      </c>
      <c r="D1923" t="s">
        <v>601</v>
      </c>
      <c r="F1923">
        <v>1969</v>
      </c>
      <c r="G1923" s="1" t="s">
        <v>216</v>
      </c>
      <c r="H1923" s="1" t="s">
        <v>550</v>
      </c>
      <c r="I1923">
        <v>0</v>
      </c>
      <c r="J1923">
        <v>47620.286699999997</v>
      </c>
      <c r="K1923">
        <v>2.7000000000000001E-3</v>
      </c>
      <c r="L1923">
        <v>1.0800000000000001E-2</v>
      </c>
      <c r="M1923">
        <v>0.245</v>
      </c>
      <c r="N1923">
        <v>3.56E-2</v>
      </c>
      <c r="O1923">
        <v>1.12E-2</v>
      </c>
      <c r="P1923" s="3">
        <f t="shared" si="120"/>
        <v>2099.9480567348428</v>
      </c>
      <c r="Q1923" s="3">
        <f t="shared" si="121"/>
        <v>2.6987830183315964E-3</v>
      </c>
      <c r="R1923" s="3">
        <f t="shared" ref="R1923:R1986" si="122">$L1923</f>
        <v>1.0800000000000001E-2</v>
      </c>
      <c r="S1923">
        <f t="shared" si="119"/>
        <v>45</v>
      </c>
      <c r="T1923">
        <f>INDEX([1]IDEN_level_ids!$B:$B,MATCH(G1923,[1]IDEN_level_ids!$A:$A,0),1)</f>
        <v>1170</v>
      </c>
      <c r="U1923">
        <f>INDEX([1]IDEN_level_ids!$B:$B,MATCH(H1923,[1]IDEN_level_ids!$A:$A,0),1)</f>
        <v>997</v>
      </c>
    </row>
    <row r="1924" spans="1:21" hidden="1" x14ac:dyDescent="0.25">
      <c r="A1924">
        <v>47581.637499999997</v>
      </c>
      <c r="B1924">
        <v>2101.6511</v>
      </c>
      <c r="C1924">
        <v>9</v>
      </c>
      <c r="D1924" t="s">
        <v>601</v>
      </c>
      <c r="F1924">
        <v>1969</v>
      </c>
      <c r="G1924" s="1" t="s">
        <v>548</v>
      </c>
      <c r="H1924" s="1" t="s">
        <v>558</v>
      </c>
      <c r="I1924">
        <v>0</v>
      </c>
      <c r="J1924">
        <v>47581.665000000001</v>
      </c>
      <c r="K1924">
        <v>1.2199999999999999E-3</v>
      </c>
      <c r="L1924">
        <v>1.082E-2</v>
      </c>
      <c r="M1924">
        <v>0.245</v>
      </c>
      <c r="N1924">
        <v>0.27860000000000001</v>
      </c>
      <c r="O1924">
        <v>1.4999999999999999E-2</v>
      </c>
      <c r="P1924" s="3">
        <f t="shared" si="120"/>
        <v>2101.6510833617276</v>
      </c>
      <c r="Q1924" s="3">
        <f t="shared" si="121"/>
        <v>1.2146570488766883E-3</v>
      </c>
      <c r="R1924" s="3">
        <f t="shared" si="122"/>
        <v>1.082E-2</v>
      </c>
      <c r="S1924">
        <f t="shared" ref="S1924:S1987" si="123">IF(D1924=D1923,S1923,S1923+1)</f>
        <v>45</v>
      </c>
      <c r="T1924">
        <f>INDEX([1]IDEN_level_ids!$B:$B,MATCH(G1924,[1]IDEN_level_ids!$A:$A,0),1)</f>
        <v>1005</v>
      </c>
      <c r="U1924">
        <f>INDEX([1]IDEN_level_ids!$B:$B,MATCH(H1924,[1]IDEN_level_ids!$A:$A,0),1)</f>
        <v>683</v>
      </c>
    </row>
    <row r="1925" spans="1:21" hidden="1" x14ac:dyDescent="0.25">
      <c r="A1925">
        <v>47578.766000000003</v>
      </c>
      <c r="B1925">
        <v>2101.7779</v>
      </c>
      <c r="C1925">
        <v>9</v>
      </c>
      <c r="D1925" t="s">
        <v>601</v>
      </c>
      <c r="F1925">
        <v>1969</v>
      </c>
      <c r="G1925" s="1" t="s">
        <v>194</v>
      </c>
      <c r="H1925" s="1" t="s">
        <v>510</v>
      </c>
      <c r="I1925">
        <v>0</v>
      </c>
      <c r="J1925">
        <v>47578.926599999999</v>
      </c>
      <c r="K1925">
        <v>7.1000000000000004E-3</v>
      </c>
      <c r="L1925">
        <v>1.082E-2</v>
      </c>
      <c r="M1925">
        <v>0.245</v>
      </c>
      <c r="N1925">
        <v>3.8899999999999997E-2</v>
      </c>
      <c r="O1925">
        <v>1.1259999999999999E-2</v>
      </c>
      <c r="P1925" s="3">
        <f t="shared" si="120"/>
        <v>2101.7779233702695</v>
      </c>
      <c r="Q1925" s="3">
        <f t="shared" si="121"/>
        <v>7.0944335780041001E-3</v>
      </c>
      <c r="R1925" s="3">
        <f t="shared" si="122"/>
        <v>1.082E-2</v>
      </c>
      <c r="S1925">
        <f t="shared" si="123"/>
        <v>45</v>
      </c>
      <c r="T1925">
        <f>INDEX([1]IDEN_level_ids!$B:$B,MATCH(G1925,[1]IDEN_level_ids!$A:$A,0),1)</f>
        <v>1187</v>
      </c>
      <c r="U1925">
        <f>INDEX([1]IDEN_level_ids!$B:$B,MATCH(H1925,[1]IDEN_level_ids!$A:$A,0),1)</f>
        <v>1006</v>
      </c>
    </row>
    <row r="1926" spans="1:21" hidden="1" x14ac:dyDescent="0.25">
      <c r="A1926">
        <v>47576.522100000002</v>
      </c>
      <c r="B1926">
        <v>2101.8771000000002</v>
      </c>
      <c r="C1926">
        <v>9</v>
      </c>
      <c r="D1926" t="s">
        <v>601</v>
      </c>
      <c r="F1926">
        <v>1969</v>
      </c>
      <c r="G1926" s="1" t="s">
        <v>289</v>
      </c>
      <c r="H1926" s="1" t="s">
        <v>496</v>
      </c>
      <c r="I1926">
        <v>0</v>
      </c>
      <c r="J1926">
        <v>47576.775099999999</v>
      </c>
      <c r="K1926">
        <v>1.1180000000000001E-2</v>
      </c>
      <c r="L1926">
        <v>1.082E-2</v>
      </c>
      <c r="M1926">
        <v>0.245</v>
      </c>
      <c r="N1926">
        <v>4.1300000000000003E-2</v>
      </c>
      <c r="O1926">
        <v>1.129E-2</v>
      </c>
      <c r="P1926" s="3">
        <f t="shared" si="120"/>
        <v>2101.8770516645227</v>
      </c>
      <c r="Q1926" s="3">
        <f t="shared" si="121"/>
        <v>1.1177195027357811E-2</v>
      </c>
      <c r="R1926" s="3">
        <f t="shared" si="122"/>
        <v>1.082E-2</v>
      </c>
      <c r="S1926">
        <f t="shared" si="123"/>
        <v>45</v>
      </c>
      <c r="T1926">
        <f>INDEX([1]IDEN_level_ids!$B:$B,MATCH(G1926,[1]IDEN_level_ids!$A:$A,0),1)</f>
        <v>1122</v>
      </c>
      <c r="U1926">
        <f>INDEX([1]IDEN_level_ids!$B:$B,MATCH(H1926,[1]IDEN_level_ids!$A:$A,0),1)</f>
        <v>944</v>
      </c>
    </row>
    <row r="1927" spans="1:21" hidden="1" x14ac:dyDescent="0.25">
      <c r="A1927">
        <v>47553.219400000002</v>
      </c>
      <c r="B1927">
        <v>2102.9070000000002</v>
      </c>
      <c r="C1927">
        <v>9</v>
      </c>
      <c r="D1927" t="s">
        <v>601</v>
      </c>
      <c r="F1927">
        <v>1969</v>
      </c>
      <c r="G1927" s="1" t="s">
        <v>69</v>
      </c>
      <c r="H1927" s="1" t="s">
        <v>591</v>
      </c>
      <c r="I1927">
        <v>0</v>
      </c>
      <c r="J1927">
        <v>47553.381999999998</v>
      </c>
      <c r="K1927">
        <v>7.1900000000000002E-3</v>
      </c>
      <c r="L1927">
        <v>1.0829999999999999E-2</v>
      </c>
      <c r="M1927">
        <v>0.245</v>
      </c>
      <c r="N1927">
        <v>4.07E-2</v>
      </c>
      <c r="O1927">
        <v>1.129E-2</v>
      </c>
      <c r="P1927" s="3">
        <f t="shared" si="120"/>
        <v>2102.9070431349173</v>
      </c>
      <c r="Q1927" s="3">
        <f t="shared" si="121"/>
        <v>7.1905019331097719E-3</v>
      </c>
      <c r="R1927" s="3">
        <f t="shared" si="122"/>
        <v>1.0829999999999999E-2</v>
      </c>
      <c r="S1927">
        <f t="shared" si="123"/>
        <v>45</v>
      </c>
      <c r="T1927">
        <f>INDEX([1]IDEN_level_ids!$B:$B,MATCH(G1927,[1]IDEN_level_ids!$A:$A,0),1)</f>
        <v>1218</v>
      </c>
      <c r="U1927">
        <f>INDEX([1]IDEN_level_ids!$B:$B,MATCH(H1927,[1]IDEN_level_ids!$A:$A,0),1)</f>
        <v>1053</v>
      </c>
    </row>
    <row r="1928" spans="1:21" hidden="1" x14ac:dyDescent="0.25">
      <c r="A1928">
        <v>47540.830099999999</v>
      </c>
      <c r="B1928">
        <v>2103.4551000000001</v>
      </c>
      <c r="C1928">
        <v>10</v>
      </c>
      <c r="D1928" t="s">
        <v>604</v>
      </c>
      <c r="F1928">
        <v>1969</v>
      </c>
      <c r="G1928" s="1" t="s">
        <v>197</v>
      </c>
      <c r="H1928" s="1" t="s">
        <v>548</v>
      </c>
      <c r="I1928">
        <v>0</v>
      </c>
      <c r="J1928">
        <v>47541.148699999998</v>
      </c>
      <c r="K1928">
        <v>1.41E-2</v>
      </c>
      <c r="L1928">
        <v>1.0840000000000001E-2</v>
      </c>
      <c r="M1928">
        <v>0.245</v>
      </c>
      <c r="N1928">
        <v>3.1899999999999998E-2</v>
      </c>
      <c r="O1928">
        <v>1.12E-2</v>
      </c>
      <c r="P1928" s="3">
        <f t="shared" si="120"/>
        <v>2103.4550677734169</v>
      </c>
      <c r="Q1928" s="3">
        <f t="shared" si="121"/>
        <v>1.4096436516865651E-2</v>
      </c>
      <c r="R1928" s="3">
        <f t="shared" si="122"/>
        <v>1.0840000000000001E-2</v>
      </c>
      <c r="S1928">
        <f t="shared" si="123"/>
        <v>46</v>
      </c>
      <c r="T1928">
        <f>INDEX([1]IDEN_level_ids!$B:$B,MATCH(G1928,[1]IDEN_level_ids!$A:$A,0),1)</f>
        <v>1182</v>
      </c>
      <c r="U1928">
        <f>INDEX([1]IDEN_level_ids!$B:$B,MATCH(H1928,[1]IDEN_level_ids!$A:$A,0),1)</f>
        <v>1005</v>
      </c>
    </row>
    <row r="1929" spans="1:21" hidden="1" x14ac:dyDescent="0.25">
      <c r="A1929">
        <v>47440.170899999997</v>
      </c>
      <c r="B1929">
        <v>2107.9182000000001</v>
      </c>
      <c r="C1929">
        <v>10</v>
      </c>
      <c r="D1929" t="s">
        <v>604</v>
      </c>
      <c r="F1929">
        <v>1974</v>
      </c>
      <c r="G1929" s="1" t="s">
        <v>53</v>
      </c>
      <c r="H1929" s="1" t="s">
        <v>419</v>
      </c>
      <c r="I1929">
        <v>0.2853</v>
      </c>
      <c r="J1929">
        <v>47440.349300000002</v>
      </c>
      <c r="K1929">
        <v>7.9299999999999995E-3</v>
      </c>
      <c r="L1929">
        <v>2.0500000000000002E-3</v>
      </c>
      <c r="M1929">
        <v>4.6100000000000002E-2</v>
      </c>
      <c r="N1929">
        <v>0.36849999999999999</v>
      </c>
      <c r="O1929">
        <v>3.2399999999999998E-3</v>
      </c>
      <c r="P1929" s="3">
        <f t="shared" si="120"/>
        <v>2107.9182073519892</v>
      </c>
      <c r="Q1929" s="3">
        <f t="shared" si="121"/>
        <v>7.9268515883086366E-3</v>
      </c>
      <c r="R1929" s="3">
        <f t="shared" si="122"/>
        <v>2.0500000000000002E-3</v>
      </c>
      <c r="S1929">
        <f t="shared" si="123"/>
        <v>46</v>
      </c>
      <c r="T1929">
        <f>INDEX([1]IDEN_level_ids!$B:$B,MATCH(G1929,[1]IDEN_level_ids!$A:$A,0),1)</f>
        <v>1231</v>
      </c>
      <c r="U1929">
        <f>INDEX([1]IDEN_level_ids!$B:$B,MATCH(H1929,[1]IDEN_level_ids!$A:$A,0),1)</f>
        <v>1068</v>
      </c>
    </row>
    <row r="1930" spans="1:21" hidden="1" x14ac:dyDescent="0.25">
      <c r="A1930">
        <v>47379.900399999999</v>
      </c>
      <c r="B1930">
        <v>2110.5996</v>
      </c>
      <c r="C1930">
        <v>10</v>
      </c>
      <c r="D1930" t="s">
        <v>604</v>
      </c>
      <c r="F1930">
        <v>1974</v>
      </c>
      <c r="G1930" s="1" t="s">
        <v>36</v>
      </c>
      <c r="H1930" s="1" t="s">
        <v>462</v>
      </c>
      <c r="I1930">
        <v>0.37159999999999999</v>
      </c>
      <c r="J1930">
        <v>47380.122100000001</v>
      </c>
      <c r="K1930">
        <v>9.8799999999999999E-3</v>
      </c>
      <c r="L1930">
        <v>2.0500000000000002E-3</v>
      </c>
      <c r="M1930">
        <v>4.6100000000000002E-2</v>
      </c>
      <c r="N1930">
        <v>0.40550000000000003</v>
      </c>
      <c r="O1930">
        <v>3.4499999999999999E-3</v>
      </c>
      <c r="P1930" s="3">
        <f t="shared" si="120"/>
        <v>2110.5996246458972</v>
      </c>
      <c r="Q1930" s="3">
        <f t="shared" si="121"/>
        <v>9.8758702179111424E-3</v>
      </c>
      <c r="R1930" s="3">
        <f t="shared" si="122"/>
        <v>2.0500000000000002E-3</v>
      </c>
      <c r="S1930">
        <f t="shared" si="123"/>
        <v>46</v>
      </c>
      <c r="T1930">
        <f>INDEX([1]IDEN_level_ids!$B:$B,MATCH(G1930,[1]IDEN_level_ids!$A:$A,0),1)</f>
        <v>1217</v>
      </c>
      <c r="U1930">
        <f>INDEX([1]IDEN_level_ids!$B:$B,MATCH(H1930,[1]IDEN_level_ids!$A:$A,0),1)</f>
        <v>1047</v>
      </c>
    </row>
    <row r="1931" spans="1:21" hidden="1" x14ac:dyDescent="0.25">
      <c r="A1931">
        <v>47348.289599999996</v>
      </c>
      <c r="B1931">
        <v>2112.0086999999999</v>
      </c>
      <c r="C1931">
        <v>10</v>
      </c>
      <c r="D1931" t="s">
        <v>604</v>
      </c>
      <c r="F1931">
        <v>1974</v>
      </c>
      <c r="G1931" s="1" t="s">
        <v>46</v>
      </c>
      <c r="H1931" s="1" t="s">
        <v>437</v>
      </c>
      <c r="I1931">
        <v>0.26329999999999998</v>
      </c>
      <c r="J1931">
        <v>47348.322399999997</v>
      </c>
      <c r="K1931">
        <v>1.4599999999999999E-3</v>
      </c>
      <c r="L1931">
        <v>2.0500000000000002E-3</v>
      </c>
      <c r="M1931">
        <v>4.6100000000000002E-2</v>
      </c>
      <c r="N1931">
        <v>0.2571</v>
      </c>
      <c r="O1931">
        <v>2.7699999999999999E-3</v>
      </c>
      <c r="P1931" s="3">
        <f t="shared" si="120"/>
        <v>2112.0087091804899</v>
      </c>
      <c r="Q1931" s="3">
        <f t="shared" si="121"/>
        <v>1.4630694849984138E-3</v>
      </c>
      <c r="R1931" s="3">
        <f t="shared" si="122"/>
        <v>2.0500000000000002E-3</v>
      </c>
      <c r="S1931">
        <f t="shared" si="123"/>
        <v>46</v>
      </c>
      <c r="T1931">
        <f>INDEX([1]IDEN_level_ids!$B:$B,MATCH(G1931,[1]IDEN_level_ids!$A:$A,0),1)</f>
        <v>1212</v>
      </c>
      <c r="U1931">
        <f>INDEX([1]IDEN_level_ids!$B:$B,MATCH(H1931,[1]IDEN_level_ids!$A:$A,0),1)</f>
        <v>1039</v>
      </c>
    </row>
    <row r="1932" spans="1:21" hidden="1" x14ac:dyDescent="0.25">
      <c r="A1932">
        <v>47315.770700000001</v>
      </c>
      <c r="B1932">
        <v>2113.4602</v>
      </c>
      <c r="C1932">
        <v>10</v>
      </c>
      <c r="D1932" t="s">
        <v>604</v>
      </c>
      <c r="F1932">
        <v>1974</v>
      </c>
      <c r="G1932" s="1" t="s">
        <v>268</v>
      </c>
      <c r="H1932" s="1" t="s">
        <v>526</v>
      </c>
      <c r="I1932">
        <v>0</v>
      </c>
      <c r="J1932">
        <v>47315.9355</v>
      </c>
      <c r="K1932">
        <v>7.3600000000000002E-3</v>
      </c>
      <c r="L1932">
        <v>2.0600000000000002E-3</v>
      </c>
      <c r="M1932">
        <v>4.6100000000000002E-2</v>
      </c>
      <c r="N1932">
        <v>0.3463</v>
      </c>
      <c r="O1932">
        <v>3.15E-3</v>
      </c>
      <c r="P1932" s="3">
        <f t="shared" si="120"/>
        <v>2113.460237899073</v>
      </c>
      <c r="Q1932" s="3">
        <f t="shared" si="121"/>
        <v>7.3611193251963414E-3</v>
      </c>
      <c r="R1932" s="3">
        <f t="shared" si="122"/>
        <v>2.0600000000000002E-3</v>
      </c>
      <c r="S1932">
        <f t="shared" si="123"/>
        <v>46</v>
      </c>
      <c r="T1932">
        <f>INDEX([1]IDEN_level_ids!$B:$B,MATCH(G1932,[1]IDEN_level_ids!$A:$A,0),1)</f>
        <v>1160</v>
      </c>
      <c r="U1932">
        <f>INDEX([1]IDEN_level_ids!$B:$B,MATCH(H1932,[1]IDEN_level_ids!$A:$A,0),1)</f>
        <v>989</v>
      </c>
    </row>
    <row r="1933" spans="1:21" hidden="1" x14ac:dyDescent="0.25">
      <c r="A1933">
        <v>47232.440399999999</v>
      </c>
      <c r="B1933">
        <v>2117.1889000000001</v>
      </c>
      <c r="C1933">
        <v>10</v>
      </c>
      <c r="D1933" t="s">
        <v>604</v>
      </c>
      <c r="F1933">
        <v>1974</v>
      </c>
      <c r="G1933" s="1" t="s">
        <v>56</v>
      </c>
      <c r="H1933" s="1" t="s">
        <v>416</v>
      </c>
      <c r="I1933">
        <v>0.26750000000000002</v>
      </c>
      <c r="J1933">
        <v>47232.576699999998</v>
      </c>
      <c r="K1933">
        <v>6.11E-3</v>
      </c>
      <c r="L1933">
        <v>2.0600000000000002E-3</v>
      </c>
      <c r="M1933">
        <v>4.6100000000000002E-2</v>
      </c>
      <c r="N1933">
        <v>0.22270000000000001</v>
      </c>
      <c r="O1933">
        <v>2.66E-3</v>
      </c>
      <c r="P1933" s="3">
        <f t="shared" si="120"/>
        <v>2117.1889310212309</v>
      </c>
      <c r="Q1933" s="3">
        <f t="shared" si="121"/>
        <v>6.1096148347132839E-3</v>
      </c>
      <c r="R1933" s="3">
        <f t="shared" si="122"/>
        <v>2.0600000000000002E-3</v>
      </c>
      <c r="S1933">
        <f t="shared" si="123"/>
        <v>46</v>
      </c>
      <c r="T1933">
        <f>INDEX([1]IDEN_level_ids!$B:$B,MATCH(G1933,[1]IDEN_level_ids!$A:$A,0),1)</f>
        <v>1221</v>
      </c>
      <c r="U1933">
        <f>INDEX([1]IDEN_level_ids!$B:$B,MATCH(H1933,[1]IDEN_level_ids!$A:$A,0),1)</f>
        <v>1055</v>
      </c>
    </row>
    <row r="1934" spans="1:21" hidden="1" x14ac:dyDescent="0.25">
      <c r="A1934">
        <v>47104.489600000001</v>
      </c>
      <c r="B1934">
        <v>2122.9398999999999</v>
      </c>
      <c r="C1934">
        <v>10</v>
      </c>
      <c r="D1934" t="s">
        <v>604</v>
      </c>
      <c r="F1934">
        <v>1974</v>
      </c>
      <c r="G1934" s="1" t="s">
        <v>20</v>
      </c>
      <c r="H1934" s="1" t="s">
        <v>407</v>
      </c>
      <c r="I1934">
        <v>0.27489999999999998</v>
      </c>
      <c r="J1934">
        <v>47104.526700000002</v>
      </c>
      <c r="K1934">
        <v>1.67E-3</v>
      </c>
      <c r="L1934">
        <v>2.0799999999999998E-3</v>
      </c>
      <c r="M1934">
        <v>4.6100000000000002E-2</v>
      </c>
      <c r="N1934">
        <v>0.2455</v>
      </c>
      <c r="O1934">
        <v>2.7499999999999998E-3</v>
      </c>
      <c r="P1934" s="3">
        <f t="shared" si="120"/>
        <v>2122.9398906383649</v>
      </c>
      <c r="Q1934" s="3">
        <f t="shared" si="121"/>
        <v>1.6720488551982271E-3</v>
      </c>
      <c r="R1934" s="3">
        <f t="shared" si="122"/>
        <v>2.0799999999999998E-3</v>
      </c>
      <c r="S1934">
        <f t="shared" si="123"/>
        <v>46</v>
      </c>
      <c r="T1934">
        <f>INDEX([1]IDEN_level_ids!$B:$B,MATCH(G1934,[1]IDEN_level_ids!$A:$A,0),1)</f>
        <v>1235</v>
      </c>
      <c r="U1934">
        <f>INDEX([1]IDEN_level_ids!$B:$B,MATCH(H1934,[1]IDEN_level_ids!$A:$A,0),1)</f>
        <v>1073</v>
      </c>
    </row>
    <row r="1935" spans="1:21" hidden="1" x14ac:dyDescent="0.25">
      <c r="A1935">
        <v>47102.290099999998</v>
      </c>
      <c r="B1935">
        <v>2123.0390000000002</v>
      </c>
      <c r="C1935">
        <v>10</v>
      </c>
      <c r="D1935" t="s">
        <v>604</v>
      </c>
      <c r="F1935">
        <v>1974</v>
      </c>
      <c r="G1935" s="1" t="s">
        <v>18</v>
      </c>
      <c r="H1935" s="1" t="s">
        <v>466</v>
      </c>
      <c r="I1935">
        <v>0.3876</v>
      </c>
      <c r="J1935">
        <v>47102.279199999997</v>
      </c>
      <c r="K1935">
        <v>-4.8999999999999998E-4</v>
      </c>
      <c r="L1935">
        <v>2.0799999999999998E-3</v>
      </c>
      <c r="M1935">
        <v>4.6100000000000002E-2</v>
      </c>
      <c r="N1935">
        <v>0.21490000000000001</v>
      </c>
      <c r="O1935">
        <v>2.64E-3</v>
      </c>
      <c r="P1935" s="3">
        <f t="shared" si="120"/>
        <v>2123.0390239560775</v>
      </c>
      <c r="Q1935" s="3">
        <f t="shared" si="121"/>
        <v>-4.9129523540614173E-4</v>
      </c>
      <c r="R1935" s="3">
        <f t="shared" si="122"/>
        <v>2.0799999999999998E-3</v>
      </c>
      <c r="S1935">
        <f t="shared" si="123"/>
        <v>46</v>
      </c>
      <c r="T1935">
        <f>INDEX([1]IDEN_level_ids!$B:$B,MATCH(G1935,[1]IDEN_level_ids!$A:$A,0),1)</f>
        <v>1226</v>
      </c>
      <c r="U1935">
        <f>INDEX([1]IDEN_level_ids!$B:$B,MATCH(H1935,[1]IDEN_level_ids!$A:$A,0),1)</f>
        <v>1061</v>
      </c>
    </row>
    <row r="1936" spans="1:21" hidden="1" x14ac:dyDescent="0.25">
      <c r="A1936">
        <v>47046.8799</v>
      </c>
      <c r="B1936">
        <v>2125.5394999999999</v>
      </c>
      <c r="C1936">
        <v>10</v>
      </c>
      <c r="D1936" t="s">
        <v>604</v>
      </c>
      <c r="F1936">
        <v>1974</v>
      </c>
      <c r="G1936" s="1" t="s">
        <v>41</v>
      </c>
      <c r="H1936" s="1" t="s">
        <v>450</v>
      </c>
      <c r="I1936">
        <v>0.2989</v>
      </c>
      <c r="J1936">
        <v>47046.8868</v>
      </c>
      <c r="K1936">
        <v>3.1E-4</v>
      </c>
      <c r="L1936">
        <v>2.0799999999999998E-3</v>
      </c>
      <c r="M1936">
        <v>4.6100000000000002E-2</v>
      </c>
      <c r="N1936">
        <v>0.19550000000000001</v>
      </c>
      <c r="O1936">
        <v>2.5899999999999999E-3</v>
      </c>
      <c r="P1936" s="3">
        <f t="shared" si="120"/>
        <v>2125.5394664333521</v>
      </c>
      <c r="Q1936" s="3">
        <f t="shared" si="121"/>
        <v>3.1173629804470693E-4</v>
      </c>
      <c r="R1936" s="3">
        <f t="shared" si="122"/>
        <v>2.0799999999999998E-3</v>
      </c>
      <c r="S1936">
        <f t="shared" si="123"/>
        <v>46</v>
      </c>
      <c r="T1936">
        <f>INDEX([1]IDEN_level_ids!$B:$B,MATCH(G1936,[1]IDEN_level_ids!$A:$A,0),1)</f>
        <v>1238</v>
      </c>
      <c r="U1936">
        <f>INDEX([1]IDEN_level_ids!$B:$B,MATCH(H1936,[1]IDEN_level_ids!$A:$A,0),1)</f>
        <v>1077</v>
      </c>
    </row>
    <row r="1937" spans="1:21" hidden="1" x14ac:dyDescent="0.25">
      <c r="A1937">
        <v>47033.220699999998</v>
      </c>
      <c r="B1937">
        <v>2126.1568000000002</v>
      </c>
      <c r="C1937">
        <v>10</v>
      </c>
      <c r="D1937" t="s">
        <v>604</v>
      </c>
      <c r="F1937">
        <v>1974</v>
      </c>
      <c r="G1937" s="1" t="s">
        <v>55</v>
      </c>
      <c r="H1937" s="1" t="s">
        <v>407</v>
      </c>
      <c r="I1937">
        <v>0.27489999999999998</v>
      </c>
      <c r="J1937">
        <v>47033.185100000002</v>
      </c>
      <c r="K1937">
        <v>-1.6100000000000001E-3</v>
      </c>
      <c r="L1937">
        <v>2.0799999999999998E-3</v>
      </c>
      <c r="M1937">
        <v>4.6100000000000002E-2</v>
      </c>
      <c r="N1937">
        <v>0.16289999999999999</v>
      </c>
      <c r="O1937">
        <v>2.49E-3</v>
      </c>
      <c r="P1937" s="3">
        <f t="shared" si="120"/>
        <v>2126.1567571110436</v>
      </c>
      <c r="Q1937" s="3">
        <f t="shared" si="121"/>
        <v>-1.6093143676698674E-3</v>
      </c>
      <c r="R1937" s="3">
        <f t="shared" si="122"/>
        <v>2.0799999999999998E-3</v>
      </c>
      <c r="S1937">
        <f t="shared" si="123"/>
        <v>46</v>
      </c>
      <c r="T1937">
        <f>INDEX([1]IDEN_level_ids!$B:$B,MATCH(G1937,[1]IDEN_level_ids!$A:$A,0),1)</f>
        <v>1233</v>
      </c>
      <c r="U1937">
        <f>INDEX([1]IDEN_level_ids!$B:$B,MATCH(H1937,[1]IDEN_level_ids!$A:$A,0),1)</f>
        <v>1073</v>
      </c>
    </row>
    <row r="1938" spans="1:21" hidden="1" x14ac:dyDescent="0.25">
      <c r="A1938">
        <v>46924.770199999999</v>
      </c>
      <c r="B1938">
        <v>2131.0706</v>
      </c>
      <c r="C1938">
        <v>10</v>
      </c>
      <c r="D1938" t="s">
        <v>604</v>
      </c>
      <c r="F1938">
        <v>1974</v>
      </c>
      <c r="G1938" s="1" t="s">
        <v>209</v>
      </c>
      <c r="H1938" s="1" t="s">
        <v>476</v>
      </c>
      <c r="I1938">
        <v>0</v>
      </c>
      <c r="J1938">
        <v>46924.717400000001</v>
      </c>
      <c r="K1938">
        <v>-2.3999999999999998E-3</v>
      </c>
      <c r="L1938">
        <v>2.0899999999999998E-3</v>
      </c>
      <c r="M1938">
        <v>4.6100000000000002E-2</v>
      </c>
      <c r="N1938">
        <v>0.1628</v>
      </c>
      <c r="O1938">
        <v>2.5000000000000001E-3</v>
      </c>
      <c r="P1938" s="3">
        <f t="shared" si="120"/>
        <v>2131.0706386794409</v>
      </c>
      <c r="Q1938" s="3">
        <f t="shared" si="121"/>
        <v>-2.3978946696843195E-3</v>
      </c>
      <c r="R1938" s="3">
        <f t="shared" si="122"/>
        <v>2.0899999999999998E-3</v>
      </c>
      <c r="S1938">
        <f t="shared" si="123"/>
        <v>46</v>
      </c>
      <c r="T1938">
        <f>INDEX([1]IDEN_level_ids!$B:$B,MATCH(G1938,[1]IDEN_level_ids!$A:$A,0),1)</f>
        <v>1209</v>
      </c>
      <c r="U1938">
        <f>INDEX([1]IDEN_level_ids!$B:$B,MATCH(H1938,[1]IDEN_level_ids!$A:$A,0),1)</f>
        <v>1037</v>
      </c>
    </row>
    <row r="1939" spans="1:21" hidden="1" x14ac:dyDescent="0.25">
      <c r="A1939">
        <v>46919.31</v>
      </c>
      <c r="B1939">
        <v>2131.3186000000001</v>
      </c>
      <c r="C1939">
        <v>10</v>
      </c>
      <c r="D1939" t="s">
        <v>604</v>
      </c>
      <c r="E1939" t="s">
        <v>236</v>
      </c>
      <c r="F1939">
        <v>1974</v>
      </c>
      <c r="G1939" s="1" t="s">
        <v>79</v>
      </c>
      <c r="H1939" s="1" t="s">
        <v>595</v>
      </c>
      <c r="I1939">
        <v>0</v>
      </c>
      <c r="J1939">
        <v>46919.367899999997</v>
      </c>
      <c r="K1939">
        <v>2.63E-3</v>
      </c>
      <c r="L1939">
        <v>1.07E-3</v>
      </c>
      <c r="M1939">
        <v>2.3599999999999999E-2</v>
      </c>
      <c r="N1939">
        <v>0.55089999999999995</v>
      </c>
      <c r="O1939">
        <v>2.3900000000000002E-3</v>
      </c>
      <c r="P1939" s="3">
        <f t="shared" si="120"/>
        <v>2131.3186404488897</v>
      </c>
      <c r="Q1939" s="3">
        <f t="shared" si="121"/>
        <v>2.6301153402528143E-3</v>
      </c>
      <c r="R1939" s="3">
        <f t="shared" si="122"/>
        <v>1.07E-3</v>
      </c>
      <c r="S1939">
        <f t="shared" si="123"/>
        <v>46</v>
      </c>
      <c r="T1939">
        <f>INDEX([1]IDEN_level_ids!$B:$B,MATCH(G1939,[1]IDEN_level_ids!$A:$A,0),1)</f>
        <v>1216</v>
      </c>
      <c r="U1939">
        <f>INDEX([1]IDEN_level_ids!$B:$B,MATCH(H1939,[1]IDEN_level_ids!$A:$A,0),1)</f>
        <v>1052</v>
      </c>
    </row>
    <row r="1940" spans="1:21" hidden="1" x14ac:dyDescent="0.25">
      <c r="A1940">
        <v>46802.989699999998</v>
      </c>
      <c r="B1940">
        <v>2136.6156000000001</v>
      </c>
      <c r="C1940">
        <v>10</v>
      </c>
      <c r="D1940" t="s">
        <v>604</v>
      </c>
      <c r="F1940">
        <v>1974</v>
      </c>
      <c r="G1940" s="1" t="s">
        <v>84</v>
      </c>
      <c r="H1940" s="1" t="s">
        <v>544</v>
      </c>
      <c r="I1940">
        <v>0</v>
      </c>
      <c r="J1940">
        <v>46802.991600000001</v>
      </c>
      <c r="K1940">
        <v>8.0000000000000007E-5</v>
      </c>
      <c r="L1940">
        <v>2.0999999999999999E-3</v>
      </c>
      <c r="M1940">
        <v>4.6100000000000002E-2</v>
      </c>
      <c r="N1940">
        <v>0.2117</v>
      </c>
      <c r="O1940">
        <v>2.6700000000000001E-3</v>
      </c>
      <c r="P1940" s="3">
        <f t="shared" si="120"/>
        <v>2136.6156444488847</v>
      </c>
      <c r="Q1940" s="3">
        <f t="shared" si="121"/>
        <v>8.673739876030595E-5</v>
      </c>
      <c r="R1940" s="3">
        <f t="shared" si="122"/>
        <v>2.0999999999999999E-3</v>
      </c>
      <c r="S1940">
        <f t="shared" si="123"/>
        <v>46</v>
      </c>
      <c r="T1940">
        <f>INDEX([1]IDEN_level_ids!$B:$B,MATCH(G1940,[1]IDEN_level_ids!$A:$A,0),1)</f>
        <v>1191</v>
      </c>
      <c r="U1940">
        <f>INDEX([1]IDEN_level_ids!$B:$B,MATCH(H1940,[1]IDEN_level_ids!$A:$A,0),1)</f>
        <v>1011</v>
      </c>
    </row>
    <row r="1941" spans="1:21" hidden="1" x14ac:dyDescent="0.25">
      <c r="A1941">
        <v>46798.279699999999</v>
      </c>
      <c r="B1941">
        <v>2136.8307</v>
      </c>
      <c r="C1941">
        <v>10</v>
      </c>
      <c r="D1941" t="s">
        <v>604</v>
      </c>
      <c r="F1941">
        <v>1974</v>
      </c>
      <c r="G1941" s="1" t="s">
        <v>41</v>
      </c>
      <c r="H1941" s="1" t="s">
        <v>446</v>
      </c>
      <c r="I1941">
        <v>0.31669999999999998</v>
      </c>
      <c r="J1941">
        <v>46798.264799999997</v>
      </c>
      <c r="K1941">
        <v>-6.8000000000000005E-4</v>
      </c>
      <c r="L1941">
        <v>2.0999999999999999E-3</v>
      </c>
      <c r="M1941">
        <v>4.6100000000000002E-2</v>
      </c>
      <c r="N1941">
        <v>0.18149999999999999</v>
      </c>
      <c r="O1941">
        <v>2.5699999999999998E-3</v>
      </c>
      <c r="P1941" s="3">
        <f t="shared" si="120"/>
        <v>2136.8306835432672</v>
      </c>
      <c r="Q1941" s="3">
        <f t="shared" si="121"/>
        <v>-6.8034097694180673E-4</v>
      </c>
      <c r="R1941" s="3">
        <f t="shared" si="122"/>
        <v>2.0999999999999999E-3</v>
      </c>
      <c r="S1941">
        <f t="shared" si="123"/>
        <v>46</v>
      </c>
      <c r="T1941">
        <f>INDEX([1]IDEN_level_ids!$B:$B,MATCH(G1941,[1]IDEN_level_ids!$A:$A,0),1)</f>
        <v>1238</v>
      </c>
      <c r="U1941">
        <f>INDEX([1]IDEN_level_ids!$B:$B,MATCH(H1941,[1]IDEN_level_ids!$A:$A,0),1)</f>
        <v>1079</v>
      </c>
    </row>
    <row r="1942" spans="1:21" hidden="1" x14ac:dyDescent="0.25">
      <c r="A1942">
        <v>46788.400199999996</v>
      </c>
      <c r="B1942">
        <v>2137.2819</v>
      </c>
      <c r="C1942">
        <v>10</v>
      </c>
      <c r="D1942" t="s">
        <v>604</v>
      </c>
      <c r="F1942">
        <v>1974</v>
      </c>
      <c r="G1942" s="1" t="s">
        <v>140</v>
      </c>
      <c r="H1942" s="1" t="s">
        <v>467</v>
      </c>
      <c r="I1942">
        <v>0</v>
      </c>
      <c r="J1942">
        <v>46788.3606</v>
      </c>
      <c r="K1942">
        <v>-1.81E-3</v>
      </c>
      <c r="L1942">
        <v>2.0999999999999999E-3</v>
      </c>
      <c r="M1942">
        <v>4.6100000000000002E-2</v>
      </c>
      <c r="N1942">
        <v>0.14399999999999999</v>
      </c>
      <c r="O1942">
        <v>2.4599999999999999E-3</v>
      </c>
      <c r="P1942" s="3">
        <f t="shared" si="120"/>
        <v>2137.2818812471387</v>
      </c>
      <c r="Q1942" s="3">
        <f t="shared" si="121"/>
        <v>-1.8089191717081121E-3</v>
      </c>
      <c r="R1942" s="3">
        <f t="shared" si="122"/>
        <v>2.0999999999999999E-3</v>
      </c>
      <c r="S1942">
        <f t="shared" si="123"/>
        <v>46</v>
      </c>
      <c r="T1942">
        <f>INDEX([1]IDEN_level_ids!$B:$B,MATCH(G1942,[1]IDEN_level_ids!$A:$A,0),1)</f>
        <v>1198</v>
      </c>
      <c r="U1942">
        <f>INDEX([1]IDEN_level_ids!$B:$B,MATCH(H1942,[1]IDEN_level_ids!$A:$A,0),1)</f>
        <v>1025</v>
      </c>
    </row>
    <row r="1943" spans="1:21" hidden="1" x14ac:dyDescent="0.25">
      <c r="A1943">
        <v>46786.649899999997</v>
      </c>
      <c r="B1943">
        <v>2137.3618000000001</v>
      </c>
      <c r="C1943">
        <v>10</v>
      </c>
      <c r="D1943" t="s">
        <v>604</v>
      </c>
      <c r="F1943">
        <v>1974</v>
      </c>
      <c r="G1943" s="1" t="s">
        <v>20</v>
      </c>
      <c r="H1943" s="1" t="s">
        <v>398</v>
      </c>
      <c r="I1943">
        <v>0.31929999999999997</v>
      </c>
      <c r="J1943">
        <v>46786.686999999998</v>
      </c>
      <c r="K1943">
        <v>1.6999999999999999E-3</v>
      </c>
      <c r="L1943">
        <v>2.0999999999999999E-3</v>
      </c>
      <c r="M1943">
        <v>4.6100000000000002E-2</v>
      </c>
      <c r="N1943">
        <v>0.23530000000000001</v>
      </c>
      <c r="O1943">
        <v>2.7499999999999998E-3</v>
      </c>
      <c r="P1943" s="3">
        <f t="shared" si="120"/>
        <v>2137.361837484329</v>
      </c>
      <c r="Q1943" s="3">
        <f t="shared" si="121"/>
        <v>1.6948437523751636E-3</v>
      </c>
      <c r="R1943" s="3">
        <f t="shared" si="122"/>
        <v>2.0999999999999999E-3</v>
      </c>
      <c r="S1943">
        <f t="shared" si="123"/>
        <v>46</v>
      </c>
      <c r="T1943">
        <f>INDEX([1]IDEN_level_ids!$B:$B,MATCH(G1943,[1]IDEN_level_ids!$A:$A,0),1)</f>
        <v>1235</v>
      </c>
      <c r="U1943">
        <f>INDEX([1]IDEN_level_ids!$B:$B,MATCH(H1943,[1]IDEN_level_ids!$A:$A,0),1)</f>
        <v>1075</v>
      </c>
    </row>
    <row r="1944" spans="1:21" hidden="1" x14ac:dyDescent="0.25">
      <c r="A1944">
        <v>46716.1005</v>
      </c>
      <c r="B1944">
        <v>2140.5895999999998</v>
      </c>
      <c r="C1944">
        <v>10</v>
      </c>
      <c r="D1944" t="s">
        <v>604</v>
      </c>
      <c r="F1944">
        <v>1974</v>
      </c>
      <c r="G1944" s="1" t="s">
        <v>68</v>
      </c>
      <c r="H1944" s="1" t="s">
        <v>557</v>
      </c>
      <c r="I1944">
        <v>0</v>
      </c>
      <c r="J1944">
        <v>46716.054300000003</v>
      </c>
      <c r="K1944">
        <v>-2.1199999999999999E-3</v>
      </c>
      <c r="L1944">
        <v>2.1099999999999999E-3</v>
      </c>
      <c r="M1944">
        <v>4.6100000000000002E-2</v>
      </c>
      <c r="N1944">
        <v>0.19839999999999999</v>
      </c>
      <c r="O1944">
        <v>2.63E-3</v>
      </c>
      <c r="P1944" s="3">
        <f t="shared" si="120"/>
        <v>2140.5896239134941</v>
      </c>
      <c r="Q1944" s="3">
        <f t="shared" si="121"/>
        <v>-2.116943353030365E-3</v>
      </c>
      <c r="R1944" s="3">
        <f t="shared" si="122"/>
        <v>2.1099999999999999E-3</v>
      </c>
      <c r="S1944">
        <f t="shared" si="123"/>
        <v>46</v>
      </c>
      <c r="T1944">
        <f>INDEX([1]IDEN_level_ids!$B:$B,MATCH(G1944,[1]IDEN_level_ids!$A:$A,0),1)</f>
        <v>1229</v>
      </c>
      <c r="U1944">
        <f>INDEX([1]IDEN_level_ids!$B:$B,MATCH(H1944,[1]IDEN_level_ids!$A:$A,0),1)</f>
        <v>1069</v>
      </c>
    </row>
    <row r="1945" spans="1:21" hidden="1" x14ac:dyDescent="0.25">
      <c r="A1945">
        <v>46715.339800000002</v>
      </c>
      <c r="B1945">
        <v>2140.6244999999999</v>
      </c>
      <c r="C1945">
        <v>10</v>
      </c>
      <c r="D1945" t="s">
        <v>604</v>
      </c>
      <c r="F1945">
        <v>1974</v>
      </c>
      <c r="G1945" s="1" t="s">
        <v>55</v>
      </c>
      <c r="H1945" s="1" t="s">
        <v>398</v>
      </c>
      <c r="I1945">
        <v>0.31929999999999997</v>
      </c>
      <c r="J1945">
        <v>46715.345399999998</v>
      </c>
      <c r="K1945">
        <v>2.5999999999999998E-4</v>
      </c>
      <c r="L1945">
        <v>2.1099999999999999E-3</v>
      </c>
      <c r="M1945">
        <v>4.6100000000000002E-2</v>
      </c>
      <c r="N1945">
        <v>0.15640000000000001</v>
      </c>
      <c r="O1945">
        <v>2.5000000000000001E-3</v>
      </c>
      <c r="P1945" s="3">
        <f t="shared" si="120"/>
        <v>2140.6244806978798</v>
      </c>
      <c r="Q1945" s="3">
        <f t="shared" si="121"/>
        <v>2.5660726623755181E-4</v>
      </c>
      <c r="R1945" s="3">
        <f t="shared" si="122"/>
        <v>2.1099999999999999E-3</v>
      </c>
      <c r="S1945">
        <f t="shared" si="123"/>
        <v>46</v>
      </c>
      <c r="T1945">
        <f>INDEX([1]IDEN_level_ids!$B:$B,MATCH(G1945,[1]IDEN_level_ids!$A:$A,0),1)</f>
        <v>1233</v>
      </c>
      <c r="U1945">
        <f>INDEX([1]IDEN_level_ids!$B:$B,MATCH(H1945,[1]IDEN_level_ids!$A:$A,0),1)</f>
        <v>1075</v>
      </c>
    </row>
    <row r="1946" spans="1:21" hidden="1" x14ac:dyDescent="0.25">
      <c r="A1946">
        <v>46703.689299999998</v>
      </c>
      <c r="B1946">
        <v>2141.1585</v>
      </c>
      <c r="C1946">
        <v>10</v>
      </c>
      <c r="D1946" t="s">
        <v>604</v>
      </c>
      <c r="F1946">
        <v>1974</v>
      </c>
      <c r="G1946" s="1" t="s">
        <v>18</v>
      </c>
      <c r="H1946" s="1" t="s">
        <v>451</v>
      </c>
      <c r="I1946">
        <v>0.38469999999999999</v>
      </c>
      <c r="J1946">
        <v>46703.745499999997</v>
      </c>
      <c r="K1946">
        <v>2.5799999999999998E-3</v>
      </c>
      <c r="L1946">
        <v>2.1099999999999999E-3</v>
      </c>
      <c r="M1946">
        <v>4.6100000000000002E-2</v>
      </c>
      <c r="N1946">
        <v>0.1794</v>
      </c>
      <c r="O1946">
        <v>2.5699999999999998E-3</v>
      </c>
      <c r="P1946" s="3">
        <f t="shared" si="120"/>
        <v>2141.1584716070815</v>
      </c>
      <c r="Q1946" s="3">
        <f t="shared" si="121"/>
        <v>2.5765193950064713E-3</v>
      </c>
      <c r="R1946" s="3">
        <f t="shared" si="122"/>
        <v>2.1099999999999999E-3</v>
      </c>
      <c r="S1946">
        <f t="shared" si="123"/>
        <v>46</v>
      </c>
      <c r="T1946">
        <f>INDEX([1]IDEN_level_ids!$B:$B,MATCH(G1946,[1]IDEN_level_ids!$A:$A,0),1)</f>
        <v>1226</v>
      </c>
      <c r="U1946">
        <f>INDEX([1]IDEN_level_ids!$B:$B,MATCH(H1946,[1]IDEN_level_ids!$A:$A,0),1)</f>
        <v>1066</v>
      </c>
    </row>
    <row r="1947" spans="1:21" hidden="1" x14ac:dyDescent="0.25">
      <c r="A1947">
        <v>46700.911</v>
      </c>
      <c r="B1947">
        <v>2141.2858999999999</v>
      </c>
      <c r="C1947">
        <v>10</v>
      </c>
      <c r="D1947" t="s">
        <v>604</v>
      </c>
      <c r="F1947">
        <v>1974</v>
      </c>
      <c r="G1947" s="1" t="s">
        <v>244</v>
      </c>
      <c r="H1947" s="1" t="s">
        <v>576</v>
      </c>
      <c r="I1947">
        <v>0.13669999999999999</v>
      </c>
      <c r="J1947">
        <v>46700.883199999997</v>
      </c>
      <c r="K1947">
        <v>-1.2700000000000001E-3</v>
      </c>
      <c r="L1947">
        <v>2.1099999999999999E-3</v>
      </c>
      <c r="M1947">
        <v>4.6100000000000002E-2</v>
      </c>
      <c r="N1947">
        <v>0.18720000000000001</v>
      </c>
      <c r="O1947">
        <v>2.5999999999999999E-3</v>
      </c>
      <c r="P1947" s="3">
        <f t="shared" si="120"/>
        <v>2141.2858520040431</v>
      </c>
      <c r="Q1947" s="3">
        <f t="shared" si="121"/>
        <v>-1.2746599768433953E-3</v>
      </c>
      <c r="R1947" s="3">
        <f t="shared" si="122"/>
        <v>2.1099999999999999E-3</v>
      </c>
      <c r="S1947">
        <f t="shared" si="123"/>
        <v>46</v>
      </c>
      <c r="T1947">
        <f>INDEX([1]IDEN_level_ids!$B:$B,MATCH(G1947,[1]IDEN_level_ids!$A:$A,0),1)</f>
        <v>1195</v>
      </c>
      <c r="U1947">
        <f>INDEX([1]IDEN_level_ids!$B:$B,MATCH(H1947,[1]IDEN_level_ids!$A:$A,0),1)</f>
        <v>1024</v>
      </c>
    </row>
    <row r="1948" spans="1:21" hidden="1" x14ac:dyDescent="0.25">
      <c r="A1948">
        <v>46680.680099999998</v>
      </c>
      <c r="B1948">
        <v>2142.2139000000002</v>
      </c>
      <c r="C1948">
        <v>10</v>
      </c>
      <c r="D1948" t="s">
        <v>604</v>
      </c>
      <c r="E1948" t="s">
        <v>427</v>
      </c>
      <c r="F1948">
        <v>1974</v>
      </c>
      <c r="G1948" s="1" t="s">
        <v>16</v>
      </c>
      <c r="H1948" s="1" t="s">
        <v>466</v>
      </c>
      <c r="I1948">
        <v>0.3876</v>
      </c>
      <c r="J1948">
        <v>46680.6973</v>
      </c>
      <c r="K1948">
        <v>7.9000000000000001E-4</v>
      </c>
      <c r="L1948">
        <v>2.2399999999999998E-3</v>
      </c>
      <c r="M1948">
        <v>4.87E-2</v>
      </c>
      <c r="N1948">
        <v>0.27400000000000002</v>
      </c>
      <c r="O1948">
        <v>3.0799999999999998E-3</v>
      </c>
      <c r="P1948" s="3">
        <f t="shared" si="120"/>
        <v>2142.2138620469673</v>
      </c>
      <c r="Q1948" s="3">
        <f t="shared" si="121"/>
        <v>7.8932150927357725E-4</v>
      </c>
      <c r="R1948" s="3">
        <f t="shared" si="122"/>
        <v>2.2399999999999998E-3</v>
      </c>
      <c r="S1948">
        <f t="shared" si="123"/>
        <v>46</v>
      </c>
      <c r="T1948">
        <f>INDEX([1]IDEN_level_ids!$B:$B,MATCH(G1948,[1]IDEN_level_ids!$A:$A,0),1)</f>
        <v>1223</v>
      </c>
      <c r="U1948">
        <f>INDEX([1]IDEN_level_ids!$B:$B,MATCH(H1948,[1]IDEN_level_ids!$A:$A,0),1)</f>
        <v>1061</v>
      </c>
    </row>
    <row r="1949" spans="1:21" hidden="1" x14ac:dyDescent="0.25">
      <c r="A1949">
        <v>46672.090900000003</v>
      </c>
      <c r="B1949">
        <v>2142.6080999999999</v>
      </c>
      <c r="C1949">
        <v>10</v>
      </c>
      <c r="D1949" t="s">
        <v>604</v>
      </c>
      <c r="E1949" t="s">
        <v>427</v>
      </c>
      <c r="F1949">
        <v>1974</v>
      </c>
      <c r="G1949" s="1" t="s">
        <v>118</v>
      </c>
      <c r="H1949" s="1" t="s">
        <v>453</v>
      </c>
      <c r="I1949">
        <v>0.26840000000000003</v>
      </c>
      <c r="J1949">
        <v>46672.149799999999</v>
      </c>
      <c r="K1949">
        <v>2.7100000000000002E-3</v>
      </c>
      <c r="L1949">
        <v>2.2399999999999998E-3</v>
      </c>
      <c r="M1949">
        <v>4.87E-2</v>
      </c>
      <c r="N1949">
        <v>0.31790000000000002</v>
      </c>
      <c r="O1949">
        <v>3.2799999999999999E-3</v>
      </c>
      <c r="P1949" s="3">
        <f t="shared" si="120"/>
        <v>2142.6080998655234</v>
      </c>
      <c r="Q1949" s="3">
        <f t="shared" si="121"/>
        <v>2.7039598048759217E-3</v>
      </c>
      <c r="R1949" s="3">
        <f t="shared" si="122"/>
        <v>2.2399999999999998E-3</v>
      </c>
      <c r="S1949">
        <f t="shared" si="123"/>
        <v>46</v>
      </c>
      <c r="T1949">
        <f>INDEX([1]IDEN_level_ids!$B:$B,MATCH(G1949,[1]IDEN_level_ids!$A:$A,0),1)</f>
        <v>1237</v>
      </c>
      <c r="U1949">
        <f>INDEX([1]IDEN_level_ids!$B:$B,MATCH(H1949,[1]IDEN_level_ids!$A:$A,0),1)</f>
        <v>1078</v>
      </c>
    </row>
    <row r="1950" spans="1:21" hidden="1" x14ac:dyDescent="0.25">
      <c r="A1950">
        <v>46658.220099999999</v>
      </c>
      <c r="B1950">
        <v>2143.2451000000001</v>
      </c>
      <c r="C1950">
        <v>10</v>
      </c>
      <c r="D1950" t="s">
        <v>604</v>
      </c>
      <c r="F1950">
        <v>1974</v>
      </c>
      <c r="G1950" s="1" t="s">
        <v>49</v>
      </c>
      <c r="H1950" s="1" t="s">
        <v>516</v>
      </c>
      <c r="I1950">
        <v>0.36720000000000003</v>
      </c>
      <c r="J1950">
        <v>46658.2114</v>
      </c>
      <c r="K1950">
        <v>-4.0000000000000002E-4</v>
      </c>
      <c r="L1950">
        <v>2.1199999999999999E-3</v>
      </c>
      <c r="M1950">
        <v>4.6100000000000002E-2</v>
      </c>
      <c r="N1950">
        <v>0.2306</v>
      </c>
      <c r="O1950">
        <v>2.7499999999999998E-3</v>
      </c>
      <c r="P1950" s="3">
        <f t="shared" si="120"/>
        <v>2143.2450656213523</v>
      </c>
      <c r="Q1950" s="3">
        <f t="shared" si="121"/>
        <v>-3.9963452354641049E-4</v>
      </c>
      <c r="R1950" s="3">
        <f t="shared" si="122"/>
        <v>2.1199999999999999E-3</v>
      </c>
      <c r="S1950">
        <f t="shared" si="123"/>
        <v>46</v>
      </c>
      <c r="T1950">
        <f>INDEX([1]IDEN_level_ids!$B:$B,MATCH(G1950,[1]IDEN_level_ids!$A:$A,0),1)</f>
        <v>1214</v>
      </c>
      <c r="U1950">
        <f>INDEX([1]IDEN_level_ids!$B:$B,MATCH(H1950,[1]IDEN_level_ids!$A:$A,0),1)</f>
        <v>1050</v>
      </c>
    </row>
    <row r="1951" spans="1:21" hidden="1" x14ac:dyDescent="0.25">
      <c r="A1951">
        <v>46651.689899999998</v>
      </c>
      <c r="B1951">
        <v>2143.5450999999998</v>
      </c>
      <c r="C1951">
        <v>10</v>
      </c>
      <c r="D1951" t="s">
        <v>604</v>
      </c>
      <c r="E1951" t="s">
        <v>427</v>
      </c>
      <c r="F1951">
        <v>1974</v>
      </c>
      <c r="G1951" s="1" t="s">
        <v>59</v>
      </c>
      <c r="H1951" s="1" t="s">
        <v>462</v>
      </c>
      <c r="I1951">
        <v>0.37159999999999999</v>
      </c>
      <c r="J1951">
        <v>46651.683199999999</v>
      </c>
      <c r="K1951">
        <v>-3.1E-4</v>
      </c>
      <c r="L1951">
        <v>2.2399999999999998E-3</v>
      </c>
      <c r="M1951">
        <v>4.87E-2</v>
      </c>
      <c r="N1951">
        <v>0.49919999999999998</v>
      </c>
      <c r="O1951">
        <v>4.47E-3</v>
      </c>
      <c r="P1951" s="3">
        <f t="shared" si="120"/>
        <v>2143.5450723083027</v>
      </c>
      <c r="Q1951" s="3">
        <f t="shared" si="121"/>
        <v>-3.0785067110628006E-4</v>
      </c>
      <c r="R1951" s="3">
        <f t="shared" si="122"/>
        <v>2.2399999999999998E-3</v>
      </c>
      <c r="S1951">
        <f t="shared" si="123"/>
        <v>46</v>
      </c>
      <c r="T1951">
        <f>INDEX([1]IDEN_level_ids!$B:$B,MATCH(G1951,[1]IDEN_level_ids!$A:$A,0),1)</f>
        <v>1211</v>
      </c>
      <c r="U1951">
        <f>INDEX([1]IDEN_level_ids!$B:$B,MATCH(H1951,[1]IDEN_level_ids!$A:$A,0),1)</f>
        <v>1047</v>
      </c>
    </row>
    <row r="1952" spans="1:21" hidden="1" x14ac:dyDescent="0.25">
      <c r="A1952">
        <v>46600.281000000003</v>
      </c>
      <c r="B1952">
        <v>2145.9097999999999</v>
      </c>
      <c r="C1952">
        <v>10</v>
      </c>
      <c r="D1952" t="s">
        <v>604</v>
      </c>
      <c r="F1952">
        <v>1974</v>
      </c>
      <c r="G1952" s="1" t="s">
        <v>220</v>
      </c>
      <c r="H1952" s="1" t="s">
        <v>487</v>
      </c>
      <c r="I1952">
        <v>0</v>
      </c>
      <c r="J1952">
        <v>46600.239300000001</v>
      </c>
      <c r="K1952">
        <v>-1.92E-3</v>
      </c>
      <c r="L1952">
        <v>2.1199999999999999E-3</v>
      </c>
      <c r="M1952">
        <v>4.6100000000000002E-2</v>
      </c>
      <c r="N1952">
        <v>0.25580000000000003</v>
      </c>
      <c r="O1952">
        <v>2.8500000000000001E-3</v>
      </c>
      <c r="P1952" s="3">
        <f t="shared" si="120"/>
        <v>2145.9098068528815</v>
      </c>
      <c r="Q1952" s="3">
        <f t="shared" si="121"/>
        <v>-1.9202570692868903E-3</v>
      </c>
      <c r="R1952" s="3">
        <f t="shared" si="122"/>
        <v>2.1199999999999999E-3</v>
      </c>
      <c r="S1952">
        <f t="shared" si="123"/>
        <v>46</v>
      </c>
      <c r="T1952">
        <f>INDEX([1]IDEN_level_ids!$B:$B,MATCH(G1952,[1]IDEN_level_ids!$A:$A,0),1)</f>
        <v>1142</v>
      </c>
      <c r="U1952">
        <f>INDEX([1]IDEN_level_ids!$B:$B,MATCH(H1952,[1]IDEN_level_ids!$A:$A,0),1)</f>
        <v>968</v>
      </c>
    </row>
    <row r="1953" spans="1:21" hidden="1" x14ac:dyDescent="0.25">
      <c r="A1953">
        <v>46562.35</v>
      </c>
      <c r="B1953">
        <v>2147.6579000000002</v>
      </c>
      <c r="C1953">
        <v>10</v>
      </c>
      <c r="D1953" t="s">
        <v>604</v>
      </c>
      <c r="F1953">
        <v>1974</v>
      </c>
      <c r="G1953" s="1" t="s">
        <v>51</v>
      </c>
      <c r="H1953" s="1" t="s">
        <v>438</v>
      </c>
      <c r="I1953">
        <v>0</v>
      </c>
      <c r="J1953">
        <v>46562.3442</v>
      </c>
      <c r="K1953">
        <v>-2.7E-4</v>
      </c>
      <c r="L1953">
        <v>2.1199999999999999E-3</v>
      </c>
      <c r="M1953">
        <v>4.6100000000000002E-2</v>
      </c>
      <c r="N1953">
        <v>0.16200000000000001</v>
      </c>
      <c r="O1953">
        <v>2.5400000000000002E-3</v>
      </c>
      <c r="P1953" s="3">
        <f t="shared" si="120"/>
        <v>2147.6579253409677</v>
      </c>
      <c r="Q1953" s="3">
        <f t="shared" si="121"/>
        <v>-2.6752123767437297E-4</v>
      </c>
      <c r="R1953" s="3">
        <f t="shared" si="122"/>
        <v>2.1199999999999999E-3</v>
      </c>
      <c r="S1953">
        <f t="shared" si="123"/>
        <v>46</v>
      </c>
      <c r="T1953">
        <f>INDEX([1]IDEN_level_ids!$B:$B,MATCH(G1953,[1]IDEN_level_ids!$A:$A,0),1)</f>
        <v>1213</v>
      </c>
      <c r="U1953">
        <f>INDEX([1]IDEN_level_ids!$B:$B,MATCH(H1953,[1]IDEN_level_ids!$A:$A,0),1)</f>
        <v>1051</v>
      </c>
    </row>
    <row r="1954" spans="1:21" hidden="1" x14ac:dyDescent="0.25">
      <c r="A1954">
        <v>46558.400600000001</v>
      </c>
      <c r="B1954">
        <v>2147.8400999999999</v>
      </c>
      <c r="C1954">
        <v>10</v>
      </c>
      <c r="D1954" t="s">
        <v>604</v>
      </c>
      <c r="F1954">
        <v>1974</v>
      </c>
      <c r="G1954" s="1" t="s">
        <v>73</v>
      </c>
      <c r="H1954" s="1" t="s">
        <v>578</v>
      </c>
      <c r="I1954">
        <v>0.25619999999999998</v>
      </c>
      <c r="J1954">
        <v>46558.474399999999</v>
      </c>
      <c r="K1954">
        <v>3.4099999999999998E-3</v>
      </c>
      <c r="L1954">
        <v>2.1299999999999999E-3</v>
      </c>
      <c r="M1954">
        <v>4.6100000000000002E-2</v>
      </c>
      <c r="N1954">
        <v>0.14449999999999999</v>
      </c>
      <c r="O1954">
        <v>2.48E-3</v>
      </c>
      <c r="P1954" s="3">
        <f t="shared" si="120"/>
        <v>2147.8401042839946</v>
      </c>
      <c r="Q1954" s="3">
        <f t="shared" si="121"/>
        <v>3.4045488332594687E-3</v>
      </c>
      <c r="R1954" s="3">
        <f t="shared" si="122"/>
        <v>2.1299999999999999E-3</v>
      </c>
      <c r="S1954">
        <f t="shared" si="123"/>
        <v>46</v>
      </c>
      <c r="T1954">
        <f>INDEX([1]IDEN_level_ids!$B:$B,MATCH(G1954,[1]IDEN_level_ids!$A:$A,0),1)</f>
        <v>1173</v>
      </c>
      <c r="U1954">
        <f>INDEX([1]IDEN_level_ids!$B:$B,MATCH(H1954,[1]IDEN_level_ids!$A:$A,0),1)</f>
        <v>1003</v>
      </c>
    </row>
    <row r="1955" spans="1:21" hidden="1" x14ac:dyDescent="0.25">
      <c r="A1955">
        <v>46537.209799999997</v>
      </c>
      <c r="B1955">
        <v>2148.8181</v>
      </c>
      <c r="C1955">
        <v>10</v>
      </c>
      <c r="D1955" t="s">
        <v>604</v>
      </c>
      <c r="E1955" t="s">
        <v>427</v>
      </c>
      <c r="F1955">
        <v>1974</v>
      </c>
      <c r="G1955" s="1" t="s">
        <v>55</v>
      </c>
      <c r="H1955" s="1" t="s">
        <v>464</v>
      </c>
      <c r="I1955">
        <v>0</v>
      </c>
      <c r="J1955">
        <v>46537.184000000001</v>
      </c>
      <c r="K1955">
        <v>-1.1900000000000001E-3</v>
      </c>
      <c r="L1955">
        <v>2.2499999999999998E-3</v>
      </c>
      <c r="M1955">
        <v>4.87E-2</v>
      </c>
      <c r="N1955">
        <v>0.16420000000000001</v>
      </c>
      <c r="O1955">
        <v>2.6900000000000001E-3</v>
      </c>
      <c r="P1955" s="3">
        <f t="shared" si="120"/>
        <v>2148.8181270377754</v>
      </c>
      <c r="Q1955" s="3">
        <f t="shared" si="121"/>
        <v>-1.1912948507415422E-3</v>
      </c>
      <c r="R1955" s="3">
        <f t="shared" si="122"/>
        <v>2.2499999999999998E-3</v>
      </c>
      <c r="S1955">
        <f t="shared" si="123"/>
        <v>46</v>
      </c>
      <c r="T1955">
        <f>INDEX([1]IDEN_level_ids!$B:$B,MATCH(G1955,[1]IDEN_level_ids!$A:$A,0),1)</f>
        <v>1233</v>
      </c>
      <c r="U1955">
        <f>INDEX([1]IDEN_level_ids!$B:$B,MATCH(H1955,[1]IDEN_level_ids!$A:$A,0),1)</f>
        <v>1076</v>
      </c>
    </row>
    <row r="1956" spans="1:21" hidden="1" x14ac:dyDescent="0.25">
      <c r="A1956">
        <v>46535.889600000002</v>
      </c>
      <c r="B1956">
        <v>2148.8791000000001</v>
      </c>
      <c r="C1956">
        <v>10</v>
      </c>
      <c r="D1956" t="s">
        <v>604</v>
      </c>
      <c r="F1956">
        <v>1974</v>
      </c>
      <c r="G1956" s="1" t="s">
        <v>194</v>
      </c>
      <c r="H1956" s="1" t="s">
        <v>544</v>
      </c>
      <c r="I1956">
        <v>0</v>
      </c>
      <c r="J1956">
        <v>46535.799500000001</v>
      </c>
      <c r="K1956">
        <v>-4.1599999999999996E-3</v>
      </c>
      <c r="L1956">
        <v>2.1299999999999999E-3</v>
      </c>
      <c r="M1956">
        <v>4.6100000000000002E-2</v>
      </c>
      <c r="N1956">
        <v>0.18779999999999999</v>
      </c>
      <c r="O1956">
        <v>2.6199999999999999E-3</v>
      </c>
      <c r="P1956" s="3">
        <f t="shared" si="120"/>
        <v>2148.8790879373237</v>
      </c>
      <c r="Q1956" s="3">
        <f t="shared" si="121"/>
        <v>-4.1605389378673863E-3</v>
      </c>
      <c r="R1956" s="3">
        <f t="shared" si="122"/>
        <v>2.1299999999999999E-3</v>
      </c>
      <c r="S1956">
        <f t="shared" si="123"/>
        <v>46</v>
      </c>
      <c r="T1956">
        <f>INDEX([1]IDEN_level_ids!$B:$B,MATCH(G1956,[1]IDEN_level_ids!$A:$A,0),1)</f>
        <v>1187</v>
      </c>
      <c r="U1956">
        <f>INDEX([1]IDEN_level_ids!$B:$B,MATCH(H1956,[1]IDEN_level_ids!$A:$A,0),1)</f>
        <v>1011</v>
      </c>
    </row>
    <row r="1957" spans="1:21" hidden="1" x14ac:dyDescent="0.25">
      <c r="A1957">
        <v>46497.060299999997</v>
      </c>
      <c r="B1957">
        <v>2150.6736000000001</v>
      </c>
      <c r="C1957">
        <v>10</v>
      </c>
      <c r="D1957" t="s">
        <v>605</v>
      </c>
      <c r="F1957">
        <v>1974</v>
      </c>
      <c r="G1957" s="1" t="s">
        <v>22</v>
      </c>
      <c r="H1957" s="1" t="s">
        <v>446</v>
      </c>
      <c r="I1957">
        <v>0.31669999999999998</v>
      </c>
      <c r="J1957">
        <v>46497.061000000002</v>
      </c>
      <c r="K1957">
        <v>3.0000000000000001E-5</v>
      </c>
      <c r="L1957">
        <v>2.1299999999999999E-3</v>
      </c>
      <c r="M1957">
        <v>4.6100000000000002E-2</v>
      </c>
      <c r="N1957">
        <v>0.17960000000000001</v>
      </c>
      <c r="O1957">
        <v>2.5999999999999999E-3</v>
      </c>
      <c r="P1957" s="3">
        <f t="shared" si="120"/>
        <v>2150.6735986059748</v>
      </c>
      <c r="Q1957" s="3">
        <f t="shared" si="121"/>
        <v>3.2377778097725241E-5</v>
      </c>
      <c r="R1957" s="3">
        <f t="shared" si="122"/>
        <v>2.1299999999999999E-3</v>
      </c>
      <c r="S1957">
        <f t="shared" si="123"/>
        <v>47</v>
      </c>
      <c r="T1957">
        <f>INDEX([1]IDEN_level_ids!$B:$B,MATCH(G1957,[1]IDEN_level_ids!$A:$A,0),1)</f>
        <v>1236</v>
      </c>
      <c r="U1957">
        <f>INDEX([1]IDEN_level_ids!$B:$B,MATCH(H1957,[1]IDEN_level_ids!$A:$A,0),1)</f>
        <v>1079</v>
      </c>
    </row>
    <row r="1958" spans="1:21" hidden="1" x14ac:dyDescent="0.25">
      <c r="A1958">
        <v>46447.509700000002</v>
      </c>
      <c r="B1958">
        <v>2152.9679999999998</v>
      </c>
      <c r="C1958">
        <v>10</v>
      </c>
      <c r="D1958" t="s">
        <v>605</v>
      </c>
      <c r="F1958">
        <v>1974</v>
      </c>
      <c r="G1958" s="1" t="s">
        <v>46</v>
      </c>
      <c r="H1958" s="1" t="s">
        <v>469</v>
      </c>
      <c r="I1958">
        <v>0.36720000000000003</v>
      </c>
      <c r="J1958">
        <v>46447.493300000002</v>
      </c>
      <c r="K1958">
        <v>-7.6000000000000004E-4</v>
      </c>
      <c r="L1958">
        <v>2.14E-3</v>
      </c>
      <c r="M1958">
        <v>4.6100000000000002E-2</v>
      </c>
      <c r="N1958">
        <v>0.1638</v>
      </c>
      <c r="O1958">
        <v>2.5500000000000002E-3</v>
      </c>
      <c r="P1958" s="3">
        <f t="shared" si="120"/>
        <v>2152.967955567271</v>
      </c>
      <c r="Q1958" s="3">
        <f t="shared" si="121"/>
        <v>-7.6018471554561984E-4</v>
      </c>
      <c r="R1958" s="3">
        <f t="shared" si="122"/>
        <v>2.14E-3</v>
      </c>
      <c r="S1958">
        <f t="shared" si="123"/>
        <v>47</v>
      </c>
      <c r="T1958">
        <f>INDEX([1]IDEN_level_ids!$B:$B,MATCH(G1958,[1]IDEN_level_ids!$A:$A,0),1)</f>
        <v>1212</v>
      </c>
      <c r="U1958">
        <f>INDEX([1]IDEN_level_ids!$B:$B,MATCH(H1958,[1]IDEN_level_ids!$A:$A,0),1)</f>
        <v>1048</v>
      </c>
    </row>
    <row r="1959" spans="1:21" hidden="1" x14ac:dyDescent="0.25">
      <c r="A1959">
        <v>46390.590100000001</v>
      </c>
      <c r="B1959">
        <v>2155.6095999999998</v>
      </c>
      <c r="C1959">
        <v>10</v>
      </c>
      <c r="D1959" t="s">
        <v>605</v>
      </c>
      <c r="F1959">
        <v>1974</v>
      </c>
      <c r="G1959" s="1" t="s">
        <v>76</v>
      </c>
      <c r="H1959" s="1" t="s">
        <v>461</v>
      </c>
      <c r="I1959">
        <v>0.24510000000000001</v>
      </c>
      <c r="J1959">
        <v>46390.5579</v>
      </c>
      <c r="K1959">
        <v>-1.5E-3</v>
      </c>
      <c r="L1959">
        <v>2.14E-3</v>
      </c>
      <c r="M1959">
        <v>4.6100000000000002E-2</v>
      </c>
      <c r="N1959">
        <v>0.1338</v>
      </c>
      <c r="O1959">
        <v>2.47E-3</v>
      </c>
      <c r="P1959" s="3">
        <f t="shared" si="120"/>
        <v>2155.6095704848558</v>
      </c>
      <c r="Q1959" s="3">
        <f t="shared" si="121"/>
        <v>-1.496223182130052E-3</v>
      </c>
      <c r="R1959" s="3">
        <f t="shared" si="122"/>
        <v>2.14E-3</v>
      </c>
      <c r="S1959">
        <f t="shared" si="123"/>
        <v>47</v>
      </c>
      <c r="T1959">
        <f>INDEX([1]IDEN_level_ids!$B:$B,MATCH(G1959,[1]IDEN_level_ids!$A:$A,0),1)</f>
        <v>1194</v>
      </c>
      <c r="U1959">
        <f>INDEX([1]IDEN_level_ids!$B:$B,MATCH(H1959,[1]IDEN_level_ids!$A:$A,0),1)</f>
        <v>1017</v>
      </c>
    </row>
    <row r="1960" spans="1:21" hidden="1" x14ac:dyDescent="0.25">
      <c r="A1960">
        <v>46377.030599999998</v>
      </c>
      <c r="B1960">
        <v>2156.2397999999998</v>
      </c>
      <c r="C1960">
        <v>10</v>
      </c>
      <c r="D1960" t="s">
        <v>605</v>
      </c>
      <c r="F1960">
        <v>1974</v>
      </c>
      <c r="G1960" s="1" t="s">
        <v>288</v>
      </c>
      <c r="H1960" s="1" t="s">
        <v>554</v>
      </c>
      <c r="I1960">
        <v>0</v>
      </c>
      <c r="J1960">
        <v>46376.930999999997</v>
      </c>
      <c r="K1960">
        <v>-4.6299999999999996E-3</v>
      </c>
      <c r="L1960">
        <v>2.14E-3</v>
      </c>
      <c r="M1960">
        <v>4.6100000000000002E-2</v>
      </c>
      <c r="N1960">
        <v>0.23050000000000001</v>
      </c>
      <c r="O1960">
        <v>2.7799999999999999E-3</v>
      </c>
      <c r="P1960" s="3">
        <f t="shared" si="120"/>
        <v>2156.2398175617568</v>
      </c>
      <c r="Q1960" s="3">
        <f t="shared" si="121"/>
        <v>-4.6307826150950859E-3</v>
      </c>
      <c r="R1960" s="3">
        <f t="shared" si="122"/>
        <v>2.14E-3</v>
      </c>
      <c r="S1960">
        <f t="shared" si="123"/>
        <v>47</v>
      </c>
      <c r="T1960">
        <f>INDEX([1]IDEN_level_ids!$B:$B,MATCH(G1960,[1]IDEN_level_ids!$A:$A,0),1)</f>
        <v>1151</v>
      </c>
      <c r="U1960">
        <f>INDEX([1]IDEN_level_ids!$B:$B,MATCH(H1960,[1]IDEN_level_ids!$A:$A,0),1)</f>
        <v>982</v>
      </c>
    </row>
    <row r="1961" spans="1:21" hidden="1" x14ac:dyDescent="0.25">
      <c r="A1961">
        <v>46233.559800000003</v>
      </c>
      <c r="B1961">
        <v>2162.931</v>
      </c>
      <c r="C1961">
        <v>10</v>
      </c>
      <c r="D1961" t="s">
        <v>605</v>
      </c>
      <c r="F1961">
        <v>1974</v>
      </c>
      <c r="G1961" s="1" t="s">
        <v>84</v>
      </c>
      <c r="H1961" s="1" t="s">
        <v>481</v>
      </c>
      <c r="I1961">
        <v>0</v>
      </c>
      <c r="J1961">
        <v>46233.478900000002</v>
      </c>
      <c r="K1961">
        <v>-3.7799999999999999E-3</v>
      </c>
      <c r="L1961">
        <v>2.16E-3</v>
      </c>
      <c r="M1961">
        <v>4.6100000000000002E-2</v>
      </c>
      <c r="N1961">
        <v>0.219</v>
      </c>
      <c r="O1961">
        <v>2.7599999999999999E-3</v>
      </c>
      <c r="P1961" s="3">
        <f t="shared" si="120"/>
        <v>2162.9310058015476</v>
      </c>
      <c r="Q1961" s="3">
        <f t="shared" si="121"/>
        <v>-3.7847274861633196E-3</v>
      </c>
      <c r="R1961" s="3">
        <f t="shared" si="122"/>
        <v>2.16E-3</v>
      </c>
      <c r="S1961">
        <f t="shared" si="123"/>
        <v>47</v>
      </c>
      <c r="T1961">
        <f>INDEX([1]IDEN_level_ids!$B:$B,MATCH(G1961,[1]IDEN_level_ids!$A:$A,0),1)</f>
        <v>1191</v>
      </c>
      <c r="U1961">
        <f>INDEX([1]IDEN_level_ids!$B:$B,MATCH(H1961,[1]IDEN_level_ids!$A:$A,0),1)</f>
        <v>1016</v>
      </c>
    </row>
    <row r="1962" spans="1:21" hidden="1" x14ac:dyDescent="0.25">
      <c r="A1962">
        <v>46225.880899999996</v>
      </c>
      <c r="B1962">
        <v>2163.2903000000001</v>
      </c>
      <c r="C1962">
        <v>10</v>
      </c>
      <c r="D1962" t="s">
        <v>605</v>
      </c>
      <c r="E1962" t="s">
        <v>427</v>
      </c>
      <c r="F1962">
        <v>1974</v>
      </c>
      <c r="G1962" s="1" t="s">
        <v>268</v>
      </c>
      <c r="H1962" s="1" t="s">
        <v>555</v>
      </c>
      <c r="I1962">
        <v>0</v>
      </c>
      <c r="J1962">
        <v>46225.835200000001</v>
      </c>
      <c r="K1962">
        <v>-2.14E-3</v>
      </c>
      <c r="L1962">
        <v>2.2799999999999999E-3</v>
      </c>
      <c r="M1962">
        <v>4.87E-2</v>
      </c>
      <c r="N1962">
        <v>0.23369999999999999</v>
      </c>
      <c r="O1962">
        <v>2.98E-3</v>
      </c>
      <c r="P1962" s="3">
        <f t="shared" si="120"/>
        <v>2163.2903051935136</v>
      </c>
      <c r="Q1962" s="3">
        <f t="shared" si="121"/>
        <v>-2.1386821135820355E-3</v>
      </c>
      <c r="R1962" s="3">
        <f t="shared" si="122"/>
        <v>2.2799999999999999E-3</v>
      </c>
      <c r="S1962">
        <f t="shared" si="123"/>
        <v>47</v>
      </c>
      <c r="T1962">
        <f>INDEX([1]IDEN_level_ids!$B:$B,MATCH(G1962,[1]IDEN_level_ids!$A:$A,0),1)</f>
        <v>1160</v>
      </c>
      <c r="U1962">
        <f>INDEX([1]IDEN_level_ids!$B:$B,MATCH(H1962,[1]IDEN_level_ids!$A:$A,0),1)</f>
        <v>995</v>
      </c>
    </row>
    <row r="1963" spans="1:21" hidden="1" x14ac:dyDescent="0.25">
      <c r="A1963">
        <v>46221.549400000004</v>
      </c>
      <c r="B1963">
        <v>2163.4929999999999</v>
      </c>
      <c r="C1963">
        <v>10</v>
      </c>
      <c r="D1963" t="s">
        <v>605</v>
      </c>
      <c r="E1963" t="s">
        <v>427</v>
      </c>
      <c r="F1963">
        <v>1974</v>
      </c>
      <c r="G1963" s="1" t="s">
        <v>46</v>
      </c>
      <c r="H1963" s="1" t="s">
        <v>438</v>
      </c>
      <c r="I1963">
        <v>0</v>
      </c>
      <c r="J1963">
        <v>46221.539100000002</v>
      </c>
      <c r="K1963">
        <v>-4.8000000000000001E-4</v>
      </c>
      <c r="L1963">
        <v>2.2799999999999999E-3</v>
      </c>
      <c r="M1963">
        <v>4.87E-2</v>
      </c>
      <c r="N1963">
        <v>0.1258</v>
      </c>
      <c r="O1963">
        <v>2.6099999999999999E-3</v>
      </c>
      <c r="P1963" s="3">
        <f t="shared" si="120"/>
        <v>2163.4930308069679</v>
      </c>
      <c r="Q1963" s="3">
        <f t="shared" si="121"/>
        <v>-4.8211242346951622E-4</v>
      </c>
      <c r="R1963" s="3">
        <f t="shared" si="122"/>
        <v>2.2799999999999999E-3</v>
      </c>
      <c r="S1963">
        <f t="shared" si="123"/>
        <v>47</v>
      </c>
      <c r="T1963">
        <f>INDEX([1]IDEN_level_ids!$B:$B,MATCH(G1963,[1]IDEN_level_ids!$A:$A,0),1)</f>
        <v>1212</v>
      </c>
      <c r="U1963">
        <f>INDEX([1]IDEN_level_ids!$B:$B,MATCH(H1963,[1]IDEN_level_ids!$A:$A,0),1)</f>
        <v>1051</v>
      </c>
    </row>
    <row r="1964" spans="1:21" hidden="1" x14ac:dyDescent="0.25">
      <c r="A1964">
        <v>46206.2503</v>
      </c>
      <c r="B1964">
        <v>2164.2094000000002</v>
      </c>
      <c r="C1964">
        <v>10</v>
      </c>
      <c r="D1964" t="s">
        <v>605</v>
      </c>
      <c r="F1964">
        <v>1974</v>
      </c>
      <c r="G1964" s="1" t="s">
        <v>134</v>
      </c>
      <c r="H1964" s="1" t="s">
        <v>497</v>
      </c>
      <c r="I1964">
        <v>0.45729999999999998</v>
      </c>
      <c r="J1964">
        <v>46206.2601</v>
      </c>
      <c r="K1964">
        <v>4.6000000000000001E-4</v>
      </c>
      <c r="L1964">
        <v>2.16E-3</v>
      </c>
      <c r="M1964">
        <v>4.6100000000000002E-2</v>
      </c>
      <c r="N1964">
        <v>0.39739999999999998</v>
      </c>
      <c r="O1964">
        <v>3.5799999999999998E-3</v>
      </c>
      <c r="P1964" s="3">
        <f t="shared" si="120"/>
        <v>2164.2093732068106</v>
      </c>
      <c r="Q1964" s="3">
        <f t="shared" si="121"/>
        <v>4.590125195136352E-4</v>
      </c>
      <c r="R1964" s="3">
        <f t="shared" si="122"/>
        <v>2.16E-3</v>
      </c>
      <c r="S1964">
        <f t="shared" si="123"/>
        <v>47</v>
      </c>
      <c r="T1964">
        <f>INDEX([1]IDEN_level_ids!$B:$B,MATCH(G1964,[1]IDEN_level_ids!$A:$A,0),1)</f>
        <v>1114</v>
      </c>
      <c r="U1964">
        <f>INDEX([1]IDEN_level_ids!$B:$B,MATCH(H1964,[1]IDEN_level_ids!$A:$A,0),1)</f>
        <v>935</v>
      </c>
    </row>
    <row r="1965" spans="1:21" hidden="1" x14ac:dyDescent="0.25">
      <c r="A1965">
        <v>46172.450199999999</v>
      </c>
      <c r="B1965">
        <v>2165.7937000000002</v>
      </c>
      <c r="C1965">
        <v>10</v>
      </c>
      <c r="D1965" t="s">
        <v>605</v>
      </c>
      <c r="F1965">
        <v>1974</v>
      </c>
      <c r="G1965" s="1" t="s">
        <v>56</v>
      </c>
      <c r="H1965" s="1" t="s">
        <v>431</v>
      </c>
      <c r="I1965">
        <v>0.28649999999999998</v>
      </c>
      <c r="J1965">
        <v>46172.303899999999</v>
      </c>
      <c r="K1965">
        <v>-6.8599999999999998E-3</v>
      </c>
      <c r="L1965">
        <v>2.16E-3</v>
      </c>
      <c r="M1965">
        <v>4.6100000000000002E-2</v>
      </c>
      <c r="N1965">
        <v>0.158</v>
      </c>
      <c r="O1965">
        <v>2.5699999999999998E-3</v>
      </c>
      <c r="P1965" s="3">
        <f t="shared" si="120"/>
        <v>2165.7936619529887</v>
      </c>
      <c r="Q1965" s="3">
        <f t="shared" si="121"/>
        <v>-6.8624605223703838E-3</v>
      </c>
      <c r="R1965" s="3">
        <f t="shared" si="122"/>
        <v>2.16E-3</v>
      </c>
      <c r="S1965">
        <f t="shared" si="123"/>
        <v>47</v>
      </c>
      <c r="T1965">
        <f>INDEX([1]IDEN_level_ids!$B:$B,MATCH(G1965,[1]IDEN_level_ids!$A:$A,0),1)</f>
        <v>1221</v>
      </c>
      <c r="U1965">
        <f>INDEX([1]IDEN_level_ids!$B:$B,MATCH(H1965,[1]IDEN_level_ids!$A:$A,0),1)</f>
        <v>1062</v>
      </c>
    </row>
    <row r="1966" spans="1:21" hidden="1" x14ac:dyDescent="0.25">
      <c r="A1966">
        <v>46144.190600000002</v>
      </c>
      <c r="B1966">
        <v>2167.12</v>
      </c>
      <c r="C1966">
        <v>10</v>
      </c>
      <c r="D1966" t="s">
        <v>605</v>
      </c>
      <c r="F1966">
        <v>1974</v>
      </c>
      <c r="G1966" s="1" t="s">
        <v>40</v>
      </c>
      <c r="H1966" s="1" t="s">
        <v>587</v>
      </c>
      <c r="I1966">
        <v>0.13569999999999999</v>
      </c>
      <c r="J1966">
        <v>46144.074399999998</v>
      </c>
      <c r="K1966">
        <v>-5.4599999999999996E-3</v>
      </c>
      <c r="L1966">
        <v>2.16E-3</v>
      </c>
      <c r="M1966">
        <v>4.6100000000000002E-2</v>
      </c>
      <c r="N1966">
        <v>0.1123</v>
      </c>
      <c r="O1966">
        <v>2.4399999999999999E-3</v>
      </c>
      <c r="P1966" s="3">
        <f t="shared" si="120"/>
        <v>2167.1200361243305</v>
      </c>
      <c r="Q1966" s="3">
        <f t="shared" si="121"/>
        <v>-5.4572412923334923E-3</v>
      </c>
      <c r="R1966" s="3">
        <f t="shared" si="122"/>
        <v>2.16E-3</v>
      </c>
      <c r="S1966">
        <f t="shared" si="123"/>
        <v>47</v>
      </c>
      <c r="T1966">
        <f>INDEX([1]IDEN_level_ids!$B:$B,MATCH(G1966,[1]IDEN_level_ids!$A:$A,0),1)</f>
        <v>1199</v>
      </c>
      <c r="U1966">
        <f>INDEX([1]IDEN_level_ids!$B:$B,MATCH(H1966,[1]IDEN_level_ids!$A:$A,0),1)</f>
        <v>1035</v>
      </c>
    </row>
    <row r="1967" spans="1:21" hidden="1" x14ac:dyDescent="0.25">
      <c r="A1967">
        <v>46115.0308</v>
      </c>
      <c r="B1967">
        <v>2168.4904000000001</v>
      </c>
      <c r="C1967">
        <v>10</v>
      </c>
      <c r="D1967" t="s">
        <v>605</v>
      </c>
      <c r="F1967">
        <v>1974</v>
      </c>
      <c r="G1967" s="1" t="s">
        <v>140</v>
      </c>
      <c r="H1967" s="1" t="s">
        <v>452</v>
      </c>
      <c r="I1967">
        <v>0.25619999999999998</v>
      </c>
      <c r="J1967">
        <v>46114.918700000002</v>
      </c>
      <c r="K1967">
        <v>-5.2700000000000004E-3</v>
      </c>
      <c r="L1967">
        <v>2.1700000000000001E-3</v>
      </c>
      <c r="M1967">
        <v>4.6100000000000002E-2</v>
      </c>
      <c r="N1967">
        <v>0.14480000000000001</v>
      </c>
      <c r="O1967">
        <v>2.5300000000000001E-3</v>
      </c>
      <c r="P1967" s="3">
        <f t="shared" si="120"/>
        <v>2168.4903656184915</v>
      </c>
      <c r="Q1967" s="3">
        <f t="shared" si="121"/>
        <v>-5.2713476861754316E-3</v>
      </c>
      <c r="R1967" s="3">
        <f t="shared" si="122"/>
        <v>2.1700000000000001E-3</v>
      </c>
      <c r="S1967">
        <f t="shared" si="123"/>
        <v>47</v>
      </c>
      <c r="T1967">
        <f>INDEX([1]IDEN_level_ids!$B:$B,MATCH(G1967,[1]IDEN_level_ids!$A:$A,0),1)</f>
        <v>1198</v>
      </c>
      <c r="U1967">
        <f>INDEX([1]IDEN_level_ids!$B:$B,MATCH(H1967,[1]IDEN_level_ids!$A:$A,0),1)</f>
        <v>1033</v>
      </c>
    </row>
    <row r="1968" spans="1:21" hidden="1" x14ac:dyDescent="0.25">
      <c r="A1968">
        <v>46087.650900000001</v>
      </c>
      <c r="B1968">
        <v>2169.7786000000001</v>
      </c>
      <c r="C1968">
        <v>10</v>
      </c>
      <c r="D1968" t="s">
        <v>605</v>
      </c>
      <c r="F1968">
        <v>1974</v>
      </c>
      <c r="G1968" s="1" t="s">
        <v>56</v>
      </c>
      <c r="H1968" s="1" t="s">
        <v>458</v>
      </c>
      <c r="I1968">
        <v>0</v>
      </c>
      <c r="J1968">
        <v>46087.579700000002</v>
      </c>
      <c r="K1968">
        <v>-3.3500000000000001E-3</v>
      </c>
      <c r="L1968">
        <v>2.1700000000000001E-3</v>
      </c>
      <c r="M1968">
        <v>4.6100000000000002E-2</v>
      </c>
      <c r="N1968">
        <v>0.16800000000000001</v>
      </c>
      <c r="O1968">
        <v>2.6099999999999999E-3</v>
      </c>
      <c r="P1968" s="3">
        <f t="shared" si="120"/>
        <v>2169.7786293551358</v>
      </c>
      <c r="Q1968" s="3">
        <f t="shared" si="121"/>
        <v>-3.3520579604555678E-3</v>
      </c>
      <c r="R1968" s="3">
        <f t="shared" si="122"/>
        <v>2.1700000000000001E-3</v>
      </c>
      <c r="S1968">
        <f t="shared" si="123"/>
        <v>47</v>
      </c>
      <c r="T1968">
        <f>INDEX([1]IDEN_level_ids!$B:$B,MATCH(G1968,[1]IDEN_level_ids!$A:$A,0),1)</f>
        <v>1221</v>
      </c>
      <c r="U1968">
        <f>INDEX([1]IDEN_level_ids!$B:$B,MATCH(H1968,[1]IDEN_level_ids!$A:$A,0),1)</f>
        <v>1064</v>
      </c>
    </row>
    <row r="1969" spans="1:21" hidden="1" x14ac:dyDescent="0.25">
      <c r="A1969">
        <v>46054.069900000002</v>
      </c>
      <c r="B1969">
        <v>2171.3607999999999</v>
      </c>
      <c r="C1969">
        <v>10</v>
      </c>
      <c r="D1969" t="s">
        <v>605</v>
      </c>
      <c r="F1969">
        <v>1974</v>
      </c>
      <c r="G1969" s="1" t="s">
        <v>76</v>
      </c>
      <c r="H1969" s="1" t="s">
        <v>536</v>
      </c>
      <c r="I1969">
        <v>0</v>
      </c>
      <c r="J1969">
        <v>46053.953500000003</v>
      </c>
      <c r="K1969">
        <v>-5.4900000000000001E-3</v>
      </c>
      <c r="L1969">
        <v>2.1700000000000001E-3</v>
      </c>
      <c r="M1969">
        <v>4.6100000000000002E-2</v>
      </c>
      <c r="N1969">
        <v>0.12670000000000001</v>
      </c>
      <c r="O1969">
        <v>2.49E-3</v>
      </c>
      <c r="P1969" s="3">
        <f t="shared" si="120"/>
        <v>2171.3607552413082</v>
      </c>
      <c r="Q1969" s="3">
        <f t="shared" si="121"/>
        <v>-5.4880498350939888E-3</v>
      </c>
      <c r="R1969" s="3">
        <f t="shared" si="122"/>
        <v>2.1700000000000001E-3</v>
      </c>
      <c r="S1969">
        <f t="shared" si="123"/>
        <v>47</v>
      </c>
      <c r="T1969">
        <f>INDEX([1]IDEN_level_ids!$B:$B,MATCH(G1969,[1]IDEN_level_ids!$A:$A,0),1)</f>
        <v>1194</v>
      </c>
      <c r="U1969">
        <f>INDEX([1]IDEN_level_ids!$B:$B,MATCH(H1969,[1]IDEN_level_ids!$A:$A,0),1)</f>
        <v>1021</v>
      </c>
    </row>
    <row r="1970" spans="1:21" hidden="1" x14ac:dyDescent="0.25">
      <c r="A1970">
        <v>46043.6106</v>
      </c>
      <c r="B1970">
        <v>2171.8539999999998</v>
      </c>
      <c r="C1970">
        <v>10</v>
      </c>
      <c r="D1970" t="s">
        <v>605</v>
      </c>
      <c r="F1970">
        <v>1974</v>
      </c>
      <c r="G1970" s="1" t="s">
        <v>239</v>
      </c>
      <c r="H1970" s="1" t="s">
        <v>580</v>
      </c>
      <c r="I1970">
        <v>0.20710000000000001</v>
      </c>
      <c r="J1970">
        <v>46043.529300000002</v>
      </c>
      <c r="K1970">
        <v>-3.8400000000000001E-3</v>
      </c>
      <c r="L1970">
        <v>2.1700000000000001E-3</v>
      </c>
      <c r="M1970">
        <v>4.6100000000000002E-2</v>
      </c>
      <c r="N1970">
        <v>0.13</v>
      </c>
      <c r="O1970">
        <v>2.5000000000000001E-3</v>
      </c>
      <c r="P1970" s="3">
        <f t="shared" si="120"/>
        <v>2171.8540031263319</v>
      </c>
      <c r="Q1970" s="3">
        <f t="shared" si="121"/>
        <v>-3.8348869670699059E-3</v>
      </c>
      <c r="R1970" s="3">
        <f t="shared" si="122"/>
        <v>2.1700000000000001E-3</v>
      </c>
      <c r="S1970">
        <f t="shared" si="123"/>
        <v>47</v>
      </c>
      <c r="T1970">
        <f>INDEX([1]IDEN_level_ids!$B:$B,MATCH(G1970,[1]IDEN_level_ids!$A:$A,0),1)</f>
        <v>1167</v>
      </c>
      <c r="U1970">
        <f>INDEX([1]IDEN_level_ids!$B:$B,MATCH(H1970,[1]IDEN_level_ids!$A:$A,0),1)</f>
        <v>1001</v>
      </c>
    </row>
    <row r="1971" spans="1:21" hidden="1" x14ac:dyDescent="0.25">
      <c r="A1971">
        <v>46024.090400000001</v>
      </c>
      <c r="B1971">
        <v>2172.7752</v>
      </c>
      <c r="C1971">
        <v>10</v>
      </c>
      <c r="D1971" t="s">
        <v>605</v>
      </c>
      <c r="E1971" t="s">
        <v>427</v>
      </c>
      <c r="F1971">
        <v>1974</v>
      </c>
      <c r="G1971" s="1" t="s">
        <v>220</v>
      </c>
      <c r="H1971" s="1" t="s">
        <v>543</v>
      </c>
      <c r="I1971">
        <v>3.3500000000000002E-2</v>
      </c>
      <c r="J1971">
        <v>46023.977500000001</v>
      </c>
      <c r="K1971">
        <v>-5.3299999999999997E-3</v>
      </c>
      <c r="L1971">
        <v>2.3E-3</v>
      </c>
      <c r="M1971">
        <v>4.87E-2</v>
      </c>
      <c r="N1971">
        <v>0.31130000000000002</v>
      </c>
      <c r="O1971">
        <v>3.3400000000000001E-3</v>
      </c>
      <c r="P1971" s="3">
        <f t="shared" si="120"/>
        <v>2172.7751516844751</v>
      </c>
      <c r="Q1971" s="3">
        <f t="shared" si="121"/>
        <v>-5.3299677247196087E-3</v>
      </c>
      <c r="R1971" s="3">
        <f t="shared" si="122"/>
        <v>2.3E-3</v>
      </c>
      <c r="S1971">
        <f t="shared" si="123"/>
        <v>47</v>
      </c>
      <c r="T1971">
        <f>INDEX([1]IDEN_level_ids!$B:$B,MATCH(G1971,[1]IDEN_level_ids!$A:$A,0),1)</f>
        <v>1142</v>
      </c>
      <c r="U1971">
        <f>INDEX([1]IDEN_level_ids!$B:$B,MATCH(H1971,[1]IDEN_level_ids!$A:$A,0),1)</f>
        <v>972</v>
      </c>
    </row>
    <row r="1972" spans="1:21" hidden="1" x14ac:dyDescent="0.25">
      <c r="A1972">
        <v>46018.839699999997</v>
      </c>
      <c r="B1972">
        <v>2173.0230999999999</v>
      </c>
      <c r="C1972">
        <v>10</v>
      </c>
      <c r="D1972" t="s">
        <v>605</v>
      </c>
      <c r="F1972">
        <v>1974</v>
      </c>
      <c r="G1972" s="1" t="s">
        <v>243</v>
      </c>
      <c r="H1972" s="1" t="s">
        <v>583</v>
      </c>
      <c r="I1972">
        <v>0.1106</v>
      </c>
      <c r="J1972">
        <v>46018.709900000002</v>
      </c>
      <c r="K1972">
        <v>-6.13E-3</v>
      </c>
      <c r="L1972">
        <v>2.1800000000000001E-3</v>
      </c>
      <c r="M1972">
        <v>4.6100000000000002E-2</v>
      </c>
      <c r="N1972">
        <v>0.18149999999999999</v>
      </c>
      <c r="O1972">
        <v>2.66E-3</v>
      </c>
      <c r="P1972" s="3">
        <f t="shared" si="120"/>
        <v>2173.023062986962</v>
      </c>
      <c r="Q1972" s="3">
        <f t="shared" si="121"/>
        <v>-6.1292112313822145E-3</v>
      </c>
      <c r="R1972" s="3">
        <f t="shared" si="122"/>
        <v>2.1800000000000001E-3</v>
      </c>
      <c r="S1972">
        <f t="shared" si="123"/>
        <v>47</v>
      </c>
      <c r="T1972">
        <f>INDEX([1]IDEN_level_ids!$B:$B,MATCH(G1972,[1]IDEN_level_ids!$A:$A,0),1)</f>
        <v>1205</v>
      </c>
      <c r="U1972">
        <f>INDEX([1]IDEN_level_ids!$B:$B,MATCH(H1972,[1]IDEN_level_ids!$A:$A,0),1)</f>
        <v>1043</v>
      </c>
    </row>
    <row r="1973" spans="1:21" hidden="1" x14ac:dyDescent="0.25">
      <c r="A1973">
        <v>45966.41</v>
      </c>
      <c r="B1973">
        <v>2175.5016000000001</v>
      </c>
      <c r="C1973">
        <v>10</v>
      </c>
      <c r="D1973" t="s">
        <v>606</v>
      </c>
      <c r="F1973">
        <v>1974</v>
      </c>
      <c r="G1973" s="1" t="s">
        <v>72</v>
      </c>
      <c r="H1973" s="1" t="s">
        <v>448</v>
      </c>
      <c r="I1973">
        <v>0.29559999999999997</v>
      </c>
      <c r="J1973">
        <v>45966.363499999999</v>
      </c>
      <c r="K1973">
        <v>-2.2000000000000001E-3</v>
      </c>
      <c r="L1973">
        <v>2.1800000000000001E-3</v>
      </c>
      <c r="M1973">
        <v>4.6100000000000002E-2</v>
      </c>
      <c r="N1973">
        <v>0.15590000000000001</v>
      </c>
      <c r="O1973">
        <v>2.5799999999999998E-3</v>
      </c>
      <c r="P1973" s="3">
        <f t="shared" si="120"/>
        <v>2175.5016326052</v>
      </c>
      <c r="Q1973" s="3">
        <f t="shared" si="121"/>
        <v>-2.2007576458236144E-3</v>
      </c>
      <c r="R1973" s="3">
        <f t="shared" si="122"/>
        <v>2.1800000000000001E-3</v>
      </c>
      <c r="S1973">
        <f t="shared" si="123"/>
        <v>48</v>
      </c>
      <c r="T1973">
        <f>INDEX([1]IDEN_level_ids!$B:$B,MATCH(G1973,[1]IDEN_level_ids!$A:$A,0),1)</f>
        <v>1225</v>
      </c>
      <c r="U1973">
        <f>INDEX([1]IDEN_level_ids!$B:$B,MATCH(H1973,[1]IDEN_level_ids!$A:$A,0),1)</f>
        <v>1067</v>
      </c>
    </row>
    <row r="1974" spans="1:21" hidden="1" x14ac:dyDescent="0.25">
      <c r="A1974">
        <v>45964.869500000001</v>
      </c>
      <c r="B1974">
        <v>2175.5745000000002</v>
      </c>
      <c r="C1974">
        <v>10</v>
      </c>
      <c r="D1974" t="s">
        <v>606</v>
      </c>
      <c r="F1974">
        <v>1974</v>
      </c>
      <c r="G1974" s="1" t="s">
        <v>82</v>
      </c>
      <c r="H1974" s="1" t="s">
        <v>475</v>
      </c>
      <c r="I1974">
        <v>0.18990000000000001</v>
      </c>
      <c r="J1974">
        <v>45964.712800000001</v>
      </c>
      <c r="K1974">
        <v>-7.4200000000000004E-3</v>
      </c>
      <c r="L1974">
        <v>2.1800000000000001E-3</v>
      </c>
      <c r="M1974">
        <v>4.6100000000000002E-2</v>
      </c>
      <c r="N1974">
        <v>0.1295</v>
      </c>
      <c r="O1974">
        <v>2.5000000000000001E-3</v>
      </c>
      <c r="P1974" s="3">
        <f t="shared" si="120"/>
        <v>2175.574543946002</v>
      </c>
      <c r="Q1974" s="3">
        <f t="shared" si="121"/>
        <v>-7.4168315272800101E-3</v>
      </c>
      <c r="R1974" s="3">
        <f t="shared" si="122"/>
        <v>2.1800000000000001E-3</v>
      </c>
      <c r="S1974">
        <f t="shared" si="123"/>
        <v>48</v>
      </c>
      <c r="T1974">
        <f>INDEX([1]IDEN_level_ids!$B:$B,MATCH(G1974,[1]IDEN_level_ids!$A:$A,0),1)</f>
        <v>1193</v>
      </c>
      <c r="U1974">
        <f>INDEX([1]IDEN_level_ids!$B:$B,MATCH(H1974,[1]IDEN_level_ids!$A:$A,0),1)</f>
        <v>1030</v>
      </c>
    </row>
    <row r="1975" spans="1:21" hidden="1" x14ac:dyDescent="0.25">
      <c r="A1975">
        <v>45945.600599999998</v>
      </c>
      <c r="B1975">
        <v>2176.4868999999999</v>
      </c>
      <c r="C1975">
        <v>10</v>
      </c>
      <c r="D1975" t="s">
        <v>606</v>
      </c>
      <c r="F1975">
        <v>1974</v>
      </c>
      <c r="G1975" s="1" t="s">
        <v>38</v>
      </c>
      <c r="H1975" s="1" t="s">
        <v>476</v>
      </c>
      <c r="I1975">
        <v>0</v>
      </c>
      <c r="J1975">
        <v>45945.443299999999</v>
      </c>
      <c r="K1975">
        <v>-7.45E-3</v>
      </c>
      <c r="L1975">
        <v>2.1800000000000001E-3</v>
      </c>
      <c r="M1975">
        <v>4.6100000000000002E-2</v>
      </c>
      <c r="N1975">
        <v>0.126</v>
      </c>
      <c r="O1975">
        <v>2.5000000000000001E-3</v>
      </c>
      <c r="P1975" s="3">
        <f t="shared" si="120"/>
        <v>2176.4869474793632</v>
      </c>
      <c r="Q1975" s="3">
        <f t="shared" si="121"/>
        <v>-7.4514766265565413E-3</v>
      </c>
      <c r="R1975" s="3">
        <f t="shared" si="122"/>
        <v>2.1800000000000001E-3</v>
      </c>
      <c r="S1975">
        <f t="shared" si="123"/>
        <v>48</v>
      </c>
      <c r="T1975">
        <f>INDEX([1]IDEN_level_ids!$B:$B,MATCH(G1975,[1]IDEN_level_ids!$A:$A,0),1)</f>
        <v>1201</v>
      </c>
      <c r="U1975">
        <f>INDEX([1]IDEN_level_ids!$B:$B,MATCH(H1975,[1]IDEN_level_ids!$A:$A,0),1)</f>
        <v>1037</v>
      </c>
    </row>
    <row r="1976" spans="1:21" hidden="1" x14ac:dyDescent="0.25">
      <c r="A1976">
        <v>45927.22</v>
      </c>
      <c r="B1976">
        <v>2177.3580000000002</v>
      </c>
      <c r="C1976">
        <v>10</v>
      </c>
      <c r="D1976" t="s">
        <v>606</v>
      </c>
      <c r="F1976">
        <v>1974</v>
      </c>
      <c r="G1976" s="1" t="s">
        <v>285</v>
      </c>
      <c r="H1976" s="1" t="s">
        <v>538</v>
      </c>
      <c r="I1976">
        <v>0</v>
      </c>
      <c r="J1976">
        <v>45927.112200000003</v>
      </c>
      <c r="K1976">
        <v>-5.11E-3</v>
      </c>
      <c r="L1976">
        <v>2.1800000000000001E-3</v>
      </c>
      <c r="M1976">
        <v>4.6100000000000002E-2</v>
      </c>
      <c r="N1976">
        <v>0.25090000000000001</v>
      </c>
      <c r="O1976">
        <v>2.9199999999999999E-3</v>
      </c>
      <c r="P1976" s="3">
        <f t="shared" si="120"/>
        <v>2177.3580025091874</v>
      </c>
      <c r="Q1976" s="3">
        <f t="shared" si="121"/>
        <v>-5.1106891205563443E-3</v>
      </c>
      <c r="R1976" s="3">
        <f t="shared" si="122"/>
        <v>2.1800000000000001E-3</v>
      </c>
      <c r="S1976">
        <f t="shared" si="123"/>
        <v>48</v>
      </c>
      <c r="T1976">
        <f>INDEX([1]IDEN_level_ids!$B:$B,MATCH(G1976,[1]IDEN_level_ids!$A:$A,0),1)</f>
        <v>1150</v>
      </c>
      <c r="U1976">
        <f>INDEX([1]IDEN_level_ids!$B:$B,MATCH(H1976,[1]IDEN_level_ids!$A:$A,0),1)</f>
        <v>978</v>
      </c>
    </row>
    <row r="1977" spans="1:21" hidden="1" x14ac:dyDescent="0.25">
      <c r="A1977">
        <v>45909.4807</v>
      </c>
      <c r="B1977">
        <v>2178.1993000000002</v>
      </c>
      <c r="C1977">
        <v>10</v>
      </c>
      <c r="D1977" t="s">
        <v>606</v>
      </c>
      <c r="F1977">
        <v>1974</v>
      </c>
      <c r="G1977" s="1" t="s">
        <v>33</v>
      </c>
      <c r="H1977" s="1" t="s">
        <v>458</v>
      </c>
      <c r="I1977">
        <v>0</v>
      </c>
      <c r="J1977">
        <v>45909.400800000003</v>
      </c>
      <c r="K1977">
        <v>-3.79E-3</v>
      </c>
      <c r="L1977">
        <v>2.1900000000000001E-3</v>
      </c>
      <c r="M1977">
        <v>4.6100000000000002E-2</v>
      </c>
      <c r="N1977">
        <v>0.15920000000000001</v>
      </c>
      <c r="O1977">
        <v>2.5999999999999999E-3</v>
      </c>
      <c r="P1977" s="3">
        <f t="shared" si="120"/>
        <v>2178.199327791569</v>
      </c>
      <c r="Q1977" s="3">
        <f t="shared" si="121"/>
        <v>-3.7909038942416373E-3</v>
      </c>
      <c r="R1977" s="3">
        <f t="shared" si="122"/>
        <v>2.1900000000000001E-3</v>
      </c>
      <c r="S1977">
        <f t="shared" si="123"/>
        <v>48</v>
      </c>
      <c r="T1977">
        <f>INDEX([1]IDEN_level_ids!$B:$B,MATCH(G1977,[1]IDEN_level_ids!$A:$A,0),1)</f>
        <v>1220</v>
      </c>
      <c r="U1977">
        <f>INDEX([1]IDEN_level_ids!$B:$B,MATCH(H1977,[1]IDEN_level_ids!$A:$A,0),1)</f>
        <v>1064</v>
      </c>
    </row>
    <row r="1978" spans="1:21" hidden="1" x14ac:dyDescent="0.25">
      <c r="A1978">
        <v>45863.849300000002</v>
      </c>
      <c r="B1978">
        <v>2180.3665000000001</v>
      </c>
      <c r="C1978">
        <v>10</v>
      </c>
      <c r="D1978" t="s">
        <v>606</v>
      </c>
      <c r="E1978" t="s">
        <v>427</v>
      </c>
      <c r="F1978">
        <v>1974</v>
      </c>
      <c r="G1978" s="1" t="s">
        <v>40</v>
      </c>
      <c r="H1978" s="1" t="s">
        <v>552</v>
      </c>
      <c r="I1978">
        <v>0</v>
      </c>
      <c r="J1978">
        <v>45863.663500000002</v>
      </c>
      <c r="K1978">
        <v>-8.8299999999999993E-3</v>
      </c>
      <c r="L1978">
        <v>2.32E-3</v>
      </c>
      <c r="M1978">
        <v>4.87E-2</v>
      </c>
      <c r="N1978">
        <v>0.126</v>
      </c>
      <c r="O1978">
        <v>2.65E-3</v>
      </c>
      <c r="P1978" s="3">
        <f t="shared" si="120"/>
        <v>2180.3664874679412</v>
      </c>
      <c r="Q1978" s="3">
        <f t="shared" si="121"/>
        <v>-8.8329641039308626E-3</v>
      </c>
      <c r="R1978" s="3">
        <f t="shared" si="122"/>
        <v>2.32E-3</v>
      </c>
      <c r="S1978">
        <f t="shared" si="123"/>
        <v>48</v>
      </c>
      <c r="T1978">
        <f>INDEX([1]IDEN_level_ids!$B:$B,MATCH(G1978,[1]IDEN_level_ids!$A:$A,0),1)</f>
        <v>1199</v>
      </c>
      <c r="U1978">
        <f>INDEX([1]IDEN_level_ids!$B:$B,MATCH(H1978,[1]IDEN_level_ids!$A:$A,0),1)</f>
        <v>1040</v>
      </c>
    </row>
    <row r="1979" spans="1:21" hidden="1" x14ac:dyDescent="0.25">
      <c r="A1979">
        <v>45861.029499999997</v>
      </c>
      <c r="B1979">
        <v>2180.5005000000001</v>
      </c>
      <c r="C1979">
        <v>10</v>
      </c>
      <c r="D1979" t="s">
        <v>606</v>
      </c>
      <c r="F1979">
        <v>1974</v>
      </c>
      <c r="G1979" s="1" t="s">
        <v>41</v>
      </c>
      <c r="H1979" s="1" t="s">
        <v>384</v>
      </c>
      <c r="I1979">
        <v>0.45490000000000003</v>
      </c>
      <c r="J1979">
        <v>45860.948100000001</v>
      </c>
      <c r="K1979">
        <v>-3.8700000000000002E-3</v>
      </c>
      <c r="L1979">
        <v>2.1900000000000001E-3</v>
      </c>
      <c r="M1979">
        <v>4.6100000000000002E-2</v>
      </c>
      <c r="N1979">
        <v>0.1925</v>
      </c>
      <c r="O1979">
        <v>2.7100000000000002E-3</v>
      </c>
      <c r="P1979" s="3">
        <f t="shared" si="120"/>
        <v>2180.5005489464647</v>
      </c>
      <c r="Q1979" s="3">
        <f t="shared" si="121"/>
        <v>-3.8702371412000502E-3</v>
      </c>
      <c r="R1979" s="3">
        <f t="shared" si="122"/>
        <v>2.1900000000000001E-3</v>
      </c>
      <c r="S1979">
        <f t="shared" si="123"/>
        <v>48</v>
      </c>
      <c r="T1979">
        <f>INDEX([1]IDEN_level_ids!$B:$B,MATCH(G1979,[1]IDEN_level_ids!$A:$A,0),1)</f>
        <v>1238</v>
      </c>
      <c r="U1979">
        <f>INDEX([1]IDEN_level_ids!$B:$B,MATCH(H1979,[1]IDEN_level_ids!$A:$A,0),1)</f>
        <v>1080</v>
      </c>
    </row>
    <row r="1980" spans="1:21" hidden="1" x14ac:dyDescent="0.25">
      <c r="A1980">
        <v>45840.399899999997</v>
      </c>
      <c r="B1980">
        <v>2181.4818</v>
      </c>
      <c r="C1980">
        <v>10</v>
      </c>
      <c r="D1980" t="s">
        <v>606</v>
      </c>
      <c r="F1980">
        <v>1974</v>
      </c>
      <c r="G1980" s="1" t="s">
        <v>334</v>
      </c>
      <c r="H1980" s="1" t="s">
        <v>498</v>
      </c>
      <c r="I1980">
        <v>0</v>
      </c>
      <c r="J1980">
        <v>45840.226799999997</v>
      </c>
      <c r="K1980">
        <v>-8.2400000000000008E-3</v>
      </c>
      <c r="L1980">
        <v>2.1900000000000001E-3</v>
      </c>
      <c r="M1980">
        <v>4.6100000000000002E-2</v>
      </c>
      <c r="N1980">
        <v>0.29349999999999998</v>
      </c>
      <c r="O1980">
        <v>3.0999999999999999E-3</v>
      </c>
      <c r="P1980" s="3">
        <f t="shared" si="120"/>
        <v>2181.4818417410884</v>
      </c>
      <c r="Q1980" s="3">
        <f t="shared" si="121"/>
        <v>-8.2376230043337273E-3</v>
      </c>
      <c r="R1980" s="3">
        <f t="shared" si="122"/>
        <v>2.1900000000000001E-3</v>
      </c>
      <c r="S1980">
        <f t="shared" si="123"/>
        <v>48</v>
      </c>
      <c r="T1980">
        <f>INDEX([1]IDEN_level_ids!$B:$B,MATCH(G1980,[1]IDEN_level_ids!$A:$A,0),1)</f>
        <v>1124</v>
      </c>
      <c r="U1980">
        <f>INDEX([1]IDEN_level_ids!$B:$B,MATCH(H1980,[1]IDEN_level_ids!$A:$A,0),1)</f>
        <v>953</v>
      </c>
    </row>
    <row r="1981" spans="1:21" hidden="1" x14ac:dyDescent="0.25">
      <c r="A1981">
        <v>45832.830800000003</v>
      </c>
      <c r="B1981">
        <v>2181.8420999999998</v>
      </c>
      <c r="C1981">
        <v>10</v>
      </c>
      <c r="D1981" t="s">
        <v>606</v>
      </c>
      <c r="F1981">
        <v>1974</v>
      </c>
      <c r="G1981" s="1" t="s">
        <v>243</v>
      </c>
      <c r="H1981" s="1" t="s">
        <v>468</v>
      </c>
      <c r="I1981">
        <v>0.16639999999999999</v>
      </c>
      <c r="J1981">
        <v>45832.749400000001</v>
      </c>
      <c r="K1981">
        <v>-3.8700000000000002E-3</v>
      </c>
      <c r="L1981">
        <v>2.1900000000000001E-3</v>
      </c>
      <c r="M1981">
        <v>4.6100000000000002E-2</v>
      </c>
      <c r="N1981">
        <v>0.1628</v>
      </c>
      <c r="O1981">
        <v>2.6199999999999999E-3</v>
      </c>
      <c r="P1981" s="3">
        <f t="shared" si="120"/>
        <v>2181.8421043284106</v>
      </c>
      <c r="Q1981" s="3">
        <f t="shared" si="121"/>
        <v>-3.8750009462091839E-3</v>
      </c>
      <c r="R1981" s="3">
        <f t="shared" si="122"/>
        <v>2.1900000000000001E-3</v>
      </c>
      <c r="S1981">
        <f t="shared" si="123"/>
        <v>48</v>
      </c>
      <c r="T1981">
        <f>INDEX([1]IDEN_level_ids!$B:$B,MATCH(G1981,[1]IDEN_level_ids!$A:$A,0),1)</f>
        <v>1205</v>
      </c>
      <c r="U1981">
        <f>INDEX([1]IDEN_level_ids!$B:$B,MATCH(H1981,[1]IDEN_level_ids!$A:$A,0),1)</f>
        <v>1044</v>
      </c>
    </row>
    <row r="1982" spans="1:21" hidden="1" x14ac:dyDescent="0.25">
      <c r="A1982">
        <v>45831.611100000002</v>
      </c>
      <c r="B1982">
        <v>2181.9002</v>
      </c>
      <c r="C1982">
        <v>10</v>
      </c>
      <c r="D1982" t="s">
        <v>606</v>
      </c>
      <c r="E1982" t="s">
        <v>427</v>
      </c>
      <c r="F1982">
        <v>1974</v>
      </c>
      <c r="G1982" s="1" t="s">
        <v>55</v>
      </c>
      <c r="H1982" s="1" t="s">
        <v>446</v>
      </c>
      <c r="I1982">
        <v>0.31669999999999998</v>
      </c>
      <c r="J1982">
        <v>45831.559699999998</v>
      </c>
      <c r="K1982">
        <v>-2.4399999999999999E-3</v>
      </c>
      <c r="L1982">
        <v>2.32E-3</v>
      </c>
      <c r="M1982">
        <v>4.87E-2</v>
      </c>
      <c r="N1982">
        <v>0.1666</v>
      </c>
      <c r="O1982">
        <v>2.7799999999999999E-3</v>
      </c>
      <c r="P1982" s="3">
        <f t="shared" si="120"/>
        <v>2181.9001688989283</v>
      </c>
      <c r="Q1982" s="3">
        <f t="shared" si="121"/>
        <v>-2.446996554681391E-3</v>
      </c>
      <c r="R1982" s="3">
        <f t="shared" si="122"/>
        <v>2.32E-3</v>
      </c>
      <c r="S1982">
        <f t="shared" si="123"/>
        <v>48</v>
      </c>
      <c r="T1982">
        <f>INDEX([1]IDEN_level_ids!$B:$B,MATCH(G1982,[1]IDEN_level_ids!$A:$A,0),1)</f>
        <v>1233</v>
      </c>
      <c r="U1982">
        <f>INDEX([1]IDEN_level_ids!$B:$B,MATCH(H1982,[1]IDEN_level_ids!$A:$A,0),1)</f>
        <v>1079</v>
      </c>
    </row>
    <row r="1983" spans="1:21" hidden="1" x14ac:dyDescent="0.25">
      <c r="A1983">
        <v>45827.600599999998</v>
      </c>
      <c r="B1983">
        <v>2182.0911000000001</v>
      </c>
      <c r="C1983">
        <v>10</v>
      </c>
      <c r="D1983" t="s">
        <v>606</v>
      </c>
      <c r="F1983">
        <v>1974</v>
      </c>
      <c r="G1983" s="1" t="s">
        <v>79</v>
      </c>
      <c r="H1983" s="1" t="s">
        <v>600</v>
      </c>
      <c r="I1983">
        <v>0</v>
      </c>
      <c r="J1983">
        <v>45827.461600000002</v>
      </c>
      <c r="K1983">
        <v>-6.62E-3</v>
      </c>
      <c r="L1983">
        <v>2.1900000000000001E-3</v>
      </c>
      <c r="M1983">
        <v>4.6100000000000002E-2</v>
      </c>
      <c r="N1983">
        <v>0.2016</v>
      </c>
      <c r="O1983">
        <v>2.7499999999999998E-3</v>
      </c>
      <c r="P1983" s="3">
        <f t="shared" si="120"/>
        <v>2182.0911130136715</v>
      </c>
      <c r="Q1983" s="3">
        <f t="shared" si="121"/>
        <v>-6.6185351342937793E-3</v>
      </c>
      <c r="R1983" s="3">
        <f t="shared" si="122"/>
        <v>2.1900000000000001E-3</v>
      </c>
      <c r="S1983">
        <f t="shared" si="123"/>
        <v>48</v>
      </c>
      <c r="T1983">
        <f>INDEX([1]IDEN_level_ids!$B:$B,MATCH(G1983,[1]IDEN_level_ids!$A:$A,0),1)</f>
        <v>1216</v>
      </c>
      <c r="U1983">
        <f>INDEX([1]IDEN_level_ids!$B:$B,MATCH(H1983,[1]IDEN_level_ids!$A:$A,0),1)</f>
        <v>1058</v>
      </c>
    </row>
    <row r="1984" spans="1:21" hidden="1" x14ac:dyDescent="0.25">
      <c r="A1984">
        <v>45760.859900000003</v>
      </c>
      <c r="B1984">
        <v>2185.2736</v>
      </c>
      <c r="C1984">
        <v>10</v>
      </c>
      <c r="D1984" t="s">
        <v>606</v>
      </c>
      <c r="E1984" t="s">
        <v>427</v>
      </c>
      <c r="F1984">
        <v>1974</v>
      </c>
      <c r="G1984" s="1" t="s">
        <v>86</v>
      </c>
      <c r="H1984" s="1" t="s">
        <v>481</v>
      </c>
      <c r="I1984">
        <v>0</v>
      </c>
      <c r="J1984">
        <v>45760.771099999998</v>
      </c>
      <c r="K1984">
        <v>-4.2399999999999998E-3</v>
      </c>
      <c r="L1984">
        <v>2.33E-3</v>
      </c>
      <c r="M1984">
        <v>4.87E-2</v>
      </c>
      <c r="N1984">
        <v>0.2082</v>
      </c>
      <c r="O1984">
        <v>2.9399999999999999E-3</v>
      </c>
      <c r="P1984" s="3">
        <f t="shared" si="120"/>
        <v>2185.2736206995969</v>
      </c>
      <c r="Q1984" s="3">
        <f t="shared" si="121"/>
        <v>-4.2405818971928966E-3</v>
      </c>
      <c r="R1984" s="3">
        <f t="shared" si="122"/>
        <v>2.33E-3</v>
      </c>
      <c r="S1984">
        <f t="shared" si="123"/>
        <v>48</v>
      </c>
      <c r="T1984">
        <f>INDEX([1]IDEN_level_ids!$B:$B,MATCH(G1984,[1]IDEN_level_ids!$A:$A,0),1)</f>
        <v>1183</v>
      </c>
      <c r="U1984">
        <f>INDEX([1]IDEN_level_ids!$B:$B,MATCH(H1984,[1]IDEN_level_ids!$A:$A,0),1)</f>
        <v>1016</v>
      </c>
    </row>
    <row r="1985" spans="1:21" hidden="1" x14ac:dyDescent="0.25">
      <c r="A1985">
        <v>45754.300799999997</v>
      </c>
      <c r="B1985">
        <v>2185.5868999999998</v>
      </c>
      <c r="C1985">
        <v>10</v>
      </c>
      <c r="D1985" t="s">
        <v>606</v>
      </c>
      <c r="F1985">
        <v>1974</v>
      </c>
      <c r="G1985" s="1" t="s">
        <v>38</v>
      </c>
      <c r="H1985" s="1" t="s">
        <v>437</v>
      </c>
      <c r="I1985">
        <v>0.26329999999999998</v>
      </c>
      <c r="J1985">
        <v>45754.292999999998</v>
      </c>
      <c r="K1985">
        <v>-3.8000000000000002E-4</v>
      </c>
      <c r="L1985">
        <v>2.2000000000000001E-3</v>
      </c>
      <c r="M1985">
        <v>4.6100000000000002E-2</v>
      </c>
      <c r="N1985">
        <v>0.1517</v>
      </c>
      <c r="O1985">
        <v>2.5899999999999999E-3</v>
      </c>
      <c r="P1985" s="3">
        <f t="shared" si="120"/>
        <v>2185.5868902273774</v>
      </c>
      <c r="Q1985" s="3">
        <f t="shared" si="121"/>
        <v>-3.7258968768583145E-4</v>
      </c>
      <c r="R1985" s="3">
        <f t="shared" si="122"/>
        <v>2.2000000000000001E-3</v>
      </c>
      <c r="S1985">
        <f t="shared" si="123"/>
        <v>48</v>
      </c>
      <c r="T1985">
        <f>INDEX([1]IDEN_level_ids!$B:$B,MATCH(G1985,[1]IDEN_level_ids!$A:$A,0),1)</f>
        <v>1201</v>
      </c>
      <c r="U1985">
        <f>INDEX([1]IDEN_level_ids!$B:$B,MATCH(H1985,[1]IDEN_level_ids!$A:$A,0),1)</f>
        <v>1039</v>
      </c>
    </row>
    <row r="1986" spans="1:21" hidden="1" x14ac:dyDescent="0.25">
      <c r="A1986">
        <v>45718.759400000003</v>
      </c>
      <c r="B1986">
        <v>2187.2858999999999</v>
      </c>
      <c r="C1986">
        <v>10</v>
      </c>
      <c r="D1986" t="s">
        <v>606</v>
      </c>
      <c r="F1986">
        <v>1974</v>
      </c>
      <c r="G1986" s="1" t="s">
        <v>187</v>
      </c>
      <c r="H1986" s="1" t="s">
        <v>583</v>
      </c>
      <c r="I1986">
        <v>0.1106</v>
      </c>
      <c r="J1986">
        <v>45718.687700000002</v>
      </c>
      <c r="K1986">
        <v>-3.4299999999999999E-3</v>
      </c>
      <c r="L1986">
        <v>2.2000000000000001E-3</v>
      </c>
      <c r="M1986">
        <v>4.6100000000000002E-2</v>
      </c>
      <c r="N1986">
        <v>0.24610000000000001</v>
      </c>
      <c r="O1986">
        <v>2.9199999999999999E-3</v>
      </c>
      <c r="P1986" s="3">
        <f t="shared" ref="P1986:P2049" si="124">100000000/$A1986</f>
        <v>2187.2859480959582</v>
      </c>
      <c r="Q1986" s="3">
        <f t="shared" ref="Q1986:Q2049" si="125">100000000/($A1986)-100000000/$J1986</f>
        <v>-3.4302909893995093E-3</v>
      </c>
      <c r="R1986" s="3">
        <f t="shared" si="122"/>
        <v>2.2000000000000001E-3</v>
      </c>
      <c r="S1986">
        <f t="shared" si="123"/>
        <v>48</v>
      </c>
      <c r="T1986">
        <f>INDEX([1]IDEN_level_ids!$B:$B,MATCH(G1986,[1]IDEN_level_ids!$A:$A,0),1)</f>
        <v>1204</v>
      </c>
      <c r="U1986">
        <f>INDEX([1]IDEN_level_ids!$B:$B,MATCH(H1986,[1]IDEN_level_ids!$A:$A,0),1)</f>
        <v>1043</v>
      </c>
    </row>
    <row r="1987" spans="1:21" hidden="1" x14ac:dyDescent="0.25">
      <c r="A1987">
        <v>45705.230799999998</v>
      </c>
      <c r="B1987">
        <v>2187.9333999999999</v>
      </c>
      <c r="C1987">
        <v>10</v>
      </c>
      <c r="D1987" t="s">
        <v>606</v>
      </c>
      <c r="E1987" t="s">
        <v>607</v>
      </c>
      <c r="F1987">
        <v>1974</v>
      </c>
      <c r="G1987" s="1" t="s">
        <v>40</v>
      </c>
      <c r="H1987" s="1" t="s">
        <v>476</v>
      </c>
      <c r="I1987">
        <v>0</v>
      </c>
      <c r="J1987">
        <v>45705.181199999999</v>
      </c>
      <c r="K1987">
        <v>-2.3800000000000002E-3</v>
      </c>
      <c r="L1987">
        <v>1.1299999999999999E-3</v>
      </c>
      <c r="M1987">
        <v>2.3599999999999999E-2</v>
      </c>
      <c r="N1987">
        <v>0.44109999999999999</v>
      </c>
      <c r="O1987">
        <v>2.0200000000000001E-3</v>
      </c>
      <c r="P1987" s="3">
        <f t="shared" si="124"/>
        <v>2187.9333776386925</v>
      </c>
      <c r="Q1987" s="3">
        <f t="shared" si="125"/>
        <v>-2.3743805995763978E-3</v>
      </c>
      <c r="R1987" s="3">
        <f t="shared" ref="R1987:R2050" si="126">$L1987</f>
        <v>1.1299999999999999E-3</v>
      </c>
      <c r="S1987">
        <f t="shared" si="123"/>
        <v>48</v>
      </c>
      <c r="T1987">
        <f>INDEX([1]IDEN_level_ids!$B:$B,MATCH(G1987,[1]IDEN_level_ids!$A:$A,0),1)</f>
        <v>1199</v>
      </c>
      <c r="U1987">
        <f>INDEX([1]IDEN_level_ids!$B:$B,MATCH(H1987,[1]IDEN_level_ids!$A:$A,0),1)</f>
        <v>1037</v>
      </c>
    </row>
    <row r="1988" spans="1:21" hidden="1" x14ac:dyDescent="0.25">
      <c r="A1988">
        <v>45696.080900000001</v>
      </c>
      <c r="B1988">
        <v>2188.3715000000002</v>
      </c>
      <c r="C1988">
        <v>10</v>
      </c>
      <c r="D1988" t="s">
        <v>606</v>
      </c>
      <c r="F1988">
        <v>1974</v>
      </c>
      <c r="G1988" s="1" t="s">
        <v>194</v>
      </c>
      <c r="H1988" s="1" t="s">
        <v>461</v>
      </c>
      <c r="I1988">
        <v>0.24510000000000001</v>
      </c>
      <c r="J1988">
        <v>45696.022799999999</v>
      </c>
      <c r="K1988">
        <v>-2.7799999999999999E-3</v>
      </c>
      <c r="L1988">
        <v>2.2100000000000002E-3</v>
      </c>
      <c r="M1988">
        <v>4.6100000000000002E-2</v>
      </c>
      <c r="N1988">
        <v>0.16450000000000001</v>
      </c>
      <c r="O1988">
        <v>2.64E-3</v>
      </c>
      <c r="P1988" s="3">
        <f t="shared" si="124"/>
        <v>2188.3714758566966</v>
      </c>
      <c r="Q1988" s="3">
        <f t="shared" si="125"/>
        <v>-2.7823949426419858E-3</v>
      </c>
      <c r="R1988" s="3">
        <f t="shared" si="126"/>
        <v>2.2100000000000002E-3</v>
      </c>
      <c r="S1988">
        <f t="shared" ref="S1988:S2051" si="127">IF(D1988=D1987,S1987,S1987+1)</f>
        <v>48</v>
      </c>
      <c r="T1988">
        <f>INDEX([1]IDEN_level_ids!$B:$B,MATCH(G1988,[1]IDEN_level_ids!$A:$A,0),1)</f>
        <v>1187</v>
      </c>
      <c r="U1988">
        <f>INDEX([1]IDEN_level_ids!$B:$B,MATCH(H1988,[1]IDEN_level_ids!$A:$A,0),1)</f>
        <v>1017</v>
      </c>
    </row>
    <row r="1989" spans="1:21" hidden="1" x14ac:dyDescent="0.25">
      <c r="A1989">
        <v>45649.849800000004</v>
      </c>
      <c r="B1989">
        <v>2190.5877</v>
      </c>
      <c r="C1989">
        <v>10</v>
      </c>
      <c r="D1989" t="s">
        <v>606</v>
      </c>
      <c r="F1989">
        <v>1974</v>
      </c>
      <c r="G1989" s="1" t="s">
        <v>268</v>
      </c>
      <c r="H1989" s="1" t="s">
        <v>550</v>
      </c>
      <c r="I1989">
        <v>0</v>
      </c>
      <c r="J1989">
        <v>45649.744100000004</v>
      </c>
      <c r="K1989">
        <v>-5.0699999999999999E-3</v>
      </c>
      <c r="L1989">
        <v>2.2100000000000002E-3</v>
      </c>
      <c r="M1989">
        <v>4.6100000000000002E-2</v>
      </c>
      <c r="N1989">
        <v>0.32619999999999999</v>
      </c>
      <c r="O1989">
        <v>3.2799999999999999E-3</v>
      </c>
      <c r="P1989" s="3">
        <f t="shared" si="124"/>
        <v>2190.587711418932</v>
      </c>
      <c r="Q1989" s="3">
        <f t="shared" si="125"/>
        <v>-5.072210713478853E-3</v>
      </c>
      <c r="R1989" s="3">
        <f t="shared" si="126"/>
        <v>2.2100000000000002E-3</v>
      </c>
      <c r="S1989">
        <f t="shared" si="127"/>
        <v>48</v>
      </c>
      <c r="T1989">
        <f>INDEX([1]IDEN_level_ids!$B:$B,MATCH(G1989,[1]IDEN_level_ids!$A:$A,0),1)</f>
        <v>1160</v>
      </c>
      <c r="U1989">
        <f>INDEX([1]IDEN_level_ids!$B:$B,MATCH(H1989,[1]IDEN_level_ids!$A:$A,0),1)</f>
        <v>997</v>
      </c>
    </row>
    <row r="1990" spans="1:21" hidden="1" x14ac:dyDescent="0.25">
      <c r="A1990">
        <v>45641.240400000002</v>
      </c>
      <c r="B1990">
        <v>2191.0009</v>
      </c>
      <c r="C1990">
        <v>11</v>
      </c>
      <c r="D1990" t="s">
        <v>608</v>
      </c>
      <c r="E1990" t="s">
        <v>427</v>
      </c>
      <c r="F1990">
        <v>1974</v>
      </c>
      <c r="G1990" s="1" t="s">
        <v>245</v>
      </c>
      <c r="H1990" s="1" t="s">
        <v>520</v>
      </c>
      <c r="I1990">
        <v>0.3095</v>
      </c>
      <c r="J1990">
        <v>45641.212099999997</v>
      </c>
      <c r="K1990">
        <v>-1.3600000000000001E-3</v>
      </c>
      <c r="L1990">
        <v>2.3400000000000001E-3</v>
      </c>
      <c r="M1990">
        <v>4.87E-2</v>
      </c>
      <c r="N1990">
        <v>0.19239999999999999</v>
      </c>
      <c r="O1990">
        <v>2.8999999999999998E-3</v>
      </c>
      <c r="P1990" s="3">
        <f t="shared" si="124"/>
        <v>2191.0009264340674</v>
      </c>
      <c r="Q1990" s="3">
        <f t="shared" si="125"/>
        <v>-1.3585381148004672E-3</v>
      </c>
      <c r="R1990" s="3">
        <f t="shared" si="126"/>
        <v>2.3400000000000001E-3</v>
      </c>
      <c r="S1990">
        <f t="shared" si="127"/>
        <v>49</v>
      </c>
      <c r="T1990">
        <f>INDEX([1]IDEN_level_ids!$B:$B,MATCH(G1990,[1]IDEN_level_ids!$A:$A,0),1)</f>
        <v>1169</v>
      </c>
      <c r="U1990">
        <f>INDEX([1]IDEN_level_ids!$B:$B,MATCH(H1990,[1]IDEN_level_ids!$A:$A,0),1)</f>
        <v>1002</v>
      </c>
    </row>
    <row r="1991" spans="1:21" hidden="1" x14ac:dyDescent="0.25">
      <c r="A1991">
        <v>45629.220600000001</v>
      </c>
      <c r="B1991">
        <v>2191.5781000000002</v>
      </c>
      <c r="C1991">
        <v>11</v>
      </c>
      <c r="D1991" t="s">
        <v>608</v>
      </c>
      <c r="F1991">
        <v>1974</v>
      </c>
      <c r="G1991" s="1" t="s">
        <v>77</v>
      </c>
      <c r="H1991" s="1" t="s">
        <v>476</v>
      </c>
      <c r="I1991">
        <v>0</v>
      </c>
      <c r="J1991">
        <v>45629.1567</v>
      </c>
      <c r="K1991">
        <v>-3.0699999999999998E-3</v>
      </c>
      <c r="L1991">
        <v>2.2100000000000002E-3</v>
      </c>
      <c r="M1991">
        <v>4.6100000000000002E-2</v>
      </c>
      <c r="N1991">
        <v>0.17910000000000001</v>
      </c>
      <c r="O1991">
        <v>2.7000000000000001E-3</v>
      </c>
      <c r="P1991" s="3">
        <f t="shared" si="124"/>
        <v>2191.5780871348043</v>
      </c>
      <c r="Q1991" s="3">
        <f t="shared" si="125"/>
        <v>-3.0691305710206507E-3</v>
      </c>
      <c r="R1991" s="3">
        <f t="shared" si="126"/>
        <v>2.2100000000000002E-3</v>
      </c>
      <c r="S1991">
        <f t="shared" si="127"/>
        <v>49</v>
      </c>
      <c r="T1991">
        <f>INDEX([1]IDEN_level_ids!$B:$B,MATCH(G1991,[1]IDEN_level_ids!$A:$A,0),1)</f>
        <v>1197</v>
      </c>
      <c r="U1991">
        <f>INDEX([1]IDEN_level_ids!$B:$B,MATCH(H1991,[1]IDEN_level_ids!$A:$A,0),1)</f>
        <v>1037</v>
      </c>
    </row>
    <row r="1992" spans="1:21" hidden="1" x14ac:dyDescent="0.25">
      <c r="A1992">
        <v>45626.890200000002</v>
      </c>
      <c r="B1992">
        <v>2191.69</v>
      </c>
      <c r="C1992">
        <v>11</v>
      </c>
      <c r="D1992" t="s">
        <v>608</v>
      </c>
      <c r="F1992">
        <v>1974</v>
      </c>
      <c r="G1992" s="1" t="s">
        <v>76</v>
      </c>
      <c r="H1992" s="1" t="s">
        <v>540</v>
      </c>
      <c r="I1992">
        <v>0.34399999999999997</v>
      </c>
      <c r="J1992">
        <v>45626.847300000001</v>
      </c>
      <c r="K1992">
        <v>-2.0600000000000002E-3</v>
      </c>
      <c r="L1992">
        <v>2.2100000000000002E-3</v>
      </c>
      <c r="M1992">
        <v>4.6100000000000002E-2</v>
      </c>
      <c r="N1992">
        <v>0.16370000000000001</v>
      </c>
      <c r="O1992">
        <v>2.65E-3</v>
      </c>
      <c r="P1992" s="3">
        <f t="shared" si="124"/>
        <v>2191.6900223018047</v>
      </c>
      <c r="Q1992" s="3">
        <f t="shared" si="125"/>
        <v>-2.0607056485459907E-3</v>
      </c>
      <c r="R1992" s="3">
        <f t="shared" si="126"/>
        <v>2.2100000000000002E-3</v>
      </c>
      <c r="S1992">
        <f t="shared" si="127"/>
        <v>49</v>
      </c>
      <c r="T1992">
        <f>INDEX([1]IDEN_level_ids!$B:$B,MATCH(G1992,[1]IDEN_level_ids!$A:$A,0),1)</f>
        <v>1194</v>
      </c>
      <c r="U1992">
        <f>INDEX([1]IDEN_level_ids!$B:$B,MATCH(H1992,[1]IDEN_level_ids!$A:$A,0),1)</f>
        <v>1027</v>
      </c>
    </row>
    <row r="1993" spans="1:21" hidden="1" x14ac:dyDescent="0.25">
      <c r="A1993">
        <v>45624.890399999997</v>
      </c>
      <c r="B1993">
        <v>2191.7860999999998</v>
      </c>
      <c r="C1993">
        <v>11</v>
      </c>
      <c r="D1993" t="s">
        <v>608</v>
      </c>
      <c r="F1993">
        <v>1974</v>
      </c>
      <c r="G1993" s="1" t="s">
        <v>108</v>
      </c>
      <c r="H1993" s="1" t="s">
        <v>527</v>
      </c>
      <c r="I1993">
        <v>0</v>
      </c>
      <c r="J1993">
        <v>45624.785400000001</v>
      </c>
      <c r="K1993">
        <v>-5.0499999999999998E-3</v>
      </c>
      <c r="L1993">
        <v>2.2100000000000002E-3</v>
      </c>
      <c r="M1993">
        <v>4.6100000000000002E-2</v>
      </c>
      <c r="N1993">
        <v>0.51429999999999998</v>
      </c>
      <c r="O1993">
        <v>4.5599999999999998E-3</v>
      </c>
      <c r="P1993" s="3">
        <f t="shared" si="124"/>
        <v>2191.7860870083318</v>
      </c>
      <c r="Q1993" s="3">
        <f t="shared" si="125"/>
        <v>-5.0441341722944344E-3</v>
      </c>
      <c r="R1993" s="3">
        <f t="shared" si="126"/>
        <v>2.2100000000000002E-3</v>
      </c>
      <c r="S1993">
        <f t="shared" si="127"/>
        <v>49</v>
      </c>
      <c r="T1993">
        <f>INDEX([1]IDEN_level_ids!$B:$B,MATCH(G1993,[1]IDEN_level_ids!$A:$A,0),1)</f>
        <v>1149</v>
      </c>
      <c r="U1993">
        <f>INDEX([1]IDEN_level_ids!$B:$B,MATCH(H1993,[1]IDEN_level_ids!$A:$A,0),1)</f>
        <v>980</v>
      </c>
    </row>
    <row r="1994" spans="1:21" hidden="1" x14ac:dyDescent="0.25">
      <c r="A1994">
        <v>45601.419699999999</v>
      </c>
      <c r="B1994">
        <v>2192.9142000000002</v>
      </c>
      <c r="C1994">
        <v>11</v>
      </c>
      <c r="D1994" t="s">
        <v>608</v>
      </c>
      <c r="F1994">
        <v>1974</v>
      </c>
      <c r="G1994" s="1" t="s">
        <v>239</v>
      </c>
      <c r="H1994" s="1" t="s">
        <v>565</v>
      </c>
      <c r="I1994">
        <v>0.1676</v>
      </c>
      <c r="J1994">
        <v>45601.390700000004</v>
      </c>
      <c r="K1994">
        <v>-1.39E-3</v>
      </c>
      <c r="L1994">
        <v>2.2200000000000002E-3</v>
      </c>
      <c r="M1994">
        <v>4.6100000000000002E-2</v>
      </c>
      <c r="N1994">
        <v>0.17879999999999999</v>
      </c>
      <c r="O1994">
        <v>2.7000000000000001E-3</v>
      </c>
      <c r="P1994" s="3">
        <f t="shared" si="124"/>
        <v>2192.9141824503326</v>
      </c>
      <c r="Q1994" s="3">
        <f t="shared" si="125"/>
        <v>-1.3945739442533522E-3</v>
      </c>
      <c r="R1994" s="3">
        <f t="shared" si="126"/>
        <v>2.2200000000000002E-3</v>
      </c>
      <c r="S1994">
        <f t="shared" si="127"/>
        <v>49</v>
      </c>
      <c r="T1994">
        <f>INDEX([1]IDEN_level_ids!$B:$B,MATCH(G1994,[1]IDEN_level_ids!$A:$A,0),1)</f>
        <v>1167</v>
      </c>
      <c r="U1994">
        <f>INDEX([1]IDEN_level_ids!$B:$B,MATCH(H1994,[1]IDEN_level_ids!$A:$A,0),1)</f>
        <v>1004</v>
      </c>
    </row>
    <row r="1995" spans="1:21" hidden="1" x14ac:dyDescent="0.25">
      <c r="A1995">
        <v>45575.4107</v>
      </c>
      <c r="B1995">
        <v>2194.1655999999998</v>
      </c>
      <c r="C1995">
        <v>11</v>
      </c>
      <c r="D1995" t="s">
        <v>608</v>
      </c>
      <c r="F1995">
        <v>1974</v>
      </c>
      <c r="G1995" s="1" t="s">
        <v>33</v>
      </c>
      <c r="H1995" s="1" t="s">
        <v>451</v>
      </c>
      <c r="I1995">
        <v>0.38469999999999999</v>
      </c>
      <c r="J1995">
        <v>45575.385999999999</v>
      </c>
      <c r="K1995">
        <v>-1.1900000000000001E-3</v>
      </c>
      <c r="L1995">
        <v>2.2200000000000002E-3</v>
      </c>
      <c r="M1995">
        <v>4.6100000000000002E-2</v>
      </c>
      <c r="N1995">
        <v>0.15740000000000001</v>
      </c>
      <c r="O1995">
        <v>2.63E-3</v>
      </c>
      <c r="P1995" s="3">
        <f t="shared" si="124"/>
        <v>2194.1656359006765</v>
      </c>
      <c r="Q1995" s="3">
        <f t="shared" si="125"/>
        <v>-1.1891482654391439E-3</v>
      </c>
      <c r="R1995" s="3">
        <f t="shared" si="126"/>
        <v>2.2200000000000002E-3</v>
      </c>
      <c r="S1995">
        <f t="shared" si="127"/>
        <v>49</v>
      </c>
      <c r="T1995">
        <f>INDEX([1]IDEN_level_ids!$B:$B,MATCH(G1995,[1]IDEN_level_ids!$A:$A,0),1)</f>
        <v>1220</v>
      </c>
      <c r="U1995">
        <f>INDEX([1]IDEN_level_ids!$B:$B,MATCH(H1995,[1]IDEN_level_ids!$A:$A,0),1)</f>
        <v>1066</v>
      </c>
    </row>
    <row r="1996" spans="1:21" hidden="1" x14ac:dyDescent="0.25">
      <c r="A1996">
        <v>45565.549500000001</v>
      </c>
      <c r="B1996">
        <v>2194.6405</v>
      </c>
      <c r="C1996">
        <v>11</v>
      </c>
      <c r="D1996" t="s">
        <v>608</v>
      </c>
      <c r="E1996" t="s">
        <v>427</v>
      </c>
      <c r="F1996">
        <v>1974</v>
      </c>
      <c r="G1996" s="1" t="s">
        <v>18</v>
      </c>
      <c r="H1996" s="1" t="s">
        <v>396</v>
      </c>
      <c r="I1996">
        <v>0.42980000000000002</v>
      </c>
      <c r="J1996">
        <v>45565.524599999997</v>
      </c>
      <c r="K1996">
        <v>-1.1999999999999999E-3</v>
      </c>
      <c r="L1996">
        <v>2.3500000000000001E-3</v>
      </c>
      <c r="M1996">
        <v>4.87E-2</v>
      </c>
      <c r="N1996">
        <v>0.18149999999999999</v>
      </c>
      <c r="O1996">
        <v>2.8700000000000002E-3</v>
      </c>
      <c r="P1996" s="3">
        <f t="shared" si="124"/>
        <v>2194.6404925940815</v>
      </c>
      <c r="Q1996" s="3">
        <f t="shared" si="125"/>
        <v>-1.1992959316557972E-3</v>
      </c>
      <c r="R1996" s="3">
        <f t="shared" si="126"/>
        <v>2.3500000000000001E-3</v>
      </c>
      <c r="S1996">
        <f t="shared" si="127"/>
        <v>49</v>
      </c>
      <c r="T1996">
        <f>INDEX([1]IDEN_level_ids!$B:$B,MATCH(G1996,[1]IDEN_level_ids!$A:$A,0),1)</f>
        <v>1226</v>
      </c>
      <c r="U1996">
        <f>INDEX([1]IDEN_level_ids!$B:$B,MATCH(H1996,[1]IDEN_level_ids!$A:$A,0),1)</f>
        <v>1072</v>
      </c>
    </row>
    <row r="1997" spans="1:21" hidden="1" x14ac:dyDescent="0.25">
      <c r="A1997">
        <v>45559.690399999999</v>
      </c>
      <c r="B1997">
        <v>2194.9227000000001</v>
      </c>
      <c r="C1997">
        <v>11</v>
      </c>
      <c r="D1997" t="s">
        <v>608</v>
      </c>
      <c r="E1997" t="s">
        <v>427</v>
      </c>
      <c r="F1997">
        <v>1974</v>
      </c>
      <c r="G1997" s="1" t="s">
        <v>22</v>
      </c>
      <c r="H1997" s="1" t="s">
        <v>384</v>
      </c>
      <c r="I1997">
        <v>0.45490000000000003</v>
      </c>
      <c r="J1997">
        <v>45559.744299999998</v>
      </c>
      <c r="K1997">
        <v>2.5999999999999999E-3</v>
      </c>
      <c r="L1997">
        <v>2.3500000000000001E-3</v>
      </c>
      <c r="M1997">
        <v>4.87E-2</v>
      </c>
      <c r="N1997">
        <v>0.1661</v>
      </c>
      <c r="O1997">
        <v>2.82E-3</v>
      </c>
      <c r="P1997" s="3">
        <f t="shared" si="124"/>
        <v>2194.9227293256586</v>
      </c>
      <c r="Q1997" s="3">
        <f t="shared" si="125"/>
        <v>2.5967295673581248E-3</v>
      </c>
      <c r="R1997" s="3">
        <f t="shared" si="126"/>
        <v>2.3500000000000001E-3</v>
      </c>
      <c r="S1997">
        <f t="shared" si="127"/>
        <v>49</v>
      </c>
      <c r="T1997">
        <f>INDEX([1]IDEN_level_ids!$B:$B,MATCH(G1997,[1]IDEN_level_ids!$A:$A,0),1)</f>
        <v>1236</v>
      </c>
      <c r="U1997">
        <f>INDEX([1]IDEN_level_ids!$B:$B,MATCH(H1997,[1]IDEN_level_ids!$A:$A,0),1)</f>
        <v>1080</v>
      </c>
    </row>
    <row r="1998" spans="1:21" hidden="1" x14ac:dyDescent="0.25">
      <c r="A1998">
        <v>45558.070500000002</v>
      </c>
      <c r="B1998">
        <v>2195.0007999999998</v>
      </c>
      <c r="C1998">
        <v>11</v>
      </c>
      <c r="D1998" t="s">
        <v>608</v>
      </c>
      <c r="F1998">
        <v>1974</v>
      </c>
      <c r="G1998" s="1" t="s">
        <v>38</v>
      </c>
      <c r="H1998" s="1" t="s">
        <v>445</v>
      </c>
      <c r="I1998">
        <v>0</v>
      </c>
      <c r="J1998">
        <v>45557.978499999997</v>
      </c>
      <c r="K1998">
        <v>-4.4299999999999999E-3</v>
      </c>
      <c r="L1998">
        <v>2.2200000000000002E-3</v>
      </c>
      <c r="M1998">
        <v>4.6100000000000002E-2</v>
      </c>
      <c r="N1998">
        <v>0.16600000000000001</v>
      </c>
      <c r="O1998">
        <v>2.66E-3</v>
      </c>
      <c r="P1998" s="3">
        <f t="shared" si="124"/>
        <v>2195.0007737926476</v>
      </c>
      <c r="Q1998" s="3">
        <f t="shared" si="125"/>
        <v>-4.4325950766506139E-3</v>
      </c>
      <c r="R1998" s="3">
        <f t="shared" si="126"/>
        <v>2.2200000000000002E-3</v>
      </c>
      <c r="S1998">
        <f t="shared" si="127"/>
        <v>49</v>
      </c>
      <c r="T1998">
        <f>INDEX([1]IDEN_level_ids!$B:$B,MATCH(G1998,[1]IDEN_level_ids!$A:$A,0),1)</f>
        <v>1201</v>
      </c>
      <c r="U1998">
        <f>INDEX([1]IDEN_level_ids!$B:$B,MATCH(H1998,[1]IDEN_level_ids!$A:$A,0),1)</f>
        <v>1041</v>
      </c>
    </row>
    <row r="1999" spans="1:21" hidden="1" x14ac:dyDescent="0.25">
      <c r="A1999">
        <v>45556.930200000003</v>
      </c>
      <c r="B1999">
        <v>2195.0556999999999</v>
      </c>
      <c r="C1999">
        <v>11</v>
      </c>
      <c r="D1999" t="s">
        <v>608</v>
      </c>
      <c r="E1999" t="s">
        <v>427</v>
      </c>
      <c r="F1999">
        <v>1974</v>
      </c>
      <c r="G1999" s="1" t="s">
        <v>69</v>
      </c>
      <c r="H1999" s="1" t="s">
        <v>375</v>
      </c>
      <c r="I1999">
        <v>0.28789999999999999</v>
      </c>
      <c r="J1999">
        <v>45556.908600000002</v>
      </c>
      <c r="K1999">
        <v>-1.0399999999999999E-3</v>
      </c>
      <c r="L1999">
        <v>2.3500000000000001E-3</v>
      </c>
      <c r="M1999">
        <v>4.87E-2</v>
      </c>
      <c r="N1999">
        <v>0.1628</v>
      </c>
      <c r="O1999">
        <v>2.8E-3</v>
      </c>
      <c r="P1999" s="3">
        <f t="shared" si="124"/>
        <v>2195.0557151456178</v>
      </c>
      <c r="Q1999" s="3">
        <f t="shared" si="125"/>
        <v>-1.0407467252662173E-3</v>
      </c>
      <c r="R1999" s="3">
        <f t="shared" si="126"/>
        <v>2.3500000000000001E-3</v>
      </c>
      <c r="S1999">
        <f t="shared" si="127"/>
        <v>49</v>
      </c>
      <c r="T1999">
        <f>INDEX([1]IDEN_level_ids!$B:$B,MATCH(G1999,[1]IDEN_level_ids!$A:$A,0),1)</f>
        <v>1218</v>
      </c>
      <c r="U1999">
        <f>INDEX([1]IDEN_level_ids!$B:$B,MATCH(H1999,[1]IDEN_level_ids!$A:$A,0),1)</f>
        <v>1065</v>
      </c>
    </row>
    <row r="2000" spans="1:21" hidden="1" x14ac:dyDescent="0.25">
      <c r="A2000">
        <v>45556.289499999999</v>
      </c>
      <c r="B2000">
        <v>2195.0866000000001</v>
      </c>
      <c r="C2000">
        <v>11</v>
      </c>
      <c r="D2000" t="s">
        <v>608</v>
      </c>
      <c r="E2000" t="s">
        <v>427</v>
      </c>
      <c r="F2000">
        <v>1974</v>
      </c>
      <c r="G2000" s="1" t="s">
        <v>49</v>
      </c>
      <c r="H2000" s="1" t="s">
        <v>428</v>
      </c>
      <c r="I2000">
        <v>0.39950000000000002</v>
      </c>
      <c r="J2000">
        <v>45556.243600000002</v>
      </c>
      <c r="K2000">
        <v>-2.2100000000000002E-3</v>
      </c>
      <c r="L2000">
        <v>2.3500000000000001E-3</v>
      </c>
      <c r="M2000">
        <v>4.87E-2</v>
      </c>
      <c r="N2000">
        <v>0.16120000000000001</v>
      </c>
      <c r="O2000">
        <v>2.8E-3</v>
      </c>
      <c r="P2000" s="3">
        <f t="shared" si="124"/>
        <v>2195.0865862330602</v>
      </c>
      <c r="Q2000" s="3">
        <f t="shared" si="125"/>
        <v>-2.2116501786513254E-3</v>
      </c>
      <c r="R2000" s="3">
        <f t="shared" si="126"/>
        <v>2.3500000000000001E-3</v>
      </c>
      <c r="S2000">
        <f t="shared" si="127"/>
        <v>49</v>
      </c>
      <c r="T2000">
        <f>INDEX([1]IDEN_level_ids!$B:$B,MATCH(G2000,[1]IDEN_level_ids!$A:$A,0),1)</f>
        <v>1214</v>
      </c>
      <c r="U2000">
        <f>INDEX([1]IDEN_level_ids!$B:$B,MATCH(H2000,[1]IDEN_level_ids!$A:$A,0),1)</f>
        <v>1060</v>
      </c>
    </row>
    <row r="2001" spans="1:21" hidden="1" x14ac:dyDescent="0.25">
      <c r="A2001">
        <v>45546.591</v>
      </c>
      <c r="B2001">
        <v>2195.5540000000001</v>
      </c>
      <c r="C2001">
        <v>11</v>
      </c>
      <c r="D2001" t="s">
        <v>608</v>
      </c>
      <c r="F2001">
        <v>1974</v>
      </c>
      <c r="G2001" s="1" t="s">
        <v>68</v>
      </c>
      <c r="H2001" s="1" t="s">
        <v>464</v>
      </c>
      <c r="I2001">
        <v>0</v>
      </c>
      <c r="J2001">
        <v>45546.527499999997</v>
      </c>
      <c r="K2001">
        <v>-3.0599999999999998E-3</v>
      </c>
      <c r="L2001">
        <v>2.2200000000000002E-3</v>
      </c>
      <c r="M2001">
        <v>4.6100000000000002E-2</v>
      </c>
      <c r="N2001">
        <v>0.2001</v>
      </c>
      <c r="O2001">
        <v>2.7799999999999999E-3</v>
      </c>
      <c r="P2001" s="3">
        <f t="shared" si="124"/>
        <v>2195.5539987614002</v>
      </c>
      <c r="Q2001" s="3">
        <f t="shared" si="125"/>
        <v>-3.0609946920776565E-3</v>
      </c>
      <c r="R2001" s="3">
        <f t="shared" si="126"/>
        <v>2.2200000000000002E-3</v>
      </c>
      <c r="S2001">
        <f t="shared" si="127"/>
        <v>49</v>
      </c>
      <c r="T2001">
        <f>INDEX([1]IDEN_level_ids!$B:$B,MATCH(G2001,[1]IDEN_level_ids!$A:$A,0),1)</f>
        <v>1229</v>
      </c>
      <c r="U2001">
        <f>INDEX([1]IDEN_level_ids!$B:$B,MATCH(H2001,[1]IDEN_level_ids!$A:$A,0),1)</f>
        <v>1076</v>
      </c>
    </row>
    <row r="2002" spans="1:21" hidden="1" x14ac:dyDescent="0.25">
      <c r="A2002">
        <v>45532.840499999998</v>
      </c>
      <c r="B2002">
        <v>2196.2170000000001</v>
      </c>
      <c r="C2002">
        <v>11</v>
      </c>
      <c r="D2002" t="s">
        <v>608</v>
      </c>
      <c r="F2002">
        <v>1974</v>
      </c>
      <c r="G2002" s="1" t="s">
        <v>187</v>
      </c>
      <c r="H2002" s="1" t="s">
        <v>468</v>
      </c>
      <c r="I2002">
        <v>0.16639999999999999</v>
      </c>
      <c r="J2002">
        <v>45532.727200000001</v>
      </c>
      <c r="K2002">
        <v>-5.47E-3</v>
      </c>
      <c r="L2002">
        <v>2.2200000000000002E-3</v>
      </c>
      <c r="M2002">
        <v>4.6100000000000002E-2</v>
      </c>
      <c r="N2002">
        <v>0.1963</v>
      </c>
      <c r="O2002">
        <v>2.7599999999999999E-3</v>
      </c>
      <c r="P2002" s="3">
        <f t="shared" si="124"/>
        <v>2196.2170359215784</v>
      </c>
      <c r="Q2002" s="3">
        <f t="shared" si="125"/>
        <v>-5.4648909799652756E-3</v>
      </c>
      <c r="R2002" s="3">
        <f t="shared" si="126"/>
        <v>2.2200000000000002E-3</v>
      </c>
      <c r="S2002">
        <f t="shared" si="127"/>
        <v>49</v>
      </c>
      <c r="T2002">
        <f>INDEX([1]IDEN_level_ids!$B:$B,MATCH(G2002,[1]IDEN_level_ids!$A:$A,0),1)</f>
        <v>1204</v>
      </c>
      <c r="U2002">
        <f>INDEX([1]IDEN_level_ids!$B:$B,MATCH(H2002,[1]IDEN_level_ids!$A:$A,0),1)</f>
        <v>1044</v>
      </c>
    </row>
    <row r="2003" spans="1:21" hidden="1" x14ac:dyDescent="0.25">
      <c r="A2003">
        <v>45530.020499999999</v>
      </c>
      <c r="B2003">
        <v>2196.3530999999998</v>
      </c>
      <c r="C2003">
        <v>11</v>
      </c>
      <c r="D2003" t="s">
        <v>608</v>
      </c>
      <c r="E2003" t="s">
        <v>427</v>
      </c>
      <c r="F2003">
        <v>1974</v>
      </c>
      <c r="G2003" s="1" t="s">
        <v>56</v>
      </c>
      <c r="H2003" s="1" t="s">
        <v>448</v>
      </c>
      <c r="I2003">
        <v>0.29559999999999997</v>
      </c>
      <c r="J2003">
        <v>45530.007100000003</v>
      </c>
      <c r="K2003">
        <v>-6.4999999999999997E-4</v>
      </c>
      <c r="L2003">
        <v>2.3500000000000001E-3</v>
      </c>
      <c r="M2003">
        <v>4.87E-2</v>
      </c>
      <c r="N2003">
        <v>0.1502</v>
      </c>
      <c r="O2003">
        <v>2.7699999999999999E-3</v>
      </c>
      <c r="P2003" s="3">
        <f t="shared" si="124"/>
        <v>2196.3530633595915</v>
      </c>
      <c r="Q2003" s="3">
        <f t="shared" si="125"/>
        <v>-6.4641173867130419E-4</v>
      </c>
      <c r="R2003" s="3">
        <f t="shared" si="126"/>
        <v>2.3500000000000001E-3</v>
      </c>
      <c r="S2003">
        <f t="shared" si="127"/>
        <v>49</v>
      </c>
      <c r="T2003">
        <f>INDEX([1]IDEN_level_ids!$B:$B,MATCH(G2003,[1]IDEN_level_ids!$A:$A,0),1)</f>
        <v>1221</v>
      </c>
      <c r="U2003">
        <f>INDEX([1]IDEN_level_ids!$B:$B,MATCH(H2003,[1]IDEN_level_ids!$A:$A,0),1)</f>
        <v>1067</v>
      </c>
    </row>
    <row r="2004" spans="1:21" hidden="1" x14ac:dyDescent="0.25">
      <c r="A2004">
        <v>45514.080699999999</v>
      </c>
      <c r="B2004">
        <v>2197.1223</v>
      </c>
      <c r="C2004">
        <v>11</v>
      </c>
      <c r="D2004" t="s">
        <v>608</v>
      </c>
      <c r="F2004">
        <v>1974</v>
      </c>
      <c r="G2004" s="1" t="s">
        <v>40</v>
      </c>
      <c r="H2004" s="1" t="s">
        <v>437</v>
      </c>
      <c r="I2004">
        <v>0.26329999999999998</v>
      </c>
      <c r="J2004">
        <v>45514.030899999998</v>
      </c>
      <c r="K2004">
        <v>-2.4099999999999998E-3</v>
      </c>
      <c r="L2004">
        <v>2.2200000000000002E-3</v>
      </c>
      <c r="M2004">
        <v>4.6100000000000002E-2</v>
      </c>
      <c r="N2004">
        <v>0.11600000000000001</v>
      </c>
      <c r="O2004">
        <v>2.5200000000000001E-3</v>
      </c>
      <c r="P2004" s="3">
        <f t="shared" si="124"/>
        <v>2197.1222633087259</v>
      </c>
      <c r="Q2004" s="3">
        <f t="shared" si="125"/>
        <v>-2.4040210578277765E-3</v>
      </c>
      <c r="R2004" s="3">
        <f t="shared" si="126"/>
        <v>2.2200000000000002E-3</v>
      </c>
      <c r="S2004">
        <f t="shared" si="127"/>
        <v>49</v>
      </c>
      <c r="T2004">
        <f>INDEX([1]IDEN_level_ids!$B:$B,MATCH(G2004,[1]IDEN_level_ids!$A:$A,0),1)</f>
        <v>1199</v>
      </c>
      <c r="U2004">
        <f>INDEX([1]IDEN_level_ids!$B:$B,MATCH(H2004,[1]IDEN_level_ids!$A:$A,0),1)</f>
        <v>1039</v>
      </c>
    </row>
    <row r="2005" spans="1:21" hidden="1" x14ac:dyDescent="0.25">
      <c r="A2005">
        <v>45507.0602</v>
      </c>
      <c r="B2005">
        <v>2197.4612000000002</v>
      </c>
      <c r="C2005">
        <v>11</v>
      </c>
      <c r="D2005" t="s">
        <v>608</v>
      </c>
      <c r="F2005">
        <v>1974</v>
      </c>
      <c r="G2005" s="1" t="s">
        <v>256</v>
      </c>
      <c r="H2005" s="1" t="s">
        <v>505</v>
      </c>
      <c r="I2005">
        <v>0</v>
      </c>
      <c r="J2005">
        <v>45506.996200000001</v>
      </c>
      <c r="K2005">
        <v>-3.0899999999999999E-3</v>
      </c>
      <c r="L2005">
        <v>2.2200000000000002E-3</v>
      </c>
      <c r="M2005">
        <v>4.6100000000000002E-2</v>
      </c>
      <c r="N2005">
        <v>0.31669999999999998</v>
      </c>
      <c r="O2005">
        <v>3.2599999999999999E-3</v>
      </c>
      <c r="P2005" s="3">
        <f t="shared" si="124"/>
        <v>2197.461219435133</v>
      </c>
      <c r="Q2005" s="3">
        <f t="shared" si="125"/>
        <v>-3.0904592649676488E-3</v>
      </c>
      <c r="R2005" s="3">
        <f t="shared" si="126"/>
        <v>2.2200000000000002E-3</v>
      </c>
      <c r="S2005">
        <f t="shared" si="127"/>
        <v>49</v>
      </c>
      <c r="T2005">
        <f>INDEX([1]IDEN_level_ids!$B:$B,MATCH(G2005,[1]IDEN_level_ids!$A:$A,0),1)</f>
        <v>1120</v>
      </c>
      <c r="U2005">
        <f>INDEX([1]IDEN_level_ids!$B:$B,MATCH(H2005,[1]IDEN_level_ids!$A:$A,0),1)</f>
        <v>950</v>
      </c>
    </row>
    <row r="2006" spans="1:21" hidden="1" x14ac:dyDescent="0.25">
      <c r="A2006">
        <v>45486.419800000003</v>
      </c>
      <c r="B2006">
        <v>2198.4584</v>
      </c>
      <c r="C2006">
        <v>11</v>
      </c>
      <c r="D2006" t="s">
        <v>608</v>
      </c>
      <c r="F2006">
        <v>1974</v>
      </c>
      <c r="G2006" s="1" t="s">
        <v>166</v>
      </c>
      <c r="H2006" s="1" t="s">
        <v>461</v>
      </c>
      <c r="I2006">
        <v>0.24510000000000001</v>
      </c>
      <c r="J2006">
        <v>45486.377200000003</v>
      </c>
      <c r="K2006">
        <v>-2.0600000000000002E-3</v>
      </c>
      <c r="L2006">
        <v>2.2300000000000002E-3</v>
      </c>
      <c r="M2006">
        <v>4.6100000000000002E-2</v>
      </c>
      <c r="N2006">
        <v>0.1149</v>
      </c>
      <c r="O2006">
        <v>2.5200000000000001E-3</v>
      </c>
      <c r="P2006" s="3">
        <f t="shared" si="124"/>
        <v>2198.4583627309353</v>
      </c>
      <c r="Q2006" s="3">
        <f t="shared" si="125"/>
        <v>-2.0589532960002543E-3</v>
      </c>
      <c r="R2006" s="3">
        <f t="shared" si="126"/>
        <v>2.2300000000000002E-3</v>
      </c>
      <c r="S2006">
        <f t="shared" si="127"/>
        <v>49</v>
      </c>
      <c r="T2006">
        <f>INDEX([1]IDEN_level_ids!$B:$B,MATCH(G2006,[1]IDEN_level_ids!$A:$A,0),1)</f>
        <v>1186</v>
      </c>
      <c r="U2006">
        <f>INDEX([1]IDEN_level_ids!$B:$B,MATCH(H2006,[1]IDEN_level_ids!$A:$A,0),1)</f>
        <v>1017</v>
      </c>
    </row>
    <row r="2007" spans="1:21" hidden="1" x14ac:dyDescent="0.25">
      <c r="A2007">
        <v>45448.27</v>
      </c>
      <c r="B2007">
        <v>2200.3038000000001</v>
      </c>
      <c r="C2007">
        <v>11</v>
      </c>
      <c r="D2007" t="s">
        <v>609</v>
      </c>
      <c r="F2007">
        <v>1974</v>
      </c>
      <c r="G2007" s="1" t="s">
        <v>193</v>
      </c>
      <c r="H2007" s="1" t="s">
        <v>583</v>
      </c>
      <c r="I2007">
        <v>0.1106</v>
      </c>
      <c r="J2007">
        <v>45448.283600000002</v>
      </c>
      <c r="K2007">
        <v>6.6E-4</v>
      </c>
      <c r="L2007">
        <v>2.2300000000000002E-3</v>
      </c>
      <c r="M2007">
        <v>4.6100000000000002E-2</v>
      </c>
      <c r="N2007">
        <v>0.20200000000000001</v>
      </c>
      <c r="O2007">
        <v>2.7899999999999999E-3</v>
      </c>
      <c r="P2007" s="3">
        <f t="shared" si="124"/>
        <v>2200.3037739390302</v>
      </c>
      <c r="Q2007" s="3">
        <f t="shared" si="125"/>
        <v>6.5842159392559552E-4</v>
      </c>
      <c r="R2007" s="3">
        <f t="shared" si="126"/>
        <v>2.2300000000000002E-3</v>
      </c>
      <c r="S2007">
        <f t="shared" si="127"/>
        <v>50</v>
      </c>
      <c r="T2007">
        <f>INDEX([1]IDEN_level_ids!$B:$B,MATCH(G2007,[1]IDEN_level_ids!$A:$A,0),1)</f>
        <v>1202</v>
      </c>
      <c r="U2007">
        <f>INDEX([1]IDEN_level_ids!$B:$B,MATCH(H2007,[1]IDEN_level_ids!$A:$A,0),1)</f>
        <v>1043</v>
      </c>
    </row>
    <row r="2008" spans="1:21" hidden="1" x14ac:dyDescent="0.25">
      <c r="A2008">
        <v>45405.73</v>
      </c>
      <c r="B2008">
        <v>2202.3652000000002</v>
      </c>
      <c r="C2008">
        <v>11</v>
      </c>
      <c r="D2008" t="s">
        <v>609</v>
      </c>
      <c r="E2008" t="s">
        <v>427</v>
      </c>
      <c r="F2008">
        <v>1974</v>
      </c>
      <c r="G2008" s="1" t="s">
        <v>255</v>
      </c>
      <c r="H2008" s="1" t="s">
        <v>603</v>
      </c>
      <c r="I2008">
        <v>0.14910000000000001</v>
      </c>
      <c r="J2008">
        <v>45405.6973</v>
      </c>
      <c r="K2008">
        <v>-1.5900000000000001E-3</v>
      </c>
      <c r="L2008">
        <v>2.3600000000000001E-3</v>
      </c>
      <c r="M2008">
        <v>4.87E-2</v>
      </c>
      <c r="N2008">
        <v>0.33800000000000002</v>
      </c>
      <c r="O2008">
        <v>3.5699999999999998E-3</v>
      </c>
      <c r="P2008" s="3">
        <f t="shared" si="124"/>
        <v>2202.3652080915776</v>
      </c>
      <c r="Q2008" s="3">
        <f t="shared" si="125"/>
        <v>-1.5860860330576543E-3</v>
      </c>
      <c r="R2008" s="3">
        <f t="shared" si="126"/>
        <v>2.3600000000000001E-3</v>
      </c>
      <c r="S2008">
        <f t="shared" si="127"/>
        <v>50</v>
      </c>
      <c r="T2008">
        <f>INDEX([1]IDEN_level_ids!$B:$B,MATCH(G2008,[1]IDEN_level_ids!$A:$A,0),1)</f>
        <v>1111</v>
      </c>
      <c r="U2008">
        <f>INDEX([1]IDEN_level_ids!$B:$B,MATCH(H2008,[1]IDEN_level_ids!$A:$A,0),1)</f>
        <v>941</v>
      </c>
    </row>
    <row r="2009" spans="1:21" hidden="1" x14ac:dyDescent="0.25">
      <c r="A2009">
        <v>45364.521000000001</v>
      </c>
      <c r="B2009">
        <v>2204.3658</v>
      </c>
      <c r="C2009">
        <v>11</v>
      </c>
      <c r="D2009" t="s">
        <v>609</v>
      </c>
      <c r="F2009">
        <v>1974</v>
      </c>
      <c r="G2009" s="1" t="s">
        <v>69</v>
      </c>
      <c r="H2009" s="1" t="s">
        <v>419</v>
      </c>
      <c r="I2009">
        <v>0.2853</v>
      </c>
      <c r="J2009">
        <v>45364.519099999998</v>
      </c>
      <c r="K2009">
        <v>-9.0000000000000006E-5</v>
      </c>
      <c r="L2009">
        <v>2.2399999999999998E-3</v>
      </c>
      <c r="M2009">
        <v>4.6100000000000002E-2</v>
      </c>
      <c r="N2009">
        <v>0.17130000000000001</v>
      </c>
      <c r="O2009">
        <v>2.7000000000000001E-3</v>
      </c>
      <c r="P2009" s="3">
        <f t="shared" si="124"/>
        <v>2204.3658302927965</v>
      </c>
      <c r="Q2009" s="3">
        <f t="shared" si="125"/>
        <v>-9.2325349214661401E-5</v>
      </c>
      <c r="R2009" s="3">
        <f t="shared" si="126"/>
        <v>2.2399999999999998E-3</v>
      </c>
      <c r="S2009">
        <f t="shared" si="127"/>
        <v>50</v>
      </c>
      <c r="T2009">
        <f>INDEX([1]IDEN_level_ids!$B:$B,MATCH(G2009,[1]IDEN_level_ids!$A:$A,0),1)</f>
        <v>1218</v>
      </c>
      <c r="U2009">
        <f>INDEX([1]IDEN_level_ids!$B:$B,MATCH(H2009,[1]IDEN_level_ids!$A:$A,0),1)</f>
        <v>1068</v>
      </c>
    </row>
    <row r="2010" spans="1:21" hidden="1" x14ac:dyDescent="0.25">
      <c r="A2010">
        <v>45351.789499999999</v>
      </c>
      <c r="B2010">
        <v>2204.9847</v>
      </c>
      <c r="C2010">
        <v>11</v>
      </c>
      <c r="D2010" t="s">
        <v>609</v>
      </c>
      <c r="F2010">
        <v>1974</v>
      </c>
      <c r="G2010" s="1" t="s">
        <v>33</v>
      </c>
      <c r="H2010" s="1" t="s">
        <v>448</v>
      </c>
      <c r="I2010">
        <v>0.29559999999999997</v>
      </c>
      <c r="J2010">
        <v>45351.828200000004</v>
      </c>
      <c r="K2010">
        <v>1.8799999999999999E-3</v>
      </c>
      <c r="L2010">
        <v>2.2399999999999998E-3</v>
      </c>
      <c r="M2010">
        <v>4.6100000000000002E-2</v>
      </c>
      <c r="N2010">
        <v>0.12920000000000001</v>
      </c>
      <c r="O2010">
        <v>2.5699999999999998E-3</v>
      </c>
      <c r="P2010" s="3">
        <f t="shared" si="124"/>
        <v>2204.9846566693914</v>
      </c>
      <c r="Q2010" s="3">
        <f t="shared" si="125"/>
        <v>1.8815758839991759E-3</v>
      </c>
      <c r="R2010" s="3">
        <f t="shared" si="126"/>
        <v>2.2399999999999998E-3</v>
      </c>
      <c r="S2010">
        <f t="shared" si="127"/>
        <v>50</v>
      </c>
      <c r="T2010">
        <f>INDEX([1]IDEN_level_ids!$B:$B,MATCH(G2010,[1]IDEN_level_ids!$A:$A,0),1)</f>
        <v>1220</v>
      </c>
      <c r="U2010">
        <f>INDEX([1]IDEN_level_ids!$B:$B,MATCH(H2010,[1]IDEN_level_ids!$A:$A,0),1)</f>
        <v>1067</v>
      </c>
    </row>
    <row r="2011" spans="1:21" hidden="1" x14ac:dyDescent="0.25">
      <c r="A2011">
        <v>45350.550600000002</v>
      </c>
      <c r="B2011">
        <v>2205.0448999999999</v>
      </c>
      <c r="C2011">
        <v>11</v>
      </c>
      <c r="D2011" t="s">
        <v>609</v>
      </c>
      <c r="F2011">
        <v>1974</v>
      </c>
      <c r="G2011" s="1" t="s">
        <v>84</v>
      </c>
      <c r="H2011" s="1" t="s">
        <v>470</v>
      </c>
      <c r="I2011">
        <v>0.2848</v>
      </c>
      <c r="J2011">
        <v>45350.546999999999</v>
      </c>
      <c r="K2011">
        <v>-1.8000000000000001E-4</v>
      </c>
      <c r="L2011">
        <v>2.2399999999999998E-3</v>
      </c>
      <c r="M2011">
        <v>4.6100000000000002E-2</v>
      </c>
      <c r="N2011">
        <v>0.15459999999999999</v>
      </c>
      <c r="O2011">
        <v>2.65E-3</v>
      </c>
      <c r="P2011" s="3">
        <f t="shared" si="124"/>
        <v>2205.0448931043406</v>
      </c>
      <c r="Q2011" s="3">
        <f t="shared" si="125"/>
        <v>-1.7504004154034192E-4</v>
      </c>
      <c r="R2011" s="3">
        <f t="shared" si="126"/>
        <v>2.2399999999999998E-3</v>
      </c>
      <c r="S2011">
        <f t="shared" si="127"/>
        <v>50</v>
      </c>
      <c r="T2011">
        <f>INDEX([1]IDEN_level_ids!$B:$B,MATCH(G2011,[1]IDEN_level_ids!$A:$A,0),1)</f>
        <v>1191</v>
      </c>
      <c r="U2011">
        <f>INDEX([1]IDEN_level_ids!$B:$B,MATCH(H2011,[1]IDEN_level_ids!$A:$A,0),1)</f>
        <v>1026</v>
      </c>
    </row>
    <row r="2012" spans="1:21" hidden="1" x14ac:dyDescent="0.25">
      <c r="A2012">
        <v>45331.880400000002</v>
      </c>
      <c r="B2012">
        <v>2205.9531000000002</v>
      </c>
      <c r="C2012">
        <v>11</v>
      </c>
      <c r="D2012" t="s">
        <v>609</v>
      </c>
      <c r="E2012" t="s">
        <v>427</v>
      </c>
      <c r="F2012">
        <v>1974</v>
      </c>
      <c r="G2012" s="1" t="s">
        <v>77</v>
      </c>
      <c r="H2012" s="1" t="s">
        <v>582</v>
      </c>
      <c r="I2012">
        <v>-0.25890000000000002</v>
      </c>
      <c r="J2012">
        <v>45331.866199999997</v>
      </c>
      <c r="K2012">
        <v>-6.8999999999999997E-4</v>
      </c>
      <c r="L2012">
        <v>2.3700000000000001E-3</v>
      </c>
      <c r="M2012">
        <v>4.87E-2</v>
      </c>
      <c r="N2012">
        <v>0.1608</v>
      </c>
      <c r="O2012">
        <v>2.8300000000000001E-3</v>
      </c>
      <c r="P2012" s="3">
        <f t="shared" si="124"/>
        <v>2205.9530537365486</v>
      </c>
      <c r="Q2012" s="3">
        <f t="shared" si="125"/>
        <v>-6.910047172823397E-4</v>
      </c>
      <c r="R2012" s="3">
        <f t="shared" si="126"/>
        <v>2.3700000000000001E-3</v>
      </c>
      <c r="S2012">
        <f t="shared" si="127"/>
        <v>50</v>
      </c>
      <c r="T2012">
        <f>INDEX([1]IDEN_level_ids!$B:$B,MATCH(G2012,[1]IDEN_level_ids!$A:$A,0),1)</f>
        <v>1197</v>
      </c>
      <c r="U2012">
        <f>INDEX([1]IDEN_level_ids!$B:$B,MATCH(H2012,[1]IDEN_level_ids!$A:$A,0),1)</f>
        <v>1042</v>
      </c>
    </row>
    <row r="2013" spans="1:21" hidden="1" x14ac:dyDescent="0.25">
      <c r="A2013">
        <v>45327.500899999999</v>
      </c>
      <c r="B2013">
        <v>2206.1662000000001</v>
      </c>
      <c r="C2013">
        <v>11</v>
      </c>
      <c r="D2013" t="s">
        <v>609</v>
      </c>
      <c r="E2013" t="s">
        <v>427</v>
      </c>
      <c r="F2013">
        <v>1974</v>
      </c>
      <c r="G2013" s="1" t="s">
        <v>27</v>
      </c>
      <c r="H2013" s="1" t="s">
        <v>379</v>
      </c>
      <c r="I2013">
        <v>0.47110000000000002</v>
      </c>
      <c r="J2013">
        <v>45327.517200000002</v>
      </c>
      <c r="K2013">
        <v>7.9000000000000001E-4</v>
      </c>
      <c r="L2013">
        <v>2.3700000000000001E-3</v>
      </c>
      <c r="M2013">
        <v>4.87E-2</v>
      </c>
      <c r="N2013">
        <v>0.21540000000000001</v>
      </c>
      <c r="O2013">
        <v>3.0200000000000001E-3</v>
      </c>
      <c r="P2013" s="3">
        <f t="shared" si="124"/>
        <v>2206.166190821255</v>
      </c>
      <c r="Q2013" s="3">
        <f t="shared" si="125"/>
        <v>7.9334830479638185E-4</v>
      </c>
      <c r="R2013" s="3">
        <f t="shared" si="126"/>
        <v>2.3700000000000001E-3</v>
      </c>
      <c r="S2013">
        <f t="shared" si="127"/>
        <v>50</v>
      </c>
      <c r="T2013">
        <f>INDEX([1]IDEN_level_ids!$B:$B,MATCH(G2013,[1]IDEN_level_ids!$A:$A,0),1)</f>
        <v>1242</v>
      </c>
      <c r="U2013">
        <f>INDEX([1]IDEN_level_ids!$B:$B,MATCH(H2013,[1]IDEN_level_ids!$A:$A,0),1)</f>
        <v>1083</v>
      </c>
    </row>
    <row r="2014" spans="1:21" hidden="1" x14ac:dyDescent="0.25">
      <c r="A2014">
        <v>45316.39</v>
      </c>
      <c r="B2014">
        <v>2206.7071000000001</v>
      </c>
      <c r="C2014">
        <v>11</v>
      </c>
      <c r="D2014" t="s">
        <v>609</v>
      </c>
      <c r="F2014">
        <v>1974</v>
      </c>
      <c r="G2014" s="1" t="s">
        <v>273</v>
      </c>
      <c r="H2014" s="1" t="s">
        <v>374</v>
      </c>
      <c r="I2014">
        <v>0</v>
      </c>
      <c r="J2014">
        <v>45316.497799999997</v>
      </c>
      <c r="K2014">
        <v>5.2500000000000003E-3</v>
      </c>
      <c r="L2014">
        <v>2.2399999999999998E-3</v>
      </c>
      <c r="M2014">
        <v>4.6100000000000002E-2</v>
      </c>
      <c r="N2014">
        <v>0.44429999999999997</v>
      </c>
      <c r="O2014">
        <v>4.0400000000000002E-3</v>
      </c>
      <c r="P2014" s="3">
        <f t="shared" si="124"/>
        <v>2206.7071097234357</v>
      </c>
      <c r="Q2014" s="3">
        <f t="shared" si="125"/>
        <v>5.2493691696327005E-3</v>
      </c>
      <c r="R2014" s="3">
        <f t="shared" si="126"/>
        <v>2.2399999999999998E-3</v>
      </c>
      <c r="S2014">
        <f t="shared" si="127"/>
        <v>50</v>
      </c>
      <c r="T2014">
        <f>INDEX([1]IDEN_level_ids!$B:$B,MATCH(G2014,[1]IDEN_level_ids!$A:$A,0),1)</f>
        <v>1105</v>
      </c>
      <c r="U2014">
        <f>INDEX([1]IDEN_level_ids!$B:$B,MATCH(H2014,[1]IDEN_level_ids!$A:$A,0),1)</f>
        <v>936</v>
      </c>
    </row>
    <row r="2015" spans="1:21" hidden="1" x14ac:dyDescent="0.25">
      <c r="A2015">
        <v>45314.419600000001</v>
      </c>
      <c r="B2015">
        <v>2206.8031000000001</v>
      </c>
      <c r="C2015">
        <v>11</v>
      </c>
      <c r="D2015" t="s">
        <v>609</v>
      </c>
      <c r="F2015">
        <v>1974</v>
      </c>
      <c r="G2015" s="1" t="s">
        <v>81</v>
      </c>
      <c r="H2015" s="1" t="s">
        <v>454</v>
      </c>
      <c r="I2015">
        <v>0</v>
      </c>
      <c r="J2015">
        <v>45314.362000000001</v>
      </c>
      <c r="K2015">
        <v>-2.81E-3</v>
      </c>
      <c r="L2015">
        <v>2.2399999999999998E-3</v>
      </c>
      <c r="M2015">
        <v>4.6100000000000002E-2</v>
      </c>
      <c r="N2015">
        <v>0.1109</v>
      </c>
      <c r="O2015">
        <v>2.5200000000000001E-3</v>
      </c>
      <c r="P2015" s="3">
        <f t="shared" si="124"/>
        <v>2206.8030636323101</v>
      </c>
      <c r="Q2015" s="3">
        <f t="shared" si="125"/>
        <v>-2.8051119084011589E-3</v>
      </c>
      <c r="R2015" s="3">
        <f t="shared" si="126"/>
        <v>2.2399999999999998E-3</v>
      </c>
      <c r="S2015">
        <f t="shared" si="127"/>
        <v>50</v>
      </c>
      <c r="T2015">
        <f>INDEX([1]IDEN_level_ids!$B:$B,MATCH(G2015,[1]IDEN_level_ids!$A:$A,0),1)</f>
        <v>1196</v>
      </c>
      <c r="U2015">
        <f>INDEX([1]IDEN_level_ids!$B:$B,MATCH(H2015,[1]IDEN_level_ids!$A:$A,0),1)</f>
        <v>1036</v>
      </c>
    </row>
    <row r="2016" spans="1:21" hidden="1" x14ac:dyDescent="0.25">
      <c r="A2016">
        <v>45311.460099999997</v>
      </c>
      <c r="B2016">
        <v>2206.9472000000001</v>
      </c>
      <c r="C2016">
        <v>11</v>
      </c>
      <c r="D2016" t="s">
        <v>609</v>
      </c>
      <c r="E2016" t="s">
        <v>427</v>
      </c>
      <c r="F2016">
        <v>1974</v>
      </c>
      <c r="G2016" s="1" t="s">
        <v>27</v>
      </c>
      <c r="H2016" s="1" t="s">
        <v>381</v>
      </c>
      <c r="I2016">
        <v>0.23219999999999999</v>
      </c>
      <c r="J2016">
        <v>45311.426200000002</v>
      </c>
      <c r="K2016">
        <v>-1.65E-3</v>
      </c>
      <c r="L2016">
        <v>2.3700000000000001E-3</v>
      </c>
      <c r="M2016">
        <v>4.87E-2</v>
      </c>
      <c r="N2016">
        <v>0.20219999999999999</v>
      </c>
      <c r="O2016">
        <v>2.97E-3</v>
      </c>
      <c r="P2016" s="3">
        <f t="shared" si="124"/>
        <v>2206.9472000969577</v>
      </c>
      <c r="Q2016" s="3">
        <f t="shared" si="125"/>
        <v>-1.6511400399394915E-3</v>
      </c>
      <c r="R2016" s="3">
        <f t="shared" si="126"/>
        <v>2.3700000000000001E-3</v>
      </c>
      <c r="S2016">
        <f t="shared" si="127"/>
        <v>50</v>
      </c>
      <c r="T2016">
        <f>INDEX([1]IDEN_level_ids!$B:$B,MATCH(G2016,[1]IDEN_level_ids!$A:$A,0),1)</f>
        <v>1242</v>
      </c>
      <c r="U2016">
        <f>INDEX([1]IDEN_level_ids!$B:$B,MATCH(H2016,[1]IDEN_level_ids!$A:$A,0),1)</f>
        <v>1084</v>
      </c>
    </row>
    <row r="2017" spans="1:21" hidden="1" x14ac:dyDescent="0.25">
      <c r="A2017">
        <v>45306.269200000002</v>
      </c>
      <c r="B2017">
        <v>2207.2001</v>
      </c>
      <c r="C2017">
        <v>11</v>
      </c>
      <c r="D2017" t="s">
        <v>609</v>
      </c>
      <c r="E2017" t="s">
        <v>427</v>
      </c>
      <c r="F2017">
        <v>1974</v>
      </c>
      <c r="G2017" s="1" t="s">
        <v>22</v>
      </c>
      <c r="H2017" s="1" t="s">
        <v>386</v>
      </c>
      <c r="I2017">
        <v>0.22500000000000001</v>
      </c>
      <c r="J2017">
        <v>45306.207399999999</v>
      </c>
      <c r="K2017">
        <v>-3.0100000000000001E-3</v>
      </c>
      <c r="L2017">
        <v>2.3700000000000001E-3</v>
      </c>
      <c r="M2017">
        <v>4.87E-2</v>
      </c>
      <c r="N2017">
        <v>0.14349999999999999</v>
      </c>
      <c r="O2017">
        <v>2.7699999999999999E-3</v>
      </c>
      <c r="P2017" s="3">
        <f t="shared" si="124"/>
        <v>2207.2000578674883</v>
      </c>
      <c r="Q2017" s="3">
        <f t="shared" si="125"/>
        <v>-3.010734541931015E-3</v>
      </c>
      <c r="R2017" s="3">
        <f t="shared" si="126"/>
        <v>2.3700000000000001E-3</v>
      </c>
      <c r="S2017">
        <f t="shared" si="127"/>
        <v>50</v>
      </c>
      <c r="T2017">
        <f>INDEX([1]IDEN_level_ids!$B:$B,MATCH(G2017,[1]IDEN_level_ids!$A:$A,0),1)</f>
        <v>1236</v>
      </c>
      <c r="U2017">
        <f>INDEX([1]IDEN_level_ids!$B:$B,MATCH(H2017,[1]IDEN_level_ids!$A:$A,0),1)</f>
        <v>1082</v>
      </c>
    </row>
    <row r="2018" spans="1:21" hidden="1" x14ac:dyDescent="0.25">
      <c r="A2018">
        <v>45294.259700000002</v>
      </c>
      <c r="B2018">
        <v>2207.7853</v>
      </c>
      <c r="C2018">
        <v>11</v>
      </c>
      <c r="D2018" t="s">
        <v>609</v>
      </c>
      <c r="F2018">
        <v>1974</v>
      </c>
      <c r="G2018" s="1" t="s">
        <v>36</v>
      </c>
      <c r="H2018" s="1" t="s">
        <v>466</v>
      </c>
      <c r="I2018">
        <v>0.3876</v>
      </c>
      <c r="J2018">
        <v>45294.215799999998</v>
      </c>
      <c r="K2018">
        <v>-2.14E-3</v>
      </c>
      <c r="L2018">
        <v>2.2499999999999998E-3</v>
      </c>
      <c r="M2018">
        <v>4.6100000000000002E-2</v>
      </c>
      <c r="N2018">
        <v>0.26769999999999999</v>
      </c>
      <c r="O2018">
        <v>3.0699999999999998E-3</v>
      </c>
      <c r="P2018" s="3">
        <f t="shared" si="124"/>
        <v>2207.7852836614525</v>
      </c>
      <c r="Q2018" s="3">
        <f t="shared" si="125"/>
        <v>-2.139826736311079E-3</v>
      </c>
      <c r="R2018" s="3">
        <f t="shared" si="126"/>
        <v>2.2499999999999998E-3</v>
      </c>
      <c r="S2018">
        <f t="shared" si="127"/>
        <v>50</v>
      </c>
      <c r="T2018">
        <f>INDEX([1]IDEN_level_ids!$B:$B,MATCH(G2018,[1]IDEN_level_ids!$A:$A,0),1)</f>
        <v>1217</v>
      </c>
      <c r="U2018">
        <f>INDEX([1]IDEN_level_ids!$B:$B,MATCH(H2018,[1]IDEN_level_ids!$A:$A,0),1)</f>
        <v>1061</v>
      </c>
    </row>
    <row r="2019" spans="1:21" hidden="1" x14ac:dyDescent="0.25">
      <c r="A2019">
        <v>45293.419399999999</v>
      </c>
      <c r="B2019">
        <v>2207.8262</v>
      </c>
      <c r="C2019">
        <v>11</v>
      </c>
      <c r="D2019" t="s">
        <v>609</v>
      </c>
      <c r="E2019" t="s">
        <v>427</v>
      </c>
      <c r="F2019">
        <v>1974</v>
      </c>
      <c r="G2019" s="1" t="s">
        <v>140</v>
      </c>
      <c r="H2019" s="1" t="s">
        <v>437</v>
      </c>
      <c r="I2019">
        <v>0.26329999999999998</v>
      </c>
      <c r="J2019">
        <v>45293.358</v>
      </c>
      <c r="K2019">
        <v>-2.99E-3</v>
      </c>
      <c r="L2019">
        <v>2.3800000000000002E-3</v>
      </c>
      <c r="M2019">
        <v>4.87E-2</v>
      </c>
      <c r="N2019">
        <v>0.1013</v>
      </c>
      <c r="O2019">
        <v>2.64E-3</v>
      </c>
      <c r="P2019" s="3">
        <f t="shared" si="124"/>
        <v>2207.8262432974975</v>
      </c>
      <c r="Q2019" s="3">
        <f t="shared" si="125"/>
        <v>-2.9929450438430649E-3</v>
      </c>
      <c r="R2019" s="3">
        <f t="shared" si="126"/>
        <v>2.3800000000000002E-3</v>
      </c>
      <c r="S2019">
        <f t="shared" si="127"/>
        <v>50</v>
      </c>
      <c r="T2019">
        <f>INDEX([1]IDEN_level_ids!$B:$B,MATCH(G2019,[1]IDEN_level_ids!$A:$A,0),1)</f>
        <v>1198</v>
      </c>
      <c r="U2019">
        <f>INDEX([1]IDEN_level_ids!$B:$B,MATCH(H2019,[1]IDEN_level_ids!$A:$A,0),1)</f>
        <v>1039</v>
      </c>
    </row>
    <row r="2020" spans="1:21" hidden="1" x14ac:dyDescent="0.25">
      <c r="A2020">
        <v>45266.0602</v>
      </c>
      <c r="B2020">
        <v>2209.1606999999999</v>
      </c>
      <c r="C2020">
        <v>11</v>
      </c>
      <c r="D2020" t="s">
        <v>609</v>
      </c>
      <c r="F2020">
        <v>1974</v>
      </c>
      <c r="G2020" s="1" t="s">
        <v>272</v>
      </c>
      <c r="H2020" s="1" t="s">
        <v>497</v>
      </c>
      <c r="I2020">
        <v>0.45729999999999998</v>
      </c>
      <c r="J2020">
        <v>45266.0268</v>
      </c>
      <c r="K2020">
        <v>-1.6299999999999999E-3</v>
      </c>
      <c r="L2020">
        <v>2.2499999999999998E-3</v>
      </c>
      <c r="M2020">
        <v>4.6100000000000002E-2</v>
      </c>
      <c r="N2020">
        <v>0.38990000000000002</v>
      </c>
      <c r="O2020">
        <v>3.6800000000000001E-3</v>
      </c>
      <c r="P2020" s="3">
        <f t="shared" si="124"/>
        <v>2209.1606726577897</v>
      </c>
      <c r="Q2020" s="3">
        <f t="shared" si="125"/>
        <v>-1.6300517559102445E-3</v>
      </c>
      <c r="R2020" s="3">
        <f t="shared" si="126"/>
        <v>2.2499999999999998E-3</v>
      </c>
      <c r="S2020">
        <f t="shared" si="127"/>
        <v>50</v>
      </c>
      <c r="T2020">
        <f>INDEX([1]IDEN_level_ids!$B:$B,MATCH(G2020,[1]IDEN_level_ids!$A:$A,0),1)</f>
        <v>1109</v>
      </c>
      <c r="U2020">
        <f>INDEX([1]IDEN_level_ids!$B:$B,MATCH(H2020,[1]IDEN_level_ids!$A:$A,0),1)</f>
        <v>935</v>
      </c>
    </row>
    <row r="2021" spans="1:21" hidden="1" x14ac:dyDescent="0.25">
      <c r="A2021">
        <v>45262.310100000002</v>
      </c>
      <c r="B2021">
        <v>2209.3436999999999</v>
      </c>
      <c r="C2021">
        <v>11</v>
      </c>
      <c r="D2021" t="s">
        <v>609</v>
      </c>
      <c r="F2021">
        <v>1974</v>
      </c>
      <c r="G2021" s="1" t="s">
        <v>193</v>
      </c>
      <c r="H2021" s="1" t="s">
        <v>468</v>
      </c>
      <c r="I2021">
        <v>0.16639999999999999</v>
      </c>
      <c r="J2021">
        <v>45262.323199999999</v>
      </c>
      <c r="K2021">
        <v>6.4000000000000005E-4</v>
      </c>
      <c r="L2021">
        <v>2.2499999999999998E-3</v>
      </c>
      <c r="M2021">
        <v>4.6100000000000002E-2</v>
      </c>
      <c r="N2021">
        <v>0.15859999999999999</v>
      </c>
      <c r="O2021">
        <v>2.6700000000000001E-3</v>
      </c>
      <c r="P2021" s="3">
        <f t="shared" si="124"/>
        <v>2209.3437073597352</v>
      </c>
      <c r="Q2021" s="3">
        <f t="shared" si="125"/>
        <v>6.3943696432033903E-4</v>
      </c>
      <c r="R2021" s="3">
        <f t="shared" si="126"/>
        <v>2.2499999999999998E-3</v>
      </c>
      <c r="S2021">
        <f t="shared" si="127"/>
        <v>50</v>
      </c>
      <c r="T2021">
        <f>INDEX([1]IDEN_level_ids!$B:$B,MATCH(G2021,[1]IDEN_level_ids!$A:$A,0),1)</f>
        <v>1202</v>
      </c>
      <c r="U2021">
        <f>INDEX([1]IDEN_level_ids!$B:$B,MATCH(H2021,[1]IDEN_level_ids!$A:$A,0),1)</f>
        <v>1044</v>
      </c>
    </row>
    <row r="2022" spans="1:21" hidden="1" x14ac:dyDescent="0.25">
      <c r="A2022">
        <v>45256.490400000002</v>
      </c>
      <c r="B2022">
        <v>2209.6278000000002</v>
      </c>
      <c r="C2022">
        <v>11</v>
      </c>
      <c r="D2022" t="s">
        <v>609</v>
      </c>
      <c r="F2022">
        <v>1974</v>
      </c>
      <c r="G2022" s="1" t="s">
        <v>108</v>
      </c>
      <c r="H2022" s="1" t="s">
        <v>538</v>
      </c>
      <c r="I2022">
        <v>0</v>
      </c>
      <c r="J2022">
        <v>45256.508500000004</v>
      </c>
      <c r="K2022">
        <v>8.8999999999999995E-4</v>
      </c>
      <c r="L2022">
        <v>2.2499999999999998E-3</v>
      </c>
      <c r="M2022">
        <v>4.6100000000000002E-2</v>
      </c>
      <c r="N2022">
        <v>0.23280000000000001</v>
      </c>
      <c r="O2022">
        <v>2.9299999999999999E-3</v>
      </c>
      <c r="P2022" s="3">
        <f t="shared" si="124"/>
        <v>2209.6278150636267</v>
      </c>
      <c r="Q2022" s="3">
        <f t="shared" si="125"/>
        <v>8.8372401614833507E-4</v>
      </c>
      <c r="R2022" s="3">
        <f t="shared" si="126"/>
        <v>2.2499999999999998E-3</v>
      </c>
      <c r="S2022">
        <f t="shared" si="127"/>
        <v>50</v>
      </c>
      <c r="T2022">
        <f>INDEX([1]IDEN_level_ids!$B:$B,MATCH(G2022,[1]IDEN_level_ids!$A:$A,0),1)</f>
        <v>1149</v>
      </c>
      <c r="U2022">
        <f>INDEX([1]IDEN_level_ids!$B:$B,MATCH(H2022,[1]IDEN_level_ids!$A:$A,0),1)</f>
        <v>978</v>
      </c>
    </row>
    <row r="2023" spans="1:21" hidden="1" x14ac:dyDescent="0.25">
      <c r="A2023">
        <v>45235.520799999998</v>
      </c>
      <c r="B2023">
        <v>2210.6520999999998</v>
      </c>
      <c r="C2023">
        <v>11</v>
      </c>
      <c r="D2023" t="s">
        <v>609</v>
      </c>
      <c r="F2023">
        <v>1974</v>
      </c>
      <c r="G2023" s="1" t="s">
        <v>252</v>
      </c>
      <c r="H2023" s="1" t="s">
        <v>585</v>
      </c>
      <c r="I2023">
        <v>0</v>
      </c>
      <c r="J2023">
        <v>45235.531300000002</v>
      </c>
      <c r="K2023">
        <v>5.1000000000000004E-4</v>
      </c>
      <c r="L2023">
        <v>2.2499999999999998E-3</v>
      </c>
      <c r="M2023">
        <v>4.6100000000000002E-2</v>
      </c>
      <c r="N2023">
        <v>0.13519999999999999</v>
      </c>
      <c r="O2023">
        <v>2.5999999999999999E-3</v>
      </c>
      <c r="P2023" s="3">
        <f t="shared" si="124"/>
        <v>2210.6521209765756</v>
      </c>
      <c r="Q2023" s="3">
        <f t="shared" si="125"/>
        <v>5.1313307494638138E-4</v>
      </c>
      <c r="R2023" s="3">
        <f t="shared" si="126"/>
        <v>2.2499999999999998E-3</v>
      </c>
      <c r="S2023">
        <f t="shared" si="127"/>
        <v>50</v>
      </c>
      <c r="T2023">
        <f>INDEX([1]IDEN_level_ids!$B:$B,MATCH(G2023,[1]IDEN_level_ids!$A:$A,0),1)</f>
        <v>1188</v>
      </c>
      <c r="U2023">
        <f>INDEX([1]IDEN_level_ids!$B:$B,MATCH(H2023,[1]IDEN_level_ids!$A:$A,0),1)</f>
        <v>1019</v>
      </c>
    </row>
    <row r="2024" spans="1:21" hidden="1" x14ac:dyDescent="0.25">
      <c r="A2024">
        <v>45207.520499999999</v>
      </c>
      <c r="B2024">
        <v>2212.0212999999999</v>
      </c>
      <c r="C2024">
        <v>11</v>
      </c>
      <c r="D2024" t="s">
        <v>609</v>
      </c>
      <c r="F2024">
        <v>1974</v>
      </c>
      <c r="G2024" s="1" t="s">
        <v>267</v>
      </c>
      <c r="H2024" s="1" t="s">
        <v>473</v>
      </c>
      <c r="I2024">
        <v>0.1031</v>
      </c>
      <c r="J2024">
        <v>45207.535100000001</v>
      </c>
      <c r="K2024">
        <v>7.1000000000000002E-4</v>
      </c>
      <c r="L2024">
        <v>2.2499999999999998E-3</v>
      </c>
      <c r="M2024">
        <v>4.6100000000000002E-2</v>
      </c>
      <c r="N2024">
        <v>0.23799999999999999</v>
      </c>
      <c r="O2024">
        <v>2.96E-3</v>
      </c>
      <c r="P2024" s="3">
        <f t="shared" si="124"/>
        <v>2212.0213383523214</v>
      </c>
      <c r="Q2024" s="3">
        <f t="shared" si="125"/>
        <v>7.1438337590734591E-4</v>
      </c>
      <c r="R2024" s="3">
        <f t="shared" si="126"/>
        <v>2.2499999999999998E-3</v>
      </c>
      <c r="S2024">
        <f t="shared" si="127"/>
        <v>50</v>
      </c>
      <c r="T2024">
        <f>INDEX([1]IDEN_level_ids!$B:$B,MATCH(G2024,[1]IDEN_level_ids!$A:$A,0),1)</f>
        <v>1104</v>
      </c>
      <c r="U2024">
        <f>INDEX([1]IDEN_level_ids!$B:$B,MATCH(H2024,[1]IDEN_level_ids!$A:$A,0),1)</f>
        <v>934</v>
      </c>
    </row>
    <row r="2025" spans="1:21" hidden="1" x14ac:dyDescent="0.25">
      <c r="A2025">
        <v>45201.799899999998</v>
      </c>
      <c r="B2025">
        <v>2212.3013000000001</v>
      </c>
      <c r="C2025">
        <v>11</v>
      </c>
      <c r="D2025" t="s">
        <v>609</v>
      </c>
      <c r="F2025">
        <v>1974</v>
      </c>
      <c r="G2025" s="1" t="s">
        <v>68</v>
      </c>
      <c r="H2025" s="1" t="s">
        <v>453</v>
      </c>
      <c r="I2025">
        <v>0.26840000000000003</v>
      </c>
      <c r="J2025">
        <v>45201.841999999997</v>
      </c>
      <c r="K2025">
        <v>2.0600000000000002E-3</v>
      </c>
      <c r="L2025">
        <v>2.2499999999999998E-3</v>
      </c>
      <c r="M2025">
        <v>4.6100000000000002E-2</v>
      </c>
      <c r="N2025">
        <v>0.1623</v>
      </c>
      <c r="O2025">
        <v>2.6900000000000001E-3</v>
      </c>
      <c r="P2025" s="3">
        <f t="shared" si="124"/>
        <v>2212.3012849317979</v>
      </c>
      <c r="Q2025" s="3">
        <f t="shared" si="125"/>
        <v>2.0604886876753881E-3</v>
      </c>
      <c r="R2025" s="3">
        <f t="shared" si="126"/>
        <v>2.2499999999999998E-3</v>
      </c>
      <c r="S2025">
        <f t="shared" si="127"/>
        <v>50</v>
      </c>
      <c r="T2025">
        <f>INDEX([1]IDEN_level_ids!$B:$B,MATCH(G2025,[1]IDEN_level_ids!$A:$A,0),1)</f>
        <v>1229</v>
      </c>
      <c r="U2025">
        <f>INDEX([1]IDEN_level_ids!$B:$B,MATCH(H2025,[1]IDEN_level_ids!$A:$A,0),1)</f>
        <v>1078</v>
      </c>
    </row>
    <row r="2026" spans="1:21" hidden="1" x14ac:dyDescent="0.25">
      <c r="A2026">
        <v>45179.820200000002</v>
      </c>
      <c r="B2026">
        <v>2213.3775999999998</v>
      </c>
      <c r="C2026">
        <v>11</v>
      </c>
      <c r="D2026" t="s">
        <v>609</v>
      </c>
      <c r="F2026">
        <v>1974</v>
      </c>
      <c r="G2026" s="1" t="s">
        <v>269</v>
      </c>
      <c r="H2026" s="1" t="s">
        <v>610</v>
      </c>
      <c r="I2026">
        <v>9.8000000000000004E-2</v>
      </c>
      <c r="J2026">
        <v>45179.806799999998</v>
      </c>
      <c r="K2026">
        <v>-6.6E-4</v>
      </c>
      <c r="L2026">
        <v>2.2599999999999999E-3</v>
      </c>
      <c r="M2026">
        <v>4.6100000000000002E-2</v>
      </c>
      <c r="N2026">
        <v>0.26079999999999998</v>
      </c>
      <c r="O2026">
        <v>3.0500000000000002E-3</v>
      </c>
      <c r="P2026" s="3">
        <f t="shared" si="124"/>
        <v>2213.3775556725213</v>
      </c>
      <c r="Q2026" s="3">
        <f t="shared" si="125"/>
        <v>-6.5647158180581755E-4</v>
      </c>
      <c r="R2026" s="3">
        <f t="shared" si="126"/>
        <v>2.2599999999999999E-3</v>
      </c>
      <c r="S2026">
        <f t="shared" si="127"/>
        <v>50</v>
      </c>
      <c r="T2026">
        <f>INDEX([1]IDEN_level_ids!$B:$B,MATCH(G2026,[1]IDEN_level_ids!$A:$A,0),1)</f>
        <v>1137</v>
      </c>
      <c r="U2026">
        <f>INDEX([1]IDEN_level_ids!$B:$B,MATCH(H2026,[1]IDEN_level_ids!$A:$A,0),1)</f>
        <v>964</v>
      </c>
    </row>
    <row r="2027" spans="1:21" hidden="1" x14ac:dyDescent="0.25">
      <c r="A2027">
        <v>45159.310299999997</v>
      </c>
      <c r="B2027">
        <v>2214.3827999999999</v>
      </c>
      <c r="C2027">
        <v>11</v>
      </c>
      <c r="D2027" t="s">
        <v>609</v>
      </c>
      <c r="F2027">
        <v>1974</v>
      </c>
      <c r="G2027" s="1" t="s">
        <v>81</v>
      </c>
      <c r="H2027" s="1" t="s">
        <v>476</v>
      </c>
      <c r="I2027">
        <v>0</v>
      </c>
      <c r="J2027">
        <v>45159.384100000003</v>
      </c>
      <c r="K2027">
        <v>3.62E-3</v>
      </c>
      <c r="L2027">
        <v>2.2599999999999999E-3</v>
      </c>
      <c r="M2027">
        <v>4.6100000000000002E-2</v>
      </c>
      <c r="N2027">
        <v>0.1164</v>
      </c>
      <c r="O2027">
        <v>2.5600000000000002E-3</v>
      </c>
      <c r="P2027" s="3">
        <f t="shared" si="124"/>
        <v>2214.3828002616774</v>
      </c>
      <c r="Q2027" s="3">
        <f t="shared" si="125"/>
        <v>3.6187705818520044E-3</v>
      </c>
      <c r="R2027" s="3">
        <f t="shared" si="126"/>
        <v>2.2599999999999999E-3</v>
      </c>
      <c r="S2027">
        <f t="shared" si="127"/>
        <v>50</v>
      </c>
      <c r="T2027">
        <f>INDEX([1]IDEN_level_ids!$B:$B,MATCH(G2027,[1]IDEN_level_ids!$A:$A,0),1)</f>
        <v>1196</v>
      </c>
      <c r="U2027">
        <f>INDEX([1]IDEN_level_ids!$B:$B,MATCH(H2027,[1]IDEN_level_ids!$A:$A,0),1)</f>
        <v>1037</v>
      </c>
    </row>
    <row r="2028" spans="1:21" hidden="1" x14ac:dyDescent="0.25">
      <c r="A2028">
        <v>45151.439899999998</v>
      </c>
      <c r="B2028">
        <v>2214.7687999999998</v>
      </c>
      <c r="C2028">
        <v>11</v>
      </c>
      <c r="D2028" t="s">
        <v>609</v>
      </c>
      <c r="F2028">
        <v>1974</v>
      </c>
      <c r="G2028" s="1" t="s">
        <v>82</v>
      </c>
      <c r="H2028" s="1" t="s">
        <v>587</v>
      </c>
      <c r="I2028">
        <v>0.13569999999999999</v>
      </c>
      <c r="J2028">
        <v>45151.506200000003</v>
      </c>
      <c r="K2028">
        <v>3.2599999999999999E-3</v>
      </c>
      <c r="L2028">
        <v>2.2599999999999999E-3</v>
      </c>
      <c r="M2028">
        <v>4.6100000000000002E-2</v>
      </c>
      <c r="N2028">
        <v>0.12089999999999999</v>
      </c>
      <c r="O2028">
        <v>2.5699999999999998E-3</v>
      </c>
      <c r="P2028" s="3">
        <f t="shared" si="124"/>
        <v>2214.7687919029136</v>
      </c>
      <c r="Q2028" s="3">
        <f t="shared" si="125"/>
        <v>3.2521433563488245E-3</v>
      </c>
      <c r="R2028" s="3">
        <f t="shared" si="126"/>
        <v>2.2599999999999999E-3</v>
      </c>
      <c r="S2028">
        <f t="shared" si="127"/>
        <v>50</v>
      </c>
      <c r="T2028">
        <f>INDEX([1]IDEN_level_ids!$B:$B,MATCH(G2028,[1]IDEN_level_ids!$A:$A,0),1)</f>
        <v>1193</v>
      </c>
      <c r="U2028">
        <f>INDEX([1]IDEN_level_ids!$B:$B,MATCH(H2028,[1]IDEN_level_ids!$A:$A,0),1)</f>
        <v>1035</v>
      </c>
    </row>
    <row r="2029" spans="1:21" hidden="1" x14ac:dyDescent="0.25">
      <c r="A2029">
        <v>45149.709300000002</v>
      </c>
      <c r="B2029">
        <v>2214.8537000000001</v>
      </c>
      <c r="C2029">
        <v>11</v>
      </c>
      <c r="D2029" t="s">
        <v>609</v>
      </c>
      <c r="F2029">
        <v>1974</v>
      </c>
      <c r="G2029" s="1" t="s">
        <v>166</v>
      </c>
      <c r="H2029" s="1" t="s">
        <v>536</v>
      </c>
      <c r="I2029">
        <v>0</v>
      </c>
      <c r="J2029">
        <v>45149.772700000001</v>
      </c>
      <c r="K2029">
        <v>3.1099999999999999E-3</v>
      </c>
      <c r="L2029">
        <v>2.2599999999999999E-3</v>
      </c>
      <c r="M2029">
        <v>4.6100000000000002E-2</v>
      </c>
      <c r="N2029">
        <v>0.1</v>
      </c>
      <c r="O2029">
        <v>2.5100000000000001E-3</v>
      </c>
      <c r="P2029" s="3">
        <f t="shared" si="124"/>
        <v>2214.8536845618182</v>
      </c>
      <c r="Q2029" s="3">
        <f t="shared" si="125"/>
        <v>3.1101313516046503E-3</v>
      </c>
      <c r="R2029" s="3">
        <f t="shared" si="126"/>
        <v>2.2599999999999999E-3</v>
      </c>
      <c r="S2029">
        <f t="shared" si="127"/>
        <v>50</v>
      </c>
      <c r="T2029">
        <f>INDEX([1]IDEN_level_ids!$B:$B,MATCH(G2029,[1]IDEN_level_ids!$A:$A,0),1)</f>
        <v>1186</v>
      </c>
      <c r="U2029">
        <f>INDEX([1]IDEN_level_ids!$B:$B,MATCH(H2029,[1]IDEN_level_ids!$A:$A,0),1)</f>
        <v>1021</v>
      </c>
    </row>
    <row r="2030" spans="1:21" hidden="1" x14ac:dyDescent="0.25">
      <c r="A2030">
        <v>45145.320599999999</v>
      </c>
      <c r="B2030">
        <v>2215.069</v>
      </c>
      <c r="C2030">
        <v>11</v>
      </c>
      <c r="D2030" t="s">
        <v>609</v>
      </c>
      <c r="F2030">
        <v>1974</v>
      </c>
      <c r="G2030" s="1" t="s">
        <v>238</v>
      </c>
      <c r="H2030" s="1" t="s">
        <v>578</v>
      </c>
      <c r="I2030">
        <v>0.25619999999999998</v>
      </c>
      <c r="J2030">
        <v>45145.4038</v>
      </c>
      <c r="K2030">
        <v>4.0800000000000003E-3</v>
      </c>
      <c r="L2030">
        <v>2.2599999999999999E-3</v>
      </c>
      <c r="M2030">
        <v>4.6100000000000002E-2</v>
      </c>
      <c r="N2030">
        <v>0.1358</v>
      </c>
      <c r="O2030">
        <v>2.6199999999999999E-3</v>
      </c>
      <c r="P2030" s="3">
        <f t="shared" si="124"/>
        <v>2215.0689965418032</v>
      </c>
      <c r="Q2030" s="3">
        <f t="shared" si="125"/>
        <v>4.0822259852575371E-3</v>
      </c>
      <c r="R2030" s="3">
        <f t="shared" si="126"/>
        <v>2.2599999999999999E-3</v>
      </c>
      <c r="S2030">
        <f t="shared" si="127"/>
        <v>50</v>
      </c>
      <c r="T2030">
        <f>INDEX([1]IDEN_level_ids!$B:$B,MATCH(G2030,[1]IDEN_level_ids!$A:$A,0),1)</f>
        <v>1165</v>
      </c>
      <c r="U2030">
        <f>INDEX([1]IDEN_level_ids!$B:$B,MATCH(H2030,[1]IDEN_level_ids!$A:$A,0),1)</f>
        <v>1003</v>
      </c>
    </row>
    <row r="2031" spans="1:21" hidden="1" x14ac:dyDescent="0.25">
      <c r="A2031">
        <v>45143.919300000001</v>
      </c>
      <c r="B2031">
        <v>2215.1378</v>
      </c>
      <c r="C2031">
        <v>11</v>
      </c>
      <c r="D2031" t="s">
        <v>609</v>
      </c>
      <c r="E2031" t="s">
        <v>427</v>
      </c>
      <c r="F2031">
        <v>1974</v>
      </c>
      <c r="G2031" s="1" t="s">
        <v>16</v>
      </c>
      <c r="H2031" s="1" t="s">
        <v>396</v>
      </c>
      <c r="I2031">
        <v>0.42980000000000002</v>
      </c>
      <c r="J2031">
        <v>45143.9427</v>
      </c>
      <c r="K2031">
        <v>1.15E-3</v>
      </c>
      <c r="L2031">
        <v>2.3900000000000002E-3</v>
      </c>
      <c r="M2031">
        <v>4.87E-2</v>
      </c>
      <c r="N2031">
        <v>0.25950000000000001</v>
      </c>
      <c r="O2031">
        <v>3.2299999999999998E-3</v>
      </c>
      <c r="P2031" s="3">
        <f t="shared" si="124"/>
        <v>2215.1377538901456</v>
      </c>
      <c r="Q2031" s="3">
        <f t="shared" si="125"/>
        <v>1.1481988576633739E-3</v>
      </c>
      <c r="R2031" s="3">
        <f t="shared" si="126"/>
        <v>2.3900000000000002E-3</v>
      </c>
      <c r="S2031">
        <f t="shared" si="127"/>
        <v>50</v>
      </c>
      <c r="T2031">
        <f>INDEX([1]IDEN_level_ids!$B:$B,MATCH(G2031,[1]IDEN_level_ids!$A:$A,0),1)</f>
        <v>1223</v>
      </c>
      <c r="U2031">
        <f>INDEX([1]IDEN_level_ids!$B:$B,MATCH(H2031,[1]IDEN_level_ids!$A:$A,0),1)</f>
        <v>1072</v>
      </c>
    </row>
    <row r="2032" spans="1:21" hidden="1" x14ac:dyDescent="0.25">
      <c r="A2032">
        <v>45142.469799999999</v>
      </c>
      <c r="B2032">
        <v>2215.2089000000001</v>
      </c>
      <c r="C2032">
        <v>11</v>
      </c>
      <c r="D2032" t="s">
        <v>609</v>
      </c>
      <c r="F2032">
        <v>1974</v>
      </c>
      <c r="G2032" s="1" t="s">
        <v>197</v>
      </c>
      <c r="H2032" s="1" t="s">
        <v>585</v>
      </c>
      <c r="I2032">
        <v>0</v>
      </c>
      <c r="J2032">
        <v>45142.479099999997</v>
      </c>
      <c r="K2032">
        <v>4.4999999999999999E-4</v>
      </c>
      <c r="L2032">
        <v>2.2599999999999999E-3</v>
      </c>
      <c r="M2032">
        <v>4.6100000000000002E-2</v>
      </c>
      <c r="N2032">
        <v>0.12770000000000001</v>
      </c>
      <c r="O2032">
        <v>2.5899999999999999E-3</v>
      </c>
      <c r="P2032" s="3">
        <f t="shared" si="124"/>
        <v>2215.2088807511368</v>
      </c>
      <c r="Q2032" s="3">
        <f t="shared" si="125"/>
        <v>4.5636489176104078E-4</v>
      </c>
      <c r="R2032" s="3">
        <f t="shared" si="126"/>
        <v>2.2599999999999999E-3</v>
      </c>
      <c r="S2032">
        <f t="shared" si="127"/>
        <v>50</v>
      </c>
      <c r="T2032">
        <f>INDEX([1]IDEN_level_ids!$B:$B,MATCH(G2032,[1]IDEN_level_ids!$A:$A,0),1)</f>
        <v>1182</v>
      </c>
      <c r="U2032">
        <f>INDEX([1]IDEN_level_ids!$B:$B,MATCH(H2032,[1]IDEN_level_ids!$A:$A,0),1)</f>
        <v>1019</v>
      </c>
    </row>
    <row r="2033" spans="1:21" hidden="1" x14ac:dyDescent="0.25">
      <c r="A2033">
        <v>45127.610999999997</v>
      </c>
      <c r="B2033">
        <v>2215.9382999999998</v>
      </c>
      <c r="C2033">
        <v>11</v>
      </c>
      <c r="D2033" t="s">
        <v>609</v>
      </c>
      <c r="E2033" t="s">
        <v>427</v>
      </c>
      <c r="F2033">
        <v>1974</v>
      </c>
      <c r="G2033" s="1" t="s">
        <v>18</v>
      </c>
      <c r="H2033" s="1" t="s">
        <v>398</v>
      </c>
      <c r="I2033">
        <v>0.31929999999999997</v>
      </c>
      <c r="J2033">
        <v>45127.675600000002</v>
      </c>
      <c r="K2033">
        <v>3.1700000000000001E-3</v>
      </c>
      <c r="L2033">
        <v>2.3900000000000002E-3</v>
      </c>
      <c r="M2033">
        <v>4.87E-2</v>
      </c>
      <c r="N2033">
        <v>0.16239999999999999</v>
      </c>
      <c r="O2033">
        <v>2.8600000000000001E-3</v>
      </c>
      <c r="P2033" s="3">
        <f t="shared" si="124"/>
        <v>2215.9382644917764</v>
      </c>
      <c r="Q2033" s="3">
        <f t="shared" si="125"/>
        <v>3.1721024843136547E-3</v>
      </c>
      <c r="R2033" s="3">
        <f t="shared" si="126"/>
        <v>2.3900000000000002E-3</v>
      </c>
      <c r="S2033">
        <f t="shared" si="127"/>
        <v>50</v>
      </c>
      <c r="T2033">
        <f>INDEX([1]IDEN_level_ids!$B:$B,MATCH(G2033,[1]IDEN_level_ids!$A:$A,0),1)</f>
        <v>1226</v>
      </c>
      <c r="U2033">
        <f>INDEX([1]IDEN_level_ids!$B:$B,MATCH(H2033,[1]IDEN_level_ids!$A:$A,0),1)</f>
        <v>1075</v>
      </c>
    </row>
    <row r="2034" spans="1:21" hidden="1" x14ac:dyDescent="0.25">
      <c r="A2034">
        <v>45122.91</v>
      </c>
      <c r="B2034">
        <v>2216.1691000000001</v>
      </c>
      <c r="C2034">
        <v>11</v>
      </c>
      <c r="D2034" t="s">
        <v>609</v>
      </c>
      <c r="F2034">
        <v>1974</v>
      </c>
      <c r="G2034" s="1" t="s">
        <v>76</v>
      </c>
      <c r="H2034" s="1" t="s">
        <v>452</v>
      </c>
      <c r="I2034">
        <v>0.25619999999999998</v>
      </c>
      <c r="J2034">
        <v>45123.034599999999</v>
      </c>
      <c r="K2034">
        <v>6.11E-3</v>
      </c>
      <c r="L2034">
        <v>2.2599999999999999E-3</v>
      </c>
      <c r="M2034">
        <v>4.6100000000000002E-2</v>
      </c>
      <c r="N2034">
        <v>0.1474</v>
      </c>
      <c r="O2034">
        <v>2.65E-3</v>
      </c>
      <c r="P2034" s="3">
        <f t="shared" si="124"/>
        <v>2216.1691256171198</v>
      </c>
      <c r="Q2034" s="3">
        <f t="shared" si="125"/>
        <v>6.11959447087429E-3</v>
      </c>
      <c r="R2034" s="3">
        <f t="shared" si="126"/>
        <v>2.2599999999999999E-3</v>
      </c>
      <c r="S2034">
        <f t="shared" si="127"/>
        <v>50</v>
      </c>
      <c r="T2034">
        <f>INDEX([1]IDEN_level_ids!$B:$B,MATCH(G2034,[1]IDEN_level_ids!$A:$A,0),1)</f>
        <v>1194</v>
      </c>
      <c r="U2034">
        <f>INDEX([1]IDEN_level_ids!$B:$B,MATCH(H2034,[1]IDEN_level_ids!$A:$A,0),1)</f>
        <v>1033</v>
      </c>
    </row>
    <row r="2035" spans="1:21" hidden="1" x14ac:dyDescent="0.25">
      <c r="A2035">
        <v>45117.599099999999</v>
      </c>
      <c r="B2035">
        <v>2216.4299999999998</v>
      </c>
      <c r="C2035">
        <v>11</v>
      </c>
      <c r="D2035" t="s">
        <v>609</v>
      </c>
      <c r="F2035">
        <v>1974</v>
      </c>
      <c r="G2035" s="1" t="s">
        <v>244</v>
      </c>
      <c r="H2035" s="1" t="s">
        <v>454</v>
      </c>
      <c r="I2035">
        <v>0</v>
      </c>
      <c r="J2035">
        <v>45117.641600000003</v>
      </c>
      <c r="K2035">
        <v>2.0899999999999998E-3</v>
      </c>
      <c r="L2035">
        <v>2.2599999999999999E-3</v>
      </c>
      <c r="M2035">
        <v>4.6100000000000002E-2</v>
      </c>
      <c r="N2035">
        <v>0.16350000000000001</v>
      </c>
      <c r="O2035">
        <v>2.7100000000000002E-3</v>
      </c>
      <c r="P2035" s="3">
        <f t="shared" si="124"/>
        <v>2216.4299961608554</v>
      </c>
      <c r="Q2035" s="3">
        <f t="shared" si="125"/>
        <v>2.0878368532066816E-3</v>
      </c>
      <c r="R2035" s="3">
        <f t="shared" si="126"/>
        <v>2.2599999999999999E-3</v>
      </c>
      <c r="S2035">
        <f t="shared" si="127"/>
        <v>50</v>
      </c>
      <c r="T2035">
        <f>INDEX([1]IDEN_level_ids!$B:$B,MATCH(G2035,[1]IDEN_level_ids!$A:$A,0),1)</f>
        <v>1195</v>
      </c>
      <c r="U2035">
        <f>INDEX([1]IDEN_level_ids!$B:$B,MATCH(H2035,[1]IDEN_level_ids!$A:$A,0),1)</f>
        <v>1036</v>
      </c>
    </row>
    <row r="2036" spans="1:21" hidden="1" x14ac:dyDescent="0.25">
      <c r="A2036">
        <v>45106.500399999997</v>
      </c>
      <c r="B2036">
        <v>2216.9753999999998</v>
      </c>
      <c r="C2036">
        <v>11</v>
      </c>
      <c r="D2036" t="s">
        <v>609</v>
      </c>
      <c r="F2036">
        <v>1974</v>
      </c>
      <c r="G2036" s="1" t="s">
        <v>611</v>
      </c>
      <c r="H2036" s="1" t="s">
        <v>485</v>
      </c>
      <c r="I2036">
        <v>0</v>
      </c>
      <c r="J2036">
        <v>45106.549400000004</v>
      </c>
      <c r="K2036">
        <v>2.4099999999999998E-3</v>
      </c>
      <c r="L2036">
        <v>2.2599999999999999E-3</v>
      </c>
      <c r="M2036">
        <v>4.6100000000000002E-2</v>
      </c>
      <c r="N2036">
        <v>0.50019999999999998</v>
      </c>
      <c r="O2036">
        <v>4.5300000000000002E-3</v>
      </c>
      <c r="P2036" s="3">
        <f t="shared" si="124"/>
        <v>2216.9753608284805</v>
      </c>
      <c r="Q2036" s="3">
        <f t="shared" si="125"/>
        <v>2.4083374614747299E-3</v>
      </c>
      <c r="R2036" s="3">
        <f t="shared" si="126"/>
        <v>2.2599999999999999E-3</v>
      </c>
      <c r="S2036">
        <f t="shared" si="127"/>
        <v>50</v>
      </c>
      <c r="T2036">
        <f>INDEX([1]IDEN_level_ids!$B:$B,MATCH(G2036,[1]IDEN_level_ids!$A:$A,0),1)</f>
        <v>1110</v>
      </c>
      <c r="U2036">
        <f>INDEX([1]IDEN_level_ids!$B:$B,MATCH(H2036,[1]IDEN_level_ids!$A:$A,0),1)</f>
        <v>940</v>
      </c>
    </row>
    <row r="2037" spans="1:21" hidden="1" x14ac:dyDescent="0.25">
      <c r="A2037">
        <v>45101.960800000001</v>
      </c>
      <c r="B2037">
        <v>2217.1985</v>
      </c>
      <c r="C2037">
        <v>11</v>
      </c>
      <c r="D2037" t="s">
        <v>609</v>
      </c>
      <c r="E2037" t="s">
        <v>427</v>
      </c>
      <c r="F2037">
        <v>1974</v>
      </c>
      <c r="G2037" s="1" t="s">
        <v>194</v>
      </c>
      <c r="H2037" s="1" t="s">
        <v>467</v>
      </c>
      <c r="I2037">
        <v>0</v>
      </c>
      <c r="J2037">
        <v>45101.941299999999</v>
      </c>
      <c r="K2037">
        <v>-9.6000000000000002E-4</v>
      </c>
      <c r="L2037">
        <v>2.3999999999999998E-3</v>
      </c>
      <c r="M2037">
        <v>4.87E-2</v>
      </c>
      <c r="N2037">
        <v>0.1115</v>
      </c>
      <c r="O2037">
        <v>2.7000000000000001E-3</v>
      </c>
      <c r="P2037" s="3">
        <f t="shared" si="124"/>
        <v>2217.1985037067388</v>
      </c>
      <c r="Q2037" s="3">
        <f t="shared" si="125"/>
        <v>-9.58614409682923E-4</v>
      </c>
      <c r="R2037" s="3">
        <f t="shared" si="126"/>
        <v>2.3999999999999998E-3</v>
      </c>
      <c r="S2037">
        <f t="shared" si="127"/>
        <v>50</v>
      </c>
      <c r="T2037">
        <f>INDEX([1]IDEN_level_ids!$B:$B,MATCH(G2037,[1]IDEN_level_ids!$A:$A,0),1)</f>
        <v>1187</v>
      </c>
      <c r="U2037">
        <f>INDEX([1]IDEN_level_ids!$B:$B,MATCH(H2037,[1]IDEN_level_ids!$A:$A,0),1)</f>
        <v>1025</v>
      </c>
    </row>
    <row r="2038" spans="1:21" hidden="1" x14ac:dyDescent="0.25">
      <c r="A2038">
        <v>45089.491099999999</v>
      </c>
      <c r="B2038">
        <v>2217.8117000000002</v>
      </c>
      <c r="C2038">
        <v>11</v>
      </c>
      <c r="D2038" t="s">
        <v>609</v>
      </c>
      <c r="E2038" t="s">
        <v>607</v>
      </c>
      <c r="F2038">
        <v>1974</v>
      </c>
      <c r="G2038" s="1" t="s">
        <v>68</v>
      </c>
      <c r="H2038" s="1" t="s">
        <v>450</v>
      </c>
      <c r="I2038">
        <v>0.2989</v>
      </c>
      <c r="J2038">
        <v>45089.525300000001</v>
      </c>
      <c r="K2038">
        <v>1.6800000000000001E-3</v>
      </c>
      <c r="L2038">
        <v>1.16E-3</v>
      </c>
      <c r="M2038">
        <v>2.3599999999999999E-2</v>
      </c>
      <c r="N2038">
        <v>0.48110000000000003</v>
      </c>
      <c r="O2038">
        <v>2.2399999999999998E-3</v>
      </c>
      <c r="P2038" s="3">
        <f t="shared" si="124"/>
        <v>2217.8116798483893</v>
      </c>
      <c r="Q2038" s="3">
        <f t="shared" si="125"/>
        <v>1.6821902413539647E-3</v>
      </c>
      <c r="R2038" s="3">
        <f t="shared" si="126"/>
        <v>1.16E-3</v>
      </c>
      <c r="S2038">
        <f t="shared" si="127"/>
        <v>50</v>
      </c>
      <c r="T2038">
        <f>INDEX([1]IDEN_level_ids!$B:$B,MATCH(G2038,[1]IDEN_level_ids!$A:$A,0),1)</f>
        <v>1229</v>
      </c>
      <c r="U2038">
        <f>INDEX([1]IDEN_level_ids!$B:$B,MATCH(H2038,[1]IDEN_level_ids!$A:$A,0),1)</f>
        <v>1077</v>
      </c>
    </row>
    <row r="2039" spans="1:21" hidden="1" x14ac:dyDescent="0.25">
      <c r="A2039">
        <v>45088.0504</v>
      </c>
      <c r="B2039">
        <v>2217.8825000000002</v>
      </c>
      <c r="C2039">
        <v>11</v>
      </c>
      <c r="D2039" t="s">
        <v>609</v>
      </c>
      <c r="F2039">
        <v>1974</v>
      </c>
      <c r="G2039" s="1" t="s">
        <v>267</v>
      </c>
      <c r="H2039" s="1" t="s">
        <v>374</v>
      </c>
      <c r="I2039">
        <v>0</v>
      </c>
      <c r="J2039">
        <v>45088.042099999999</v>
      </c>
      <c r="K2039">
        <v>-4.0000000000000002E-4</v>
      </c>
      <c r="L2039">
        <v>2.2699999999999999E-3</v>
      </c>
      <c r="M2039">
        <v>4.6100000000000002E-2</v>
      </c>
      <c r="N2039">
        <v>0.44640000000000002</v>
      </c>
      <c r="O2039">
        <v>4.0899999999999999E-3</v>
      </c>
      <c r="P2039" s="3">
        <f t="shared" si="124"/>
        <v>2217.8825456600357</v>
      </c>
      <c r="Q2039" s="3">
        <f t="shared" si="125"/>
        <v>-4.0827732345860568E-4</v>
      </c>
      <c r="R2039" s="3">
        <f t="shared" si="126"/>
        <v>2.2699999999999999E-3</v>
      </c>
      <c r="S2039">
        <f t="shared" si="127"/>
        <v>50</v>
      </c>
      <c r="T2039">
        <f>INDEX([1]IDEN_level_ids!$B:$B,MATCH(G2039,[1]IDEN_level_ids!$A:$A,0),1)</f>
        <v>1104</v>
      </c>
      <c r="U2039">
        <f>INDEX([1]IDEN_level_ids!$B:$B,MATCH(H2039,[1]IDEN_level_ids!$A:$A,0),1)</f>
        <v>936</v>
      </c>
    </row>
    <row r="2040" spans="1:21" hidden="1" x14ac:dyDescent="0.25">
      <c r="A2040">
        <v>45083.330999999998</v>
      </c>
      <c r="B2040">
        <v>2218.1147000000001</v>
      </c>
      <c r="C2040">
        <v>11</v>
      </c>
      <c r="D2040" t="s">
        <v>609</v>
      </c>
      <c r="F2040">
        <v>1974</v>
      </c>
      <c r="G2040" s="1" t="s">
        <v>194</v>
      </c>
      <c r="H2040" s="1" t="s">
        <v>470</v>
      </c>
      <c r="I2040">
        <v>0.2848</v>
      </c>
      <c r="J2040">
        <v>45083.354899999998</v>
      </c>
      <c r="K2040">
        <v>1.1800000000000001E-3</v>
      </c>
      <c r="L2040">
        <v>2.2699999999999999E-3</v>
      </c>
      <c r="M2040">
        <v>4.6100000000000002E-2</v>
      </c>
      <c r="N2040">
        <v>0.1273</v>
      </c>
      <c r="O2040">
        <v>2.5999999999999999E-3</v>
      </c>
      <c r="P2040" s="3">
        <f t="shared" si="124"/>
        <v>2218.114717388562</v>
      </c>
      <c r="Q2040" s="3">
        <f t="shared" si="125"/>
        <v>1.1758872392420017E-3</v>
      </c>
      <c r="R2040" s="3">
        <f t="shared" si="126"/>
        <v>2.2699999999999999E-3</v>
      </c>
      <c r="S2040">
        <f t="shared" si="127"/>
        <v>50</v>
      </c>
      <c r="T2040">
        <f>INDEX([1]IDEN_level_ids!$B:$B,MATCH(G2040,[1]IDEN_level_ids!$A:$A,0),1)</f>
        <v>1187</v>
      </c>
      <c r="U2040">
        <f>INDEX([1]IDEN_level_ids!$B:$B,MATCH(H2040,[1]IDEN_level_ids!$A:$A,0),1)</f>
        <v>1026</v>
      </c>
    </row>
    <row r="2041" spans="1:21" hidden="1" x14ac:dyDescent="0.25">
      <c r="A2041">
        <v>45061.020799999998</v>
      </c>
      <c r="B2041">
        <v>2219.2129</v>
      </c>
      <c r="C2041">
        <v>11</v>
      </c>
      <c r="D2041" t="s">
        <v>609</v>
      </c>
      <c r="F2041">
        <v>1974</v>
      </c>
      <c r="G2041" s="1" t="s">
        <v>243</v>
      </c>
      <c r="H2041" s="1" t="s">
        <v>595</v>
      </c>
      <c r="I2041">
        <v>0</v>
      </c>
      <c r="J2041">
        <v>45061.046499999997</v>
      </c>
      <c r="K2041">
        <v>1.2600000000000001E-3</v>
      </c>
      <c r="L2041">
        <v>2.2699999999999999E-3</v>
      </c>
      <c r="M2041">
        <v>4.6100000000000002E-2</v>
      </c>
      <c r="N2041">
        <v>0.18479999999999999</v>
      </c>
      <c r="O2041">
        <v>2.7799999999999999E-3</v>
      </c>
      <c r="P2041" s="3">
        <f t="shared" si="124"/>
        <v>2219.2129300364186</v>
      </c>
      <c r="Q2041" s="3">
        <f t="shared" si="125"/>
        <v>1.2657001275329094E-3</v>
      </c>
      <c r="R2041" s="3">
        <f t="shared" si="126"/>
        <v>2.2699999999999999E-3</v>
      </c>
      <c r="S2041">
        <f t="shared" si="127"/>
        <v>50</v>
      </c>
      <c r="T2041">
        <f>INDEX([1]IDEN_level_ids!$B:$B,MATCH(G2041,[1]IDEN_level_ids!$A:$A,0),1)</f>
        <v>1205</v>
      </c>
      <c r="U2041">
        <f>INDEX([1]IDEN_level_ids!$B:$B,MATCH(H2041,[1]IDEN_level_ids!$A:$A,0),1)</f>
        <v>1052</v>
      </c>
    </row>
    <row r="2042" spans="1:21" hidden="1" x14ac:dyDescent="0.25">
      <c r="A2042">
        <v>45050.06</v>
      </c>
      <c r="B2042">
        <v>2219.7529</v>
      </c>
      <c r="C2042">
        <v>11</v>
      </c>
      <c r="D2042" t="s">
        <v>609</v>
      </c>
      <c r="F2042">
        <v>1974</v>
      </c>
      <c r="G2042" s="1" t="s">
        <v>252</v>
      </c>
      <c r="H2042" s="1" t="s">
        <v>536</v>
      </c>
      <c r="I2042">
        <v>0</v>
      </c>
      <c r="J2042">
        <v>45050.124000000003</v>
      </c>
      <c r="K2042">
        <v>3.15E-3</v>
      </c>
      <c r="L2042">
        <v>2.2699999999999999E-3</v>
      </c>
      <c r="M2042">
        <v>4.6100000000000002E-2</v>
      </c>
      <c r="N2042">
        <v>0.12709999999999999</v>
      </c>
      <c r="O2042">
        <v>2.5999999999999999E-3</v>
      </c>
      <c r="P2042" s="3">
        <f t="shared" si="124"/>
        <v>2219.7528704734245</v>
      </c>
      <c r="Q2042" s="3">
        <f t="shared" si="125"/>
        <v>3.1534693162029725E-3</v>
      </c>
      <c r="R2042" s="3">
        <f t="shared" si="126"/>
        <v>2.2699999999999999E-3</v>
      </c>
      <c r="S2042">
        <f t="shared" si="127"/>
        <v>50</v>
      </c>
      <c r="T2042">
        <f>INDEX([1]IDEN_level_ids!$B:$B,MATCH(G2042,[1]IDEN_level_ids!$A:$A,0),1)</f>
        <v>1188</v>
      </c>
      <c r="U2042">
        <f>INDEX([1]IDEN_level_ids!$B:$B,MATCH(H2042,[1]IDEN_level_ids!$A:$A,0),1)</f>
        <v>1021</v>
      </c>
    </row>
    <row r="2043" spans="1:21" hidden="1" x14ac:dyDescent="0.25">
      <c r="A2043">
        <v>45009.499600000003</v>
      </c>
      <c r="B2043">
        <v>2221.7532000000001</v>
      </c>
      <c r="C2043">
        <v>11</v>
      </c>
      <c r="D2043" t="s">
        <v>609</v>
      </c>
      <c r="F2043">
        <v>1974</v>
      </c>
      <c r="G2043" s="1" t="s">
        <v>69</v>
      </c>
      <c r="H2043" s="1" t="s">
        <v>413</v>
      </c>
      <c r="I2043">
        <v>6.4600000000000005E-2</v>
      </c>
      <c r="J2043">
        <v>45009.5311</v>
      </c>
      <c r="K2043">
        <v>1.56E-3</v>
      </c>
      <c r="L2043">
        <v>2.2699999999999999E-3</v>
      </c>
      <c r="M2043">
        <v>4.6100000000000002E-2</v>
      </c>
      <c r="N2043">
        <v>0.20119999999999999</v>
      </c>
      <c r="O2043">
        <v>2.8500000000000001E-3</v>
      </c>
      <c r="P2043" s="3">
        <f t="shared" si="124"/>
        <v>2221.7532051833787</v>
      </c>
      <c r="Q2043" s="3">
        <f t="shared" si="125"/>
        <v>1.5548979126833729E-3</v>
      </c>
      <c r="R2043" s="3">
        <f t="shared" si="126"/>
        <v>2.2699999999999999E-3</v>
      </c>
      <c r="S2043">
        <f t="shared" si="127"/>
        <v>50</v>
      </c>
      <c r="T2043">
        <f>INDEX([1]IDEN_level_ids!$B:$B,MATCH(G2043,[1]IDEN_level_ids!$A:$A,0),1)</f>
        <v>1218</v>
      </c>
      <c r="U2043">
        <f>INDEX([1]IDEN_level_ids!$B:$B,MATCH(H2043,[1]IDEN_level_ids!$A:$A,0),1)</f>
        <v>1071</v>
      </c>
    </row>
    <row r="2044" spans="1:21" hidden="1" x14ac:dyDescent="0.25">
      <c r="A2044">
        <v>45001.86</v>
      </c>
      <c r="B2044">
        <v>2222.1304</v>
      </c>
      <c r="C2044">
        <v>11</v>
      </c>
      <c r="D2044" t="s">
        <v>609</v>
      </c>
      <c r="E2044" t="s">
        <v>427</v>
      </c>
      <c r="F2044">
        <v>1974</v>
      </c>
      <c r="G2044" s="1" t="s">
        <v>262</v>
      </c>
      <c r="H2044" s="1" t="s">
        <v>436</v>
      </c>
      <c r="I2044">
        <v>0.4269</v>
      </c>
      <c r="J2044">
        <v>45001.9</v>
      </c>
      <c r="K2044">
        <v>1.98E-3</v>
      </c>
      <c r="L2044">
        <v>2.4099999999999998E-3</v>
      </c>
      <c r="M2044">
        <v>4.87E-2</v>
      </c>
      <c r="N2044">
        <v>0.28129999999999999</v>
      </c>
      <c r="O2044">
        <v>3.3500000000000001E-3</v>
      </c>
      <c r="P2044" s="3">
        <f t="shared" si="124"/>
        <v>2222.1303741667566</v>
      </c>
      <c r="Q2044" s="3">
        <f t="shared" si="125"/>
        <v>1.9751436043407011E-3</v>
      </c>
      <c r="R2044" s="3">
        <f t="shared" si="126"/>
        <v>2.4099999999999998E-3</v>
      </c>
      <c r="S2044">
        <f t="shared" si="127"/>
        <v>50</v>
      </c>
      <c r="T2044">
        <f>INDEX([1]IDEN_level_ids!$B:$B,MATCH(G2044,[1]IDEN_level_ids!$A:$A,0),1)</f>
        <v>1115</v>
      </c>
      <c r="U2044">
        <f>INDEX([1]IDEN_level_ids!$B:$B,MATCH(H2044,[1]IDEN_level_ids!$A:$A,0),1)</f>
        <v>947</v>
      </c>
    </row>
    <row r="2045" spans="1:21" hidden="1" x14ac:dyDescent="0.25">
      <c r="A2045">
        <v>44984.669900000001</v>
      </c>
      <c r="B2045">
        <v>2222.9794999999999</v>
      </c>
      <c r="C2045">
        <v>11</v>
      </c>
      <c r="D2045" t="s">
        <v>609</v>
      </c>
      <c r="F2045">
        <v>1974</v>
      </c>
      <c r="G2045" s="1" t="s">
        <v>94</v>
      </c>
      <c r="H2045" s="1" t="s">
        <v>377</v>
      </c>
      <c r="I2045">
        <v>0.33889999999999998</v>
      </c>
      <c r="J2045">
        <v>44984.703500000003</v>
      </c>
      <c r="K2045">
        <v>1.66E-3</v>
      </c>
      <c r="L2045">
        <v>2.2799999999999999E-3</v>
      </c>
      <c r="M2045">
        <v>4.6100000000000002E-2</v>
      </c>
      <c r="N2045">
        <v>0.14149999999999999</v>
      </c>
      <c r="O2045">
        <v>2.65E-3</v>
      </c>
      <c r="P2045" s="3">
        <f t="shared" si="124"/>
        <v>2222.9795221860682</v>
      </c>
      <c r="Q2045" s="3">
        <f t="shared" si="125"/>
        <v>1.6603891131126147E-3</v>
      </c>
      <c r="R2045" s="3">
        <f t="shared" si="126"/>
        <v>2.2799999999999999E-3</v>
      </c>
      <c r="S2045">
        <f t="shared" si="127"/>
        <v>50</v>
      </c>
      <c r="T2045">
        <f>INDEX([1]IDEN_level_ids!$B:$B,MATCH(G2045,[1]IDEN_level_ids!$A:$A,0),1)</f>
        <v>1207</v>
      </c>
      <c r="U2045">
        <f>INDEX([1]IDEN_level_ids!$B:$B,MATCH(H2045,[1]IDEN_level_ids!$A:$A,0),1)</f>
        <v>1057</v>
      </c>
    </row>
    <row r="2046" spans="1:21" hidden="1" x14ac:dyDescent="0.25">
      <c r="A2046">
        <v>44980.2595</v>
      </c>
      <c r="B2046">
        <v>2223.1975000000002</v>
      </c>
      <c r="C2046">
        <v>11</v>
      </c>
      <c r="D2046" t="s">
        <v>609</v>
      </c>
      <c r="E2046" t="s">
        <v>427</v>
      </c>
      <c r="F2046">
        <v>1974</v>
      </c>
      <c r="G2046" s="1" t="s">
        <v>209</v>
      </c>
      <c r="H2046" s="1" t="s">
        <v>416</v>
      </c>
      <c r="I2046">
        <v>0.26750000000000002</v>
      </c>
      <c r="J2046">
        <v>44980.2883</v>
      </c>
      <c r="K2046">
        <v>1.4300000000000001E-3</v>
      </c>
      <c r="L2046">
        <v>2.4099999999999998E-3</v>
      </c>
      <c r="M2046">
        <v>4.87E-2</v>
      </c>
      <c r="N2046">
        <v>0.15479999999999999</v>
      </c>
      <c r="O2046">
        <v>2.8500000000000001E-3</v>
      </c>
      <c r="P2046" s="3">
        <f t="shared" si="124"/>
        <v>2223.1974895565022</v>
      </c>
      <c r="Q2046" s="3">
        <f t="shared" si="125"/>
        <v>1.4234699269763951E-3</v>
      </c>
      <c r="R2046" s="3">
        <f t="shared" si="126"/>
        <v>2.4099999999999998E-3</v>
      </c>
      <c r="S2046">
        <f t="shared" si="127"/>
        <v>50</v>
      </c>
      <c r="T2046">
        <f>INDEX([1]IDEN_level_ids!$B:$B,MATCH(G2046,[1]IDEN_level_ids!$A:$A,0),1)</f>
        <v>1209</v>
      </c>
      <c r="U2046">
        <f>INDEX([1]IDEN_level_ids!$B:$B,MATCH(H2046,[1]IDEN_level_ids!$A:$A,0),1)</f>
        <v>1055</v>
      </c>
    </row>
    <row r="2047" spans="1:21" hidden="1" x14ac:dyDescent="0.25">
      <c r="A2047">
        <v>44968.179900000003</v>
      </c>
      <c r="B2047">
        <v>2223.7946999999999</v>
      </c>
      <c r="C2047">
        <v>11</v>
      </c>
      <c r="D2047" t="s">
        <v>609</v>
      </c>
      <c r="F2047">
        <v>1974</v>
      </c>
      <c r="G2047" s="1" t="s">
        <v>81</v>
      </c>
      <c r="H2047" s="1" t="s">
        <v>437</v>
      </c>
      <c r="I2047">
        <v>0.26329999999999998</v>
      </c>
      <c r="J2047">
        <v>44968.233699999997</v>
      </c>
      <c r="K2047">
        <v>2.66E-3</v>
      </c>
      <c r="L2047">
        <v>2.2799999999999999E-3</v>
      </c>
      <c r="M2047">
        <v>4.6100000000000002E-2</v>
      </c>
      <c r="N2047">
        <v>0.13320000000000001</v>
      </c>
      <c r="O2047">
        <v>2.63E-3</v>
      </c>
      <c r="P2047" s="3">
        <f t="shared" si="124"/>
        <v>2223.7946971031397</v>
      </c>
      <c r="Q2047" s="3">
        <f t="shared" si="125"/>
        <v>2.6605482325976482E-3</v>
      </c>
      <c r="R2047" s="3">
        <f t="shared" si="126"/>
        <v>2.2799999999999999E-3</v>
      </c>
      <c r="S2047">
        <f t="shared" si="127"/>
        <v>50</v>
      </c>
      <c r="T2047">
        <f>INDEX([1]IDEN_level_ids!$B:$B,MATCH(G2047,[1]IDEN_level_ids!$A:$A,0),1)</f>
        <v>1196</v>
      </c>
      <c r="U2047">
        <f>INDEX([1]IDEN_level_ids!$B:$B,MATCH(H2047,[1]IDEN_level_ids!$A:$A,0),1)</f>
        <v>1039</v>
      </c>
    </row>
    <row r="2048" spans="1:21" hidden="1" x14ac:dyDescent="0.25">
      <c r="A2048">
        <v>44965.53</v>
      </c>
      <c r="B2048">
        <v>2223.9258</v>
      </c>
      <c r="C2048">
        <v>11</v>
      </c>
      <c r="D2048" t="s">
        <v>609</v>
      </c>
      <c r="E2048" t="s">
        <v>427</v>
      </c>
      <c r="F2048">
        <v>1974</v>
      </c>
      <c r="G2048" s="1" t="s">
        <v>20</v>
      </c>
      <c r="H2048" s="1" t="s">
        <v>384</v>
      </c>
      <c r="I2048">
        <v>0.45490000000000003</v>
      </c>
      <c r="J2048">
        <v>44965.584699999999</v>
      </c>
      <c r="K2048">
        <v>2.7000000000000001E-3</v>
      </c>
      <c r="L2048">
        <v>2.4099999999999998E-3</v>
      </c>
      <c r="M2048">
        <v>4.87E-2</v>
      </c>
      <c r="N2048">
        <v>0.23769999999999999</v>
      </c>
      <c r="O2048">
        <v>3.16E-3</v>
      </c>
      <c r="P2048" s="3">
        <f t="shared" si="124"/>
        <v>2223.9257493462214</v>
      </c>
      <c r="Q2048" s="3">
        <f t="shared" si="125"/>
        <v>2.7053743278884212E-3</v>
      </c>
      <c r="R2048" s="3">
        <f t="shared" si="126"/>
        <v>2.4099999999999998E-3</v>
      </c>
      <c r="S2048">
        <f t="shared" si="127"/>
        <v>50</v>
      </c>
      <c r="T2048">
        <f>INDEX([1]IDEN_level_ids!$B:$B,MATCH(G2048,[1]IDEN_level_ids!$A:$A,0),1)</f>
        <v>1235</v>
      </c>
      <c r="U2048">
        <f>INDEX([1]IDEN_level_ids!$B:$B,MATCH(H2048,[1]IDEN_level_ids!$A:$A,0),1)</f>
        <v>1080</v>
      </c>
    </row>
    <row r="2049" spans="1:21" hidden="1" x14ac:dyDescent="0.25">
      <c r="A2049">
        <v>44960.090100000001</v>
      </c>
      <c r="B2049">
        <v>2224.1948000000002</v>
      </c>
      <c r="C2049">
        <v>11</v>
      </c>
      <c r="D2049" t="s">
        <v>609</v>
      </c>
      <c r="E2049" t="s">
        <v>427</v>
      </c>
      <c r="F2049">
        <v>1974</v>
      </c>
      <c r="G2049" s="1" t="s">
        <v>71</v>
      </c>
      <c r="H2049" s="1" t="s">
        <v>570</v>
      </c>
      <c r="I2049">
        <v>0</v>
      </c>
      <c r="J2049">
        <v>44960.100299999998</v>
      </c>
      <c r="K2049">
        <v>5.1000000000000004E-4</v>
      </c>
      <c r="L2049">
        <v>2.4099999999999998E-3</v>
      </c>
      <c r="M2049">
        <v>4.87E-2</v>
      </c>
      <c r="N2049">
        <v>0.1575</v>
      </c>
      <c r="O2049">
        <v>2.8600000000000001E-3</v>
      </c>
      <c r="P2049" s="3">
        <f t="shared" si="124"/>
        <v>2224.194830961871</v>
      </c>
      <c r="Q2049" s="3">
        <f t="shared" si="125"/>
        <v>5.045982352385181E-4</v>
      </c>
      <c r="R2049" s="3">
        <f t="shared" si="126"/>
        <v>2.4099999999999998E-3</v>
      </c>
      <c r="S2049">
        <f t="shared" si="127"/>
        <v>50</v>
      </c>
      <c r="T2049">
        <f>INDEX([1]IDEN_level_ids!$B:$B,MATCH(G2049,[1]IDEN_level_ids!$A:$A,0),1)</f>
        <v>1179</v>
      </c>
      <c r="U2049">
        <f>INDEX([1]IDEN_level_ids!$B:$B,MATCH(H2049,[1]IDEN_level_ids!$A:$A,0),1)</f>
        <v>1015</v>
      </c>
    </row>
    <row r="2050" spans="1:21" hidden="1" x14ac:dyDescent="0.25">
      <c r="A2050">
        <v>44957.059600000001</v>
      </c>
      <c r="B2050">
        <v>2224.3447999999999</v>
      </c>
      <c r="C2050">
        <v>11</v>
      </c>
      <c r="D2050" t="s">
        <v>609</v>
      </c>
      <c r="F2050">
        <v>1974</v>
      </c>
      <c r="G2050" s="1" t="s">
        <v>197</v>
      </c>
      <c r="H2050" s="1" t="s">
        <v>536</v>
      </c>
      <c r="I2050">
        <v>0</v>
      </c>
      <c r="J2050">
        <v>44957.071799999998</v>
      </c>
      <c r="K2050">
        <v>5.9999999999999995E-4</v>
      </c>
      <c r="L2050">
        <v>2.2799999999999999E-3</v>
      </c>
      <c r="M2050">
        <v>4.6100000000000002E-2</v>
      </c>
      <c r="N2050">
        <v>0.12970000000000001</v>
      </c>
      <c r="O2050">
        <v>2.6199999999999999E-3</v>
      </c>
      <c r="P2050" s="3">
        <f t="shared" ref="P2050:P2113" si="128">100000000/$A2050</f>
        <v>2224.3447611951915</v>
      </c>
      <c r="Q2050" s="3">
        <f t="shared" ref="Q2050:Q2113" si="129">100000000/($A2050)-100000000/$J2050</f>
        <v>6.0362040903783054E-4</v>
      </c>
      <c r="R2050" s="3">
        <f t="shared" si="126"/>
        <v>2.2799999999999999E-3</v>
      </c>
      <c r="S2050">
        <f t="shared" si="127"/>
        <v>50</v>
      </c>
      <c r="T2050">
        <f>INDEX([1]IDEN_level_ids!$B:$B,MATCH(G2050,[1]IDEN_level_ids!$A:$A,0),1)</f>
        <v>1182</v>
      </c>
      <c r="U2050">
        <f>INDEX([1]IDEN_level_ids!$B:$B,MATCH(H2050,[1]IDEN_level_ids!$A:$A,0),1)</f>
        <v>1021</v>
      </c>
    </row>
    <row r="2051" spans="1:21" hidden="1" x14ac:dyDescent="0.25">
      <c r="A2051">
        <v>44932.309500000003</v>
      </c>
      <c r="B2051">
        <v>2225.5700000000002</v>
      </c>
      <c r="C2051">
        <v>12</v>
      </c>
      <c r="D2051" t="s">
        <v>612</v>
      </c>
      <c r="E2051" t="s">
        <v>427</v>
      </c>
      <c r="F2051">
        <v>1974</v>
      </c>
      <c r="G2051" s="1" t="s">
        <v>194</v>
      </c>
      <c r="H2051" s="1" t="s">
        <v>540</v>
      </c>
      <c r="I2051">
        <v>0.34399999999999997</v>
      </c>
      <c r="J2051">
        <v>44932.3122</v>
      </c>
      <c r="K2051">
        <v>1.2999999999999999E-4</v>
      </c>
      <c r="L2051">
        <v>2.4099999999999998E-3</v>
      </c>
      <c r="M2051">
        <v>4.87E-2</v>
      </c>
      <c r="N2051">
        <v>0.13070000000000001</v>
      </c>
      <c r="O2051">
        <v>2.7799999999999999E-3</v>
      </c>
      <c r="P2051" s="3">
        <f t="shared" si="128"/>
        <v>2225.5699988000838</v>
      </c>
      <c r="Q2051" s="3">
        <f t="shared" si="129"/>
        <v>1.3373536103244987E-4</v>
      </c>
      <c r="R2051" s="3">
        <f t="shared" ref="R2051:R2114" si="130">$L2051</f>
        <v>2.4099999999999998E-3</v>
      </c>
      <c r="S2051">
        <f t="shared" si="127"/>
        <v>51</v>
      </c>
      <c r="T2051">
        <f>INDEX([1]IDEN_level_ids!$B:$B,MATCH(G2051,[1]IDEN_level_ids!$A:$A,0),1)</f>
        <v>1187</v>
      </c>
      <c r="U2051">
        <f>INDEX([1]IDEN_level_ids!$B:$B,MATCH(H2051,[1]IDEN_level_ids!$A:$A,0),1)</f>
        <v>1027</v>
      </c>
    </row>
    <row r="2052" spans="1:21" hidden="1" x14ac:dyDescent="0.25">
      <c r="A2052">
        <v>44926.750999999997</v>
      </c>
      <c r="B2052">
        <v>2225.8454000000002</v>
      </c>
      <c r="C2052">
        <v>12</v>
      </c>
      <c r="D2052" t="s">
        <v>612</v>
      </c>
      <c r="F2052">
        <v>1974</v>
      </c>
      <c r="G2052" s="1" t="s">
        <v>49</v>
      </c>
      <c r="H2052" s="1" t="s">
        <v>431</v>
      </c>
      <c r="I2052">
        <v>0.28649999999999998</v>
      </c>
      <c r="J2052">
        <v>44926.732100000001</v>
      </c>
      <c r="K2052">
        <v>-9.3000000000000005E-4</v>
      </c>
      <c r="L2052">
        <v>2.2799999999999999E-3</v>
      </c>
      <c r="M2052">
        <v>4.6100000000000002E-2</v>
      </c>
      <c r="N2052">
        <v>0.1706</v>
      </c>
      <c r="O2052">
        <v>2.7499999999999998E-3</v>
      </c>
      <c r="P2052" s="3">
        <f t="shared" si="128"/>
        <v>2225.8453543635951</v>
      </c>
      <c r="Q2052" s="3">
        <f t="shared" si="129"/>
        <v>-9.3637963936998858E-4</v>
      </c>
      <c r="R2052" s="3">
        <f t="shared" si="130"/>
        <v>2.2799999999999999E-3</v>
      </c>
      <c r="S2052">
        <f t="shared" ref="S2052:S2115" si="131">IF(D2052=D2051,S2051,S2051+1)</f>
        <v>51</v>
      </c>
      <c r="T2052">
        <f>INDEX([1]IDEN_level_ids!$B:$B,MATCH(G2052,[1]IDEN_level_ids!$A:$A,0),1)</f>
        <v>1214</v>
      </c>
      <c r="U2052">
        <f>INDEX([1]IDEN_level_ids!$B:$B,MATCH(H2052,[1]IDEN_level_ids!$A:$A,0),1)</f>
        <v>1062</v>
      </c>
    </row>
    <row r="2053" spans="1:21" hidden="1" x14ac:dyDescent="0.25">
      <c r="A2053">
        <v>44917.710500000001</v>
      </c>
      <c r="B2053">
        <v>2226.2932999999998</v>
      </c>
      <c r="C2053">
        <v>12</v>
      </c>
      <c r="D2053" t="s">
        <v>612</v>
      </c>
      <c r="F2053">
        <v>1974</v>
      </c>
      <c r="G2053" s="1" t="s">
        <v>134</v>
      </c>
      <c r="H2053" s="1" t="s">
        <v>436</v>
      </c>
      <c r="I2053">
        <v>0.4269</v>
      </c>
      <c r="J2053">
        <v>44917.710099999997</v>
      </c>
      <c r="K2053">
        <v>-2.0000000000000002E-5</v>
      </c>
      <c r="L2053">
        <v>2.2799999999999999E-3</v>
      </c>
      <c r="M2053">
        <v>4.6100000000000002E-2</v>
      </c>
      <c r="N2053">
        <v>0.32979999999999998</v>
      </c>
      <c r="O2053">
        <v>3.4099999999999998E-3</v>
      </c>
      <c r="P2053" s="3">
        <f t="shared" si="128"/>
        <v>2226.2933459175306</v>
      </c>
      <c r="Q2053" s="3">
        <f t="shared" si="129"/>
        <v>-1.9825528852379648E-5</v>
      </c>
      <c r="R2053" s="3">
        <f t="shared" si="130"/>
        <v>2.2799999999999999E-3</v>
      </c>
      <c r="S2053">
        <f t="shared" si="131"/>
        <v>51</v>
      </c>
      <c r="T2053">
        <f>INDEX([1]IDEN_level_ids!$B:$B,MATCH(G2053,[1]IDEN_level_ids!$A:$A,0),1)</f>
        <v>1114</v>
      </c>
      <c r="U2053">
        <f>INDEX([1]IDEN_level_ids!$B:$B,MATCH(H2053,[1]IDEN_level_ids!$A:$A,0),1)</f>
        <v>947</v>
      </c>
    </row>
    <row r="2054" spans="1:21" hidden="1" x14ac:dyDescent="0.25">
      <c r="A2054">
        <v>44916.7808</v>
      </c>
      <c r="B2054">
        <v>2226.3393999999998</v>
      </c>
      <c r="C2054">
        <v>12</v>
      </c>
      <c r="D2054" t="s">
        <v>612</v>
      </c>
      <c r="E2054" t="s">
        <v>427</v>
      </c>
      <c r="F2054">
        <v>1974</v>
      </c>
      <c r="G2054" s="1" t="s">
        <v>243</v>
      </c>
      <c r="H2054" s="1" t="s">
        <v>591</v>
      </c>
      <c r="I2054">
        <v>0</v>
      </c>
      <c r="J2054">
        <v>44916.747799999997</v>
      </c>
      <c r="K2054">
        <v>-1.64E-3</v>
      </c>
      <c r="L2054">
        <v>2.4199999999999998E-3</v>
      </c>
      <c r="M2054">
        <v>4.87E-2</v>
      </c>
      <c r="N2054">
        <v>0.22750000000000001</v>
      </c>
      <c r="O2054">
        <v>3.13E-3</v>
      </c>
      <c r="P2054" s="3">
        <f t="shared" si="128"/>
        <v>2226.3394263553278</v>
      </c>
      <c r="Q2054" s="3">
        <f t="shared" si="129"/>
        <v>-1.6356749915757973E-3</v>
      </c>
      <c r="R2054" s="3">
        <f t="shared" si="130"/>
        <v>2.4199999999999998E-3</v>
      </c>
      <c r="S2054">
        <f t="shared" si="131"/>
        <v>51</v>
      </c>
      <c r="T2054">
        <f>INDEX([1]IDEN_level_ids!$B:$B,MATCH(G2054,[1]IDEN_level_ids!$A:$A,0),1)</f>
        <v>1205</v>
      </c>
      <c r="U2054">
        <f>INDEX([1]IDEN_level_ids!$B:$B,MATCH(H2054,[1]IDEN_level_ids!$A:$A,0),1)</f>
        <v>1053</v>
      </c>
    </row>
    <row r="2055" spans="1:21" hidden="1" x14ac:dyDescent="0.25">
      <c r="A2055">
        <v>44914.869400000003</v>
      </c>
      <c r="B2055">
        <v>2226.4342000000001</v>
      </c>
      <c r="C2055">
        <v>12</v>
      </c>
      <c r="D2055" t="s">
        <v>612</v>
      </c>
      <c r="F2055">
        <v>1974</v>
      </c>
      <c r="G2055" s="1" t="s">
        <v>251</v>
      </c>
      <c r="H2055" s="1" t="s">
        <v>441</v>
      </c>
      <c r="I2055">
        <v>9.8500000000000004E-2</v>
      </c>
      <c r="J2055">
        <v>44914.853999999999</v>
      </c>
      <c r="K2055">
        <v>-7.6000000000000004E-4</v>
      </c>
      <c r="L2055">
        <v>2.2799999999999999E-3</v>
      </c>
      <c r="M2055">
        <v>4.6100000000000002E-2</v>
      </c>
      <c r="N2055">
        <v>0.25600000000000001</v>
      </c>
      <c r="O2055">
        <v>3.0699999999999998E-3</v>
      </c>
      <c r="P2055" s="3">
        <f t="shared" si="128"/>
        <v>2226.434170595629</v>
      </c>
      <c r="Q2055" s="3">
        <f t="shared" si="129"/>
        <v>-7.6337966584105743E-4</v>
      </c>
      <c r="R2055" s="3">
        <f t="shared" si="130"/>
        <v>2.2799999999999999E-3</v>
      </c>
      <c r="S2055">
        <f t="shared" si="131"/>
        <v>51</v>
      </c>
      <c r="T2055">
        <f>INDEX([1]IDEN_level_ids!$B:$B,MATCH(G2055,[1]IDEN_level_ids!$A:$A,0),1)</f>
        <v>1192</v>
      </c>
      <c r="U2055">
        <f>INDEX([1]IDEN_level_ids!$B:$B,MATCH(H2055,[1]IDEN_level_ids!$A:$A,0),1)</f>
        <v>1034</v>
      </c>
    </row>
    <row r="2056" spans="1:21" hidden="1" x14ac:dyDescent="0.25">
      <c r="A2056">
        <v>44909.660400000001</v>
      </c>
      <c r="B2056">
        <v>2226.6923999999999</v>
      </c>
      <c r="C2056">
        <v>12</v>
      </c>
      <c r="D2056" t="s">
        <v>612</v>
      </c>
      <c r="E2056" t="s">
        <v>427</v>
      </c>
      <c r="F2056">
        <v>1974</v>
      </c>
      <c r="G2056" s="1" t="s">
        <v>62</v>
      </c>
      <c r="H2056" s="1" t="s">
        <v>469</v>
      </c>
      <c r="I2056">
        <v>0.36720000000000003</v>
      </c>
      <c r="J2056">
        <v>44909.637600000002</v>
      </c>
      <c r="K2056">
        <v>-1.1299999999999999E-3</v>
      </c>
      <c r="L2056">
        <v>2.4199999999999998E-3</v>
      </c>
      <c r="M2056">
        <v>4.87E-2</v>
      </c>
      <c r="N2056">
        <v>0.1983</v>
      </c>
      <c r="O2056">
        <v>3.0100000000000001E-3</v>
      </c>
      <c r="P2056" s="3">
        <f t="shared" si="128"/>
        <v>2226.6924111499184</v>
      </c>
      <c r="Q2056" s="3">
        <f t="shared" si="129"/>
        <v>-1.1304608469799859E-3</v>
      </c>
      <c r="R2056" s="3">
        <f t="shared" si="130"/>
        <v>2.4199999999999998E-3</v>
      </c>
      <c r="S2056">
        <f t="shared" si="131"/>
        <v>51</v>
      </c>
      <c r="T2056">
        <f>INDEX([1]IDEN_level_ids!$B:$B,MATCH(G2056,[1]IDEN_level_ids!$A:$A,0),1)</f>
        <v>1203</v>
      </c>
      <c r="U2056">
        <f>INDEX([1]IDEN_level_ids!$B:$B,MATCH(H2056,[1]IDEN_level_ids!$A:$A,0),1)</f>
        <v>1048</v>
      </c>
    </row>
    <row r="2057" spans="1:21" hidden="1" x14ac:dyDescent="0.25">
      <c r="A2057">
        <v>44908.730799999998</v>
      </c>
      <c r="B2057">
        <v>2226.7384999999999</v>
      </c>
      <c r="C2057">
        <v>12</v>
      </c>
      <c r="D2057" t="s">
        <v>612</v>
      </c>
      <c r="F2057">
        <v>1974</v>
      </c>
      <c r="G2057" s="1" t="s">
        <v>72</v>
      </c>
      <c r="H2057" s="1" t="s">
        <v>518</v>
      </c>
      <c r="I2057">
        <v>0</v>
      </c>
      <c r="J2057">
        <v>44908.652999999998</v>
      </c>
      <c r="K2057">
        <v>-3.8600000000000001E-3</v>
      </c>
      <c r="L2057">
        <v>2.2799999999999999E-3</v>
      </c>
      <c r="M2057">
        <v>4.6100000000000002E-2</v>
      </c>
      <c r="N2057">
        <v>0.23799999999999999</v>
      </c>
      <c r="O2057">
        <v>3.0000000000000001E-3</v>
      </c>
      <c r="P2057" s="3">
        <f t="shared" si="128"/>
        <v>2226.7385031509284</v>
      </c>
      <c r="Q2057" s="3">
        <f t="shared" si="129"/>
        <v>-3.8576141564590216E-3</v>
      </c>
      <c r="R2057" s="3">
        <f t="shared" si="130"/>
        <v>2.2799999999999999E-3</v>
      </c>
      <c r="S2057">
        <f t="shared" si="131"/>
        <v>51</v>
      </c>
      <c r="T2057">
        <f>INDEX([1]IDEN_level_ids!$B:$B,MATCH(G2057,[1]IDEN_level_ids!$A:$A,0),1)</f>
        <v>1225</v>
      </c>
      <c r="U2057">
        <f>INDEX([1]IDEN_level_ids!$B:$B,MATCH(H2057,[1]IDEN_level_ids!$A:$A,0),1)</f>
        <v>1074</v>
      </c>
    </row>
    <row r="2058" spans="1:21" hidden="1" x14ac:dyDescent="0.25">
      <c r="A2058">
        <v>44905.809800000003</v>
      </c>
      <c r="B2058">
        <v>2226.8833</v>
      </c>
      <c r="C2058">
        <v>12</v>
      </c>
      <c r="D2058" t="s">
        <v>612</v>
      </c>
      <c r="F2058">
        <v>1974</v>
      </c>
      <c r="G2058" s="1" t="s">
        <v>262</v>
      </c>
      <c r="H2058" s="1" t="s">
        <v>440</v>
      </c>
      <c r="I2058">
        <v>0.3538</v>
      </c>
      <c r="J2058">
        <v>44905.777300000002</v>
      </c>
      <c r="K2058">
        <v>-1.6100000000000001E-3</v>
      </c>
      <c r="L2058">
        <v>2.2799999999999999E-3</v>
      </c>
      <c r="M2058">
        <v>4.6100000000000002E-2</v>
      </c>
      <c r="N2058">
        <v>0.27679999999999999</v>
      </c>
      <c r="O2058">
        <v>3.16E-3</v>
      </c>
      <c r="P2058" s="3">
        <f t="shared" si="128"/>
        <v>2226.8833463949691</v>
      </c>
      <c r="Q2058" s="3">
        <f t="shared" si="129"/>
        <v>-1.6116792339744279E-3</v>
      </c>
      <c r="R2058" s="3">
        <f t="shared" si="130"/>
        <v>2.2799999999999999E-3</v>
      </c>
      <c r="S2058">
        <f t="shared" si="131"/>
        <v>51</v>
      </c>
      <c r="T2058">
        <f>INDEX([1]IDEN_level_ids!$B:$B,MATCH(G2058,[1]IDEN_level_ids!$A:$A,0),1)</f>
        <v>1115</v>
      </c>
      <c r="U2058">
        <f>INDEX([1]IDEN_level_ids!$B:$B,MATCH(H2058,[1]IDEN_level_ids!$A:$A,0),1)</f>
        <v>948</v>
      </c>
    </row>
    <row r="2059" spans="1:21" hidden="1" x14ac:dyDescent="0.25">
      <c r="A2059">
        <v>44898.269399999997</v>
      </c>
      <c r="B2059">
        <v>2227.2573000000002</v>
      </c>
      <c r="C2059">
        <v>12</v>
      </c>
      <c r="D2059" t="s">
        <v>612</v>
      </c>
      <c r="F2059">
        <v>1974</v>
      </c>
      <c r="G2059" s="1" t="s">
        <v>83</v>
      </c>
      <c r="H2059" s="1" t="s">
        <v>472</v>
      </c>
      <c r="I2059">
        <v>0</v>
      </c>
      <c r="J2059">
        <v>44898.245999999999</v>
      </c>
      <c r="K2059">
        <v>-1.16E-3</v>
      </c>
      <c r="L2059">
        <v>2.2899999999999999E-3</v>
      </c>
      <c r="M2059">
        <v>4.6100000000000002E-2</v>
      </c>
      <c r="N2059">
        <v>0.1487</v>
      </c>
      <c r="O2059">
        <v>2.6800000000000001E-3</v>
      </c>
      <c r="P2059" s="3">
        <f t="shared" si="128"/>
        <v>2227.2573383418649</v>
      </c>
      <c r="Q2059" s="3">
        <f t="shared" si="129"/>
        <v>-1.1607986139097193E-3</v>
      </c>
      <c r="R2059" s="3">
        <f t="shared" si="130"/>
        <v>2.2899999999999999E-3</v>
      </c>
      <c r="S2059">
        <f t="shared" si="131"/>
        <v>51</v>
      </c>
      <c r="T2059">
        <f>INDEX([1]IDEN_level_ids!$B:$B,MATCH(G2059,[1]IDEN_level_ids!$A:$A,0),1)</f>
        <v>1175</v>
      </c>
      <c r="U2059">
        <f>INDEX([1]IDEN_level_ids!$B:$B,MATCH(H2059,[1]IDEN_level_ids!$A:$A,0),1)</f>
        <v>1012</v>
      </c>
    </row>
    <row r="2060" spans="1:21" hidden="1" x14ac:dyDescent="0.25">
      <c r="A2060">
        <v>44894.230900000002</v>
      </c>
      <c r="B2060">
        <v>2227.4576999999999</v>
      </c>
      <c r="C2060">
        <v>12</v>
      </c>
      <c r="D2060" t="s">
        <v>612</v>
      </c>
      <c r="F2060">
        <v>1974</v>
      </c>
      <c r="G2060" s="1" t="s">
        <v>55</v>
      </c>
      <c r="H2060" s="1" t="s">
        <v>384</v>
      </c>
      <c r="I2060">
        <v>0.45490000000000003</v>
      </c>
      <c r="J2060">
        <v>44894.2431</v>
      </c>
      <c r="K2060">
        <v>5.9999999999999995E-4</v>
      </c>
      <c r="L2060">
        <v>2.2899999999999999E-3</v>
      </c>
      <c r="M2060">
        <v>4.6100000000000002E-2</v>
      </c>
      <c r="N2060">
        <v>0.1774</v>
      </c>
      <c r="O2060">
        <v>2.7799999999999999E-3</v>
      </c>
      <c r="P2060" s="3">
        <f t="shared" si="128"/>
        <v>2227.4576932333634</v>
      </c>
      <c r="Q2060" s="3">
        <f t="shared" si="129"/>
        <v>6.0531110375450226E-4</v>
      </c>
      <c r="R2060" s="3">
        <f t="shared" si="130"/>
        <v>2.2899999999999999E-3</v>
      </c>
      <c r="S2060">
        <f t="shared" si="131"/>
        <v>51</v>
      </c>
      <c r="T2060">
        <f>INDEX([1]IDEN_level_ids!$B:$B,MATCH(G2060,[1]IDEN_level_ids!$A:$A,0),1)</f>
        <v>1233</v>
      </c>
      <c r="U2060">
        <f>INDEX([1]IDEN_level_ids!$B:$B,MATCH(H2060,[1]IDEN_level_ids!$A:$A,0),1)</f>
        <v>1080</v>
      </c>
    </row>
    <row r="2061" spans="1:21" hidden="1" x14ac:dyDescent="0.25">
      <c r="A2061">
        <v>44885.449399999998</v>
      </c>
      <c r="B2061">
        <v>2227.8935000000001</v>
      </c>
      <c r="C2061">
        <v>12</v>
      </c>
      <c r="D2061" t="s">
        <v>612</v>
      </c>
      <c r="F2061">
        <v>1974</v>
      </c>
      <c r="G2061" s="1" t="s">
        <v>141</v>
      </c>
      <c r="H2061" s="1" t="s">
        <v>555</v>
      </c>
      <c r="I2061">
        <v>0</v>
      </c>
      <c r="J2061">
        <v>44885.445099999997</v>
      </c>
      <c r="K2061">
        <v>-2.1000000000000001E-4</v>
      </c>
      <c r="L2061">
        <v>2.2899999999999999E-3</v>
      </c>
      <c r="M2061">
        <v>4.6100000000000002E-2</v>
      </c>
      <c r="N2061">
        <v>0.25900000000000001</v>
      </c>
      <c r="O2061">
        <v>3.0899999999999999E-3</v>
      </c>
      <c r="P2061" s="3">
        <f t="shared" si="128"/>
        <v>2227.8934785489751</v>
      </c>
      <c r="Q2061" s="3">
        <f t="shared" si="129"/>
        <v>-2.1343092248571338E-4</v>
      </c>
      <c r="R2061" s="3">
        <f t="shared" si="130"/>
        <v>2.2899999999999999E-3</v>
      </c>
      <c r="S2061">
        <f t="shared" si="131"/>
        <v>51</v>
      </c>
      <c r="T2061">
        <f>INDEX([1]IDEN_level_ids!$B:$B,MATCH(G2061,[1]IDEN_level_ids!$A:$A,0),1)</f>
        <v>1155</v>
      </c>
      <c r="U2061">
        <f>INDEX([1]IDEN_level_ids!$B:$B,MATCH(H2061,[1]IDEN_level_ids!$A:$A,0),1)</f>
        <v>995</v>
      </c>
    </row>
    <row r="2062" spans="1:21" hidden="1" x14ac:dyDescent="0.25">
      <c r="A2062">
        <v>44877.850299999998</v>
      </c>
      <c r="B2062">
        <v>2228.2707</v>
      </c>
      <c r="C2062">
        <v>12</v>
      </c>
      <c r="D2062" t="s">
        <v>612</v>
      </c>
      <c r="F2062">
        <v>1974</v>
      </c>
      <c r="G2062" s="1" t="s">
        <v>86</v>
      </c>
      <c r="H2062" s="1" t="s">
        <v>470</v>
      </c>
      <c r="I2062">
        <v>0.2848</v>
      </c>
      <c r="J2062">
        <v>44877.839099999997</v>
      </c>
      <c r="K2062">
        <v>-5.5000000000000003E-4</v>
      </c>
      <c r="L2062">
        <v>2.2899999999999999E-3</v>
      </c>
      <c r="M2062">
        <v>4.6100000000000002E-2</v>
      </c>
      <c r="N2062">
        <v>0.1573</v>
      </c>
      <c r="O2062">
        <v>2.7100000000000002E-3</v>
      </c>
      <c r="P2062" s="3">
        <f t="shared" si="128"/>
        <v>2228.2707244558014</v>
      </c>
      <c r="Q2062" s="3">
        <f t="shared" si="129"/>
        <v>-5.5610146591789089E-4</v>
      </c>
      <c r="R2062" s="3">
        <f t="shared" si="130"/>
        <v>2.2899999999999999E-3</v>
      </c>
      <c r="S2062">
        <f t="shared" si="131"/>
        <v>51</v>
      </c>
      <c r="T2062">
        <f>INDEX([1]IDEN_level_ids!$B:$B,MATCH(G2062,[1]IDEN_level_ids!$A:$A,0),1)</f>
        <v>1183</v>
      </c>
      <c r="U2062">
        <f>INDEX([1]IDEN_level_ids!$B:$B,MATCH(H2062,[1]IDEN_level_ids!$A:$A,0),1)</f>
        <v>1026</v>
      </c>
    </row>
    <row r="2063" spans="1:21" hidden="1" x14ac:dyDescent="0.25">
      <c r="A2063">
        <v>44871.160900000003</v>
      </c>
      <c r="B2063">
        <v>2228.6028999999999</v>
      </c>
      <c r="C2063">
        <v>12</v>
      </c>
      <c r="D2063" t="s">
        <v>612</v>
      </c>
      <c r="F2063">
        <v>1974</v>
      </c>
      <c r="G2063" s="1" t="s">
        <v>82</v>
      </c>
      <c r="H2063" s="1" t="s">
        <v>552</v>
      </c>
      <c r="I2063">
        <v>0</v>
      </c>
      <c r="J2063">
        <v>44871.095399999998</v>
      </c>
      <c r="K2063">
        <v>-3.2499999999999999E-3</v>
      </c>
      <c r="L2063">
        <v>2.2899999999999999E-3</v>
      </c>
      <c r="M2063">
        <v>4.6100000000000002E-2</v>
      </c>
      <c r="N2063">
        <v>0.1593</v>
      </c>
      <c r="O2063">
        <v>2.7200000000000002E-3</v>
      </c>
      <c r="P2063" s="3">
        <f t="shared" si="128"/>
        <v>2228.6029154195562</v>
      </c>
      <c r="Q2063" s="3">
        <f t="shared" si="129"/>
        <v>-3.2531742240280437E-3</v>
      </c>
      <c r="R2063" s="3">
        <f t="shared" si="130"/>
        <v>2.2899999999999999E-3</v>
      </c>
      <c r="S2063">
        <f t="shared" si="131"/>
        <v>51</v>
      </c>
      <c r="T2063">
        <f>INDEX([1]IDEN_level_ids!$B:$B,MATCH(G2063,[1]IDEN_level_ids!$A:$A,0),1)</f>
        <v>1193</v>
      </c>
      <c r="U2063">
        <f>INDEX([1]IDEN_level_ids!$B:$B,MATCH(H2063,[1]IDEN_level_ids!$A:$A,0),1)</f>
        <v>1040</v>
      </c>
    </row>
    <row r="2064" spans="1:21" hidden="1" x14ac:dyDescent="0.25">
      <c r="A2064">
        <v>44862.140800000001</v>
      </c>
      <c r="B2064">
        <v>2229.0509999999999</v>
      </c>
      <c r="C2064">
        <v>12</v>
      </c>
      <c r="D2064" t="s">
        <v>612</v>
      </c>
      <c r="F2064">
        <v>1974</v>
      </c>
      <c r="G2064" s="1" t="s">
        <v>81</v>
      </c>
      <c r="H2064" s="1" t="s">
        <v>582</v>
      </c>
      <c r="I2064">
        <v>-0.25890000000000002</v>
      </c>
      <c r="J2064">
        <v>44862.093699999998</v>
      </c>
      <c r="K2064">
        <v>-2.3400000000000001E-3</v>
      </c>
      <c r="L2064">
        <v>2.2899999999999999E-3</v>
      </c>
      <c r="M2064">
        <v>4.6100000000000002E-2</v>
      </c>
      <c r="N2064">
        <v>0.17460000000000001</v>
      </c>
      <c r="O2064">
        <v>2.7699999999999999E-3</v>
      </c>
      <c r="P2064" s="3">
        <f t="shared" si="128"/>
        <v>2229.0510041821276</v>
      </c>
      <c r="Q2064" s="3">
        <f t="shared" si="129"/>
        <v>-2.340245263894758E-3</v>
      </c>
      <c r="R2064" s="3">
        <f t="shared" si="130"/>
        <v>2.2899999999999999E-3</v>
      </c>
      <c r="S2064">
        <f t="shared" si="131"/>
        <v>51</v>
      </c>
      <c r="T2064">
        <f>INDEX([1]IDEN_level_ids!$B:$B,MATCH(G2064,[1]IDEN_level_ids!$A:$A,0),1)</f>
        <v>1196</v>
      </c>
      <c r="U2064">
        <f>INDEX([1]IDEN_level_ids!$B:$B,MATCH(H2064,[1]IDEN_level_ids!$A:$A,0),1)</f>
        <v>1042</v>
      </c>
    </row>
    <row r="2065" spans="1:21" hidden="1" x14ac:dyDescent="0.25">
      <c r="A2065">
        <v>44856.329400000002</v>
      </c>
      <c r="B2065">
        <v>2229.3398000000002</v>
      </c>
      <c r="C2065">
        <v>12</v>
      </c>
      <c r="D2065" t="s">
        <v>612</v>
      </c>
      <c r="E2065" t="s">
        <v>427</v>
      </c>
      <c r="F2065">
        <v>1974</v>
      </c>
      <c r="G2065" s="1" t="s">
        <v>117</v>
      </c>
      <c r="H2065" s="1" t="s">
        <v>562</v>
      </c>
      <c r="I2065">
        <v>0</v>
      </c>
      <c r="J2065">
        <v>44856.278299999998</v>
      </c>
      <c r="K2065">
        <v>-2.5400000000000002E-3</v>
      </c>
      <c r="L2065">
        <v>2.4199999999999998E-3</v>
      </c>
      <c r="M2065">
        <v>4.87E-2</v>
      </c>
      <c r="N2065">
        <v>0.1933</v>
      </c>
      <c r="O2065">
        <v>3.0000000000000001E-3</v>
      </c>
      <c r="P2065" s="3">
        <f t="shared" si="128"/>
        <v>2229.3397907854669</v>
      </c>
      <c r="Q2065" s="3">
        <f t="shared" si="129"/>
        <v>-2.5396503597221454E-3</v>
      </c>
      <c r="R2065" s="3">
        <f t="shared" si="130"/>
        <v>2.4199999999999998E-3</v>
      </c>
      <c r="S2065">
        <f t="shared" si="131"/>
        <v>51</v>
      </c>
      <c r="T2065">
        <f>INDEX([1]IDEN_level_ids!$B:$B,MATCH(G2065,[1]IDEN_level_ids!$A:$A,0),1)</f>
        <v>1162</v>
      </c>
      <c r="U2065">
        <f>INDEX([1]IDEN_level_ids!$B:$B,MATCH(H2065,[1]IDEN_level_ids!$A:$A,0),1)</f>
        <v>999</v>
      </c>
    </row>
    <row r="2066" spans="1:21" hidden="1" x14ac:dyDescent="0.25">
      <c r="A2066">
        <v>44855.400300000001</v>
      </c>
      <c r="B2066">
        <v>2229.386</v>
      </c>
      <c r="C2066">
        <v>12</v>
      </c>
      <c r="D2066" t="s">
        <v>612</v>
      </c>
      <c r="E2066" t="s">
        <v>427</v>
      </c>
      <c r="F2066">
        <v>1974</v>
      </c>
      <c r="G2066" s="1" t="s">
        <v>51</v>
      </c>
      <c r="H2066" s="1" t="s">
        <v>466</v>
      </c>
      <c r="I2066">
        <v>0.3876</v>
      </c>
      <c r="J2066">
        <v>44855.370600000002</v>
      </c>
      <c r="K2066">
        <v>-1.47E-3</v>
      </c>
      <c r="L2066">
        <v>2.4199999999999998E-3</v>
      </c>
      <c r="M2066">
        <v>4.87E-2</v>
      </c>
      <c r="N2066">
        <v>0.1656</v>
      </c>
      <c r="O2066">
        <v>2.8999999999999998E-3</v>
      </c>
      <c r="P2066" s="3">
        <f t="shared" si="128"/>
        <v>2229.3859676022107</v>
      </c>
      <c r="Q2066" s="3">
        <f t="shared" si="129"/>
        <v>-1.4761390298190236E-3</v>
      </c>
      <c r="R2066" s="3">
        <f t="shared" si="130"/>
        <v>2.4199999999999998E-3</v>
      </c>
      <c r="S2066">
        <f t="shared" si="131"/>
        <v>51</v>
      </c>
      <c r="T2066">
        <f>INDEX([1]IDEN_level_ids!$B:$B,MATCH(G2066,[1]IDEN_level_ids!$A:$A,0),1)</f>
        <v>1213</v>
      </c>
      <c r="U2066">
        <f>INDEX([1]IDEN_level_ids!$B:$B,MATCH(H2066,[1]IDEN_level_ids!$A:$A,0),1)</f>
        <v>1061</v>
      </c>
    </row>
    <row r="2067" spans="1:21" hidden="1" x14ac:dyDescent="0.25">
      <c r="A2067">
        <v>44841.980499999998</v>
      </c>
      <c r="B2067">
        <v>2230.0531999999998</v>
      </c>
      <c r="C2067">
        <v>12</v>
      </c>
      <c r="D2067" t="s">
        <v>612</v>
      </c>
      <c r="F2067">
        <v>1974</v>
      </c>
      <c r="G2067" s="1" t="s">
        <v>49</v>
      </c>
      <c r="H2067" s="1" t="s">
        <v>458</v>
      </c>
      <c r="I2067">
        <v>0</v>
      </c>
      <c r="J2067">
        <v>44842.008000000002</v>
      </c>
      <c r="K2067">
        <v>1.3699999999999999E-3</v>
      </c>
      <c r="L2067">
        <v>2.2899999999999999E-3</v>
      </c>
      <c r="M2067">
        <v>4.6100000000000002E-2</v>
      </c>
      <c r="N2067">
        <v>0.15820000000000001</v>
      </c>
      <c r="O2067">
        <v>2.7200000000000002E-3</v>
      </c>
      <c r="P2067" s="3">
        <f t="shared" si="128"/>
        <v>2230.0531529823934</v>
      </c>
      <c r="Q2067" s="3">
        <f t="shared" si="129"/>
        <v>1.3676118542207405E-3</v>
      </c>
      <c r="R2067" s="3">
        <f t="shared" si="130"/>
        <v>2.2899999999999999E-3</v>
      </c>
      <c r="S2067">
        <f t="shared" si="131"/>
        <v>51</v>
      </c>
      <c r="T2067">
        <f>INDEX([1]IDEN_level_ids!$B:$B,MATCH(G2067,[1]IDEN_level_ids!$A:$A,0),1)</f>
        <v>1214</v>
      </c>
      <c r="U2067">
        <f>INDEX([1]IDEN_level_ids!$B:$B,MATCH(H2067,[1]IDEN_level_ids!$A:$A,0),1)</f>
        <v>1064</v>
      </c>
    </row>
    <row r="2068" spans="1:21" hidden="1" x14ac:dyDescent="0.25">
      <c r="A2068">
        <v>44822.1201</v>
      </c>
      <c r="B2068">
        <v>2231.0412999999999</v>
      </c>
      <c r="C2068">
        <v>12</v>
      </c>
      <c r="D2068" t="s">
        <v>612</v>
      </c>
      <c r="E2068" t="s">
        <v>427</v>
      </c>
      <c r="F2068">
        <v>1974</v>
      </c>
      <c r="G2068" s="1" t="s">
        <v>24</v>
      </c>
      <c r="H2068" s="1" t="s">
        <v>379</v>
      </c>
      <c r="I2068">
        <v>0.47110000000000002</v>
      </c>
      <c r="J2068">
        <v>44822.102400000003</v>
      </c>
      <c r="K2068">
        <v>-8.8000000000000003E-4</v>
      </c>
      <c r="L2068">
        <v>2.4299999999999999E-3</v>
      </c>
      <c r="M2068">
        <v>4.87E-2</v>
      </c>
      <c r="N2068">
        <v>0.40360000000000001</v>
      </c>
      <c r="O2068">
        <v>4.0699999999999998E-3</v>
      </c>
      <c r="P2068" s="3">
        <f t="shared" si="128"/>
        <v>2231.0412755330599</v>
      </c>
      <c r="Q2068" s="3">
        <f t="shared" si="129"/>
        <v>-8.8102584322768962E-4</v>
      </c>
      <c r="R2068" s="3">
        <f t="shared" si="130"/>
        <v>2.4299999999999999E-3</v>
      </c>
      <c r="S2068">
        <f t="shared" si="131"/>
        <v>51</v>
      </c>
      <c r="T2068">
        <f>INDEX([1]IDEN_level_ids!$B:$B,MATCH(G2068,[1]IDEN_level_ids!$A:$A,0),1)</f>
        <v>1241</v>
      </c>
      <c r="U2068">
        <f>INDEX([1]IDEN_level_ids!$B:$B,MATCH(H2068,[1]IDEN_level_ids!$A:$A,0),1)</f>
        <v>1083</v>
      </c>
    </row>
    <row r="2069" spans="1:21" hidden="1" x14ac:dyDescent="0.25">
      <c r="A2069">
        <v>44804.7811</v>
      </c>
      <c r="B2069">
        <v>2231.9047</v>
      </c>
      <c r="C2069">
        <v>12</v>
      </c>
      <c r="D2069" t="s">
        <v>612</v>
      </c>
      <c r="F2069">
        <v>1974</v>
      </c>
      <c r="G2069" s="1" t="s">
        <v>252</v>
      </c>
      <c r="H2069" s="1" t="s">
        <v>613</v>
      </c>
      <c r="I2069">
        <v>0</v>
      </c>
      <c r="J2069">
        <v>44804.764999999999</v>
      </c>
      <c r="K2069">
        <v>-8.0000000000000004E-4</v>
      </c>
      <c r="L2069">
        <v>2.2899999999999999E-3</v>
      </c>
      <c r="M2069">
        <v>4.6100000000000002E-2</v>
      </c>
      <c r="N2069">
        <v>0.27950000000000003</v>
      </c>
      <c r="O2069">
        <v>3.1800000000000001E-3</v>
      </c>
      <c r="P2069" s="3">
        <f t="shared" si="128"/>
        <v>2231.9046660848435</v>
      </c>
      <c r="Q2069" s="3">
        <f t="shared" si="129"/>
        <v>-8.0200543652608758E-4</v>
      </c>
      <c r="R2069" s="3">
        <f t="shared" si="130"/>
        <v>2.2899999999999999E-3</v>
      </c>
      <c r="S2069">
        <f t="shared" si="131"/>
        <v>51</v>
      </c>
      <c r="T2069">
        <f>INDEX([1]IDEN_level_ids!$B:$B,MATCH(G2069,[1]IDEN_level_ids!$A:$A,0),1)</f>
        <v>1188</v>
      </c>
      <c r="U2069">
        <f>INDEX([1]IDEN_level_ids!$B:$B,MATCH(H2069,[1]IDEN_level_ids!$A:$A,0),1)</f>
        <v>1020</v>
      </c>
    </row>
    <row r="2070" spans="1:21" hidden="1" x14ac:dyDescent="0.25">
      <c r="A2070">
        <v>44798.920599999998</v>
      </c>
      <c r="B2070">
        <v>2232.1966000000002</v>
      </c>
      <c r="C2070">
        <v>12</v>
      </c>
      <c r="D2070" t="s">
        <v>612</v>
      </c>
      <c r="F2070">
        <v>1974</v>
      </c>
      <c r="G2070" s="1" t="s">
        <v>180</v>
      </c>
      <c r="H2070" s="1" t="s">
        <v>614</v>
      </c>
      <c r="I2070">
        <v>0.1457</v>
      </c>
      <c r="J2070">
        <v>44798.850100000003</v>
      </c>
      <c r="K2070">
        <v>-3.5200000000000001E-3</v>
      </c>
      <c r="L2070">
        <v>2.3E-3</v>
      </c>
      <c r="M2070">
        <v>4.6100000000000002E-2</v>
      </c>
      <c r="N2070">
        <v>0.23269999999999999</v>
      </c>
      <c r="O2070">
        <v>2.99E-3</v>
      </c>
      <c r="P2070" s="3">
        <f t="shared" si="128"/>
        <v>2232.1966391306314</v>
      </c>
      <c r="Q2070" s="3">
        <f t="shared" si="129"/>
        <v>-3.5128103218085016E-3</v>
      </c>
      <c r="R2070" s="3">
        <f t="shared" si="130"/>
        <v>2.3E-3</v>
      </c>
      <c r="S2070">
        <f t="shared" si="131"/>
        <v>51</v>
      </c>
      <c r="T2070">
        <f>INDEX([1]IDEN_level_ids!$B:$B,MATCH(G2070,[1]IDEN_level_ids!$A:$A,0),1)</f>
        <v>1184</v>
      </c>
      <c r="U2070">
        <f>INDEX([1]IDEN_level_ids!$B:$B,MATCH(H2070,[1]IDEN_level_ids!$A:$A,0),1)</f>
        <v>1031</v>
      </c>
    </row>
    <row r="2071" spans="1:21" hidden="1" x14ac:dyDescent="0.25">
      <c r="A2071">
        <v>44790.830999999998</v>
      </c>
      <c r="B2071">
        <v>2232.5998</v>
      </c>
      <c r="C2071">
        <v>12</v>
      </c>
      <c r="D2071" t="s">
        <v>612</v>
      </c>
      <c r="F2071">
        <v>1974</v>
      </c>
      <c r="G2071" s="1" t="s">
        <v>51</v>
      </c>
      <c r="H2071" s="1" t="s">
        <v>458</v>
      </c>
      <c r="I2071">
        <v>0</v>
      </c>
      <c r="J2071">
        <v>44790.851799999997</v>
      </c>
      <c r="K2071">
        <v>1.0399999999999999E-3</v>
      </c>
      <c r="L2071">
        <v>2.3E-3</v>
      </c>
      <c r="M2071">
        <v>4.6100000000000002E-2</v>
      </c>
      <c r="N2071">
        <v>0.16339999999999999</v>
      </c>
      <c r="O2071">
        <v>2.7399999999999998E-3</v>
      </c>
      <c r="P2071" s="3">
        <f t="shared" si="128"/>
        <v>2232.5997925780839</v>
      </c>
      <c r="Q2071" s="3">
        <f t="shared" si="129"/>
        <v>1.0367759000473598E-3</v>
      </c>
      <c r="R2071" s="3">
        <f t="shared" si="130"/>
        <v>2.3E-3</v>
      </c>
      <c r="S2071">
        <f t="shared" si="131"/>
        <v>51</v>
      </c>
      <c r="T2071">
        <f>INDEX([1]IDEN_level_ids!$B:$B,MATCH(G2071,[1]IDEN_level_ids!$A:$A,0),1)</f>
        <v>1213</v>
      </c>
      <c r="U2071">
        <f>INDEX([1]IDEN_level_ids!$B:$B,MATCH(H2071,[1]IDEN_level_ids!$A:$A,0),1)</f>
        <v>1064</v>
      </c>
    </row>
    <row r="2072" spans="1:21" hidden="1" x14ac:dyDescent="0.25">
      <c r="A2072">
        <v>44784.591</v>
      </c>
      <c r="B2072">
        <v>2232.9108999999999</v>
      </c>
      <c r="C2072">
        <v>12</v>
      </c>
      <c r="D2072" t="s">
        <v>612</v>
      </c>
      <c r="F2072">
        <v>1974</v>
      </c>
      <c r="G2072" s="1" t="s">
        <v>285</v>
      </c>
      <c r="H2072" s="1" t="s">
        <v>568</v>
      </c>
      <c r="I2072">
        <v>0</v>
      </c>
      <c r="J2072">
        <v>44784.6034</v>
      </c>
      <c r="K2072">
        <v>6.2E-4</v>
      </c>
      <c r="L2072">
        <v>2.3E-3</v>
      </c>
      <c r="M2072">
        <v>4.6100000000000002E-2</v>
      </c>
      <c r="N2072">
        <v>0.25530000000000003</v>
      </c>
      <c r="O2072">
        <v>3.0799999999999998E-3</v>
      </c>
      <c r="P2072" s="3">
        <f t="shared" si="128"/>
        <v>2232.9108688298616</v>
      </c>
      <c r="Q2072" s="3">
        <f t="shared" si="129"/>
        <v>6.1825030616091681E-4</v>
      </c>
      <c r="R2072" s="3">
        <f t="shared" si="130"/>
        <v>2.3E-3</v>
      </c>
      <c r="S2072">
        <f t="shared" si="131"/>
        <v>51</v>
      </c>
      <c r="T2072">
        <f>INDEX([1]IDEN_level_ids!$B:$B,MATCH(G2072,[1]IDEN_level_ids!$A:$A,0),1)</f>
        <v>1150</v>
      </c>
      <c r="U2072">
        <f>INDEX([1]IDEN_level_ids!$B:$B,MATCH(H2072,[1]IDEN_level_ids!$A:$A,0),1)</f>
        <v>988</v>
      </c>
    </row>
    <row r="2073" spans="1:21" hidden="1" x14ac:dyDescent="0.25">
      <c r="A2073">
        <v>44778.599600000001</v>
      </c>
      <c r="B2073">
        <v>2233.2096000000001</v>
      </c>
      <c r="C2073">
        <v>12</v>
      </c>
      <c r="D2073" t="s">
        <v>612</v>
      </c>
      <c r="E2073" t="s">
        <v>427</v>
      </c>
      <c r="F2073">
        <v>1974</v>
      </c>
      <c r="G2073" s="1" t="s">
        <v>79</v>
      </c>
      <c r="H2073" s="1" t="s">
        <v>375</v>
      </c>
      <c r="I2073">
        <v>0.28789999999999999</v>
      </c>
      <c r="J2073">
        <v>44778.5959</v>
      </c>
      <c r="K2073">
        <v>-1.8000000000000001E-4</v>
      </c>
      <c r="L2073">
        <v>2.4299999999999999E-3</v>
      </c>
      <c r="M2073">
        <v>4.87E-2</v>
      </c>
      <c r="N2073">
        <v>0.1429</v>
      </c>
      <c r="O2073">
        <v>2.8400000000000001E-3</v>
      </c>
      <c r="P2073" s="3">
        <f t="shared" si="128"/>
        <v>2233.2096334696453</v>
      </c>
      <c r="Q2073" s="3">
        <f t="shared" si="129"/>
        <v>-1.8452735002938425E-4</v>
      </c>
      <c r="R2073" s="3">
        <f t="shared" si="130"/>
        <v>2.4299999999999999E-3</v>
      </c>
      <c r="S2073">
        <f t="shared" si="131"/>
        <v>51</v>
      </c>
      <c r="T2073">
        <f>INDEX([1]IDEN_level_ids!$B:$B,MATCH(G2073,[1]IDEN_level_ids!$A:$A,0),1)</f>
        <v>1216</v>
      </c>
      <c r="U2073">
        <f>INDEX([1]IDEN_level_ids!$B:$B,MATCH(H2073,[1]IDEN_level_ids!$A:$A,0),1)</f>
        <v>1065</v>
      </c>
    </row>
    <row r="2074" spans="1:21" hidden="1" x14ac:dyDescent="0.25">
      <c r="A2074">
        <v>44764.120499999997</v>
      </c>
      <c r="B2074">
        <v>2233.9319999999998</v>
      </c>
      <c r="C2074">
        <v>12</v>
      </c>
      <c r="D2074" t="s">
        <v>612</v>
      </c>
      <c r="F2074">
        <v>1974</v>
      </c>
      <c r="G2074" s="1" t="s">
        <v>212</v>
      </c>
      <c r="H2074" s="1" t="s">
        <v>509</v>
      </c>
      <c r="I2074">
        <v>0.21629999999999999</v>
      </c>
      <c r="J2074">
        <v>44764.1299</v>
      </c>
      <c r="K2074">
        <v>4.6999999999999999E-4</v>
      </c>
      <c r="L2074">
        <v>2.3E-3</v>
      </c>
      <c r="M2074">
        <v>4.6100000000000002E-2</v>
      </c>
      <c r="N2074">
        <v>0.1845</v>
      </c>
      <c r="O2074">
        <v>2.82E-3</v>
      </c>
      <c r="P2074" s="3">
        <f t="shared" si="128"/>
        <v>2233.9319723705953</v>
      </c>
      <c r="Q2074" s="3">
        <f t="shared" si="129"/>
        <v>4.6910239461794845E-4</v>
      </c>
      <c r="R2074" s="3">
        <f t="shared" si="130"/>
        <v>2.3E-3</v>
      </c>
      <c r="S2074">
        <f t="shared" si="131"/>
        <v>51</v>
      </c>
      <c r="T2074">
        <f>INDEX([1]IDEN_level_ids!$B:$B,MATCH(G2074,[1]IDEN_level_ids!$A:$A,0),1)</f>
        <v>1123</v>
      </c>
      <c r="U2074">
        <f>INDEX([1]IDEN_level_ids!$B:$B,MATCH(H2074,[1]IDEN_level_ids!$A:$A,0),1)</f>
        <v>956</v>
      </c>
    </row>
    <row r="2075" spans="1:21" hidden="1" x14ac:dyDescent="0.25">
      <c r="A2075">
        <v>44752.160000000003</v>
      </c>
      <c r="B2075">
        <v>2234.529</v>
      </c>
      <c r="C2075">
        <v>12</v>
      </c>
      <c r="D2075" t="s">
        <v>612</v>
      </c>
      <c r="F2075">
        <v>1974</v>
      </c>
      <c r="G2075" s="1" t="s">
        <v>334</v>
      </c>
      <c r="H2075" s="1" t="s">
        <v>509</v>
      </c>
      <c r="I2075">
        <v>0.21629999999999999</v>
      </c>
      <c r="J2075">
        <v>44752.241000000002</v>
      </c>
      <c r="K2075">
        <v>4.0400000000000002E-3</v>
      </c>
      <c r="L2075">
        <v>2.3E-3</v>
      </c>
      <c r="M2075">
        <v>4.6100000000000002E-2</v>
      </c>
      <c r="N2075">
        <v>0.191</v>
      </c>
      <c r="O2075">
        <v>2.8400000000000001E-3</v>
      </c>
      <c r="P2075" s="3">
        <f t="shared" si="128"/>
        <v>2234.5290149123525</v>
      </c>
      <c r="Q2075" s="3">
        <f t="shared" si="129"/>
        <v>4.0444198134537146E-3</v>
      </c>
      <c r="R2075" s="3">
        <f t="shared" si="130"/>
        <v>2.3E-3</v>
      </c>
      <c r="S2075">
        <f t="shared" si="131"/>
        <v>51</v>
      </c>
      <c r="T2075">
        <f>INDEX([1]IDEN_level_ids!$B:$B,MATCH(G2075,[1]IDEN_level_ids!$A:$A,0),1)</f>
        <v>1124</v>
      </c>
      <c r="U2075">
        <f>INDEX([1]IDEN_level_ids!$B:$B,MATCH(H2075,[1]IDEN_level_ids!$A:$A,0),1)</f>
        <v>956</v>
      </c>
    </row>
    <row r="2076" spans="1:21" hidden="1" x14ac:dyDescent="0.25">
      <c r="A2076">
        <v>44740.841</v>
      </c>
      <c r="B2076">
        <v>2235.0943000000002</v>
      </c>
      <c r="C2076">
        <v>12</v>
      </c>
      <c r="D2076" t="s">
        <v>612</v>
      </c>
      <c r="F2076">
        <v>1974</v>
      </c>
      <c r="G2076" s="1" t="s">
        <v>252</v>
      </c>
      <c r="H2076" s="1" t="s">
        <v>475</v>
      </c>
      <c r="I2076">
        <v>0.18990000000000001</v>
      </c>
      <c r="J2076">
        <v>44740.8943</v>
      </c>
      <c r="K2076">
        <v>2.66E-3</v>
      </c>
      <c r="L2076">
        <v>2.3E-3</v>
      </c>
      <c r="M2076">
        <v>4.6100000000000002E-2</v>
      </c>
      <c r="N2076">
        <v>0.1226</v>
      </c>
      <c r="O2076">
        <v>2.6199999999999999E-3</v>
      </c>
      <c r="P2076" s="3">
        <f t="shared" si="128"/>
        <v>2235.0943291387839</v>
      </c>
      <c r="Q2076" s="3">
        <f t="shared" si="129"/>
        <v>2.6626764979482687E-3</v>
      </c>
      <c r="R2076" s="3">
        <f t="shared" si="130"/>
        <v>2.3E-3</v>
      </c>
      <c r="S2076">
        <f t="shared" si="131"/>
        <v>51</v>
      </c>
      <c r="T2076">
        <f>INDEX([1]IDEN_level_ids!$B:$B,MATCH(G2076,[1]IDEN_level_ids!$A:$A,0),1)</f>
        <v>1188</v>
      </c>
      <c r="U2076">
        <f>INDEX([1]IDEN_level_ids!$B:$B,MATCH(H2076,[1]IDEN_level_ids!$A:$A,0),1)</f>
        <v>1030</v>
      </c>
    </row>
    <row r="2077" spans="1:21" hidden="1" x14ac:dyDescent="0.25">
      <c r="A2077">
        <v>44728.370999999999</v>
      </c>
      <c r="B2077">
        <v>2235.7175000000002</v>
      </c>
      <c r="C2077">
        <v>12</v>
      </c>
      <c r="D2077" t="s">
        <v>612</v>
      </c>
      <c r="F2077">
        <v>1974</v>
      </c>
      <c r="G2077" s="1" t="s">
        <v>62</v>
      </c>
      <c r="H2077" s="1" t="s">
        <v>516</v>
      </c>
      <c r="I2077">
        <v>0.36720000000000003</v>
      </c>
      <c r="J2077">
        <v>44728.394399999997</v>
      </c>
      <c r="K2077">
        <v>1.17E-3</v>
      </c>
      <c r="L2077">
        <v>2.3E-3</v>
      </c>
      <c r="M2077">
        <v>4.6100000000000002E-2</v>
      </c>
      <c r="N2077">
        <v>0.25159999999999999</v>
      </c>
      <c r="O2077">
        <v>3.0799999999999998E-3</v>
      </c>
      <c r="P2077" s="3">
        <f t="shared" si="128"/>
        <v>2235.7174599539967</v>
      </c>
      <c r="Q2077" s="3">
        <f t="shared" si="129"/>
        <v>1.1696326073433738E-3</v>
      </c>
      <c r="R2077" s="3">
        <f t="shared" si="130"/>
        <v>2.3E-3</v>
      </c>
      <c r="S2077">
        <f t="shared" si="131"/>
        <v>51</v>
      </c>
      <c r="T2077">
        <f>INDEX([1]IDEN_level_ids!$B:$B,MATCH(G2077,[1]IDEN_level_ids!$A:$A,0),1)</f>
        <v>1203</v>
      </c>
      <c r="U2077">
        <f>INDEX([1]IDEN_level_ids!$B:$B,MATCH(H2077,[1]IDEN_level_ids!$A:$A,0),1)</f>
        <v>1050</v>
      </c>
    </row>
    <row r="2078" spans="1:21" hidden="1" x14ac:dyDescent="0.25">
      <c r="A2078">
        <v>44712.530500000001</v>
      </c>
      <c r="B2078">
        <v>2236.5095000000001</v>
      </c>
      <c r="C2078">
        <v>12</v>
      </c>
      <c r="D2078" t="s">
        <v>612</v>
      </c>
      <c r="F2078">
        <v>1974</v>
      </c>
      <c r="G2078" s="1" t="s">
        <v>82</v>
      </c>
      <c r="H2078" s="1" t="s">
        <v>476</v>
      </c>
      <c r="I2078">
        <v>0</v>
      </c>
      <c r="J2078">
        <v>44712.613100000002</v>
      </c>
      <c r="K2078">
        <v>4.13E-3</v>
      </c>
      <c r="L2078">
        <v>2.3E-3</v>
      </c>
      <c r="M2078">
        <v>4.6100000000000002E-2</v>
      </c>
      <c r="N2078">
        <v>0.1138</v>
      </c>
      <c r="O2078">
        <v>2.5999999999999999E-3</v>
      </c>
      <c r="P2078" s="3">
        <f t="shared" si="128"/>
        <v>2236.5095171699127</v>
      </c>
      <c r="Q2078" s="3">
        <f t="shared" si="129"/>
        <v>4.1316235692647751E-3</v>
      </c>
      <c r="R2078" s="3">
        <f t="shared" si="130"/>
        <v>2.3E-3</v>
      </c>
      <c r="S2078">
        <f t="shared" si="131"/>
        <v>51</v>
      </c>
      <c r="T2078">
        <f>INDEX([1]IDEN_level_ids!$B:$B,MATCH(G2078,[1]IDEN_level_ids!$A:$A,0),1)</f>
        <v>1193</v>
      </c>
      <c r="U2078">
        <f>INDEX([1]IDEN_level_ids!$B:$B,MATCH(H2078,[1]IDEN_level_ids!$A:$A,0),1)</f>
        <v>1037</v>
      </c>
    </row>
    <row r="2079" spans="1:21" hidden="1" x14ac:dyDescent="0.25">
      <c r="A2079">
        <v>44699.579700000002</v>
      </c>
      <c r="B2079">
        <v>2237.1574999999998</v>
      </c>
      <c r="C2079">
        <v>12</v>
      </c>
      <c r="D2079" t="s">
        <v>612</v>
      </c>
      <c r="F2079">
        <v>1974</v>
      </c>
      <c r="G2079" s="1" t="s">
        <v>197</v>
      </c>
      <c r="H2079" s="1" t="s">
        <v>467</v>
      </c>
      <c r="I2079">
        <v>0</v>
      </c>
      <c r="J2079">
        <v>44699.594700000001</v>
      </c>
      <c r="K2079">
        <v>7.5000000000000002E-4</v>
      </c>
      <c r="L2079">
        <v>2.31E-3</v>
      </c>
      <c r="M2079">
        <v>4.6100000000000002E-2</v>
      </c>
      <c r="N2079">
        <v>0.104</v>
      </c>
      <c r="O2079">
        <v>2.5699999999999998E-3</v>
      </c>
      <c r="P2079" s="3">
        <f t="shared" si="128"/>
        <v>2237.1575006106823</v>
      </c>
      <c r="Q2079" s="3">
        <f t="shared" si="129"/>
        <v>7.5073080051879515E-4</v>
      </c>
      <c r="R2079" s="3">
        <f t="shared" si="130"/>
        <v>2.31E-3</v>
      </c>
      <c r="S2079">
        <f t="shared" si="131"/>
        <v>51</v>
      </c>
      <c r="T2079">
        <f>INDEX([1]IDEN_level_ids!$B:$B,MATCH(G2079,[1]IDEN_level_ids!$A:$A,0),1)</f>
        <v>1182</v>
      </c>
      <c r="U2079">
        <f>INDEX([1]IDEN_level_ids!$B:$B,MATCH(H2079,[1]IDEN_level_ids!$A:$A,0),1)</f>
        <v>1025</v>
      </c>
    </row>
    <row r="2080" spans="1:21" hidden="1" x14ac:dyDescent="0.25">
      <c r="A2080">
        <v>44683.659200000002</v>
      </c>
      <c r="B2080">
        <v>2237.9546</v>
      </c>
      <c r="C2080">
        <v>12</v>
      </c>
      <c r="D2080" t="s">
        <v>612</v>
      </c>
      <c r="E2080" t="s">
        <v>427</v>
      </c>
      <c r="F2080">
        <v>1974</v>
      </c>
      <c r="G2080" s="1" t="s">
        <v>62</v>
      </c>
      <c r="H2080" s="1" t="s">
        <v>438</v>
      </c>
      <c r="I2080">
        <v>0</v>
      </c>
      <c r="J2080">
        <v>44683.683499999999</v>
      </c>
      <c r="K2080">
        <v>1.2099999999999999E-3</v>
      </c>
      <c r="L2080">
        <v>2.4399999999999999E-3</v>
      </c>
      <c r="M2080">
        <v>4.87E-2</v>
      </c>
      <c r="N2080">
        <v>0.1643</v>
      </c>
      <c r="O2080">
        <v>2.9199999999999999E-3</v>
      </c>
      <c r="P2080" s="3">
        <f t="shared" si="128"/>
        <v>2237.9545854203452</v>
      </c>
      <c r="Q2080" s="3">
        <f t="shared" si="129"/>
        <v>1.2170504346613598E-3</v>
      </c>
      <c r="R2080" s="3">
        <f t="shared" si="130"/>
        <v>2.4399999999999999E-3</v>
      </c>
      <c r="S2080">
        <f t="shared" si="131"/>
        <v>51</v>
      </c>
      <c r="T2080">
        <f>INDEX([1]IDEN_level_ids!$B:$B,MATCH(G2080,[1]IDEN_level_ids!$A:$A,0),1)</f>
        <v>1203</v>
      </c>
      <c r="U2080">
        <f>INDEX([1]IDEN_level_ids!$B:$B,MATCH(H2080,[1]IDEN_level_ids!$A:$A,0),1)</f>
        <v>1051</v>
      </c>
    </row>
    <row r="2081" spans="1:21" hidden="1" x14ac:dyDescent="0.25">
      <c r="A2081">
        <v>44680.880100000002</v>
      </c>
      <c r="B2081">
        <v>2238.0938000000001</v>
      </c>
      <c r="C2081">
        <v>12</v>
      </c>
      <c r="D2081" t="s">
        <v>612</v>
      </c>
      <c r="F2081">
        <v>1974</v>
      </c>
      <c r="G2081" s="1" t="s">
        <v>197</v>
      </c>
      <c r="H2081" s="1" t="s">
        <v>470</v>
      </c>
      <c r="I2081">
        <v>0.2848</v>
      </c>
      <c r="J2081">
        <v>44681.008300000001</v>
      </c>
      <c r="K2081">
        <v>6.4200000000000004E-3</v>
      </c>
      <c r="L2081">
        <v>2.31E-3</v>
      </c>
      <c r="M2081">
        <v>4.6100000000000002E-2</v>
      </c>
      <c r="N2081">
        <v>0.10589999999999999</v>
      </c>
      <c r="O2081">
        <v>2.5799999999999998E-3</v>
      </c>
      <c r="P2081" s="3">
        <f t="shared" si="128"/>
        <v>2238.0937836540061</v>
      </c>
      <c r="Q2081" s="3">
        <f t="shared" si="129"/>
        <v>6.4216013461191324E-3</v>
      </c>
      <c r="R2081" s="3">
        <f t="shared" si="130"/>
        <v>2.31E-3</v>
      </c>
      <c r="S2081">
        <f t="shared" si="131"/>
        <v>51</v>
      </c>
      <c r="T2081">
        <f>INDEX([1]IDEN_level_ids!$B:$B,MATCH(G2081,[1]IDEN_level_ids!$A:$A,0),1)</f>
        <v>1182</v>
      </c>
      <c r="U2081">
        <f>INDEX([1]IDEN_level_ids!$B:$B,MATCH(H2081,[1]IDEN_level_ids!$A:$A,0),1)</f>
        <v>1026</v>
      </c>
    </row>
    <row r="2082" spans="1:21" hidden="1" x14ac:dyDescent="0.25">
      <c r="A2082">
        <v>44677.549200000001</v>
      </c>
      <c r="B2082">
        <v>2238.2606000000001</v>
      </c>
      <c r="C2082">
        <v>12</v>
      </c>
      <c r="D2082" t="s">
        <v>612</v>
      </c>
      <c r="F2082">
        <v>1974</v>
      </c>
      <c r="G2082" s="1" t="s">
        <v>250</v>
      </c>
      <c r="H2082" s="1" t="s">
        <v>389</v>
      </c>
      <c r="I2082">
        <v>0.31669999999999998</v>
      </c>
      <c r="J2082">
        <v>44677.648699999998</v>
      </c>
      <c r="K2082">
        <v>4.9800000000000001E-3</v>
      </c>
      <c r="L2082">
        <v>2.31E-3</v>
      </c>
      <c r="M2082">
        <v>4.6100000000000002E-2</v>
      </c>
      <c r="N2082">
        <v>0.23180000000000001</v>
      </c>
      <c r="O2082">
        <v>3.0000000000000001E-3</v>
      </c>
      <c r="P2082" s="3">
        <f t="shared" si="128"/>
        <v>2238.2606429987436</v>
      </c>
      <c r="Q2082" s="3">
        <f t="shared" si="129"/>
        <v>4.9847505511024792E-3</v>
      </c>
      <c r="R2082" s="3">
        <f t="shared" si="130"/>
        <v>2.31E-3</v>
      </c>
      <c r="S2082">
        <f t="shared" si="131"/>
        <v>51</v>
      </c>
      <c r="T2082">
        <f>INDEX([1]IDEN_level_ids!$B:$B,MATCH(G2082,[1]IDEN_level_ids!$A:$A,0),1)</f>
        <v>1107</v>
      </c>
      <c r="U2082">
        <f>INDEX([1]IDEN_level_ids!$B:$B,MATCH(H2082,[1]IDEN_level_ids!$A:$A,0),1)</f>
        <v>942</v>
      </c>
    </row>
    <row r="2083" spans="1:21" hidden="1" x14ac:dyDescent="0.25">
      <c r="A2083">
        <v>44669.360399999998</v>
      </c>
      <c r="B2083">
        <v>2238.6709999999998</v>
      </c>
      <c r="C2083">
        <v>12</v>
      </c>
      <c r="D2083" t="s">
        <v>612</v>
      </c>
      <c r="F2083">
        <v>1974</v>
      </c>
      <c r="G2083" s="1" t="s">
        <v>204</v>
      </c>
      <c r="H2083" s="1" t="s">
        <v>576</v>
      </c>
      <c r="I2083">
        <v>0.13669999999999999</v>
      </c>
      <c r="J2083">
        <v>44669.3514</v>
      </c>
      <c r="K2083">
        <v>-4.4999999999999999E-4</v>
      </c>
      <c r="L2083">
        <v>2.31E-3</v>
      </c>
      <c r="M2083">
        <v>4.6100000000000002E-2</v>
      </c>
      <c r="N2083">
        <v>0.14829999999999999</v>
      </c>
      <c r="O2083">
        <v>2.7100000000000002E-3</v>
      </c>
      <c r="P2083" s="3">
        <f t="shared" si="128"/>
        <v>2238.6709615837708</v>
      </c>
      <c r="Q2083" s="3">
        <f t="shared" si="129"/>
        <v>-4.5104838136467151E-4</v>
      </c>
      <c r="R2083" s="3">
        <f t="shared" si="130"/>
        <v>2.31E-3</v>
      </c>
      <c r="S2083">
        <f t="shared" si="131"/>
        <v>51</v>
      </c>
      <c r="T2083">
        <f>INDEX([1]IDEN_level_ids!$B:$B,MATCH(G2083,[1]IDEN_level_ids!$A:$A,0),1)</f>
        <v>1176</v>
      </c>
      <c r="U2083">
        <f>INDEX([1]IDEN_level_ids!$B:$B,MATCH(H2083,[1]IDEN_level_ids!$A:$A,0),1)</f>
        <v>1024</v>
      </c>
    </row>
    <row r="2084" spans="1:21" hidden="1" x14ac:dyDescent="0.25">
      <c r="A2084">
        <v>44667.2693</v>
      </c>
      <c r="B2084">
        <v>2238.7757999999999</v>
      </c>
      <c r="C2084">
        <v>12</v>
      </c>
      <c r="D2084" t="s">
        <v>612</v>
      </c>
      <c r="F2084">
        <v>1974</v>
      </c>
      <c r="G2084" s="1" t="s">
        <v>71</v>
      </c>
      <c r="H2084" s="1" t="s">
        <v>461</v>
      </c>
      <c r="I2084">
        <v>0.24510000000000001</v>
      </c>
      <c r="J2084">
        <v>44667.360399999998</v>
      </c>
      <c r="K2084">
        <v>4.5700000000000003E-3</v>
      </c>
      <c r="L2084">
        <v>2.31E-3</v>
      </c>
      <c r="M2084">
        <v>4.6100000000000002E-2</v>
      </c>
      <c r="N2084">
        <v>0.1057</v>
      </c>
      <c r="O2084">
        <v>2.5799999999999998E-3</v>
      </c>
      <c r="P2084" s="3">
        <f t="shared" si="128"/>
        <v>2238.7757650544354</v>
      </c>
      <c r="Q2084" s="3">
        <f t="shared" si="129"/>
        <v>4.566029207126121E-3</v>
      </c>
      <c r="R2084" s="3">
        <f t="shared" si="130"/>
        <v>2.31E-3</v>
      </c>
      <c r="S2084">
        <f t="shared" si="131"/>
        <v>51</v>
      </c>
      <c r="T2084">
        <f>INDEX([1]IDEN_level_ids!$B:$B,MATCH(G2084,[1]IDEN_level_ids!$A:$A,0),1)</f>
        <v>1179</v>
      </c>
      <c r="U2084">
        <f>INDEX([1]IDEN_level_ids!$B:$B,MATCH(H2084,[1]IDEN_level_ids!$A:$A,0),1)</f>
        <v>1017</v>
      </c>
    </row>
    <row r="2085" spans="1:21" hidden="1" x14ac:dyDescent="0.25">
      <c r="A2085">
        <v>44657.709900000002</v>
      </c>
      <c r="B2085">
        <v>2239.2550000000001</v>
      </c>
      <c r="C2085">
        <v>12</v>
      </c>
      <c r="D2085" t="s">
        <v>612</v>
      </c>
      <c r="E2085" t="s">
        <v>427</v>
      </c>
      <c r="F2085">
        <v>1974</v>
      </c>
      <c r="G2085" s="1" t="s">
        <v>141</v>
      </c>
      <c r="H2085" s="1" t="s">
        <v>584</v>
      </c>
      <c r="I2085">
        <v>0</v>
      </c>
      <c r="J2085">
        <v>44657.722999999998</v>
      </c>
      <c r="K2085">
        <v>6.6E-4</v>
      </c>
      <c r="L2085">
        <v>2.4399999999999999E-3</v>
      </c>
      <c r="M2085">
        <v>4.87E-2</v>
      </c>
      <c r="N2085">
        <v>0.2059</v>
      </c>
      <c r="O2085">
        <v>3.0799999999999998E-3</v>
      </c>
      <c r="P2085" s="3">
        <f t="shared" si="128"/>
        <v>2239.2549959217681</v>
      </c>
      <c r="Q2085" s="3">
        <f t="shared" si="129"/>
        <v>6.5686825200828025E-4</v>
      </c>
      <c r="R2085" s="3">
        <f t="shared" si="130"/>
        <v>2.4399999999999999E-3</v>
      </c>
      <c r="S2085">
        <f t="shared" si="131"/>
        <v>51</v>
      </c>
      <c r="T2085">
        <f>INDEX([1]IDEN_level_ids!$B:$B,MATCH(G2085,[1]IDEN_level_ids!$A:$A,0),1)</f>
        <v>1155</v>
      </c>
      <c r="U2085">
        <f>INDEX([1]IDEN_level_ids!$B:$B,MATCH(H2085,[1]IDEN_level_ids!$A:$A,0),1)</f>
        <v>992</v>
      </c>
    </row>
    <row r="2086" spans="1:21" hidden="1" x14ac:dyDescent="0.25">
      <c r="A2086">
        <v>44652.540800000002</v>
      </c>
      <c r="B2086">
        <v>2239.5142000000001</v>
      </c>
      <c r="C2086">
        <v>12</v>
      </c>
      <c r="D2086" t="s">
        <v>612</v>
      </c>
      <c r="E2086" t="s">
        <v>427</v>
      </c>
      <c r="F2086">
        <v>1974</v>
      </c>
      <c r="G2086" s="1" t="s">
        <v>73</v>
      </c>
      <c r="H2086" s="1" t="s">
        <v>472</v>
      </c>
      <c r="I2086">
        <v>0</v>
      </c>
      <c r="J2086">
        <v>44652.352400000003</v>
      </c>
      <c r="K2086">
        <v>-9.4500000000000001E-3</v>
      </c>
      <c r="L2086">
        <v>2.4399999999999999E-3</v>
      </c>
      <c r="M2086">
        <v>4.87E-2</v>
      </c>
      <c r="N2086">
        <v>9.8199999999999996E-2</v>
      </c>
      <c r="O2086">
        <v>2.7100000000000002E-3</v>
      </c>
      <c r="P2086" s="3">
        <f t="shared" si="128"/>
        <v>2239.514218192036</v>
      </c>
      <c r="Q2086" s="3">
        <f t="shared" si="129"/>
        <v>-9.4490985588890908E-3</v>
      </c>
      <c r="R2086" s="3">
        <f t="shared" si="130"/>
        <v>2.4399999999999999E-3</v>
      </c>
      <c r="S2086">
        <f t="shared" si="131"/>
        <v>51</v>
      </c>
      <c r="T2086">
        <f>INDEX([1]IDEN_level_ids!$B:$B,MATCH(G2086,[1]IDEN_level_ids!$A:$A,0),1)</f>
        <v>1173</v>
      </c>
      <c r="U2086">
        <f>INDEX([1]IDEN_level_ids!$B:$B,MATCH(H2086,[1]IDEN_level_ids!$A:$A,0),1)</f>
        <v>1012</v>
      </c>
    </row>
    <row r="2087" spans="1:21" hidden="1" x14ac:dyDescent="0.25">
      <c r="A2087">
        <v>44650.989699999998</v>
      </c>
      <c r="B2087">
        <v>2239.5920000000001</v>
      </c>
      <c r="C2087">
        <v>12</v>
      </c>
      <c r="D2087" t="s">
        <v>612</v>
      </c>
      <c r="F2087">
        <v>1974</v>
      </c>
      <c r="G2087" s="1" t="s">
        <v>76</v>
      </c>
      <c r="H2087" s="1" t="s">
        <v>552</v>
      </c>
      <c r="I2087">
        <v>0</v>
      </c>
      <c r="J2087">
        <v>44651.106399999997</v>
      </c>
      <c r="K2087">
        <v>5.8599999999999998E-3</v>
      </c>
      <c r="L2087">
        <v>2.31E-3</v>
      </c>
      <c r="M2087">
        <v>4.6100000000000002E-2</v>
      </c>
      <c r="N2087">
        <v>0.14729999999999999</v>
      </c>
      <c r="O2087">
        <v>2.7100000000000002E-3</v>
      </c>
      <c r="P2087" s="3">
        <f t="shared" si="128"/>
        <v>2239.5920151351092</v>
      </c>
      <c r="Q2087" s="3">
        <f t="shared" si="129"/>
        <v>5.8533910855658178E-3</v>
      </c>
      <c r="R2087" s="3">
        <f t="shared" si="130"/>
        <v>2.31E-3</v>
      </c>
      <c r="S2087">
        <f t="shared" si="131"/>
        <v>51</v>
      </c>
      <c r="T2087">
        <f>INDEX([1]IDEN_level_ids!$B:$B,MATCH(G2087,[1]IDEN_level_ids!$A:$A,0),1)</f>
        <v>1194</v>
      </c>
      <c r="U2087">
        <f>INDEX([1]IDEN_level_ids!$B:$B,MATCH(H2087,[1]IDEN_level_ids!$A:$A,0),1)</f>
        <v>1040</v>
      </c>
    </row>
    <row r="2088" spans="1:21" hidden="1" x14ac:dyDescent="0.25">
      <c r="A2088">
        <v>44647.799599999998</v>
      </c>
      <c r="B2088">
        <v>2239.752</v>
      </c>
      <c r="C2088">
        <v>12</v>
      </c>
      <c r="D2088" t="s">
        <v>612</v>
      </c>
      <c r="F2088">
        <v>1974</v>
      </c>
      <c r="G2088" s="1" t="s">
        <v>197</v>
      </c>
      <c r="H2088" s="1" t="s">
        <v>475</v>
      </c>
      <c r="I2088">
        <v>0.18990000000000001</v>
      </c>
      <c r="J2088">
        <v>44647.842100000002</v>
      </c>
      <c r="K2088">
        <v>2.14E-3</v>
      </c>
      <c r="L2088">
        <v>2.31E-3</v>
      </c>
      <c r="M2088">
        <v>4.6100000000000002E-2</v>
      </c>
      <c r="N2088">
        <v>0.1023</v>
      </c>
      <c r="O2088">
        <v>2.5699999999999998E-3</v>
      </c>
      <c r="P2088" s="3">
        <f t="shared" si="128"/>
        <v>2239.7520347228938</v>
      </c>
      <c r="Q2088" s="3">
        <f t="shared" si="129"/>
        <v>2.1320058708624856E-3</v>
      </c>
      <c r="R2088" s="3">
        <f t="shared" si="130"/>
        <v>2.31E-3</v>
      </c>
      <c r="S2088">
        <f t="shared" si="131"/>
        <v>51</v>
      </c>
      <c r="T2088">
        <f>INDEX([1]IDEN_level_ids!$B:$B,MATCH(G2088,[1]IDEN_level_ids!$A:$A,0),1)</f>
        <v>1182</v>
      </c>
      <c r="U2088">
        <f>INDEX([1]IDEN_level_ids!$B:$B,MATCH(H2088,[1]IDEN_level_ids!$A:$A,0),1)</f>
        <v>1030</v>
      </c>
    </row>
    <row r="2089" spans="1:21" hidden="1" x14ac:dyDescent="0.25">
      <c r="A2089">
        <v>44645.281199999998</v>
      </c>
      <c r="B2089">
        <v>2239.8784000000001</v>
      </c>
      <c r="C2089">
        <v>12</v>
      </c>
      <c r="D2089" t="s">
        <v>612</v>
      </c>
      <c r="F2089">
        <v>1974</v>
      </c>
      <c r="G2089" s="1" t="s">
        <v>443</v>
      </c>
      <c r="H2089" s="1" t="s">
        <v>554</v>
      </c>
      <c r="I2089">
        <v>0.20780000000000001</v>
      </c>
      <c r="J2089">
        <v>44645.370699999999</v>
      </c>
      <c r="K2089">
        <v>4.4900000000000001E-3</v>
      </c>
      <c r="L2089">
        <v>2.31E-3</v>
      </c>
      <c r="M2089">
        <v>4.6100000000000002E-2</v>
      </c>
      <c r="N2089">
        <v>0.28110000000000002</v>
      </c>
      <c r="O2089">
        <v>3.2200000000000002E-3</v>
      </c>
      <c r="P2089" s="3">
        <f t="shared" si="128"/>
        <v>2239.8783771127869</v>
      </c>
      <c r="Q2089" s="3">
        <f t="shared" si="129"/>
        <v>4.4902553527208511E-3</v>
      </c>
      <c r="R2089" s="3">
        <f t="shared" si="130"/>
        <v>2.31E-3</v>
      </c>
      <c r="S2089">
        <f t="shared" si="131"/>
        <v>51</v>
      </c>
      <c r="T2089">
        <f>INDEX([1]IDEN_level_ids!$B:$B,MATCH(G2089,[1]IDEN_level_ids!$A:$A,0),1)</f>
        <v>1145</v>
      </c>
      <c r="U2089">
        <f>INDEX([1]IDEN_level_ids!$B:$B,MATCH(H2089,[1]IDEN_level_ids!$A:$A,0),1)</f>
        <v>982</v>
      </c>
    </row>
    <row r="2090" spans="1:21" hidden="1" x14ac:dyDescent="0.25">
      <c r="A2090">
        <v>44643.010600000001</v>
      </c>
      <c r="B2090">
        <v>2239.9922999999999</v>
      </c>
      <c r="C2090">
        <v>12</v>
      </c>
      <c r="D2090" t="s">
        <v>612</v>
      </c>
      <c r="F2090">
        <v>1974</v>
      </c>
      <c r="G2090" s="1" t="s">
        <v>83</v>
      </c>
      <c r="H2090" s="1" t="s">
        <v>570</v>
      </c>
      <c r="I2090">
        <v>0</v>
      </c>
      <c r="J2090">
        <v>44643.001100000001</v>
      </c>
      <c r="K2090">
        <v>-4.8000000000000001E-4</v>
      </c>
      <c r="L2090">
        <v>2.31E-3</v>
      </c>
      <c r="M2090">
        <v>4.6100000000000002E-2</v>
      </c>
      <c r="N2090">
        <v>0.13930000000000001</v>
      </c>
      <c r="O2090">
        <v>2.6900000000000001E-3</v>
      </c>
      <c r="P2090" s="3">
        <f t="shared" si="128"/>
        <v>2239.9923001608677</v>
      </c>
      <c r="Q2090" s="3">
        <f t="shared" si="129"/>
        <v>-4.7666882437624736E-4</v>
      </c>
      <c r="R2090" s="3">
        <f t="shared" si="130"/>
        <v>2.31E-3</v>
      </c>
      <c r="S2090">
        <f t="shared" si="131"/>
        <v>51</v>
      </c>
      <c r="T2090">
        <f>INDEX([1]IDEN_level_ids!$B:$B,MATCH(G2090,[1]IDEN_level_ids!$A:$A,0),1)</f>
        <v>1175</v>
      </c>
      <c r="U2090">
        <f>INDEX([1]IDEN_level_ids!$B:$B,MATCH(H2090,[1]IDEN_level_ids!$A:$A,0),1)</f>
        <v>1015</v>
      </c>
    </row>
    <row r="2091" spans="1:21" hidden="1" x14ac:dyDescent="0.25">
      <c r="A2091">
        <v>44640.660199999998</v>
      </c>
      <c r="B2091">
        <v>2240.1102000000001</v>
      </c>
      <c r="C2091">
        <v>12</v>
      </c>
      <c r="D2091" t="s">
        <v>612</v>
      </c>
      <c r="F2091">
        <v>1974</v>
      </c>
      <c r="G2091" s="1" t="s">
        <v>55</v>
      </c>
      <c r="H2091" s="1" t="s">
        <v>386</v>
      </c>
      <c r="I2091">
        <v>0.22500000000000001</v>
      </c>
      <c r="J2091">
        <v>44640.706200000001</v>
      </c>
      <c r="K2091">
        <v>2.31E-3</v>
      </c>
      <c r="L2091">
        <v>2.31E-3</v>
      </c>
      <c r="M2091">
        <v>4.6100000000000002E-2</v>
      </c>
      <c r="N2091">
        <v>0.1532</v>
      </c>
      <c r="O2091">
        <v>2.7299999999999998E-3</v>
      </c>
      <c r="P2091" s="3">
        <f t="shared" si="128"/>
        <v>2240.1102392298403</v>
      </c>
      <c r="Q2091" s="3">
        <f t="shared" si="129"/>
        <v>2.3083208084244689E-3</v>
      </c>
      <c r="R2091" s="3">
        <f t="shared" si="130"/>
        <v>2.31E-3</v>
      </c>
      <c r="S2091">
        <f t="shared" si="131"/>
        <v>51</v>
      </c>
      <c r="T2091">
        <f>INDEX([1]IDEN_level_ids!$B:$B,MATCH(G2091,[1]IDEN_level_ids!$A:$A,0),1)</f>
        <v>1233</v>
      </c>
      <c r="U2091">
        <f>INDEX([1]IDEN_level_ids!$B:$B,MATCH(H2091,[1]IDEN_level_ids!$A:$A,0),1)</f>
        <v>1082</v>
      </c>
    </row>
    <row r="2092" spans="1:21" hidden="1" x14ac:dyDescent="0.25">
      <c r="A2092">
        <v>44616.619200000001</v>
      </c>
      <c r="B2092">
        <v>2241.3173000000002</v>
      </c>
      <c r="C2092">
        <v>12</v>
      </c>
      <c r="D2092" t="s">
        <v>612</v>
      </c>
      <c r="F2092">
        <v>1974</v>
      </c>
      <c r="G2092" s="1" t="s">
        <v>187</v>
      </c>
      <c r="H2092" s="1" t="s">
        <v>591</v>
      </c>
      <c r="I2092">
        <v>0</v>
      </c>
      <c r="J2092">
        <v>44616.7255</v>
      </c>
      <c r="K2092">
        <v>5.3400000000000001E-3</v>
      </c>
      <c r="L2092">
        <v>2.31E-3</v>
      </c>
      <c r="M2092">
        <v>4.6100000000000002E-2</v>
      </c>
      <c r="N2092">
        <v>0.2505</v>
      </c>
      <c r="O2092">
        <v>3.0899999999999999E-3</v>
      </c>
      <c r="P2092" s="3">
        <f t="shared" si="128"/>
        <v>2241.3172892310945</v>
      </c>
      <c r="Q2092" s="3">
        <f t="shared" si="129"/>
        <v>5.3399711696329177E-3</v>
      </c>
      <c r="R2092" s="3">
        <f t="shared" si="130"/>
        <v>2.31E-3</v>
      </c>
      <c r="S2092">
        <f t="shared" si="131"/>
        <v>51</v>
      </c>
      <c r="T2092">
        <f>INDEX([1]IDEN_level_ids!$B:$B,MATCH(G2092,[1]IDEN_level_ids!$A:$A,0),1)</f>
        <v>1204</v>
      </c>
      <c r="U2092">
        <f>INDEX([1]IDEN_level_ids!$B:$B,MATCH(H2092,[1]IDEN_level_ids!$A:$A,0),1)</f>
        <v>1053</v>
      </c>
    </row>
    <row r="2093" spans="1:21" hidden="1" x14ac:dyDescent="0.25">
      <c r="A2093">
        <v>44613.809699999998</v>
      </c>
      <c r="B2093">
        <v>2241.4584</v>
      </c>
      <c r="C2093">
        <v>12</v>
      </c>
      <c r="D2093" t="s">
        <v>612</v>
      </c>
      <c r="F2093">
        <v>1974</v>
      </c>
      <c r="G2093" s="1" t="s">
        <v>72</v>
      </c>
      <c r="H2093" s="1" t="s">
        <v>398</v>
      </c>
      <c r="I2093">
        <v>0.31929999999999997</v>
      </c>
      <c r="J2093">
        <v>44613.8514</v>
      </c>
      <c r="K2093">
        <v>2.0899999999999998E-3</v>
      </c>
      <c r="L2093">
        <v>2.31E-3</v>
      </c>
      <c r="M2093">
        <v>4.6100000000000002E-2</v>
      </c>
      <c r="N2093">
        <v>0.1457</v>
      </c>
      <c r="O2093">
        <v>2.7100000000000002E-3</v>
      </c>
      <c r="P2093" s="3">
        <f t="shared" si="128"/>
        <v>2241.4584334410697</v>
      </c>
      <c r="Q2093" s="3">
        <f t="shared" si="129"/>
        <v>2.0950627158526913E-3</v>
      </c>
      <c r="R2093" s="3">
        <f t="shared" si="130"/>
        <v>2.31E-3</v>
      </c>
      <c r="S2093">
        <f t="shared" si="131"/>
        <v>51</v>
      </c>
      <c r="T2093">
        <f>INDEX([1]IDEN_level_ids!$B:$B,MATCH(G2093,[1]IDEN_level_ids!$A:$A,0),1)</f>
        <v>1225</v>
      </c>
      <c r="U2093">
        <f>INDEX([1]IDEN_level_ids!$B:$B,MATCH(H2093,[1]IDEN_level_ids!$A:$A,0),1)</f>
        <v>1075</v>
      </c>
    </row>
    <row r="2094" spans="1:21" hidden="1" x14ac:dyDescent="0.25">
      <c r="A2094">
        <v>44604.5507</v>
      </c>
      <c r="B2094">
        <v>2241.9236999999998</v>
      </c>
      <c r="C2094">
        <v>12</v>
      </c>
      <c r="D2094" t="s">
        <v>612</v>
      </c>
      <c r="F2094">
        <v>1974</v>
      </c>
      <c r="G2094" s="1" t="s">
        <v>361</v>
      </c>
      <c r="H2094" s="1" t="s">
        <v>615</v>
      </c>
      <c r="I2094">
        <v>-9.4000000000000004E-3</v>
      </c>
      <c r="J2094">
        <v>44604.597699999998</v>
      </c>
      <c r="K2094">
        <v>2.3600000000000001E-3</v>
      </c>
      <c r="L2094">
        <v>2.32E-3</v>
      </c>
      <c r="M2094">
        <v>4.6100000000000002E-2</v>
      </c>
      <c r="N2094">
        <v>0.28370000000000001</v>
      </c>
      <c r="O2094">
        <v>3.2299999999999998E-3</v>
      </c>
      <c r="P2094" s="3">
        <f t="shared" si="128"/>
        <v>2241.923714747787</v>
      </c>
      <c r="Q2094" s="3">
        <f t="shared" si="129"/>
        <v>2.3623218239663402E-3</v>
      </c>
      <c r="R2094" s="3">
        <f t="shared" si="130"/>
        <v>2.32E-3</v>
      </c>
      <c r="S2094">
        <f t="shared" si="131"/>
        <v>51</v>
      </c>
      <c r="T2094">
        <f>INDEX([1]IDEN_level_ids!$B:$B,MATCH(G2094,[1]IDEN_level_ids!$A:$A,0),1)</f>
        <v>1133</v>
      </c>
      <c r="U2094">
        <f>INDEX([1]IDEN_level_ids!$B:$B,MATCH(H2094,[1]IDEN_level_ids!$A:$A,0),1)</f>
        <v>962</v>
      </c>
    </row>
    <row r="2095" spans="1:21" hidden="1" x14ac:dyDescent="0.25">
      <c r="A2095">
        <v>44600.910400000001</v>
      </c>
      <c r="B2095">
        <v>2242.1066999999998</v>
      </c>
      <c r="C2095">
        <v>12</v>
      </c>
      <c r="D2095" t="s">
        <v>612</v>
      </c>
      <c r="E2095" t="s">
        <v>427</v>
      </c>
      <c r="F2095">
        <v>1974</v>
      </c>
      <c r="G2095" s="1" t="s">
        <v>253</v>
      </c>
      <c r="H2095" s="1" t="s">
        <v>613</v>
      </c>
      <c r="I2095">
        <v>0</v>
      </c>
      <c r="J2095">
        <v>44600.962800000001</v>
      </c>
      <c r="K2095">
        <v>2.64E-3</v>
      </c>
      <c r="L2095">
        <v>2.4499999999999999E-3</v>
      </c>
      <c r="M2095">
        <v>4.87E-2</v>
      </c>
      <c r="N2095">
        <v>0.38390000000000002</v>
      </c>
      <c r="O2095">
        <v>3.98E-3</v>
      </c>
      <c r="P2095" s="3">
        <f t="shared" si="128"/>
        <v>2242.1066992390361</v>
      </c>
      <c r="Q2095" s="3">
        <f t="shared" si="129"/>
        <v>2.6341671491536545E-3</v>
      </c>
      <c r="R2095" s="3">
        <f t="shared" si="130"/>
        <v>2.4499999999999999E-3</v>
      </c>
      <c r="S2095">
        <f t="shared" si="131"/>
        <v>51</v>
      </c>
      <c r="T2095">
        <f>INDEX([1]IDEN_level_ids!$B:$B,MATCH(G2095,[1]IDEN_level_ids!$A:$A,0),1)</f>
        <v>1181</v>
      </c>
      <c r="U2095">
        <f>INDEX([1]IDEN_level_ids!$B:$B,MATCH(H2095,[1]IDEN_level_ids!$A:$A,0),1)</f>
        <v>1020</v>
      </c>
    </row>
    <row r="2096" spans="1:21" hidden="1" x14ac:dyDescent="0.25">
      <c r="A2096">
        <v>44600.159200000002</v>
      </c>
      <c r="B2096">
        <v>2242.1444999999999</v>
      </c>
      <c r="C2096">
        <v>12</v>
      </c>
      <c r="D2096" t="s">
        <v>612</v>
      </c>
      <c r="F2096">
        <v>1974</v>
      </c>
      <c r="G2096" s="1" t="s">
        <v>81</v>
      </c>
      <c r="H2096" s="1" t="s">
        <v>468</v>
      </c>
      <c r="I2096">
        <v>0.16639999999999999</v>
      </c>
      <c r="J2096">
        <v>44600.192799999997</v>
      </c>
      <c r="K2096">
        <v>1.6900000000000001E-3</v>
      </c>
      <c r="L2096">
        <v>2.32E-3</v>
      </c>
      <c r="M2096">
        <v>4.6100000000000002E-2</v>
      </c>
      <c r="N2096">
        <v>0.1283</v>
      </c>
      <c r="O2096">
        <v>2.66E-3</v>
      </c>
      <c r="P2096" s="3">
        <f t="shared" si="128"/>
        <v>2242.1444630179703</v>
      </c>
      <c r="Q2096" s="3">
        <f t="shared" si="129"/>
        <v>1.6891418895284005E-3</v>
      </c>
      <c r="R2096" s="3">
        <f t="shared" si="130"/>
        <v>2.32E-3</v>
      </c>
      <c r="S2096">
        <f t="shared" si="131"/>
        <v>51</v>
      </c>
      <c r="T2096">
        <f>INDEX([1]IDEN_level_ids!$B:$B,MATCH(G2096,[1]IDEN_level_ids!$A:$A,0),1)</f>
        <v>1196</v>
      </c>
      <c r="U2096">
        <f>INDEX([1]IDEN_level_ids!$B:$B,MATCH(H2096,[1]IDEN_level_ids!$A:$A,0),1)</f>
        <v>1044</v>
      </c>
    </row>
    <row r="2097" spans="1:21" hidden="1" x14ac:dyDescent="0.25">
      <c r="A2097">
        <v>44598.309099999999</v>
      </c>
      <c r="B2097">
        <v>2242.2375000000002</v>
      </c>
      <c r="C2097">
        <v>12</v>
      </c>
      <c r="D2097" t="s">
        <v>612</v>
      </c>
      <c r="F2097">
        <v>1974</v>
      </c>
      <c r="G2097" s="1" t="s">
        <v>345</v>
      </c>
      <c r="H2097" s="1" t="s">
        <v>479</v>
      </c>
      <c r="I2097">
        <v>0</v>
      </c>
      <c r="J2097">
        <v>44598.381699999998</v>
      </c>
      <c r="K2097">
        <v>3.65E-3</v>
      </c>
      <c r="L2097">
        <v>2.32E-3</v>
      </c>
      <c r="M2097">
        <v>4.6100000000000002E-2</v>
      </c>
      <c r="N2097">
        <v>0.35</v>
      </c>
      <c r="O2097">
        <v>3.5599999999999998E-3</v>
      </c>
      <c r="P2097" s="3">
        <f t="shared" si="128"/>
        <v>2242.2374753216823</v>
      </c>
      <c r="Q2097" s="3">
        <f t="shared" si="129"/>
        <v>3.6500526366580743E-3</v>
      </c>
      <c r="R2097" s="3">
        <f t="shared" si="130"/>
        <v>2.32E-3</v>
      </c>
      <c r="S2097">
        <f t="shared" si="131"/>
        <v>51</v>
      </c>
      <c r="T2097">
        <f>INDEX([1]IDEN_level_ids!$B:$B,MATCH(G2097,[1]IDEN_level_ids!$A:$A,0),1)</f>
        <v>1106</v>
      </c>
      <c r="U2097">
        <f>INDEX([1]IDEN_level_ids!$B:$B,MATCH(H2097,[1]IDEN_level_ids!$A:$A,0),1)</f>
        <v>939</v>
      </c>
    </row>
    <row r="2098" spans="1:21" hidden="1" x14ac:dyDescent="0.25">
      <c r="A2098">
        <v>44590.329899999997</v>
      </c>
      <c r="B2098">
        <v>2242.6387</v>
      </c>
      <c r="C2098">
        <v>12</v>
      </c>
      <c r="D2098" t="s">
        <v>612</v>
      </c>
      <c r="F2098">
        <v>1974</v>
      </c>
      <c r="G2098" s="1" t="s">
        <v>86</v>
      </c>
      <c r="H2098" s="1" t="s">
        <v>563</v>
      </c>
      <c r="I2098">
        <v>0</v>
      </c>
      <c r="J2098">
        <v>44590.355100000001</v>
      </c>
      <c r="K2098">
        <v>1.2700000000000001E-3</v>
      </c>
      <c r="L2098">
        <v>2.32E-3</v>
      </c>
      <c r="M2098">
        <v>4.6100000000000002E-2</v>
      </c>
      <c r="N2098">
        <v>0.23949999999999999</v>
      </c>
      <c r="O2098">
        <v>3.0500000000000002E-3</v>
      </c>
      <c r="P2098" s="3">
        <f t="shared" si="128"/>
        <v>2242.6387116727747</v>
      </c>
      <c r="Q2098" s="3">
        <f t="shared" si="129"/>
        <v>1.2674152385443449E-3</v>
      </c>
      <c r="R2098" s="3">
        <f t="shared" si="130"/>
        <v>2.32E-3</v>
      </c>
      <c r="S2098">
        <f t="shared" si="131"/>
        <v>51</v>
      </c>
      <c r="T2098">
        <f>INDEX([1]IDEN_level_ids!$B:$B,MATCH(G2098,[1]IDEN_level_ids!$A:$A,0),1)</f>
        <v>1183</v>
      </c>
      <c r="U2098">
        <f>INDEX([1]IDEN_level_ids!$B:$B,MATCH(H2098,[1]IDEN_level_ids!$A:$A,0),1)</f>
        <v>1032</v>
      </c>
    </row>
    <row r="2099" spans="1:21" hidden="1" x14ac:dyDescent="0.25">
      <c r="A2099">
        <v>44589.410900000003</v>
      </c>
      <c r="B2099">
        <v>2242.6849000000002</v>
      </c>
      <c r="C2099">
        <v>12</v>
      </c>
      <c r="D2099" t="s">
        <v>612</v>
      </c>
      <c r="F2099">
        <v>1974</v>
      </c>
      <c r="G2099" s="1" t="s">
        <v>244</v>
      </c>
      <c r="H2099" s="1" t="s">
        <v>583</v>
      </c>
      <c r="I2099">
        <v>0.1106</v>
      </c>
      <c r="J2099">
        <v>44589.4329</v>
      </c>
      <c r="K2099">
        <v>1.1100000000000001E-3</v>
      </c>
      <c r="L2099">
        <v>2.32E-3</v>
      </c>
      <c r="M2099">
        <v>4.6100000000000002E-2</v>
      </c>
      <c r="N2099">
        <v>0.2029</v>
      </c>
      <c r="O2099">
        <v>2.9099999999999998E-3</v>
      </c>
      <c r="P2099" s="3">
        <f t="shared" si="128"/>
        <v>2242.6849330723048</v>
      </c>
      <c r="Q2099" s="3">
        <f t="shared" si="129"/>
        <v>1.1065193098147574E-3</v>
      </c>
      <c r="R2099" s="3">
        <f t="shared" si="130"/>
        <v>2.32E-3</v>
      </c>
      <c r="S2099">
        <f t="shared" si="131"/>
        <v>51</v>
      </c>
      <c r="T2099">
        <f>INDEX([1]IDEN_level_ids!$B:$B,MATCH(G2099,[1]IDEN_level_ids!$A:$A,0),1)</f>
        <v>1195</v>
      </c>
      <c r="U2099">
        <f>INDEX([1]IDEN_level_ids!$B:$B,MATCH(H2099,[1]IDEN_level_ids!$A:$A,0),1)</f>
        <v>1043</v>
      </c>
    </row>
    <row r="2100" spans="1:21" hidden="1" x14ac:dyDescent="0.25">
      <c r="A2100">
        <v>44586.190699999999</v>
      </c>
      <c r="B2100">
        <v>2242.8469</v>
      </c>
      <c r="C2100">
        <v>12</v>
      </c>
      <c r="D2100" t="s">
        <v>612</v>
      </c>
      <c r="E2100" t="s">
        <v>427</v>
      </c>
      <c r="F2100">
        <v>1974</v>
      </c>
      <c r="G2100" s="1" t="s">
        <v>79</v>
      </c>
      <c r="H2100" s="1" t="s">
        <v>419</v>
      </c>
      <c r="I2100">
        <v>0.2853</v>
      </c>
      <c r="J2100">
        <v>44586.206299999998</v>
      </c>
      <c r="K2100">
        <v>7.9000000000000001E-4</v>
      </c>
      <c r="L2100">
        <v>2.4499999999999999E-3</v>
      </c>
      <c r="M2100">
        <v>4.87E-2</v>
      </c>
      <c r="N2100">
        <v>0.1583</v>
      </c>
      <c r="O2100">
        <v>2.9099999999999998E-3</v>
      </c>
      <c r="P2100" s="3">
        <f t="shared" si="128"/>
        <v>2242.8469090991439</v>
      </c>
      <c r="Q2100" s="3">
        <f t="shared" si="129"/>
        <v>7.8473623761965428E-4</v>
      </c>
      <c r="R2100" s="3">
        <f t="shared" si="130"/>
        <v>2.4499999999999999E-3</v>
      </c>
      <c r="S2100">
        <f t="shared" si="131"/>
        <v>51</v>
      </c>
      <c r="T2100">
        <f>INDEX([1]IDEN_level_ids!$B:$B,MATCH(G2100,[1]IDEN_level_ids!$A:$A,0),1)</f>
        <v>1216</v>
      </c>
      <c r="U2100">
        <f>INDEX([1]IDEN_level_ids!$B:$B,MATCH(H2100,[1]IDEN_level_ids!$A:$A,0),1)</f>
        <v>1068</v>
      </c>
    </row>
    <row r="2101" spans="1:21" hidden="1" x14ac:dyDescent="0.25">
      <c r="A2101">
        <v>44580.940900000001</v>
      </c>
      <c r="B2101">
        <v>2243.1109999999999</v>
      </c>
      <c r="C2101">
        <v>12</v>
      </c>
      <c r="D2101" t="s">
        <v>612</v>
      </c>
      <c r="E2101" t="s">
        <v>427</v>
      </c>
      <c r="F2101">
        <v>1974</v>
      </c>
      <c r="G2101" s="1" t="s">
        <v>204</v>
      </c>
      <c r="H2101" s="1" t="s">
        <v>599</v>
      </c>
      <c r="I2101">
        <v>0</v>
      </c>
      <c r="J2101">
        <v>44580.997300000003</v>
      </c>
      <c r="K2101">
        <v>2.8300000000000001E-3</v>
      </c>
      <c r="L2101">
        <v>2.4499999999999999E-3</v>
      </c>
      <c r="M2101">
        <v>4.87E-2</v>
      </c>
      <c r="N2101">
        <v>0.31819999999999998</v>
      </c>
      <c r="O2101">
        <v>3.5999999999999999E-3</v>
      </c>
      <c r="P2101" s="3">
        <f t="shared" si="128"/>
        <v>2243.1110241551673</v>
      </c>
      <c r="Q2101" s="3">
        <f t="shared" si="129"/>
        <v>2.8377889552757551E-3</v>
      </c>
      <c r="R2101" s="3">
        <f t="shared" si="130"/>
        <v>2.4499999999999999E-3</v>
      </c>
      <c r="S2101">
        <f t="shared" si="131"/>
        <v>51</v>
      </c>
      <c r="T2101">
        <f>INDEX([1]IDEN_level_ids!$B:$B,MATCH(G2101,[1]IDEN_level_ids!$A:$A,0),1)</f>
        <v>1176</v>
      </c>
      <c r="U2101">
        <f>INDEX([1]IDEN_level_ids!$B:$B,MATCH(H2101,[1]IDEN_level_ids!$A:$A,0),1)</f>
        <v>1014</v>
      </c>
    </row>
    <row r="2102" spans="1:21" hidden="1" x14ac:dyDescent="0.25">
      <c r="A2102">
        <v>44559.680899999999</v>
      </c>
      <c r="B2102">
        <v>2244.1812</v>
      </c>
      <c r="C2102">
        <v>12</v>
      </c>
      <c r="D2102" t="s">
        <v>612</v>
      </c>
      <c r="E2102" t="s">
        <v>427</v>
      </c>
      <c r="F2102">
        <v>1974</v>
      </c>
      <c r="G2102" s="1" t="s">
        <v>273</v>
      </c>
      <c r="H2102" s="1" t="s">
        <v>603</v>
      </c>
      <c r="I2102">
        <v>0.14910000000000001</v>
      </c>
      <c r="J2102">
        <v>44559.762000000002</v>
      </c>
      <c r="K2102">
        <v>4.0899999999999999E-3</v>
      </c>
      <c r="L2102">
        <v>2.4499999999999999E-3</v>
      </c>
      <c r="M2102">
        <v>4.87E-2</v>
      </c>
      <c r="N2102">
        <v>0.33350000000000002</v>
      </c>
      <c r="O2102">
        <v>3.6800000000000001E-3</v>
      </c>
      <c r="P2102" s="3">
        <f t="shared" si="128"/>
        <v>2244.1812414325436</v>
      </c>
      <c r="Q2102" s="3">
        <f t="shared" si="129"/>
        <v>4.0844719655979134E-3</v>
      </c>
      <c r="R2102" s="3">
        <f t="shared" si="130"/>
        <v>2.4499999999999999E-3</v>
      </c>
      <c r="S2102">
        <f t="shared" si="131"/>
        <v>51</v>
      </c>
      <c r="T2102">
        <f>INDEX([1]IDEN_level_ids!$B:$B,MATCH(G2102,[1]IDEN_level_ids!$A:$A,0),1)</f>
        <v>1105</v>
      </c>
      <c r="U2102">
        <f>INDEX([1]IDEN_level_ids!$B:$B,MATCH(H2102,[1]IDEN_level_ids!$A:$A,0),1)</f>
        <v>941</v>
      </c>
    </row>
    <row r="2103" spans="1:21" hidden="1" x14ac:dyDescent="0.25">
      <c r="A2103">
        <v>44541.4202</v>
      </c>
      <c r="B2103">
        <v>2245.1012999999998</v>
      </c>
      <c r="C2103">
        <v>12</v>
      </c>
      <c r="D2103" t="s">
        <v>612</v>
      </c>
      <c r="E2103" t="s">
        <v>427</v>
      </c>
      <c r="F2103">
        <v>1974</v>
      </c>
      <c r="G2103" s="1" t="s">
        <v>209</v>
      </c>
      <c r="H2103" s="1" t="s">
        <v>377</v>
      </c>
      <c r="I2103">
        <v>0.33889999999999998</v>
      </c>
      <c r="J2103">
        <v>44541.537799999998</v>
      </c>
      <c r="K2103">
        <v>5.9300000000000004E-3</v>
      </c>
      <c r="L2103">
        <v>2.4599999999999999E-3</v>
      </c>
      <c r="M2103">
        <v>4.87E-2</v>
      </c>
      <c r="N2103">
        <v>0.12429999999999999</v>
      </c>
      <c r="O2103">
        <v>2.8E-3</v>
      </c>
      <c r="P2103" s="3">
        <f t="shared" si="128"/>
        <v>2245.1012911348525</v>
      </c>
      <c r="Q2103" s="3">
        <f t="shared" si="129"/>
        <v>5.9275886032992275E-3</v>
      </c>
      <c r="R2103" s="3">
        <f t="shared" si="130"/>
        <v>2.4599999999999999E-3</v>
      </c>
      <c r="S2103">
        <f t="shared" si="131"/>
        <v>51</v>
      </c>
      <c r="T2103">
        <f>INDEX([1]IDEN_level_ids!$B:$B,MATCH(G2103,[1]IDEN_level_ids!$A:$A,0),1)</f>
        <v>1209</v>
      </c>
      <c r="U2103">
        <f>INDEX([1]IDEN_level_ids!$B:$B,MATCH(H2103,[1]IDEN_level_ids!$A:$A,0),1)</f>
        <v>1057</v>
      </c>
    </row>
    <row r="2104" spans="1:21" hidden="1" x14ac:dyDescent="0.25">
      <c r="A2104">
        <v>44540.469599999997</v>
      </c>
      <c r="B2104">
        <v>2245.1491999999998</v>
      </c>
      <c r="C2104">
        <v>12</v>
      </c>
      <c r="D2104" t="s">
        <v>612</v>
      </c>
      <c r="E2104" t="s">
        <v>427</v>
      </c>
      <c r="F2104">
        <v>1974</v>
      </c>
      <c r="G2104" s="1" t="s">
        <v>273</v>
      </c>
      <c r="H2104" s="1" t="s">
        <v>389</v>
      </c>
      <c r="I2104">
        <v>0.31669999999999998</v>
      </c>
      <c r="J2104">
        <v>44540.464399999997</v>
      </c>
      <c r="K2104">
        <v>-2.7E-4</v>
      </c>
      <c r="L2104">
        <v>2.4599999999999999E-3</v>
      </c>
      <c r="M2104">
        <v>4.87E-2</v>
      </c>
      <c r="N2104">
        <v>0.21659999999999999</v>
      </c>
      <c r="O2104">
        <v>3.14E-3</v>
      </c>
      <c r="P2104" s="3">
        <f t="shared" si="128"/>
        <v>2245.1492069585188</v>
      </c>
      <c r="Q2104" s="3">
        <f t="shared" si="129"/>
        <v>-2.6211616841465002E-4</v>
      </c>
      <c r="R2104" s="3">
        <f t="shared" si="130"/>
        <v>2.4599999999999999E-3</v>
      </c>
      <c r="S2104">
        <f t="shared" si="131"/>
        <v>51</v>
      </c>
      <c r="T2104">
        <f>INDEX([1]IDEN_level_ids!$B:$B,MATCH(G2104,[1]IDEN_level_ids!$A:$A,0),1)</f>
        <v>1105</v>
      </c>
      <c r="U2104">
        <f>INDEX([1]IDEN_level_ids!$B:$B,MATCH(H2104,[1]IDEN_level_ids!$A:$A,0),1)</f>
        <v>942</v>
      </c>
    </row>
    <row r="2105" spans="1:21" hidden="1" x14ac:dyDescent="0.25">
      <c r="A2105">
        <v>44534.690999999999</v>
      </c>
      <c r="B2105">
        <v>2245.4405000000002</v>
      </c>
      <c r="C2105">
        <v>12</v>
      </c>
      <c r="D2105" t="s">
        <v>612</v>
      </c>
      <c r="F2105">
        <v>1974</v>
      </c>
      <c r="G2105" s="1" t="s">
        <v>46</v>
      </c>
      <c r="H2105" s="1" t="s">
        <v>431</v>
      </c>
      <c r="I2105">
        <v>0.28649999999999998</v>
      </c>
      <c r="J2105">
        <v>44534.770900000003</v>
      </c>
      <c r="K2105">
        <v>4.0299999999999997E-3</v>
      </c>
      <c r="L2105">
        <v>2.32E-3</v>
      </c>
      <c r="M2105">
        <v>4.6100000000000002E-2</v>
      </c>
      <c r="N2105">
        <v>0.13800000000000001</v>
      </c>
      <c r="O2105">
        <v>2.6900000000000001E-3</v>
      </c>
      <c r="P2105" s="3">
        <f t="shared" si="128"/>
        <v>2245.4405263528156</v>
      </c>
      <c r="Q2105" s="3">
        <f t="shared" si="129"/>
        <v>4.0285532950292691E-3</v>
      </c>
      <c r="R2105" s="3">
        <f t="shared" si="130"/>
        <v>2.32E-3</v>
      </c>
      <c r="S2105">
        <f t="shared" si="131"/>
        <v>51</v>
      </c>
      <c r="T2105">
        <f>INDEX([1]IDEN_level_ids!$B:$B,MATCH(G2105,[1]IDEN_level_ids!$A:$A,0),1)</f>
        <v>1212</v>
      </c>
      <c r="U2105">
        <f>INDEX([1]IDEN_level_ids!$B:$B,MATCH(H2105,[1]IDEN_level_ids!$A:$A,0),1)</f>
        <v>1062</v>
      </c>
    </row>
    <row r="2106" spans="1:21" hidden="1" x14ac:dyDescent="0.25">
      <c r="A2106">
        <v>44529.910900000003</v>
      </c>
      <c r="B2106">
        <v>2245.6815999999999</v>
      </c>
      <c r="C2106">
        <v>12</v>
      </c>
      <c r="D2106" t="s">
        <v>612</v>
      </c>
      <c r="F2106">
        <v>1974</v>
      </c>
      <c r="G2106" s="1" t="s">
        <v>197</v>
      </c>
      <c r="H2106" s="1" t="s">
        <v>540</v>
      </c>
      <c r="I2106">
        <v>0.34399999999999997</v>
      </c>
      <c r="J2106">
        <v>44529.965600000003</v>
      </c>
      <c r="K2106">
        <v>2.7599999999999999E-3</v>
      </c>
      <c r="L2106">
        <v>2.32E-3</v>
      </c>
      <c r="M2106">
        <v>4.6100000000000002E-2</v>
      </c>
      <c r="N2106">
        <v>0.1062</v>
      </c>
      <c r="O2106">
        <v>2.5999999999999999E-3</v>
      </c>
      <c r="P2106" s="3">
        <f t="shared" si="128"/>
        <v>2245.6815650174585</v>
      </c>
      <c r="Q2106" s="3">
        <f t="shared" si="129"/>
        <v>2.7585644843384216E-3</v>
      </c>
      <c r="R2106" s="3">
        <f t="shared" si="130"/>
        <v>2.32E-3</v>
      </c>
      <c r="S2106">
        <f t="shared" si="131"/>
        <v>51</v>
      </c>
      <c r="T2106">
        <f>INDEX([1]IDEN_level_ids!$B:$B,MATCH(G2106,[1]IDEN_level_ids!$A:$A,0),1)</f>
        <v>1182</v>
      </c>
      <c r="U2106">
        <f>INDEX([1]IDEN_level_ids!$B:$B,MATCH(H2106,[1]IDEN_level_ids!$A:$A,0),1)</f>
        <v>1027</v>
      </c>
    </row>
    <row r="2107" spans="1:21" hidden="1" x14ac:dyDescent="0.25">
      <c r="A2107">
        <v>44528.529199999997</v>
      </c>
      <c r="B2107">
        <v>2245.7512000000002</v>
      </c>
      <c r="C2107">
        <v>12</v>
      </c>
      <c r="D2107" t="s">
        <v>612</v>
      </c>
      <c r="F2107">
        <v>1974</v>
      </c>
      <c r="G2107" s="1" t="s">
        <v>94</v>
      </c>
      <c r="H2107" s="1" t="s">
        <v>401</v>
      </c>
      <c r="I2107">
        <v>6.8900000000000003E-2</v>
      </c>
      <c r="J2107">
        <v>44528.605100000001</v>
      </c>
      <c r="K2107">
        <v>3.8300000000000001E-3</v>
      </c>
      <c r="L2107">
        <v>2.32E-3</v>
      </c>
      <c r="M2107">
        <v>4.6100000000000002E-2</v>
      </c>
      <c r="N2107">
        <v>0.13650000000000001</v>
      </c>
      <c r="O2107">
        <v>2.6900000000000001E-3</v>
      </c>
      <c r="P2107" s="3">
        <f t="shared" si="128"/>
        <v>2245.7512474946066</v>
      </c>
      <c r="Q2107" s="3">
        <f t="shared" si="129"/>
        <v>3.8279330628938624E-3</v>
      </c>
      <c r="R2107" s="3">
        <f t="shared" si="130"/>
        <v>2.32E-3</v>
      </c>
      <c r="S2107">
        <f t="shared" si="131"/>
        <v>51</v>
      </c>
      <c r="T2107">
        <f>INDEX([1]IDEN_level_ids!$B:$B,MATCH(G2107,[1]IDEN_level_ids!$A:$A,0),1)</f>
        <v>1207</v>
      </c>
      <c r="U2107">
        <f>INDEX([1]IDEN_level_ids!$B:$B,MATCH(H2107,[1]IDEN_level_ids!$A:$A,0),1)</f>
        <v>1063</v>
      </c>
    </row>
    <row r="2108" spans="1:21" hidden="1" x14ac:dyDescent="0.25">
      <c r="A2108">
        <v>44525.849800000004</v>
      </c>
      <c r="B2108">
        <v>2245.8863999999999</v>
      </c>
      <c r="C2108">
        <v>12</v>
      </c>
      <c r="D2108" t="s">
        <v>612</v>
      </c>
      <c r="F2108">
        <v>1974</v>
      </c>
      <c r="G2108" s="1" t="s">
        <v>207</v>
      </c>
      <c r="H2108" s="1" t="s">
        <v>585</v>
      </c>
      <c r="I2108">
        <v>0</v>
      </c>
      <c r="J2108">
        <v>44525.832199999997</v>
      </c>
      <c r="K2108">
        <v>-8.8999999999999995E-4</v>
      </c>
      <c r="L2108">
        <v>2.32E-3</v>
      </c>
      <c r="M2108">
        <v>4.6100000000000002E-2</v>
      </c>
      <c r="N2108">
        <v>0.14269999999999999</v>
      </c>
      <c r="O2108">
        <v>2.7100000000000002E-3</v>
      </c>
      <c r="P2108" s="3">
        <f t="shared" si="128"/>
        <v>2245.8863884502434</v>
      </c>
      <c r="Q2108" s="3">
        <f t="shared" si="129"/>
        <v>-8.8774534924596082E-4</v>
      </c>
      <c r="R2108" s="3">
        <f t="shared" si="130"/>
        <v>2.32E-3</v>
      </c>
      <c r="S2108">
        <f t="shared" si="131"/>
        <v>51</v>
      </c>
      <c r="T2108">
        <f>INDEX([1]IDEN_level_ids!$B:$B,MATCH(G2108,[1]IDEN_level_ids!$A:$A,0),1)</f>
        <v>1177</v>
      </c>
      <c r="U2108">
        <f>INDEX([1]IDEN_level_ids!$B:$B,MATCH(H2108,[1]IDEN_level_ids!$A:$A,0),1)</f>
        <v>1019</v>
      </c>
    </row>
    <row r="2109" spans="1:21" hidden="1" x14ac:dyDescent="0.25">
      <c r="A2109">
        <v>44517.2209</v>
      </c>
      <c r="B2109">
        <v>2246.3217</v>
      </c>
      <c r="C2109">
        <v>12</v>
      </c>
      <c r="D2109" t="s">
        <v>612</v>
      </c>
      <c r="F2109">
        <v>1974</v>
      </c>
      <c r="G2109" s="1" t="s">
        <v>207</v>
      </c>
      <c r="H2109" s="1" t="s">
        <v>576</v>
      </c>
      <c r="I2109">
        <v>0.13669999999999999</v>
      </c>
      <c r="J2109">
        <v>44517.315000000002</v>
      </c>
      <c r="K2109">
        <v>4.7400000000000003E-3</v>
      </c>
      <c r="L2109">
        <v>2.32E-3</v>
      </c>
      <c r="M2109">
        <v>4.6100000000000002E-2</v>
      </c>
      <c r="N2109">
        <v>0.13800000000000001</v>
      </c>
      <c r="O2109">
        <v>2.7000000000000001E-3</v>
      </c>
      <c r="P2109" s="3">
        <f t="shared" si="128"/>
        <v>2246.3217150197261</v>
      </c>
      <c r="Q2109" s="3">
        <f t="shared" si="129"/>
        <v>4.7482394970757014E-3</v>
      </c>
      <c r="R2109" s="3">
        <f t="shared" si="130"/>
        <v>2.32E-3</v>
      </c>
      <c r="S2109">
        <f t="shared" si="131"/>
        <v>51</v>
      </c>
      <c r="T2109">
        <f>INDEX([1]IDEN_level_ids!$B:$B,MATCH(G2109,[1]IDEN_level_ids!$A:$A,0),1)</f>
        <v>1177</v>
      </c>
      <c r="U2109">
        <f>INDEX([1]IDEN_level_ids!$B:$B,MATCH(H2109,[1]IDEN_level_ids!$A:$A,0),1)</f>
        <v>1024</v>
      </c>
    </row>
    <row r="2110" spans="1:21" hidden="1" x14ac:dyDescent="0.25">
      <c r="A2110">
        <v>44514.529799999997</v>
      </c>
      <c r="B2110">
        <v>2246.4575</v>
      </c>
      <c r="C2110">
        <v>12</v>
      </c>
      <c r="D2110" t="s">
        <v>612</v>
      </c>
      <c r="F2110">
        <v>1974</v>
      </c>
      <c r="G2110" s="1" t="s">
        <v>46</v>
      </c>
      <c r="H2110" s="1" t="s">
        <v>466</v>
      </c>
      <c r="I2110">
        <v>0.3876</v>
      </c>
      <c r="J2110">
        <v>44514.565600000002</v>
      </c>
      <c r="K2110">
        <v>1.81E-3</v>
      </c>
      <c r="L2110">
        <v>2.32E-3</v>
      </c>
      <c r="M2110">
        <v>4.6100000000000002E-2</v>
      </c>
      <c r="N2110">
        <v>0.15740000000000001</v>
      </c>
      <c r="O2110">
        <v>2.7599999999999999E-3</v>
      </c>
      <c r="P2110" s="3">
        <f t="shared" si="128"/>
        <v>2246.4575150920723</v>
      </c>
      <c r="Q2110" s="3">
        <f t="shared" si="129"/>
        <v>1.8066710968014377E-3</v>
      </c>
      <c r="R2110" s="3">
        <f t="shared" si="130"/>
        <v>2.32E-3</v>
      </c>
      <c r="S2110">
        <f t="shared" si="131"/>
        <v>51</v>
      </c>
      <c r="T2110">
        <f>INDEX([1]IDEN_level_ids!$B:$B,MATCH(G2110,[1]IDEN_level_ids!$A:$A,0),1)</f>
        <v>1212</v>
      </c>
      <c r="U2110">
        <f>INDEX([1]IDEN_level_ids!$B:$B,MATCH(H2110,[1]IDEN_level_ids!$A:$A,0),1)</f>
        <v>1061</v>
      </c>
    </row>
    <row r="2111" spans="1:21" hidden="1" x14ac:dyDescent="0.25">
      <c r="A2111">
        <v>44507.95</v>
      </c>
      <c r="B2111">
        <v>2246.7896000000001</v>
      </c>
      <c r="C2111">
        <v>12</v>
      </c>
      <c r="D2111" t="s">
        <v>612</v>
      </c>
      <c r="F2111">
        <v>1974</v>
      </c>
      <c r="G2111" s="1" t="s">
        <v>49</v>
      </c>
      <c r="H2111" s="1" t="s">
        <v>451</v>
      </c>
      <c r="I2111">
        <v>0.38469999999999999</v>
      </c>
      <c r="J2111">
        <v>44507.9931</v>
      </c>
      <c r="K2111">
        <v>2.1800000000000001E-3</v>
      </c>
      <c r="L2111">
        <v>2.33E-3</v>
      </c>
      <c r="M2111">
        <v>4.6100000000000002E-2</v>
      </c>
      <c r="N2111">
        <v>0.1497</v>
      </c>
      <c r="O2111">
        <v>2.7299999999999998E-3</v>
      </c>
      <c r="P2111" s="3">
        <f t="shared" si="128"/>
        <v>2246.7896184838892</v>
      </c>
      <c r="Q2111" s="3">
        <f t="shared" si="129"/>
        <v>2.1757133004030038E-3</v>
      </c>
      <c r="R2111" s="3">
        <f t="shared" si="130"/>
        <v>2.33E-3</v>
      </c>
      <c r="S2111">
        <f t="shared" si="131"/>
        <v>51</v>
      </c>
      <c r="T2111">
        <f>INDEX([1]IDEN_level_ids!$B:$B,MATCH(G2111,[1]IDEN_level_ids!$A:$A,0),1)</f>
        <v>1214</v>
      </c>
      <c r="U2111">
        <f>INDEX([1]IDEN_level_ids!$B:$B,MATCH(H2111,[1]IDEN_level_ids!$A:$A,0),1)</f>
        <v>1066</v>
      </c>
    </row>
    <row r="2112" spans="1:21" hidden="1" x14ac:dyDescent="0.25">
      <c r="A2112">
        <v>44495.270499999999</v>
      </c>
      <c r="B2112">
        <v>2247.4299000000001</v>
      </c>
      <c r="C2112">
        <v>12</v>
      </c>
      <c r="D2112" t="s">
        <v>612</v>
      </c>
      <c r="F2112">
        <v>1974</v>
      </c>
      <c r="G2112" s="1" t="s">
        <v>56</v>
      </c>
      <c r="H2112" s="1" t="s">
        <v>407</v>
      </c>
      <c r="I2112">
        <v>0.27489999999999998</v>
      </c>
      <c r="J2112">
        <v>44495.334600000002</v>
      </c>
      <c r="K2112">
        <v>3.2299999999999998E-3</v>
      </c>
      <c r="L2112">
        <v>2.33E-3</v>
      </c>
      <c r="M2112">
        <v>4.6100000000000002E-2</v>
      </c>
      <c r="N2112">
        <v>0.15959999999999999</v>
      </c>
      <c r="O2112">
        <v>2.7699999999999999E-3</v>
      </c>
      <c r="P2112" s="3">
        <f t="shared" si="128"/>
        <v>2247.4298701027114</v>
      </c>
      <c r="Q2112" s="3">
        <f t="shared" si="129"/>
        <v>3.2376485305576352E-3</v>
      </c>
      <c r="R2112" s="3">
        <f t="shared" si="130"/>
        <v>2.33E-3</v>
      </c>
      <c r="S2112">
        <f t="shared" si="131"/>
        <v>51</v>
      </c>
      <c r="T2112">
        <f>INDEX([1]IDEN_level_ids!$B:$B,MATCH(G2112,[1]IDEN_level_ids!$A:$A,0),1)</f>
        <v>1221</v>
      </c>
      <c r="U2112">
        <f>INDEX([1]IDEN_level_ids!$B:$B,MATCH(H2112,[1]IDEN_level_ids!$A:$A,0),1)</f>
        <v>1073</v>
      </c>
    </row>
    <row r="2113" spans="1:21" hidden="1" x14ac:dyDescent="0.25">
      <c r="A2113">
        <v>44492.639799999997</v>
      </c>
      <c r="B2113">
        <v>2247.5628000000002</v>
      </c>
      <c r="C2113">
        <v>12</v>
      </c>
      <c r="D2113" t="s">
        <v>612</v>
      </c>
      <c r="E2113" t="s">
        <v>427</v>
      </c>
      <c r="F2113">
        <v>1974</v>
      </c>
      <c r="G2113" s="1" t="s">
        <v>76</v>
      </c>
      <c r="H2113" s="1" t="s">
        <v>476</v>
      </c>
      <c r="I2113">
        <v>0</v>
      </c>
      <c r="J2113">
        <v>44492.624199999998</v>
      </c>
      <c r="K2113">
        <v>-7.9000000000000001E-4</v>
      </c>
      <c r="L2113">
        <v>2.4599999999999999E-3</v>
      </c>
      <c r="M2113">
        <v>4.87E-2</v>
      </c>
      <c r="N2113">
        <v>0.1308</v>
      </c>
      <c r="O2113">
        <v>2.8300000000000001E-3</v>
      </c>
      <c r="P2113" s="3">
        <f t="shared" si="128"/>
        <v>2247.5627530646093</v>
      </c>
      <c r="Q2113" s="3">
        <f t="shared" si="129"/>
        <v>-7.8804025542922318E-4</v>
      </c>
      <c r="R2113" s="3">
        <f t="shared" si="130"/>
        <v>2.4599999999999999E-3</v>
      </c>
      <c r="S2113">
        <f t="shared" si="131"/>
        <v>51</v>
      </c>
      <c r="T2113">
        <f>INDEX([1]IDEN_level_ids!$B:$B,MATCH(G2113,[1]IDEN_level_ids!$A:$A,0),1)</f>
        <v>1194</v>
      </c>
      <c r="U2113">
        <f>INDEX([1]IDEN_level_ids!$B:$B,MATCH(H2113,[1]IDEN_level_ids!$A:$A,0),1)</f>
        <v>1037</v>
      </c>
    </row>
    <row r="2114" spans="1:21" hidden="1" x14ac:dyDescent="0.25">
      <c r="A2114">
        <v>44489.929300000003</v>
      </c>
      <c r="B2114">
        <v>2247.6997000000001</v>
      </c>
      <c r="C2114">
        <v>12</v>
      </c>
      <c r="D2114" t="s">
        <v>612</v>
      </c>
      <c r="F2114">
        <v>1974</v>
      </c>
      <c r="G2114" s="1" t="s">
        <v>267</v>
      </c>
      <c r="H2114" s="1" t="s">
        <v>496</v>
      </c>
      <c r="I2114">
        <v>0</v>
      </c>
      <c r="J2114">
        <v>44490.022100000002</v>
      </c>
      <c r="K2114">
        <v>4.6899999999999997E-3</v>
      </c>
      <c r="L2114">
        <v>2.33E-3</v>
      </c>
      <c r="M2114">
        <v>4.6100000000000002E-2</v>
      </c>
      <c r="N2114">
        <v>0.32629999999999998</v>
      </c>
      <c r="O2114">
        <v>3.4499999999999999E-3</v>
      </c>
      <c r="P2114" s="3">
        <f t="shared" ref="P2114:P2177" si="132">100000000/$A2114</f>
        <v>2247.6996833528347</v>
      </c>
      <c r="Q2114" s="3">
        <f t="shared" ref="Q2114:Q2177" si="133">100000000/($A2114)-100000000/$J2114</f>
        <v>4.6883890090612113E-3</v>
      </c>
      <c r="R2114" s="3">
        <f t="shared" si="130"/>
        <v>2.33E-3</v>
      </c>
      <c r="S2114">
        <f t="shared" si="131"/>
        <v>51</v>
      </c>
      <c r="T2114">
        <f>INDEX([1]IDEN_level_ids!$B:$B,MATCH(G2114,[1]IDEN_level_ids!$A:$A,0),1)</f>
        <v>1104</v>
      </c>
      <c r="U2114">
        <f>INDEX([1]IDEN_level_ids!$B:$B,MATCH(H2114,[1]IDEN_level_ids!$A:$A,0),1)</f>
        <v>944</v>
      </c>
    </row>
    <row r="2115" spans="1:21" hidden="1" x14ac:dyDescent="0.25">
      <c r="A2115">
        <v>44487.131099999999</v>
      </c>
      <c r="B2115">
        <v>2247.8411000000001</v>
      </c>
      <c r="C2115">
        <v>12</v>
      </c>
      <c r="D2115" t="s">
        <v>612</v>
      </c>
      <c r="F2115">
        <v>1974</v>
      </c>
      <c r="G2115" s="1" t="s">
        <v>197</v>
      </c>
      <c r="H2115" s="1" t="s">
        <v>541</v>
      </c>
      <c r="I2115">
        <v>0</v>
      </c>
      <c r="J2115">
        <v>44487.165699999998</v>
      </c>
      <c r="K2115">
        <v>1.75E-3</v>
      </c>
      <c r="L2115">
        <v>2.33E-3</v>
      </c>
      <c r="M2115">
        <v>4.6100000000000002E-2</v>
      </c>
      <c r="N2115">
        <v>0.17730000000000001</v>
      </c>
      <c r="O2115">
        <v>2.8300000000000001E-3</v>
      </c>
      <c r="P2115" s="3">
        <f t="shared" si="132"/>
        <v>2247.8410616143328</v>
      </c>
      <c r="Q2115" s="3">
        <f t="shared" si="133"/>
        <v>1.7482637858847738E-3</v>
      </c>
      <c r="R2115" s="3">
        <f t="shared" ref="R2115:R2178" si="134">$L2115</f>
        <v>2.33E-3</v>
      </c>
      <c r="S2115">
        <f t="shared" si="131"/>
        <v>51</v>
      </c>
      <c r="T2115">
        <f>INDEX([1]IDEN_level_ids!$B:$B,MATCH(G2115,[1]IDEN_level_ids!$A:$A,0),1)</f>
        <v>1182</v>
      </c>
      <c r="U2115">
        <f>INDEX([1]IDEN_level_ids!$B:$B,MATCH(H2115,[1]IDEN_level_ids!$A:$A,0),1)</f>
        <v>1028</v>
      </c>
    </row>
    <row r="2116" spans="1:21" hidden="1" x14ac:dyDescent="0.25">
      <c r="A2116">
        <v>44475.990700000002</v>
      </c>
      <c r="B2116">
        <v>2248.4041000000002</v>
      </c>
      <c r="C2116">
        <v>12</v>
      </c>
      <c r="D2116" t="s">
        <v>612</v>
      </c>
      <c r="F2116">
        <v>1974</v>
      </c>
      <c r="G2116" s="1" t="s">
        <v>342</v>
      </c>
      <c r="H2116" s="1" t="s">
        <v>502</v>
      </c>
      <c r="I2116">
        <v>4.7100000000000003E-2</v>
      </c>
      <c r="J2116">
        <v>44476.058799999999</v>
      </c>
      <c r="K2116">
        <v>3.4499999999999999E-3</v>
      </c>
      <c r="L2116">
        <v>2.33E-3</v>
      </c>
      <c r="M2116">
        <v>4.6100000000000002E-2</v>
      </c>
      <c r="N2116">
        <v>0.26019999999999999</v>
      </c>
      <c r="O2116">
        <v>3.15E-3</v>
      </c>
      <c r="P2116" s="3">
        <f t="shared" si="132"/>
        <v>2248.4041035650275</v>
      </c>
      <c r="Q2116" s="3">
        <f t="shared" si="133"/>
        <v>3.4426683382662304E-3</v>
      </c>
      <c r="R2116" s="3">
        <f t="shared" si="134"/>
        <v>2.33E-3</v>
      </c>
      <c r="S2116">
        <f t="shared" ref="S2116:S2179" si="135">IF(D2116=D2115,S2115,S2115+1)</f>
        <v>51</v>
      </c>
      <c r="T2116">
        <f>INDEX([1]IDEN_level_ids!$B:$B,MATCH(G2116,[1]IDEN_level_ids!$A:$A,0),1)</f>
        <v>1119</v>
      </c>
      <c r="U2116">
        <f>INDEX([1]IDEN_level_ids!$B:$B,MATCH(H2116,[1]IDEN_level_ids!$A:$A,0),1)</f>
        <v>952</v>
      </c>
    </row>
    <row r="2117" spans="1:21" hidden="1" x14ac:dyDescent="0.25">
      <c r="A2117">
        <v>44456.81</v>
      </c>
      <c r="B2117">
        <v>2249.3742000000002</v>
      </c>
      <c r="C2117">
        <v>12</v>
      </c>
      <c r="D2117" t="s">
        <v>612</v>
      </c>
      <c r="F2117">
        <v>1974</v>
      </c>
      <c r="G2117" s="1" t="s">
        <v>51</v>
      </c>
      <c r="H2117" s="1" t="s">
        <v>451</v>
      </c>
      <c r="I2117">
        <v>0.38469999999999999</v>
      </c>
      <c r="J2117">
        <v>44456.836900000002</v>
      </c>
      <c r="K2117">
        <v>1.3600000000000001E-3</v>
      </c>
      <c r="L2117">
        <v>2.33E-3</v>
      </c>
      <c r="M2117">
        <v>4.6100000000000002E-2</v>
      </c>
      <c r="N2117">
        <v>0.1739</v>
      </c>
      <c r="O2117">
        <v>2.82E-3</v>
      </c>
      <c r="P2117" s="3">
        <f t="shared" si="132"/>
        <v>2249.374167872144</v>
      </c>
      <c r="Q2117" s="3">
        <f t="shared" si="133"/>
        <v>1.3610542123387859E-3</v>
      </c>
      <c r="R2117" s="3">
        <f t="shared" si="134"/>
        <v>2.33E-3</v>
      </c>
      <c r="S2117">
        <f t="shared" si="135"/>
        <v>51</v>
      </c>
      <c r="T2117">
        <f>INDEX([1]IDEN_level_ids!$B:$B,MATCH(G2117,[1]IDEN_level_ids!$A:$A,0),1)</f>
        <v>1213</v>
      </c>
      <c r="U2117">
        <f>INDEX([1]IDEN_level_ids!$B:$B,MATCH(H2117,[1]IDEN_level_ids!$A:$A,0),1)</f>
        <v>1066</v>
      </c>
    </row>
    <row r="2118" spans="1:21" hidden="1" x14ac:dyDescent="0.25">
      <c r="A2118">
        <v>44453.789100000002</v>
      </c>
      <c r="B2118">
        <v>2249.527</v>
      </c>
      <c r="C2118">
        <v>12</v>
      </c>
      <c r="D2118" t="s">
        <v>612</v>
      </c>
      <c r="F2118">
        <v>1974</v>
      </c>
      <c r="G2118" s="1" t="s">
        <v>117</v>
      </c>
      <c r="H2118" s="1" t="s">
        <v>578</v>
      </c>
      <c r="I2118">
        <v>0.25619999999999998</v>
      </c>
      <c r="J2118">
        <v>44453.825400000002</v>
      </c>
      <c r="K2118">
        <v>1.8400000000000001E-3</v>
      </c>
      <c r="L2118">
        <v>2.33E-3</v>
      </c>
      <c r="M2118">
        <v>4.6100000000000002E-2</v>
      </c>
      <c r="N2118">
        <v>0.15770000000000001</v>
      </c>
      <c r="O2118">
        <v>2.7699999999999999E-3</v>
      </c>
      <c r="P2118" s="3">
        <f t="shared" si="132"/>
        <v>2249.5270262574759</v>
      </c>
      <c r="Q2118" s="3">
        <f t="shared" si="133"/>
        <v>1.8369134786553332E-3</v>
      </c>
      <c r="R2118" s="3">
        <f t="shared" si="134"/>
        <v>2.33E-3</v>
      </c>
      <c r="S2118">
        <f t="shared" si="135"/>
        <v>51</v>
      </c>
      <c r="T2118">
        <f>INDEX([1]IDEN_level_ids!$B:$B,MATCH(G2118,[1]IDEN_level_ids!$A:$A,0),1)</f>
        <v>1162</v>
      </c>
      <c r="U2118">
        <f>INDEX([1]IDEN_level_ids!$B:$B,MATCH(H2118,[1]IDEN_level_ids!$A:$A,0),1)</f>
        <v>1003</v>
      </c>
    </row>
    <row r="2119" spans="1:21" hidden="1" x14ac:dyDescent="0.25">
      <c r="A2119">
        <v>44450.07</v>
      </c>
      <c r="B2119">
        <v>2249.7152000000001</v>
      </c>
      <c r="C2119">
        <v>12</v>
      </c>
      <c r="D2119" t="s">
        <v>612</v>
      </c>
      <c r="F2119">
        <v>1974</v>
      </c>
      <c r="G2119" s="1" t="s">
        <v>46</v>
      </c>
      <c r="H2119" s="1" t="s">
        <v>458</v>
      </c>
      <c r="I2119">
        <v>0</v>
      </c>
      <c r="J2119">
        <v>44450.046699999999</v>
      </c>
      <c r="K2119">
        <v>-1.1800000000000001E-3</v>
      </c>
      <c r="L2119">
        <v>2.33E-3</v>
      </c>
      <c r="M2119">
        <v>4.6100000000000002E-2</v>
      </c>
      <c r="N2119">
        <v>0.16719999999999999</v>
      </c>
      <c r="O2119">
        <v>2.8E-3</v>
      </c>
      <c r="P2119" s="3">
        <f t="shared" si="132"/>
        <v>2249.7152422932068</v>
      </c>
      <c r="Q2119" s="3">
        <f t="shared" si="133"/>
        <v>-1.1792645686909964E-3</v>
      </c>
      <c r="R2119" s="3">
        <f t="shared" si="134"/>
        <v>2.33E-3</v>
      </c>
      <c r="S2119">
        <f t="shared" si="135"/>
        <v>51</v>
      </c>
      <c r="T2119">
        <f>INDEX([1]IDEN_level_ids!$B:$B,MATCH(G2119,[1]IDEN_level_ids!$A:$A,0),1)</f>
        <v>1212</v>
      </c>
      <c r="U2119">
        <f>INDEX([1]IDEN_level_ids!$B:$B,MATCH(H2119,[1]IDEN_level_ids!$A:$A,0),1)</f>
        <v>1064</v>
      </c>
    </row>
    <row r="2120" spans="1:21" hidden="1" x14ac:dyDescent="0.25">
      <c r="A2120">
        <v>44447.520100000002</v>
      </c>
      <c r="B2120">
        <v>2249.8443000000002</v>
      </c>
      <c r="C2120">
        <v>12</v>
      </c>
      <c r="D2120" t="s">
        <v>612</v>
      </c>
      <c r="F2120">
        <v>1974</v>
      </c>
      <c r="G2120" s="1" t="s">
        <v>243</v>
      </c>
      <c r="H2120" s="1" t="s">
        <v>416</v>
      </c>
      <c r="I2120">
        <v>0.26750000000000002</v>
      </c>
      <c r="J2120">
        <v>44447.511700000003</v>
      </c>
      <c r="K2120">
        <v>-4.2999999999999999E-4</v>
      </c>
      <c r="L2120">
        <v>2.33E-3</v>
      </c>
      <c r="M2120">
        <v>4.6100000000000002E-2</v>
      </c>
      <c r="N2120">
        <v>0.1668</v>
      </c>
      <c r="O2120">
        <v>2.8E-3</v>
      </c>
      <c r="P2120" s="3">
        <f t="shared" si="132"/>
        <v>2249.8443057118948</v>
      </c>
      <c r="Q2120" s="3">
        <f t="shared" si="133"/>
        <v>-4.2519123007878079E-4</v>
      </c>
      <c r="R2120" s="3">
        <f t="shared" si="134"/>
        <v>2.33E-3</v>
      </c>
      <c r="S2120">
        <f t="shared" si="135"/>
        <v>51</v>
      </c>
      <c r="T2120">
        <f>INDEX([1]IDEN_level_ids!$B:$B,MATCH(G2120,[1]IDEN_level_ids!$A:$A,0),1)</f>
        <v>1205</v>
      </c>
      <c r="U2120">
        <f>INDEX([1]IDEN_level_ids!$B:$B,MATCH(H2120,[1]IDEN_level_ids!$A:$A,0),1)</f>
        <v>1055</v>
      </c>
    </row>
    <row r="2121" spans="1:21" hidden="1" x14ac:dyDescent="0.25">
      <c r="A2121">
        <v>44437.149799999999</v>
      </c>
      <c r="B2121">
        <v>2250.3694</v>
      </c>
      <c r="C2121">
        <v>13</v>
      </c>
      <c r="D2121" t="s">
        <v>616</v>
      </c>
      <c r="F2121">
        <v>1974</v>
      </c>
      <c r="G2121" s="1" t="s">
        <v>33</v>
      </c>
      <c r="H2121" s="1" t="s">
        <v>396</v>
      </c>
      <c r="I2121">
        <v>0.42980000000000002</v>
      </c>
      <c r="J2121">
        <v>44437.165099999998</v>
      </c>
      <c r="K2121">
        <v>7.6999999999999996E-4</v>
      </c>
      <c r="L2121">
        <v>2.33E-3</v>
      </c>
      <c r="M2121">
        <v>4.6100000000000002E-2</v>
      </c>
      <c r="N2121">
        <v>0.12889999999999999</v>
      </c>
      <c r="O2121">
        <v>2.6800000000000001E-3</v>
      </c>
      <c r="P2121" s="3">
        <f t="shared" si="132"/>
        <v>2250.3693519965586</v>
      </c>
      <c r="Q2121" s="3">
        <f t="shared" si="133"/>
        <v>7.7481655307565234E-4</v>
      </c>
      <c r="R2121" s="3">
        <f t="shared" si="134"/>
        <v>2.33E-3</v>
      </c>
      <c r="S2121">
        <f t="shared" si="135"/>
        <v>52</v>
      </c>
      <c r="T2121">
        <f>INDEX([1]IDEN_level_ids!$B:$B,MATCH(G2121,[1]IDEN_level_ids!$A:$A,0),1)</f>
        <v>1220</v>
      </c>
      <c r="U2121">
        <f>INDEX([1]IDEN_level_ids!$B:$B,MATCH(H2121,[1]IDEN_level_ids!$A:$A,0),1)</f>
        <v>1072</v>
      </c>
    </row>
    <row r="2122" spans="1:21" hidden="1" x14ac:dyDescent="0.25">
      <c r="A2122">
        <v>44435.729399999997</v>
      </c>
      <c r="B2122">
        <v>2250.4413</v>
      </c>
      <c r="C2122">
        <v>13</v>
      </c>
      <c r="D2122" t="s">
        <v>616</v>
      </c>
      <c r="F2122">
        <v>1974</v>
      </c>
      <c r="G2122" s="1" t="s">
        <v>72</v>
      </c>
      <c r="H2122" s="1" t="s">
        <v>464</v>
      </c>
      <c r="I2122">
        <v>0</v>
      </c>
      <c r="J2122">
        <v>44435.689899999998</v>
      </c>
      <c r="K2122">
        <v>-2E-3</v>
      </c>
      <c r="L2122">
        <v>2.33E-3</v>
      </c>
      <c r="M2122">
        <v>4.6100000000000002E-2</v>
      </c>
      <c r="N2122">
        <v>0.1608</v>
      </c>
      <c r="O2122">
        <v>2.7799999999999999E-3</v>
      </c>
      <c r="P2122" s="3">
        <f t="shared" si="132"/>
        <v>2250.4412856560425</v>
      </c>
      <c r="Q2122" s="3">
        <f t="shared" si="133"/>
        <v>-2.0004737402814499E-3</v>
      </c>
      <c r="R2122" s="3">
        <f t="shared" si="134"/>
        <v>2.33E-3</v>
      </c>
      <c r="S2122">
        <f t="shared" si="135"/>
        <v>52</v>
      </c>
      <c r="T2122">
        <f>INDEX([1]IDEN_level_ids!$B:$B,MATCH(G2122,[1]IDEN_level_ids!$A:$A,0),1)</f>
        <v>1225</v>
      </c>
      <c r="U2122">
        <f>INDEX([1]IDEN_level_ids!$B:$B,MATCH(H2122,[1]IDEN_level_ids!$A:$A,0),1)</f>
        <v>1076</v>
      </c>
    </row>
    <row r="2123" spans="1:21" hidden="1" x14ac:dyDescent="0.25">
      <c r="A2123">
        <v>44428.539900000003</v>
      </c>
      <c r="B2123">
        <v>2250.8054999999999</v>
      </c>
      <c r="C2123">
        <v>13</v>
      </c>
      <c r="D2123" t="s">
        <v>616</v>
      </c>
      <c r="F2123">
        <v>1974</v>
      </c>
      <c r="G2123" s="1" t="s">
        <v>194</v>
      </c>
      <c r="H2123" s="1" t="s">
        <v>452</v>
      </c>
      <c r="I2123">
        <v>0.25619999999999998</v>
      </c>
      <c r="J2123">
        <v>44428.499400000001</v>
      </c>
      <c r="K2123">
        <v>-2.0500000000000002E-3</v>
      </c>
      <c r="L2123">
        <v>2.33E-3</v>
      </c>
      <c r="M2123">
        <v>4.6100000000000002E-2</v>
      </c>
      <c r="N2123">
        <v>0.1163</v>
      </c>
      <c r="O2123">
        <v>2.64E-3</v>
      </c>
      <c r="P2123" s="3">
        <f t="shared" si="132"/>
        <v>2250.8054557966689</v>
      </c>
      <c r="Q2123" s="3">
        <f t="shared" si="133"/>
        <v>-2.0517825764727604E-3</v>
      </c>
      <c r="R2123" s="3">
        <f t="shared" si="134"/>
        <v>2.33E-3</v>
      </c>
      <c r="S2123">
        <f t="shared" si="135"/>
        <v>52</v>
      </c>
      <c r="T2123">
        <f>INDEX([1]IDEN_level_ids!$B:$B,MATCH(G2123,[1]IDEN_level_ids!$A:$A,0),1)</f>
        <v>1187</v>
      </c>
      <c r="U2123">
        <f>INDEX([1]IDEN_level_ids!$B:$B,MATCH(H2123,[1]IDEN_level_ids!$A:$A,0),1)</f>
        <v>1033</v>
      </c>
    </row>
    <row r="2124" spans="1:21" hidden="1" x14ac:dyDescent="0.25">
      <c r="A2124">
        <v>44402.159699999997</v>
      </c>
      <c r="B2124">
        <v>2252.1426999999999</v>
      </c>
      <c r="C2124">
        <v>13</v>
      </c>
      <c r="D2124" t="s">
        <v>616</v>
      </c>
      <c r="F2124">
        <v>1974</v>
      </c>
      <c r="G2124" s="1" t="s">
        <v>85</v>
      </c>
      <c r="H2124" s="1" t="s">
        <v>528</v>
      </c>
      <c r="I2124">
        <v>0</v>
      </c>
      <c r="J2124">
        <v>44402.186600000001</v>
      </c>
      <c r="K2124">
        <v>1.3699999999999999E-3</v>
      </c>
      <c r="L2124">
        <v>2.3400000000000001E-3</v>
      </c>
      <c r="M2124">
        <v>4.6100000000000002E-2</v>
      </c>
      <c r="N2124">
        <v>0.28789999999999999</v>
      </c>
      <c r="O2124">
        <v>3.2799999999999999E-3</v>
      </c>
      <c r="P2124" s="3">
        <f t="shared" si="132"/>
        <v>2252.1427037703306</v>
      </c>
      <c r="Q2124" s="3">
        <f t="shared" si="133"/>
        <v>1.3644066516462772E-3</v>
      </c>
      <c r="R2124" s="3">
        <f t="shared" si="134"/>
        <v>2.3400000000000001E-3</v>
      </c>
      <c r="S2124">
        <f t="shared" si="135"/>
        <v>52</v>
      </c>
      <c r="T2124">
        <f>INDEX([1]IDEN_level_ids!$B:$B,MATCH(G2124,[1]IDEN_level_ids!$A:$A,0),1)</f>
        <v>1168</v>
      </c>
      <c r="U2124">
        <f>INDEX([1]IDEN_level_ids!$B:$B,MATCH(H2124,[1]IDEN_level_ids!$A:$A,0),1)</f>
        <v>1009</v>
      </c>
    </row>
    <row r="2125" spans="1:21" hidden="1" x14ac:dyDescent="0.25">
      <c r="A2125">
        <v>44400.109499999999</v>
      </c>
      <c r="B2125">
        <v>2252.2467000000001</v>
      </c>
      <c r="C2125">
        <v>13</v>
      </c>
      <c r="D2125" t="s">
        <v>616</v>
      </c>
      <c r="F2125">
        <v>1974</v>
      </c>
      <c r="G2125" s="1" t="s">
        <v>40</v>
      </c>
      <c r="H2125" s="1" t="s">
        <v>569</v>
      </c>
      <c r="I2125">
        <v>0</v>
      </c>
      <c r="J2125">
        <v>44400.071900000003</v>
      </c>
      <c r="K2125">
        <v>-1.91E-3</v>
      </c>
      <c r="L2125">
        <v>2.3400000000000001E-3</v>
      </c>
      <c r="M2125">
        <v>4.6100000000000002E-2</v>
      </c>
      <c r="N2125">
        <v>0.12130000000000001</v>
      </c>
      <c r="O2125">
        <v>2.66E-3</v>
      </c>
      <c r="P2125" s="3">
        <f t="shared" si="132"/>
        <v>2252.2466977249233</v>
      </c>
      <c r="Q2125" s="3">
        <f t="shared" si="133"/>
        <v>-1.9073049256803642E-3</v>
      </c>
      <c r="R2125" s="3">
        <f t="shared" si="134"/>
        <v>2.3400000000000001E-3</v>
      </c>
      <c r="S2125">
        <f t="shared" si="135"/>
        <v>52</v>
      </c>
      <c r="T2125">
        <f>INDEX([1]IDEN_level_ids!$B:$B,MATCH(G2125,[1]IDEN_level_ids!$A:$A,0),1)</f>
        <v>1199</v>
      </c>
      <c r="U2125">
        <f>INDEX([1]IDEN_level_ids!$B:$B,MATCH(H2125,[1]IDEN_level_ids!$A:$A,0),1)</f>
        <v>1049</v>
      </c>
    </row>
    <row r="2126" spans="1:21" hidden="1" x14ac:dyDescent="0.25">
      <c r="A2126">
        <v>44387.199200000003</v>
      </c>
      <c r="B2126">
        <v>2252.9018000000001</v>
      </c>
      <c r="C2126">
        <v>13</v>
      </c>
      <c r="D2126" t="s">
        <v>616</v>
      </c>
      <c r="F2126">
        <v>1974</v>
      </c>
      <c r="G2126" s="1" t="s">
        <v>40</v>
      </c>
      <c r="H2126" s="1" t="s">
        <v>438</v>
      </c>
      <c r="I2126">
        <v>0</v>
      </c>
      <c r="J2126">
        <v>44387.247600000002</v>
      </c>
      <c r="K2126">
        <v>2.4599999999999999E-3</v>
      </c>
      <c r="L2126">
        <v>2.3400000000000001E-3</v>
      </c>
      <c r="M2126">
        <v>4.6100000000000002E-2</v>
      </c>
      <c r="N2126">
        <v>9.5200000000000007E-2</v>
      </c>
      <c r="O2126">
        <v>2.5799999999999998E-3</v>
      </c>
      <c r="P2126" s="3">
        <f t="shared" si="132"/>
        <v>2252.9017780423505</v>
      </c>
      <c r="Q2126" s="3">
        <f t="shared" si="133"/>
        <v>2.4565714693380869E-3</v>
      </c>
      <c r="R2126" s="3">
        <f t="shared" si="134"/>
        <v>2.3400000000000001E-3</v>
      </c>
      <c r="S2126">
        <f t="shared" si="135"/>
        <v>52</v>
      </c>
      <c r="T2126">
        <f>INDEX([1]IDEN_level_ids!$B:$B,MATCH(G2126,[1]IDEN_level_ids!$A:$A,0),1)</f>
        <v>1199</v>
      </c>
      <c r="U2126">
        <f>INDEX([1]IDEN_level_ids!$B:$B,MATCH(H2126,[1]IDEN_level_ids!$A:$A,0),1)</f>
        <v>1051</v>
      </c>
    </row>
    <row r="2127" spans="1:21" hidden="1" x14ac:dyDescent="0.25">
      <c r="A2127">
        <v>44384.3796</v>
      </c>
      <c r="B2127">
        <v>2253.0448999999999</v>
      </c>
      <c r="C2127">
        <v>13</v>
      </c>
      <c r="D2127" t="s">
        <v>616</v>
      </c>
      <c r="F2127">
        <v>1974</v>
      </c>
      <c r="G2127" s="1" t="s">
        <v>53</v>
      </c>
      <c r="H2127" s="1" t="s">
        <v>545</v>
      </c>
      <c r="I2127">
        <v>0</v>
      </c>
      <c r="J2127">
        <v>44384.3874</v>
      </c>
      <c r="K2127">
        <v>3.8999999999999999E-4</v>
      </c>
      <c r="L2127">
        <v>2.3400000000000001E-3</v>
      </c>
      <c r="M2127">
        <v>4.6100000000000002E-2</v>
      </c>
      <c r="N2127">
        <v>0.2165</v>
      </c>
      <c r="O2127">
        <v>2.98E-3</v>
      </c>
      <c r="P2127" s="3">
        <f t="shared" si="132"/>
        <v>2253.044897804542</v>
      </c>
      <c r="Q2127" s="3">
        <f t="shared" si="133"/>
        <v>3.9594441250301315E-4</v>
      </c>
      <c r="R2127" s="3">
        <f t="shared" si="134"/>
        <v>2.3400000000000001E-3</v>
      </c>
      <c r="S2127">
        <f t="shared" si="135"/>
        <v>52</v>
      </c>
      <c r="T2127">
        <f>INDEX([1]IDEN_level_ids!$B:$B,MATCH(G2127,[1]IDEN_level_ids!$A:$A,0),1)</f>
        <v>1231</v>
      </c>
      <c r="U2127">
        <f>INDEX([1]IDEN_level_ids!$B:$B,MATCH(H2127,[1]IDEN_level_ids!$A:$A,0),1)</f>
        <v>1081</v>
      </c>
    </row>
    <row r="2128" spans="1:21" hidden="1" x14ac:dyDescent="0.25">
      <c r="A2128">
        <v>44374.270499999999</v>
      </c>
      <c r="B2128">
        <v>2253.5581999999999</v>
      </c>
      <c r="C2128">
        <v>13</v>
      </c>
      <c r="D2128" t="s">
        <v>616</v>
      </c>
      <c r="F2128">
        <v>1974</v>
      </c>
      <c r="G2128" s="1" t="s">
        <v>271</v>
      </c>
      <c r="H2128" s="1" t="s">
        <v>580</v>
      </c>
      <c r="I2128">
        <v>0.20710000000000001</v>
      </c>
      <c r="J2128">
        <v>44374.251600000003</v>
      </c>
      <c r="K2128">
        <v>-9.6000000000000002E-4</v>
      </c>
      <c r="L2128">
        <v>2.3400000000000001E-3</v>
      </c>
      <c r="M2128">
        <v>4.6100000000000002E-2</v>
      </c>
      <c r="N2128">
        <v>0.1066</v>
      </c>
      <c r="O2128">
        <v>2.6199999999999999E-3</v>
      </c>
      <c r="P2128" s="3">
        <f t="shared" si="132"/>
        <v>2253.5581739873337</v>
      </c>
      <c r="Q2128" s="3">
        <f t="shared" si="133"/>
        <v>-9.5984152812889079E-4</v>
      </c>
      <c r="R2128" s="3">
        <f t="shared" si="134"/>
        <v>2.3400000000000001E-3</v>
      </c>
      <c r="S2128">
        <f t="shared" si="135"/>
        <v>52</v>
      </c>
      <c r="T2128">
        <f>INDEX([1]IDEN_level_ids!$B:$B,MATCH(G2128,[1]IDEN_level_ids!$A:$A,0),1)</f>
        <v>1158</v>
      </c>
      <c r="U2128">
        <f>INDEX([1]IDEN_level_ids!$B:$B,MATCH(H2128,[1]IDEN_level_ids!$A:$A,0),1)</f>
        <v>1001</v>
      </c>
    </row>
    <row r="2129" spans="1:21" hidden="1" x14ac:dyDescent="0.25">
      <c r="A2129">
        <v>44371.040500000003</v>
      </c>
      <c r="B2129">
        <v>2253.7222000000002</v>
      </c>
      <c r="C2129">
        <v>13</v>
      </c>
      <c r="D2129" t="s">
        <v>616</v>
      </c>
      <c r="F2129">
        <v>1974</v>
      </c>
      <c r="G2129" s="1" t="s">
        <v>275</v>
      </c>
      <c r="H2129" s="1" t="s">
        <v>508</v>
      </c>
      <c r="I2129">
        <v>0</v>
      </c>
      <c r="J2129">
        <v>44371.095800000003</v>
      </c>
      <c r="K2129">
        <v>2.8E-3</v>
      </c>
      <c r="L2129">
        <v>2.3400000000000001E-3</v>
      </c>
      <c r="M2129">
        <v>4.6100000000000002E-2</v>
      </c>
      <c r="N2129">
        <v>0.1986</v>
      </c>
      <c r="O2129">
        <v>2.9199999999999999E-3</v>
      </c>
      <c r="P2129" s="3">
        <f t="shared" si="132"/>
        <v>2253.7222222679225</v>
      </c>
      <c r="Q2129" s="3">
        <f t="shared" si="133"/>
        <v>2.8088294111512369E-3</v>
      </c>
      <c r="R2129" s="3">
        <f t="shared" si="134"/>
        <v>2.3400000000000001E-3</v>
      </c>
      <c r="S2129">
        <f t="shared" si="135"/>
        <v>52</v>
      </c>
      <c r="T2129">
        <f>INDEX([1]IDEN_level_ids!$B:$B,MATCH(G2129,[1]IDEN_level_ids!$A:$A,0),1)</f>
        <v>1134</v>
      </c>
      <c r="U2129">
        <f>INDEX([1]IDEN_level_ids!$B:$B,MATCH(H2129,[1]IDEN_level_ids!$A:$A,0),1)</f>
        <v>961</v>
      </c>
    </row>
    <row r="2130" spans="1:21" hidden="1" x14ac:dyDescent="0.25">
      <c r="A2130">
        <v>44368.819499999998</v>
      </c>
      <c r="B2130">
        <v>2253.835</v>
      </c>
      <c r="C2130">
        <v>13</v>
      </c>
      <c r="D2130" t="s">
        <v>616</v>
      </c>
      <c r="F2130">
        <v>1974</v>
      </c>
      <c r="G2130" s="1" t="s">
        <v>172</v>
      </c>
      <c r="H2130" s="1" t="s">
        <v>487</v>
      </c>
      <c r="I2130">
        <v>0</v>
      </c>
      <c r="J2130">
        <v>44368.8629</v>
      </c>
      <c r="K2130">
        <v>2.2000000000000001E-3</v>
      </c>
      <c r="L2130">
        <v>2.3400000000000001E-3</v>
      </c>
      <c r="M2130">
        <v>4.6100000000000002E-2</v>
      </c>
      <c r="N2130">
        <v>0.16739999999999999</v>
      </c>
      <c r="O2130">
        <v>2.81E-3</v>
      </c>
      <c r="P2130" s="3">
        <f t="shared" si="132"/>
        <v>2253.8350383651746</v>
      </c>
      <c r="Q2130" s="3">
        <f t="shared" si="133"/>
        <v>2.2046190565561119E-3</v>
      </c>
      <c r="R2130" s="3">
        <f t="shared" si="134"/>
        <v>2.3400000000000001E-3</v>
      </c>
      <c r="S2130">
        <f t="shared" si="135"/>
        <v>52</v>
      </c>
      <c r="T2130">
        <f>INDEX([1]IDEN_level_ids!$B:$B,MATCH(G2130,[1]IDEN_level_ids!$A:$A,0),1)</f>
        <v>1136</v>
      </c>
      <c r="U2130">
        <f>INDEX([1]IDEN_level_ids!$B:$B,MATCH(H2130,[1]IDEN_level_ids!$A:$A,0),1)</f>
        <v>968</v>
      </c>
    </row>
    <row r="2131" spans="1:21" hidden="1" x14ac:dyDescent="0.25">
      <c r="A2131">
        <v>44367.320200000002</v>
      </c>
      <c r="B2131">
        <v>2253.9112</v>
      </c>
      <c r="C2131">
        <v>13</v>
      </c>
      <c r="D2131" t="s">
        <v>616</v>
      </c>
      <c r="F2131">
        <v>1974</v>
      </c>
      <c r="G2131" s="1" t="s">
        <v>204</v>
      </c>
      <c r="H2131" s="1" t="s">
        <v>617</v>
      </c>
      <c r="I2131">
        <v>0</v>
      </c>
      <c r="J2131">
        <v>44367.360099999998</v>
      </c>
      <c r="K2131">
        <v>2.0300000000000001E-3</v>
      </c>
      <c r="L2131">
        <v>2.3400000000000001E-3</v>
      </c>
      <c r="M2131">
        <v>4.6100000000000002E-2</v>
      </c>
      <c r="N2131">
        <v>0.18790000000000001</v>
      </c>
      <c r="O2131">
        <v>2.8800000000000002E-3</v>
      </c>
      <c r="P2131" s="3">
        <f t="shared" si="132"/>
        <v>2253.9112019661716</v>
      </c>
      <c r="Q2131" s="3">
        <f t="shared" si="133"/>
        <v>2.0269643441679364E-3</v>
      </c>
      <c r="R2131" s="3">
        <f t="shared" si="134"/>
        <v>2.3400000000000001E-3</v>
      </c>
      <c r="S2131">
        <f t="shared" si="135"/>
        <v>52</v>
      </c>
      <c r="T2131">
        <f>INDEX([1]IDEN_level_ids!$B:$B,MATCH(G2131,[1]IDEN_level_ids!$A:$A,0),1)</f>
        <v>1176</v>
      </c>
      <c r="U2131">
        <f>INDEX([1]IDEN_level_ids!$B:$B,MATCH(H2131,[1]IDEN_level_ids!$A:$A,0),1)</f>
        <v>1018</v>
      </c>
    </row>
    <row r="2132" spans="1:21" hidden="1" x14ac:dyDescent="0.25">
      <c r="A2132">
        <v>44363.109600000003</v>
      </c>
      <c r="B2132">
        <v>2254.1251000000002</v>
      </c>
      <c r="C2132">
        <v>13</v>
      </c>
      <c r="D2132" t="s">
        <v>616</v>
      </c>
      <c r="F2132">
        <v>1974</v>
      </c>
      <c r="G2132" s="1" t="s">
        <v>94</v>
      </c>
      <c r="H2132" s="1" t="s">
        <v>431</v>
      </c>
      <c r="I2132">
        <v>0.28649999999999998</v>
      </c>
      <c r="J2132">
        <v>44363.181299999997</v>
      </c>
      <c r="K2132">
        <v>3.64E-3</v>
      </c>
      <c r="L2132">
        <v>2.3400000000000001E-3</v>
      </c>
      <c r="M2132">
        <v>4.6100000000000002E-2</v>
      </c>
      <c r="N2132">
        <v>0.1145</v>
      </c>
      <c r="O2132">
        <v>2.64E-3</v>
      </c>
      <c r="P2132" s="3">
        <f t="shared" si="132"/>
        <v>2254.125125620139</v>
      </c>
      <c r="Q2132" s="3">
        <f t="shared" si="133"/>
        <v>3.6431285302569449E-3</v>
      </c>
      <c r="R2132" s="3">
        <f t="shared" si="134"/>
        <v>2.3400000000000001E-3</v>
      </c>
      <c r="S2132">
        <f t="shared" si="135"/>
        <v>52</v>
      </c>
      <c r="T2132">
        <f>INDEX([1]IDEN_level_ids!$B:$B,MATCH(G2132,[1]IDEN_level_ids!$A:$A,0),1)</f>
        <v>1207</v>
      </c>
      <c r="U2132">
        <f>INDEX([1]IDEN_level_ids!$B:$B,MATCH(H2132,[1]IDEN_level_ids!$A:$A,0),1)</f>
        <v>1062</v>
      </c>
    </row>
    <row r="2133" spans="1:21" hidden="1" x14ac:dyDescent="0.25">
      <c r="A2133">
        <v>44356.100299999998</v>
      </c>
      <c r="B2133">
        <v>2254.4812999999999</v>
      </c>
      <c r="C2133">
        <v>13</v>
      </c>
      <c r="D2133" t="s">
        <v>616</v>
      </c>
      <c r="F2133">
        <v>1974</v>
      </c>
      <c r="G2133" s="1" t="s">
        <v>268</v>
      </c>
      <c r="H2133" s="1" t="s">
        <v>520</v>
      </c>
      <c r="I2133">
        <v>0.3095</v>
      </c>
      <c r="J2133">
        <v>44356.133999999998</v>
      </c>
      <c r="K2133">
        <v>1.72E-3</v>
      </c>
      <c r="L2133">
        <v>2.3400000000000001E-3</v>
      </c>
      <c r="M2133">
        <v>4.6100000000000002E-2</v>
      </c>
      <c r="N2133">
        <v>0.159</v>
      </c>
      <c r="O2133">
        <v>2.7799999999999999E-3</v>
      </c>
      <c r="P2133" s="3">
        <f t="shared" si="132"/>
        <v>2254.4813300460501</v>
      </c>
      <c r="Q2133" s="3">
        <f t="shared" si="133"/>
        <v>1.7128639033217041E-3</v>
      </c>
      <c r="R2133" s="3">
        <f t="shared" si="134"/>
        <v>2.3400000000000001E-3</v>
      </c>
      <c r="S2133">
        <f t="shared" si="135"/>
        <v>52</v>
      </c>
      <c r="T2133">
        <f>INDEX([1]IDEN_level_ids!$B:$B,MATCH(G2133,[1]IDEN_level_ids!$A:$A,0),1)</f>
        <v>1160</v>
      </c>
      <c r="U2133">
        <f>INDEX([1]IDEN_level_ids!$B:$B,MATCH(H2133,[1]IDEN_level_ids!$A:$A,0),1)</f>
        <v>1002</v>
      </c>
    </row>
    <row r="2134" spans="1:21" hidden="1" x14ac:dyDescent="0.25">
      <c r="A2134">
        <v>44346.659500000002</v>
      </c>
      <c r="B2134">
        <v>2254.9612999999999</v>
      </c>
      <c r="C2134">
        <v>13</v>
      </c>
      <c r="D2134" t="s">
        <v>616</v>
      </c>
      <c r="F2134">
        <v>1974</v>
      </c>
      <c r="G2134" s="1" t="s">
        <v>138</v>
      </c>
      <c r="H2134" s="1" t="s">
        <v>486</v>
      </c>
      <c r="I2134">
        <v>0.52449999999999997</v>
      </c>
      <c r="J2134">
        <v>44346.6823</v>
      </c>
      <c r="K2134">
        <v>1.16E-3</v>
      </c>
      <c r="L2134">
        <v>2.3400000000000001E-3</v>
      </c>
      <c r="M2134">
        <v>4.6100000000000002E-2</v>
      </c>
      <c r="N2134">
        <v>0.2306</v>
      </c>
      <c r="O2134">
        <v>3.0400000000000002E-3</v>
      </c>
      <c r="P2134" s="3">
        <f t="shared" si="132"/>
        <v>2254.9612784250412</v>
      </c>
      <c r="Q2134" s="3">
        <f t="shared" si="133"/>
        <v>1.1593452877605159E-3</v>
      </c>
      <c r="R2134" s="3">
        <f t="shared" si="134"/>
        <v>2.3400000000000001E-3</v>
      </c>
      <c r="S2134">
        <f t="shared" si="135"/>
        <v>52</v>
      </c>
      <c r="T2134">
        <f>INDEX([1]IDEN_level_ids!$B:$B,MATCH(G2134,[1]IDEN_level_ids!$A:$A,0),1)</f>
        <v>1126</v>
      </c>
      <c r="U2134">
        <f>INDEX([1]IDEN_level_ids!$B:$B,MATCH(H2134,[1]IDEN_level_ids!$A:$A,0),1)</f>
        <v>958</v>
      </c>
    </row>
    <row r="2135" spans="1:21" hidden="1" x14ac:dyDescent="0.25">
      <c r="A2135">
        <v>44344.6702</v>
      </c>
      <c r="B2135">
        <v>2255.0623999999998</v>
      </c>
      <c r="C2135">
        <v>13</v>
      </c>
      <c r="D2135" t="s">
        <v>616</v>
      </c>
      <c r="F2135">
        <v>1974</v>
      </c>
      <c r="G2135" s="1" t="s">
        <v>251</v>
      </c>
      <c r="H2135" s="1" t="s">
        <v>454</v>
      </c>
      <c r="I2135">
        <v>0</v>
      </c>
      <c r="J2135">
        <v>44344.704100000003</v>
      </c>
      <c r="K2135">
        <v>1.73E-3</v>
      </c>
      <c r="L2135">
        <v>2.3400000000000001E-3</v>
      </c>
      <c r="M2135">
        <v>4.6100000000000002E-2</v>
      </c>
      <c r="N2135">
        <v>0.20480000000000001</v>
      </c>
      <c r="O2135">
        <v>2.9499999999999999E-3</v>
      </c>
      <c r="P2135" s="3">
        <f t="shared" si="132"/>
        <v>2255.0624358911118</v>
      </c>
      <c r="Q2135" s="3">
        <f t="shared" si="133"/>
        <v>1.7239176158909686E-3</v>
      </c>
      <c r="R2135" s="3">
        <f t="shared" si="134"/>
        <v>2.3400000000000001E-3</v>
      </c>
      <c r="S2135">
        <f t="shared" si="135"/>
        <v>52</v>
      </c>
      <c r="T2135">
        <f>INDEX([1]IDEN_level_ids!$B:$B,MATCH(G2135,[1]IDEN_level_ids!$A:$A,0),1)</f>
        <v>1192</v>
      </c>
      <c r="U2135">
        <f>INDEX([1]IDEN_level_ids!$B:$B,MATCH(H2135,[1]IDEN_level_ids!$A:$A,0),1)</f>
        <v>1036</v>
      </c>
    </row>
    <row r="2136" spans="1:21" hidden="1" x14ac:dyDescent="0.25">
      <c r="A2136">
        <v>44342.110800000002</v>
      </c>
      <c r="B2136">
        <v>2255.1925999999999</v>
      </c>
      <c r="C2136">
        <v>13</v>
      </c>
      <c r="D2136" t="s">
        <v>616</v>
      </c>
      <c r="F2136">
        <v>1974</v>
      </c>
      <c r="G2136" s="1" t="s">
        <v>275</v>
      </c>
      <c r="H2136" s="1" t="s">
        <v>493</v>
      </c>
      <c r="I2136">
        <v>0.14069999999999999</v>
      </c>
      <c r="J2136">
        <v>44342.199500000002</v>
      </c>
      <c r="K2136">
        <v>4.5100000000000001E-3</v>
      </c>
      <c r="L2136">
        <v>2.3400000000000001E-3</v>
      </c>
      <c r="M2136">
        <v>4.6100000000000002E-2</v>
      </c>
      <c r="N2136">
        <v>0.25230000000000002</v>
      </c>
      <c r="O2136">
        <v>3.13E-3</v>
      </c>
      <c r="P2136" s="3">
        <f t="shared" si="132"/>
        <v>2255.1925967403427</v>
      </c>
      <c r="Q2136" s="3">
        <f t="shared" si="133"/>
        <v>4.511178642133018E-3</v>
      </c>
      <c r="R2136" s="3">
        <f t="shared" si="134"/>
        <v>2.3400000000000001E-3</v>
      </c>
      <c r="S2136">
        <f t="shared" si="135"/>
        <v>52</v>
      </c>
      <c r="T2136">
        <f>INDEX([1]IDEN_level_ids!$B:$B,MATCH(G2136,[1]IDEN_level_ids!$A:$A,0),1)</f>
        <v>1134</v>
      </c>
      <c r="U2136">
        <f>INDEX([1]IDEN_level_ids!$B:$B,MATCH(H2136,[1]IDEN_level_ids!$A:$A,0),1)</f>
        <v>963</v>
      </c>
    </row>
    <row r="2137" spans="1:21" hidden="1" x14ac:dyDescent="0.25">
      <c r="A2137">
        <v>44331.419600000001</v>
      </c>
      <c r="B2137">
        <v>2255.7365</v>
      </c>
      <c r="C2137">
        <v>13</v>
      </c>
      <c r="D2137" t="s">
        <v>616</v>
      </c>
      <c r="F2137">
        <v>1974</v>
      </c>
      <c r="G2137" s="1" t="s">
        <v>259</v>
      </c>
      <c r="H2137" s="1" t="s">
        <v>502</v>
      </c>
      <c r="I2137">
        <v>4.7100000000000003E-2</v>
      </c>
      <c r="J2137">
        <v>44331.438900000001</v>
      </c>
      <c r="K2137">
        <v>9.7999999999999997E-4</v>
      </c>
      <c r="L2137">
        <v>2.3400000000000001E-3</v>
      </c>
      <c r="M2137">
        <v>4.6100000000000002E-2</v>
      </c>
      <c r="N2137">
        <v>0.2366</v>
      </c>
      <c r="O2137">
        <v>3.0699999999999998E-3</v>
      </c>
      <c r="P2137" s="3">
        <f t="shared" si="132"/>
        <v>2255.7364709340368</v>
      </c>
      <c r="Q2137" s="3">
        <f t="shared" si="133"/>
        <v>9.8205054837308126E-4</v>
      </c>
      <c r="R2137" s="3">
        <f t="shared" si="134"/>
        <v>2.3400000000000001E-3</v>
      </c>
      <c r="S2137">
        <f t="shared" si="135"/>
        <v>52</v>
      </c>
      <c r="T2137">
        <f>INDEX([1]IDEN_level_ids!$B:$B,MATCH(G2137,[1]IDEN_level_ids!$A:$A,0),1)</f>
        <v>1117</v>
      </c>
      <c r="U2137">
        <f>INDEX([1]IDEN_level_ids!$B:$B,MATCH(H2137,[1]IDEN_level_ids!$A:$A,0),1)</f>
        <v>952</v>
      </c>
    </row>
    <row r="2138" spans="1:21" hidden="1" x14ac:dyDescent="0.25">
      <c r="A2138">
        <v>44330.809699999998</v>
      </c>
      <c r="B2138">
        <v>2255.7674999999999</v>
      </c>
      <c r="C2138">
        <v>13</v>
      </c>
      <c r="D2138" t="s">
        <v>616</v>
      </c>
      <c r="F2138">
        <v>1974</v>
      </c>
      <c r="G2138" s="1" t="s">
        <v>71</v>
      </c>
      <c r="H2138" s="1" t="s">
        <v>536</v>
      </c>
      <c r="I2138">
        <v>0</v>
      </c>
      <c r="J2138">
        <v>44330.756000000001</v>
      </c>
      <c r="K2138">
        <v>-2.7399999999999998E-3</v>
      </c>
      <c r="L2138">
        <v>2.3400000000000001E-3</v>
      </c>
      <c r="M2138">
        <v>4.6100000000000002E-2</v>
      </c>
      <c r="N2138">
        <v>0.10059999999999999</v>
      </c>
      <c r="O2138">
        <v>2.6099999999999999E-3</v>
      </c>
      <c r="P2138" s="3">
        <f t="shared" si="132"/>
        <v>2255.7675051895117</v>
      </c>
      <c r="Q2138" s="3">
        <f t="shared" si="133"/>
        <v>-2.7325208488946373E-3</v>
      </c>
      <c r="R2138" s="3">
        <f t="shared" si="134"/>
        <v>2.3400000000000001E-3</v>
      </c>
      <c r="S2138">
        <f t="shared" si="135"/>
        <v>52</v>
      </c>
      <c r="T2138">
        <f>INDEX([1]IDEN_level_ids!$B:$B,MATCH(G2138,[1]IDEN_level_ids!$A:$A,0),1)</f>
        <v>1179</v>
      </c>
      <c r="U2138">
        <f>INDEX([1]IDEN_level_ids!$B:$B,MATCH(H2138,[1]IDEN_level_ids!$A:$A,0),1)</f>
        <v>1021</v>
      </c>
    </row>
    <row r="2139" spans="1:21" hidden="1" x14ac:dyDescent="0.25">
      <c r="A2139">
        <v>44324.029699999999</v>
      </c>
      <c r="B2139">
        <v>2256.1125999999999</v>
      </c>
      <c r="C2139">
        <v>13</v>
      </c>
      <c r="D2139" t="s">
        <v>616</v>
      </c>
      <c r="F2139">
        <v>1974</v>
      </c>
      <c r="G2139" s="1" t="s">
        <v>77</v>
      </c>
      <c r="H2139" s="1" t="s">
        <v>569</v>
      </c>
      <c r="I2139">
        <v>0</v>
      </c>
      <c r="J2139">
        <v>44324.047400000003</v>
      </c>
      <c r="K2139">
        <v>8.9999999999999998E-4</v>
      </c>
      <c r="L2139">
        <v>2.3400000000000001E-3</v>
      </c>
      <c r="M2139">
        <v>4.6100000000000002E-2</v>
      </c>
      <c r="N2139">
        <v>0.1502</v>
      </c>
      <c r="O2139">
        <v>2.7599999999999999E-3</v>
      </c>
      <c r="P2139" s="3">
        <f t="shared" si="132"/>
        <v>2256.1125573832924</v>
      </c>
      <c r="Q2139" s="3">
        <f t="shared" si="133"/>
        <v>9.0093740573138348E-4</v>
      </c>
      <c r="R2139" s="3">
        <f t="shared" si="134"/>
        <v>2.3400000000000001E-3</v>
      </c>
      <c r="S2139">
        <f t="shared" si="135"/>
        <v>52</v>
      </c>
      <c r="T2139">
        <f>INDEX([1]IDEN_level_ids!$B:$B,MATCH(G2139,[1]IDEN_level_ids!$A:$A,0),1)</f>
        <v>1197</v>
      </c>
      <c r="U2139">
        <f>INDEX([1]IDEN_level_ids!$B:$B,MATCH(H2139,[1]IDEN_level_ids!$A:$A,0),1)</f>
        <v>1049</v>
      </c>
    </row>
    <row r="2140" spans="1:21" hidden="1" x14ac:dyDescent="0.25">
      <c r="A2140">
        <v>44318.170700000002</v>
      </c>
      <c r="B2140">
        <v>2256.4108000000001</v>
      </c>
      <c r="C2140">
        <v>13</v>
      </c>
      <c r="D2140" t="s">
        <v>616</v>
      </c>
      <c r="E2140" t="s">
        <v>427</v>
      </c>
      <c r="F2140">
        <v>1974</v>
      </c>
      <c r="G2140" s="1" t="s">
        <v>203</v>
      </c>
      <c r="H2140" s="1" t="s">
        <v>486</v>
      </c>
      <c r="I2140">
        <v>0.52449999999999997</v>
      </c>
      <c r="J2140">
        <v>44318.2255</v>
      </c>
      <c r="K2140">
        <v>2.7899999999999999E-3</v>
      </c>
      <c r="L2140">
        <v>2.48E-3</v>
      </c>
      <c r="M2140">
        <v>4.87E-2</v>
      </c>
      <c r="N2140">
        <v>0.22309999999999999</v>
      </c>
      <c r="O2140">
        <v>3.1900000000000001E-3</v>
      </c>
      <c r="P2140" s="3">
        <f t="shared" si="132"/>
        <v>2256.4108224800893</v>
      </c>
      <c r="Q2140" s="3">
        <f t="shared" si="133"/>
        <v>2.7900781601601921E-3</v>
      </c>
      <c r="R2140" s="3">
        <f t="shared" si="134"/>
        <v>2.48E-3</v>
      </c>
      <c r="S2140">
        <f t="shared" si="135"/>
        <v>52</v>
      </c>
      <c r="T2140">
        <f>INDEX([1]IDEN_level_ids!$B:$B,MATCH(G2140,[1]IDEN_level_ids!$A:$A,0),1)</f>
        <v>1127</v>
      </c>
      <c r="U2140">
        <f>INDEX([1]IDEN_level_ids!$B:$B,MATCH(H2140,[1]IDEN_level_ids!$A:$A,0),1)</f>
        <v>958</v>
      </c>
    </row>
    <row r="2141" spans="1:21" hidden="1" x14ac:dyDescent="0.25">
      <c r="A2141">
        <v>44317.170299999998</v>
      </c>
      <c r="B2141">
        <v>2256.4618</v>
      </c>
      <c r="C2141">
        <v>13</v>
      </c>
      <c r="D2141" t="s">
        <v>616</v>
      </c>
      <c r="E2141" t="s">
        <v>427</v>
      </c>
      <c r="F2141">
        <v>1974</v>
      </c>
      <c r="G2141" s="1" t="s">
        <v>33</v>
      </c>
      <c r="H2141" s="1" t="s">
        <v>407</v>
      </c>
      <c r="I2141">
        <v>0.27489999999999998</v>
      </c>
      <c r="J2141">
        <v>44317.155700000003</v>
      </c>
      <c r="K2141">
        <v>-7.3999999999999999E-4</v>
      </c>
      <c r="L2141">
        <v>2.48E-3</v>
      </c>
      <c r="M2141">
        <v>4.87E-2</v>
      </c>
      <c r="N2141">
        <v>0.1043</v>
      </c>
      <c r="O2141">
        <v>2.7699999999999999E-3</v>
      </c>
      <c r="P2141" s="3">
        <f t="shared" si="132"/>
        <v>2256.4617578934185</v>
      </c>
      <c r="Q2141" s="3">
        <f t="shared" si="133"/>
        <v>-7.4337671594548738E-4</v>
      </c>
      <c r="R2141" s="3">
        <f t="shared" si="134"/>
        <v>2.48E-3</v>
      </c>
      <c r="S2141">
        <f t="shared" si="135"/>
        <v>52</v>
      </c>
      <c r="T2141">
        <f>INDEX([1]IDEN_level_ids!$B:$B,MATCH(G2141,[1]IDEN_level_ids!$A:$A,0),1)</f>
        <v>1220</v>
      </c>
      <c r="U2141">
        <f>INDEX([1]IDEN_level_ids!$B:$B,MATCH(H2141,[1]IDEN_level_ids!$A:$A,0),1)</f>
        <v>1073</v>
      </c>
    </row>
    <row r="2142" spans="1:21" hidden="1" x14ac:dyDescent="0.25">
      <c r="A2142">
        <v>44309.370799999997</v>
      </c>
      <c r="B2142">
        <v>2256.8589000000002</v>
      </c>
      <c r="C2142">
        <v>13</v>
      </c>
      <c r="D2142" t="s">
        <v>616</v>
      </c>
      <c r="F2142">
        <v>1974</v>
      </c>
      <c r="G2142" s="1" t="s">
        <v>141</v>
      </c>
      <c r="H2142" s="1" t="s">
        <v>550</v>
      </c>
      <c r="I2142">
        <v>0</v>
      </c>
      <c r="J2142">
        <v>44309.353999999999</v>
      </c>
      <c r="K2142">
        <v>-8.4999999999999995E-4</v>
      </c>
      <c r="L2142">
        <v>2.3500000000000001E-3</v>
      </c>
      <c r="M2142">
        <v>4.6100000000000002E-2</v>
      </c>
      <c r="N2142">
        <v>0.27250000000000002</v>
      </c>
      <c r="O2142">
        <v>3.2299999999999998E-3</v>
      </c>
      <c r="P2142" s="3">
        <f t="shared" si="132"/>
        <v>2256.8589486718688</v>
      </c>
      <c r="Q2142" s="3">
        <f t="shared" si="133"/>
        <v>-8.5569359316650662E-4</v>
      </c>
      <c r="R2142" s="3">
        <f t="shared" si="134"/>
        <v>2.3500000000000001E-3</v>
      </c>
      <c r="S2142">
        <f t="shared" si="135"/>
        <v>52</v>
      </c>
      <c r="T2142">
        <f>INDEX([1]IDEN_level_ids!$B:$B,MATCH(G2142,[1]IDEN_level_ids!$A:$A,0),1)</f>
        <v>1155</v>
      </c>
      <c r="U2142">
        <f>INDEX([1]IDEN_level_ids!$B:$B,MATCH(H2142,[1]IDEN_level_ids!$A:$A,0),1)</f>
        <v>997</v>
      </c>
    </row>
    <row r="2143" spans="1:21" hidden="1" x14ac:dyDescent="0.25">
      <c r="A2143">
        <v>44305.899700000002</v>
      </c>
      <c r="B2143">
        <v>2257.0358000000001</v>
      </c>
      <c r="C2143">
        <v>13</v>
      </c>
      <c r="D2143" t="s">
        <v>616</v>
      </c>
      <c r="F2143">
        <v>1974</v>
      </c>
      <c r="G2143" s="1" t="s">
        <v>100</v>
      </c>
      <c r="H2143" s="1" t="s">
        <v>589</v>
      </c>
      <c r="I2143">
        <v>0</v>
      </c>
      <c r="J2143">
        <v>44306.0193</v>
      </c>
      <c r="K2143">
        <v>6.1000000000000004E-3</v>
      </c>
      <c r="L2143">
        <v>2.3500000000000001E-3</v>
      </c>
      <c r="M2143">
        <v>4.6100000000000002E-2</v>
      </c>
      <c r="N2143">
        <v>0.18079999999999999</v>
      </c>
      <c r="O2143">
        <v>2.8600000000000001E-3</v>
      </c>
      <c r="P2143" s="3">
        <f t="shared" si="132"/>
        <v>2257.0357599577196</v>
      </c>
      <c r="Q2143" s="3">
        <f t="shared" si="133"/>
        <v>6.0926592177565908E-3</v>
      </c>
      <c r="R2143" s="3">
        <f t="shared" si="134"/>
        <v>2.3500000000000001E-3</v>
      </c>
      <c r="S2143">
        <f t="shared" si="135"/>
        <v>52</v>
      </c>
      <c r="T2143">
        <f>INDEX([1]IDEN_level_ids!$B:$B,MATCH(G2143,[1]IDEN_level_ids!$A:$A,0),1)</f>
        <v>1146</v>
      </c>
      <c r="U2143">
        <f>INDEX([1]IDEN_level_ids!$B:$B,MATCH(H2143,[1]IDEN_level_ids!$A:$A,0),1)</f>
        <v>984</v>
      </c>
    </row>
    <row r="2144" spans="1:21" hidden="1" x14ac:dyDescent="0.25">
      <c r="A2144">
        <v>44301.440399999999</v>
      </c>
      <c r="B2144">
        <v>2257.2629000000002</v>
      </c>
      <c r="C2144">
        <v>13</v>
      </c>
      <c r="D2144" t="s">
        <v>616</v>
      </c>
      <c r="F2144">
        <v>1974</v>
      </c>
      <c r="G2144" s="1" t="s">
        <v>76</v>
      </c>
      <c r="H2144" s="1" t="s">
        <v>437</v>
      </c>
      <c r="I2144">
        <v>0.26329999999999998</v>
      </c>
      <c r="J2144">
        <v>44301.4738</v>
      </c>
      <c r="K2144">
        <v>1.6999999999999999E-3</v>
      </c>
      <c r="L2144">
        <v>2.3500000000000001E-3</v>
      </c>
      <c r="M2144">
        <v>4.6100000000000002E-2</v>
      </c>
      <c r="N2144">
        <v>0.1108</v>
      </c>
      <c r="O2144">
        <v>2.64E-3</v>
      </c>
      <c r="P2144" s="3">
        <f t="shared" si="132"/>
        <v>2257.2629489491724</v>
      </c>
      <c r="Q2144" s="3">
        <f t="shared" si="133"/>
        <v>1.7018075477608363E-3</v>
      </c>
      <c r="R2144" s="3">
        <f t="shared" si="134"/>
        <v>2.3500000000000001E-3</v>
      </c>
      <c r="S2144">
        <f t="shared" si="135"/>
        <v>52</v>
      </c>
      <c r="T2144">
        <f>INDEX([1]IDEN_level_ids!$B:$B,MATCH(G2144,[1]IDEN_level_ids!$A:$A,0),1)</f>
        <v>1194</v>
      </c>
      <c r="U2144">
        <f>INDEX([1]IDEN_level_ids!$B:$B,MATCH(H2144,[1]IDEN_level_ids!$A:$A,0),1)</f>
        <v>1039</v>
      </c>
    </row>
    <row r="2145" spans="1:21" hidden="1" x14ac:dyDescent="0.25">
      <c r="A2145">
        <v>44300.320599999999</v>
      </c>
      <c r="B2145">
        <v>2257.3200000000002</v>
      </c>
      <c r="C2145">
        <v>13</v>
      </c>
      <c r="D2145" t="s">
        <v>616</v>
      </c>
      <c r="F2145">
        <v>1974</v>
      </c>
      <c r="G2145" s="1" t="s">
        <v>280</v>
      </c>
      <c r="H2145" s="1" t="s">
        <v>495</v>
      </c>
      <c r="I2145">
        <v>0.1328</v>
      </c>
      <c r="J2145">
        <v>44300.297100000003</v>
      </c>
      <c r="K2145">
        <v>-1.1999999999999999E-3</v>
      </c>
      <c r="L2145">
        <v>2.3500000000000001E-3</v>
      </c>
      <c r="M2145">
        <v>4.6100000000000002E-2</v>
      </c>
      <c r="N2145">
        <v>0.20669999999999999</v>
      </c>
      <c r="O2145">
        <v>2.96E-3</v>
      </c>
      <c r="P2145" s="3">
        <f t="shared" si="132"/>
        <v>2257.3200068443748</v>
      </c>
      <c r="Q2145" s="3">
        <f t="shared" si="133"/>
        <v>-1.1974416343036864E-3</v>
      </c>
      <c r="R2145" s="3">
        <f t="shared" si="134"/>
        <v>2.3500000000000001E-3</v>
      </c>
      <c r="S2145">
        <f t="shared" si="135"/>
        <v>52</v>
      </c>
      <c r="T2145">
        <f>INDEX([1]IDEN_level_ids!$B:$B,MATCH(G2145,[1]IDEN_level_ids!$A:$A,0),1)</f>
        <v>1130</v>
      </c>
      <c r="U2145">
        <f>INDEX([1]IDEN_level_ids!$B:$B,MATCH(H2145,[1]IDEN_level_ids!$A:$A,0),1)</f>
        <v>960</v>
      </c>
    </row>
    <row r="2146" spans="1:21" hidden="1" x14ac:dyDescent="0.25">
      <c r="A2146">
        <v>44298.320200000002</v>
      </c>
      <c r="B2146">
        <v>2257.4218999999998</v>
      </c>
      <c r="C2146">
        <v>13</v>
      </c>
      <c r="D2146" t="s">
        <v>616</v>
      </c>
      <c r="F2146">
        <v>1974</v>
      </c>
      <c r="G2146" s="1" t="s">
        <v>77</v>
      </c>
      <c r="H2146" s="1" t="s">
        <v>595</v>
      </c>
      <c r="I2146">
        <v>0</v>
      </c>
      <c r="J2146">
        <v>44298.2624</v>
      </c>
      <c r="K2146">
        <v>-2.9399999999999999E-3</v>
      </c>
      <c r="L2146">
        <v>2.3500000000000001E-3</v>
      </c>
      <c r="M2146">
        <v>4.6100000000000002E-2</v>
      </c>
      <c r="N2146">
        <v>0.16719999999999999</v>
      </c>
      <c r="O2146">
        <v>2.82E-3</v>
      </c>
      <c r="P2146" s="3">
        <f t="shared" si="132"/>
        <v>2257.4219417015274</v>
      </c>
      <c r="Q2146" s="3">
        <f t="shared" si="133"/>
        <v>-2.9454651530613774E-3</v>
      </c>
      <c r="R2146" s="3">
        <f t="shared" si="134"/>
        <v>2.3500000000000001E-3</v>
      </c>
      <c r="S2146">
        <f t="shared" si="135"/>
        <v>52</v>
      </c>
      <c r="T2146">
        <f>INDEX([1]IDEN_level_ids!$B:$B,MATCH(G2146,[1]IDEN_level_ids!$A:$A,0),1)</f>
        <v>1197</v>
      </c>
      <c r="U2146">
        <f>INDEX([1]IDEN_level_ids!$B:$B,MATCH(H2146,[1]IDEN_level_ids!$A:$A,0),1)</f>
        <v>1052</v>
      </c>
    </row>
    <row r="2147" spans="1:21" hidden="1" x14ac:dyDescent="0.25">
      <c r="A2147">
        <v>44286.171000000002</v>
      </c>
      <c r="B2147">
        <v>2258.0412000000001</v>
      </c>
      <c r="C2147">
        <v>13</v>
      </c>
      <c r="D2147" t="s">
        <v>616</v>
      </c>
      <c r="E2147" t="s">
        <v>427</v>
      </c>
      <c r="F2147">
        <v>1974</v>
      </c>
      <c r="G2147" s="1" t="s">
        <v>245</v>
      </c>
      <c r="H2147" s="1" t="s">
        <v>528</v>
      </c>
      <c r="I2147">
        <v>0</v>
      </c>
      <c r="J2147">
        <v>44286.239600000001</v>
      </c>
      <c r="K2147">
        <v>3.5000000000000001E-3</v>
      </c>
      <c r="L2147">
        <v>2.48E-3</v>
      </c>
      <c r="M2147">
        <v>4.87E-2</v>
      </c>
      <c r="N2147">
        <v>0.1749</v>
      </c>
      <c r="O2147">
        <v>3.0100000000000001E-3</v>
      </c>
      <c r="P2147" s="3">
        <f t="shared" si="132"/>
        <v>2258.041229168356</v>
      </c>
      <c r="Q2147" s="3">
        <f t="shared" si="133"/>
        <v>3.4977372142748209E-3</v>
      </c>
      <c r="R2147" s="3">
        <f t="shared" si="134"/>
        <v>2.48E-3</v>
      </c>
      <c r="S2147">
        <f t="shared" si="135"/>
        <v>52</v>
      </c>
      <c r="T2147">
        <f>INDEX([1]IDEN_level_ids!$B:$B,MATCH(G2147,[1]IDEN_level_ids!$A:$A,0),1)</f>
        <v>1169</v>
      </c>
      <c r="U2147">
        <f>INDEX([1]IDEN_level_ids!$B:$B,MATCH(H2147,[1]IDEN_level_ids!$A:$A,0),1)</f>
        <v>1009</v>
      </c>
    </row>
    <row r="2148" spans="1:21" hidden="1" x14ac:dyDescent="0.25">
      <c r="A2148">
        <v>44284.449699999997</v>
      </c>
      <c r="B2148">
        <v>2258.1289999999999</v>
      </c>
      <c r="C2148">
        <v>13</v>
      </c>
      <c r="D2148" t="s">
        <v>616</v>
      </c>
      <c r="F2148">
        <v>1974</v>
      </c>
      <c r="G2148" s="1" t="s">
        <v>49</v>
      </c>
      <c r="H2148" s="1" t="s">
        <v>448</v>
      </c>
      <c r="I2148">
        <v>0.29559999999999997</v>
      </c>
      <c r="J2148">
        <v>44284.435299999997</v>
      </c>
      <c r="K2148">
        <v>-7.2999999999999996E-4</v>
      </c>
      <c r="L2148">
        <v>2.3500000000000001E-3</v>
      </c>
      <c r="M2148">
        <v>4.6100000000000002E-2</v>
      </c>
      <c r="N2148">
        <v>0.1346</v>
      </c>
      <c r="O2148">
        <v>2.7100000000000002E-3</v>
      </c>
      <c r="P2148" s="3">
        <f t="shared" si="132"/>
        <v>2258.1289973667667</v>
      </c>
      <c r="Q2148" s="3">
        <f t="shared" si="133"/>
        <v>-7.3427734469078132E-4</v>
      </c>
      <c r="R2148" s="3">
        <f t="shared" si="134"/>
        <v>2.3500000000000001E-3</v>
      </c>
      <c r="S2148">
        <f t="shared" si="135"/>
        <v>52</v>
      </c>
      <c r="T2148">
        <f>INDEX([1]IDEN_level_ids!$B:$B,MATCH(G2148,[1]IDEN_level_ids!$A:$A,0),1)</f>
        <v>1214</v>
      </c>
      <c r="U2148">
        <f>INDEX([1]IDEN_level_ids!$B:$B,MATCH(H2148,[1]IDEN_level_ids!$A:$A,0),1)</f>
        <v>1067</v>
      </c>
    </row>
    <row r="2149" spans="1:21" hidden="1" x14ac:dyDescent="0.25">
      <c r="A2149">
        <v>44282.170700000002</v>
      </c>
      <c r="B2149">
        <v>2258.2451999999998</v>
      </c>
      <c r="C2149">
        <v>13</v>
      </c>
      <c r="D2149" t="s">
        <v>616</v>
      </c>
      <c r="F2149">
        <v>1974</v>
      </c>
      <c r="G2149" s="1" t="s">
        <v>278</v>
      </c>
      <c r="H2149" s="1" t="s">
        <v>473</v>
      </c>
      <c r="I2149">
        <v>0.1031</v>
      </c>
      <c r="J2149">
        <v>44282.223400000003</v>
      </c>
      <c r="K2149">
        <v>2.6900000000000001E-3</v>
      </c>
      <c r="L2149">
        <v>2.3500000000000001E-3</v>
      </c>
      <c r="M2149">
        <v>4.6100000000000002E-2</v>
      </c>
      <c r="N2149">
        <v>0.25319999999999998</v>
      </c>
      <c r="O2149">
        <v>3.15E-3</v>
      </c>
      <c r="P2149" s="3">
        <f t="shared" si="132"/>
        <v>2258.2452128978402</v>
      </c>
      <c r="Q2149" s="3">
        <f t="shared" si="133"/>
        <v>2.6875236517298617E-3</v>
      </c>
      <c r="R2149" s="3">
        <f t="shared" si="134"/>
        <v>2.3500000000000001E-3</v>
      </c>
      <c r="S2149">
        <f t="shared" si="135"/>
        <v>52</v>
      </c>
      <c r="T2149">
        <f>INDEX([1]IDEN_level_ids!$B:$B,MATCH(G2149,[1]IDEN_level_ids!$A:$A,0),1)</f>
        <v>1102</v>
      </c>
      <c r="U2149">
        <f>INDEX([1]IDEN_level_ids!$B:$B,MATCH(H2149,[1]IDEN_level_ids!$A:$A,0),1)</f>
        <v>934</v>
      </c>
    </row>
    <row r="2150" spans="1:21" hidden="1" x14ac:dyDescent="0.25">
      <c r="A2150">
        <v>44245.549200000001</v>
      </c>
      <c r="B2150">
        <v>2260.1143000000002</v>
      </c>
      <c r="C2150">
        <v>13</v>
      </c>
      <c r="D2150" t="s">
        <v>616</v>
      </c>
      <c r="F2150">
        <v>1974</v>
      </c>
      <c r="G2150" s="1" t="s">
        <v>334</v>
      </c>
      <c r="H2150" s="1" t="s">
        <v>482</v>
      </c>
      <c r="I2150">
        <v>-2.9999999999999997E-4</v>
      </c>
      <c r="J2150">
        <v>44245.536800000002</v>
      </c>
      <c r="K2150">
        <v>-6.3000000000000003E-4</v>
      </c>
      <c r="L2150">
        <v>2.3500000000000001E-3</v>
      </c>
      <c r="M2150">
        <v>4.6100000000000002E-2</v>
      </c>
      <c r="N2150">
        <v>0.1757</v>
      </c>
      <c r="O2150">
        <v>2.8500000000000001E-3</v>
      </c>
      <c r="P2150" s="3">
        <f t="shared" si="132"/>
        <v>2260.1143348447804</v>
      </c>
      <c r="Q2150" s="3">
        <f t="shared" si="133"/>
        <v>-6.3340666110889288E-4</v>
      </c>
      <c r="R2150" s="3">
        <f t="shared" si="134"/>
        <v>2.3500000000000001E-3</v>
      </c>
      <c r="S2150">
        <f t="shared" si="135"/>
        <v>52</v>
      </c>
      <c r="T2150">
        <f>INDEX([1]IDEN_level_ids!$B:$B,MATCH(G2150,[1]IDEN_level_ids!$A:$A,0),1)</f>
        <v>1124</v>
      </c>
      <c r="U2150">
        <f>INDEX([1]IDEN_level_ids!$B:$B,MATCH(H2150,[1]IDEN_level_ids!$A:$A,0),1)</f>
        <v>957</v>
      </c>
    </row>
    <row r="2151" spans="1:21" hidden="1" x14ac:dyDescent="0.25">
      <c r="A2151">
        <v>44242.080099999999</v>
      </c>
      <c r="B2151">
        <v>2260.2916</v>
      </c>
      <c r="C2151">
        <v>13</v>
      </c>
      <c r="D2151" t="s">
        <v>616</v>
      </c>
      <c r="F2151">
        <v>1974</v>
      </c>
      <c r="G2151" s="1" t="s">
        <v>79</v>
      </c>
      <c r="H2151" s="1" t="s">
        <v>557</v>
      </c>
      <c r="I2151">
        <v>0</v>
      </c>
      <c r="J2151">
        <v>44242.116600000001</v>
      </c>
      <c r="K2151">
        <v>1.8600000000000001E-3</v>
      </c>
      <c r="L2151">
        <v>2.3500000000000001E-3</v>
      </c>
      <c r="M2151">
        <v>4.6100000000000002E-2</v>
      </c>
      <c r="N2151">
        <v>0.18240000000000001</v>
      </c>
      <c r="O2151">
        <v>2.8800000000000002E-3</v>
      </c>
      <c r="P2151" s="3">
        <f t="shared" si="132"/>
        <v>2260.2915544199291</v>
      </c>
      <c r="Q2151" s="3">
        <f t="shared" si="133"/>
        <v>1.8647534993760928E-3</v>
      </c>
      <c r="R2151" s="3">
        <f t="shared" si="134"/>
        <v>2.3500000000000001E-3</v>
      </c>
      <c r="S2151">
        <f t="shared" si="135"/>
        <v>52</v>
      </c>
      <c r="T2151">
        <f>INDEX([1]IDEN_level_ids!$B:$B,MATCH(G2151,[1]IDEN_level_ids!$A:$A,0),1)</f>
        <v>1216</v>
      </c>
      <c r="U2151">
        <f>INDEX([1]IDEN_level_ids!$B:$B,MATCH(H2151,[1]IDEN_level_ids!$A:$A,0),1)</f>
        <v>1069</v>
      </c>
    </row>
    <row r="2152" spans="1:21" hidden="1" x14ac:dyDescent="0.25">
      <c r="A2152">
        <v>44240.5507</v>
      </c>
      <c r="B2152">
        <v>2260.3697000000002</v>
      </c>
      <c r="C2152">
        <v>13</v>
      </c>
      <c r="D2152" t="s">
        <v>616</v>
      </c>
      <c r="F2152">
        <v>1974</v>
      </c>
      <c r="G2152" s="1" t="s">
        <v>361</v>
      </c>
      <c r="H2152" s="1" t="s">
        <v>610</v>
      </c>
      <c r="I2152">
        <v>9.8000000000000004E-2</v>
      </c>
      <c r="J2152">
        <v>44240.569799999997</v>
      </c>
      <c r="K2152">
        <v>9.7000000000000005E-4</v>
      </c>
      <c r="L2152">
        <v>2.3500000000000001E-3</v>
      </c>
      <c r="M2152">
        <v>4.6100000000000002E-2</v>
      </c>
      <c r="N2152">
        <v>0.20619999999999999</v>
      </c>
      <c r="O2152">
        <v>2.97E-3</v>
      </c>
      <c r="P2152" s="3">
        <f t="shared" si="132"/>
        <v>2260.3696929116209</v>
      </c>
      <c r="Q2152" s="3">
        <f t="shared" si="133"/>
        <v>9.7587036771074054E-4</v>
      </c>
      <c r="R2152" s="3">
        <f t="shared" si="134"/>
        <v>2.3500000000000001E-3</v>
      </c>
      <c r="S2152">
        <f t="shared" si="135"/>
        <v>52</v>
      </c>
      <c r="T2152">
        <f>INDEX([1]IDEN_level_ids!$B:$B,MATCH(G2152,[1]IDEN_level_ids!$A:$A,0),1)</f>
        <v>1133</v>
      </c>
      <c r="U2152">
        <f>INDEX([1]IDEN_level_ids!$B:$B,MATCH(H2152,[1]IDEN_level_ids!$A:$A,0),1)</f>
        <v>964</v>
      </c>
    </row>
    <row r="2153" spans="1:21" hidden="1" x14ac:dyDescent="0.25">
      <c r="A2153">
        <v>44224.800000000003</v>
      </c>
      <c r="B2153">
        <v>2261.1747</v>
      </c>
      <c r="C2153">
        <v>13</v>
      </c>
      <c r="D2153" t="s">
        <v>616</v>
      </c>
      <c r="F2153">
        <v>1974</v>
      </c>
      <c r="G2153" s="1" t="s">
        <v>243</v>
      </c>
      <c r="H2153" s="1" t="s">
        <v>593</v>
      </c>
      <c r="I2153">
        <v>0</v>
      </c>
      <c r="J2153">
        <v>44224.873800000001</v>
      </c>
      <c r="K2153">
        <v>3.7699999999999999E-3</v>
      </c>
      <c r="L2153">
        <v>2.3600000000000001E-3</v>
      </c>
      <c r="M2153">
        <v>4.6100000000000002E-2</v>
      </c>
      <c r="N2153">
        <v>0.20960000000000001</v>
      </c>
      <c r="O2153">
        <v>2.98E-3</v>
      </c>
      <c r="P2153" s="3">
        <f t="shared" si="132"/>
        <v>2261.174725493388</v>
      </c>
      <c r="Q2153" s="3">
        <f t="shared" si="133"/>
        <v>3.7733221238340775E-3</v>
      </c>
      <c r="R2153" s="3">
        <f t="shared" si="134"/>
        <v>2.3600000000000001E-3</v>
      </c>
      <c r="S2153">
        <f t="shared" si="135"/>
        <v>52</v>
      </c>
      <c r="T2153">
        <f>INDEX([1]IDEN_level_ids!$B:$B,MATCH(G2153,[1]IDEN_level_ids!$A:$A,0),1)</f>
        <v>1205</v>
      </c>
      <c r="U2153">
        <f>INDEX([1]IDEN_level_ids!$B:$B,MATCH(H2153,[1]IDEN_level_ids!$A:$A,0),1)</f>
        <v>1059</v>
      </c>
    </row>
    <row r="2154" spans="1:21" hidden="1" x14ac:dyDescent="0.25">
      <c r="A2154">
        <v>44218.8508</v>
      </c>
      <c r="B2154">
        <v>2261.4789000000001</v>
      </c>
      <c r="C2154">
        <v>13</v>
      </c>
      <c r="D2154" t="s">
        <v>616</v>
      </c>
      <c r="F2154">
        <v>1974</v>
      </c>
      <c r="G2154" s="1" t="s">
        <v>166</v>
      </c>
      <c r="H2154" s="1" t="s">
        <v>452</v>
      </c>
      <c r="I2154">
        <v>0.25619999999999998</v>
      </c>
      <c r="J2154">
        <v>44218.853799999997</v>
      </c>
      <c r="K2154">
        <v>1.4999999999999999E-4</v>
      </c>
      <c r="L2154">
        <v>2.3600000000000001E-3</v>
      </c>
      <c r="M2154">
        <v>4.6100000000000002E-2</v>
      </c>
      <c r="N2154">
        <v>0.11</v>
      </c>
      <c r="O2154">
        <v>2.65E-3</v>
      </c>
      <c r="P2154" s="3">
        <f t="shared" si="132"/>
        <v>2261.4789437268687</v>
      </c>
      <c r="Q2154" s="3">
        <f t="shared" si="133"/>
        <v>1.5342859978773049E-4</v>
      </c>
      <c r="R2154" s="3">
        <f t="shared" si="134"/>
        <v>2.3600000000000001E-3</v>
      </c>
      <c r="S2154">
        <f t="shared" si="135"/>
        <v>52</v>
      </c>
      <c r="T2154">
        <f>INDEX([1]IDEN_level_ids!$B:$B,MATCH(G2154,[1]IDEN_level_ids!$A:$A,0),1)</f>
        <v>1186</v>
      </c>
      <c r="U2154">
        <f>INDEX([1]IDEN_level_ids!$B:$B,MATCH(H2154,[1]IDEN_level_ids!$A:$A,0),1)</f>
        <v>1033</v>
      </c>
    </row>
    <row r="2155" spans="1:21" hidden="1" x14ac:dyDescent="0.25">
      <c r="A2155">
        <v>44214.450799999999</v>
      </c>
      <c r="B2155">
        <v>2261.7040000000002</v>
      </c>
      <c r="C2155">
        <v>13</v>
      </c>
      <c r="D2155" t="s">
        <v>616</v>
      </c>
      <c r="F2155">
        <v>1974</v>
      </c>
      <c r="G2155" s="1" t="s">
        <v>602</v>
      </c>
      <c r="H2155" s="1" t="s">
        <v>482</v>
      </c>
      <c r="I2155">
        <v>-2.9999999999999997E-4</v>
      </c>
      <c r="J2155">
        <v>44214.580999999998</v>
      </c>
      <c r="K2155">
        <v>6.6600000000000001E-3</v>
      </c>
      <c r="L2155">
        <v>2.3600000000000001E-3</v>
      </c>
      <c r="M2155">
        <v>4.6100000000000002E-2</v>
      </c>
      <c r="N2155">
        <v>0.24260000000000001</v>
      </c>
      <c r="O2155">
        <v>3.1099999999999999E-3</v>
      </c>
      <c r="P2155" s="3">
        <f t="shared" si="132"/>
        <v>2261.7039947491558</v>
      </c>
      <c r="Q2155" s="3">
        <f t="shared" si="133"/>
        <v>6.6601074454410991E-3</v>
      </c>
      <c r="R2155" s="3">
        <f t="shared" si="134"/>
        <v>2.3600000000000001E-3</v>
      </c>
      <c r="S2155">
        <f t="shared" si="135"/>
        <v>52</v>
      </c>
      <c r="T2155">
        <f>INDEX([1]IDEN_level_ids!$B:$B,MATCH(G2155,[1]IDEN_level_ids!$A:$A,0),1)</f>
        <v>1125</v>
      </c>
      <c r="U2155">
        <f>INDEX([1]IDEN_level_ids!$B:$B,MATCH(H2155,[1]IDEN_level_ids!$A:$A,0),1)</f>
        <v>957</v>
      </c>
    </row>
    <row r="2156" spans="1:21" hidden="1" x14ac:dyDescent="0.25">
      <c r="A2156">
        <v>44212.0697</v>
      </c>
      <c r="B2156">
        <v>2261.8258000000001</v>
      </c>
      <c r="C2156">
        <v>13</v>
      </c>
      <c r="D2156" t="s">
        <v>616</v>
      </c>
      <c r="F2156">
        <v>1974</v>
      </c>
      <c r="G2156" s="1" t="s">
        <v>268</v>
      </c>
      <c r="H2156" s="1" t="s">
        <v>578</v>
      </c>
      <c r="I2156">
        <v>0.25619999999999998</v>
      </c>
      <c r="J2156">
        <v>44212.071600000003</v>
      </c>
      <c r="K2156">
        <v>9.0000000000000006E-5</v>
      </c>
      <c r="L2156">
        <v>2.3600000000000001E-3</v>
      </c>
      <c r="M2156">
        <v>4.6100000000000002E-2</v>
      </c>
      <c r="N2156">
        <v>0.1229</v>
      </c>
      <c r="O2156">
        <v>2.6900000000000001E-3</v>
      </c>
      <c r="P2156" s="3">
        <f t="shared" si="132"/>
        <v>2261.8258018352849</v>
      </c>
      <c r="Q2156" s="3">
        <f t="shared" si="133"/>
        <v>9.7201259450230282E-5</v>
      </c>
      <c r="R2156" s="3">
        <f t="shared" si="134"/>
        <v>2.3600000000000001E-3</v>
      </c>
      <c r="S2156">
        <f t="shared" si="135"/>
        <v>52</v>
      </c>
      <c r="T2156">
        <f>INDEX([1]IDEN_level_ids!$B:$B,MATCH(G2156,[1]IDEN_level_ids!$A:$A,0),1)</f>
        <v>1160</v>
      </c>
      <c r="U2156">
        <f>INDEX([1]IDEN_level_ids!$B:$B,MATCH(H2156,[1]IDEN_level_ids!$A:$A,0),1)</f>
        <v>1003</v>
      </c>
    </row>
    <row r="2157" spans="1:21" hidden="1" x14ac:dyDescent="0.25">
      <c r="A2157">
        <v>44205.619500000001</v>
      </c>
      <c r="B2157">
        <v>2262.1558</v>
      </c>
      <c r="C2157">
        <v>13</v>
      </c>
      <c r="D2157" t="s">
        <v>616</v>
      </c>
      <c r="F2157">
        <v>1974</v>
      </c>
      <c r="G2157" s="1" t="s">
        <v>71</v>
      </c>
      <c r="H2157" s="1" t="s">
        <v>617</v>
      </c>
      <c r="I2157">
        <v>0</v>
      </c>
      <c r="J2157">
        <v>44205.654900000001</v>
      </c>
      <c r="K2157">
        <v>1.81E-3</v>
      </c>
      <c r="L2157">
        <v>2.3600000000000001E-3</v>
      </c>
      <c r="M2157">
        <v>4.6100000000000002E-2</v>
      </c>
      <c r="N2157">
        <v>0.16500000000000001</v>
      </c>
      <c r="O2157">
        <v>2.82E-3</v>
      </c>
      <c r="P2157" s="3">
        <f t="shared" si="132"/>
        <v>2262.1558329252684</v>
      </c>
      <c r="Q2157" s="3">
        <f t="shared" si="133"/>
        <v>1.8115400994247466E-3</v>
      </c>
      <c r="R2157" s="3">
        <f t="shared" si="134"/>
        <v>2.3600000000000001E-3</v>
      </c>
      <c r="S2157">
        <f t="shared" si="135"/>
        <v>52</v>
      </c>
      <c r="T2157">
        <f>INDEX([1]IDEN_level_ids!$B:$B,MATCH(G2157,[1]IDEN_level_ids!$A:$A,0),1)</f>
        <v>1179</v>
      </c>
      <c r="U2157">
        <f>INDEX([1]IDEN_level_ids!$B:$B,MATCH(H2157,[1]IDEN_level_ids!$A:$A,0),1)</f>
        <v>1018</v>
      </c>
    </row>
    <row r="2158" spans="1:21" hidden="1" x14ac:dyDescent="0.25">
      <c r="A2158">
        <v>44204.170299999998</v>
      </c>
      <c r="B2158">
        <v>2262.23</v>
      </c>
      <c r="C2158">
        <v>13</v>
      </c>
      <c r="D2158" t="s">
        <v>616</v>
      </c>
      <c r="F2158">
        <v>1974</v>
      </c>
      <c r="G2158" s="1" t="s">
        <v>345</v>
      </c>
      <c r="H2158" s="1" t="s">
        <v>503</v>
      </c>
      <c r="I2158">
        <v>5.28E-2</v>
      </c>
      <c r="J2158">
        <v>44204.171199999997</v>
      </c>
      <c r="K2158">
        <v>5.0000000000000002E-5</v>
      </c>
      <c r="L2158">
        <v>2.3600000000000001E-3</v>
      </c>
      <c r="M2158">
        <v>4.6100000000000002E-2</v>
      </c>
      <c r="N2158">
        <v>0.25190000000000001</v>
      </c>
      <c r="O2158">
        <v>3.15E-3</v>
      </c>
      <c r="P2158" s="3">
        <f t="shared" si="132"/>
        <v>2262.2299959784564</v>
      </c>
      <c r="Q2158" s="3">
        <f t="shared" si="133"/>
        <v>4.6059160013101064E-5</v>
      </c>
      <c r="R2158" s="3">
        <f t="shared" si="134"/>
        <v>2.3600000000000001E-3</v>
      </c>
      <c r="S2158">
        <f t="shared" si="135"/>
        <v>52</v>
      </c>
      <c r="T2158">
        <f>INDEX([1]IDEN_level_ids!$B:$B,MATCH(G2158,[1]IDEN_level_ids!$A:$A,0),1)</f>
        <v>1106</v>
      </c>
      <c r="U2158">
        <f>INDEX([1]IDEN_level_ids!$B:$B,MATCH(H2158,[1]IDEN_level_ids!$A:$A,0),1)</f>
        <v>943</v>
      </c>
    </row>
    <row r="2159" spans="1:21" hidden="1" x14ac:dyDescent="0.25">
      <c r="A2159">
        <v>44190.490899999997</v>
      </c>
      <c r="B2159">
        <v>2262.9303</v>
      </c>
      <c r="C2159">
        <v>13</v>
      </c>
      <c r="D2159" t="s">
        <v>616</v>
      </c>
      <c r="F2159">
        <v>1974</v>
      </c>
      <c r="G2159" s="1" t="s">
        <v>108</v>
      </c>
      <c r="H2159" s="1" t="s">
        <v>526</v>
      </c>
      <c r="I2159">
        <v>0</v>
      </c>
      <c r="J2159">
        <v>44190.536500000002</v>
      </c>
      <c r="K2159">
        <v>2.33E-3</v>
      </c>
      <c r="L2159">
        <v>2.3600000000000001E-3</v>
      </c>
      <c r="M2159">
        <v>4.6100000000000002E-2</v>
      </c>
      <c r="N2159">
        <v>0.27250000000000002</v>
      </c>
      <c r="O2159">
        <v>3.2399999999999998E-3</v>
      </c>
      <c r="P2159" s="3">
        <f t="shared" si="132"/>
        <v>2262.9302812293495</v>
      </c>
      <c r="Q2159" s="3">
        <f t="shared" si="133"/>
        <v>2.3351067675321246E-3</v>
      </c>
      <c r="R2159" s="3">
        <f t="shared" si="134"/>
        <v>2.3600000000000001E-3</v>
      </c>
      <c r="S2159">
        <f t="shared" si="135"/>
        <v>52</v>
      </c>
      <c r="T2159">
        <f>INDEX([1]IDEN_level_ids!$B:$B,MATCH(G2159,[1]IDEN_level_ids!$A:$A,0),1)</f>
        <v>1149</v>
      </c>
      <c r="U2159">
        <f>INDEX([1]IDEN_level_ids!$B:$B,MATCH(H2159,[1]IDEN_level_ids!$A:$A,0),1)</f>
        <v>989</v>
      </c>
    </row>
    <row r="2160" spans="1:21" hidden="1" x14ac:dyDescent="0.25">
      <c r="A2160">
        <v>44177.529799999997</v>
      </c>
      <c r="B2160">
        <v>2263.5942</v>
      </c>
      <c r="C2160">
        <v>13</v>
      </c>
      <c r="D2160" t="s">
        <v>616</v>
      </c>
      <c r="F2160">
        <v>1974</v>
      </c>
      <c r="G2160" s="1" t="s">
        <v>56</v>
      </c>
      <c r="H2160" s="1" t="s">
        <v>398</v>
      </c>
      <c r="I2160">
        <v>0.31929999999999997</v>
      </c>
      <c r="J2160">
        <v>44177.494899999998</v>
      </c>
      <c r="K2160">
        <v>-1.7899999999999999E-3</v>
      </c>
      <c r="L2160">
        <v>2.3600000000000001E-3</v>
      </c>
      <c r="M2160">
        <v>4.6100000000000002E-2</v>
      </c>
      <c r="N2160">
        <v>0.1429</v>
      </c>
      <c r="O2160">
        <v>2.7499999999999998E-3</v>
      </c>
      <c r="P2160" s="3">
        <f t="shared" si="132"/>
        <v>2263.5941948931695</v>
      </c>
      <c r="Q2160" s="3">
        <f t="shared" si="133"/>
        <v>-1.7882280917547178E-3</v>
      </c>
      <c r="R2160" s="3">
        <f t="shared" si="134"/>
        <v>2.3600000000000001E-3</v>
      </c>
      <c r="S2160">
        <f t="shared" si="135"/>
        <v>52</v>
      </c>
      <c r="T2160">
        <f>INDEX([1]IDEN_level_ids!$B:$B,MATCH(G2160,[1]IDEN_level_ids!$A:$A,0),1)</f>
        <v>1221</v>
      </c>
      <c r="U2160">
        <f>INDEX([1]IDEN_level_ids!$B:$B,MATCH(H2160,[1]IDEN_level_ids!$A:$A,0),1)</f>
        <v>1075</v>
      </c>
    </row>
    <row r="2161" spans="1:21" hidden="1" x14ac:dyDescent="0.25">
      <c r="A2161">
        <v>44146.359299999996</v>
      </c>
      <c r="B2161">
        <v>2265.1925000000001</v>
      </c>
      <c r="C2161">
        <v>13</v>
      </c>
      <c r="D2161" t="s">
        <v>616</v>
      </c>
      <c r="F2161">
        <v>1974</v>
      </c>
      <c r="G2161" s="1" t="s">
        <v>180</v>
      </c>
      <c r="H2161" s="1" t="s">
        <v>587</v>
      </c>
      <c r="I2161">
        <v>0.13569999999999999</v>
      </c>
      <c r="J2161">
        <v>44146.371700000003</v>
      </c>
      <c r="K2161">
        <v>6.3000000000000003E-4</v>
      </c>
      <c r="L2161">
        <v>2.3600000000000001E-3</v>
      </c>
      <c r="M2161">
        <v>4.6100000000000002E-2</v>
      </c>
      <c r="N2161">
        <v>0.1142</v>
      </c>
      <c r="O2161">
        <v>2.6700000000000001E-3</v>
      </c>
      <c r="P2161" s="3">
        <f t="shared" si="132"/>
        <v>2265.1924549529049</v>
      </c>
      <c r="Q2161" s="3">
        <f t="shared" si="133"/>
        <v>6.3625583197790547E-4</v>
      </c>
      <c r="R2161" s="3">
        <f t="shared" si="134"/>
        <v>2.3600000000000001E-3</v>
      </c>
      <c r="S2161">
        <f t="shared" si="135"/>
        <v>52</v>
      </c>
      <c r="T2161">
        <f>INDEX([1]IDEN_level_ids!$B:$B,MATCH(G2161,[1]IDEN_level_ids!$A:$A,0),1)</f>
        <v>1184</v>
      </c>
      <c r="U2161">
        <f>INDEX([1]IDEN_level_ids!$B:$B,MATCH(H2161,[1]IDEN_level_ids!$A:$A,0),1)</f>
        <v>1035</v>
      </c>
    </row>
    <row r="2162" spans="1:21" hidden="1" x14ac:dyDescent="0.25">
      <c r="A2162">
        <v>44132.110399999998</v>
      </c>
      <c r="B2162">
        <v>2265.9238</v>
      </c>
      <c r="C2162">
        <v>13</v>
      </c>
      <c r="D2162" t="s">
        <v>616</v>
      </c>
      <c r="F2162">
        <v>1974</v>
      </c>
      <c r="G2162" s="1" t="s">
        <v>271</v>
      </c>
      <c r="H2162" s="1" t="s">
        <v>520</v>
      </c>
      <c r="I2162">
        <v>0.3095</v>
      </c>
      <c r="J2162">
        <v>44132.174400000004</v>
      </c>
      <c r="K2162">
        <v>3.29E-3</v>
      </c>
      <c r="L2162">
        <v>2.3700000000000001E-3</v>
      </c>
      <c r="M2162">
        <v>4.6100000000000002E-2</v>
      </c>
      <c r="N2162">
        <v>0.15540000000000001</v>
      </c>
      <c r="O2162">
        <v>2.8E-3</v>
      </c>
      <c r="P2162" s="3">
        <f t="shared" si="132"/>
        <v>2265.9238158708131</v>
      </c>
      <c r="Q2162" s="3">
        <f t="shared" si="133"/>
        <v>3.2860181077012385E-3</v>
      </c>
      <c r="R2162" s="3">
        <f t="shared" si="134"/>
        <v>2.3700000000000001E-3</v>
      </c>
      <c r="S2162">
        <f t="shared" si="135"/>
        <v>52</v>
      </c>
      <c r="T2162">
        <f>INDEX([1]IDEN_level_ids!$B:$B,MATCH(G2162,[1]IDEN_level_ids!$A:$A,0),1)</f>
        <v>1158</v>
      </c>
      <c r="U2162">
        <f>INDEX([1]IDEN_level_ids!$B:$B,MATCH(H2162,[1]IDEN_level_ids!$A:$A,0),1)</f>
        <v>1002</v>
      </c>
    </row>
    <row r="2163" spans="1:21" hidden="1" x14ac:dyDescent="0.25">
      <c r="A2163">
        <v>44116.009400000003</v>
      </c>
      <c r="B2163">
        <v>2266.7507999999998</v>
      </c>
      <c r="C2163">
        <v>13</v>
      </c>
      <c r="D2163" t="s">
        <v>616</v>
      </c>
      <c r="F2163">
        <v>1974</v>
      </c>
      <c r="G2163" s="1" t="s">
        <v>46</v>
      </c>
      <c r="H2163" s="1" t="s">
        <v>451</v>
      </c>
      <c r="I2163">
        <v>0.38469999999999999</v>
      </c>
      <c r="J2163">
        <v>44116.031799999997</v>
      </c>
      <c r="K2163">
        <v>1.15E-3</v>
      </c>
      <c r="L2163">
        <v>2.3700000000000001E-3</v>
      </c>
      <c r="M2163">
        <v>4.6100000000000002E-2</v>
      </c>
      <c r="N2163">
        <v>0.12709999999999999</v>
      </c>
      <c r="O2163">
        <v>2.7100000000000002E-3</v>
      </c>
      <c r="P2163" s="3">
        <f t="shared" si="132"/>
        <v>2266.7508090611659</v>
      </c>
      <c r="Q2163" s="3">
        <f t="shared" si="133"/>
        <v>1.1509470832606894E-3</v>
      </c>
      <c r="R2163" s="3">
        <f t="shared" si="134"/>
        <v>2.3700000000000001E-3</v>
      </c>
      <c r="S2163">
        <f t="shared" si="135"/>
        <v>52</v>
      </c>
      <c r="T2163">
        <f>INDEX([1]IDEN_level_ids!$B:$B,MATCH(G2163,[1]IDEN_level_ids!$A:$A,0),1)</f>
        <v>1212</v>
      </c>
      <c r="U2163">
        <f>INDEX([1]IDEN_level_ids!$B:$B,MATCH(H2163,[1]IDEN_level_ids!$A:$A,0),1)</f>
        <v>1066</v>
      </c>
    </row>
    <row r="2164" spans="1:21" hidden="1" x14ac:dyDescent="0.25">
      <c r="A2164">
        <v>44114.251100000001</v>
      </c>
      <c r="B2164">
        <v>2266.8411999999998</v>
      </c>
      <c r="C2164">
        <v>13</v>
      </c>
      <c r="D2164" t="s">
        <v>616</v>
      </c>
      <c r="F2164">
        <v>1974</v>
      </c>
      <c r="G2164" s="1" t="s">
        <v>269</v>
      </c>
      <c r="H2164" s="1" t="s">
        <v>543</v>
      </c>
      <c r="I2164">
        <v>3.3500000000000002E-2</v>
      </c>
      <c r="J2164">
        <v>44114.271200000003</v>
      </c>
      <c r="K2164">
        <v>1.0300000000000001E-3</v>
      </c>
      <c r="L2164">
        <v>2.3700000000000001E-3</v>
      </c>
      <c r="M2164">
        <v>4.6100000000000002E-2</v>
      </c>
      <c r="N2164">
        <v>0.3362</v>
      </c>
      <c r="O2164">
        <v>3.5699999999999998E-3</v>
      </c>
      <c r="P2164" s="3">
        <f t="shared" si="132"/>
        <v>2266.8411569158429</v>
      </c>
      <c r="Q2164" s="3">
        <f t="shared" si="133"/>
        <v>1.0328518642381823E-3</v>
      </c>
      <c r="R2164" s="3">
        <f t="shared" si="134"/>
        <v>2.3700000000000001E-3</v>
      </c>
      <c r="S2164">
        <f t="shared" si="135"/>
        <v>52</v>
      </c>
      <c r="T2164">
        <f>INDEX([1]IDEN_level_ids!$B:$B,MATCH(G2164,[1]IDEN_level_ids!$A:$A,0),1)</f>
        <v>1137</v>
      </c>
      <c r="U2164">
        <f>INDEX([1]IDEN_level_ids!$B:$B,MATCH(H2164,[1]IDEN_level_ids!$A:$A,0),1)</f>
        <v>972</v>
      </c>
    </row>
    <row r="2165" spans="1:21" hidden="1" x14ac:dyDescent="0.25">
      <c r="A2165">
        <v>44110.519699999997</v>
      </c>
      <c r="B2165">
        <v>2267.0329000000002</v>
      </c>
      <c r="C2165">
        <v>13</v>
      </c>
      <c r="D2165" t="s">
        <v>616</v>
      </c>
      <c r="F2165">
        <v>1974</v>
      </c>
      <c r="G2165" s="1" t="s">
        <v>295</v>
      </c>
      <c r="H2165" s="1" t="s">
        <v>584</v>
      </c>
      <c r="I2165">
        <v>0</v>
      </c>
      <c r="J2165">
        <v>44110.566099999996</v>
      </c>
      <c r="K2165">
        <v>2.3900000000000002E-3</v>
      </c>
      <c r="L2165">
        <v>2.3700000000000001E-3</v>
      </c>
      <c r="M2165">
        <v>4.6100000000000002E-2</v>
      </c>
      <c r="N2165">
        <v>0.23960000000000001</v>
      </c>
      <c r="O2165">
        <v>3.1099999999999999E-3</v>
      </c>
      <c r="P2165" s="3">
        <f t="shared" si="132"/>
        <v>2267.0329136929213</v>
      </c>
      <c r="Q2165" s="3">
        <f t="shared" si="133"/>
        <v>2.3846968310863303E-3</v>
      </c>
      <c r="R2165" s="3">
        <f t="shared" si="134"/>
        <v>2.3700000000000001E-3</v>
      </c>
      <c r="S2165">
        <f t="shared" si="135"/>
        <v>52</v>
      </c>
      <c r="T2165">
        <f>INDEX([1]IDEN_level_ids!$B:$B,MATCH(G2165,[1]IDEN_level_ids!$A:$A,0),1)</f>
        <v>1152</v>
      </c>
      <c r="U2165">
        <f>INDEX([1]IDEN_level_ids!$B:$B,MATCH(H2165,[1]IDEN_level_ids!$A:$A,0),1)</f>
        <v>992</v>
      </c>
    </row>
    <row r="2166" spans="1:21" hidden="1" x14ac:dyDescent="0.25">
      <c r="A2166">
        <v>44104.429499999998</v>
      </c>
      <c r="B2166">
        <v>2267.346</v>
      </c>
      <c r="C2166">
        <v>13</v>
      </c>
      <c r="D2166" t="s">
        <v>616</v>
      </c>
      <c r="F2166">
        <v>1974</v>
      </c>
      <c r="G2166" s="1" t="s">
        <v>73</v>
      </c>
      <c r="H2166" s="1" t="s">
        <v>461</v>
      </c>
      <c r="I2166">
        <v>0.24510000000000001</v>
      </c>
      <c r="J2166">
        <v>44104.367599999998</v>
      </c>
      <c r="K2166">
        <v>-3.1800000000000001E-3</v>
      </c>
      <c r="L2166">
        <v>2.3700000000000001E-3</v>
      </c>
      <c r="M2166">
        <v>4.6100000000000002E-2</v>
      </c>
      <c r="N2166">
        <v>9.2399999999999996E-2</v>
      </c>
      <c r="O2166">
        <v>2.6099999999999999E-3</v>
      </c>
      <c r="P2166" s="3">
        <f t="shared" si="132"/>
        <v>2267.3459589812855</v>
      </c>
      <c r="Q2166" s="3">
        <f t="shared" si="133"/>
        <v>-3.1821953812141146E-3</v>
      </c>
      <c r="R2166" s="3">
        <f t="shared" si="134"/>
        <v>2.3700000000000001E-3</v>
      </c>
      <c r="S2166">
        <f t="shared" si="135"/>
        <v>52</v>
      </c>
      <c r="T2166">
        <f>INDEX([1]IDEN_level_ids!$B:$B,MATCH(G2166,[1]IDEN_level_ids!$A:$A,0),1)</f>
        <v>1173</v>
      </c>
      <c r="U2166">
        <f>INDEX([1]IDEN_level_ids!$B:$B,MATCH(H2166,[1]IDEN_level_ids!$A:$A,0),1)</f>
        <v>1017</v>
      </c>
    </row>
    <row r="2167" spans="1:21" hidden="1" x14ac:dyDescent="0.25">
      <c r="A2167">
        <v>44095.0504</v>
      </c>
      <c r="B2167">
        <v>2267.8281999999999</v>
      </c>
      <c r="C2167">
        <v>13</v>
      </c>
      <c r="D2167" t="s">
        <v>616</v>
      </c>
      <c r="F2167">
        <v>1974</v>
      </c>
      <c r="G2167" s="1" t="s">
        <v>207</v>
      </c>
      <c r="H2167" s="1" t="s">
        <v>613</v>
      </c>
      <c r="I2167">
        <v>0</v>
      </c>
      <c r="J2167">
        <v>44095.065900000001</v>
      </c>
      <c r="K2167">
        <v>8.0000000000000004E-4</v>
      </c>
      <c r="L2167">
        <v>2.3700000000000001E-3</v>
      </c>
      <c r="M2167">
        <v>4.6100000000000002E-2</v>
      </c>
      <c r="N2167">
        <v>0.27489999999999998</v>
      </c>
      <c r="O2167">
        <v>3.2699999999999999E-3</v>
      </c>
      <c r="P2167" s="3">
        <f t="shared" si="132"/>
        <v>2267.8282277232638</v>
      </c>
      <c r="Q2167" s="3">
        <f t="shared" si="133"/>
        <v>7.9717167454873561E-4</v>
      </c>
      <c r="R2167" s="3">
        <f t="shared" si="134"/>
        <v>2.3700000000000001E-3</v>
      </c>
      <c r="S2167">
        <f t="shared" si="135"/>
        <v>52</v>
      </c>
      <c r="T2167">
        <f>INDEX([1]IDEN_level_ids!$B:$B,MATCH(G2167,[1]IDEN_level_ids!$A:$A,0),1)</f>
        <v>1177</v>
      </c>
      <c r="U2167">
        <f>INDEX([1]IDEN_level_ids!$B:$B,MATCH(H2167,[1]IDEN_level_ids!$A:$A,0),1)</f>
        <v>1020</v>
      </c>
    </row>
    <row r="2168" spans="1:21" hidden="1" x14ac:dyDescent="0.25">
      <c r="A2168">
        <v>44085.68</v>
      </c>
      <c r="B2168">
        <v>2268.3103000000001</v>
      </c>
      <c r="C2168">
        <v>13</v>
      </c>
      <c r="D2168" t="s">
        <v>616</v>
      </c>
      <c r="F2168">
        <v>1974</v>
      </c>
      <c r="G2168" s="1" t="s">
        <v>375</v>
      </c>
      <c r="H2168" s="1" t="s">
        <v>322</v>
      </c>
      <c r="I2168">
        <v>-0.28789999999999999</v>
      </c>
      <c r="J2168">
        <v>44085.775500000003</v>
      </c>
      <c r="K2168">
        <v>4.9100000000000003E-3</v>
      </c>
      <c r="L2168">
        <v>2.3700000000000001E-3</v>
      </c>
      <c r="M2168">
        <v>4.6100000000000002E-2</v>
      </c>
      <c r="N2168">
        <v>0.24410000000000001</v>
      </c>
      <c r="O2168">
        <v>3.14E-3</v>
      </c>
      <c r="P2168" s="3">
        <f t="shared" si="132"/>
        <v>2268.3102540326017</v>
      </c>
      <c r="Q2168" s="3">
        <f t="shared" si="133"/>
        <v>4.9136853508571221E-3</v>
      </c>
      <c r="R2168" s="3">
        <f t="shared" si="134"/>
        <v>2.3700000000000001E-3</v>
      </c>
      <c r="S2168">
        <f t="shared" si="135"/>
        <v>52</v>
      </c>
      <c r="T2168">
        <f>INDEX([1]IDEN_level_ids!$B:$B,MATCH(G2168,[1]IDEN_level_ids!$A:$A,0),1)</f>
        <v>1065</v>
      </c>
      <c r="U2168">
        <f>INDEX([1]IDEN_level_ids!$B:$B,MATCH(H2168,[1]IDEN_level_ids!$A:$A,0),1)</f>
        <v>830</v>
      </c>
    </row>
    <row r="2169" spans="1:21" hidden="1" x14ac:dyDescent="0.25">
      <c r="A2169">
        <v>44083.850599999998</v>
      </c>
      <c r="B2169">
        <v>2268.4043999999999</v>
      </c>
      <c r="C2169">
        <v>13</v>
      </c>
      <c r="D2169" t="s">
        <v>616</v>
      </c>
      <c r="F2169">
        <v>1974</v>
      </c>
      <c r="G2169" s="1" t="s">
        <v>265</v>
      </c>
      <c r="H2169" s="1" t="s">
        <v>565</v>
      </c>
      <c r="I2169">
        <v>0.1676</v>
      </c>
      <c r="J2169">
        <v>44083.928399999997</v>
      </c>
      <c r="K2169">
        <v>4.0000000000000001E-3</v>
      </c>
      <c r="L2169">
        <v>2.3700000000000001E-3</v>
      </c>
      <c r="M2169">
        <v>4.6100000000000002E-2</v>
      </c>
      <c r="N2169">
        <v>0.1469</v>
      </c>
      <c r="O2169">
        <v>2.7799999999999999E-3</v>
      </c>
      <c r="P2169" s="3">
        <f t="shared" si="132"/>
        <v>2268.4043848020847</v>
      </c>
      <c r="Q2169" s="3">
        <f t="shared" si="133"/>
        <v>4.0033152113210235E-3</v>
      </c>
      <c r="R2169" s="3">
        <f t="shared" si="134"/>
        <v>2.3700000000000001E-3</v>
      </c>
      <c r="S2169">
        <f t="shared" si="135"/>
        <v>52</v>
      </c>
      <c r="T2169">
        <f>INDEX([1]IDEN_level_ids!$B:$B,MATCH(G2169,[1]IDEN_level_ids!$A:$A,0),1)</f>
        <v>1161</v>
      </c>
      <c r="U2169">
        <f>INDEX([1]IDEN_level_ids!$B:$B,MATCH(H2169,[1]IDEN_level_ids!$A:$A,0),1)</f>
        <v>1004</v>
      </c>
    </row>
    <row r="2170" spans="1:21" hidden="1" x14ac:dyDescent="0.25">
      <c r="A2170">
        <v>44081.030899999998</v>
      </c>
      <c r="B2170">
        <v>2268.5495000000001</v>
      </c>
      <c r="C2170">
        <v>13</v>
      </c>
      <c r="D2170" t="s">
        <v>616</v>
      </c>
      <c r="F2170">
        <v>1974</v>
      </c>
      <c r="G2170" s="1" t="s">
        <v>283</v>
      </c>
      <c r="H2170" s="1" t="s">
        <v>614</v>
      </c>
      <c r="I2170">
        <v>0.1457</v>
      </c>
      <c r="J2170">
        <v>44081.105100000001</v>
      </c>
      <c r="K2170">
        <v>3.82E-3</v>
      </c>
      <c r="L2170">
        <v>2.3700000000000001E-3</v>
      </c>
      <c r="M2170">
        <v>4.6100000000000002E-2</v>
      </c>
      <c r="N2170">
        <v>0.24759999999999999</v>
      </c>
      <c r="O2170">
        <v>3.15E-3</v>
      </c>
      <c r="P2170" s="3">
        <f t="shared" si="132"/>
        <v>2268.5494862144888</v>
      </c>
      <c r="Q2170" s="3">
        <f t="shared" si="133"/>
        <v>3.8185606167644437E-3</v>
      </c>
      <c r="R2170" s="3">
        <f t="shared" si="134"/>
        <v>2.3700000000000001E-3</v>
      </c>
      <c r="S2170">
        <f t="shared" si="135"/>
        <v>52</v>
      </c>
      <c r="T2170">
        <f>INDEX([1]IDEN_level_ids!$B:$B,MATCH(G2170,[1]IDEN_level_ids!$A:$A,0),1)</f>
        <v>1178</v>
      </c>
      <c r="U2170">
        <f>INDEX([1]IDEN_level_ids!$B:$B,MATCH(H2170,[1]IDEN_level_ids!$A:$A,0),1)</f>
        <v>1031</v>
      </c>
    </row>
    <row r="2171" spans="1:21" hidden="1" x14ac:dyDescent="0.25">
      <c r="A2171">
        <v>44073.240400000002</v>
      </c>
      <c r="B2171">
        <v>2268.9504999999999</v>
      </c>
      <c r="C2171">
        <v>13</v>
      </c>
      <c r="D2171" t="s">
        <v>616</v>
      </c>
      <c r="F2171">
        <v>1974</v>
      </c>
      <c r="G2171" s="1" t="s">
        <v>71</v>
      </c>
      <c r="H2171" s="1" t="s">
        <v>467</v>
      </c>
      <c r="I2171">
        <v>0</v>
      </c>
      <c r="J2171">
        <v>44073.278899999998</v>
      </c>
      <c r="K2171">
        <v>1.98E-3</v>
      </c>
      <c r="L2171">
        <v>2.3700000000000001E-3</v>
      </c>
      <c r="M2171">
        <v>4.6100000000000002E-2</v>
      </c>
      <c r="N2171">
        <v>0.11070000000000001</v>
      </c>
      <c r="O2171">
        <v>2.6700000000000001E-3</v>
      </c>
      <c r="P2171" s="3">
        <f t="shared" si="132"/>
        <v>2268.9504808908946</v>
      </c>
      <c r="Q2171" s="3">
        <f t="shared" si="133"/>
        <v>1.9820307379632141E-3</v>
      </c>
      <c r="R2171" s="3">
        <f t="shared" si="134"/>
        <v>2.3700000000000001E-3</v>
      </c>
      <c r="S2171">
        <f t="shared" si="135"/>
        <v>52</v>
      </c>
      <c r="T2171">
        <f>INDEX([1]IDEN_level_ids!$B:$B,MATCH(G2171,[1]IDEN_level_ids!$A:$A,0),1)</f>
        <v>1179</v>
      </c>
      <c r="U2171">
        <f>INDEX([1]IDEN_level_ids!$B:$B,MATCH(H2171,[1]IDEN_level_ids!$A:$A,0),1)</f>
        <v>1025</v>
      </c>
    </row>
    <row r="2172" spans="1:21" hidden="1" x14ac:dyDescent="0.25">
      <c r="A2172">
        <v>44030.190300000002</v>
      </c>
      <c r="B2172">
        <v>2271.1689000000001</v>
      </c>
      <c r="C2172">
        <v>13</v>
      </c>
      <c r="D2172" t="s">
        <v>616</v>
      </c>
      <c r="F2172">
        <v>1974</v>
      </c>
      <c r="G2172" s="1" t="s">
        <v>53</v>
      </c>
      <c r="H2172" s="1" t="s">
        <v>386</v>
      </c>
      <c r="I2172">
        <v>0.22500000000000001</v>
      </c>
      <c r="J2172">
        <v>44030.254999999997</v>
      </c>
      <c r="K2172">
        <v>3.3400000000000001E-3</v>
      </c>
      <c r="L2172">
        <v>2.3800000000000002E-3</v>
      </c>
      <c r="M2172">
        <v>4.6100000000000002E-2</v>
      </c>
      <c r="N2172">
        <v>0.1981</v>
      </c>
      <c r="O2172">
        <v>2.96E-3</v>
      </c>
      <c r="P2172" s="3">
        <f t="shared" si="132"/>
        <v>2271.1689256541777</v>
      </c>
      <c r="Q2172" s="3">
        <f t="shared" si="133"/>
        <v>3.3373558585481078E-3</v>
      </c>
      <c r="R2172" s="3">
        <f t="shared" si="134"/>
        <v>2.3800000000000002E-3</v>
      </c>
      <c r="S2172">
        <f t="shared" si="135"/>
        <v>52</v>
      </c>
      <c r="T2172">
        <f>INDEX([1]IDEN_level_ids!$B:$B,MATCH(G2172,[1]IDEN_level_ids!$A:$A,0),1)</f>
        <v>1231</v>
      </c>
      <c r="U2172">
        <f>INDEX([1]IDEN_level_ids!$B:$B,MATCH(H2172,[1]IDEN_level_ids!$A:$A,0),1)</f>
        <v>1082</v>
      </c>
    </row>
    <row r="2173" spans="1:21" hidden="1" x14ac:dyDescent="0.25">
      <c r="A2173">
        <v>44027.280599999998</v>
      </c>
      <c r="B2173">
        <v>2271.319</v>
      </c>
      <c r="C2173">
        <v>13</v>
      </c>
      <c r="D2173" t="s">
        <v>616</v>
      </c>
      <c r="E2173" t="s">
        <v>427</v>
      </c>
      <c r="F2173">
        <v>1974</v>
      </c>
      <c r="G2173" s="1" t="s">
        <v>166</v>
      </c>
      <c r="H2173" s="1" t="s">
        <v>587</v>
      </c>
      <c r="I2173">
        <v>0.13569999999999999</v>
      </c>
      <c r="J2173">
        <v>44027.336499999998</v>
      </c>
      <c r="K2173">
        <v>2.8900000000000002E-3</v>
      </c>
      <c r="L2173">
        <v>2.5100000000000001E-3</v>
      </c>
      <c r="M2173">
        <v>4.87E-2</v>
      </c>
      <c r="N2173">
        <v>8.7300000000000003E-2</v>
      </c>
      <c r="O2173">
        <v>2.7499999999999998E-3</v>
      </c>
      <c r="P2173" s="3">
        <f t="shared" si="132"/>
        <v>2271.3190239598857</v>
      </c>
      <c r="Q2173" s="3">
        <f t="shared" si="133"/>
        <v>2.8838159091719717E-3</v>
      </c>
      <c r="R2173" s="3">
        <f t="shared" si="134"/>
        <v>2.5100000000000001E-3</v>
      </c>
      <c r="S2173">
        <f t="shared" si="135"/>
        <v>52</v>
      </c>
      <c r="T2173">
        <f>INDEX([1]IDEN_level_ids!$B:$B,MATCH(G2173,[1]IDEN_level_ids!$A:$A,0),1)</f>
        <v>1186</v>
      </c>
      <c r="U2173">
        <f>INDEX([1]IDEN_level_ids!$B:$B,MATCH(H2173,[1]IDEN_level_ids!$A:$A,0),1)</f>
        <v>1035</v>
      </c>
    </row>
    <row r="2174" spans="1:21" hidden="1" x14ac:dyDescent="0.25">
      <c r="A2174">
        <v>44026.119899999998</v>
      </c>
      <c r="B2174">
        <v>2271.3789000000002</v>
      </c>
      <c r="C2174">
        <v>13</v>
      </c>
      <c r="D2174" t="s">
        <v>616</v>
      </c>
      <c r="F2174">
        <v>1974</v>
      </c>
      <c r="G2174" s="1" t="s">
        <v>197</v>
      </c>
      <c r="H2174" s="1" t="s">
        <v>452</v>
      </c>
      <c r="I2174">
        <v>0.25619999999999998</v>
      </c>
      <c r="J2174">
        <v>44026.152900000001</v>
      </c>
      <c r="K2174">
        <v>1.6999999999999999E-3</v>
      </c>
      <c r="L2174">
        <v>2.3800000000000002E-3</v>
      </c>
      <c r="M2174">
        <v>4.6100000000000002E-2</v>
      </c>
      <c r="N2174">
        <v>0.11</v>
      </c>
      <c r="O2174">
        <v>2.6700000000000001E-3</v>
      </c>
      <c r="P2174" s="3">
        <f t="shared" si="132"/>
        <v>2271.378904776026</v>
      </c>
      <c r="Q2174" s="3">
        <f t="shared" si="133"/>
        <v>1.7025222264237527E-3</v>
      </c>
      <c r="R2174" s="3">
        <f t="shared" si="134"/>
        <v>2.3800000000000002E-3</v>
      </c>
      <c r="S2174">
        <f t="shared" si="135"/>
        <v>52</v>
      </c>
      <c r="T2174">
        <f>INDEX([1]IDEN_level_ids!$B:$B,MATCH(G2174,[1]IDEN_level_ids!$A:$A,0),1)</f>
        <v>1182</v>
      </c>
      <c r="U2174">
        <f>INDEX([1]IDEN_level_ids!$B:$B,MATCH(H2174,[1]IDEN_level_ids!$A:$A,0),1)</f>
        <v>1033</v>
      </c>
    </row>
    <row r="2175" spans="1:21" hidden="1" x14ac:dyDescent="0.25">
      <c r="A2175">
        <v>44022.4591</v>
      </c>
      <c r="B2175">
        <v>2271.5677999999998</v>
      </c>
      <c r="C2175">
        <v>13</v>
      </c>
      <c r="D2175" t="s">
        <v>616</v>
      </c>
      <c r="F2175">
        <v>1974</v>
      </c>
      <c r="G2175" s="1" t="s">
        <v>204</v>
      </c>
      <c r="H2175" s="1" t="s">
        <v>614</v>
      </c>
      <c r="I2175">
        <v>0.1457</v>
      </c>
      <c r="J2175">
        <v>44022.503400000001</v>
      </c>
      <c r="K2175">
        <v>2.2899999999999999E-3</v>
      </c>
      <c r="L2175">
        <v>2.3800000000000002E-3</v>
      </c>
      <c r="M2175">
        <v>4.6100000000000002E-2</v>
      </c>
      <c r="N2175">
        <v>0.22989999999999999</v>
      </c>
      <c r="O2175">
        <v>3.0899999999999999E-3</v>
      </c>
      <c r="P2175" s="3">
        <f t="shared" si="132"/>
        <v>2271.5677870889317</v>
      </c>
      <c r="Q2175" s="3">
        <f t="shared" si="133"/>
        <v>2.2858866536807909E-3</v>
      </c>
      <c r="R2175" s="3">
        <f t="shared" si="134"/>
        <v>2.3800000000000002E-3</v>
      </c>
      <c r="S2175">
        <f t="shared" si="135"/>
        <v>52</v>
      </c>
      <c r="T2175">
        <f>INDEX([1]IDEN_level_ids!$B:$B,MATCH(G2175,[1]IDEN_level_ids!$A:$A,0),1)</f>
        <v>1176</v>
      </c>
      <c r="U2175">
        <f>INDEX([1]IDEN_level_ids!$B:$B,MATCH(H2175,[1]IDEN_level_ids!$A:$A,0),1)</f>
        <v>1031</v>
      </c>
    </row>
    <row r="2176" spans="1:21" hidden="1" x14ac:dyDescent="0.25">
      <c r="A2176">
        <v>44010.090499999998</v>
      </c>
      <c r="B2176">
        <v>2272.2062000000001</v>
      </c>
      <c r="C2176">
        <v>13</v>
      </c>
      <c r="D2176" t="s">
        <v>616</v>
      </c>
      <c r="F2176">
        <v>1974</v>
      </c>
      <c r="G2176" s="1" t="s">
        <v>253</v>
      </c>
      <c r="H2176" s="1" t="s">
        <v>441</v>
      </c>
      <c r="I2176">
        <v>9.8500000000000004E-2</v>
      </c>
      <c r="J2176">
        <v>44010.120300000002</v>
      </c>
      <c r="K2176">
        <v>1.5399999999999999E-3</v>
      </c>
      <c r="L2176">
        <v>2.3800000000000002E-3</v>
      </c>
      <c r="M2176">
        <v>4.6100000000000002E-2</v>
      </c>
      <c r="N2176">
        <v>0.34689999999999999</v>
      </c>
      <c r="O2176">
        <v>3.64E-3</v>
      </c>
      <c r="P2176" s="3">
        <f t="shared" si="132"/>
        <v>2272.2061887148357</v>
      </c>
      <c r="Q2176" s="3">
        <f t="shared" si="133"/>
        <v>1.5385494057227334E-3</v>
      </c>
      <c r="R2176" s="3">
        <f t="shared" si="134"/>
        <v>2.3800000000000002E-3</v>
      </c>
      <c r="S2176">
        <f t="shared" si="135"/>
        <v>52</v>
      </c>
      <c r="T2176">
        <f>INDEX([1]IDEN_level_ids!$B:$B,MATCH(G2176,[1]IDEN_level_ids!$A:$A,0),1)</f>
        <v>1181</v>
      </c>
      <c r="U2176">
        <f>INDEX([1]IDEN_level_ids!$B:$B,MATCH(H2176,[1]IDEN_level_ids!$A:$A,0),1)</f>
        <v>1034</v>
      </c>
    </row>
    <row r="2177" spans="1:21" hidden="1" x14ac:dyDescent="0.25">
      <c r="A2177">
        <v>44000.930099999998</v>
      </c>
      <c r="B2177">
        <v>2272.6792</v>
      </c>
      <c r="C2177">
        <v>13</v>
      </c>
      <c r="D2177" t="s">
        <v>616</v>
      </c>
      <c r="F2177">
        <v>1974</v>
      </c>
      <c r="G2177" s="1" t="s">
        <v>38</v>
      </c>
      <c r="H2177" s="1" t="s">
        <v>416</v>
      </c>
      <c r="I2177">
        <v>0.26750000000000002</v>
      </c>
      <c r="J2177">
        <v>44001.014300000003</v>
      </c>
      <c r="K2177">
        <v>4.3499999999999997E-3</v>
      </c>
      <c r="L2177">
        <v>2.3800000000000002E-3</v>
      </c>
      <c r="M2177">
        <v>4.6100000000000002E-2</v>
      </c>
      <c r="N2177">
        <v>0.1231</v>
      </c>
      <c r="O2177">
        <v>2.7100000000000002E-3</v>
      </c>
      <c r="P2177" s="3">
        <f t="shared" si="132"/>
        <v>2272.6792313874294</v>
      </c>
      <c r="Q2177" s="3">
        <f t="shared" si="133"/>
        <v>4.3489813665473775E-3</v>
      </c>
      <c r="R2177" s="3">
        <f t="shared" si="134"/>
        <v>2.3800000000000002E-3</v>
      </c>
      <c r="S2177">
        <f t="shared" si="135"/>
        <v>52</v>
      </c>
      <c r="T2177">
        <f>INDEX([1]IDEN_level_ids!$B:$B,MATCH(G2177,[1]IDEN_level_ids!$A:$A,0),1)</f>
        <v>1201</v>
      </c>
      <c r="U2177">
        <f>INDEX([1]IDEN_level_ids!$B:$B,MATCH(H2177,[1]IDEN_level_ids!$A:$A,0),1)</f>
        <v>1055</v>
      </c>
    </row>
    <row r="2178" spans="1:21" hidden="1" x14ac:dyDescent="0.25">
      <c r="A2178">
        <v>43988.059300000001</v>
      </c>
      <c r="B2178">
        <v>2273.3442</v>
      </c>
      <c r="C2178">
        <v>13</v>
      </c>
      <c r="D2178" t="s">
        <v>616</v>
      </c>
      <c r="F2178">
        <v>1974</v>
      </c>
      <c r="G2178" s="1" t="s">
        <v>271</v>
      </c>
      <c r="H2178" s="1" t="s">
        <v>578</v>
      </c>
      <c r="I2178">
        <v>0.25619999999999998</v>
      </c>
      <c r="J2178">
        <v>43988.111900000004</v>
      </c>
      <c r="K2178">
        <v>2.7200000000000002E-3</v>
      </c>
      <c r="L2178">
        <v>2.3800000000000002E-3</v>
      </c>
      <c r="M2178">
        <v>4.6100000000000002E-2</v>
      </c>
      <c r="N2178">
        <v>0.11650000000000001</v>
      </c>
      <c r="O2178">
        <v>2.6900000000000001E-3</v>
      </c>
      <c r="P2178" s="3">
        <f t="shared" ref="P2178:P2241" si="136">100000000/$A2178</f>
        <v>2273.3442118461453</v>
      </c>
      <c r="Q2178" s="3">
        <f t="shared" ref="Q2178:Q2241" si="137">100000000/($A2178)-100000000/$J2178</f>
        <v>2.7184141440557141E-3</v>
      </c>
      <c r="R2178" s="3">
        <f t="shared" si="134"/>
        <v>2.3800000000000002E-3</v>
      </c>
      <c r="S2178">
        <f t="shared" si="135"/>
        <v>52</v>
      </c>
      <c r="T2178">
        <f>INDEX([1]IDEN_level_ids!$B:$B,MATCH(G2178,[1]IDEN_level_ids!$A:$A,0),1)</f>
        <v>1158</v>
      </c>
      <c r="U2178">
        <f>INDEX([1]IDEN_level_ids!$B:$B,MATCH(H2178,[1]IDEN_level_ids!$A:$A,0),1)</f>
        <v>1003</v>
      </c>
    </row>
    <row r="2179" spans="1:21" hidden="1" x14ac:dyDescent="0.25">
      <c r="A2179">
        <v>43978.630700000002</v>
      </c>
      <c r="B2179">
        <v>2273.8316</v>
      </c>
      <c r="C2179">
        <v>13</v>
      </c>
      <c r="D2179" t="s">
        <v>616</v>
      </c>
      <c r="F2179">
        <v>1974</v>
      </c>
      <c r="G2179" s="1" t="s">
        <v>72</v>
      </c>
      <c r="H2179" s="1" t="s">
        <v>450</v>
      </c>
      <c r="I2179">
        <v>0.2989</v>
      </c>
      <c r="J2179">
        <v>43978.687700000002</v>
      </c>
      <c r="K2179">
        <v>2.9499999999999999E-3</v>
      </c>
      <c r="L2179">
        <v>2.3800000000000002E-3</v>
      </c>
      <c r="M2179">
        <v>4.6100000000000002E-2</v>
      </c>
      <c r="N2179">
        <v>0.1462</v>
      </c>
      <c r="O2179">
        <v>2.7899999999999999E-3</v>
      </c>
      <c r="P2179" s="3">
        <f t="shared" si="136"/>
        <v>2273.8315952160829</v>
      </c>
      <c r="Q2179" s="3">
        <f t="shared" si="137"/>
        <v>2.9470729505192139E-3</v>
      </c>
      <c r="R2179" s="3">
        <f t="shared" ref="R2179:R2242" si="138">$L2179</f>
        <v>2.3800000000000002E-3</v>
      </c>
      <c r="S2179">
        <f t="shared" si="135"/>
        <v>52</v>
      </c>
      <c r="T2179">
        <f>INDEX([1]IDEN_level_ids!$B:$B,MATCH(G2179,[1]IDEN_level_ids!$A:$A,0),1)</f>
        <v>1225</v>
      </c>
      <c r="U2179">
        <f>INDEX([1]IDEN_level_ids!$B:$B,MATCH(H2179,[1]IDEN_level_ids!$A:$A,0),1)</f>
        <v>1077</v>
      </c>
    </row>
    <row r="2180" spans="1:21" hidden="1" x14ac:dyDescent="0.25">
      <c r="A2180">
        <v>43977.430899999999</v>
      </c>
      <c r="B2180">
        <v>2273.8935999999999</v>
      </c>
      <c r="C2180">
        <v>13</v>
      </c>
      <c r="D2180" t="s">
        <v>616</v>
      </c>
      <c r="F2180">
        <v>1974</v>
      </c>
      <c r="G2180" s="1" t="s">
        <v>272</v>
      </c>
      <c r="H2180" s="1" t="s">
        <v>436</v>
      </c>
      <c r="I2180">
        <v>0.4269</v>
      </c>
      <c r="J2180">
        <v>43977.476799999997</v>
      </c>
      <c r="K2180">
        <v>2.3700000000000001E-3</v>
      </c>
      <c r="L2180">
        <v>2.3800000000000002E-3</v>
      </c>
      <c r="M2180">
        <v>4.6100000000000002E-2</v>
      </c>
      <c r="N2180">
        <v>0.29749999999999999</v>
      </c>
      <c r="O2180">
        <v>3.3899999999999998E-3</v>
      </c>
      <c r="P2180" s="3">
        <f t="shared" si="136"/>
        <v>2273.8936302893494</v>
      </c>
      <c r="Q2180" s="3">
        <f t="shared" si="137"/>
        <v>2.3732993618068576E-3</v>
      </c>
      <c r="R2180" s="3">
        <f t="shared" si="138"/>
        <v>2.3800000000000002E-3</v>
      </c>
      <c r="S2180">
        <f t="shared" ref="S2180:S2243" si="139">IF(D2180=D2179,S2179,S2179+1)</f>
        <v>52</v>
      </c>
      <c r="T2180">
        <f>INDEX([1]IDEN_level_ids!$B:$B,MATCH(G2180,[1]IDEN_level_ids!$A:$A,0),1)</f>
        <v>1109</v>
      </c>
      <c r="U2180">
        <f>INDEX([1]IDEN_level_ids!$B:$B,MATCH(H2180,[1]IDEN_level_ids!$A:$A,0),1)</f>
        <v>947</v>
      </c>
    </row>
    <row r="2181" spans="1:21" hidden="1" x14ac:dyDescent="0.25">
      <c r="A2181">
        <v>43970.4107</v>
      </c>
      <c r="B2181">
        <v>2274.2566999999999</v>
      </c>
      <c r="C2181">
        <v>13</v>
      </c>
      <c r="D2181" t="s">
        <v>616</v>
      </c>
      <c r="F2181">
        <v>1974</v>
      </c>
      <c r="G2181" s="1" t="s">
        <v>250</v>
      </c>
      <c r="H2181" s="1" t="s">
        <v>436</v>
      </c>
      <c r="I2181">
        <v>0.4269</v>
      </c>
      <c r="J2181">
        <v>43970.445299999999</v>
      </c>
      <c r="K2181">
        <v>1.7899999999999999E-3</v>
      </c>
      <c r="L2181">
        <v>2.3800000000000002E-3</v>
      </c>
      <c r="M2181">
        <v>4.6100000000000002E-2</v>
      </c>
      <c r="N2181">
        <v>0.28210000000000002</v>
      </c>
      <c r="O2181">
        <v>3.32E-3</v>
      </c>
      <c r="P2181" s="3">
        <f t="shared" si="136"/>
        <v>2274.2566741592887</v>
      </c>
      <c r="Q2181" s="3">
        <f t="shared" si="137"/>
        <v>1.7895948149089236E-3</v>
      </c>
      <c r="R2181" s="3">
        <f t="shared" si="138"/>
        <v>2.3800000000000002E-3</v>
      </c>
      <c r="S2181">
        <f t="shared" si="139"/>
        <v>52</v>
      </c>
      <c r="T2181">
        <f>INDEX([1]IDEN_level_ids!$B:$B,MATCH(G2181,[1]IDEN_level_ids!$A:$A,0),1)</f>
        <v>1107</v>
      </c>
      <c r="U2181">
        <f>INDEX([1]IDEN_level_ids!$B:$B,MATCH(H2181,[1]IDEN_level_ids!$A:$A,0),1)</f>
        <v>947</v>
      </c>
    </row>
    <row r="2182" spans="1:21" hidden="1" x14ac:dyDescent="0.25">
      <c r="A2182">
        <v>43965.170700000002</v>
      </c>
      <c r="B2182">
        <v>2274.5277000000001</v>
      </c>
      <c r="C2182">
        <v>13</v>
      </c>
      <c r="D2182" t="s">
        <v>616</v>
      </c>
      <c r="E2182" t="s">
        <v>427</v>
      </c>
      <c r="F2182">
        <v>1974</v>
      </c>
      <c r="G2182" s="1" t="s">
        <v>284</v>
      </c>
      <c r="H2182" s="1" t="s">
        <v>497</v>
      </c>
      <c r="I2182">
        <v>0.45729999999999998</v>
      </c>
      <c r="J2182">
        <v>43965.160600000003</v>
      </c>
      <c r="K2182">
        <v>-5.1999999999999995E-4</v>
      </c>
      <c r="L2182">
        <v>2.5200000000000001E-3</v>
      </c>
      <c r="M2182">
        <v>4.87E-2</v>
      </c>
      <c r="N2182">
        <v>0.46739999999999998</v>
      </c>
      <c r="O2182">
        <v>4.7299999999999998E-3</v>
      </c>
      <c r="P2182" s="3">
        <f t="shared" si="136"/>
        <v>2274.5277320167438</v>
      </c>
      <c r="Q2182" s="3">
        <f t="shared" si="137"/>
        <v>-5.2252123668949935E-4</v>
      </c>
      <c r="R2182" s="3">
        <f t="shared" si="138"/>
        <v>2.5200000000000001E-3</v>
      </c>
      <c r="S2182">
        <f t="shared" si="139"/>
        <v>52</v>
      </c>
      <c r="T2182">
        <f>INDEX([1]IDEN_level_ids!$B:$B,MATCH(G2182,[1]IDEN_level_ids!$A:$A,0),1)</f>
        <v>1103</v>
      </c>
      <c r="U2182">
        <f>INDEX([1]IDEN_level_ids!$B:$B,MATCH(H2182,[1]IDEN_level_ids!$A:$A,0),1)</f>
        <v>935</v>
      </c>
    </row>
    <row r="2183" spans="1:21" hidden="1" x14ac:dyDescent="0.25">
      <c r="A2183">
        <v>43956.5504</v>
      </c>
      <c r="B2183">
        <v>2274.9738000000002</v>
      </c>
      <c r="C2183">
        <v>13</v>
      </c>
      <c r="D2183" t="s">
        <v>616</v>
      </c>
      <c r="F2183">
        <v>1974</v>
      </c>
      <c r="G2183" s="1" t="s">
        <v>194</v>
      </c>
      <c r="H2183" s="1" t="s">
        <v>552</v>
      </c>
      <c r="I2183">
        <v>0</v>
      </c>
      <c r="J2183">
        <v>43956.571300000003</v>
      </c>
      <c r="K2183">
        <v>1.08E-3</v>
      </c>
      <c r="L2183">
        <v>2.3800000000000002E-3</v>
      </c>
      <c r="M2183">
        <v>4.6100000000000002E-2</v>
      </c>
      <c r="N2183">
        <v>0.1343</v>
      </c>
      <c r="O2183">
        <v>2.7499999999999998E-3</v>
      </c>
      <c r="P2183" s="3">
        <f t="shared" si="136"/>
        <v>2274.9737886619964</v>
      </c>
      <c r="Q2183" s="3">
        <f t="shared" si="137"/>
        <v>1.0816801850523916E-3</v>
      </c>
      <c r="R2183" s="3">
        <f t="shared" si="138"/>
        <v>2.3800000000000002E-3</v>
      </c>
      <c r="S2183">
        <f t="shared" si="139"/>
        <v>52</v>
      </c>
      <c r="T2183">
        <f>INDEX([1]IDEN_level_ids!$B:$B,MATCH(G2183,[1]IDEN_level_ids!$A:$A,0),1)</f>
        <v>1187</v>
      </c>
      <c r="U2183">
        <f>INDEX([1]IDEN_level_ids!$B:$B,MATCH(H2183,[1]IDEN_level_ids!$A:$A,0),1)</f>
        <v>1040</v>
      </c>
    </row>
    <row r="2184" spans="1:21" hidden="1" x14ac:dyDescent="0.25">
      <c r="A2184">
        <v>43943.391100000001</v>
      </c>
      <c r="B2184">
        <v>2275.6550999999999</v>
      </c>
      <c r="C2184">
        <v>13</v>
      </c>
      <c r="D2184" t="s">
        <v>618</v>
      </c>
      <c r="F2184">
        <v>1974</v>
      </c>
      <c r="G2184" s="1" t="s">
        <v>172</v>
      </c>
      <c r="H2184" s="1" t="s">
        <v>501</v>
      </c>
      <c r="I2184">
        <v>0.19689999999999999</v>
      </c>
      <c r="J2184">
        <v>43943.4614</v>
      </c>
      <c r="K2184">
        <v>3.64E-3</v>
      </c>
      <c r="L2184">
        <v>2.3900000000000002E-3</v>
      </c>
      <c r="M2184">
        <v>4.6100000000000002E-2</v>
      </c>
      <c r="N2184">
        <v>0.31109999999999999</v>
      </c>
      <c r="O2184">
        <v>3.46E-3</v>
      </c>
      <c r="P2184" s="3">
        <f t="shared" si="136"/>
        <v>2275.6550529392348</v>
      </c>
      <c r="Q2184" s="3">
        <f t="shared" si="137"/>
        <v>3.6405541377462214E-3</v>
      </c>
      <c r="R2184" s="3">
        <f t="shared" si="138"/>
        <v>2.3900000000000002E-3</v>
      </c>
      <c r="S2184">
        <f t="shared" si="139"/>
        <v>53</v>
      </c>
      <c r="T2184">
        <f>INDEX([1]IDEN_level_ids!$B:$B,MATCH(G2184,[1]IDEN_level_ids!$A:$A,0),1)</f>
        <v>1136</v>
      </c>
      <c r="U2184">
        <f>INDEX([1]IDEN_level_ids!$B:$B,MATCH(H2184,[1]IDEN_level_ids!$A:$A,0),1)</f>
        <v>969</v>
      </c>
    </row>
    <row r="2185" spans="1:21" hidden="1" x14ac:dyDescent="0.25">
      <c r="A2185">
        <v>43940.670400000003</v>
      </c>
      <c r="B2185">
        <v>2275.7959999999998</v>
      </c>
      <c r="C2185">
        <v>13</v>
      </c>
      <c r="D2185" t="s">
        <v>618</v>
      </c>
      <c r="F2185">
        <v>1974</v>
      </c>
      <c r="G2185" s="1" t="s">
        <v>611</v>
      </c>
      <c r="H2185" s="1" t="s">
        <v>588</v>
      </c>
      <c r="I2185">
        <v>0</v>
      </c>
      <c r="J2185">
        <v>43940.715700000001</v>
      </c>
      <c r="K2185">
        <v>2.3500000000000001E-3</v>
      </c>
      <c r="L2185">
        <v>2.3900000000000002E-3</v>
      </c>
      <c r="M2185">
        <v>4.6100000000000002E-2</v>
      </c>
      <c r="N2185">
        <v>0.5484</v>
      </c>
      <c r="O2185">
        <v>5.28E-3</v>
      </c>
      <c r="P2185" s="3">
        <f t="shared" si="136"/>
        <v>2275.7959559943351</v>
      </c>
      <c r="Q2185" s="3">
        <f t="shared" si="137"/>
        <v>2.3461965774913551E-3</v>
      </c>
      <c r="R2185" s="3">
        <f t="shared" si="138"/>
        <v>2.3900000000000002E-3</v>
      </c>
      <c r="S2185">
        <f t="shared" si="139"/>
        <v>53</v>
      </c>
      <c r="T2185">
        <f>INDEX([1]IDEN_level_ids!$B:$B,MATCH(G2185,[1]IDEN_level_ids!$A:$A,0),1)</f>
        <v>1110</v>
      </c>
      <c r="U2185">
        <f>INDEX([1]IDEN_level_ids!$B:$B,MATCH(H2185,[1]IDEN_level_ids!$A:$A,0),1)</f>
        <v>949</v>
      </c>
    </row>
    <row r="2186" spans="1:21" hidden="1" x14ac:dyDescent="0.25">
      <c r="A2186">
        <v>43924.840400000001</v>
      </c>
      <c r="B2186">
        <v>2276.6161000000002</v>
      </c>
      <c r="C2186">
        <v>13</v>
      </c>
      <c r="D2186" t="s">
        <v>618</v>
      </c>
      <c r="F2186">
        <v>1974</v>
      </c>
      <c r="G2186" s="1" t="s">
        <v>187</v>
      </c>
      <c r="H2186" s="1" t="s">
        <v>593</v>
      </c>
      <c r="I2186">
        <v>0</v>
      </c>
      <c r="J2186">
        <v>43924.851600000002</v>
      </c>
      <c r="K2186">
        <v>5.8E-4</v>
      </c>
      <c r="L2186">
        <v>2.3900000000000002E-3</v>
      </c>
      <c r="M2186">
        <v>4.6100000000000002E-2</v>
      </c>
      <c r="N2186">
        <v>0.2339</v>
      </c>
      <c r="O2186">
        <v>3.1199999999999999E-3</v>
      </c>
      <c r="P2186" s="3">
        <f t="shared" si="136"/>
        <v>2276.6161263046956</v>
      </c>
      <c r="Q2186" s="3">
        <f t="shared" si="137"/>
        <v>5.8049372228197171E-4</v>
      </c>
      <c r="R2186" s="3">
        <f t="shared" si="138"/>
        <v>2.3900000000000002E-3</v>
      </c>
      <c r="S2186">
        <f t="shared" si="139"/>
        <v>53</v>
      </c>
      <c r="T2186">
        <f>INDEX([1]IDEN_level_ids!$B:$B,MATCH(G2186,[1]IDEN_level_ids!$A:$A,0),1)</f>
        <v>1204</v>
      </c>
      <c r="U2186">
        <f>INDEX([1]IDEN_level_ids!$B:$B,MATCH(H2186,[1]IDEN_level_ids!$A:$A,0),1)</f>
        <v>1059</v>
      </c>
    </row>
    <row r="2187" spans="1:21" hidden="1" x14ac:dyDescent="0.25">
      <c r="A2187">
        <v>43919.96</v>
      </c>
      <c r="B2187">
        <v>2276.8690999999999</v>
      </c>
      <c r="C2187">
        <v>13</v>
      </c>
      <c r="D2187" t="s">
        <v>618</v>
      </c>
      <c r="F2187">
        <v>1974</v>
      </c>
      <c r="G2187" s="1" t="s">
        <v>209</v>
      </c>
      <c r="H2187" s="1" t="s">
        <v>431</v>
      </c>
      <c r="I2187">
        <v>0.28649999999999998</v>
      </c>
      <c r="J2187">
        <v>43920.015500000001</v>
      </c>
      <c r="K2187">
        <v>2.8800000000000002E-3</v>
      </c>
      <c r="L2187">
        <v>2.3900000000000002E-3</v>
      </c>
      <c r="M2187">
        <v>4.6100000000000002E-2</v>
      </c>
      <c r="N2187">
        <v>0.13270000000000001</v>
      </c>
      <c r="O2187">
        <v>2.7499999999999998E-3</v>
      </c>
      <c r="P2187" s="3">
        <f t="shared" si="136"/>
        <v>2276.8691046166709</v>
      </c>
      <c r="Q2187" s="3">
        <f t="shared" si="137"/>
        <v>2.8771901347681705E-3</v>
      </c>
      <c r="R2187" s="3">
        <f t="shared" si="138"/>
        <v>2.3900000000000002E-3</v>
      </c>
      <c r="S2187">
        <f t="shared" si="139"/>
        <v>53</v>
      </c>
      <c r="T2187">
        <f>INDEX([1]IDEN_level_ids!$B:$B,MATCH(G2187,[1]IDEN_level_ids!$A:$A,0),1)</f>
        <v>1209</v>
      </c>
      <c r="U2187">
        <f>INDEX([1]IDEN_level_ids!$B:$B,MATCH(H2187,[1]IDEN_level_ids!$A:$A,0),1)</f>
        <v>1062</v>
      </c>
    </row>
    <row r="2188" spans="1:21" hidden="1" x14ac:dyDescent="0.25">
      <c r="A2188">
        <v>43905.419399999999</v>
      </c>
      <c r="B2188">
        <v>2277.6232</v>
      </c>
      <c r="C2188">
        <v>13</v>
      </c>
      <c r="D2188" t="s">
        <v>618</v>
      </c>
      <c r="F2188">
        <v>1974</v>
      </c>
      <c r="G2188" s="1" t="s">
        <v>350</v>
      </c>
      <c r="H2188" s="1" t="s">
        <v>502</v>
      </c>
      <c r="I2188">
        <v>4.7100000000000003E-2</v>
      </c>
      <c r="J2188">
        <v>43905.440399999999</v>
      </c>
      <c r="K2188">
        <v>1.09E-3</v>
      </c>
      <c r="L2188">
        <v>2.3900000000000002E-3</v>
      </c>
      <c r="M2188">
        <v>4.6100000000000002E-2</v>
      </c>
      <c r="N2188">
        <v>0.23119999999999999</v>
      </c>
      <c r="O2188">
        <v>3.1099999999999999E-3</v>
      </c>
      <c r="P2188" s="3">
        <f t="shared" si="136"/>
        <v>2277.6231582928463</v>
      </c>
      <c r="Q2188" s="3">
        <f t="shared" si="137"/>
        <v>1.0893886019402998E-3</v>
      </c>
      <c r="R2188" s="3">
        <f t="shared" si="138"/>
        <v>2.3900000000000002E-3</v>
      </c>
      <c r="S2188">
        <f t="shared" si="139"/>
        <v>53</v>
      </c>
      <c r="T2188">
        <f>INDEX([1]IDEN_level_ids!$B:$B,MATCH(G2188,[1]IDEN_level_ids!$A:$A,0),1)</f>
        <v>1112</v>
      </c>
      <c r="U2188">
        <f>INDEX([1]IDEN_level_ids!$B:$B,MATCH(H2188,[1]IDEN_level_ids!$A:$A,0),1)</f>
        <v>952</v>
      </c>
    </row>
    <row r="2189" spans="1:21" hidden="1" x14ac:dyDescent="0.25">
      <c r="A2189">
        <v>43903.581200000001</v>
      </c>
      <c r="B2189">
        <v>2277.7184999999999</v>
      </c>
      <c r="C2189">
        <v>13</v>
      </c>
      <c r="D2189" t="s">
        <v>618</v>
      </c>
      <c r="F2189">
        <v>1974</v>
      </c>
      <c r="G2189" s="1" t="s">
        <v>71</v>
      </c>
      <c r="H2189" s="1" t="s">
        <v>540</v>
      </c>
      <c r="I2189">
        <v>0.34399999999999997</v>
      </c>
      <c r="J2189">
        <v>43903.649799999999</v>
      </c>
      <c r="K2189">
        <v>3.5599999999999998E-3</v>
      </c>
      <c r="L2189">
        <v>2.3900000000000002E-3</v>
      </c>
      <c r="M2189">
        <v>4.6100000000000002E-2</v>
      </c>
      <c r="N2189">
        <v>9.9400000000000002E-2</v>
      </c>
      <c r="O2189">
        <v>2.65E-3</v>
      </c>
      <c r="P2189" s="3">
        <f t="shared" si="136"/>
        <v>2277.7185201465982</v>
      </c>
      <c r="Q2189" s="3">
        <f t="shared" si="137"/>
        <v>3.5589635758697113E-3</v>
      </c>
      <c r="R2189" s="3">
        <f t="shared" si="138"/>
        <v>2.3900000000000002E-3</v>
      </c>
      <c r="S2189">
        <f t="shared" si="139"/>
        <v>53</v>
      </c>
      <c r="T2189">
        <f>INDEX([1]IDEN_level_ids!$B:$B,MATCH(G2189,[1]IDEN_level_ids!$A:$A,0),1)</f>
        <v>1179</v>
      </c>
      <c r="U2189">
        <f>INDEX([1]IDEN_level_ids!$B:$B,MATCH(H2189,[1]IDEN_level_ids!$A:$A,0),1)</f>
        <v>1027</v>
      </c>
    </row>
    <row r="2190" spans="1:21" hidden="1" x14ac:dyDescent="0.25">
      <c r="A2190">
        <v>43896.160900000003</v>
      </c>
      <c r="B2190">
        <v>2278.1035999999999</v>
      </c>
      <c r="C2190">
        <v>13</v>
      </c>
      <c r="D2190" t="s">
        <v>618</v>
      </c>
      <c r="F2190">
        <v>1974</v>
      </c>
      <c r="G2190" s="1" t="s">
        <v>94</v>
      </c>
      <c r="H2190" s="1" t="s">
        <v>375</v>
      </c>
      <c r="I2190">
        <v>0.28789999999999999</v>
      </c>
      <c r="J2190">
        <v>43896.216899999999</v>
      </c>
      <c r="K2190">
        <v>2.9099999999999998E-3</v>
      </c>
      <c r="L2190">
        <v>2.3900000000000002E-3</v>
      </c>
      <c r="M2190">
        <v>4.6100000000000002E-2</v>
      </c>
      <c r="N2190">
        <v>0.109</v>
      </c>
      <c r="O2190">
        <v>2.6800000000000001E-3</v>
      </c>
      <c r="P2190" s="3">
        <f t="shared" si="136"/>
        <v>2278.1035505089008</v>
      </c>
      <c r="Q2190" s="3">
        <f t="shared" si="137"/>
        <v>2.9062595326649898E-3</v>
      </c>
      <c r="R2190" s="3">
        <f t="shared" si="138"/>
        <v>2.3900000000000002E-3</v>
      </c>
      <c r="S2190">
        <f t="shared" si="139"/>
        <v>53</v>
      </c>
      <c r="T2190">
        <f>INDEX([1]IDEN_level_ids!$B:$B,MATCH(G2190,[1]IDEN_level_ids!$A:$A,0),1)</f>
        <v>1207</v>
      </c>
      <c r="U2190">
        <f>INDEX([1]IDEN_level_ids!$B:$B,MATCH(H2190,[1]IDEN_level_ids!$A:$A,0),1)</f>
        <v>1065</v>
      </c>
    </row>
    <row r="2191" spans="1:21" hidden="1" x14ac:dyDescent="0.25">
      <c r="A2191">
        <v>43885.890899999999</v>
      </c>
      <c r="B2191">
        <v>2278.6367</v>
      </c>
      <c r="C2191">
        <v>13</v>
      </c>
      <c r="D2191" t="s">
        <v>618</v>
      </c>
      <c r="F2191">
        <v>1974</v>
      </c>
      <c r="G2191" s="1" t="s">
        <v>289</v>
      </c>
      <c r="H2191" s="1" t="s">
        <v>482</v>
      </c>
      <c r="I2191">
        <v>-2.9999999999999997E-4</v>
      </c>
      <c r="J2191">
        <v>43885.907700000003</v>
      </c>
      <c r="K2191">
        <v>8.7000000000000001E-4</v>
      </c>
      <c r="L2191">
        <v>2.3900000000000002E-3</v>
      </c>
      <c r="M2191">
        <v>4.6100000000000002E-2</v>
      </c>
      <c r="N2191">
        <v>0.1825</v>
      </c>
      <c r="O2191">
        <v>2.9299999999999999E-3</v>
      </c>
      <c r="P2191" s="3">
        <f t="shared" si="136"/>
        <v>2278.6366631559031</v>
      </c>
      <c r="Q2191" s="3">
        <f t="shared" si="137"/>
        <v>8.7228675374717568E-4</v>
      </c>
      <c r="R2191" s="3">
        <f t="shared" si="138"/>
        <v>2.3900000000000002E-3</v>
      </c>
      <c r="S2191">
        <f t="shared" si="139"/>
        <v>53</v>
      </c>
      <c r="T2191">
        <f>INDEX([1]IDEN_level_ids!$B:$B,MATCH(G2191,[1]IDEN_level_ids!$A:$A,0),1)</f>
        <v>1122</v>
      </c>
      <c r="U2191">
        <f>INDEX([1]IDEN_level_ids!$B:$B,MATCH(H2191,[1]IDEN_level_ids!$A:$A,0),1)</f>
        <v>957</v>
      </c>
    </row>
    <row r="2192" spans="1:21" hidden="1" x14ac:dyDescent="0.25">
      <c r="A2192">
        <v>43882.770799999998</v>
      </c>
      <c r="B2192">
        <v>2278.7986999999998</v>
      </c>
      <c r="C2192">
        <v>13</v>
      </c>
      <c r="D2192" t="s">
        <v>618</v>
      </c>
      <c r="F2192">
        <v>1974</v>
      </c>
      <c r="G2192" s="1" t="s">
        <v>245</v>
      </c>
      <c r="H2192" s="1" t="s">
        <v>544</v>
      </c>
      <c r="I2192">
        <v>0</v>
      </c>
      <c r="J2192">
        <v>43882.819499999998</v>
      </c>
      <c r="K2192">
        <v>2.5300000000000001E-3</v>
      </c>
      <c r="L2192">
        <v>2.3900000000000002E-3</v>
      </c>
      <c r="M2192">
        <v>4.6100000000000002E-2</v>
      </c>
      <c r="N2192">
        <v>0.1731</v>
      </c>
      <c r="O2192">
        <v>2.8900000000000002E-3</v>
      </c>
      <c r="P2192" s="3">
        <f t="shared" si="136"/>
        <v>2278.7986760398458</v>
      </c>
      <c r="Q2192" s="3">
        <f t="shared" si="137"/>
        <v>2.52895089215599E-3</v>
      </c>
      <c r="R2192" s="3">
        <f t="shared" si="138"/>
        <v>2.3900000000000002E-3</v>
      </c>
      <c r="S2192">
        <f t="shared" si="139"/>
        <v>53</v>
      </c>
      <c r="T2192">
        <f>INDEX([1]IDEN_level_ids!$B:$B,MATCH(G2192,[1]IDEN_level_ids!$A:$A,0),1)</f>
        <v>1169</v>
      </c>
      <c r="U2192">
        <f>INDEX([1]IDEN_level_ids!$B:$B,MATCH(H2192,[1]IDEN_level_ids!$A:$A,0),1)</f>
        <v>1011</v>
      </c>
    </row>
    <row r="2193" spans="1:21" hidden="1" x14ac:dyDescent="0.25">
      <c r="A2193">
        <v>43878.6901</v>
      </c>
      <c r="B2193">
        <v>2279.0106000000001</v>
      </c>
      <c r="C2193">
        <v>13</v>
      </c>
      <c r="D2193" t="s">
        <v>618</v>
      </c>
      <c r="F2193">
        <v>1974</v>
      </c>
      <c r="G2193" s="1" t="s">
        <v>280</v>
      </c>
      <c r="H2193" s="1" t="s">
        <v>615</v>
      </c>
      <c r="I2193">
        <v>-9.4000000000000004E-3</v>
      </c>
      <c r="J2193">
        <v>43878.705300000001</v>
      </c>
      <c r="K2193">
        <v>7.9000000000000001E-4</v>
      </c>
      <c r="L2193">
        <v>2.3900000000000002E-3</v>
      </c>
      <c r="M2193">
        <v>4.6100000000000002E-2</v>
      </c>
      <c r="N2193">
        <v>0.28360000000000002</v>
      </c>
      <c r="O2193">
        <v>3.3400000000000001E-3</v>
      </c>
      <c r="P2193" s="3">
        <f t="shared" si="136"/>
        <v>2279.0106033725924</v>
      </c>
      <c r="Q2193" s="3">
        <f t="shared" si="137"/>
        <v>7.8947090469227987E-4</v>
      </c>
      <c r="R2193" s="3">
        <f t="shared" si="138"/>
        <v>2.3900000000000002E-3</v>
      </c>
      <c r="S2193">
        <f t="shared" si="139"/>
        <v>53</v>
      </c>
      <c r="T2193">
        <f>INDEX([1]IDEN_level_ids!$B:$B,MATCH(G2193,[1]IDEN_level_ids!$A:$A,0),1)</f>
        <v>1130</v>
      </c>
      <c r="U2193">
        <f>INDEX([1]IDEN_level_ids!$B:$B,MATCH(H2193,[1]IDEN_level_ids!$A:$A,0),1)</f>
        <v>962</v>
      </c>
    </row>
    <row r="2194" spans="1:21" hidden="1" x14ac:dyDescent="0.25">
      <c r="A2194">
        <v>43874.280200000001</v>
      </c>
      <c r="B2194">
        <v>2279.2397000000001</v>
      </c>
      <c r="C2194">
        <v>13</v>
      </c>
      <c r="D2194" t="s">
        <v>618</v>
      </c>
      <c r="E2194" t="s">
        <v>427</v>
      </c>
      <c r="F2194">
        <v>1974</v>
      </c>
      <c r="G2194" s="1" t="s">
        <v>250</v>
      </c>
      <c r="H2194" s="1" t="s">
        <v>440</v>
      </c>
      <c r="I2194">
        <v>0.3538</v>
      </c>
      <c r="J2194">
        <v>43874.322500000002</v>
      </c>
      <c r="K2194">
        <v>2.2000000000000001E-3</v>
      </c>
      <c r="L2194">
        <v>2.5300000000000001E-3</v>
      </c>
      <c r="M2194">
        <v>4.87E-2</v>
      </c>
      <c r="N2194">
        <v>0.22239999999999999</v>
      </c>
      <c r="O2194">
        <v>3.2599999999999999E-3</v>
      </c>
      <c r="P2194" s="3">
        <f t="shared" si="136"/>
        <v>2279.2396717200158</v>
      </c>
      <c r="Q2194" s="3">
        <f t="shared" si="137"/>
        <v>2.1974547439640446E-3</v>
      </c>
      <c r="R2194" s="3">
        <f t="shared" si="138"/>
        <v>2.5300000000000001E-3</v>
      </c>
      <c r="S2194">
        <f t="shared" si="139"/>
        <v>53</v>
      </c>
      <c r="T2194">
        <f>INDEX([1]IDEN_level_ids!$B:$B,MATCH(G2194,[1]IDEN_level_ids!$A:$A,0),1)</f>
        <v>1107</v>
      </c>
      <c r="U2194">
        <f>INDEX([1]IDEN_level_ids!$B:$B,MATCH(H2194,[1]IDEN_level_ids!$A:$A,0),1)</f>
        <v>948</v>
      </c>
    </row>
    <row r="2195" spans="1:21" hidden="1" x14ac:dyDescent="0.25">
      <c r="A2195">
        <v>43862.400999999998</v>
      </c>
      <c r="B2195">
        <v>2279.857</v>
      </c>
      <c r="C2195">
        <v>13</v>
      </c>
      <c r="D2195" t="s">
        <v>618</v>
      </c>
      <c r="F2195">
        <v>1974</v>
      </c>
      <c r="G2195" s="1" t="s">
        <v>180</v>
      </c>
      <c r="H2195" s="1" t="s">
        <v>454</v>
      </c>
      <c r="I2195">
        <v>0</v>
      </c>
      <c r="J2195">
        <v>43862.4565</v>
      </c>
      <c r="K2195">
        <v>2.8800000000000002E-3</v>
      </c>
      <c r="L2195">
        <v>2.3900000000000002E-3</v>
      </c>
      <c r="M2195">
        <v>4.6100000000000002E-2</v>
      </c>
      <c r="N2195">
        <v>0.11509999999999999</v>
      </c>
      <c r="O2195">
        <v>2.7100000000000002E-3</v>
      </c>
      <c r="P2195" s="3">
        <f t="shared" si="136"/>
        <v>2279.8569553910193</v>
      </c>
      <c r="Q2195" s="3">
        <f t="shared" si="137"/>
        <v>2.8847463440797583E-3</v>
      </c>
      <c r="R2195" s="3">
        <f t="shared" si="138"/>
        <v>2.3900000000000002E-3</v>
      </c>
      <c r="S2195">
        <f t="shared" si="139"/>
        <v>53</v>
      </c>
      <c r="T2195">
        <f>INDEX([1]IDEN_level_ids!$B:$B,MATCH(G2195,[1]IDEN_level_ids!$A:$A,0),1)</f>
        <v>1184</v>
      </c>
      <c r="U2195">
        <f>INDEX([1]IDEN_level_ids!$B:$B,MATCH(H2195,[1]IDEN_level_ids!$A:$A,0),1)</f>
        <v>1036</v>
      </c>
    </row>
    <row r="2196" spans="1:21" hidden="1" x14ac:dyDescent="0.25">
      <c r="A2196">
        <v>43854.300999999999</v>
      </c>
      <c r="B2196">
        <v>2280.2779999999998</v>
      </c>
      <c r="C2196">
        <v>13</v>
      </c>
      <c r="D2196" t="s">
        <v>618</v>
      </c>
      <c r="F2196">
        <v>1974</v>
      </c>
      <c r="G2196" s="1" t="s">
        <v>81</v>
      </c>
      <c r="H2196" s="1" t="s">
        <v>569</v>
      </c>
      <c r="I2196">
        <v>0</v>
      </c>
      <c r="J2196">
        <v>43854.274799999999</v>
      </c>
      <c r="K2196">
        <v>-1.3600000000000001E-3</v>
      </c>
      <c r="L2196">
        <v>2.3999999999999998E-3</v>
      </c>
      <c r="M2196">
        <v>4.6100000000000002E-2</v>
      </c>
      <c r="N2196">
        <v>0.1258</v>
      </c>
      <c r="O2196">
        <v>2.7399999999999998E-3</v>
      </c>
      <c r="P2196" s="3">
        <f t="shared" si="136"/>
        <v>2280.2780507207262</v>
      </c>
      <c r="Q2196" s="3">
        <f t="shared" si="137"/>
        <v>-1.362313827030448E-3</v>
      </c>
      <c r="R2196" s="3">
        <f t="shared" si="138"/>
        <v>2.3999999999999998E-3</v>
      </c>
      <c r="S2196">
        <f t="shared" si="139"/>
        <v>53</v>
      </c>
      <c r="T2196">
        <f>INDEX([1]IDEN_level_ids!$B:$B,MATCH(G2196,[1]IDEN_level_ids!$A:$A,0),1)</f>
        <v>1196</v>
      </c>
      <c r="U2196">
        <f>INDEX([1]IDEN_level_ids!$B:$B,MATCH(H2196,[1]IDEN_level_ids!$A:$A,0),1)</f>
        <v>1049</v>
      </c>
    </row>
    <row r="2197" spans="1:21" hidden="1" x14ac:dyDescent="0.25">
      <c r="A2197">
        <v>43834.619100000004</v>
      </c>
      <c r="B2197">
        <v>2281.3018999999999</v>
      </c>
      <c r="C2197">
        <v>13</v>
      </c>
      <c r="D2197" t="s">
        <v>618</v>
      </c>
      <c r="F2197">
        <v>1974</v>
      </c>
      <c r="G2197" s="1" t="s">
        <v>197</v>
      </c>
      <c r="H2197" s="1" t="s">
        <v>587</v>
      </c>
      <c r="I2197">
        <v>0.13569999999999999</v>
      </c>
      <c r="J2197">
        <v>43834.635600000001</v>
      </c>
      <c r="K2197">
        <v>8.5999999999999998E-4</v>
      </c>
      <c r="L2197">
        <v>2.3999999999999998E-3</v>
      </c>
      <c r="M2197">
        <v>4.6100000000000002E-2</v>
      </c>
      <c r="N2197">
        <v>9.9000000000000005E-2</v>
      </c>
      <c r="O2197">
        <v>2.66E-3</v>
      </c>
      <c r="P2197" s="3">
        <f t="shared" si="136"/>
        <v>2281.3019036818778</v>
      </c>
      <c r="Q2197" s="3">
        <f t="shared" si="137"/>
        <v>8.5871550891170045E-4</v>
      </c>
      <c r="R2197" s="3">
        <f t="shared" si="138"/>
        <v>2.3999999999999998E-3</v>
      </c>
      <c r="S2197">
        <f t="shared" si="139"/>
        <v>53</v>
      </c>
      <c r="T2197">
        <f>INDEX([1]IDEN_level_ids!$B:$B,MATCH(G2197,[1]IDEN_level_ids!$A:$A,0),1)</f>
        <v>1182</v>
      </c>
      <c r="U2197">
        <f>INDEX([1]IDEN_level_ids!$B:$B,MATCH(H2197,[1]IDEN_level_ids!$A:$A,0),1)</f>
        <v>1035</v>
      </c>
    </row>
    <row r="2198" spans="1:21" hidden="1" x14ac:dyDescent="0.25">
      <c r="A2198">
        <v>43828.429600000003</v>
      </c>
      <c r="B2198">
        <v>2281.6241</v>
      </c>
      <c r="C2198">
        <v>13</v>
      </c>
      <c r="D2198" t="s">
        <v>618</v>
      </c>
      <c r="F2198">
        <v>1974</v>
      </c>
      <c r="G2198" s="1" t="s">
        <v>81</v>
      </c>
      <c r="H2198" s="1" t="s">
        <v>595</v>
      </c>
      <c r="I2198">
        <v>0</v>
      </c>
      <c r="J2198">
        <v>43828.4899</v>
      </c>
      <c r="K2198">
        <v>3.14E-3</v>
      </c>
      <c r="L2198">
        <v>2.3999999999999998E-3</v>
      </c>
      <c r="M2198">
        <v>4.6100000000000002E-2</v>
      </c>
      <c r="N2198">
        <v>0.1457</v>
      </c>
      <c r="O2198">
        <v>2.81E-3</v>
      </c>
      <c r="P2198" s="3">
        <f t="shared" si="136"/>
        <v>2281.6240716961483</v>
      </c>
      <c r="Q2198" s="3">
        <f t="shared" si="137"/>
        <v>3.1390981489494152E-3</v>
      </c>
      <c r="R2198" s="3">
        <f t="shared" si="138"/>
        <v>2.3999999999999998E-3</v>
      </c>
      <c r="S2198">
        <f t="shared" si="139"/>
        <v>53</v>
      </c>
      <c r="T2198">
        <f>INDEX([1]IDEN_level_ids!$B:$B,MATCH(G2198,[1]IDEN_level_ids!$A:$A,0),1)</f>
        <v>1196</v>
      </c>
      <c r="U2198">
        <f>INDEX([1]IDEN_level_ids!$B:$B,MATCH(H2198,[1]IDEN_level_ids!$A:$A,0),1)</f>
        <v>1052</v>
      </c>
    </row>
    <row r="2199" spans="1:21" hidden="1" x14ac:dyDescent="0.25">
      <c r="A2199">
        <v>43821.1296</v>
      </c>
      <c r="B2199">
        <v>2282.0041999999999</v>
      </c>
      <c r="C2199">
        <v>13</v>
      </c>
      <c r="D2199" t="s">
        <v>618</v>
      </c>
      <c r="F2199">
        <v>1974</v>
      </c>
      <c r="G2199" s="1" t="s">
        <v>33</v>
      </c>
      <c r="H2199" s="1" t="s">
        <v>464</v>
      </c>
      <c r="I2199">
        <v>0</v>
      </c>
      <c r="J2199">
        <v>43821.154499999997</v>
      </c>
      <c r="K2199">
        <v>1.2999999999999999E-3</v>
      </c>
      <c r="L2199">
        <v>2.3999999999999998E-3</v>
      </c>
      <c r="M2199">
        <v>4.6100000000000002E-2</v>
      </c>
      <c r="N2199">
        <v>0.14560000000000001</v>
      </c>
      <c r="O2199">
        <v>2.81E-3</v>
      </c>
      <c r="P2199" s="3">
        <f t="shared" si="136"/>
        <v>2282.004159016476</v>
      </c>
      <c r="Q2199" s="3">
        <f t="shared" si="137"/>
        <v>1.2966774656888447E-3</v>
      </c>
      <c r="R2199" s="3">
        <f t="shared" si="138"/>
        <v>2.3999999999999998E-3</v>
      </c>
      <c r="S2199">
        <f t="shared" si="139"/>
        <v>53</v>
      </c>
      <c r="T2199">
        <f>INDEX([1]IDEN_level_ids!$B:$B,MATCH(G2199,[1]IDEN_level_ids!$A:$A,0),1)</f>
        <v>1220</v>
      </c>
      <c r="U2199">
        <f>INDEX([1]IDEN_level_ids!$B:$B,MATCH(H2199,[1]IDEN_level_ids!$A:$A,0),1)</f>
        <v>1076</v>
      </c>
    </row>
    <row r="2200" spans="1:21" hidden="1" x14ac:dyDescent="0.25">
      <c r="A2200">
        <v>43767.839099999997</v>
      </c>
      <c r="B2200">
        <v>2284.7827000000002</v>
      </c>
      <c r="C2200">
        <v>14</v>
      </c>
      <c r="D2200" t="s">
        <v>619</v>
      </c>
      <c r="F2200">
        <v>1974</v>
      </c>
      <c r="G2200" s="1" t="s">
        <v>73</v>
      </c>
      <c r="H2200" s="1" t="s">
        <v>536</v>
      </c>
      <c r="I2200">
        <v>0</v>
      </c>
      <c r="J2200">
        <v>43767.763200000001</v>
      </c>
      <c r="K2200">
        <v>-3.96E-3</v>
      </c>
      <c r="L2200">
        <v>2.3999999999999998E-3</v>
      </c>
      <c r="M2200">
        <v>4.6100000000000002E-2</v>
      </c>
      <c r="N2200">
        <v>0.13650000000000001</v>
      </c>
      <c r="O2200">
        <v>2.7899999999999999E-3</v>
      </c>
      <c r="P2200" s="3">
        <f t="shared" si="136"/>
        <v>2284.7826636248078</v>
      </c>
      <c r="Q2200" s="3">
        <f t="shared" si="137"/>
        <v>-3.9621628220629646E-3</v>
      </c>
      <c r="R2200" s="3">
        <f t="shared" si="138"/>
        <v>2.3999999999999998E-3</v>
      </c>
      <c r="S2200">
        <f t="shared" si="139"/>
        <v>54</v>
      </c>
      <c r="T2200">
        <f>INDEX([1]IDEN_level_ids!$B:$B,MATCH(G2200,[1]IDEN_level_ids!$A:$A,0),1)</f>
        <v>1173</v>
      </c>
      <c r="U2200">
        <f>INDEX([1]IDEN_level_ids!$B:$B,MATCH(H2200,[1]IDEN_level_ids!$A:$A,0),1)</f>
        <v>1021</v>
      </c>
    </row>
    <row r="2201" spans="1:21" hidden="1" x14ac:dyDescent="0.25">
      <c r="A2201">
        <v>43757.549800000001</v>
      </c>
      <c r="B2201">
        <v>2285.3199</v>
      </c>
      <c r="C2201">
        <v>14</v>
      </c>
      <c r="D2201" t="s">
        <v>619</v>
      </c>
      <c r="E2201" t="s">
        <v>427</v>
      </c>
      <c r="F2201">
        <v>1974</v>
      </c>
      <c r="G2201" s="1" t="s">
        <v>36</v>
      </c>
      <c r="H2201" s="1" t="s">
        <v>396</v>
      </c>
      <c r="I2201">
        <v>0.42980000000000002</v>
      </c>
      <c r="J2201">
        <v>43757.461199999998</v>
      </c>
      <c r="K2201">
        <v>-4.6299999999999996E-3</v>
      </c>
      <c r="L2201">
        <v>2.5400000000000002E-3</v>
      </c>
      <c r="M2201">
        <v>4.87E-2</v>
      </c>
      <c r="N2201">
        <v>0.25169999999999998</v>
      </c>
      <c r="O2201">
        <v>3.3999999999999998E-3</v>
      </c>
      <c r="P2201" s="3">
        <f t="shared" si="136"/>
        <v>2285.319915238947</v>
      </c>
      <c r="Q2201" s="3">
        <f t="shared" si="137"/>
        <v>-4.6273101534097805E-3</v>
      </c>
      <c r="R2201" s="3">
        <f t="shared" si="138"/>
        <v>2.5400000000000002E-3</v>
      </c>
      <c r="S2201">
        <f t="shared" si="139"/>
        <v>54</v>
      </c>
      <c r="T2201">
        <f>INDEX([1]IDEN_level_ids!$B:$B,MATCH(G2201,[1]IDEN_level_ids!$A:$A,0),1)</f>
        <v>1217</v>
      </c>
      <c r="U2201">
        <f>INDEX([1]IDEN_level_ids!$B:$B,MATCH(H2201,[1]IDEN_level_ids!$A:$A,0),1)</f>
        <v>1072</v>
      </c>
    </row>
    <row r="2202" spans="1:21" hidden="1" x14ac:dyDescent="0.25">
      <c r="A2202">
        <v>43751.380700000002</v>
      </c>
      <c r="B2202">
        <v>2285.6421999999998</v>
      </c>
      <c r="C2202">
        <v>14</v>
      </c>
      <c r="D2202" t="s">
        <v>619</v>
      </c>
      <c r="F2202">
        <v>1974</v>
      </c>
      <c r="G2202" s="1" t="s">
        <v>361</v>
      </c>
      <c r="H2202" s="1" t="s">
        <v>487</v>
      </c>
      <c r="I2202">
        <v>0</v>
      </c>
      <c r="J2202">
        <v>43751.2961</v>
      </c>
      <c r="K2202">
        <v>-4.4200000000000003E-3</v>
      </c>
      <c r="L2202">
        <v>2.4099999999999998E-3</v>
      </c>
      <c r="M2202">
        <v>4.6100000000000002E-2</v>
      </c>
      <c r="N2202">
        <v>0.2248</v>
      </c>
      <c r="O2202">
        <v>3.0999999999999999E-3</v>
      </c>
      <c r="P2202" s="3">
        <f t="shared" si="136"/>
        <v>2285.642153460085</v>
      </c>
      <c r="Q2202" s="3">
        <f t="shared" si="137"/>
        <v>-4.4196479516358522E-3</v>
      </c>
      <c r="R2202" s="3">
        <f t="shared" si="138"/>
        <v>2.4099999999999998E-3</v>
      </c>
      <c r="S2202">
        <f t="shared" si="139"/>
        <v>54</v>
      </c>
      <c r="T2202">
        <f>INDEX([1]IDEN_level_ids!$B:$B,MATCH(G2202,[1]IDEN_level_ids!$A:$A,0),1)</f>
        <v>1133</v>
      </c>
      <c r="U2202">
        <f>INDEX([1]IDEN_level_ids!$B:$B,MATCH(H2202,[1]IDEN_level_ids!$A:$A,0),1)</f>
        <v>968</v>
      </c>
    </row>
    <row r="2203" spans="1:21" hidden="1" x14ac:dyDescent="0.25">
      <c r="A2203">
        <v>43743.519099999998</v>
      </c>
      <c r="B2203">
        <v>2286.0529000000001</v>
      </c>
      <c r="C2203">
        <v>14</v>
      </c>
      <c r="D2203" t="s">
        <v>619</v>
      </c>
      <c r="F2203">
        <v>1974</v>
      </c>
      <c r="G2203" s="1" t="s">
        <v>166</v>
      </c>
      <c r="H2203" s="1" t="s">
        <v>454</v>
      </c>
      <c r="I2203">
        <v>0</v>
      </c>
      <c r="J2203">
        <v>43743.421300000002</v>
      </c>
      <c r="K2203">
        <v>-5.11E-3</v>
      </c>
      <c r="L2203">
        <v>2.4099999999999998E-3</v>
      </c>
      <c r="M2203">
        <v>4.6100000000000002E-2</v>
      </c>
      <c r="N2203">
        <v>0.14180000000000001</v>
      </c>
      <c r="O2203">
        <v>2.81E-3</v>
      </c>
      <c r="P2203" s="3">
        <f t="shared" si="136"/>
        <v>2286.0529298384686</v>
      </c>
      <c r="Q2203" s="3">
        <f t="shared" si="137"/>
        <v>-5.1110765889461618E-3</v>
      </c>
      <c r="R2203" s="3">
        <f t="shared" si="138"/>
        <v>2.4099999999999998E-3</v>
      </c>
      <c r="S2203">
        <f t="shared" si="139"/>
        <v>54</v>
      </c>
      <c r="T2203">
        <f>INDEX([1]IDEN_level_ids!$B:$B,MATCH(G2203,[1]IDEN_level_ids!$A:$A,0),1)</f>
        <v>1186</v>
      </c>
      <c r="U2203">
        <f>INDEX([1]IDEN_level_ids!$B:$B,MATCH(H2203,[1]IDEN_level_ids!$A:$A,0),1)</f>
        <v>1036</v>
      </c>
    </row>
    <row r="2204" spans="1:21" hidden="1" x14ac:dyDescent="0.25">
      <c r="A2204">
        <v>43737.120900000002</v>
      </c>
      <c r="B2204">
        <v>2286.3874000000001</v>
      </c>
      <c r="C2204">
        <v>14</v>
      </c>
      <c r="D2204" t="s">
        <v>619</v>
      </c>
      <c r="F2204">
        <v>1974</v>
      </c>
      <c r="G2204" s="1" t="s">
        <v>273</v>
      </c>
      <c r="H2204" s="1" t="s">
        <v>440</v>
      </c>
      <c r="I2204">
        <v>0.3538</v>
      </c>
      <c r="J2204">
        <v>43737.138200000001</v>
      </c>
      <c r="K2204">
        <v>8.9999999999999998E-4</v>
      </c>
      <c r="L2204">
        <v>2.4099999999999998E-3</v>
      </c>
      <c r="M2204">
        <v>4.6100000000000002E-2</v>
      </c>
      <c r="N2204">
        <v>0.27210000000000001</v>
      </c>
      <c r="O2204">
        <v>3.31E-3</v>
      </c>
      <c r="P2204" s="3">
        <f t="shared" si="136"/>
        <v>2286.3873511162001</v>
      </c>
      <c r="Q2204" s="3">
        <f t="shared" si="137"/>
        <v>9.0436875370869529E-4</v>
      </c>
      <c r="R2204" s="3">
        <f t="shared" si="138"/>
        <v>2.4099999999999998E-3</v>
      </c>
      <c r="S2204">
        <f t="shared" si="139"/>
        <v>54</v>
      </c>
      <c r="T2204">
        <f>INDEX([1]IDEN_level_ids!$B:$B,MATCH(G2204,[1]IDEN_level_ids!$A:$A,0),1)</f>
        <v>1105</v>
      </c>
      <c r="U2204">
        <f>INDEX([1]IDEN_level_ids!$B:$B,MATCH(H2204,[1]IDEN_level_ids!$A:$A,0),1)</f>
        <v>948</v>
      </c>
    </row>
    <row r="2205" spans="1:21" hidden="1" x14ac:dyDescent="0.25">
      <c r="A2205">
        <v>43728.531000000003</v>
      </c>
      <c r="B2205">
        <v>2286.8364999999999</v>
      </c>
      <c r="C2205">
        <v>14</v>
      </c>
      <c r="D2205" t="s">
        <v>619</v>
      </c>
      <c r="F2205">
        <v>1974</v>
      </c>
      <c r="G2205" s="1" t="s">
        <v>216</v>
      </c>
      <c r="H2205" s="1" t="s">
        <v>461</v>
      </c>
      <c r="I2205">
        <v>0.24510000000000001</v>
      </c>
      <c r="J2205">
        <v>43728.507299999997</v>
      </c>
      <c r="K2205">
        <v>-1.24E-3</v>
      </c>
      <c r="L2205">
        <v>2.4099999999999998E-3</v>
      </c>
      <c r="M2205">
        <v>4.6100000000000002E-2</v>
      </c>
      <c r="N2205">
        <v>0.1216</v>
      </c>
      <c r="O2205">
        <v>2.7399999999999998E-3</v>
      </c>
      <c r="P2205" s="3">
        <f t="shared" si="136"/>
        <v>2286.836482112788</v>
      </c>
      <c r="Q2205" s="3">
        <f t="shared" si="137"/>
        <v>-1.2394208715704735E-3</v>
      </c>
      <c r="R2205" s="3">
        <f t="shared" si="138"/>
        <v>2.4099999999999998E-3</v>
      </c>
      <c r="S2205">
        <f t="shared" si="139"/>
        <v>54</v>
      </c>
      <c r="T2205">
        <f>INDEX([1]IDEN_level_ids!$B:$B,MATCH(G2205,[1]IDEN_level_ids!$A:$A,0),1)</f>
        <v>1170</v>
      </c>
      <c r="U2205">
        <f>INDEX([1]IDEN_level_ids!$B:$B,MATCH(H2205,[1]IDEN_level_ids!$A:$A,0),1)</f>
        <v>1017</v>
      </c>
    </row>
    <row r="2206" spans="1:21" hidden="1" x14ac:dyDescent="0.25">
      <c r="A2206">
        <v>43720.920899999997</v>
      </c>
      <c r="B2206">
        <v>2287.2345</v>
      </c>
      <c r="C2206">
        <v>14</v>
      </c>
      <c r="D2206" t="s">
        <v>619</v>
      </c>
      <c r="F2206">
        <v>1974</v>
      </c>
      <c r="G2206" s="1" t="s">
        <v>94</v>
      </c>
      <c r="H2206" s="1" t="s">
        <v>448</v>
      </c>
      <c r="I2206">
        <v>0.29559999999999997</v>
      </c>
      <c r="J2206">
        <v>43720.884400000003</v>
      </c>
      <c r="K2206">
        <v>-1.91E-3</v>
      </c>
      <c r="L2206">
        <v>2.4099999999999998E-3</v>
      </c>
      <c r="M2206">
        <v>4.6100000000000002E-2</v>
      </c>
      <c r="N2206">
        <v>0.1386</v>
      </c>
      <c r="O2206">
        <v>2.8E-3</v>
      </c>
      <c r="P2206" s="3">
        <f t="shared" si="136"/>
        <v>2287.2345307804349</v>
      </c>
      <c r="Q2206" s="3">
        <f t="shared" si="137"/>
        <v>-1.9094778504040733E-3</v>
      </c>
      <c r="R2206" s="3">
        <f t="shared" si="138"/>
        <v>2.4099999999999998E-3</v>
      </c>
      <c r="S2206">
        <f t="shared" si="139"/>
        <v>54</v>
      </c>
      <c r="T2206">
        <f>INDEX([1]IDEN_level_ids!$B:$B,MATCH(G2206,[1]IDEN_level_ids!$A:$A,0),1)</f>
        <v>1207</v>
      </c>
      <c r="U2206">
        <f>INDEX([1]IDEN_level_ids!$B:$B,MATCH(H2206,[1]IDEN_level_ids!$A:$A,0),1)</f>
        <v>1067</v>
      </c>
    </row>
    <row r="2207" spans="1:21" hidden="1" x14ac:dyDescent="0.25">
      <c r="A2207">
        <v>43718.780599999998</v>
      </c>
      <c r="B2207">
        <v>2287.3465000000001</v>
      </c>
      <c r="C2207">
        <v>14</v>
      </c>
      <c r="D2207" t="s">
        <v>619</v>
      </c>
      <c r="F2207">
        <v>1974</v>
      </c>
      <c r="G2207" s="1" t="s">
        <v>138</v>
      </c>
      <c r="H2207" s="1" t="s">
        <v>474</v>
      </c>
      <c r="I2207">
        <v>0.2712</v>
      </c>
      <c r="J2207">
        <v>43718.711799999997</v>
      </c>
      <c r="K2207">
        <v>-3.5999999999999999E-3</v>
      </c>
      <c r="L2207">
        <v>2.4099999999999998E-3</v>
      </c>
      <c r="M2207">
        <v>4.6100000000000002E-2</v>
      </c>
      <c r="N2207">
        <v>0.24079999999999999</v>
      </c>
      <c r="O2207">
        <v>3.1700000000000001E-3</v>
      </c>
      <c r="P2207" s="3">
        <f t="shared" si="136"/>
        <v>2287.3465048107955</v>
      </c>
      <c r="Q2207" s="3">
        <f t="shared" si="137"/>
        <v>-3.5995900393572811E-3</v>
      </c>
      <c r="R2207" s="3">
        <f t="shared" si="138"/>
        <v>2.4099999999999998E-3</v>
      </c>
      <c r="S2207">
        <f t="shared" si="139"/>
        <v>54</v>
      </c>
      <c r="T2207">
        <f>INDEX([1]IDEN_level_ids!$B:$B,MATCH(G2207,[1]IDEN_level_ids!$A:$A,0),1)</f>
        <v>1126</v>
      </c>
      <c r="U2207">
        <f>INDEX([1]IDEN_level_ids!$B:$B,MATCH(H2207,[1]IDEN_level_ids!$A:$A,0),1)</f>
        <v>959</v>
      </c>
    </row>
    <row r="2208" spans="1:21" hidden="1" x14ac:dyDescent="0.25">
      <c r="A2208">
        <v>43714.959900000002</v>
      </c>
      <c r="B2208">
        <v>2287.5464000000002</v>
      </c>
      <c r="C2208">
        <v>14</v>
      </c>
      <c r="D2208" t="s">
        <v>619</v>
      </c>
      <c r="F2208">
        <v>1974</v>
      </c>
      <c r="G2208" s="1" t="s">
        <v>283</v>
      </c>
      <c r="H2208" s="1" t="s">
        <v>441</v>
      </c>
      <c r="I2208">
        <v>9.8500000000000004E-2</v>
      </c>
      <c r="J2208">
        <v>43714.861400000002</v>
      </c>
      <c r="K2208">
        <v>-5.1500000000000001E-3</v>
      </c>
      <c r="L2208">
        <v>2.4099999999999998E-3</v>
      </c>
      <c r="M2208">
        <v>4.6100000000000002E-2</v>
      </c>
      <c r="N2208">
        <v>0.1991</v>
      </c>
      <c r="O2208">
        <v>3.0100000000000001E-3</v>
      </c>
      <c r="P2208" s="3">
        <f t="shared" si="136"/>
        <v>2287.5464195496152</v>
      </c>
      <c r="Q2208" s="3">
        <f t="shared" si="137"/>
        <v>-5.1543872059482965E-3</v>
      </c>
      <c r="R2208" s="3">
        <f t="shared" si="138"/>
        <v>2.4099999999999998E-3</v>
      </c>
      <c r="S2208">
        <f t="shared" si="139"/>
        <v>54</v>
      </c>
      <c r="T2208">
        <f>INDEX([1]IDEN_level_ids!$B:$B,MATCH(G2208,[1]IDEN_level_ids!$A:$A,0),1)</f>
        <v>1178</v>
      </c>
      <c r="U2208">
        <f>INDEX([1]IDEN_level_ids!$B:$B,MATCH(H2208,[1]IDEN_level_ids!$A:$A,0),1)</f>
        <v>1034</v>
      </c>
    </row>
    <row r="2209" spans="1:21" hidden="1" x14ac:dyDescent="0.25">
      <c r="A2209">
        <v>43707.521200000003</v>
      </c>
      <c r="B2209">
        <v>2287.9357</v>
      </c>
      <c r="C2209">
        <v>14</v>
      </c>
      <c r="D2209" t="s">
        <v>619</v>
      </c>
      <c r="F2209">
        <v>1974</v>
      </c>
      <c r="G2209" s="1" t="s">
        <v>180</v>
      </c>
      <c r="H2209" s="1" t="s">
        <v>476</v>
      </c>
      <c r="I2209">
        <v>0</v>
      </c>
      <c r="J2209">
        <v>43707.478600000002</v>
      </c>
      <c r="K2209">
        <v>-2.2300000000000002E-3</v>
      </c>
      <c r="L2209">
        <v>2.4099999999999998E-3</v>
      </c>
      <c r="M2209">
        <v>4.6100000000000002E-2</v>
      </c>
      <c r="N2209">
        <v>0.13830000000000001</v>
      </c>
      <c r="O2209">
        <v>2.8E-3</v>
      </c>
      <c r="P2209" s="3">
        <f t="shared" si="136"/>
        <v>2287.9357431965277</v>
      </c>
      <c r="Q2209" s="3">
        <f t="shared" si="137"/>
        <v>-2.2299630586530839E-3</v>
      </c>
      <c r="R2209" s="3">
        <f t="shared" si="138"/>
        <v>2.4099999999999998E-3</v>
      </c>
      <c r="S2209">
        <f t="shared" si="139"/>
        <v>54</v>
      </c>
      <c r="T2209">
        <f>INDEX([1]IDEN_level_ids!$B:$B,MATCH(G2209,[1]IDEN_level_ids!$A:$A,0),1)</f>
        <v>1184</v>
      </c>
      <c r="U2209">
        <f>INDEX([1]IDEN_level_ids!$B:$B,MATCH(H2209,[1]IDEN_level_ids!$A:$A,0),1)</f>
        <v>1037</v>
      </c>
    </row>
    <row r="2210" spans="1:21" hidden="1" x14ac:dyDescent="0.25">
      <c r="A2210">
        <v>43702.329700000002</v>
      </c>
      <c r="B2210">
        <v>2288.2075</v>
      </c>
      <c r="C2210">
        <v>14</v>
      </c>
      <c r="D2210" t="s">
        <v>619</v>
      </c>
      <c r="F2210">
        <v>1974</v>
      </c>
      <c r="G2210" s="1" t="s">
        <v>377</v>
      </c>
      <c r="H2210" s="1" t="s">
        <v>325</v>
      </c>
      <c r="I2210">
        <v>-0.33889999999999998</v>
      </c>
      <c r="J2210">
        <v>43702.257100000003</v>
      </c>
      <c r="K2210">
        <v>-3.8E-3</v>
      </c>
      <c r="L2210">
        <v>2.4099999999999998E-3</v>
      </c>
      <c r="M2210">
        <v>4.6100000000000002E-2</v>
      </c>
      <c r="N2210">
        <v>0.21340000000000001</v>
      </c>
      <c r="O2210">
        <v>3.0699999999999998E-3</v>
      </c>
      <c r="P2210" s="3">
        <f t="shared" si="136"/>
        <v>2288.2075323320805</v>
      </c>
      <c r="Q2210" s="3">
        <f t="shared" si="137"/>
        <v>-3.8012651489225391E-3</v>
      </c>
      <c r="R2210" s="3">
        <f t="shared" si="138"/>
        <v>2.4099999999999998E-3</v>
      </c>
      <c r="S2210">
        <f t="shared" si="139"/>
        <v>54</v>
      </c>
      <c r="T2210">
        <f>INDEX([1]IDEN_level_ids!$B:$B,MATCH(G2210,[1]IDEN_level_ids!$A:$A,0),1)</f>
        <v>1057</v>
      </c>
      <c r="U2210">
        <f>INDEX([1]IDEN_level_ids!$B:$B,MATCH(H2210,[1]IDEN_level_ids!$A:$A,0),1)</f>
        <v>822</v>
      </c>
    </row>
    <row r="2211" spans="1:21" hidden="1" x14ac:dyDescent="0.25">
      <c r="A2211">
        <v>43700.249300000003</v>
      </c>
      <c r="B2211">
        <v>2288.3164999999999</v>
      </c>
      <c r="C2211">
        <v>14</v>
      </c>
      <c r="D2211" t="s">
        <v>619</v>
      </c>
      <c r="F2211">
        <v>1974</v>
      </c>
      <c r="G2211" s="1" t="s">
        <v>293</v>
      </c>
      <c r="H2211" s="1" t="s">
        <v>482</v>
      </c>
      <c r="I2211">
        <v>-2.9999999999999997E-4</v>
      </c>
      <c r="J2211">
        <v>43700.191299999999</v>
      </c>
      <c r="K2211">
        <v>-3.0400000000000002E-3</v>
      </c>
      <c r="L2211">
        <v>2.4099999999999998E-3</v>
      </c>
      <c r="M2211">
        <v>4.6100000000000002E-2</v>
      </c>
      <c r="N2211">
        <v>0.2041</v>
      </c>
      <c r="O2211">
        <v>3.0300000000000001E-3</v>
      </c>
      <c r="P2211" s="3">
        <f t="shared" si="136"/>
        <v>2288.3164650504636</v>
      </c>
      <c r="Q2211" s="3">
        <f t="shared" si="137"/>
        <v>-3.0371115326488507E-3</v>
      </c>
      <c r="R2211" s="3">
        <f t="shared" si="138"/>
        <v>2.4099999999999998E-3</v>
      </c>
      <c r="S2211">
        <f t="shared" si="139"/>
        <v>54</v>
      </c>
      <c r="T2211">
        <f>INDEX([1]IDEN_level_ids!$B:$B,MATCH(G2211,[1]IDEN_level_ids!$A:$A,0),1)</f>
        <v>1121</v>
      </c>
      <c r="U2211">
        <f>INDEX([1]IDEN_level_ids!$B:$B,MATCH(H2211,[1]IDEN_level_ids!$A:$A,0),1)</f>
        <v>957</v>
      </c>
    </row>
    <row r="2212" spans="1:21" hidden="1" x14ac:dyDescent="0.25">
      <c r="A2212">
        <v>43690.319199999998</v>
      </c>
      <c r="B2212">
        <v>2288.8366000000001</v>
      </c>
      <c r="C2212">
        <v>14</v>
      </c>
      <c r="D2212" t="s">
        <v>619</v>
      </c>
      <c r="F2212">
        <v>1974</v>
      </c>
      <c r="G2212" s="1" t="s">
        <v>203</v>
      </c>
      <c r="H2212" s="1" t="s">
        <v>474</v>
      </c>
      <c r="I2212">
        <v>0.2712</v>
      </c>
      <c r="J2212">
        <v>43690.254999999997</v>
      </c>
      <c r="K2212">
        <v>-3.3700000000000002E-3</v>
      </c>
      <c r="L2212">
        <v>2.4099999999999998E-3</v>
      </c>
      <c r="M2212">
        <v>4.6100000000000002E-2</v>
      </c>
      <c r="N2212">
        <v>0.24679999999999999</v>
      </c>
      <c r="O2212">
        <v>3.2000000000000002E-3</v>
      </c>
      <c r="P2212" s="3">
        <f t="shared" si="136"/>
        <v>2288.836562219486</v>
      </c>
      <c r="Q2212" s="3">
        <f t="shared" si="137"/>
        <v>-3.3632970853432198E-3</v>
      </c>
      <c r="R2212" s="3">
        <f t="shared" si="138"/>
        <v>2.4099999999999998E-3</v>
      </c>
      <c r="S2212">
        <f t="shared" si="139"/>
        <v>54</v>
      </c>
      <c r="T2212">
        <f>INDEX([1]IDEN_level_ids!$B:$B,MATCH(G2212,[1]IDEN_level_ids!$A:$A,0),1)</f>
        <v>1127</v>
      </c>
      <c r="U2212">
        <f>INDEX([1]IDEN_level_ids!$B:$B,MATCH(H2212,[1]IDEN_level_ids!$A:$A,0),1)</f>
        <v>959</v>
      </c>
    </row>
    <row r="2213" spans="1:21" hidden="1" x14ac:dyDescent="0.25">
      <c r="A2213">
        <v>43669.130799999999</v>
      </c>
      <c r="B2213">
        <v>2289.9470999999999</v>
      </c>
      <c r="C2213">
        <v>14</v>
      </c>
      <c r="D2213" t="s">
        <v>619</v>
      </c>
      <c r="F2213">
        <v>1974</v>
      </c>
      <c r="G2213" s="1" t="s">
        <v>187</v>
      </c>
      <c r="H2213" s="1" t="s">
        <v>600</v>
      </c>
      <c r="I2213">
        <v>0</v>
      </c>
      <c r="J2213">
        <v>43669.118000000002</v>
      </c>
      <c r="K2213">
        <v>-6.7000000000000002E-4</v>
      </c>
      <c r="L2213">
        <v>2.4199999999999998E-3</v>
      </c>
      <c r="M2213">
        <v>4.6100000000000002E-2</v>
      </c>
      <c r="N2213">
        <v>0.1888</v>
      </c>
      <c r="O2213">
        <v>2.98E-3</v>
      </c>
      <c r="P2213" s="3">
        <f t="shared" si="136"/>
        <v>2289.9471129386438</v>
      </c>
      <c r="Q2213" s="3">
        <f t="shared" si="137"/>
        <v>-6.7121399206371279E-4</v>
      </c>
      <c r="R2213" s="3">
        <f t="shared" si="138"/>
        <v>2.4199999999999998E-3</v>
      </c>
      <c r="S2213">
        <f t="shared" si="139"/>
        <v>54</v>
      </c>
      <c r="T2213">
        <f>INDEX([1]IDEN_level_ids!$B:$B,MATCH(G2213,[1]IDEN_level_ids!$A:$A,0),1)</f>
        <v>1204</v>
      </c>
      <c r="U2213">
        <f>INDEX([1]IDEN_level_ids!$B:$B,MATCH(H2213,[1]IDEN_level_ids!$A:$A,0),1)</f>
        <v>1058</v>
      </c>
    </row>
    <row r="2214" spans="1:21" hidden="1" x14ac:dyDescent="0.25">
      <c r="A2214">
        <v>43656.3001</v>
      </c>
      <c r="B2214">
        <v>2290.6201000000001</v>
      </c>
      <c r="C2214">
        <v>14</v>
      </c>
      <c r="D2214" t="s">
        <v>619</v>
      </c>
      <c r="F2214">
        <v>1974</v>
      </c>
      <c r="G2214" s="1" t="s">
        <v>204</v>
      </c>
      <c r="H2214" s="1" t="s">
        <v>441</v>
      </c>
      <c r="I2214">
        <v>9.8500000000000004E-2</v>
      </c>
      <c r="J2214">
        <v>43656.2598</v>
      </c>
      <c r="K2214">
        <v>-2.1199999999999999E-3</v>
      </c>
      <c r="L2214">
        <v>2.4199999999999998E-3</v>
      </c>
      <c r="M2214">
        <v>4.6100000000000002E-2</v>
      </c>
      <c r="N2214">
        <v>0.1666</v>
      </c>
      <c r="O2214">
        <v>2.8999999999999998E-3</v>
      </c>
      <c r="P2214" s="3">
        <f t="shared" si="136"/>
        <v>2290.6201343434509</v>
      </c>
      <c r="Q2214" s="3">
        <f t="shared" si="137"/>
        <v>-2.1145190135030134E-3</v>
      </c>
      <c r="R2214" s="3">
        <f t="shared" si="138"/>
        <v>2.4199999999999998E-3</v>
      </c>
      <c r="S2214">
        <f t="shared" si="139"/>
        <v>54</v>
      </c>
      <c r="T2214">
        <f>INDEX([1]IDEN_level_ids!$B:$B,MATCH(G2214,[1]IDEN_level_ids!$A:$A,0),1)</f>
        <v>1176</v>
      </c>
      <c r="U2214">
        <f>INDEX([1]IDEN_level_ids!$B:$B,MATCH(H2214,[1]IDEN_level_ids!$A:$A,0),1)</f>
        <v>1034</v>
      </c>
    </row>
    <row r="2215" spans="1:21" hidden="1" x14ac:dyDescent="0.25">
      <c r="A2215">
        <v>43654.529499999997</v>
      </c>
      <c r="B2215">
        <v>2290.7130000000002</v>
      </c>
      <c r="C2215">
        <v>14</v>
      </c>
      <c r="D2215" t="s">
        <v>619</v>
      </c>
      <c r="F2215">
        <v>1974</v>
      </c>
      <c r="G2215" s="1" t="s">
        <v>193</v>
      </c>
      <c r="H2215" s="1" t="s">
        <v>593</v>
      </c>
      <c r="I2215">
        <v>0</v>
      </c>
      <c r="J2215">
        <v>43654.4476</v>
      </c>
      <c r="K2215">
        <v>-4.3E-3</v>
      </c>
      <c r="L2215">
        <v>2.4199999999999998E-3</v>
      </c>
      <c r="M2215">
        <v>4.6100000000000002E-2</v>
      </c>
      <c r="N2215">
        <v>0.23319999999999999</v>
      </c>
      <c r="O2215">
        <v>3.15E-3</v>
      </c>
      <c r="P2215" s="3">
        <f t="shared" si="136"/>
        <v>2290.7130404417717</v>
      </c>
      <c r="Q2215" s="3">
        <f t="shared" si="137"/>
        <v>-4.2976010076927196E-3</v>
      </c>
      <c r="R2215" s="3">
        <f t="shared" si="138"/>
        <v>2.4199999999999998E-3</v>
      </c>
      <c r="S2215">
        <f t="shared" si="139"/>
        <v>54</v>
      </c>
      <c r="T2215">
        <f>INDEX([1]IDEN_level_ids!$B:$B,MATCH(G2215,[1]IDEN_level_ids!$A:$A,0),1)</f>
        <v>1202</v>
      </c>
      <c r="U2215">
        <f>INDEX([1]IDEN_level_ids!$B:$B,MATCH(H2215,[1]IDEN_level_ids!$A:$A,0),1)</f>
        <v>1059</v>
      </c>
    </row>
    <row r="2216" spans="1:21" hidden="1" x14ac:dyDescent="0.25">
      <c r="A2216">
        <v>43650.069600000003</v>
      </c>
      <c r="B2216">
        <v>2290.9470999999999</v>
      </c>
      <c r="C2216">
        <v>14</v>
      </c>
      <c r="D2216" t="s">
        <v>619</v>
      </c>
      <c r="F2216">
        <v>1974</v>
      </c>
      <c r="G2216" s="1" t="s">
        <v>68</v>
      </c>
      <c r="H2216" s="1" t="s">
        <v>386</v>
      </c>
      <c r="I2216">
        <v>0.22500000000000001</v>
      </c>
      <c r="J2216">
        <v>43650.049700000003</v>
      </c>
      <c r="K2216">
        <v>-1.0399999999999999E-3</v>
      </c>
      <c r="L2216">
        <v>2.4199999999999998E-3</v>
      </c>
      <c r="M2216">
        <v>4.6100000000000002E-2</v>
      </c>
      <c r="N2216">
        <v>0.16239999999999999</v>
      </c>
      <c r="O2216">
        <v>2.8900000000000002E-3</v>
      </c>
      <c r="P2216" s="3">
        <f t="shared" si="136"/>
        <v>2290.9470916399177</v>
      </c>
      <c r="Q2216" s="3">
        <f t="shared" si="137"/>
        <v>-1.0444397530591232E-3</v>
      </c>
      <c r="R2216" s="3">
        <f t="shared" si="138"/>
        <v>2.4199999999999998E-3</v>
      </c>
      <c r="S2216">
        <f t="shared" si="139"/>
        <v>54</v>
      </c>
      <c r="T2216">
        <f>INDEX([1]IDEN_level_ids!$B:$B,MATCH(G2216,[1]IDEN_level_ids!$A:$A,0),1)</f>
        <v>1229</v>
      </c>
      <c r="U2216">
        <f>INDEX([1]IDEN_level_ids!$B:$B,MATCH(H2216,[1]IDEN_level_ids!$A:$A,0),1)</f>
        <v>1082</v>
      </c>
    </row>
    <row r="2217" spans="1:21" hidden="1" x14ac:dyDescent="0.25">
      <c r="A2217">
        <v>43640.809600000001</v>
      </c>
      <c r="B2217">
        <v>2291.4331999999999</v>
      </c>
      <c r="C2217">
        <v>14</v>
      </c>
      <c r="D2217" t="s">
        <v>619</v>
      </c>
      <c r="F2217">
        <v>1974</v>
      </c>
      <c r="G2217" s="1" t="s">
        <v>268</v>
      </c>
      <c r="H2217" s="1" t="s">
        <v>510</v>
      </c>
      <c r="I2217">
        <v>0</v>
      </c>
      <c r="J2217">
        <v>43640.868600000002</v>
      </c>
      <c r="K2217">
        <v>3.0999999999999999E-3</v>
      </c>
      <c r="L2217">
        <v>2.4199999999999998E-3</v>
      </c>
      <c r="M2217">
        <v>4.6100000000000002E-2</v>
      </c>
      <c r="N2217">
        <v>0.27700000000000002</v>
      </c>
      <c r="O2217">
        <v>3.3500000000000001E-3</v>
      </c>
      <c r="P2217" s="3">
        <f t="shared" si="136"/>
        <v>2291.4332001760113</v>
      </c>
      <c r="Q2217" s="3">
        <f t="shared" si="137"/>
        <v>3.0978888171375729E-3</v>
      </c>
      <c r="R2217" s="3">
        <f t="shared" si="138"/>
        <v>2.4199999999999998E-3</v>
      </c>
      <c r="S2217">
        <f t="shared" si="139"/>
        <v>54</v>
      </c>
      <c r="T2217">
        <f>INDEX([1]IDEN_level_ids!$B:$B,MATCH(G2217,[1]IDEN_level_ids!$A:$A,0),1)</f>
        <v>1160</v>
      </c>
      <c r="U2217">
        <f>INDEX([1]IDEN_level_ids!$B:$B,MATCH(H2217,[1]IDEN_level_ids!$A:$A,0),1)</f>
        <v>1006</v>
      </c>
    </row>
    <row r="2218" spans="1:21" hidden="1" x14ac:dyDescent="0.25">
      <c r="A2218">
        <v>43631.8197</v>
      </c>
      <c r="B2218">
        <v>2291.9052999999999</v>
      </c>
      <c r="C2218">
        <v>14</v>
      </c>
      <c r="D2218" t="s">
        <v>619</v>
      </c>
      <c r="F2218">
        <v>1974</v>
      </c>
      <c r="G2218" s="1" t="s">
        <v>244</v>
      </c>
      <c r="H2218" s="1" t="s">
        <v>595</v>
      </c>
      <c r="I2218">
        <v>0</v>
      </c>
      <c r="J2218">
        <v>43631.769500000002</v>
      </c>
      <c r="K2218">
        <v>-2.64E-3</v>
      </c>
      <c r="L2218">
        <v>2.4199999999999998E-3</v>
      </c>
      <c r="M2218">
        <v>4.6100000000000002E-2</v>
      </c>
      <c r="N2218">
        <v>0.19059999999999999</v>
      </c>
      <c r="O2218">
        <v>2.99E-3</v>
      </c>
      <c r="P2218" s="3">
        <f t="shared" si="136"/>
        <v>2291.9053270656964</v>
      </c>
      <c r="Q2218" s="3">
        <f t="shared" si="137"/>
        <v>-2.6369237079961749E-3</v>
      </c>
      <c r="R2218" s="3">
        <f t="shared" si="138"/>
        <v>2.4199999999999998E-3</v>
      </c>
      <c r="S2218">
        <f t="shared" si="139"/>
        <v>54</v>
      </c>
      <c r="T2218">
        <f>INDEX([1]IDEN_level_ids!$B:$B,MATCH(G2218,[1]IDEN_level_ids!$A:$A,0),1)</f>
        <v>1195</v>
      </c>
      <c r="U2218">
        <f>INDEX([1]IDEN_level_ids!$B:$B,MATCH(H2218,[1]IDEN_level_ids!$A:$A,0),1)</f>
        <v>1052</v>
      </c>
    </row>
    <row r="2219" spans="1:21" hidden="1" x14ac:dyDescent="0.25">
      <c r="A2219">
        <v>43630.6</v>
      </c>
      <c r="B2219">
        <v>2291.9694</v>
      </c>
      <c r="C2219">
        <v>14</v>
      </c>
      <c r="D2219" t="s">
        <v>619</v>
      </c>
      <c r="E2219" t="s">
        <v>427</v>
      </c>
      <c r="F2219">
        <v>1974</v>
      </c>
      <c r="G2219" s="1" t="s">
        <v>251</v>
      </c>
      <c r="H2219" s="1" t="s">
        <v>468</v>
      </c>
      <c r="I2219">
        <v>0.16639999999999999</v>
      </c>
      <c r="J2219">
        <v>43630.534899999999</v>
      </c>
      <c r="K2219">
        <v>-3.4199999999999999E-3</v>
      </c>
      <c r="L2219">
        <v>2.5600000000000002E-3</v>
      </c>
      <c r="M2219">
        <v>4.87E-2</v>
      </c>
      <c r="N2219">
        <v>0.1986</v>
      </c>
      <c r="O2219">
        <v>3.1900000000000001E-3</v>
      </c>
      <c r="P2219" s="3">
        <f t="shared" si="136"/>
        <v>2291.9693976246031</v>
      </c>
      <c r="Q2219" s="3">
        <f t="shared" si="137"/>
        <v>-3.4197886438960268E-3</v>
      </c>
      <c r="R2219" s="3">
        <f t="shared" si="138"/>
        <v>2.5600000000000002E-3</v>
      </c>
      <c r="S2219">
        <f t="shared" si="139"/>
        <v>54</v>
      </c>
      <c r="T2219">
        <f>INDEX([1]IDEN_level_ids!$B:$B,MATCH(G2219,[1]IDEN_level_ids!$A:$A,0),1)</f>
        <v>1192</v>
      </c>
      <c r="U2219">
        <f>INDEX([1]IDEN_level_ids!$B:$B,MATCH(H2219,[1]IDEN_level_ids!$A:$A,0),1)</f>
        <v>1044</v>
      </c>
    </row>
    <row r="2220" spans="1:21" hidden="1" x14ac:dyDescent="0.25">
      <c r="A2220">
        <v>43615.390399999997</v>
      </c>
      <c r="B2220">
        <v>2292.7687000000001</v>
      </c>
      <c r="C2220">
        <v>14</v>
      </c>
      <c r="D2220" t="s">
        <v>619</v>
      </c>
      <c r="F2220">
        <v>1974</v>
      </c>
      <c r="G2220" s="1" t="s">
        <v>41</v>
      </c>
      <c r="H2220" s="1" t="s">
        <v>379</v>
      </c>
      <c r="I2220">
        <v>0.47110000000000002</v>
      </c>
      <c r="J2220">
        <v>43615.385399999999</v>
      </c>
      <c r="K2220">
        <v>-2.5999999999999998E-4</v>
      </c>
      <c r="L2220">
        <v>2.4199999999999998E-3</v>
      </c>
      <c r="M2220">
        <v>4.6100000000000002E-2</v>
      </c>
      <c r="N2220">
        <v>0.1895</v>
      </c>
      <c r="O2220">
        <v>2.99E-3</v>
      </c>
      <c r="P2220" s="3">
        <f t="shared" si="136"/>
        <v>2292.7686553506123</v>
      </c>
      <c r="Q2220" s="3">
        <f t="shared" si="137"/>
        <v>-2.6283943543603527E-4</v>
      </c>
      <c r="R2220" s="3">
        <f t="shared" si="138"/>
        <v>2.4199999999999998E-3</v>
      </c>
      <c r="S2220">
        <f t="shared" si="139"/>
        <v>54</v>
      </c>
      <c r="T2220">
        <f>INDEX([1]IDEN_level_ids!$B:$B,MATCH(G2220,[1]IDEN_level_ids!$A:$A,0),1)</f>
        <v>1238</v>
      </c>
      <c r="U2220">
        <f>INDEX([1]IDEN_level_ids!$B:$B,MATCH(H2220,[1]IDEN_level_ids!$A:$A,0),1)</f>
        <v>1083</v>
      </c>
    </row>
    <row r="2221" spans="1:21" hidden="1" x14ac:dyDescent="0.25">
      <c r="A2221">
        <v>43606.909399999997</v>
      </c>
      <c r="B2221">
        <v>2293.2145999999998</v>
      </c>
      <c r="C2221">
        <v>14</v>
      </c>
      <c r="D2221" t="s">
        <v>619</v>
      </c>
      <c r="E2221" t="s">
        <v>427</v>
      </c>
      <c r="F2221">
        <v>1974</v>
      </c>
      <c r="G2221" s="1" t="s">
        <v>194</v>
      </c>
      <c r="H2221" s="1" t="s">
        <v>437</v>
      </c>
      <c r="I2221">
        <v>0.26329999999999998</v>
      </c>
      <c r="J2221">
        <v>43606.938699999999</v>
      </c>
      <c r="K2221">
        <v>1.5399999999999999E-3</v>
      </c>
      <c r="L2221">
        <v>2.5600000000000002E-3</v>
      </c>
      <c r="M2221">
        <v>4.87E-2</v>
      </c>
      <c r="N2221">
        <v>8.7800000000000003E-2</v>
      </c>
      <c r="O2221">
        <v>2.81E-3</v>
      </c>
      <c r="P2221" s="3">
        <f t="shared" si="136"/>
        <v>2293.2145702579878</v>
      </c>
      <c r="Q2221" s="3">
        <f t="shared" si="137"/>
        <v>1.5408370527438819E-3</v>
      </c>
      <c r="R2221" s="3">
        <f t="shared" si="138"/>
        <v>2.5600000000000002E-3</v>
      </c>
      <c r="S2221">
        <f t="shared" si="139"/>
        <v>54</v>
      </c>
      <c r="T2221">
        <f>INDEX([1]IDEN_level_ids!$B:$B,MATCH(G2221,[1]IDEN_level_ids!$A:$A,0),1)</f>
        <v>1187</v>
      </c>
      <c r="U2221">
        <f>INDEX([1]IDEN_level_ids!$B:$B,MATCH(H2221,[1]IDEN_level_ids!$A:$A,0),1)</f>
        <v>1039</v>
      </c>
    </row>
    <row r="2222" spans="1:21" hidden="1" x14ac:dyDescent="0.25">
      <c r="A2222">
        <v>43605.959199999998</v>
      </c>
      <c r="B2222">
        <v>2293.2645000000002</v>
      </c>
      <c r="C2222">
        <v>14</v>
      </c>
      <c r="D2222" t="s">
        <v>619</v>
      </c>
      <c r="E2222" t="s">
        <v>427</v>
      </c>
      <c r="F2222">
        <v>1974</v>
      </c>
      <c r="G2222" s="1" t="s">
        <v>223</v>
      </c>
      <c r="H2222" s="1" t="s">
        <v>577</v>
      </c>
      <c r="I2222">
        <v>3.2599999999999997E-2</v>
      </c>
      <c r="J2222">
        <v>43605.8868</v>
      </c>
      <c r="K2222">
        <v>-3.81E-3</v>
      </c>
      <c r="L2222">
        <v>2.5600000000000002E-3</v>
      </c>
      <c r="M2222">
        <v>4.87E-2</v>
      </c>
      <c r="N2222">
        <v>0.27650000000000002</v>
      </c>
      <c r="O2222">
        <v>3.5400000000000002E-3</v>
      </c>
      <c r="P2222" s="3">
        <f t="shared" si="136"/>
        <v>2293.2645407786376</v>
      </c>
      <c r="Q2222" s="3">
        <f t="shared" si="137"/>
        <v>-3.8075673933235521E-3</v>
      </c>
      <c r="R2222" s="3">
        <f t="shared" si="138"/>
        <v>2.5600000000000002E-3</v>
      </c>
      <c r="S2222">
        <f t="shared" si="139"/>
        <v>54</v>
      </c>
      <c r="T2222">
        <f>INDEX([1]IDEN_level_ids!$B:$B,MATCH(G2222,[1]IDEN_level_ids!$A:$A,0),1)</f>
        <v>1144</v>
      </c>
      <c r="U2222">
        <f>INDEX([1]IDEN_level_ids!$B:$B,MATCH(H2222,[1]IDEN_level_ids!$A:$A,0),1)</f>
        <v>985</v>
      </c>
    </row>
    <row r="2223" spans="1:21" hidden="1" x14ac:dyDescent="0.25">
      <c r="A2223">
        <v>43599.32</v>
      </c>
      <c r="B2223">
        <v>2293.6138000000001</v>
      </c>
      <c r="C2223">
        <v>14</v>
      </c>
      <c r="D2223" t="s">
        <v>619</v>
      </c>
      <c r="F2223">
        <v>1974</v>
      </c>
      <c r="G2223" s="1" t="s">
        <v>41</v>
      </c>
      <c r="H2223" s="1" t="s">
        <v>381</v>
      </c>
      <c r="I2223">
        <v>0.23219999999999999</v>
      </c>
      <c r="J2223">
        <v>43599.294500000004</v>
      </c>
      <c r="K2223">
        <v>-1.34E-3</v>
      </c>
      <c r="L2223">
        <v>2.4199999999999998E-3</v>
      </c>
      <c r="M2223">
        <v>4.6100000000000002E-2</v>
      </c>
      <c r="N2223">
        <v>0.17430000000000001</v>
      </c>
      <c r="O2223">
        <v>2.9299999999999999E-3</v>
      </c>
      <c r="P2223" s="3">
        <f t="shared" si="136"/>
        <v>2293.6137536090014</v>
      </c>
      <c r="Q2223" s="3">
        <f t="shared" si="137"/>
        <v>-1.3414701170404442E-3</v>
      </c>
      <c r="R2223" s="3">
        <f t="shared" si="138"/>
        <v>2.4199999999999998E-3</v>
      </c>
      <c r="S2223">
        <f t="shared" si="139"/>
        <v>54</v>
      </c>
      <c r="T2223">
        <f>INDEX([1]IDEN_level_ids!$B:$B,MATCH(G2223,[1]IDEN_level_ids!$A:$A,0),1)</f>
        <v>1238</v>
      </c>
      <c r="U2223">
        <f>INDEX([1]IDEN_level_ids!$B:$B,MATCH(H2223,[1]IDEN_level_ids!$A:$A,0),1)</f>
        <v>1084</v>
      </c>
    </row>
    <row r="2224" spans="1:21" hidden="1" x14ac:dyDescent="0.25">
      <c r="A2224">
        <v>43594.5694</v>
      </c>
      <c r="B2224">
        <v>2293.8636999999999</v>
      </c>
      <c r="C2224">
        <v>14</v>
      </c>
      <c r="D2224" t="s">
        <v>619</v>
      </c>
      <c r="F2224">
        <v>1974</v>
      </c>
      <c r="G2224" s="1" t="s">
        <v>279</v>
      </c>
      <c r="H2224" s="1" t="s">
        <v>508</v>
      </c>
      <c r="I2224">
        <v>0.2581</v>
      </c>
      <c r="J2224">
        <v>43594.426599999999</v>
      </c>
      <c r="K2224">
        <v>-7.5100000000000002E-3</v>
      </c>
      <c r="L2224">
        <v>2.4199999999999998E-3</v>
      </c>
      <c r="M2224">
        <v>4.6100000000000002E-2</v>
      </c>
      <c r="N2224">
        <v>0.24879999999999999</v>
      </c>
      <c r="O2224">
        <v>3.2299999999999998E-3</v>
      </c>
      <c r="P2224" s="3">
        <f t="shared" si="136"/>
        <v>2293.8636939489988</v>
      </c>
      <c r="Q2224" s="3">
        <f t="shared" si="137"/>
        <v>-7.5138902161597798E-3</v>
      </c>
      <c r="R2224" s="3">
        <f t="shared" si="138"/>
        <v>2.4199999999999998E-3</v>
      </c>
      <c r="S2224">
        <f t="shared" si="139"/>
        <v>54</v>
      </c>
      <c r="T2224">
        <f>INDEX([1]IDEN_level_ids!$B:$B,MATCH(G2224,[1]IDEN_level_ids!$A:$A,0),1)</f>
        <v>1129</v>
      </c>
      <c r="U2224">
        <f>INDEX([1]IDEN_level_ids!$B:$B,MATCH(H2224,[1]IDEN_level_ids!$A:$A,0),1)</f>
        <v>961</v>
      </c>
    </row>
    <row r="2225" spans="1:21" hidden="1" x14ac:dyDescent="0.25">
      <c r="A2225">
        <v>43591.010600000001</v>
      </c>
      <c r="B2225">
        <v>2294.0509999999999</v>
      </c>
      <c r="C2225">
        <v>14</v>
      </c>
      <c r="D2225" t="s">
        <v>619</v>
      </c>
      <c r="F2225">
        <v>1974</v>
      </c>
      <c r="G2225" s="1" t="s">
        <v>245</v>
      </c>
      <c r="H2225" s="1" t="s">
        <v>472</v>
      </c>
      <c r="I2225">
        <v>0</v>
      </c>
      <c r="J2225">
        <v>43591.027600000001</v>
      </c>
      <c r="K2225">
        <v>8.8999999999999995E-4</v>
      </c>
      <c r="L2225">
        <v>2.4199999999999998E-3</v>
      </c>
      <c r="M2225">
        <v>4.6100000000000002E-2</v>
      </c>
      <c r="N2225">
        <v>0.11700000000000001</v>
      </c>
      <c r="O2225">
        <v>2.7499999999999998E-3</v>
      </c>
      <c r="P2225" s="3">
        <f t="shared" si="136"/>
        <v>2294.0509665540994</v>
      </c>
      <c r="Q2225" s="3">
        <f t="shared" si="137"/>
        <v>8.9465352311890456E-4</v>
      </c>
      <c r="R2225" s="3">
        <f t="shared" si="138"/>
        <v>2.4199999999999998E-3</v>
      </c>
      <c r="S2225">
        <f t="shared" si="139"/>
        <v>54</v>
      </c>
      <c r="T2225">
        <f>INDEX([1]IDEN_level_ids!$B:$B,MATCH(G2225,[1]IDEN_level_ids!$A:$A,0),1)</f>
        <v>1169</v>
      </c>
      <c r="U2225">
        <f>INDEX([1]IDEN_level_ids!$B:$B,MATCH(H2225,[1]IDEN_level_ids!$A:$A,0),1)</f>
        <v>1012</v>
      </c>
    </row>
    <row r="2226" spans="1:21" hidden="1" x14ac:dyDescent="0.25">
      <c r="A2226">
        <v>43588.429600000003</v>
      </c>
      <c r="B2226">
        <v>2294.1867999999999</v>
      </c>
      <c r="C2226">
        <v>14</v>
      </c>
      <c r="D2226" t="s">
        <v>619</v>
      </c>
      <c r="F2226">
        <v>1974</v>
      </c>
      <c r="G2226" s="1" t="s">
        <v>166</v>
      </c>
      <c r="H2226" s="1" t="s">
        <v>476</v>
      </c>
      <c r="I2226">
        <v>0</v>
      </c>
      <c r="J2226">
        <v>43588.443399999996</v>
      </c>
      <c r="K2226">
        <v>7.2999999999999996E-4</v>
      </c>
      <c r="L2226">
        <v>2.4199999999999998E-3</v>
      </c>
      <c r="M2226">
        <v>4.6100000000000002E-2</v>
      </c>
      <c r="N2226">
        <v>9.8799999999999999E-2</v>
      </c>
      <c r="O2226">
        <v>2.6900000000000001E-3</v>
      </c>
      <c r="P2226" s="3">
        <f t="shared" si="136"/>
        <v>2294.1868041054636</v>
      </c>
      <c r="Q2226" s="3">
        <f t="shared" si="137"/>
        <v>7.2633421632417594E-4</v>
      </c>
      <c r="R2226" s="3">
        <f t="shared" si="138"/>
        <v>2.4199999999999998E-3</v>
      </c>
      <c r="S2226">
        <f t="shared" si="139"/>
        <v>54</v>
      </c>
      <c r="T2226">
        <f>INDEX([1]IDEN_level_ids!$B:$B,MATCH(G2226,[1]IDEN_level_ids!$A:$A,0),1)</f>
        <v>1186</v>
      </c>
      <c r="U2226">
        <f>INDEX([1]IDEN_level_ids!$B:$B,MATCH(H2226,[1]IDEN_level_ids!$A:$A,0),1)</f>
        <v>1037</v>
      </c>
    </row>
    <row r="2227" spans="1:21" hidden="1" x14ac:dyDescent="0.25">
      <c r="A2227">
        <v>43586.6008</v>
      </c>
      <c r="B2227">
        <v>2294.2831000000001</v>
      </c>
      <c r="C2227">
        <v>14</v>
      </c>
      <c r="D2227" t="s">
        <v>619</v>
      </c>
      <c r="F2227">
        <v>1974</v>
      </c>
      <c r="G2227" s="1" t="s">
        <v>83</v>
      </c>
      <c r="H2227" s="1" t="s">
        <v>540</v>
      </c>
      <c r="I2227">
        <v>0.34399999999999997</v>
      </c>
      <c r="J2227">
        <v>43586.550600000002</v>
      </c>
      <c r="K2227">
        <v>-2.64E-3</v>
      </c>
      <c r="L2227">
        <v>2.4199999999999998E-3</v>
      </c>
      <c r="M2227">
        <v>4.6100000000000002E-2</v>
      </c>
      <c r="N2227">
        <v>0.1067</v>
      </c>
      <c r="O2227">
        <v>2.7100000000000002E-3</v>
      </c>
      <c r="P2227" s="3">
        <f t="shared" si="136"/>
        <v>2294.2830632481896</v>
      </c>
      <c r="Q2227" s="3">
        <f t="shared" si="137"/>
        <v>-2.6423979002174747E-3</v>
      </c>
      <c r="R2227" s="3">
        <f t="shared" si="138"/>
        <v>2.4199999999999998E-3</v>
      </c>
      <c r="S2227">
        <f t="shared" si="139"/>
        <v>54</v>
      </c>
      <c r="T2227">
        <f>INDEX([1]IDEN_level_ids!$B:$B,MATCH(G2227,[1]IDEN_level_ids!$A:$A,0),1)</f>
        <v>1175</v>
      </c>
      <c r="U2227">
        <f>INDEX([1]IDEN_level_ids!$B:$B,MATCH(H2227,[1]IDEN_level_ids!$A:$A,0),1)</f>
        <v>1027</v>
      </c>
    </row>
    <row r="2228" spans="1:21" hidden="1" x14ac:dyDescent="0.25">
      <c r="A2228">
        <v>43577.350400000003</v>
      </c>
      <c r="B2228">
        <v>2294.7701000000002</v>
      </c>
      <c r="C2228">
        <v>14</v>
      </c>
      <c r="D2228" t="s">
        <v>619</v>
      </c>
      <c r="F2228">
        <v>1974</v>
      </c>
      <c r="G2228" s="1" t="s">
        <v>216</v>
      </c>
      <c r="H2228" s="1" t="s">
        <v>585</v>
      </c>
      <c r="I2228">
        <v>0</v>
      </c>
      <c r="J2228">
        <v>43577.3102</v>
      </c>
      <c r="K2228">
        <v>-2.1199999999999999E-3</v>
      </c>
      <c r="L2228">
        <v>2.4299999999999999E-3</v>
      </c>
      <c r="M2228">
        <v>4.6100000000000002E-2</v>
      </c>
      <c r="N2228">
        <v>0.11799999999999999</v>
      </c>
      <c r="O2228">
        <v>2.7499999999999998E-3</v>
      </c>
      <c r="P2228" s="3">
        <f t="shared" si="136"/>
        <v>2294.7700831301572</v>
      </c>
      <c r="Q2228" s="3">
        <f t="shared" si="137"/>
        <v>-2.1169217861825018E-3</v>
      </c>
      <c r="R2228" s="3">
        <f t="shared" si="138"/>
        <v>2.4299999999999999E-3</v>
      </c>
      <c r="S2228">
        <f t="shared" si="139"/>
        <v>54</v>
      </c>
      <c r="T2228">
        <f>INDEX([1]IDEN_level_ids!$B:$B,MATCH(G2228,[1]IDEN_level_ids!$A:$A,0),1)</f>
        <v>1170</v>
      </c>
      <c r="U2228">
        <f>INDEX([1]IDEN_level_ids!$B:$B,MATCH(H2228,[1]IDEN_level_ids!$A:$A,0),1)</f>
        <v>1019</v>
      </c>
    </row>
    <row r="2229" spans="1:21" hidden="1" x14ac:dyDescent="0.25">
      <c r="A2229">
        <v>43568.840900000003</v>
      </c>
      <c r="B2229">
        <v>2295.2183</v>
      </c>
      <c r="C2229">
        <v>14</v>
      </c>
      <c r="D2229" t="s">
        <v>619</v>
      </c>
      <c r="F2229">
        <v>1974</v>
      </c>
      <c r="G2229" s="1" t="s">
        <v>216</v>
      </c>
      <c r="H2229" s="1" t="s">
        <v>576</v>
      </c>
      <c r="I2229">
        <v>0.13669999999999999</v>
      </c>
      <c r="J2229">
        <v>43568.792999999998</v>
      </c>
      <c r="K2229">
        <v>-2.5200000000000001E-3</v>
      </c>
      <c r="L2229">
        <v>2.4299999999999999E-3</v>
      </c>
      <c r="M2229">
        <v>4.6100000000000002E-2</v>
      </c>
      <c r="N2229">
        <v>0.1149</v>
      </c>
      <c r="O2229">
        <v>2.7399999999999998E-3</v>
      </c>
      <c r="P2229" s="3">
        <f t="shared" si="136"/>
        <v>2295.2182783453391</v>
      </c>
      <c r="Q2229" s="3">
        <f t="shared" si="137"/>
        <v>-2.5233876813217648E-3</v>
      </c>
      <c r="R2229" s="3">
        <f t="shared" si="138"/>
        <v>2.4299999999999999E-3</v>
      </c>
      <c r="S2229">
        <f t="shared" si="139"/>
        <v>54</v>
      </c>
      <c r="T2229">
        <f>INDEX([1]IDEN_level_ids!$B:$B,MATCH(G2229,[1]IDEN_level_ids!$A:$A,0),1)</f>
        <v>1170</v>
      </c>
      <c r="U2229">
        <f>INDEX([1]IDEN_level_ids!$B:$B,MATCH(H2229,[1]IDEN_level_ids!$A:$A,0),1)</f>
        <v>1024</v>
      </c>
    </row>
    <row r="2230" spans="1:21" hidden="1" x14ac:dyDescent="0.25">
      <c r="A2230">
        <v>43567.131200000003</v>
      </c>
      <c r="B2230">
        <v>2295.3083999999999</v>
      </c>
      <c r="C2230">
        <v>14</v>
      </c>
      <c r="D2230" t="s">
        <v>619</v>
      </c>
      <c r="E2230" t="s">
        <v>427</v>
      </c>
      <c r="F2230">
        <v>1974</v>
      </c>
      <c r="G2230" s="1" t="s">
        <v>282</v>
      </c>
      <c r="H2230" s="1" t="s">
        <v>508</v>
      </c>
      <c r="I2230">
        <v>0</v>
      </c>
      <c r="J2230">
        <v>43567.142699999997</v>
      </c>
      <c r="K2230">
        <v>6.0999999999999997E-4</v>
      </c>
      <c r="L2230">
        <v>2.5699999999999998E-3</v>
      </c>
      <c r="M2230">
        <v>4.87E-2</v>
      </c>
      <c r="N2230">
        <v>0.18859999999999999</v>
      </c>
      <c r="O2230">
        <v>3.16E-3</v>
      </c>
      <c r="P2230" s="3">
        <f t="shared" si="136"/>
        <v>2295.3083493365289</v>
      </c>
      <c r="Q2230" s="3">
        <f t="shared" si="137"/>
        <v>6.0587048756133299E-4</v>
      </c>
      <c r="R2230" s="3">
        <f t="shared" si="138"/>
        <v>2.5699999999999998E-3</v>
      </c>
      <c r="S2230">
        <f t="shared" si="139"/>
        <v>54</v>
      </c>
      <c r="T2230">
        <f>INDEX([1]IDEN_level_ids!$B:$B,MATCH(G2230,[1]IDEN_level_ids!$A:$A,0),1)</f>
        <v>1128</v>
      </c>
      <c r="U2230">
        <f>INDEX([1]IDEN_level_ids!$B:$B,MATCH(H2230,[1]IDEN_level_ids!$A:$A,0),1)</f>
        <v>961</v>
      </c>
    </row>
    <row r="2231" spans="1:21" hidden="1" x14ac:dyDescent="0.25">
      <c r="A2231">
        <v>43564.689200000001</v>
      </c>
      <c r="B2231">
        <v>2295.4369999999999</v>
      </c>
      <c r="C2231">
        <v>14</v>
      </c>
      <c r="D2231" t="s">
        <v>619</v>
      </c>
      <c r="F2231">
        <v>1974</v>
      </c>
      <c r="G2231" s="1" t="s">
        <v>278</v>
      </c>
      <c r="H2231" s="1" t="s">
        <v>496</v>
      </c>
      <c r="I2231">
        <v>0</v>
      </c>
      <c r="J2231">
        <v>43564.710500000001</v>
      </c>
      <c r="K2231">
        <v>1.1199999999999999E-3</v>
      </c>
      <c r="L2231">
        <v>2.4299999999999999E-3</v>
      </c>
      <c r="M2231">
        <v>4.6100000000000002E-2</v>
      </c>
      <c r="N2231">
        <v>0.32719999999999999</v>
      </c>
      <c r="O2231">
        <v>3.6099999999999999E-3</v>
      </c>
      <c r="P2231" s="3">
        <f t="shared" si="136"/>
        <v>2295.4370118632683</v>
      </c>
      <c r="Q2231" s="3">
        <f t="shared" si="137"/>
        <v>1.1223030701330572E-3</v>
      </c>
      <c r="R2231" s="3">
        <f t="shared" si="138"/>
        <v>2.4299999999999999E-3</v>
      </c>
      <c r="S2231">
        <f t="shared" si="139"/>
        <v>54</v>
      </c>
      <c r="T2231">
        <f>INDEX([1]IDEN_level_ids!$B:$B,MATCH(G2231,[1]IDEN_level_ids!$A:$A,0),1)</f>
        <v>1102</v>
      </c>
      <c r="U2231">
        <f>INDEX([1]IDEN_level_ids!$B:$B,MATCH(H2231,[1]IDEN_level_ids!$A:$A,0),1)</f>
        <v>944</v>
      </c>
    </row>
    <row r="2232" spans="1:21" hidden="1" x14ac:dyDescent="0.25">
      <c r="A2232">
        <v>43562.259299999998</v>
      </c>
      <c r="B2232">
        <v>2295.5650999999998</v>
      </c>
      <c r="C2232">
        <v>14</v>
      </c>
      <c r="D2232" t="s">
        <v>619</v>
      </c>
      <c r="F2232">
        <v>1974</v>
      </c>
      <c r="G2232" s="1" t="s">
        <v>38</v>
      </c>
      <c r="H2232" s="1" t="s">
        <v>377</v>
      </c>
      <c r="I2232">
        <v>0.33889999999999998</v>
      </c>
      <c r="J2232">
        <v>43562.263700000003</v>
      </c>
      <c r="K2232">
        <v>2.3000000000000001E-4</v>
      </c>
      <c r="L2232">
        <v>2.4299999999999999E-3</v>
      </c>
      <c r="M2232">
        <v>4.6100000000000002E-2</v>
      </c>
      <c r="N2232">
        <v>0.111</v>
      </c>
      <c r="O2232">
        <v>2.7299999999999998E-3</v>
      </c>
      <c r="P2232" s="3">
        <f t="shared" si="136"/>
        <v>2295.5650511909976</v>
      </c>
      <c r="Q2232" s="3">
        <f t="shared" si="137"/>
        <v>2.3186320868262555E-4</v>
      </c>
      <c r="R2232" s="3">
        <f t="shared" si="138"/>
        <v>2.4299999999999999E-3</v>
      </c>
      <c r="S2232">
        <f t="shared" si="139"/>
        <v>54</v>
      </c>
      <c r="T2232">
        <f>INDEX([1]IDEN_level_ids!$B:$B,MATCH(G2232,[1]IDEN_level_ids!$A:$A,0),1)</f>
        <v>1201</v>
      </c>
      <c r="U2232">
        <f>INDEX([1]IDEN_level_ids!$B:$B,MATCH(H2232,[1]IDEN_level_ids!$A:$A,0),1)</f>
        <v>1057</v>
      </c>
    </row>
    <row r="2233" spans="1:21" hidden="1" x14ac:dyDescent="0.25">
      <c r="A2233">
        <v>43552.639000000003</v>
      </c>
      <c r="B2233">
        <v>2296.0720999999999</v>
      </c>
      <c r="C2233">
        <v>14</v>
      </c>
      <c r="D2233" t="s">
        <v>619</v>
      </c>
      <c r="F2233">
        <v>1974</v>
      </c>
      <c r="G2233" s="1" t="s">
        <v>243</v>
      </c>
      <c r="H2233" s="1" t="s">
        <v>401</v>
      </c>
      <c r="I2233">
        <v>6.8900000000000003E-2</v>
      </c>
      <c r="J2233">
        <v>43552.662700000001</v>
      </c>
      <c r="K2233">
        <v>1.25E-3</v>
      </c>
      <c r="L2233">
        <v>2.4299999999999999E-3</v>
      </c>
      <c r="M2233">
        <v>4.6100000000000002E-2</v>
      </c>
      <c r="N2233">
        <v>0.12609999999999999</v>
      </c>
      <c r="O2233">
        <v>2.7799999999999999E-3</v>
      </c>
      <c r="P2233" s="3">
        <f t="shared" si="136"/>
        <v>2296.0721163188296</v>
      </c>
      <c r="Q2233" s="3">
        <f t="shared" si="137"/>
        <v>1.2494507977862668E-3</v>
      </c>
      <c r="R2233" s="3">
        <f t="shared" si="138"/>
        <v>2.4299999999999999E-3</v>
      </c>
      <c r="S2233">
        <f t="shared" si="139"/>
        <v>54</v>
      </c>
      <c r="T2233">
        <f>INDEX([1]IDEN_level_ids!$B:$B,MATCH(G2233,[1]IDEN_level_ids!$A:$A,0),1)</f>
        <v>1205</v>
      </c>
      <c r="U2233">
        <f>INDEX([1]IDEN_level_ids!$B:$B,MATCH(H2233,[1]IDEN_level_ids!$A:$A,0),1)</f>
        <v>1063</v>
      </c>
    </row>
    <row r="2234" spans="1:21" hidden="1" x14ac:dyDescent="0.25">
      <c r="A2234">
        <v>43543.320399999997</v>
      </c>
      <c r="B2234">
        <v>2296.5635000000002</v>
      </c>
      <c r="C2234">
        <v>14</v>
      </c>
      <c r="D2234" t="s">
        <v>619</v>
      </c>
      <c r="F2234">
        <v>1974</v>
      </c>
      <c r="G2234" s="1" t="s">
        <v>285</v>
      </c>
      <c r="H2234" s="1" t="s">
        <v>584</v>
      </c>
      <c r="I2234">
        <v>0</v>
      </c>
      <c r="J2234">
        <v>43543.3177</v>
      </c>
      <c r="K2234">
        <v>-1.3999999999999999E-4</v>
      </c>
      <c r="L2234">
        <v>2.4299999999999999E-3</v>
      </c>
      <c r="M2234">
        <v>4.6100000000000002E-2</v>
      </c>
      <c r="N2234">
        <v>0.2374</v>
      </c>
      <c r="O2234">
        <v>3.1900000000000001E-3</v>
      </c>
      <c r="P2234" s="3">
        <f t="shared" si="136"/>
        <v>2296.5634931230466</v>
      </c>
      <c r="Q2234" s="3">
        <f t="shared" si="137"/>
        <v>-1.4240351310945698E-4</v>
      </c>
      <c r="R2234" s="3">
        <f t="shared" si="138"/>
        <v>2.4299999999999999E-3</v>
      </c>
      <c r="S2234">
        <f t="shared" si="139"/>
        <v>54</v>
      </c>
      <c r="T2234">
        <f>INDEX([1]IDEN_level_ids!$B:$B,MATCH(G2234,[1]IDEN_level_ids!$A:$A,0),1)</f>
        <v>1150</v>
      </c>
      <c r="U2234">
        <f>INDEX([1]IDEN_level_ids!$B:$B,MATCH(H2234,[1]IDEN_level_ids!$A:$A,0),1)</f>
        <v>992</v>
      </c>
    </row>
    <row r="2235" spans="1:21" hidden="1" x14ac:dyDescent="0.25">
      <c r="A2235">
        <v>43530.339</v>
      </c>
      <c r="B2235">
        <v>2297.2483999999999</v>
      </c>
      <c r="C2235">
        <v>14</v>
      </c>
      <c r="D2235" t="s">
        <v>619</v>
      </c>
      <c r="F2235">
        <v>1974</v>
      </c>
      <c r="G2235" s="1" t="s">
        <v>375</v>
      </c>
      <c r="H2235" s="1" t="s">
        <v>620</v>
      </c>
      <c r="I2235">
        <v>-0.28789999999999999</v>
      </c>
      <c r="J2235">
        <v>43530.391300000003</v>
      </c>
      <c r="K2235">
        <v>2.7599999999999999E-3</v>
      </c>
      <c r="L2235">
        <v>2.4299999999999999E-3</v>
      </c>
      <c r="M2235">
        <v>4.6100000000000002E-2</v>
      </c>
      <c r="N2235">
        <v>0.21460000000000001</v>
      </c>
      <c r="O2235">
        <v>3.0999999999999999E-3</v>
      </c>
      <c r="P2235" s="3">
        <f t="shared" si="136"/>
        <v>2297.2483628027799</v>
      </c>
      <c r="Q2235" s="3">
        <f t="shared" si="137"/>
        <v>2.7600507551142073E-3</v>
      </c>
      <c r="R2235" s="3">
        <f t="shared" si="138"/>
        <v>2.4299999999999999E-3</v>
      </c>
      <c r="S2235">
        <f t="shared" si="139"/>
        <v>54</v>
      </c>
      <c r="T2235">
        <f>INDEX([1]IDEN_level_ids!$B:$B,MATCH(G2235,[1]IDEN_level_ids!$A:$A,0),1)</f>
        <v>1065</v>
      </c>
      <c r="U2235">
        <f>INDEX([1]IDEN_level_ids!$B:$B,MATCH(H2235,[1]IDEN_level_ids!$A:$A,0),1)</f>
        <v>839</v>
      </c>
    </row>
    <row r="2236" spans="1:21" hidden="1" x14ac:dyDescent="0.25">
      <c r="A2236">
        <v>43514.669300000001</v>
      </c>
      <c r="B2236">
        <v>2298.0756000000001</v>
      </c>
      <c r="C2236">
        <v>14</v>
      </c>
      <c r="D2236" t="s">
        <v>619</v>
      </c>
      <c r="F2236">
        <v>1974</v>
      </c>
      <c r="G2236" s="1" t="s">
        <v>280</v>
      </c>
      <c r="H2236" s="1" t="s">
        <v>610</v>
      </c>
      <c r="I2236">
        <v>9.8000000000000004E-2</v>
      </c>
      <c r="J2236">
        <v>43514.6774</v>
      </c>
      <c r="K2236">
        <v>4.2999999999999999E-4</v>
      </c>
      <c r="L2236">
        <v>2.4299999999999999E-3</v>
      </c>
      <c r="M2236">
        <v>4.6100000000000002E-2</v>
      </c>
      <c r="N2236">
        <v>0.21429999999999999</v>
      </c>
      <c r="O2236">
        <v>3.0999999999999999E-3</v>
      </c>
      <c r="P2236" s="3">
        <f t="shared" si="136"/>
        <v>2298.0756055062102</v>
      </c>
      <c r="Q2236" s="3">
        <f t="shared" si="137"/>
        <v>4.2777319094966515E-4</v>
      </c>
      <c r="R2236" s="3">
        <f t="shared" si="138"/>
        <v>2.4299999999999999E-3</v>
      </c>
      <c r="S2236">
        <f t="shared" si="139"/>
        <v>54</v>
      </c>
      <c r="T2236">
        <f>INDEX([1]IDEN_level_ids!$B:$B,MATCH(G2236,[1]IDEN_level_ids!$A:$A,0),1)</f>
        <v>1130</v>
      </c>
      <c r="U2236">
        <f>INDEX([1]IDEN_level_ids!$B:$B,MATCH(H2236,[1]IDEN_level_ids!$A:$A,0),1)</f>
        <v>964</v>
      </c>
    </row>
    <row r="2237" spans="1:21" hidden="1" x14ac:dyDescent="0.25">
      <c r="A2237">
        <v>43511.750099999997</v>
      </c>
      <c r="B2237">
        <v>2298.2298000000001</v>
      </c>
      <c r="C2237">
        <v>14</v>
      </c>
      <c r="D2237" t="s">
        <v>619</v>
      </c>
      <c r="F2237">
        <v>1974</v>
      </c>
      <c r="G2237" s="1" t="s">
        <v>334</v>
      </c>
      <c r="H2237" s="1" t="s">
        <v>495</v>
      </c>
      <c r="I2237">
        <v>0.1328</v>
      </c>
      <c r="J2237">
        <v>43511.741699999999</v>
      </c>
      <c r="K2237">
        <v>-4.4000000000000002E-4</v>
      </c>
      <c r="L2237">
        <v>2.4299999999999999E-3</v>
      </c>
      <c r="M2237">
        <v>4.6100000000000002E-2</v>
      </c>
      <c r="N2237">
        <v>0.1777</v>
      </c>
      <c r="O2237">
        <v>2.96E-3</v>
      </c>
      <c r="P2237" s="3">
        <f t="shared" si="136"/>
        <v>2298.2297832235436</v>
      </c>
      <c r="Q2237" s="3">
        <f t="shared" si="137"/>
        <v>-4.4367633699948783E-4</v>
      </c>
      <c r="R2237" s="3">
        <f t="shared" si="138"/>
        <v>2.4299999999999999E-3</v>
      </c>
      <c r="S2237">
        <f t="shared" si="139"/>
        <v>54</v>
      </c>
      <c r="T2237">
        <f>INDEX([1]IDEN_level_ids!$B:$B,MATCH(G2237,[1]IDEN_level_ids!$A:$A,0),1)</f>
        <v>1124</v>
      </c>
      <c r="U2237">
        <f>INDEX([1]IDEN_level_ids!$B:$B,MATCH(H2237,[1]IDEN_level_ids!$A:$A,0),1)</f>
        <v>960</v>
      </c>
    </row>
    <row r="2238" spans="1:21" hidden="1" x14ac:dyDescent="0.25">
      <c r="A2238">
        <v>43510.290500000003</v>
      </c>
      <c r="B2238">
        <v>2298.3069</v>
      </c>
      <c r="C2238">
        <v>14</v>
      </c>
      <c r="D2238" t="s">
        <v>619</v>
      </c>
      <c r="F2238">
        <v>1974</v>
      </c>
      <c r="G2238" s="1" t="s">
        <v>73</v>
      </c>
      <c r="H2238" s="1" t="s">
        <v>467</v>
      </c>
      <c r="I2238">
        <v>0</v>
      </c>
      <c r="J2238">
        <v>43510.286099999998</v>
      </c>
      <c r="K2238">
        <v>-2.3000000000000001E-4</v>
      </c>
      <c r="L2238">
        <v>2.4299999999999999E-3</v>
      </c>
      <c r="M2238">
        <v>4.6100000000000002E-2</v>
      </c>
      <c r="N2238">
        <v>9.7299999999999998E-2</v>
      </c>
      <c r="O2238">
        <v>2.7000000000000001E-3</v>
      </c>
      <c r="P2238" s="3">
        <f t="shared" si="136"/>
        <v>2298.3068798402987</v>
      </c>
      <c r="Q2238" s="3">
        <f t="shared" si="137"/>
        <v>-2.3241746248459094E-4</v>
      </c>
      <c r="R2238" s="3">
        <f t="shared" si="138"/>
        <v>2.4299999999999999E-3</v>
      </c>
      <c r="S2238">
        <f t="shared" si="139"/>
        <v>54</v>
      </c>
      <c r="T2238">
        <f>INDEX([1]IDEN_level_ids!$B:$B,MATCH(G2238,[1]IDEN_level_ids!$A:$A,0),1)</f>
        <v>1173</v>
      </c>
      <c r="U2238">
        <f>INDEX([1]IDEN_level_ids!$B:$B,MATCH(H2238,[1]IDEN_level_ids!$A:$A,0),1)</f>
        <v>1025</v>
      </c>
    </row>
    <row r="2239" spans="1:21" hidden="1" x14ac:dyDescent="0.25">
      <c r="A2239">
        <v>43506.200599999996</v>
      </c>
      <c r="B2239">
        <v>2298.5228999999999</v>
      </c>
      <c r="C2239">
        <v>14</v>
      </c>
      <c r="D2239" t="s">
        <v>619</v>
      </c>
      <c r="F2239">
        <v>1974</v>
      </c>
      <c r="G2239" s="1" t="s">
        <v>69</v>
      </c>
      <c r="H2239" s="1" t="s">
        <v>453</v>
      </c>
      <c r="I2239">
        <v>0.26840000000000003</v>
      </c>
      <c r="J2239">
        <v>43506.217100000002</v>
      </c>
      <c r="K2239">
        <v>8.7000000000000001E-4</v>
      </c>
      <c r="L2239">
        <v>2.4299999999999999E-3</v>
      </c>
      <c r="M2239">
        <v>4.6100000000000002E-2</v>
      </c>
      <c r="N2239">
        <v>0.17119999999999999</v>
      </c>
      <c r="O2239">
        <v>2.9399999999999999E-3</v>
      </c>
      <c r="P2239" s="3">
        <f t="shared" si="136"/>
        <v>2298.5229374407841</v>
      </c>
      <c r="Q2239" s="3">
        <f t="shared" si="137"/>
        <v>8.717289388187055E-4</v>
      </c>
      <c r="R2239" s="3">
        <f t="shared" si="138"/>
        <v>2.4299999999999999E-3</v>
      </c>
      <c r="S2239">
        <f t="shared" si="139"/>
        <v>54</v>
      </c>
      <c r="T2239">
        <f>INDEX([1]IDEN_level_ids!$B:$B,MATCH(G2239,[1]IDEN_level_ids!$A:$A,0),1)</f>
        <v>1218</v>
      </c>
      <c r="U2239">
        <f>INDEX([1]IDEN_level_ids!$B:$B,MATCH(H2239,[1]IDEN_level_ids!$A:$A,0),1)</f>
        <v>1078</v>
      </c>
    </row>
    <row r="2240" spans="1:21" hidden="1" x14ac:dyDescent="0.25">
      <c r="A2240">
        <v>43504.211000000003</v>
      </c>
      <c r="B2240">
        <v>2298.6280999999999</v>
      </c>
      <c r="C2240">
        <v>14</v>
      </c>
      <c r="D2240" t="s">
        <v>619</v>
      </c>
      <c r="F2240">
        <v>1974</v>
      </c>
      <c r="G2240" s="1" t="s">
        <v>207</v>
      </c>
      <c r="H2240" s="1" t="s">
        <v>441</v>
      </c>
      <c r="I2240">
        <v>9.8500000000000004E-2</v>
      </c>
      <c r="J2240">
        <v>43504.223400000003</v>
      </c>
      <c r="K2240">
        <v>6.4999999999999997E-4</v>
      </c>
      <c r="L2240">
        <v>2.4299999999999999E-3</v>
      </c>
      <c r="M2240">
        <v>4.6100000000000002E-2</v>
      </c>
      <c r="N2240">
        <v>0.13450000000000001</v>
      </c>
      <c r="O2240">
        <v>2.81E-3</v>
      </c>
      <c r="P2240" s="3">
        <f t="shared" si="136"/>
        <v>2298.628056948326</v>
      </c>
      <c r="Q2240" s="3">
        <f t="shared" si="137"/>
        <v>6.5517749044374796E-4</v>
      </c>
      <c r="R2240" s="3">
        <f t="shared" si="138"/>
        <v>2.4299999999999999E-3</v>
      </c>
      <c r="S2240">
        <f t="shared" si="139"/>
        <v>54</v>
      </c>
      <c r="T2240">
        <f>INDEX([1]IDEN_level_ids!$B:$B,MATCH(G2240,[1]IDEN_level_ids!$A:$A,0),1)</f>
        <v>1177</v>
      </c>
      <c r="U2240">
        <f>INDEX([1]IDEN_level_ids!$B:$B,MATCH(H2240,[1]IDEN_level_ids!$A:$A,0),1)</f>
        <v>1034</v>
      </c>
    </row>
    <row r="2241" spans="1:21" hidden="1" x14ac:dyDescent="0.25">
      <c r="A2241">
        <v>43496.039599999996</v>
      </c>
      <c r="B2241">
        <v>2299.0599000000002</v>
      </c>
      <c r="C2241">
        <v>14</v>
      </c>
      <c r="D2241" t="s">
        <v>619</v>
      </c>
      <c r="F2241">
        <v>1974</v>
      </c>
      <c r="G2241" s="1" t="s">
        <v>239</v>
      </c>
      <c r="H2241" s="1" t="s">
        <v>570</v>
      </c>
      <c r="I2241">
        <v>0</v>
      </c>
      <c r="J2241">
        <v>43496.022700000001</v>
      </c>
      <c r="K2241">
        <v>-8.9999999999999998E-4</v>
      </c>
      <c r="L2241">
        <v>2.4299999999999999E-3</v>
      </c>
      <c r="M2241">
        <v>4.6100000000000002E-2</v>
      </c>
      <c r="N2241">
        <v>0.13089999999999999</v>
      </c>
      <c r="O2241">
        <v>2.8E-3</v>
      </c>
      <c r="P2241" s="3">
        <f t="shared" si="136"/>
        <v>2299.0598895813037</v>
      </c>
      <c r="Q2241" s="3">
        <f t="shared" si="137"/>
        <v>-8.932796540648269E-4</v>
      </c>
      <c r="R2241" s="3">
        <f t="shared" si="138"/>
        <v>2.4299999999999999E-3</v>
      </c>
      <c r="S2241">
        <f t="shared" si="139"/>
        <v>54</v>
      </c>
      <c r="T2241">
        <f>INDEX([1]IDEN_level_ids!$B:$B,MATCH(G2241,[1]IDEN_level_ids!$A:$A,0),1)</f>
        <v>1167</v>
      </c>
      <c r="U2241">
        <f>INDEX([1]IDEN_level_ids!$B:$B,MATCH(H2241,[1]IDEN_level_ids!$A:$A,0),1)</f>
        <v>1015</v>
      </c>
    </row>
    <row r="2242" spans="1:21" hidden="1" x14ac:dyDescent="0.25">
      <c r="A2242">
        <v>43493.140700000004</v>
      </c>
      <c r="B2242">
        <v>2299.2130999999999</v>
      </c>
      <c r="C2242">
        <v>14</v>
      </c>
      <c r="D2242" t="s">
        <v>619</v>
      </c>
      <c r="E2242" t="s">
        <v>427</v>
      </c>
      <c r="F2242">
        <v>1974</v>
      </c>
      <c r="G2242" s="1" t="s">
        <v>251</v>
      </c>
      <c r="H2242" s="1" t="s">
        <v>621</v>
      </c>
      <c r="I2242">
        <v>0</v>
      </c>
      <c r="J2242">
        <v>43493.127800000002</v>
      </c>
      <c r="K2242">
        <v>-6.8000000000000005E-4</v>
      </c>
      <c r="L2242">
        <v>2.5799999999999998E-3</v>
      </c>
      <c r="M2242">
        <v>4.87E-2</v>
      </c>
      <c r="N2242">
        <v>0.43190000000000001</v>
      </c>
      <c r="O2242">
        <v>4.5300000000000002E-3</v>
      </c>
      <c r="P2242" s="3">
        <f t="shared" ref="P2242:P2305" si="140">100000000/$A2242</f>
        <v>2299.2131262665976</v>
      </c>
      <c r="Q2242" s="3">
        <f t="shared" ref="Q2242:Q2305" si="141">100000000/($A2242)-100000000/$J2242</f>
        <v>-6.8194335153748398E-4</v>
      </c>
      <c r="R2242" s="3">
        <f t="shared" si="138"/>
        <v>2.5799999999999998E-3</v>
      </c>
      <c r="S2242">
        <f t="shared" si="139"/>
        <v>54</v>
      </c>
      <c r="T2242">
        <f>INDEX([1]IDEN_level_ids!$B:$B,MATCH(G2242,[1]IDEN_level_ids!$A:$A,0),1)</f>
        <v>1192</v>
      </c>
      <c r="U2242">
        <f>INDEX([1]IDEN_level_ids!$B:$B,MATCH(H2242,[1]IDEN_level_ids!$A:$A,0),1)</f>
        <v>1046</v>
      </c>
    </row>
    <row r="2243" spans="1:21" hidden="1" x14ac:dyDescent="0.25">
      <c r="A2243">
        <v>43491.669500000004</v>
      </c>
      <c r="B2243">
        <v>2299.2909</v>
      </c>
      <c r="C2243">
        <v>14</v>
      </c>
      <c r="D2243" t="s">
        <v>619</v>
      </c>
      <c r="F2243">
        <v>1974</v>
      </c>
      <c r="G2243" s="1" t="s">
        <v>73</v>
      </c>
      <c r="H2243" s="1" t="s">
        <v>470</v>
      </c>
      <c r="I2243">
        <v>0.2848</v>
      </c>
      <c r="J2243">
        <v>43491.699699999997</v>
      </c>
      <c r="K2243">
        <v>1.6000000000000001E-3</v>
      </c>
      <c r="L2243">
        <v>2.4399999999999999E-3</v>
      </c>
      <c r="M2243">
        <v>4.6100000000000002E-2</v>
      </c>
      <c r="N2243">
        <v>0.1011</v>
      </c>
      <c r="O2243">
        <v>2.7100000000000002E-3</v>
      </c>
      <c r="P2243" s="3">
        <f t="shared" si="140"/>
        <v>2299.2909021347177</v>
      </c>
      <c r="Q2243" s="3">
        <f t="shared" si="141"/>
        <v>1.5965939642228477E-3</v>
      </c>
      <c r="R2243" s="3">
        <f t="shared" ref="R2243:R2306" si="142">$L2243</f>
        <v>2.4399999999999999E-3</v>
      </c>
      <c r="S2243">
        <f t="shared" si="139"/>
        <v>54</v>
      </c>
      <c r="T2243">
        <f>INDEX([1]IDEN_level_ids!$B:$B,MATCH(G2243,[1]IDEN_level_ids!$A:$A,0),1)</f>
        <v>1173</v>
      </c>
      <c r="U2243">
        <f>INDEX([1]IDEN_level_ids!$B:$B,MATCH(H2243,[1]IDEN_level_ids!$A:$A,0),1)</f>
        <v>1026</v>
      </c>
    </row>
    <row r="2244" spans="1:21" hidden="1" x14ac:dyDescent="0.25">
      <c r="A2244">
        <v>43487.469499999999</v>
      </c>
      <c r="B2244">
        <v>2299.5129999999999</v>
      </c>
      <c r="C2244">
        <v>14</v>
      </c>
      <c r="D2244" t="s">
        <v>619</v>
      </c>
      <c r="F2244">
        <v>1974</v>
      </c>
      <c r="G2244" s="1" t="s">
        <v>244</v>
      </c>
      <c r="H2244" s="1" t="s">
        <v>591</v>
      </c>
      <c r="I2244">
        <v>0</v>
      </c>
      <c r="J2244">
        <v>43487.470800000003</v>
      </c>
      <c r="K2244">
        <v>6.9999999999999994E-5</v>
      </c>
      <c r="L2244">
        <v>2.4399999999999999E-3</v>
      </c>
      <c r="M2244">
        <v>4.6100000000000002E-2</v>
      </c>
      <c r="N2244">
        <v>0.23699999999999999</v>
      </c>
      <c r="O2244">
        <v>3.1900000000000001E-3</v>
      </c>
      <c r="P2244" s="3">
        <f t="shared" si="140"/>
        <v>2299.5129666029429</v>
      </c>
      <c r="Q2244" s="3">
        <f t="shared" si="141"/>
        <v>6.8740876486117486E-5</v>
      </c>
      <c r="R2244" s="3">
        <f t="shared" si="142"/>
        <v>2.4399999999999999E-3</v>
      </c>
      <c r="S2244">
        <f t="shared" ref="S2244:S2307" si="143">IF(D2244=D2243,S2243,S2243+1)</f>
        <v>54</v>
      </c>
      <c r="T2244">
        <f>INDEX([1]IDEN_level_ids!$B:$B,MATCH(G2244,[1]IDEN_level_ids!$A:$A,0),1)</f>
        <v>1195</v>
      </c>
      <c r="U2244">
        <f>INDEX([1]IDEN_level_ids!$B:$B,MATCH(H2244,[1]IDEN_level_ids!$A:$A,0),1)</f>
        <v>1053</v>
      </c>
    </row>
    <row r="2245" spans="1:21" hidden="1" x14ac:dyDescent="0.25">
      <c r="A2245">
        <v>43484.930699999997</v>
      </c>
      <c r="B2245">
        <v>2299.6471999999999</v>
      </c>
      <c r="C2245">
        <v>14</v>
      </c>
      <c r="D2245" t="s">
        <v>619</v>
      </c>
      <c r="F2245">
        <v>1974</v>
      </c>
      <c r="G2245" s="1" t="s">
        <v>256</v>
      </c>
      <c r="H2245" s="1" t="s">
        <v>509</v>
      </c>
      <c r="I2245">
        <v>0.21629999999999999</v>
      </c>
      <c r="J2245">
        <v>43484.928599999999</v>
      </c>
      <c r="K2245">
        <v>-1.1E-4</v>
      </c>
      <c r="L2245">
        <v>2.4399999999999999E-3</v>
      </c>
      <c r="M2245">
        <v>4.6100000000000002E-2</v>
      </c>
      <c r="N2245">
        <v>0.1948</v>
      </c>
      <c r="O2245">
        <v>3.0300000000000001E-3</v>
      </c>
      <c r="P2245" s="3">
        <f t="shared" si="140"/>
        <v>2299.6472200885905</v>
      </c>
      <c r="Q2245" s="3">
        <f t="shared" si="141"/>
        <v>-1.110559292101243E-4</v>
      </c>
      <c r="R2245" s="3">
        <f t="shared" si="142"/>
        <v>2.4399999999999999E-3</v>
      </c>
      <c r="S2245">
        <f t="shared" si="143"/>
        <v>54</v>
      </c>
      <c r="T2245">
        <f>INDEX([1]IDEN_level_ids!$B:$B,MATCH(G2245,[1]IDEN_level_ids!$A:$A,0),1)</f>
        <v>1120</v>
      </c>
      <c r="U2245">
        <f>INDEX([1]IDEN_level_ids!$B:$B,MATCH(H2245,[1]IDEN_level_ids!$A:$A,0),1)</f>
        <v>956</v>
      </c>
    </row>
    <row r="2246" spans="1:21" hidden="1" x14ac:dyDescent="0.25">
      <c r="A2246">
        <v>43480.719100000002</v>
      </c>
      <c r="B2246">
        <v>2299.87</v>
      </c>
      <c r="C2246">
        <v>14</v>
      </c>
      <c r="D2246" t="s">
        <v>619</v>
      </c>
      <c r="F2246">
        <v>1974</v>
      </c>
      <c r="G2246" s="1" t="s">
        <v>602</v>
      </c>
      <c r="H2246" s="1" t="s">
        <v>495</v>
      </c>
      <c r="I2246">
        <v>0.1328</v>
      </c>
      <c r="J2246">
        <v>43480.785900000003</v>
      </c>
      <c r="K2246">
        <v>3.5300000000000002E-3</v>
      </c>
      <c r="L2246">
        <v>2.4399999999999999E-3</v>
      </c>
      <c r="M2246">
        <v>4.6100000000000002E-2</v>
      </c>
      <c r="N2246">
        <v>0.24260000000000001</v>
      </c>
      <c r="O2246">
        <v>3.2200000000000002E-3</v>
      </c>
      <c r="P2246" s="3">
        <f t="shared" si="140"/>
        <v>2299.8699669619768</v>
      </c>
      <c r="Q2246" s="3">
        <f t="shared" si="141"/>
        <v>3.5333150176484196E-3</v>
      </c>
      <c r="R2246" s="3">
        <f t="shared" si="142"/>
        <v>2.4399999999999999E-3</v>
      </c>
      <c r="S2246">
        <f t="shared" si="143"/>
        <v>54</v>
      </c>
      <c r="T2246">
        <f>INDEX([1]IDEN_level_ids!$B:$B,MATCH(G2246,[1]IDEN_level_ids!$A:$A,0),1)</f>
        <v>1125</v>
      </c>
      <c r="U2246">
        <f>INDEX([1]IDEN_level_ids!$B:$B,MATCH(H2246,[1]IDEN_level_ids!$A:$A,0),1)</f>
        <v>960</v>
      </c>
    </row>
    <row r="2247" spans="1:21" hidden="1" x14ac:dyDescent="0.25">
      <c r="A2247">
        <v>43474.680999999997</v>
      </c>
      <c r="B2247">
        <v>2300.1894000000002</v>
      </c>
      <c r="C2247">
        <v>14</v>
      </c>
      <c r="D2247" t="s">
        <v>622</v>
      </c>
      <c r="F2247">
        <v>1974</v>
      </c>
      <c r="G2247" s="1" t="s">
        <v>247</v>
      </c>
      <c r="H2247" s="1" t="s">
        <v>593</v>
      </c>
      <c r="I2247">
        <v>0</v>
      </c>
      <c r="J2247">
        <v>43474.661200000002</v>
      </c>
      <c r="K2247">
        <v>-1.0499999999999999E-3</v>
      </c>
      <c r="L2247">
        <v>2.4399999999999999E-3</v>
      </c>
      <c r="M2247">
        <v>4.6100000000000002E-2</v>
      </c>
      <c r="N2247">
        <v>0.2868</v>
      </c>
      <c r="O2247">
        <v>3.4199999999999999E-3</v>
      </c>
      <c r="P2247" s="3">
        <f t="shared" si="140"/>
        <v>2300.1893906938617</v>
      </c>
      <c r="Q2247" s="3">
        <f t="shared" si="141"/>
        <v>-1.0475929811946116E-3</v>
      </c>
      <c r="R2247" s="3">
        <f t="shared" si="142"/>
        <v>2.4399999999999999E-3</v>
      </c>
      <c r="S2247">
        <f t="shared" si="143"/>
        <v>55</v>
      </c>
      <c r="T2247">
        <f>INDEX([1]IDEN_level_ids!$B:$B,MATCH(G2247,[1]IDEN_level_ids!$A:$A,0),1)</f>
        <v>1200</v>
      </c>
      <c r="U2247">
        <f>INDEX([1]IDEN_level_ids!$B:$B,MATCH(H2247,[1]IDEN_level_ids!$A:$A,0),1)</f>
        <v>1059</v>
      </c>
    </row>
    <row r="2248" spans="1:21" hidden="1" x14ac:dyDescent="0.25">
      <c r="A2248">
        <v>43458.509599999998</v>
      </c>
      <c r="B2248">
        <v>2301.0453000000002</v>
      </c>
      <c r="C2248">
        <v>14</v>
      </c>
      <c r="D2248" t="s">
        <v>622</v>
      </c>
      <c r="F2248">
        <v>1974</v>
      </c>
      <c r="G2248" s="1" t="s">
        <v>73</v>
      </c>
      <c r="H2248" s="1" t="s">
        <v>475</v>
      </c>
      <c r="I2248">
        <v>0.18990000000000001</v>
      </c>
      <c r="J2248">
        <v>43458.533499999998</v>
      </c>
      <c r="K2248">
        <v>1.2700000000000001E-3</v>
      </c>
      <c r="L2248">
        <v>2.4399999999999999E-3</v>
      </c>
      <c r="M2248">
        <v>4.6100000000000002E-2</v>
      </c>
      <c r="N2248">
        <v>9.7699999999999995E-2</v>
      </c>
      <c r="O2248">
        <v>2.7000000000000001E-3</v>
      </c>
      <c r="P2248" s="3">
        <f t="shared" si="140"/>
        <v>2301.0453170257824</v>
      </c>
      <c r="Q2248" s="3">
        <f t="shared" si="141"/>
        <v>1.265458786747331E-3</v>
      </c>
      <c r="R2248" s="3">
        <f t="shared" si="142"/>
        <v>2.4399999999999999E-3</v>
      </c>
      <c r="S2248">
        <f t="shared" si="143"/>
        <v>55</v>
      </c>
      <c r="T2248">
        <f>INDEX([1]IDEN_level_ids!$B:$B,MATCH(G2248,[1]IDEN_level_ids!$A:$A,0),1)</f>
        <v>1173</v>
      </c>
      <c r="U2248">
        <f>INDEX([1]IDEN_level_ids!$B:$B,MATCH(H2248,[1]IDEN_level_ids!$A:$A,0),1)</f>
        <v>1030</v>
      </c>
    </row>
    <row r="2249" spans="1:21" hidden="1" x14ac:dyDescent="0.25">
      <c r="A2249">
        <v>43453.030100000004</v>
      </c>
      <c r="B2249">
        <v>2301.3355000000001</v>
      </c>
      <c r="C2249">
        <v>14</v>
      </c>
      <c r="D2249" t="s">
        <v>622</v>
      </c>
      <c r="E2249" t="s">
        <v>427</v>
      </c>
      <c r="F2249">
        <v>1974</v>
      </c>
      <c r="G2249" s="1" t="s">
        <v>209</v>
      </c>
      <c r="H2249" s="1" t="s">
        <v>375</v>
      </c>
      <c r="I2249">
        <v>0.28789999999999999</v>
      </c>
      <c r="J2249">
        <v>43453.051099999997</v>
      </c>
      <c r="K2249">
        <v>1.1100000000000001E-3</v>
      </c>
      <c r="L2249">
        <v>2.5799999999999998E-3</v>
      </c>
      <c r="M2249">
        <v>4.87E-2</v>
      </c>
      <c r="N2249">
        <v>0.11169999999999999</v>
      </c>
      <c r="O2249">
        <v>2.9099999999999998E-3</v>
      </c>
      <c r="P2249" s="3">
        <f t="shared" si="140"/>
        <v>2301.3354827008943</v>
      </c>
      <c r="Q2249" s="3">
        <f t="shared" si="141"/>
        <v>1.1121899128738733E-3</v>
      </c>
      <c r="R2249" s="3">
        <f t="shared" si="142"/>
        <v>2.5799999999999998E-3</v>
      </c>
      <c r="S2249">
        <f t="shared" si="143"/>
        <v>55</v>
      </c>
      <c r="T2249">
        <f>INDEX([1]IDEN_level_ids!$B:$B,MATCH(G2249,[1]IDEN_level_ids!$A:$A,0),1)</f>
        <v>1209</v>
      </c>
      <c r="U2249">
        <f>INDEX([1]IDEN_level_ids!$B:$B,MATCH(H2249,[1]IDEN_level_ids!$A:$A,0),1)</f>
        <v>1065</v>
      </c>
    </row>
    <row r="2250" spans="1:21" hidden="1" x14ac:dyDescent="0.25">
      <c r="A2250">
        <v>43444.400300000001</v>
      </c>
      <c r="B2250">
        <v>2301.7926000000002</v>
      </c>
      <c r="C2250">
        <v>14</v>
      </c>
      <c r="D2250" t="s">
        <v>622</v>
      </c>
      <c r="E2250" t="s">
        <v>427</v>
      </c>
      <c r="F2250">
        <v>1974</v>
      </c>
      <c r="G2250" s="1" t="s">
        <v>40</v>
      </c>
      <c r="H2250" s="1" t="s">
        <v>410</v>
      </c>
      <c r="I2250">
        <v>0.1043</v>
      </c>
      <c r="J2250">
        <v>43444.369200000001</v>
      </c>
      <c r="K2250">
        <v>-1.65E-3</v>
      </c>
      <c r="L2250">
        <v>2.5799999999999998E-3</v>
      </c>
      <c r="M2250">
        <v>4.87E-2</v>
      </c>
      <c r="N2250">
        <v>9.9299999999999999E-2</v>
      </c>
      <c r="O2250">
        <v>2.8700000000000002E-3</v>
      </c>
      <c r="P2250" s="3">
        <f t="shared" si="140"/>
        <v>2301.7926202102508</v>
      </c>
      <c r="Q2250" s="3">
        <f t="shared" si="141"/>
        <v>-1.6477567014590022E-3</v>
      </c>
      <c r="R2250" s="3">
        <f t="shared" si="142"/>
        <v>2.5799999999999998E-3</v>
      </c>
      <c r="S2250">
        <f t="shared" si="143"/>
        <v>55</v>
      </c>
      <c r="T2250">
        <f>INDEX([1]IDEN_level_ids!$B:$B,MATCH(G2250,[1]IDEN_level_ids!$A:$A,0),1)</f>
        <v>1199</v>
      </c>
      <c r="U2250">
        <f>INDEX([1]IDEN_level_ids!$B:$B,MATCH(H2250,[1]IDEN_level_ids!$A:$A,0),1)</f>
        <v>1056</v>
      </c>
    </row>
    <row r="2251" spans="1:21" hidden="1" x14ac:dyDescent="0.25">
      <c r="A2251">
        <v>43416.989699999998</v>
      </c>
      <c r="B2251">
        <v>2303.2458000000001</v>
      </c>
      <c r="C2251">
        <v>14</v>
      </c>
      <c r="D2251" t="s">
        <v>622</v>
      </c>
      <c r="F2251">
        <v>1974</v>
      </c>
      <c r="G2251" s="1" t="s">
        <v>271</v>
      </c>
      <c r="H2251" s="1" t="s">
        <v>510</v>
      </c>
      <c r="I2251">
        <v>0</v>
      </c>
      <c r="J2251">
        <v>43416.908900000002</v>
      </c>
      <c r="K2251">
        <v>-4.2900000000000004E-3</v>
      </c>
      <c r="L2251">
        <v>2.4399999999999999E-3</v>
      </c>
      <c r="M2251">
        <v>4.6100000000000002E-2</v>
      </c>
      <c r="N2251">
        <v>0.2697</v>
      </c>
      <c r="O2251">
        <v>3.3500000000000001E-3</v>
      </c>
      <c r="P2251" s="3">
        <f t="shared" si="140"/>
        <v>2303.2458189979025</v>
      </c>
      <c r="Q2251" s="3">
        <f t="shared" si="141"/>
        <v>-4.2864005495175661E-3</v>
      </c>
      <c r="R2251" s="3">
        <f t="shared" si="142"/>
        <v>2.4399999999999999E-3</v>
      </c>
      <c r="S2251">
        <f t="shared" si="143"/>
        <v>55</v>
      </c>
      <c r="T2251">
        <f>INDEX([1]IDEN_level_ids!$B:$B,MATCH(G2251,[1]IDEN_level_ids!$A:$A,0),1)</f>
        <v>1158</v>
      </c>
      <c r="U2251">
        <f>INDEX([1]IDEN_level_ids!$B:$B,MATCH(H2251,[1]IDEN_level_ids!$A:$A,0),1)</f>
        <v>1006</v>
      </c>
    </row>
    <row r="2252" spans="1:21" hidden="1" x14ac:dyDescent="0.25">
      <c r="A2252">
        <v>43415.879200000003</v>
      </c>
      <c r="B2252">
        <v>2303.3047000000001</v>
      </c>
      <c r="C2252">
        <v>14</v>
      </c>
      <c r="D2252" t="s">
        <v>622</v>
      </c>
      <c r="F2252">
        <v>1974</v>
      </c>
      <c r="G2252" s="1" t="s">
        <v>182</v>
      </c>
      <c r="H2252" s="1" t="s">
        <v>419</v>
      </c>
      <c r="I2252">
        <v>0.2853</v>
      </c>
      <c r="J2252">
        <v>43415.9257</v>
      </c>
      <c r="K2252">
        <v>2.47E-3</v>
      </c>
      <c r="L2252">
        <v>2.4399999999999999E-3</v>
      </c>
      <c r="M2252">
        <v>4.6100000000000002E-2</v>
      </c>
      <c r="N2252">
        <v>0.2487</v>
      </c>
      <c r="O2252">
        <v>3.2499999999999999E-3</v>
      </c>
      <c r="P2252" s="3">
        <f t="shared" si="140"/>
        <v>2303.3047318779159</v>
      </c>
      <c r="Q2252" s="3">
        <f t="shared" si="141"/>
        <v>2.4669212571097887E-3</v>
      </c>
      <c r="R2252" s="3">
        <f t="shared" si="142"/>
        <v>2.4399999999999999E-3</v>
      </c>
      <c r="S2252">
        <f t="shared" si="143"/>
        <v>55</v>
      </c>
      <c r="T2252">
        <f>INDEX([1]IDEN_level_ids!$B:$B,MATCH(G2252,[1]IDEN_level_ids!$A:$A,0),1)</f>
        <v>1210</v>
      </c>
      <c r="U2252">
        <f>INDEX([1]IDEN_level_ids!$B:$B,MATCH(H2252,[1]IDEN_level_ids!$A:$A,0),1)</f>
        <v>1068</v>
      </c>
    </row>
    <row r="2253" spans="1:21" hidden="1" x14ac:dyDescent="0.25">
      <c r="A2253">
        <v>43410.161</v>
      </c>
      <c r="B2253">
        <v>2303.6080999999999</v>
      </c>
      <c r="C2253">
        <v>14</v>
      </c>
      <c r="D2253" t="s">
        <v>622</v>
      </c>
      <c r="E2253" t="s">
        <v>427</v>
      </c>
      <c r="F2253">
        <v>1974</v>
      </c>
      <c r="G2253" s="1" t="s">
        <v>180</v>
      </c>
      <c r="H2253" s="1" t="s">
        <v>582</v>
      </c>
      <c r="I2253">
        <v>-0.25890000000000002</v>
      </c>
      <c r="J2253">
        <v>43410.188099999999</v>
      </c>
      <c r="K2253">
        <v>1.4400000000000001E-3</v>
      </c>
      <c r="L2253">
        <v>2.5899999999999999E-3</v>
      </c>
      <c r="M2253">
        <v>4.87E-2</v>
      </c>
      <c r="N2253">
        <v>0.13919999999999999</v>
      </c>
      <c r="O2253">
        <v>3.0000000000000001E-3</v>
      </c>
      <c r="P2253" s="3">
        <f t="shared" si="140"/>
        <v>2303.6081345102589</v>
      </c>
      <c r="Q2253" s="3">
        <f t="shared" si="141"/>
        <v>1.4380905304278713E-3</v>
      </c>
      <c r="R2253" s="3">
        <f t="shared" si="142"/>
        <v>2.5899999999999999E-3</v>
      </c>
      <c r="S2253">
        <f t="shared" si="143"/>
        <v>55</v>
      </c>
      <c r="T2253">
        <f>INDEX([1]IDEN_level_ids!$B:$B,MATCH(G2253,[1]IDEN_level_ids!$A:$A,0),1)</f>
        <v>1184</v>
      </c>
      <c r="U2253">
        <f>INDEX([1]IDEN_level_ids!$B:$B,MATCH(H2253,[1]IDEN_level_ids!$A:$A,0),1)</f>
        <v>1042</v>
      </c>
    </row>
    <row r="2254" spans="1:21" hidden="1" x14ac:dyDescent="0.25">
      <c r="A2254">
        <v>43409.129500000003</v>
      </c>
      <c r="B2254">
        <v>2303.6628999999998</v>
      </c>
      <c r="C2254">
        <v>14</v>
      </c>
      <c r="D2254" t="s">
        <v>622</v>
      </c>
      <c r="E2254" t="s">
        <v>427</v>
      </c>
      <c r="F2254">
        <v>1974</v>
      </c>
      <c r="G2254" s="1" t="s">
        <v>375</v>
      </c>
      <c r="H2254" s="1" t="s">
        <v>623</v>
      </c>
      <c r="I2254">
        <v>-0.28789999999999999</v>
      </c>
      <c r="J2254">
        <v>43409.195500000002</v>
      </c>
      <c r="K2254">
        <v>3.5000000000000001E-3</v>
      </c>
      <c r="L2254">
        <v>2.5899999999999999E-3</v>
      </c>
      <c r="M2254">
        <v>4.87E-2</v>
      </c>
      <c r="N2254">
        <v>0.1918</v>
      </c>
      <c r="O2254">
        <v>3.2000000000000002E-3</v>
      </c>
      <c r="P2254" s="3">
        <f t="shared" si="140"/>
        <v>2303.662873497613</v>
      </c>
      <c r="Q2254" s="3">
        <f t="shared" si="141"/>
        <v>3.5025240135837521E-3</v>
      </c>
      <c r="R2254" s="3">
        <f t="shared" si="142"/>
        <v>2.5899999999999999E-3</v>
      </c>
      <c r="S2254">
        <f t="shared" si="143"/>
        <v>55</v>
      </c>
      <c r="T2254">
        <f>INDEX([1]IDEN_level_ids!$B:$B,MATCH(G2254,[1]IDEN_level_ids!$A:$A,0),1)</f>
        <v>1065</v>
      </c>
      <c r="U2254">
        <f>INDEX([1]IDEN_level_ids!$B:$B,MATCH(H2254,[1]IDEN_level_ids!$A:$A,0),1)</f>
        <v>842</v>
      </c>
    </row>
    <row r="2255" spans="1:21" hidden="1" x14ac:dyDescent="0.25">
      <c r="A2255">
        <v>43407.469799999999</v>
      </c>
      <c r="B2255">
        <v>2303.7510000000002</v>
      </c>
      <c r="C2255">
        <v>14</v>
      </c>
      <c r="D2255" t="s">
        <v>622</v>
      </c>
      <c r="F2255">
        <v>1974</v>
      </c>
      <c r="G2255" s="1" t="s">
        <v>82</v>
      </c>
      <c r="H2255" s="1" t="s">
        <v>569</v>
      </c>
      <c r="I2255">
        <v>0</v>
      </c>
      <c r="J2255">
        <v>43407.503799999999</v>
      </c>
      <c r="K2255">
        <v>1.8E-3</v>
      </c>
      <c r="L2255">
        <v>2.4399999999999999E-3</v>
      </c>
      <c r="M2255">
        <v>4.6100000000000002E-2</v>
      </c>
      <c r="N2255">
        <v>0.13009999999999999</v>
      </c>
      <c r="O2255">
        <v>2.81E-3</v>
      </c>
      <c r="P2255" s="3">
        <f t="shared" si="140"/>
        <v>2303.7509548644553</v>
      </c>
      <c r="Q2255" s="3">
        <f t="shared" si="141"/>
        <v>1.8044698636003886E-3</v>
      </c>
      <c r="R2255" s="3">
        <f t="shared" si="142"/>
        <v>2.4399999999999999E-3</v>
      </c>
      <c r="S2255">
        <f t="shared" si="143"/>
        <v>55</v>
      </c>
      <c r="T2255">
        <f>INDEX([1]IDEN_level_ids!$B:$B,MATCH(G2255,[1]IDEN_level_ids!$A:$A,0),1)</f>
        <v>1193</v>
      </c>
      <c r="U2255">
        <f>INDEX([1]IDEN_level_ids!$B:$B,MATCH(H2255,[1]IDEN_level_ids!$A:$A,0),1)</f>
        <v>1049</v>
      </c>
    </row>
    <row r="2256" spans="1:21" hidden="1" x14ac:dyDescent="0.25">
      <c r="A2256">
        <v>43405.980100000001</v>
      </c>
      <c r="B2256">
        <v>2303.83</v>
      </c>
      <c r="C2256">
        <v>14</v>
      </c>
      <c r="D2256" t="s">
        <v>622</v>
      </c>
      <c r="F2256">
        <v>1974</v>
      </c>
      <c r="G2256" s="1" t="s">
        <v>278</v>
      </c>
      <c r="H2256" s="1" t="s">
        <v>603</v>
      </c>
      <c r="I2256">
        <v>0.14910000000000001</v>
      </c>
      <c r="J2256">
        <v>43405.994700000003</v>
      </c>
      <c r="K2256">
        <v>7.7999999999999999E-4</v>
      </c>
      <c r="L2256">
        <v>2.4499999999999999E-3</v>
      </c>
      <c r="M2256">
        <v>4.6100000000000002E-2</v>
      </c>
      <c r="N2256">
        <v>0.37359999999999999</v>
      </c>
      <c r="O2256">
        <v>3.8999999999999998E-3</v>
      </c>
      <c r="P2256" s="3">
        <f t="shared" si="140"/>
        <v>2303.8300199561672</v>
      </c>
      <c r="Q2256" s="3">
        <f t="shared" si="141"/>
        <v>7.7491412275776383E-4</v>
      </c>
      <c r="R2256" s="3">
        <f t="shared" si="142"/>
        <v>2.4499999999999999E-3</v>
      </c>
      <c r="S2256">
        <f t="shared" si="143"/>
        <v>55</v>
      </c>
      <c r="T2256">
        <f>INDEX([1]IDEN_level_ids!$B:$B,MATCH(G2256,[1]IDEN_level_ids!$A:$A,0),1)</f>
        <v>1102</v>
      </c>
      <c r="U2256">
        <f>INDEX([1]IDEN_level_ids!$B:$B,MATCH(H2256,[1]IDEN_level_ids!$A:$A,0),1)</f>
        <v>941</v>
      </c>
    </row>
    <row r="2257" spans="1:21" hidden="1" x14ac:dyDescent="0.25">
      <c r="A2257">
        <v>43399.780299999999</v>
      </c>
      <c r="B2257">
        <v>2304.1590999999999</v>
      </c>
      <c r="C2257">
        <v>14</v>
      </c>
      <c r="D2257" t="s">
        <v>622</v>
      </c>
      <c r="E2257" t="s">
        <v>427</v>
      </c>
      <c r="F2257">
        <v>1974</v>
      </c>
      <c r="G2257" s="1" t="s">
        <v>71</v>
      </c>
      <c r="H2257" s="1" t="s">
        <v>452</v>
      </c>
      <c r="I2257">
        <v>0.25619999999999998</v>
      </c>
      <c r="J2257">
        <v>43399.837</v>
      </c>
      <c r="K2257">
        <v>3.0100000000000001E-3</v>
      </c>
      <c r="L2257">
        <v>2.5899999999999999E-3</v>
      </c>
      <c r="M2257">
        <v>4.87E-2</v>
      </c>
      <c r="N2257">
        <v>0.11169999999999999</v>
      </c>
      <c r="O2257">
        <v>2.9099999999999998E-3</v>
      </c>
      <c r="P2257" s="3">
        <f t="shared" si="140"/>
        <v>2304.1591295797411</v>
      </c>
      <c r="Q2257" s="3">
        <f t="shared" si="141"/>
        <v>3.0102837172307773E-3</v>
      </c>
      <c r="R2257" s="3">
        <f t="shared" si="142"/>
        <v>2.5899999999999999E-3</v>
      </c>
      <c r="S2257">
        <f t="shared" si="143"/>
        <v>55</v>
      </c>
      <c r="T2257">
        <f>INDEX([1]IDEN_level_ids!$B:$B,MATCH(G2257,[1]IDEN_level_ids!$A:$A,0),1)</f>
        <v>1179</v>
      </c>
      <c r="U2257">
        <f>INDEX([1]IDEN_level_ids!$B:$B,MATCH(H2257,[1]IDEN_level_ids!$A:$A,0),1)</f>
        <v>1033</v>
      </c>
    </row>
    <row r="2258" spans="1:21" hidden="1" x14ac:dyDescent="0.25">
      <c r="A2258">
        <v>43398.650199999996</v>
      </c>
      <c r="B2258">
        <v>2304.2190999999998</v>
      </c>
      <c r="C2258">
        <v>14</v>
      </c>
      <c r="D2258" t="s">
        <v>622</v>
      </c>
      <c r="F2258">
        <v>1974</v>
      </c>
      <c r="G2258" s="1" t="s">
        <v>193</v>
      </c>
      <c r="H2258" s="1" t="s">
        <v>600</v>
      </c>
      <c r="I2258">
        <v>0</v>
      </c>
      <c r="J2258">
        <v>43398.713900000002</v>
      </c>
      <c r="K2258">
        <v>3.3800000000000002E-3</v>
      </c>
      <c r="L2258">
        <v>2.4499999999999999E-3</v>
      </c>
      <c r="M2258">
        <v>4.6100000000000002E-2</v>
      </c>
      <c r="N2258">
        <v>0.15939999999999999</v>
      </c>
      <c r="O2258">
        <v>2.9099999999999998E-3</v>
      </c>
      <c r="P2258" s="3">
        <f t="shared" si="140"/>
        <v>2304.2191298382827</v>
      </c>
      <c r="Q2258" s="3">
        <f t="shared" si="141"/>
        <v>3.3820992698565533E-3</v>
      </c>
      <c r="R2258" s="3">
        <f t="shared" si="142"/>
        <v>2.4499999999999999E-3</v>
      </c>
      <c r="S2258">
        <f t="shared" si="143"/>
        <v>55</v>
      </c>
      <c r="T2258">
        <f>INDEX([1]IDEN_level_ids!$B:$B,MATCH(G2258,[1]IDEN_level_ids!$A:$A,0),1)</f>
        <v>1202</v>
      </c>
      <c r="U2258">
        <f>INDEX([1]IDEN_level_ids!$B:$B,MATCH(H2258,[1]IDEN_level_ids!$A:$A,0),1)</f>
        <v>1058</v>
      </c>
    </row>
    <row r="2259" spans="1:21" hidden="1" x14ac:dyDescent="0.25">
      <c r="A2259">
        <v>43397.219899999996</v>
      </c>
      <c r="B2259">
        <v>2304.2950999999998</v>
      </c>
      <c r="C2259">
        <v>14</v>
      </c>
      <c r="D2259" t="s">
        <v>622</v>
      </c>
      <c r="E2259" t="s">
        <v>427</v>
      </c>
      <c r="F2259">
        <v>1974</v>
      </c>
      <c r="G2259" s="1" t="s">
        <v>166</v>
      </c>
      <c r="H2259" s="1" t="s">
        <v>437</v>
      </c>
      <c r="I2259">
        <v>0.26329999999999998</v>
      </c>
      <c r="J2259">
        <v>43397.292999999998</v>
      </c>
      <c r="K2259">
        <v>3.8899999999999998E-3</v>
      </c>
      <c r="L2259">
        <v>2.5899999999999999E-3</v>
      </c>
      <c r="M2259">
        <v>4.87E-2</v>
      </c>
      <c r="N2259">
        <v>7.3999999999999996E-2</v>
      </c>
      <c r="O2259">
        <v>2.7899999999999999E-3</v>
      </c>
      <c r="P2259" s="3">
        <f t="shared" si="140"/>
        <v>2304.2950730583552</v>
      </c>
      <c r="Q2259" s="3">
        <f t="shared" si="141"/>
        <v>3.8814395597910334E-3</v>
      </c>
      <c r="R2259" s="3">
        <f t="shared" si="142"/>
        <v>2.5899999999999999E-3</v>
      </c>
      <c r="S2259">
        <f t="shared" si="143"/>
        <v>55</v>
      </c>
      <c r="T2259">
        <f>INDEX([1]IDEN_level_ids!$B:$B,MATCH(G2259,[1]IDEN_level_ids!$A:$A,0),1)</f>
        <v>1186</v>
      </c>
      <c r="U2259">
        <f>INDEX([1]IDEN_level_ids!$B:$B,MATCH(H2259,[1]IDEN_level_ids!$A:$A,0),1)</f>
        <v>1039</v>
      </c>
    </row>
    <row r="2260" spans="1:21" hidden="1" x14ac:dyDescent="0.25">
      <c r="A2260">
        <v>43395.671000000002</v>
      </c>
      <c r="B2260">
        <v>2304.3773000000001</v>
      </c>
      <c r="C2260">
        <v>14</v>
      </c>
      <c r="D2260" t="s">
        <v>622</v>
      </c>
      <c r="E2260" t="s">
        <v>427</v>
      </c>
      <c r="F2260">
        <v>1974</v>
      </c>
      <c r="G2260" s="1" t="s">
        <v>197</v>
      </c>
      <c r="H2260" s="1" t="s">
        <v>476</v>
      </c>
      <c r="I2260">
        <v>0</v>
      </c>
      <c r="J2260">
        <v>43395.7425</v>
      </c>
      <c r="K2260">
        <v>3.79E-3</v>
      </c>
      <c r="L2260">
        <v>2.5899999999999999E-3</v>
      </c>
      <c r="M2260">
        <v>4.87E-2</v>
      </c>
      <c r="N2260">
        <v>9.1800000000000007E-2</v>
      </c>
      <c r="O2260">
        <v>2.8500000000000001E-3</v>
      </c>
      <c r="P2260" s="3">
        <f t="shared" si="140"/>
        <v>2304.3773191109317</v>
      </c>
      <c r="Q2260" s="3">
        <f t="shared" si="141"/>
        <v>3.7967544471939618E-3</v>
      </c>
      <c r="R2260" s="3">
        <f t="shared" si="142"/>
        <v>2.5899999999999999E-3</v>
      </c>
      <c r="S2260">
        <f t="shared" si="143"/>
        <v>55</v>
      </c>
      <c r="T2260">
        <f>INDEX([1]IDEN_level_ids!$B:$B,MATCH(G2260,[1]IDEN_level_ids!$A:$A,0),1)</f>
        <v>1182</v>
      </c>
      <c r="U2260">
        <f>INDEX([1]IDEN_level_ids!$B:$B,MATCH(H2260,[1]IDEN_level_ids!$A:$A,0),1)</f>
        <v>1037</v>
      </c>
    </row>
    <row r="2261" spans="1:21" hidden="1" x14ac:dyDescent="0.25">
      <c r="A2261">
        <v>43393.881200000003</v>
      </c>
      <c r="B2261">
        <v>2304.4724000000001</v>
      </c>
      <c r="C2261">
        <v>14</v>
      </c>
      <c r="D2261" t="s">
        <v>622</v>
      </c>
      <c r="E2261" t="s">
        <v>427</v>
      </c>
      <c r="F2261">
        <v>1974</v>
      </c>
      <c r="G2261" s="1" t="s">
        <v>69</v>
      </c>
      <c r="H2261" s="1" t="s">
        <v>450</v>
      </c>
      <c r="I2261">
        <v>0.2989</v>
      </c>
      <c r="J2261">
        <v>43393.900399999999</v>
      </c>
      <c r="K2261">
        <v>1.0200000000000001E-3</v>
      </c>
      <c r="L2261">
        <v>2.5899999999999999E-3</v>
      </c>
      <c r="M2261">
        <v>4.87E-2</v>
      </c>
      <c r="N2261">
        <v>0.14330000000000001</v>
      </c>
      <c r="O2261">
        <v>3.0200000000000001E-3</v>
      </c>
      <c r="P2261" s="3">
        <f t="shared" si="140"/>
        <v>2304.4723641820724</v>
      </c>
      <c r="Q2261" s="3">
        <f t="shared" si="141"/>
        <v>1.0196333810199576E-3</v>
      </c>
      <c r="R2261" s="3">
        <f t="shared" si="142"/>
        <v>2.5899999999999999E-3</v>
      </c>
      <c r="S2261">
        <f t="shared" si="143"/>
        <v>55</v>
      </c>
      <c r="T2261">
        <f>INDEX([1]IDEN_level_ids!$B:$B,MATCH(G2261,[1]IDEN_level_ids!$A:$A,0),1)</f>
        <v>1218</v>
      </c>
      <c r="U2261">
        <f>INDEX([1]IDEN_level_ids!$B:$B,MATCH(H2261,[1]IDEN_level_ids!$A:$A,0),1)</f>
        <v>1077</v>
      </c>
    </row>
    <row r="2262" spans="1:21" hidden="1" x14ac:dyDescent="0.25">
      <c r="A2262">
        <v>43391.889799999997</v>
      </c>
      <c r="B2262">
        <v>2304.5781000000002</v>
      </c>
      <c r="C2262">
        <v>14</v>
      </c>
      <c r="D2262" t="s">
        <v>622</v>
      </c>
      <c r="F2262">
        <v>1974</v>
      </c>
      <c r="G2262" s="1" t="s">
        <v>216</v>
      </c>
      <c r="H2262" s="1" t="s">
        <v>536</v>
      </c>
      <c r="I2262">
        <v>0</v>
      </c>
      <c r="J2262">
        <v>43391.902900000001</v>
      </c>
      <c r="K2262">
        <v>6.8999999999999997E-4</v>
      </c>
      <c r="L2262">
        <v>2.4499999999999999E-3</v>
      </c>
      <c r="M2262">
        <v>4.6100000000000002E-2</v>
      </c>
      <c r="N2262">
        <v>0.09</v>
      </c>
      <c r="O2262">
        <v>2.6900000000000001E-3</v>
      </c>
      <c r="P2262" s="3">
        <f t="shared" si="140"/>
        <v>2304.578124182091</v>
      </c>
      <c r="Q2262" s="3">
        <f t="shared" si="141"/>
        <v>6.9575131328747375E-4</v>
      </c>
      <c r="R2262" s="3">
        <f t="shared" si="142"/>
        <v>2.4499999999999999E-3</v>
      </c>
      <c r="S2262">
        <f t="shared" si="143"/>
        <v>55</v>
      </c>
      <c r="T2262">
        <f>INDEX([1]IDEN_level_ids!$B:$B,MATCH(G2262,[1]IDEN_level_ids!$A:$A,0),1)</f>
        <v>1170</v>
      </c>
      <c r="U2262">
        <f>INDEX([1]IDEN_level_ids!$B:$B,MATCH(H2262,[1]IDEN_level_ids!$A:$A,0),1)</f>
        <v>1021</v>
      </c>
    </row>
    <row r="2263" spans="1:21" hidden="1" x14ac:dyDescent="0.25">
      <c r="A2263">
        <v>43385.639499999997</v>
      </c>
      <c r="B2263">
        <v>2304.9101000000001</v>
      </c>
      <c r="C2263">
        <v>14</v>
      </c>
      <c r="D2263" t="s">
        <v>622</v>
      </c>
      <c r="F2263">
        <v>1974</v>
      </c>
      <c r="G2263" s="1" t="s">
        <v>384</v>
      </c>
      <c r="H2263" s="1" t="s">
        <v>344</v>
      </c>
      <c r="I2263">
        <v>-0.45490000000000003</v>
      </c>
      <c r="J2263">
        <v>43385.663200000003</v>
      </c>
      <c r="K2263">
        <v>1.2600000000000001E-3</v>
      </c>
      <c r="L2263">
        <v>2.4499999999999999E-3</v>
      </c>
      <c r="M2263">
        <v>4.6100000000000002E-2</v>
      </c>
      <c r="N2263">
        <v>0.28399999999999997</v>
      </c>
      <c r="O2263">
        <v>3.4199999999999999E-3</v>
      </c>
      <c r="P2263" s="3">
        <f t="shared" si="140"/>
        <v>2304.9101304591813</v>
      </c>
      <c r="Q2263" s="3">
        <f t="shared" si="141"/>
        <v>1.2590880505740643E-3</v>
      </c>
      <c r="R2263" s="3">
        <f t="shared" si="142"/>
        <v>2.4499999999999999E-3</v>
      </c>
      <c r="S2263">
        <f t="shared" si="143"/>
        <v>55</v>
      </c>
      <c r="T2263">
        <f>INDEX([1]IDEN_level_ids!$B:$B,MATCH(G2263,[1]IDEN_level_ids!$A:$A,0),1)</f>
        <v>1080</v>
      </c>
      <c r="U2263">
        <f>INDEX([1]IDEN_level_ids!$B:$B,MATCH(H2263,[1]IDEN_level_ids!$A:$A,0),1)</f>
        <v>872</v>
      </c>
    </row>
    <row r="2264" spans="1:21" hidden="1" x14ac:dyDescent="0.25">
      <c r="A2264">
        <v>43381.740100000003</v>
      </c>
      <c r="B2264">
        <v>2305.1172999999999</v>
      </c>
      <c r="C2264">
        <v>14</v>
      </c>
      <c r="D2264" t="s">
        <v>622</v>
      </c>
      <c r="F2264">
        <v>1974</v>
      </c>
      <c r="G2264" s="1" t="s">
        <v>82</v>
      </c>
      <c r="H2264" s="1" t="s">
        <v>595</v>
      </c>
      <c r="I2264">
        <v>0</v>
      </c>
      <c r="J2264">
        <v>43381.7189</v>
      </c>
      <c r="K2264">
        <v>-1.1299999999999999E-3</v>
      </c>
      <c r="L2264">
        <v>2.4499999999999999E-3</v>
      </c>
      <c r="M2264">
        <v>4.6100000000000002E-2</v>
      </c>
      <c r="N2264">
        <v>0.14699999999999999</v>
      </c>
      <c r="O2264">
        <v>2.8700000000000002E-3</v>
      </c>
      <c r="P2264" s="3">
        <f t="shared" si="140"/>
        <v>2305.1173090219127</v>
      </c>
      <c r="Q2264" s="3">
        <f t="shared" si="141"/>
        <v>-1.1264765016676392E-3</v>
      </c>
      <c r="R2264" s="3">
        <f t="shared" si="142"/>
        <v>2.4499999999999999E-3</v>
      </c>
      <c r="S2264">
        <f t="shared" si="143"/>
        <v>55</v>
      </c>
      <c r="T2264">
        <f>INDEX([1]IDEN_level_ids!$B:$B,MATCH(G2264,[1]IDEN_level_ids!$A:$A,0),1)</f>
        <v>1193</v>
      </c>
      <c r="U2264">
        <f>INDEX([1]IDEN_level_ids!$B:$B,MATCH(H2264,[1]IDEN_level_ids!$A:$A,0),1)</f>
        <v>1052</v>
      </c>
    </row>
    <row r="2265" spans="1:21" hidden="1" x14ac:dyDescent="0.25">
      <c r="A2265">
        <v>43369.730900000002</v>
      </c>
      <c r="B2265">
        <v>2305.7556</v>
      </c>
      <c r="C2265">
        <v>14</v>
      </c>
      <c r="D2265" t="s">
        <v>622</v>
      </c>
      <c r="F2265">
        <v>1974</v>
      </c>
      <c r="G2265" s="1" t="s">
        <v>49</v>
      </c>
      <c r="H2265" s="1" t="s">
        <v>396</v>
      </c>
      <c r="I2265">
        <v>0.42980000000000002</v>
      </c>
      <c r="J2265">
        <v>43369.772199999999</v>
      </c>
      <c r="K2265">
        <v>2.2000000000000001E-3</v>
      </c>
      <c r="L2265">
        <v>2.4499999999999999E-3</v>
      </c>
      <c r="M2265">
        <v>4.6100000000000002E-2</v>
      </c>
      <c r="N2265">
        <v>0.12839999999999999</v>
      </c>
      <c r="O2265">
        <v>2.81E-3</v>
      </c>
      <c r="P2265" s="3">
        <f t="shared" si="140"/>
        <v>2305.7556024632836</v>
      </c>
      <c r="Q2265" s="3">
        <f t="shared" si="141"/>
        <v>2.1957160838610434E-3</v>
      </c>
      <c r="R2265" s="3">
        <f t="shared" si="142"/>
        <v>2.4499999999999999E-3</v>
      </c>
      <c r="S2265">
        <f t="shared" si="143"/>
        <v>55</v>
      </c>
      <c r="T2265">
        <f>INDEX([1]IDEN_level_ids!$B:$B,MATCH(G2265,[1]IDEN_level_ids!$A:$A,0),1)</f>
        <v>1214</v>
      </c>
      <c r="U2265">
        <f>INDEX([1]IDEN_level_ids!$B:$B,MATCH(H2265,[1]IDEN_level_ids!$A:$A,0),1)</f>
        <v>1072</v>
      </c>
    </row>
    <row r="2266" spans="1:21" hidden="1" x14ac:dyDescent="0.25">
      <c r="A2266">
        <v>43368.3799</v>
      </c>
      <c r="B2266">
        <v>2305.8274000000001</v>
      </c>
      <c r="C2266">
        <v>14</v>
      </c>
      <c r="D2266" t="s">
        <v>622</v>
      </c>
      <c r="F2266">
        <v>1974</v>
      </c>
      <c r="G2266" s="1" t="s">
        <v>77</v>
      </c>
      <c r="H2266" s="1" t="s">
        <v>410</v>
      </c>
      <c r="I2266">
        <v>0.1043</v>
      </c>
      <c r="J2266">
        <v>43368.344599999997</v>
      </c>
      <c r="K2266">
        <v>-1.8799999999999999E-3</v>
      </c>
      <c r="L2266">
        <v>2.4499999999999999E-3</v>
      </c>
      <c r="M2266">
        <v>4.6100000000000002E-2</v>
      </c>
      <c r="N2266">
        <v>0.1439</v>
      </c>
      <c r="O2266">
        <v>2.8600000000000001E-3</v>
      </c>
      <c r="P2266" s="3">
        <f t="shared" si="140"/>
        <v>2305.8274307360048</v>
      </c>
      <c r="Q2266" s="3">
        <f t="shared" si="141"/>
        <v>-1.8768460977298673E-3</v>
      </c>
      <c r="R2266" s="3">
        <f t="shared" si="142"/>
        <v>2.4499999999999999E-3</v>
      </c>
      <c r="S2266">
        <f t="shared" si="143"/>
        <v>55</v>
      </c>
      <c r="T2266">
        <f>INDEX([1]IDEN_level_ids!$B:$B,MATCH(G2266,[1]IDEN_level_ids!$A:$A,0),1)</f>
        <v>1197</v>
      </c>
      <c r="U2266">
        <f>INDEX([1]IDEN_level_ids!$B:$B,MATCH(H2266,[1]IDEN_level_ids!$A:$A,0),1)</f>
        <v>1056</v>
      </c>
    </row>
    <row r="2267" spans="1:21" hidden="1" x14ac:dyDescent="0.25">
      <c r="A2267">
        <v>43364.9908</v>
      </c>
      <c r="B2267">
        <v>2306.0075999999999</v>
      </c>
      <c r="C2267">
        <v>14</v>
      </c>
      <c r="D2267" t="s">
        <v>622</v>
      </c>
      <c r="F2267">
        <v>1974</v>
      </c>
      <c r="G2267" s="1" t="s">
        <v>100</v>
      </c>
      <c r="H2267" s="1" t="s">
        <v>568</v>
      </c>
      <c r="I2267">
        <v>0</v>
      </c>
      <c r="J2267">
        <v>43364.989099999999</v>
      </c>
      <c r="K2267">
        <v>-9.0000000000000006E-5</v>
      </c>
      <c r="L2267">
        <v>2.4499999999999999E-3</v>
      </c>
      <c r="M2267">
        <v>4.6100000000000002E-2</v>
      </c>
      <c r="N2267">
        <v>0.249</v>
      </c>
      <c r="O2267">
        <v>3.2599999999999999E-3</v>
      </c>
      <c r="P2267" s="3">
        <f t="shared" si="140"/>
        <v>2306.0076378478097</v>
      </c>
      <c r="Q2267" s="3">
        <f t="shared" si="141"/>
        <v>-9.0400414592295419E-5</v>
      </c>
      <c r="R2267" s="3">
        <f t="shared" si="142"/>
        <v>2.4499999999999999E-3</v>
      </c>
      <c r="S2267">
        <f t="shared" si="143"/>
        <v>55</v>
      </c>
      <c r="T2267">
        <f>INDEX([1]IDEN_level_ids!$B:$B,MATCH(G2267,[1]IDEN_level_ids!$A:$A,0),1)</f>
        <v>1146</v>
      </c>
      <c r="U2267">
        <f>INDEX([1]IDEN_level_ids!$B:$B,MATCH(H2267,[1]IDEN_level_ids!$A:$A,0),1)</f>
        <v>988</v>
      </c>
    </row>
    <row r="2268" spans="1:21" hidden="1" x14ac:dyDescent="0.25">
      <c r="A2268">
        <v>43340.590700000001</v>
      </c>
      <c r="B2268">
        <v>2307.3058999999998</v>
      </c>
      <c r="C2268">
        <v>14</v>
      </c>
      <c r="D2268" t="s">
        <v>622</v>
      </c>
      <c r="F2268">
        <v>1974</v>
      </c>
      <c r="G2268" s="1" t="s">
        <v>73</v>
      </c>
      <c r="H2268" s="1" t="s">
        <v>540</v>
      </c>
      <c r="I2268">
        <v>0.34399999999999997</v>
      </c>
      <c r="J2268">
        <v>43340.656999999999</v>
      </c>
      <c r="K2268">
        <v>3.5300000000000002E-3</v>
      </c>
      <c r="L2268">
        <v>2.4499999999999999E-3</v>
      </c>
      <c r="M2268">
        <v>4.6100000000000002E-2</v>
      </c>
      <c r="N2268">
        <v>8.6400000000000005E-2</v>
      </c>
      <c r="O2268">
        <v>2.6800000000000001E-3</v>
      </c>
      <c r="P2268" s="3">
        <f t="shared" si="140"/>
        <v>2307.3058854271685</v>
      </c>
      <c r="Q2268" s="3">
        <f t="shared" si="141"/>
        <v>3.5295814782330126E-3</v>
      </c>
      <c r="R2268" s="3">
        <f t="shared" si="142"/>
        <v>2.4499999999999999E-3</v>
      </c>
      <c r="S2268">
        <f t="shared" si="143"/>
        <v>55</v>
      </c>
      <c r="T2268">
        <f>INDEX([1]IDEN_level_ids!$B:$B,MATCH(G2268,[1]IDEN_level_ids!$A:$A,0),1)</f>
        <v>1173</v>
      </c>
      <c r="U2268">
        <f>INDEX([1]IDEN_level_ids!$B:$B,MATCH(H2268,[1]IDEN_level_ids!$A:$A,0),1)</f>
        <v>1027</v>
      </c>
    </row>
    <row r="2269" spans="1:21" hidden="1" x14ac:dyDescent="0.25">
      <c r="A2269">
        <v>43334.2408</v>
      </c>
      <c r="B2269">
        <v>2307.6439999999998</v>
      </c>
      <c r="C2269">
        <v>14</v>
      </c>
      <c r="D2269" t="s">
        <v>622</v>
      </c>
      <c r="F2269">
        <v>1974</v>
      </c>
      <c r="G2269" s="1" t="s">
        <v>180</v>
      </c>
      <c r="H2269" s="1" t="s">
        <v>583</v>
      </c>
      <c r="I2269">
        <v>0.1106</v>
      </c>
      <c r="J2269">
        <v>43334.2477</v>
      </c>
      <c r="K2269">
        <v>3.6999999999999999E-4</v>
      </c>
      <c r="L2269">
        <v>2.4499999999999999E-3</v>
      </c>
      <c r="M2269">
        <v>4.6100000000000002E-2</v>
      </c>
      <c r="N2269">
        <v>0.16500000000000001</v>
      </c>
      <c r="O2269">
        <v>2.9399999999999999E-3</v>
      </c>
      <c r="P2269" s="3">
        <f t="shared" si="140"/>
        <v>2307.6439820771016</v>
      </c>
      <c r="Q2269" s="3">
        <f t="shared" si="141"/>
        <v>3.6744017324963352E-4</v>
      </c>
      <c r="R2269" s="3">
        <f t="shared" si="142"/>
        <v>2.4499999999999999E-3</v>
      </c>
      <c r="S2269">
        <f t="shared" si="143"/>
        <v>55</v>
      </c>
      <c r="T2269">
        <f>INDEX([1]IDEN_level_ids!$B:$B,MATCH(G2269,[1]IDEN_level_ids!$A:$A,0),1)</f>
        <v>1184</v>
      </c>
      <c r="U2269">
        <f>INDEX([1]IDEN_level_ids!$B:$B,MATCH(H2269,[1]IDEN_level_ids!$A:$A,0),1)</f>
        <v>1043</v>
      </c>
    </row>
    <row r="2270" spans="1:21" hidden="1" x14ac:dyDescent="0.25">
      <c r="A2270">
        <v>43329.940600000002</v>
      </c>
      <c r="B2270">
        <v>2307.873</v>
      </c>
      <c r="C2270">
        <v>14</v>
      </c>
      <c r="D2270" t="s">
        <v>622</v>
      </c>
      <c r="F2270">
        <v>1974</v>
      </c>
      <c r="G2270" s="1" t="s">
        <v>40</v>
      </c>
      <c r="H2270" s="1" t="s">
        <v>428</v>
      </c>
      <c r="I2270">
        <v>0.39950000000000002</v>
      </c>
      <c r="J2270">
        <v>43329.9908</v>
      </c>
      <c r="K2270">
        <v>2.6700000000000001E-3</v>
      </c>
      <c r="L2270">
        <v>2.4499999999999999E-3</v>
      </c>
      <c r="M2270">
        <v>4.6100000000000002E-2</v>
      </c>
      <c r="N2270">
        <v>0.10970000000000001</v>
      </c>
      <c r="O2270">
        <v>2.7599999999999999E-3</v>
      </c>
      <c r="P2270" s="3">
        <f t="shared" si="140"/>
        <v>2307.8729999459078</v>
      </c>
      <c r="Q2270" s="3">
        <f t="shared" si="141"/>
        <v>2.6737883495115966E-3</v>
      </c>
      <c r="R2270" s="3">
        <f t="shared" si="142"/>
        <v>2.4499999999999999E-3</v>
      </c>
      <c r="S2270">
        <f t="shared" si="143"/>
        <v>55</v>
      </c>
      <c r="T2270">
        <f>INDEX([1]IDEN_level_ids!$B:$B,MATCH(G2270,[1]IDEN_level_ids!$A:$A,0),1)</f>
        <v>1199</v>
      </c>
      <c r="U2270">
        <f>INDEX([1]IDEN_level_ids!$B:$B,MATCH(H2270,[1]IDEN_level_ids!$A:$A,0),1)</f>
        <v>1060</v>
      </c>
    </row>
    <row r="2271" spans="1:21" hidden="1" x14ac:dyDescent="0.25">
      <c r="A2271">
        <v>43327.8004</v>
      </c>
      <c r="B2271">
        <v>2307.9870000000001</v>
      </c>
      <c r="C2271">
        <v>14</v>
      </c>
      <c r="D2271" t="s">
        <v>622</v>
      </c>
      <c r="F2271">
        <v>1974</v>
      </c>
      <c r="G2271" s="1" t="s">
        <v>267</v>
      </c>
      <c r="H2271" s="1" t="s">
        <v>505</v>
      </c>
      <c r="I2271">
        <v>0</v>
      </c>
      <c r="J2271">
        <v>43327.926500000001</v>
      </c>
      <c r="K2271">
        <v>6.7099999999999998E-3</v>
      </c>
      <c r="L2271">
        <v>2.4499999999999999E-3</v>
      </c>
      <c r="M2271">
        <v>4.6100000000000002E-2</v>
      </c>
      <c r="N2271">
        <v>0.3004</v>
      </c>
      <c r="O2271">
        <v>3.5100000000000001E-3</v>
      </c>
      <c r="P2271" s="3">
        <f t="shared" si="140"/>
        <v>2307.9869985737841</v>
      </c>
      <c r="Q2271" s="3">
        <f t="shared" si="141"/>
        <v>6.7170802767577698E-3</v>
      </c>
      <c r="R2271" s="3">
        <f t="shared" si="142"/>
        <v>2.4499999999999999E-3</v>
      </c>
      <c r="S2271">
        <f t="shared" si="143"/>
        <v>55</v>
      </c>
      <c r="T2271">
        <f>INDEX([1]IDEN_level_ids!$B:$B,MATCH(G2271,[1]IDEN_level_ids!$A:$A,0),1)</f>
        <v>1104</v>
      </c>
      <c r="U2271">
        <f>INDEX([1]IDEN_level_ids!$B:$B,MATCH(H2271,[1]IDEN_level_ids!$A:$A,0),1)</f>
        <v>950</v>
      </c>
    </row>
    <row r="2272" spans="1:21" hidden="1" x14ac:dyDescent="0.25">
      <c r="A2272">
        <v>43321.960700000003</v>
      </c>
      <c r="B2272">
        <v>2308.2981</v>
      </c>
      <c r="C2272">
        <v>14</v>
      </c>
      <c r="D2272" t="s">
        <v>622</v>
      </c>
      <c r="F2272">
        <v>1974</v>
      </c>
      <c r="G2272" s="1" t="s">
        <v>40</v>
      </c>
      <c r="H2272" s="1" t="s">
        <v>377</v>
      </c>
      <c r="I2272">
        <v>0.33889999999999998</v>
      </c>
      <c r="J2272">
        <v>43322.001600000003</v>
      </c>
      <c r="K2272">
        <v>2.1800000000000001E-3</v>
      </c>
      <c r="L2272">
        <v>2.4499999999999999E-3</v>
      </c>
      <c r="M2272">
        <v>4.6100000000000002E-2</v>
      </c>
      <c r="N2272">
        <v>8.2100000000000006E-2</v>
      </c>
      <c r="O2272">
        <v>2.6700000000000001E-3</v>
      </c>
      <c r="P2272" s="3">
        <f t="shared" si="140"/>
        <v>2308.2981098775613</v>
      </c>
      <c r="Q2272" s="3">
        <f t="shared" si="141"/>
        <v>2.1792481697957555E-3</v>
      </c>
      <c r="R2272" s="3">
        <f t="shared" si="142"/>
        <v>2.4499999999999999E-3</v>
      </c>
      <c r="S2272">
        <f t="shared" si="143"/>
        <v>55</v>
      </c>
      <c r="T2272">
        <f>INDEX([1]IDEN_level_ids!$B:$B,MATCH(G2272,[1]IDEN_level_ids!$A:$A,0),1)</f>
        <v>1199</v>
      </c>
      <c r="U2272">
        <f>INDEX([1]IDEN_level_ids!$B:$B,MATCH(H2272,[1]IDEN_level_ids!$A:$A,0),1)</f>
        <v>1057</v>
      </c>
    </row>
    <row r="2273" spans="1:21" hidden="1" x14ac:dyDescent="0.25">
      <c r="A2273">
        <v>43318.6204</v>
      </c>
      <c r="B2273">
        <v>2308.4760999999999</v>
      </c>
      <c r="C2273">
        <v>14</v>
      </c>
      <c r="D2273" t="s">
        <v>622</v>
      </c>
      <c r="F2273">
        <v>1974</v>
      </c>
      <c r="G2273" s="1" t="s">
        <v>51</v>
      </c>
      <c r="H2273" s="1" t="s">
        <v>396</v>
      </c>
      <c r="I2273">
        <v>0.42980000000000002</v>
      </c>
      <c r="J2273">
        <v>43318.616000000002</v>
      </c>
      <c r="K2273">
        <v>-2.3000000000000001E-4</v>
      </c>
      <c r="L2273">
        <v>2.4499999999999999E-3</v>
      </c>
      <c r="M2273">
        <v>4.6100000000000002E-2</v>
      </c>
      <c r="N2273">
        <v>0.14000000000000001</v>
      </c>
      <c r="O2273">
        <v>2.8500000000000001E-3</v>
      </c>
      <c r="P2273" s="3">
        <f t="shared" si="140"/>
        <v>2308.4761028077432</v>
      </c>
      <c r="Q2273" s="3">
        <f t="shared" si="141"/>
        <v>-2.3447874809789937E-4</v>
      </c>
      <c r="R2273" s="3">
        <f t="shared" si="142"/>
        <v>2.4499999999999999E-3</v>
      </c>
      <c r="S2273">
        <f t="shared" si="143"/>
        <v>55</v>
      </c>
      <c r="T2273">
        <f>INDEX([1]IDEN_level_ids!$B:$B,MATCH(G2273,[1]IDEN_level_ids!$A:$A,0),1)</f>
        <v>1213</v>
      </c>
      <c r="U2273">
        <f>INDEX([1]IDEN_level_ids!$B:$B,MATCH(H2273,[1]IDEN_level_ids!$A:$A,0),1)</f>
        <v>1072</v>
      </c>
    </row>
    <row r="2274" spans="1:21" hidden="1" x14ac:dyDescent="0.25">
      <c r="A2274">
        <v>43314.099800000004</v>
      </c>
      <c r="B2274">
        <v>2308.7170000000001</v>
      </c>
      <c r="C2274">
        <v>14</v>
      </c>
      <c r="D2274" t="s">
        <v>622</v>
      </c>
      <c r="F2274">
        <v>1974</v>
      </c>
      <c r="G2274" s="1" t="s">
        <v>22</v>
      </c>
      <c r="H2274" s="1" t="s">
        <v>379</v>
      </c>
      <c r="I2274">
        <v>0.47110000000000002</v>
      </c>
      <c r="J2274">
        <v>43314.181600000004</v>
      </c>
      <c r="K2274">
        <v>4.3600000000000002E-3</v>
      </c>
      <c r="L2274">
        <v>2.4599999999999999E-3</v>
      </c>
      <c r="M2274">
        <v>4.6100000000000002E-2</v>
      </c>
      <c r="N2274">
        <v>0.1807</v>
      </c>
      <c r="O2274">
        <v>3.0000000000000001E-3</v>
      </c>
      <c r="P2274" s="3">
        <f t="shared" si="140"/>
        <v>2308.7170335235733</v>
      </c>
      <c r="Q2274" s="3">
        <f t="shared" si="141"/>
        <v>4.3600743770184636E-3</v>
      </c>
      <c r="R2274" s="3">
        <f t="shared" si="142"/>
        <v>2.4599999999999999E-3</v>
      </c>
      <c r="S2274">
        <f t="shared" si="143"/>
        <v>55</v>
      </c>
      <c r="T2274">
        <f>INDEX([1]IDEN_level_ids!$B:$B,MATCH(G2274,[1]IDEN_level_ids!$A:$A,0),1)</f>
        <v>1236</v>
      </c>
      <c r="U2274">
        <f>INDEX([1]IDEN_level_ids!$B:$B,MATCH(H2274,[1]IDEN_level_ids!$A:$A,0),1)</f>
        <v>1083</v>
      </c>
    </row>
    <row r="2275" spans="1:21" hidden="1" x14ac:dyDescent="0.25">
      <c r="A2275">
        <v>43313.3891</v>
      </c>
      <c r="B2275">
        <v>2308.7548999999999</v>
      </c>
      <c r="C2275">
        <v>14</v>
      </c>
      <c r="D2275" t="s">
        <v>622</v>
      </c>
      <c r="E2275" t="s">
        <v>427</v>
      </c>
      <c r="F2275">
        <v>1974</v>
      </c>
      <c r="G2275" s="1" t="s">
        <v>245</v>
      </c>
      <c r="H2275" s="1" t="s">
        <v>481</v>
      </c>
      <c r="I2275">
        <v>0</v>
      </c>
      <c r="J2275">
        <v>43313.306900000003</v>
      </c>
      <c r="K2275">
        <v>-4.3800000000000002E-3</v>
      </c>
      <c r="L2275">
        <v>2.5999999999999999E-3</v>
      </c>
      <c r="M2275">
        <v>4.87E-2</v>
      </c>
      <c r="N2275">
        <v>0.16339999999999999</v>
      </c>
      <c r="O2275">
        <v>3.0999999999999999E-3</v>
      </c>
      <c r="P2275" s="3">
        <f t="shared" si="140"/>
        <v>2308.7549156941864</v>
      </c>
      <c r="Q2275" s="3">
        <f t="shared" si="141"/>
        <v>-4.3815554076900298E-3</v>
      </c>
      <c r="R2275" s="3">
        <f t="shared" si="142"/>
        <v>2.5999999999999999E-3</v>
      </c>
      <c r="S2275">
        <f t="shared" si="143"/>
        <v>55</v>
      </c>
      <c r="T2275">
        <f>INDEX([1]IDEN_level_ids!$B:$B,MATCH(G2275,[1]IDEN_level_ids!$A:$A,0),1)</f>
        <v>1169</v>
      </c>
      <c r="U2275">
        <f>INDEX([1]IDEN_level_ids!$B:$B,MATCH(H2275,[1]IDEN_level_ids!$A:$A,0),1)</f>
        <v>1016</v>
      </c>
    </row>
    <row r="2276" spans="1:21" hidden="1" x14ac:dyDescent="0.25">
      <c r="A2276">
        <v>43306.559300000001</v>
      </c>
      <c r="B2276">
        <v>2309.1190000000001</v>
      </c>
      <c r="C2276">
        <v>14</v>
      </c>
      <c r="D2276" t="s">
        <v>622</v>
      </c>
      <c r="F2276">
        <v>1974</v>
      </c>
      <c r="G2276" s="1" t="s">
        <v>18</v>
      </c>
      <c r="H2276" s="1" t="s">
        <v>384</v>
      </c>
      <c r="I2276">
        <v>0.45490000000000003</v>
      </c>
      <c r="J2276">
        <v>43306.573199999999</v>
      </c>
      <c r="K2276">
        <v>7.3999999999999999E-4</v>
      </c>
      <c r="L2276">
        <v>2.4599999999999999E-3</v>
      </c>
      <c r="M2276">
        <v>4.6100000000000002E-2</v>
      </c>
      <c r="N2276">
        <v>0.16789999999999999</v>
      </c>
      <c r="O2276">
        <v>2.9499999999999999E-3</v>
      </c>
      <c r="P2276" s="3">
        <f t="shared" si="140"/>
        <v>2309.1190253020168</v>
      </c>
      <c r="Q2276" s="3">
        <f t="shared" si="141"/>
        <v>7.4115202551183756E-4</v>
      </c>
      <c r="R2276" s="3">
        <f t="shared" si="142"/>
        <v>2.4599999999999999E-3</v>
      </c>
      <c r="S2276">
        <f t="shared" si="143"/>
        <v>55</v>
      </c>
      <c r="T2276">
        <f>INDEX([1]IDEN_level_ids!$B:$B,MATCH(G2276,[1]IDEN_level_ids!$A:$A,0),1)</f>
        <v>1226</v>
      </c>
      <c r="U2276">
        <f>INDEX([1]IDEN_level_ids!$B:$B,MATCH(H2276,[1]IDEN_level_ids!$A:$A,0),1)</f>
        <v>1080</v>
      </c>
    </row>
    <row r="2277" spans="1:21" hidden="1" x14ac:dyDescent="0.25">
      <c r="A2277">
        <v>43301.660300000003</v>
      </c>
      <c r="B2277">
        <v>2309.3802999999998</v>
      </c>
      <c r="C2277">
        <v>14</v>
      </c>
      <c r="D2277" t="s">
        <v>622</v>
      </c>
      <c r="F2277">
        <v>1974</v>
      </c>
      <c r="G2277" s="1" t="s">
        <v>172</v>
      </c>
      <c r="H2277" s="1" t="s">
        <v>525</v>
      </c>
      <c r="I2277">
        <v>0</v>
      </c>
      <c r="J2277">
        <v>43301.703699999998</v>
      </c>
      <c r="K2277">
        <v>2.32E-3</v>
      </c>
      <c r="L2277">
        <v>2.4599999999999999E-3</v>
      </c>
      <c r="M2277">
        <v>4.6100000000000002E-2</v>
      </c>
      <c r="N2277">
        <v>0.2041</v>
      </c>
      <c r="O2277">
        <v>3.0899999999999999E-3</v>
      </c>
      <c r="P2277" s="3">
        <f t="shared" si="140"/>
        <v>2309.3802710377827</v>
      </c>
      <c r="Q2277" s="3">
        <f t="shared" si="141"/>
        <v>2.3146226403696346E-3</v>
      </c>
      <c r="R2277" s="3">
        <f t="shared" si="142"/>
        <v>2.4599999999999999E-3</v>
      </c>
      <c r="S2277">
        <f t="shared" si="143"/>
        <v>55</v>
      </c>
      <c r="T2277">
        <f>INDEX([1]IDEN_level_ids!$B:$B,MATCH(G2277,[1]IDEN_level_ids!$A:$A,0),1)</f>
        <v>1136</v>
      </c>
      <c r="U2277">
        <f>INDEX([1]IDEN_level_ids!$B:$B,MATCH(H2277,[1]IDEN_level_ids!$A:$A,0),1)</f>
        <v>971</v>
      </c>
    </row>
    <row r="2278" spans="1:21" hidden="1" x14ac:dyDescent="0.25">
      <c r="A2278">
        <v>43291.160300000003</v>
      </c>
      <c r="B2278">
        <v>2309.9404</v>
      </c>
      <c r="C2278">
        <v>14</v>
      </c>
      <c r="D2278" t="s">
        <v>622</v>
      </c>
      <c r="F2278">
        <v>1974</v>
      </c>
      <c r="G2278" s="1" t="s">
        <v>166</v>
      </c>
      <c r="H2278" s="1" t="s">
        <v>582</v>
      </c>
      <c r="I2278">
        <v>-0.25890000000000002</v>
      </c>
      <c r="J2278">
        <v>43291.152999999998</v>
      </c>
      <c r="K2278">
        <v>-3.8999999999999999E-4</v>
      </c>
      <c r="L2278">
        <v>2.4599999999999999E-3</v>
      </c>
      <c r="M2278">
        <v>4.6100000000000002E-2</v>
      </c>
      <c r="N2278">
        <v>0.14299999999999999</v>
      </c>
      <c r="O2278">
        <v>2.8700000000000002E-3</v>
      </c>
      <c r="P2278" s="3">
        <f t="shared" si="140"/>
        <v>2309.940396769638</v>
      </c>
      <c r="Q2278" s="3">
        <f t="shared" si="141"/>
        <v>-3.8951526403252501E-4</v>
      </c>
      <c r="R2278" s="3">
        <f t="shared" si="142"/>
        <v>2.4599999999999999E-3</v>
      </c>
      <c r="S2278">
        <f t="shared" si="143"/>
        <v>55</v>
      </c>
      <c r="T2278">
        <f>INDEX([1]IDEN_level_ids!$B:$B,MATCH(G2278,[1]IDEN_level_ids!$A:$A,0),1)</f>
        <v>1186</v>
      </c>
      <c r="U2278">
        <f>INDEX([1]IDEN_level_ids!$B:$B,MATCH(H2278,[1]IDEN_level_ids!$A:$A,0),1)</f>
        <v>1042</v>
      </c>
    </row>
    <row r="2279" spans="1:21" hidden="1" x14ac:dyDescent="0.25">
      <c r="A2279">
        <v>43288.239399999999</v>
      </c>
      <c r="B2279">
        <v>2310.0963000000002</v>
      </c>
      <c r="C2279">
        <v>14</v>
      </c>
      <c r="D2279" t="s">
        <v>622</v>
      </c>
      <c r="F2279">
        <v>1974</v>
      </c>
      <c r="G2279" s="1" t="s">
        <v>381</v>
      </c>
      <c r="H2279" s="1" t="s">
        <v>624</v>
      </c>
      <c r="I2279">
        <v>-0.23219999999999999</v>
      </c>
      <c r="J2279">
        <v>43288.245799999997</v>
      </c>
      <c r="K2279">
        <v>3.4000000000000002E-4</v>
      </c>
      <c r="L2279">
        <v>2.4599999999999999E-3</v>
      </c>
      <c r="M2279">
        <v>4.6100000000000002E-2</v>
      </c>
      <c r="N2279">
        <v>0.1545</v>
      </c>
      <c r="O2279">
        <v>2.9099999999999998E-3</v>
      </c>
      <c r="P2279" s="3">
        <f t="shared" si="140"/>
        <v>2310.0962613877987</v>
      </c>
      <c r="Q2279" s="3">
        <f t="shared" si="141"/>
        <v>3.4153881279053167E-4</v>
      </c>
      <c r="R2279" s="3">
        <f t="shared" si="142"/>
        <v>2.4599999999999999E-3</v>
      </c>
      <c r="S2279">
        <f t="shared" si="143"/>
        <v>55</v>
      </c>
      <c r="T2279">
        <f>INDEX([1]IDEN_level_ids!$B:$B,MATCH(G2279,[1]IDEN_level_ids!$A:$A,0),1)</f>
        <v>1084</v>
      </c>
      <c r="U2279">
        <f>INDEX([1]IDEN_level_ids!$B:$B,MATCH(H2279,[1]IDEN_level_ids!$A:$A,0),1)</f>
        <v>887</v>
      </c>
    </row>
    <row r="2280" spans="1:21" hidden="1" x14ac:dyDescent="0.25">
      <c r="A2280">
        <v>43277.760600000001</v>
      </c>
      <c r="B2280">
        <v>2310.6556</v>
      </c>
      <c r="C2280">
        <v>14</v>
      </c>
      <c r="D2280" t="s">
        <v>622</v>
      </c>
      <c r="F2280">
        <v>1974</v>
      </c>
      <c r="G2280" s="1" t="s">
        <v>209</v>
      </c>
      <c r="H2280" s="1" t="s">
        <v>448</v>
      </c>
      <c r="I2280">
        <v>0.29559999999999997</v>
      </c>
      <c r="J2280">
        <v>43277.718699999998</v>
      </c>
      <c r="K2280">
        <v>-2.2399999999999998E-3</v>
      </c>
      <c r="L2280">
        <v>2.4599999999999999E-3</v>
      </c>
      <c r="M2280">
        <v>4.6100000000000002E-2</v>
      </c>
      <c r="N2280">
        <v>0.12640000000000001</v>
      </c>
      <c r="O2280">
        <v>2.82E-3</v>
      </c>
      <c r="P2280" s="3">
        <f t="shared" si="140"/>
        <v>2310.6556026376279</v>
      </c>
      <c r="Q2280" s="3">
        <f t="shared" si="141"/>
        <v>-2.2370973488250456E-3</v>
      </c>
      <c r="R2280" s="3">
        <f t="shared" si="142"/>
        <v>2.4599999999999999E-3</v>
      </c>
      <c r="S2280">
        <f t="shared" si="143"/>
        <v>55</v>
      </c>
      <c r="T2280">
        <f>INDEX([1]IDEN_level_ids!$B:$B,MATCH(G2280,[1]IDEN_level_ids!$A:$A,0),1)</f>
        <v>1209</v>
      </c>
      <c r="U2280">
        <f>INDEX([1]IDEN_level_ids!$B:$B,MATCH(H2280,[1]IDEN_level_ids!$A:$A,0),1)</f>
        <v>1067</v>
      </c>
    </row>
    <row r="2281" spans="1:21" hidden="1" x14ac:dyDescent="0.25">
      <c r="A2281">
        <v>43272.0893</v>
      </c>
      <c r="B2281">
        <v>2310.9584</v>
      </c>
      <c r="C2281">
        <v>14</v>
      </c>
      <c r="D2281" t="s">
        <v>622</v>
      </c>
      <c r="F2281">
        <v>1974</v>
      </c>
      <c r="G2281" s="1" t="s">
        <v>379</v>
      </c>
      <c r="H2281" s="1" t="s">
        <v>624</v>
      </c>
      <c r="I2281">
        <v>-0.47110000000000002</v>
      </c>
      <c r="J2281">
        <v>43272.154900000001</v>
      </c>
      <c r="K2281">
        <v>3.5000000000000001E-3</v>
      </c>
      <c r="L2281">
        <v>2.4599999999999999E-3</v>
      </c>
      <c r="M2281">
        <v>4.6100000000000002E-2</v>
      </c>
      <c r="N2281">
        <v>0.17560000000000001</v>
      </c>
      <c r="O2281">
        <v>2.98E-3</v>
      </c>
      <c r="P2281" s="3">
        <f t="shared" si="140"/>
        <v>2310.958440363544</v>
      </c>
      <c r="Q2281" s="3">
        <f t="shared" si="141"/>
        <v>3.5033816561735875E-3</v>
      </c>
      <c r="R2281" s="3">
        <f t="shared" si="142"/>
        <v>2.4599999999999999E-3</v>
      </c>
      <c r="S2281">
        <f t="shared" si="143"/>
        <v>55</v>
      </c>
      <c r="T2281">
        <f>INDEX([1]IDEN_level_ids!$B:$B,MATCH(G2281,[1]IDEN_level_ids!$A:$A,0),1)</f>
        <v>1083</v>
      </c>
      <c r="U2281">
        <f>INDEX([1]IDEN_level_ids!$B:$B,MATCH(H2281,[1]IDEN_level_ids!$A:$A,0),1)</f>
        <v>887</v>
      </c>
    </row>
    <row r="2282" spans="1:21" hidden="1" x14ac:dyDescent="0.25">
      <c r="A2282">
        <v>43266.789400000001</v>
      </c>
      <c r="B2282">
        <v>2311.2415000000001</v>
      </c>
      <c r="C2282">
        <v>14</v>
      </c>
      <c r="D2282" t="s">
        <v>622</v>
      </c>
      <c r="F2282">
        <v>1974</v>
      </c>
      <c r="G2282" s="1" t="s">
        <v>216</v>
      </c>
      <c r="H2282" s="1" t="s">
        <v>617</v>
      </c>
      <c r="I2282">
        <v>0</v>
      </c>
      <c r="J2282">
        <v>43266.801800000001</v>
      </c>
      <c r="K2282">
        <v>6.6E-4</v>
      </c>
      <c r="L2282">
        <v>2.4599999999999999E-3</v>
      </c>
      <c r="M2282">
        <v>4.6100000000000002E-2</v>
      </c>
      <c r="N2282">
        <v>0.16239999999999999</v>
      </c>
      <c r="O2282">
        <v>2.9399999999999999E-3</v>
      </c>
      <c r="P2282" s="3">
        <f t="shared" si="140"/>
        <v>2311.2415177262956</v>
      </c>
      <c r="Q2282" s="3">
        <f t="shared" si="141"/>
        <v>6.6238764202353195E-4</v>
      </c>
      <c r="R2282" s="3">
        <f t="shared" si="142"/>
        <v>2.4599999999999999E-3</v>
      </c>
      <c r="S2282">
        <f t="shared" si="143"/>
        <v>55</v>
      </c>
      <c r="T2282">
        <f>INDEX([1]IDEN_level_ids!$B:$B,MATCH(G2282,[1]IDEN_level_ids!$A:$A,0),1)</f>
        <v>1170</v>
      </c>
      <c r="U2282">
        <f>INDEX([1]IDEN_level_ids!$B:$B,MATCH(H2282,[1]IDEN_level_ids!$A:$A,0),1)</f>
        <v>1018</v>
      </c>
    </row>
    <row r="2283" spans="1:21" hidden="1" x14ac:dyDescent="0.25">
      <c r="A2283">
        <v>43257.741199999997</v>
      </c>
      <c r="B2283">
        <v>2311.7249999999999</v>
      </c>
      <c r="C2283">
        <v>14</v>
      </c>
      <c r="D2283" t="s">
        <v>622</v>
      </c>
      <c r="F2283">
        <v>1974</v>
      </c>
      <c r="G2283" s="1" t="s">
        <v>141</v>
      </c>
      <c r="H2283" s="1" t="s">
        <v>580</v>
      </c>
      <c r="I2283">
        <v>0.20710000000000001</v>
      </c>
      <c r="J2283">
        <v>43257.821199999998</v>
      </c>
      <c r="K2283">
        <v>4.28E-3</v>
      </c>
      <c r="L2283">
        <v>2.4599999999999999E-3</v>
      </c>
      <c r="M2283">
        <v>4.6100000000000002E-2</v>
      </c>
      <c r="N2283">
        <v>0.1032</v>
      </c>
      <c r="O2283">
        <v>2.7499999999999998E-3</v>
      </c>
      <c r="P2283" s="3">
        <f t="shared" si="140"/>
        <v>2311.7249589537055</v>
      </c>
      <c r="Q2283" s="3">
        <f t="shared" si="141"/>
        <v>4.2752499225571228E-3</v>
      </c>
      <c r="R2283" s="3">
        <f t="shared" si="142"/>
        <v>2.4599999999999999E-3</v>
      </c>
      <c r="S2283">
        <f t="shared" si="143"/>
        <v>55</v>
      </c>
      <c r="T2283">
        <f>INDEX([1]IDEN_level_ids!$B:$B,MATCH(G2283,[1]IDEN_level_ids!$A:$A,0),1)</f>
        <v>1155</v>
      </c>
      <c r="U2283">
        <f>INDEX([1]IDEN_level_ids!$B:$B,MATCH(H2283,[1]IDEN_level_ids!$A:$A,0),1)</f>
        <v>1001</v>
      </c>
    </row>
    <row r="2284" spans="1:21" hidden="1" x14ac:dyDescent="0.25">
      <c r="A2284">
        <v>43252.619500000001</v>
      </c>
      <c r="B2284">
        <v>2311.9987000000001</v>
      </c>
      <c r="C2284">
        <v>14</v>
      </c>
      <c r="D2284" t="s">
        <v>622</v>
      </c>
      <c r="F2284">
        <v>1974</v>
      </c>
      <c r="G2284" s="1" t="s">
        <v>187</v>
      </c>
      <c r="H2284" s="1" t="s">
        <v>401</v>
      </c>
      <c r="I2284">
        <v>6.8900000000000003E-2</v>
      </c>
      <c r="J2284">
        <v>43252.640399999997</v>
      </c>
      <c r="K2284">
        <v>1.1199999999999999E-3</v>
      </c>
      <c r="L2284">
        <v>2.4599999999999999E-3</v>
      </c>
      <c r="M2284">
        <v>4.6100000000000002E-2</v>
      </c>
      <c r="N2284">
        <v>0.16</v>
      </c>
      <c r="O2284">
        <v>2.9299999999999999E-3</v>
      </c>
      <c r="P2284" s="3">
        <f t="shared" si="140"/>
        <v>2311.9986987146522</v>
      </c>
      <c r="Q2284" s="3">
        <f t="shared" si="141"/>
        <v>1.1171750979883655E-3</v>
      </c>
      <c r="R2284" s="3">
        <f t="shared" si="142"/>
        <v>2.4599999999999999E-3</v>
      </c>
      <c r="S2284">
        <f t="shared" si="143"/>
        <v>55</v>
      </c>
      <c r="T2284">
        <f>INDEX([1]IDEN_level_ids!$B:$B,MATCH(G2284,[1]IDEN_level_ids!$A:$A,0),1)</f>
        <v>1204</v>
      </c>
      <c r="U2284">
        <f>INDEX([1]IDEN_level_ids!$B:$B,MATCH(H2284,[1]IDEN_level_ids!$A:$A,0),1)</f>
        <v>1063</v>
      </c>
    </row>
    <row r="2285" spans="1:21" hidden="1" x14ac:dyDescent="0.25">
      <c r="A2285">
        <v>43249.739200000004</v>
      </c>
      <c r="B2285">
        <v>2312.1527000000001</v>
      </c>
      <c r="C2285">
        <v>14</v>
      </c>
      <c r="D2285" t="s">
        <v>622</v>
      </c>
      <c r="F2285">
        <v>1974</v>
      </c>
      <c r="G2285" s="1" t="s">
        <v>49</v>
      </c>
      <c r="H2285" s="1" t="s">
        <v>407</v>
      </c>
      <c r="I2285">
        <v>0.27489999999999998</v>
      </c>
      <c r="J2285">
        <v>43249.762799999997</v>
      </c>
      <c r="K2285">
        <v>1.2700000000000001E-3</v>
      </c>
      <c r="L2285">
        <v>2.4599999999999999E-3</v>
      </c>
      <c r="M2285">
        <v>4.6100000000000002E-2</v>
      </c>
      <c r="N2285">
        <v>0.12039999999999999</v>
      </c>
      <c r="O2285">
        <v>2.8E-3</v>
      </c>
      <c r="P2285" s="3">
        <f t="shared" si="140"/>
        <v>2312.1526707379544</v>
      </c>
      <c r="Q2285" s="3">
        <f t="shared" si="141"/>
        <v>1.2616671051546291E-3</v>
      </c>
      <c r="R2285" s="3">
        <f t="shared" si="142"/>
        <v>2.4599999999999999E-3</v>
      </c>
      <c r="S2285">
        <f t="shared" si="143"/>
        <v>55</v>
      </c>
      <c r="T2285">
        <f>INDEX([1]IDEN_level_ids!$B:$B,MATCH(G2285,[1]IDEN_level_ids!$A:$A,0),1)</f>
        <v>1214</v>
      </c>
      <c r="U2285">
        <f>INDEX([1]IDEN_level_ids!$B:$B,MATCH(H2285,[1]IDEN_level_ids!$A:$A,0),1)</f>
        <v>1073</v>
      </c>
    </row>
    <row r="2286" spans="1:21" hidden="1" x14ac:dyDescent="0.25">
      <c r="A2286">
        <v>43239.2209</v>
      </c>
      <c r="B2286">
        <v>2312.7150999999999</v>
      </c>
      <c r="C2286">
        <v>14</v>
      </c>
      <c r="D2286" t="s">
        <v>622</v>
      </c>
      <c r="F2286">
        <v>1974</v>
      </c>
      <c r="G2286" s="1" t="s">
        <v>238</v>
      </c>
      <c r="H2286" s="1" t="s">
        <v>472</v>
      </c>
      <c r="I2286">
        <v>0</v>
      </c>
      <c r="J2286">
        <v>43239.281799999997</v>
      </c>
      <c r="K2286">
        <v>3.2599999999999999E-3</v>
      </c>
      <c r="L2286">
        <v>2.4599999999999999E-3</v>
      </c>
      <c r="M2286">
        <v>4.6100000000000002E-2</v>
      </c>
      <c r="N2286">
        <v>0.1104</v>
      </c>
      <c r="O2286">
        <v>2.7699999999999999E-3</v>
      </c>
      <c r="P2286" s="3">
        <f t="shared" si="140"/>
        <v>2312.7151210996958</v>
      </c>
      <c r="Q2286" s="3">
        <f t="shared" si="141"/>
        <v>3.2573240118836111E-3</v>
      </c>
      <c r="R2286" s="3">
        <f t="shared" si="142"/>
        <v>2.4599999999999999E-3</v>
      </c>
      <c r="S2286">
        <f t="shared" si="143"/>
        <v>55</v>
      </c>
      <c r="T2286">
        <f>INDEX([1]IDEN_level_ids!$B:$B,MATCH(G2286,[1]IDEN_level_ids!$A:$A,0),1)</f>
        <v>1165</v>
      </c>
      <c r="U2286">
        <f>INDEX([1]IDEN_level_ids!$B:$B,MATCH(H2286,[1]IDEN_level_ids!$A:$A,0),1)</f>
        <v>1012</v>
      </c>
    </row>
    <row r="2287" spans="1:21" hidden="1" x14ac:dyDescent="0.25">
      <c r="A2287">
        <v>43220.459300000002</v>
      </c>
      <c r="B2287">
        <v>2313.7190000000001</v>
      </c>
      <c r="C2287">
        <v>14</v>
      </c>
      <c r="D2287" t="s">
        <v>622</v>
      </c>
      <c r="F2287">
        <v>1974</v>
      </c>
      <c r="G2287" s="1" t="s">
        <v>345</v>
      </c>
      <c r="H2287" s="1" t="s">
        <v>588</v>
      </c>
      <c r="I2287">
        <v>0</v>
      </c>
      <c r="J2287">
        <v>43220.470200000003</v>
      </c>
      <c r="K2287">
        <v>5.8E-4</v>
      </c>
      <c r="L2287">
        <v>2.47E-3</v>
      </c>
      <c r="M2287">
        <v>4.6100000000000002E-2</v>
      </c>
      <c r="N2287">
        <v>0.54179999999999995</v>
      </c>
      <c r="O2287">
        <v>5.3800000000000002E-3</v>
      </c>
      <c r="P2287" s="3">
        <f t="shared" si="140"/>
        <v>2313.7190492559157</v>
      </c>
      <c r="Q2287" s="3">
        <f t="shared" si="141"/>
        <v>5.8350909966975451E-4</v>
      </c>
      <c r="R2287" s="3">
        <f t="shared" si="142"/>
        <v>2.47E-3</v>
      </c>
      <c r="S2287">
        <f t="shared" si="143"/>
        <v>55</v>
      </c>
      <c r="T2287">
        <f>INDEX([1]IDEN_level_ids!$B:$B,MATCH(G2287,[1]IDEN_level_ids!$A:$A,0),1)</f>
        <v>1106</v>
      </c>
      <c r="U2287">
        <f>INDEX([1]IDEN_level_ids!$B:$B,MATCH(H2287,[1]IDEN_level_ids!$A:$A,0),1)</f>
        <v>949</v>
      </c>
    </row>
    <row r="2288" spans="1:21" hidden="1" x14ac:dyDescent="0.25">
      <c r="A2288">
        <v>43217.950799999999</v>
      </c>
      <c r="B2288">
        <v>2313.8533000000002</v>
      </c>
      <c r="C2288">
        <v>14</v>
      </c>
      <c r="D2288" t="s">
        <v>622</v>
      </c>
      <c r="F2288">
        <v>1974</v>
      </c>
      <c r="G2288" s="1" t="s">
        <v>207</v>
      </c>
      <c r="H2288" s="1" t="s">
        <v>587</v>
      </c>
      <c r="I2288">
        <v>0.13569999999999999</v>
      </c>
      <c r="J2288">
        <v>43217.988700000002</v>
      </c>
      <c r="K2288">
        <v>2.0300000000000001E-3</v>
      </c>
      <c r="L2288">
        <v>2.47E-3</v>
      </c>
      <c r="M2288">
        <v>4.6100000000000002E-2</v>
      </c>
      <c r="N2288">
        <v>0.1089</v>
      </c>
      <c r="O2288">
        <v>2.7699999999999999E-3</v>
      </c>
      <c r="P2288" s="3">
        <f t="shared" si="140"/>
        <v>2313.8533444764807</v>
      </c>
      <c r="Q2288" s="3">
        <f t="shared" si="141"/>
        <v>2.0291328769417305E-3</v>
      </c>
      <c r="R2288" s="3">
        <f t="shared" si="142"/>
        <v>2.47E-3</v>
      </c>
      <c r="S2288">
        <f t="shared" si="143"/>
        <v>55</v>
      </c>
      <c r="T2288">
        <f>INDEX([1]IDEN_level_ids!$B:$B,MATCH(G2288,[1]IDEN_level_ids!$A:$A,0),1)</f>
        <v>1177</v>
      </c>
      <c r="U2288">
        <f>INDEX([1]IDEN_level_ids!$B:$B,MATCH(H2288,[1]IDEN_level_ids!$A:$A,0),1)</f>
        <v>1035</v>
      </c>
    </row>
    <row r="2289" spans="1:21" hidden="1" x14ac:dyDescent="0.25">
      <c r="A2289">
        <v>43214.929400000001</v>
      </c>
      <c r="B2289">
        <v>2314.0151000000001</v>
      </c>
      <c r="C2289">
        <v>14</v>
      </c>
      <c r="D2289" t="s">
        <v>622</v>
      </c>
      <c r="F2289">
        <v>1974</v>
      </c>
      <c r="G2289" s="1" t="s">
        <v>81</v>
      </c>
      <c r="H2289" s="1" t="s">
        <v>416</v>
      </c>
      <c r="I2289">
        <v>0.26750000000000002</v>
      </c>
      <c r="J2289">
        <v>43214.955099999999</v>
      </c>
      <c r="K2289">
        <v>1.3799999999999999E-3</v>
      </c>
      <c r="L2289">
        <v>2.47E-3</v>
      </c>
      <c r="M2289">
        <v>4.6100000000000002E-2</v>
      </c>
      <c r="N2289">
        <v>0.1087</v>
      </c>
      <c r="O2289">
        <v>2.7699999999999999E-3</v>
      </c>
      <c r="P2289" s="3">
        <f t="shared" si="140"/>
        <v>2314.015119043559</v>
      </c>
      <c r="Q2289" s="3">
        <f t="shared" si="141"/>
        <v>1.3761483360212878E-3</v>
      </c>
      <c r="R2289" s="3">
        <f t="shared" si="142"/>
        <v>2.47E-3</v>
      </c>
      <c r="S2289">
        <f t="shared" si="143"/>
        <v>55</v>
      </c>
      <c r="T2289">
        <f>INDEX([1]IDEN_level_ids!$B:$B,MATCH(G2289,[1]IDEN_level_ids!$A:$A,0),1)</f>
        <v>1196</v>
      </c>
      <c r="U2289">
        <f>INDEX([1]IDEN_level_ids!$B:$B,MATCH(H2289,[1]IDEN_level_ids!$A:$A,0),1)</f>
        <v>1055</v>
      </c>
    </row>
    <row r="2290" spans="1:21" hidden="1" x14ac:dyDescent="0.25">
      <c r="A2290">
        <v>43208.299299999999</v>
      </c>
      <c r="B2290">
        <v>2314.3701999999998</v>
      </c>
      <c r="C2290">
        <v>14</v>
      </c>
      <c r="D2290" t="s">
        <v>622</v>
      </c>
      <c r="F2290">
        <v>1974</v>
      </c>
      <c r="G2290" s="1" t="s">
        <v>71</v>
      </c>
      <c r="H2290" s="1" t="s">
        <v>587</v>
      </c>
      <c r="I2290">
        <v>0.13569999999999999</v>
      </c>
      <c r="J2290">
        <v>43208.319799999997</v>
      </c>
      <c r="K2290">
        <v>1.1000000000000001E-3</v>
      </c>
      <c r="L2290">
        <v>2.47E-3</v>
      </c>
      <c r="M2290">
        <v>4.6100000000000002E-2</v>
      </c>
      <c r="N2290">
        <v>0.1085</v>
      </c>
      <c r="O2290">
        <v>2.7699999999999999E-3</v>
      </c>
      <c r="P2290" s="3">
        <f t="shared" si="140"/>
        <v>2314.3701932281328</v>
      </c>
      <c r="Q2290" s="3">
        <f t="shared" si="141"/>
        <v>1.0980429042319884E-3</v>
      </c>
      <c r="R2290" s="3">
        <f t="shared" si="142"/>
        <v>2.47E-3</v>
      </c>
      <c r="S2290">
        <f t="shared" si="143"/>
        <v>55</v>
      </c>
      <c r="T2290">
        <f>INDEX([1]IDEN_level_ids!$B:$B,MATCH(G2290,[1]IDEN_level_ids!$A:$A,0),1)</f>
        <v>1179</v>
      </c>
      <c r="U2290">
        <f>INDEX([1]IDEN_level_ids!$B:$B,MATCH(H2290,[1]IDEN_level_ids!$A:$A,0),1)</f>
        <v>1035</v>
      </c>
    </row>
    <row r="2291" spans="1:21" hidden="1" x14ac:dyDescent="0.25">
      <c r="A2291">
        <v>43204.521200000003</v>
      </c>
      <c r="B2291">
        <v>2314.5726</v>
      </c>
      <c r="C2291">
        <v>14</v>
      </c>
      <c r="D2291" t="s">
        <v>622</v>
      </c>
      <c r="F2291">
        <v>1974</v>
      </c>
      <c r="G2291" s="1" t="s">
        <v>197</v>
      </c>
      <c r="H2291" s="1" t="s">
        <v>437</v>
      </c>
      <c r="I2291">
        <v>0.26329999999999998</v>
      </c>
      <c r="J2291">
        <v>43204.592100000002</v>
      </c>
      <c r="K2291">
        <v>3.8E-3</v>
      </c>
      <c r="L2291">
        <v>2.47E-3</v>
      </c>
      <c r="M2291">
        <v>4.6100000000000002E-2</v>
      </c>
      <c r="N2291">
        <v>8.7900000000000006E-2</v>
      </c>
      <c r="O2291">
        <v>2.7100000000000002E-3</v>
      </c>
      <c r="P2291" s="3">
        <f t="shared" si="140"/>
        <v>2314.5725776495815</v>
      </c>
      <c r="Q2291" s="3">
        <f t="shared" si="141"/>
        <v>3.7982813346388866E-3</v>
      </c>
      <c r="R2291" s="3">
        <f t="shared" si="142"/>
        <v>2.47E-3</v>
      </c>
      <c r="S2291">
        <f t="shared" si="143"/>
        <v>55</v>
      </c>
      <c r="T2291">
        <f>INDEX([1]IDEN_level_ids!$B:$B,MATCH(G2291,[1]IDEN_level_ids!$A:$A,0),1)</f>
        <v>1182</v>
      </c>
      <c r="U2291">
        <f>INDEX([1]IDEN_level_ids!$B:$B,MATCH(H2291,[1]IDEN_level_ids!$A:$A,0),1)</f>
        <v>1039</v>
      </c>
    </row>
    <row r="2292" spans="1:21" hidden="1" x14ac:dyDescent="0.25">
      <c r="A2292">
        <v>43202.359900000003</v>
      </c>
      <c r="B2292">
        <v>2314.6884</v>
      </c>
      <c r="C2292">
        <v>14</v>
      </c>
      <c r="D2292" t="s">
        <v>622</v>
      </c>
      <c r="F2292">
        <v>1974</v>
      </c>
      <c r="G2292" s="1" t="s">
        <v>452</v>
      </c>
      <c r="H2292" s="1" t="s">
        <v>625</v>
      </c>
      <c r="I2292">
        <v>-0.25619999999999998</v>
      </c>
      <c r="J2292">
        <v>43202.416799999999</v>
      </c>
      <c r="K2292">
        <v>3.0500000000000002E-3</v>
      </c>
      <c r="L2292">
        <v>2.47E-3</v>
      </c>
      <c r="M2292">
        <v>4.6100000000000002E-2</v>
      </c>
      <c r="N2292">
        <v>0.39100000000000001</v>
      </c>
      <c r="O2292">
        <v>4.0499999999999998E-3</v>
      </c>
      <c r="P2292" s="3">
        <f t="shared" si="140"/>
        <v>2314.6883696045502</v>
      </c>
      <c r="Q2292" s="3">
        <f t="shared" si="141"/>
        <v>3.0485740840049402E-3</v>
      </c>
      <c r="R2292" s="3">
        <f t="shared" si="142"/>
        <v>2.47E-3</v>
      </c>
      <c r="S2292">
        <f t="shared" si="143"/>
        <v>55</v>
      </c>
      <c r="T2292">
        <f>INDEX([1]IDEN_level_ids!$B:$B,MATCH(G2292,[1]IDEN_level_ids!$A:$A,0),1)</f>
        <v>1033</v>
      </c>
      <c r="U2292">
        <f>INDEX([1]IDEN_level_ids!$B:$B,MATCH(H2292,[1]IDEN_level_ids!$A:$A,0),1)</f>
        <v>809</v>
      </c>
    </row>
    <row r="2293" spans="1:21" hidden="1" x14ac:dyDescent="0.25">
      <c r="A2293">
        <v>43200.881099999999</v>
      </c>
      <c r="B2293">
        <v>2314.7676000000001</v>
      </c>
      <c r="C2293">
        <v>14</v>
      </c>
      <c r="D2293" t="s">
        <v>622</v>
      </c>
      <c r="F2293">
        <v>1974</v>
      </c>
      <c r="G2293" s="1" t="s">
        <v>166</v>
      </c>
      <c r="H2293" s="1" t="s">
        <v>445</v>
      </c>
      <c r="I2293">
        <v>0</v>
      </c>
      <c r="J2293">
        <v>43200.978600000002</v>
      </c>
      <c r="K2293">
        <v>5.2300000000000003E-3</v>
      </c>
      <c r="L2293">
        <v>2.47E-3</v>
      </c>
      <c r="M2293">
        <v>4.6100000000000002E-2</v>
      </c>
      <c r="N2293">
        <v>0.11219999999999999</v>
      </c>
      <c r="O2293">
        <v>2.7799999999999999E-3</v>
      </c>
      <c r="P2293" s="3">
        <f t="shared" si="140"/>
        <v>2314.7676032005747</v>
      </c>
      <c r="Q2293" s="3">
        <f t="shared" si="141"/>
        <v>5.224183540121885E-3</v>
      </c>
      <c r="R2293" s="3">
        <f t="shared" si="142"/>
        <v>2.47E-3</v>
      </c>
      <c r="S2293">
        <f t="shared" si="143"/>
        <v>55</v>
      </c>
      <c r="T2293">
        <f>INDEX([1]IDEN_level_ids!$B:$B,MATCH(G2293,[1]IDEN_level_ids!$A:$A,0),1)</f>
        <v>1186</v>
      </c>
      <c r="U2293">
        <f>INDEX([1]IDEN_level_ids!$B:$B,MATCH(H2293,[1]IDEN_level_ids!$A:$A,0),1)</f>
        <v>1041</v>
      </c>
    </row>
    <row r="2294" spans="1:21" hidden="1" x14ac:dyDescent="0.25">
      <c r="A2294">
        <v>43198.609400000001</v>
      </c>
      <c r="B2294">
        <v>2314.8892999999998</v>
      </c>
      <c r="C2294">
        <v>14</v>
      </c>
      <c r="D2294" t="s">
        <v>622</v>
      </c>
      <c r="F2294">
        <v>1974</v>
      </c>
      <c r="G2294" s="1" t="s">
        <v>51</v>
      </c>
      <c r="H2294" s="1" t="s">
        <v>407</v>
      </c>
      <c r="I2294">
        <v>0.27489999999999998</v>
      </c>
      <c r="J2294">
        <v>43198.606599999999</v>
      </c>
      <c r="K2294">
        <v>-1.4999999999999999E-4</v>
      </c>
      <c r="L2294">
        <v>2.47E-3</v>
      </c>
      <c r="M2294">
        <v>4.6100000000000002E-2</v>
      </c>
      <c r="N2294">
        <v>0.13550000000000001</v>
      </c>
      <c r="O2294">
        <v>2.8600000000000001E-3</v>
      </c>
      <c r="P2294" s="3">
        <f t="shared" si="140"/>
        <v>2314.8893306736859</v>
      </c>
      <c r="Q2294" s="3">
        <f t="shared" si="141"/>
        <v>-1.5004396300355438E-4</v>
      </c>
      <c r="R2294" s="3">
        <f t="shared" si="142"/>
        <v>2.47E-3</v>
      </c>
      <c r="S2294">
        <f t="shared" si="143"/>
        <v>55</v>
      </c>
      <c r="T2294">
        <f>INDEX([1]IDEN_level_ids!$B:$B,MATCH(G2294,[1]IDEN_level_ids!$A:$A,0),1)</f>
        <v>1213</v>
      </c>
      <c r="U2294">
        <f>INDEX([1]IDEN_level_ids!$B:$B,MATCH(H2294,[1]IDEN_level_ids!$A:$A,0),1)</f>
        <v>1073</v>
      </c>
    </row>
    <row r="2295" spans="1:21" hidden="1" x14ac:dyDescent="0.25">
      <c r="A2295">
        <v>43194.9499</v>
      </c>
      <c r="B2295">
        <v>2315.0855000000001</v>
      </c>
      <c r="C2295">
        <v>14</v>
      </c>
      <c r="D2295" t="s">
        <v>622</v>
      </c>
      <c r="F2295">
        <v>1974</v>
      </c>
      <c r="G2295" s="1" t="s">
        <v>285</v>
      </c>
      <c r="H2295" s="1" t="s">
        <v>550</v>
      </c>
      <c r="I2295">
        <v>0</v>
      </c>
      <c r="J2295">
        <v>43194.948700000001</v>
      </c>
      <c r="K2295">
        <v>-6.0000000000000002E-5</v>
      </c>
      <c r="L2295">
        <v>2.47E-3</v>
      </c>
      <c r="M2295">
        <v>4.6100000000000002E-2</v>
      </c>
      <c r="N2295">
        <v>0.28249999999999997</v>
      </c>
      <c r="O2295">
        <v>3.4399999999999999E-3</v>
      </c>
      <c r="P2295" s="3">
        <f t="shared" si="140"/>
        <v>2315.0854493756456</v>
      </c>
      <c r="Q2295" s="3">
        <f t="shared" si="141"/>
        <v>-6.4315449435525807E-5</v>
      </c>
      <c r="R2295" s="3">
        <f t="shared" si="142"/>
        <v>2.47E-3</v>
      </c>
      <c r="S2295">
        <f t="shared" si="143"/>
        <v>55</v>
      </c>
      <c r="T2295">
        <f>INDEX([1]IDEN_level_ids!$B:$B,MATCH(G2295,[1]IDEN_level_ids!$A:$A,0),1)</f>
        <v>1150</v>
      </c>
      <c r="U2295">
        <f>INDEX([1]IDEN_level_ids!$B:$B,MATCH(H2295,[1]IDEN_level_ids!$A:$A,0),1)</f>
        <v>997</v>
      </c>
    </row>
    <row r="2296" spans="1:21" hidden="1" x14ac:dyDescent="0.25">
      <c r="A2296">
        <v>43178.16</v>
      </c>
      <c r="B2296">
        <v>2315.9857000000002</v>
      </c>
      <c r="C2296">
        <v>14</v>
      </c>
      <c r="D2296" t="s">
        <v>622</v>
      </c>
      <c r="F2296">
        <v>1974</v>
      </c>
      <c r="G2296" s="1" t="s">
        <v>386</v>
      </c>
      <c r="H2296" s="1" t="s">
        <v>311</v>
      </c>
      <c r="I2296">
        <v>-0.22500000000000001</v>
      </c>
      <c r="J2296">
        <v>43178.147100000002</v>
      </c>
      <c r="K2296">
        <v>-6.8999999999999997E-4</v>
      </c>
      <c r="L2296">
        <v>2.47E-3</v>
      </c>
      <c r="M2296">
        <v>4.6100000000000002E-2</v>
      </c>
      <c r="N2296">
        <v>0.17430000000000001</v>
      </c>
      <c r="O2296">
        <v>2.99E-3</v>
      </c>
      <c r="P2296" s="3">
        <f t="shared" si="140"/>
        <v>2315.9856742390134</v>
      </c>
      <c r="Q2296" s="3">
        <f t="shared" si="141"/>
        <v>-6.9192907039905549E-4</v>
      </c>
      <c r="R2296" s="3">
        <f t="shared" si="142"/>
        <v>2.47E-3</v>
      </c>
      <c r="S2296">
        <f t="shared" si="143"/>
        <v>55</v>
      </c>
      <c r="T2296">
        <f>INDEX([1]IDEN_level_ids!$B:$B,MATCH(G2296,[1]IDEN_level_ids!$A:$A,0),1)</f>
        <v>1082</v>
      </c>
      <c r="U2296">
        <f>INDEX([1]IDEN_level_ids!$B:$B,MATCH(H2296,[1]IDEN_level_ids!$A:$A,0),1)</f>
        <v>876</v>
      </c>
    </row>
    <row r="2297" spans="1:21" hidden="1" x14ac:dyDescent="0.25">
      <c r="A2297">
        <v>43168.839599999999</v>
      </c>
      <c r="B2297">
        <v>2316.4857000000002</v>
      </c>
      <c r="C2297">
        <v>14</v>
      </c>
      <c r="D2297" t="s">
        <v>622</v>
      </c>
      <c r="F2297">
        <v>1974</v>
      </c>
      <c r="G2297" s="1" t="s">
        <v>386</v>
      </c>
      <c r="H2297" s="1" t="s">
        <v>315</v>
      </c>
      <c r="I2297">
        <v>-0.22500000000000001</v>
      </c>
      <c r="J2297">
        <v>43168.875399999997</v>
      </c>
      <c r="K2297">
        <v>1.92E-3</v>
      </c>
      <c r="L2297">
        <v>2.47E-3</v>
      </c>
      <c r="M2297">
        <v>4.6100000000000002E-2</v>
      </c>
      <c r="N2297">
        <v>0.18310000000000001</v>
      </c>
      <c r="O2297">
        <v>3.0300000000000001E-3</v>
      </c>
      <c r="P2297" s="3">
        <f t="shared" si="140"/>
        <v>2316.485708825956</v>
      </c>
      <c r="Q2297" s="3">
        <f t="shared" si="141"/>
        <v>1.9210643686164985E-3</v>
      </c>
      <c r="R2297" s="3">
        <f t="shared" si="142"/>
        <v>2.47E-3</v>
      </c>
      <c r="S2297">
        <f t="shared" si="143"/>
        <v>55</v>
      </c>
      <c r="T2297">
        <f>INDEX([1]IDEN_level_ids!$B:$B,MATCH(G2297,[1]IDEN_level_ids!$A:$A,0),1)</f>
        <v>1082</v>
      </c>
      <c r="U2297">
        <f>INDEX([1]IDEN_level_ids!$B:$B,MATCH(H2297,[1]IDEN_level_ids!$A:$A,0),1)</f>
        <v>877</v>
      </c>
    </row>
    <row r="2298" spans="1:21" hidden="1" x14ac:dyDescent="0.25">
      <c r="A2298">
        <v>43166.840900000003</v>
      </c>
      <c r="B2298">
        <v>2316.5929999999998</v>
      </c>
      <c r="C2298">
        <v>14</v>
      </c>
      <c r="D2298" t="s">
        <v>622</v>
      </c>
      <c r="F2298">
        <v>1974</v>
      </c>
      <c r="G2298" s="1" t="s">
        <v>587</v>
      </c>
      <c r="H2298" s="1" t="s">
        <v>626</v>
      </c>
      <c r="I2298">
        <v>-0.13569999999999999</v>
      </c>
      <c r="J2298">
        <v>43166.912900000003</v>
      </c>
      <c r="K2298">
        <v>3.8700000000000002E-3</v>
      </c>
      <c r="L2298">
        <v>2.47E-3</v>
      </c>
      <c r="M2298">
        <v>4.6100000000000002E-2</v>
      </c>
      <c r="N2298">
        <v>0.28999999999999998</v>
      </c>
      <c r="O2298">
        <v>3.48E-3</v>
      </c>
      <c r="P2298" s="3">
        <f t="shared" si="140"/>
        <v>2316.5929661533328</v>
      </c>
      <c r="Q2298" s="3">
        <f t="shared" si="141"/>
        <v>3.8639476942989859E-3</v>
      </c>
      <c r="R2298" s="3">
        <f t="shared" si="142"/>
        <v>2.47E-3</v>
      </c>
      <c r="S2298">
        <f t="shared" si="143"/>
        <v>55</v>
      </c>
      <c r="T2298">
        <f>INDEX([1]IDEN_level_ids!$B:$B,MATCH(G2298,[1]IDEN_level_ids!$A:$A,0),1)</f>
        <v>1035</v>
      </c>
      <c r="U2298">
        <f>INDEX([1]IDEN_level_ids!$B:$B,MATCH(H2298,[1]IDEN_level_ids!$A:$A,0),1)</f>
        <v>813</v>
      </c>
    </row>
    <row r="2299" spans="1:21" hidden="1" x14ac:dyDescent="0.25">
      <c r="A2299">
        <v>43148.210899999998</v>
      </c>
      <c r="B2299">
        <v>2317.5931999999998</v>
      </c>
      <c r="C2299">
        <v>14</v>
      </c>
      <c r="D2299" t="s">
        <v>622</v>
      </c>
      <c r="F2299">
        <v>1974</v>
      </c>
      <c r="G2299" s="1" t="s">
        <v>180</v>
      </c>
      <c r="H2299" s="1" t="s">
        <v>468</v>
      </c>
      <c r="I2299">
        <v>0.16639999999999999</v>
      </c>
      <c r="J2299">
        <v>43148.287300000004</v>
      </c>
      <c r="K2299">
        <v>4.1000000000000003E-3</v>
      </c>
      <c r="L2299">
        <v>2.47E-3</v>
      </c>
      <c r="M2299">
        <v>4.6100000000000002E-2</v>
      </c>
      <c r="N2299">
        <v>0.1246</v>
      </c>
      <c r="O2299">
        <v>2.8300000000000001E-3</v>
      </c>
      <c r="P2299" s="3">
        <f t="shared" si="140"/>
        <v>2317.5931959672516</v>
      </c>
      <c r="Q2299" s="3">
        <f t="shared" si="141"/>
        <v>4.1036187358258758E-3</v>
      </c>
      <c r="R2299" s="3">
        <f t="shared" si="142"/>
        <v>2.47E-3</v>
      </c>
      <c r="S2299">
        <f t="shared" si="143"/>
        <v>55</v>
      </c>
      <c r="T2299">
        <f>INDEX([1]IDEN_level_ids!$B:$B,MATCH(G2299,[1]IDEN_level_ids!$A:$A,0),1)</f>
        <v>1184</v>
      </c>
      <c r="U2299">
        <f>INDEX([1]IDEN_level_ids!$B:$B,MATCH(H2299,[1]IDEN_level_ids!$A:$A,0),1)</f>
        <v>1044</v>
      </c>
    </row>
    <row r="2300" spans="1:21" hidden="1" x14ac:dyDescent="0.25">
      <c r="A2300">
        <v>43144.6201</v>
      </c>
      <c r="B2300">
        <v>2317.7860999999998</v>
      </c>
      <c r="C2300">
        <v>14</v>
      </c>
      <c r="D2300" t="s">
        <v>622</v>
      </c>
      <c r="F2300">
        <v>1974</v>
      </c>
      <c r="G2300" s="1" t="s">
        <v>283</v>
      </c>
      <c r="H2300" s="1" t="s">
        <v>454</v>
      </c>
      <c r="I2300">
        <v>0</v>
      </c>
      <c r="J2300">
        <v>43144.711499999998</v>
      </c>
      <c r="K2300">
        <v>4.9100000000000003E-3</v>
      </c>
      <c r="L2300">
        <v>2.47E-3</v>
      </c>
      <c r="M2300">
        <v>4.6100000000000002E-2</v>
      </c>
      <c r="N2300">
        <v>0.15790000000000001</v>
      </c>
      <c r="O2300">
        <v>2.9399999999999999E-3</v>
      </c>
      <c r="P2300" s="3">
        <f t="shared" si="140"/>
        <v>2317.7860824413656</v>
      </c>
      <c r="Q2300" s="3">
        <f t="shared" si="141"/>
        <v>4.9101185422841809E-3</v>
      </c>
      <c r="R2300" s="3">
        <f t="shared" si="142"/>
        <v>2.47E-3</v>
      </c>
      <c r="S2300">
        <f t="shared" si="143"/>
        <v>55</v>
      </c>
      <c r="T2300">
        <f>INDEX([1]IDEN_level_ids!$B:$B,MATCH(G2300,[1]IDEN_level_ids!$A:$A,0),1)</f>
        <v>1178</v>
      </c>
      <c r="U2300">
        <f>INDEX([1]IDEN_level_ids!$B:$B,MATCH(H2300,[1]IDEN_level_ids!$A:$A,0),1)</f>
        <v>1036</v>
      </c>
    </row>
    <row r="2301" spans="1:21" hidden="1" x14ac:dyDescent="0.25">
      <c r="A2301">
        <v>43142.290699999998</v>
      </c>
      <c r="B2301">
        <v>2317.9112</v>
      </c>
      <c r="C2301">
        <v>14</v>
      </c>
      <c r="D2301" t="s">
        <v>622</v>
      </c>
      <c r="F2301">
        <v>1974</v>
      </c>
      <c r="G2301" s="1" t="s">
        <v>386</v>
      </c>
      <c r="H2301" s="1" t="s">
        <v>340</v>
      </c>
      <c r="I2301">
        <v>-0.22500000000000001</v>
      </c>
      <c r="J2301">
        <v>43142.361400000002</v>
      </c>
      <c r="K2301">
        <v>3.8E-3</v>
      </c>
      <c r="L2301">
        <v>2.48E-3</v>
      </c>
      <c r="M2301">
        <v>4.6100000000000002E-2</v>
      </c>
      <c r="N2301">
        <v>0.24590000000000001</v>
      </c>
      <c r="O2301">
        <v>3.2799999999999999E-3</v>
      </c>
      <c r="P2301" s="3">
        <f t="shared" si="140"/>
        <v>2317.9112276483734</v>
      </c>
      <c r="Q2301" s="3">
        <f t="shared" si="141"/>
        <v>3.7985014837431663E-3</v>
      </c>
      <c r="R2301" s="3">
        <f t="shared" si="142"/>
        <v>2.48E-3</v>
      </c>
      <c r="S2301">
        <f t="shared" si="143"/>
        <v>55</v>
      </c>
      <c r="T2301">
        <f>INDEX([1]IDEN_level_ids!$B:$B,MATCH(G2301,[1]IDEN_level_ids!$A:$A,0),1)</f>
        <v>1082</v>
      </c>
      <c r="U2301">
        <f>INDEX([1]IDEN_level_ids!$B:$B,MATCH(H2301,[1]IDEN_level_ids!$A:$A,0),1)</f>
        <v>875</v>
      </c>
    </row>
    <row r="2302" spans="1:21" hidden="1" x14ac:dyDescent="0.25">
      <c r="A2302">
        <v>43134.400199999996</v>
      </c>
      <c r="B2302">
        <v>2318.3352</v>
      </c>
      <c r="C2302">
        <v>14</v>
      </c>
      <c r="D2302" t="s">
        <v>622</v>
      </c>
      <c r="F2302">
        <v>1974</v>
      </c>
      <c r="G2302" s="1" t="s">
        <v>216</v>
      </c>
      <c r="H2302" s="1" t="s">
        <v>467</v>
      </c>
      <c r="I2302">
        <v>0</v>
      </c>
      <c r="J2302">
        <v>43134.425799999997</v>
      </c>
      <c r="K2302">
        <v>1.3699999999999999E-3</v>
      </c>
      <c r="L2302">
        <v>2.48E-3</v>
      </c>
      <c r="M2302">
        <v>4.6100000000000002E-2</v>
      </c>
      <c r="N2302">
        <v>0.1033</v>
      </c>
      <c r="O2302">
        <v>2.7599999999999999E-3</v>
      </c>
      <c r="P2302" s="3">
        <f t="shared" si="140"/>
        <v>2318.3352390744503</v>
      </c>
      <c r="Q2302" s="3">
        <f t="shared" si="141"/>
        <v>1.3759168236902042E-3</v>
      </c>
      <c r="R2302" s="3">
        <f t="shared" si="142"/>
        <v>2.48E-3</v>
      </c>
      <c r="S2302">
        <f t="shared" si="143"/>
        <v>55</v>
      </c>
      <c r="T2302">
        <f>INDEX([1]IDEN_level_ids!$B:$B,MATCH(G2302,[1]IDEN_level_ids!$A:$A,0),1)</f>
        <v>1170</v>
      </c>
      <c r="U2302">
        <f>INDEX([1]IDEN_level_ids!$B:$B,MATCH(H2302,[1]IDEN_level_ids!$A:$A,0),1)</f>
        <v>1025</v>
      </c>
    </row>
    <row r="2303" spans="1:21" hidden="1" x14ac:dyDescent="0.25">
      <c r="A2303">
        <v>43126.199000000001</v>
      </c>
      <c r="B2303">
        <v>2318.7761</v>
      </c>
      <c r="C2303">
        <v>14</v>
      </c>
      <c r="D2303" t="s">
        <v>622</v>
      </c>
      <c r="F2303">
        <v>1974</v>
      </c>
      <c r="G2303" s="1" t="s">
        <v>84</v>
      </c>
      <c r="H2303" s="1" t="s">
        <v>462</v>
      </c>
      <c r="I2303">
        <v>0.37159999999999999</v>
      </c>
      <c r="J2303">
        <v>43126.280200000001</v>
      </c>
      <c r="K2303">
        <v>4.3600000000000002E-3</v>
      </c>
      <c r="L2303">
        <v>2.48E-3</v>
      </c>
      <c r="M2303">
        <v>4.6100000000000002E-2</v>
      </c>
      <c r="N2303">
        <v>0.24060000000000001</v>
      </c>
      <c r="O2303">
        <v>3.2599999999999999E-3</v>
      </c>
      <c r="P2303" s="3">
        <f t="shared" si="140"/>
        <v>2318.7761110131687</v>
      </c>
      <c r="Q2303" s="3">
        <f t="shared" si="141"/>
        <v>4.3658905742631759E-3</v>
      </c>
      <c r="R2303" s="3">
        <f t="shared" si="142"/>
        <v>2.48E-3</v>
      </c>
      <c r="S2303">
        <f t="shared" si="143"/>
        <v>55</v>
      </c>
      <c r="T2303">
        <f>INDEX([1]IDEN_level_ids!$B:$B,MATCH(G2303,[1]IDEN_level_ids!$A:$A,0),1)</f>
        <v>1191</v>
      </c>
      <c r="U2303">
        <f>INDEX([1]IDEN_level_ids!$B:$B,MATCH(H2303,[1]IDEN_level_ids!$A:$A,0),1)</f>
        <v>1047</v>
      </c>
    </row>
    <row r="2304" spans="1:21" hidden="1" x14ac:dyDescent="0.25">
      <c r="A2304">
        <v>43124.54</v>
      </c>
      <c r="B2304">
        <v>2318.8652999999999</v>
      </c>
      <c r="C2304">
        <v>14</v>
      </c>
      <c r="D2304" t="s">
        <v>622</v>
      </c>
      <c r="F2304">
        <v>1974</v>
      </c>
      <c r="G2304" s="1" t="s">
        <v>230</v>
      </c>
      <c r="H2304" s="1" t="s">
        <v>413</v>
      </c>
      <c r="I2304">
        <v>6.4600000000000005E-2</v>
      </c>
      <c r="J2304">
        <v>43124.582999999999</v>
      </c>
      <c r="K2304">
        <v>2.31E-3</v>
      </c>
      <c r="L2304">
        <v>2.48E-3</v>
      </c>
      <c r="M2304">
        <v>4.6100000000000002E-2</v>
      </c>
      <c r="N2304">
        <v>0.50390000000000001</v>
      </c>
      <c r="O2304">
        <v>4.9899999999999996E-3</v>
      </c>
      <c r="P2304" s="3">
        <f t="shared" si="140"/>
        <v>2318.865314273497</v>
      </c>
      <c r="Q2304" s="3">
        <f t="shared" si="141"/>
        <v>2.3121663230085687E-3</v>
      </c>
      <c r="R2304" s="3">
        <f t="shared" si="142"/>
        <v>2.48E-3</v>
      </c>
      <c r="S2304">
        <f t="shared" si="143"/>
        <v>55</v>
      </c>
      <c r="T2304">
        <f>INDEX([1]IDEN_level_ids!$B:$B,MATCH(G2304,[1]IDEN_level_ids!$A:$A,0),1)</f>
        <v>1208</v>
      </c>
      <c r="U2304">
        <f>INDEX([1]IDEN_level_ids!$B:$B,MATCH(H2304,[1]IDEN_level_ids!$A:$A,0),1)</f>
        <v>1071</v>
      </c>
    </row>
    <row r="2305" spans="1:21" hidden="1" x14ac:dyDescent="0.25">
      <c r="A2305">
        <v>43120.611199999999</v>
      </c>
      <c r="B2305">
        <v>2319.0765999999999</v>
      </c>
      <c r="C2305">
        <v>14</v>
      </c>
      <c r="D2305" t="s">
        <v>622</v>
      </c>
      <c r="F2305">
        <v>1974</v>
      </c>
      <c r="G2305" s="1" t="s">
        <v>220</v>
      </c>
      <c r="H2305" s="1" t="s">
        <v>577</v>
      </c>
      <c r="I2305">
        <v>3.2599999999999997E-2</v>
      </c>
      <c r="J2305">
        <v>43120.673600000002</v>
      </c>
      <c r="K2305">
        <v>3.3500000000000001E-3</v>
      </c>
      <c r="L2305">
        <v>2.48E-3</v>
      </c>
      <c r="M2305">
        <v>4.6100000000000002E-2</v>
      </c>
      <c r="N2305">
        <v>0.20749999999999999</v>
      </c>
      <c r="O2305">
        <v>3.13E-3</v>
      </c>
      <c r="P2305" s="3">
        <f t="shared" si="140"/>
        <v>2319.076590454265</v>
      </c>
      <c r="Q2305" s="3">
        <f t="shared" si="141"/>
        <v>3.3559396724740509E-3</v>
      </c>
      <c r="R2305" s="3">
        <f t="shared" si="142"/>
        <v>2.48E-3</v>
      </c>
      <c r="S2305">
        <f t="shared" si="143"/>
        <v>55</v>
      </c>
      <c r="T2305">
        <f>INDEX([1]IDEN_level_ids!$B:$B,MATCH(G2305,[1]IDEN_level_ids!$A:$A,0),1)</f>
        <v>1142</v>
      </c>
      <c r="U2305">
        <f>INDEX([1]IDEN_level_ids!$B:$B,MATCH(H2305,[1]IDEN_level_ids!$A:$A,0),1)</f>
        <v>985</v>
      </c>
    </row>
    <row r="2306" spans="1:21" hidden="1" x14ac:dyDescent="0.25">
      <c r="A2306">
        <v>43112.210200000001</v>
      </c>
      <c r="B2306">
        <v>2319.5284999999999</v>
      </c>
      <c r="C2306">
        <v>14</v>
      </c>
      <c r="D2306" t="s">
        <v>622</v>
      </c>
      <c r="F2306">
        <v>1974</v>
      </c>
      <c r="G2306" s="1" t="s">
        <v>118</v>
      </c>
      <c r="H2306" s="1" t="s">
        <v>381</v>
      </c>
      <c r="I2306">
        <v>0.23219999999999999</v>
      </c>
      <c r="J2306">
        <v>43112.2408</v>
      </c>
      <c r="K2306">
        <v>1.65E-3</v>
      </c>
      <c r="L2306">
        <v>2.48E-3</v>
      </c>
      <c r="M2306">
        <v>4.6100000000000002E-2</v>
      </c>
      <c r="N2306">
        <v>0.3306</v>
      </c>
      <c r="O2306">
        <v>3.7000000000000002E-3</v>
      </c>
      <c r="P2306" s="3">
        <f t="shared" ref="P2306:P2369" si="144">100000000/$A2306</f>
        <v>2319.5284940413471</v>
      </c>
      <c r="Q2306" s="3">
        <f t="shared" ref="Q2306:Q2369" si="145">100000000/($A2306)-100000000/$J2306</f>
        <v>1.646343836455344E-3</v>
      </c>
      <c r="R2306" s="3">
        <f t="shared" si="142"/>
        <v>2.48E-3</v>
      </c>
      <c r="S2306">
        <f t="shared" si="143"/>
        <v>55</v>
      </c>
      <c r="T2306">
        <f>INDEX([1]IDEN_level_ids!$B:$B,MATCH(G2306,[1]IDEN_level_ids!$A:$A,0),1)</f>
        <v>1237</v>
      </c>
      <c r="U2306">
        <f>INDEX([1]IDEN_level_ids!$B:$B,MATCH(H2306,[1]IDEN_level_ids!$A:$A,0),1)</f>
        <v>1084</v>
      </c>
    </row>
    <row r="2307" spans="1:21" hidden="1" x14ac:dyDescent="0.25">
      <c r="A2307">
        <v>43109.290500000003</v>
      </c>
      <c r="B2307">
        <v>2319.6855999999998</v>
      </c>
      <c r="C2307">
        <v>14</v>
      </c>
      <c r="D2307" t="s">
        <v>622</v>
      </c>
      <c r="F2307">
        <v>1974</v>
      </c>
      <c r="G2307" s="1" t="s">
        <v>140</v>
      </c>
      <c r="H2307" s="1" t="s">
        <v>428</v>
      </c>
      <c r="I2307">
        <v>0.39950000000000002</v>
      </c>
      <c r="J2307">
        <v>43109.317900000002</v>
      </c>
      <c r="K2307">
        <v>1.47E-3</v>
      </c>
      <c r="L2307">
        <v>2.48E-3</v>
      </c>
      <c r="M2307">
        <v>4.6100000000000002E-2</v>
      </c>
      <c r="N2307">
        <v>0.1244</v>
      </c>
      <c r="O2307">
        <v>2.8300000000000001E-3</v>
      </c>
      <c r="P2307" s="3">
        <f t="shared" si="144"/>
        <v>2319.6855907429049</v>
      </c>
      <c r="Q2307" s="3">
        <f t="shared" si="145"/>
        <v>1.4743769625056302E-3</v>
      </c>
      <c r="R2307" s="3">
        <f t="shared" ref="R2307:R2370" si="146">$L2307</f>
        <v>2.48E-3</v>
      </c>
      <c r="S2307">
        <f t="shared" si="143"/>
        <v>55</v>
      </c>
      <c r="T2307">
        <f>INDEX([1]IDEN_level_ids!$B:$B,MATCH(G2307,[1]IDEN_level_ids!$A:$A,0),1)</f>
        <v>1198</v>
      </c>
      <c r="U2307">
        <f>INDEX([1]IDEN_level_ids!$B:$B,MATCH(H2307,[1]IDEN_level_ids!$A:$A,0),1)</f>
        <v>1060</v>
      </c>
    </row>
    <row r="2308" spans="1:21" hidden="1" x14ac:dyDescent="0.25">
      <c r="A2308">
        <v>43103.400199999996</v>
      </c>
      <c r="B2308">
        <v>2320.0025999999998</v>
      </c>
      <c r="C2308">
        <v>14</v>
      </c>
      <c r="D2308" t="s">
        <v>622</v>
      </c>
      <c r="E2308" t="s">
        <v>427</v>
      </c>
      <c r="F2308">
        <v>1974</v>
      </c>
      <c r="G2308" s="1" t="s">
        <v>108</v>
      </c>
      <c r="H2308" s="1" t="s">
        <v>560</v>
      </c>
      <c r="I2308">
        <v>0</v>
      </c>
      <c r="J2308">
        <v>43103.455900000001</v>
      </c>
      <c r="K2308">
        <v>3.0000000000000001E-3</v>
      </c>
      <c r="L2308">
        <v>2.6199999999999999E-3</v>
      </c>
      <c r="M2308">
        <v>4.87E-2</v>
      </c>
      <c r="N2308">
        <v>0.75360000000000005</v>
      </c>
      <c r="O2308">
        <v>1.065E-2</v>
      </c>
      <c r="P2308" s="3">
        <f t="shared" si="144"/>
        <v>2320.0025876380864</v>
      </c>
      <c r="Q2308" s="3">
        <f t="shared" si="145"/>
        <v>2.997999613853608E-3</v>
      </c>
      <c r="R2308" s="3">
        <f t="shared" si="146"/>
        <v>2.6199999999999999E-3</v>
      </c>
      <c r="S2308">
        <f t="shared" ref="S2308:S2371" si="147">IF(D2308=D2307,S2307,S2307+1)</f>
        <v>55</v>
      </c>
      <c r="T2308">
        <f>INDEX([1]IDEN_level_ids!$B:$B,MATCH(G2308,[1]IDEN_level_ids!$A:$A,0),1)</f>
        <v>1149</v>
      </c>
      <c r="U2308">
        <f>INDEX([1]IDEN_level_ids!$B:$B,MATCH(H2308,[1]IDEN_level_ids!$A:$A,0),1)</f>
        <v>993</v>
      </c>
    </row>
    <row r="2309" spans="1:21" hidden="1" x14ac:dyDescent="0.25">
      <c r="A2309">
        <v>43101.300199999998</v>
      </c>
      <c r="B2309">
        <v>2320.1156000000001</v>
      </c>
      <c r="C2309">
        <v>14</v>
      </c>
      <c r="D2309" t="s">
        <v>622</v>
      </c>
      <c r="E2309" t="s">
        <v>607</v>
      </c>
      <c r="F2309">
        <v>1974</v>
      </c>
      <c r="G2309" s="1" t="s">
        <v>140</v>
      </c>
      <c r="H2309" s="1" t="s">
        <v>377</v>
      </c>
      <c r="I2309">
        <v>0.33889999999999998</v>
      </c>
      <c r="J2309">
        <v>43101.328800000003</v>
      </c>
      <c r="K2309">
        <v>1.5399999999999999E-3</v>
      </c>
      <c r="L2309">
        <v>1.2700000000000001E-3</v>
      </c>
      <c r="M2309">
        <v>2.3599999999999999E-2</v>
      </c>
      <c r="N2309">
        <v>0.33600000000000002</v>
      </c>
      <c r="O2309">
        <v>1.91E-3</v>
      </c>
      <c r="P2309" s="3">
        <f t="shared" si="144"/>
        <v>2320.1156237973537</v>
      </c>
      <c r="Q2309" s="3">
        <f t="shared" si="145"/>
        <v>1.5395188197544485E-3</v>
      </c>
      <c r="R2309" s="3">
        <f t="shared" si="146"/>
        <v>1.2700000000000001E-3</v>
      </c>
      <c r="S2309">
        <f t="shared" si="147"/>
        <v>55</v>
      </c>
      <c r="T2309">
        <f>INDEX([1]IDEN_level_ids!$B:$B,MATCH(G2309,[1]IDEN_level_ids!$A:$A,0),1)</f>
        <v>1198</v>
      </c>
      <c r="U2309">
        <f>INDEX([1]IDEN_level_ids!$B:$B,MATCH(H2309,[1]IDEN_level_ids!$A:$A,0),1)</f>
        <v>1057</v>
      </c>
    </row>
    <row r="2310" spans="1:21" hidden="1" x14ac:dyDescent="0.25">
      <c r="A2310">
        <v>43088.000200000002</v>
      </c>
      <c r="B2310">
        <v>2320.8317999999999</v>
      </c>
      <c r="C2310">
        <v>14</v>
      </c>
      <c r="D2310" t="s">
        <v>622</v>
      </c>
      <c r="F2310">
        <v>1974</v>
      </c>
      <c r="G2310" s="1" t="s">
        <v>86</v>
      </c>
      <c r="H2310" s="1" t="s">
        <v>477</v>
      </c>
      <c r="I2310">
        <v>0.32490000000000002</v>
      </c>
      <c r="J2310">
        <v>43088.090100000001</v>
      </c>
      <c r="K2310">
        <v>4.8399999999999997E-3</v>
      </c>
      <c r="L2310">
        <v>2.48E-3</v>
      </c>
      <c r="M2310">
        <v>4.6100000000000002E-2</v>
      </c>
      <c r="N2310">
        <v>0.15179999999999999</v>
      </c>
      <c r="O2310">
        <v>2.9299999999999999E-3</v>
      </c>
      <c r="P2310" s="3">
        <f t="shared" si="144"/>
        <v>2320.8317753396223</v>
      </c>
      <c r="Q2310" s="3">
        <f t="shared" si="145"/>
        <v>4.8422377535644046E-3</v>
      </c>
      <c r="R2310" s="3">
        <f t="shared" si="146"/>
        <v>2.48E-3</v>
      </c>
      <c r="S2310">
        <f t="shared" si="147"/>
        <v>55</v>
      </c>
      <c r="T2310">
        <f>INDEX([1]IDEN_level_ids!$B:$B,MATCH(G2310,[1]IDEN_level_ids!$A:$A,0),1)</f>
        <v>1183</v>
      </c>
      <c r="U2310">
        <f>INDEX([1]IDEN_level_ids!$B:$B,MATCH(H2310,[1]IDEN_level_ids!$A:$A,0),1)</f>
        <v>1045</v>
      </c>
    </row>
    <row r="2311" spans="1:21" hidden="1" x14ac:dyDescent="0.25">
      <c r="A2311">
        <v>43086.069900000002</v>
      </c>
      <c r="B2311">
        <v>2320.9358000000002</v>
      </c>
      <c r="C2311">
        <v>14</v>
      </c>
      <c r="D2311" t="s">
        <v>622</v>
      </c>
      <c r="F2311">
        <v>1974</v>
      </c>
      <c r="G2311" s="1" t="s">
        <v>204</v>
      </c>
      <c r="H2311" s="1" t="s">
        <v>454</v>
      </c>
      <c r="I2311">
        <v>0</v>
      </c>
      <c r="J2311">
        <v>43086.109900000003</v>
      </c>
      <c r="K2311">
        <v>2.15E-3</v>
      </c>
      <c r="L2311">
        <v>2.48E-3</v>
      </c>
      <c r="M2311">
        <v>4.6100000000000002E-2</v>
      </c>
      <c r="N2311">
        <v>0.1331</v>
      </c>
      <c r="O2311">
        <v>2.8600000000000001E-3</v>
      </c>
      <c r="P2311" s="3">
        <f t="shared" si="144"/>
        <v>2320.9357509769065</v>
      </c>
      <c r="Q2311" s="3">
        <f t="shared" si="145"/>
        <v>2.1546951033997175E-3</v>
      </c>
      <c r="R2311" s="3">
        <f t="shared" si="146"/>
        <v>2.48E-3</v>
      </c>
      <c r="S2311">
        <f t="shared" si="147"/>
        <v>55</v>
      </c>
      <c r="T2311">
        <f>INDEX([1]IDEN_level_ids!$B:$B,MATCH(G2311,[1]IDEN_level_ids!$A:$A,0),1)</f>
        <v>1176</v>
      </c>
      <c r="U2311">
        <f>INDEX([1]IDEN_level_ids!$B:$B,MATCH(H2311,[1]IDEN_level_ids!$A:$A,0),1)</f>
        <v>1036</v>
      </c>
    </row>
    <row r="2312" spans="1:21" hidden="1" x14ac:dyDescent="0.25">
      <c r="A2312">
        <v>43073.390299999999</v>
      </c>
      <c r="B2312">
        <v>2321.6190000000001</v>
      </c>
      <c r="C2312">
        <v>14</v>
      </c>
      <c r="D2312" t="s">
        <v>622</v>
      </c>
      <c r="F2312">
        <v>1974</v>
      </c>
      <c r="G2312" s="1" t="s">
        <v>407</v>
      </c>
      <c r="H2312" s="1" t="s">
        <v>121</v>
      </c>
      <c r="I2312">
        <v>-0.27489999999999998</v>
      </c>
      <c r="J2312">
        <v>43073.453300000001</v>
      </c>
      <c r="K2312">
        <v>3.3999999999999998E-3</v>
      </c>
      <c r="L2312">
        <v>2.48E-3</v>
      </c>
      <c r="M2312">
        <v>4.6100000000000002E-2</v>
      </c>
      <c r="N2312">
        <v>0.17030000000000001</v>
      </c>
      <c r="O2312">
        <v>2.99E-3</v>
      </c>
      <c r="P2312" s="3">
        <f t="shared" si="144"/>
        <v>2321.618969473132</v>
      </c>
      <c r="Q2312" s="3">
        <f t="shared" si="145"/>
        <v>3.3956412562474725E-3</v>
      </c>
      <c r="R2312" s="3">
        <f t="shared" si="146"/>
        <v>2.48E-3</v>
      </c>
      <c r="S2312">
        <f t="shared" si="147"/>
        <v>55</v>
      </c>
      <c r="T2312">
        <f>INDEX([1]IDEN_level_ids!$B:$B,MATCH(G2312,[1]IDEN_level_ids!$A:$A,0),1)</f>
        <v>1073</v>
      </c>
      <c r="U2312">
        <f>INDEX([1]IDEN_level_ids!$B:$B,MATCH(H2312,[1]IDEN_level_ids!$A:$A,0),1)</f>
        <v>860</v>
      </c>
    </row>
    <row r="2313" spans="1:21" hidden="1" x14ac:dyDescent="0.25">
      <c r="A2313">
        <v>43060.8894</v>
      </c>
      <c r="B2313">
        <v>2322.2930000000001</v>
      </c>
      <c r="C2313">
        <v>14</v>
      </c>
      <c r="D2313" t="s">
        <v>622</v>
      </c>
      <c r="F2313">
        <v>1974</v>
      </c>
      <c r="G2313" s="1" t="s">
        <v>182</v>
      </c>
      <c r="H2313" s="1" t="s">
        <v>413</v>
      </c>
      <c r="I2313">
        <v>6.4600000000000005E-2</v>
      </c>
      <c r="J2313">
        <v>43060.937700000002</v>
      </c>
      <c r="K2313">
        <v>2.6099999999999999E-3</v>
      </c>
      <c r="L2313">
        <v>2.48E-3</v>
      </c>
      <c r="M2313">
        <v>4.6100000000000002E-2</v>
      </c>
      <c r="N2313">
        <v>0.248</v>
      </c>
      <c r="O2313">
        <v>3.3E-3</v>
      </c>
      <c r="P2313" s="3">
        <f t="shared" si="144"/>
        <v>2322.2929529179673</v>
      </c>
      <c r="Q2313" s="3">
        <f t="shared" si="145"/>
        <v>2.6048376003018348E-3</v>
      </c>
      <c r="R2313" s="3">
        <f t="shared" si="146"/>
        <v>2.48E-3</v>
      </c>
      <c r="S2313">
        <f t="shared" si="147"/>
        <v>55</v>
      </c>
      <c r="T2313">
        <f>INDEX([1]IDEN_level_ids!$B:$B,MATCH(G2313,[1]IDEN_level_ids!$A:$A,0),1)</f>
        <v>1210</v>
      </c>
      <c r="U2313">
        <f>INDEX([1]IDEN_level_ids!$B:$B,MATCH(H2313,[1]IDEN_level_ids!$A:$A,0),1)</f>
        <v>1071</v>
      </c>
    </row>
    <row r="2314" spans="1:21" hidden="1" x14ac:dyDescent="0.25">
      <c r="A2314">
        <v>43059.180200000003</v>
      </c>
      <c r="B2314">
        <v>2322.3851</v>
      </c>
      <c r="C2314">
        <v>14</v>
      </c>
      <c r="D2314" t="s">
        <v>622</v>
      </c>
      <c r="F2314">
        <v>1974</v>
      </c>
      <c r="G2314" s="1" t="s">
        <v>602</v>
      </c>
      <c r="H2314" s="1" t="s">
        <v>615</v>
      </c>
      <c r="I2314">
        <v>-9.4000000000000004E-3</v>
      </c>
      <c r="J2314">
        <v>43059.194100000001</v>
      </c>
      <c r="K2314">
        <v>7.5000000000000002E-4</v>
      </c>
      <c r="L2314">
        <v>2.48E-3</v>
      </c>
      <c r="M2314">
        <v>4.6100000000000002E-2</v>
      </c>
      <c r="N2314">
        <v>0.314</v>
      </c>
      <c r="O2314">
        <v>3.62E-3</v>
      </c>
      <c r="P2314" s="3">
        <f t="shared" si="144"/>
        <v>2322.3851344945019</v>
      </c>
      <c r="Q2314" s="3">
        <f t="shared" si="145"/>
        <v>7.4969246497857966E-4</v>
      </c>
      <c r="R2314" s="3">
        <f t="shared" si="146"/>
        <v>2.48E-3</v>
      </c>
      <c r="S2314">
        <f t="shared" si="147"/>
        <v>55</v>
      </c>
      <c r="T2314">
        <f>INDEX([1]IDEN_level_ids!$B:$B,MATCH(G2314,[1]IDEN_level_ids!$A:$A,0),1)</f>
        <v>1125</v>
      </c>
      <c r="U2314">
        <f>INDEX([1]IDEN_level_ids!$B:$B,MATCH(H2314,[1]IDEN_level_ids!$A:$A,0),1)</f>
        <v>962</v>
      </c>
    </row>
    <row r="2315" spans="1:21" hidden="1" x14ac:dyDescent="0.25">
      <c r="A2315">
        <v>43029.2111</v>
      </c>
      <c r="B2315">
        <v>2324.0025999999998</v>
      </c>
      <c r="C2315">
        <v>14</v>
      </c>
      <c r="D2315" t="s">
        <v>622</v>
      </c>
      <c r="F2315">
        <v>1974</v>
      </c>
      <c r="G2315" s="1" t="s">
        <v>166</v>
      </c>
      <c r="H2315" s="1" t="s">
        <v>468</v>
      </c>
      <c r="I2315">
        <v>0.16639999999999999</v>
      </c>
      <c r="J2315">
        <v>43029.252099999998</v>
      </c>
      <c r="K2315">
        <v>2.2200000000000002E-3</v>
      </c>
      <c r="L2315">
        <v>2.49E-3</v>
      </c>
      <c r="M2315">
        <v>4.6100000000000002E-2</v>
      </c>
      <c r="N2315">
        <v>0.1091</v>
      </c>
      <c r="O2315">
        <v>2.7899999999999999E-3</v>
      </c>
      <c r="P2315" s="3">
        <f t="shared" si="144"/>
        <v>2324.0026355026525</v>
      </c>
      <c r="Q2315" s="3">
        <f t="shared" si="145"/>
        <v>2.2144030722301977E-3</v>
      </c>
      <c r="R2315" s="3">
        <f t="shared" si="146"/>
        <v>2.49E-3</v>
      </c>
      <c r="S2315">
        <f t="shared" si="147"/>
        <v>55</v>
      </c>
      <c r="T2315">
        <f>INDEX([1]IDEN_level_ids!$B:$B,MATCH(G2315,[1]IDEN_level_ids!$A:$A,0),1)</f>
        <v>1186</v>
      </c>
      <c r="U2315">
        <f>INDEX([1]IDEN_level_ids!$B:$B,MATCH(H2315,[1]IDEN_level_ids!$A:$A,0),1)</f>
        <v>1044</v>
      </c>
    </row>
    <row r="2316" spans="1:21" hidden="1" x14ac:dyDescent="0.25">
      <c r="A2316">
        <v>43025.451300000001</v>
      </c>
      <c r="B2316">
        <v>2324.2057</v>
      </c>
      <c r="C2316">
        <v>14</v>
      </c>
      <c r="D2316" t="s">
        <v>622</v>
      </c>
      <c r="F2316">
        <v>1974</v>
      </c>
      <c r="G2316" s="1" t="s">
        <v>265</v>
      </c>
      <c r="H2316" s="1" t="s">
        <v>579</v>
      </c>
      <c r="I2316">
        <v>0</v>
      </c>
      <c r="J2316">
        <v>43025.427600000003</v>
      </c>
      <c r="K2316">
        <v>-1.2800000000000001E-3</v>
      </c>
      <c r="L2316">
        <v>2.49E-3</v>
      </c>
      <c r="M2316">
        <v>4.6100000000000002E-2</v>
      </c>
      <c r="N2316">
        <v>0.37330000000000002</v>
      </c>
      <c r="O2316">
        <v>3.9699999999999996E-3</v>
      </c>
      <c r="P2316" s="3">
        <f t="shared" si="144"/>
        <v>2324.2057196039218</v>
      </c>
      <c r="Q2316" s="3">
        <f t="shared" si="145"/>
        <v>-1.280258642964327E-3</v>
      </c>
      <c r="R2316" s="3">
        <f t="shared" si="146"/>
        <v>2.49E-3</v>
      </c>
      <c r="S2316">
        <f t="shared" si="147"/>
        <v>55</v>
      </c>
      <c r="T2316">
        <f>INDEX([1]IDEN_level_ids!$B:$B,MATCH(G2316,[1]IDEN_level_ids!$A:$A,0),1)</f>
        <v>1161</v>
      </c>
      <c r="U2316">
        <f>INDEX([1]IDEN_level_ids!$B:$B,MATCH(H2316,[1]IDEN_level_ids!$A:$A,0),1)</f>
        <v>1007</v>
      </c>
    </row>
    <row r="2317" spans="1:21" hidden="1" x14ac:dyDescent="0.25">
      <c r="A2317">
        <v>43007.949200000003</v>
      </c>
      <c r="B2317">
        <v>2325.1516000000001</v>
      </c>
      <c r="C2317">
        <v>14</v>
      </c>
      <c r="D2317" t="s">
        <v>627</v>
      </c>
      <c r="F2317">
        <v>1974</v>
      </c>
      <c r="G2317" s="1" t="s">
        <v>407</v>
      </c>
      <c r="H2317" s="1" t="s">
        <v>336</v>
      </c>
      <c r="I2317">
        <v>-0.27489999999999998</v>
      </c>
      <c r="J2317">
        <v>43007.971599999997</v>
      </c>
      <c r="K2317">
        <v>1.2099999999999999E-3</v>
      </c>
      <c r="L2317">
        <v>2.49E-3</v>
      </c>
      <c r="M2317">
        <v>4.6100000000000002E-2</v>
      </c>
      <c r="N2317">
        <v>0.24679999999999999</v>
      </c>
      <c r="O2317">
        <v>3.31E-3</v>
      </c>
      <c r="P2317" s="3">
        <f t="shared" si="144"/>
        <v>2325.1515559360823</v>
      </c>
      <c r="Q2317" s="3">
        <f t="shared" si="145"/>
        <v>1.2110172347092885E-3</v>
      </c>
      <c r="R2317" s="3">
        <f t="shared" si="146"/>
        <v>2.49E-3</v>
      </c>
      <c r="S2317">
        <f t="shared" si="147"/>
        <v>56</v>
      </c>
      <c r="T2317">
        <f>INDEX([1]IDEN_level_ids!$B:$B,MATCH(G2317,[1]IDEN_level_ids!$A:$A,0),1)</f>
        <v>1073</v>
      </c>
      <c r="U2317">
        <f>INDEX([1]IDEN_level_ids!$B:$B,MATCH(H2317,[1]IDEN_level_ids!$A:$A,0),1)</f>
        <v>861</v>
      </c>
    </row>
    <row r="2318" spans="1:21" hidden="1" x14ac:dyDescent="0.25">
      <c r="A2318">
        <v>43001.120199999998</v>
      </c>
      <c r="B2318">
        <v>2325.5207999999998</v>
      </c>
      <c r="C2318">
        <v>14</v>
      </c>
      <c r="D2318" t="s">
        <v>627</v>
      </c>
      <c r="F2318">
        <v>1974</v>
      </c>
      <c r="G2318" s="1" t="s">
        <v>268</v>
      </c>
      <c r="H2318" s="1" t="s">
        <v>528</v>
      </c>
      <c r="I2318">
        <v>0</v>
      </c>
      <c r="J2318">
        <v>43001.161599999999</v>
      </c>
      <c r="K2318">
        <v>2.2399999999999998E-3</v>
      </c>
      <c r="L2318">
        <v>2.49E-3</v>
      </c>
      <c r="M2318">
        <v>4.6100000000000002E-2</v>
      </c>
      <c r="N2318">
        <v>0.19420000000000001</v>
      </c>
      <c r="O2318">
        <v>3.0899999999999999E-3</v>
      </c>
      <c r="P2318" s="3">
        <f t="shared" si="144"/>
        <v>2325.520812827569</v>
      </c>
      <c r="Q2318" s="3">
        <f t="shared" si="145"/>
        <v>2.238929323539196E-3</v>
      </c>
      <c r="R2318" s="3">
        <f t="shared" si="146"/>
        <v>2.49E-3</v>
      </c>
      <c r="S2318">
        <f t="shared" si="147"/>
        <v>56</v>
      </c>
      <c r="T2318">
        <f>INDEX([1]IDEN_level_ids!$B:$B,MATCH(G2318,[1]IDEN_level_ids!$A:$A,0),1)</f>
        <v>1160</v>
      </c>
      <c r="U2318">
        <f>INDEX([1]IDEN_level_ids!$B:$B,MATCH(H2318,[1]IDEN_level_ids!$A:$A,0),1)</f>
        <v>1009</v>
      </c>
    </row>
    <row r="2319" spans="1:21" hidden="1" x14ac:dyDescent="0.25">
      <c r="A2319">
        <v>42997.258999999998</v>
      </c>
      <c r="B2319">
        <v>2325.7296000000001</v>
      </c>
      <c r="C2319">
        <v>14</v>
      </c>
      <c r="D2319" t="s">
        <v>627</v>
      </c>
      <c r="F2319">
        <v>1974</v>
      </c>
      <c r="G2319" s="1" t="s">
        <v>377</v>
      </c>
      <c r="H2319" s="1" t="s">
        <v>322</v>
      </c>
      <c r="I2319">
        <v>-0.33889999999999998</v>
      </c>
      <c r="J2319">
        <v>42997.288800000002</v>
      </c>
      <c r="K2319">
        <v>1.6100000000000001E-3</v>
      </c>
      <c r="L2319">
        <v>2.49E-3</v>
      </c>
      <c r="M2319">
        <v>4.6100000000000002E-2</v>
      </c>
      <c r="N2319">
        <v>0.2409</v>
      </c>
      <c r="O2319">
        <v>3.2799999999999999E-3</v>
      </c>
      <c r="P2319" s="3">
        <f t="shared" si="144"/>
        <v>2325.7296470921556</v>
      </c>
      <c r="Q2319" s="3">
        <f t="shared" si="145"/>
        <v>1.6118863636620517E-3</v>
      </c>
      <c r="R2319" s="3">
        <f t="shared" si="146"/>
        <v>2.49E-3</v>
      </c>
      <c r="S2319">
        <f t="shared" si="147"/>
        <v>56</v>
      </c>
      <c r="T2319">
        <f>INDEX([1]IDEN_level_ids!$B:$B,MATCH(G2319,[1]IDEN_level_ids!$A:$A,0),1)</f>
        <v>1057</v>
      </c>
      <c r="U2319">
        <f>INDEX([1]IDEN_level_ids!$B:$B,MATCH(H2319,[1]IDEN_level_ids!$A:$A,0),1)</f>
        <v>830</v>
      </c>
    </row>
    <row r="2320" spans="1:21" hidden="1" x14ac:dyDescent="0.25">
      <c r="A2320">
        <v>42983.949000000001</v>
      </c>
      <c r="B2320">
        <v>2326.4497999999999</v>
      </c>
      <c r="C2320">
        <v>14</v>
      </c>
      <c r="D2320" t="s">
        <v>627</v>
      </c>
      <c r="E2320" t="s">
        <v>427</v>
      </c>
      <c r="F2320">
        <v>1974</v>
      </c>
      <c r="G2320" s="1" t="s">
        <v>238</v>
      </c>
      <c r="H2320" s="1" t="s">
        <v>570</v>
      </c>
      <c r="I2320">
        <v>0</v>
      </c>
      <c r="J2320">
        <v>42984.036899999999</v>
      </c>
      <c r="K2320">
        <v>4.7499999999999999E-3</v>
      </c>
      <c r="L2320">
        <v>2.64E-3</v>
      </c>
      <c r="M2320">
        <v>4.87E-2</v>
      </c>
      <c r="N2320">
        <v>0.1123</v>
      </c>
      <c r="O2320">
        <v>2.97E-3</v>
      </c>
      <c r="P2320" s="3">
        <f t="shared" si="144"/>
        <v>2326.4498103699125</v>
      </c>
      <c r="Q2320" s="3">
        <f t="shared" si="145"/>
        <v>4.7574623758919188E-3</v>
      </c>
      <c r="R2320" s="3">
        <f t="shared" si="146"/>
        <v>2.64E-3</v>
      </c>
      <c r="S2320">
        <f t="shared" si="147"/>
        <v>56</v>
      </c>
      <c r="T2320">
        <f>INDEX([1]IDEN_level_ids!$B:$B,MATCH(G2320,[1]IDEN_level_ids!$A:$A,0),1)</f>
        <v>1165</v>
      </c>
      <c r="U2320">
        <f>INDEX([1]IDEN_level_ids!$B:$B,MATCH(H2320,[1]IDEN_level_ids!$A:$A,0),1)</f>
        <v>1015</v>
      </c>
    </row>
    <row r="2321" spans="1:21" hidden="1" x14ac:dyDescent="0.25">
      <c r="A2321">
        <v>42982.209699999999</v>
      </c>
      <c r="B2321">
        <v>2326.5439999999999</v>
      </c>
      <c r="C2321">
        <v>14</v>
      </c>
      <c r="D2321" t="s">
        <v>627</v>
      </c>
      <c r="F2321">
        <v>1974</v>
      </c>
      <c r="G2321" s="1" t="s">
        <v>193</v>
      </c>
      <c r="H2321" s="1" t="s">
        <v>401</v>
      </c>
      <c r="I2321">
        <v>6.8900000000000003E-2</v>
      </c>
      <c r="J2321">
        <v>42982.236400000002</v>
      </c>
      <c r="K2321">
        <v>1.4499999999999999E-3</v>
      </c>
      <c r="L2321">
        <v>2.49E-3</v>
      </c>
      <c r="M2321">
        <v>4.6100000000000002E-2</v>
      </c>
      <c r="N2321">
        <v>0.14369999999999999</v>
      </c>
      <c r="O2321">
        <v>2.9099999999999998E-3</v>
      </c>
      <c r="P2321" s="3">
        <f t="shared" si="144"/>
        <v>2326.543951508384</v>
      </c>
      <c r="Q2321" s="3">
        <f t="shared" si="145"/>
        <v>1.445218506432866E-3</v>
      </c>
      <c r="R2321" s="3">
        <f t="shared" si="146"/>
        <v>2.49E-3</v>
      </c>
      <c r="S2321">
        <f t="shared" si="147"/>
        <v>56</v>
      </c>
      <c r="T2321">
        <f>INDEX([1]IDEN_level_ids!$B:$B,MATCH(G2321,[1]IDEN_level_ids!$A:$A,0),1)</f>
        <v>1202</v>
      </c>
      <c r="U2321">
        <f>INDEX([1]IDEN_level_ids!$B:$B,MATCH(H2321,[1]IDEN_level_ids!$A:$A,0),1)</f>
        <v>1063</v>
      </c>
    </row>
    <row r="2322" spans="1:21" hidden="1" x14ac:dyDescent="0.25">
      <c r="A2322">
        <v>42977.719700000001</v>
      </c>
      <c r="B2322">
        <v>2326.7869999999998</v>
      </c>
      <c r="C2322">
        <v>14</v>
      </c>
      <c r="D2322" t="s">
        <v>627</v>
      </c>
      <c r="F2322">
        <v>1974</v>
      </c>
      <c r="G2322" s="1" t="s">
        <v>46</v>
      </c>
      <c r="H2322" s="1" t="s">
        <v>396</v>
      </c>
      <c r="I2322">
        <v>0.42980000000000002</v>
      </c>
      <c r="J2322">
        <v>42977.811000000002</v>
      </c>
      <c r="K2322">
        <v>4.9399999999999999E-3</v>
      </c>
      <c r="L2322">
        <v>2.49E-3</v>
      </c>
      <c r="M2322">
        <v>4.6100000000000002E-2</v>
      </c>
      <c r="N2322">
        <v>0.12559999999999999</v>
      </c>
      <c r="O2322">
        <v>2.8500000000000001E-3</v>
      </c>
      <c r="P2322" s="3">
        <f t="shared" si="144"/>
        <v>2326.7870119223658</v>
      </c>
      <c r="Q2322" s="3">
        <f t="shared" si="145"/>
        <v>4.9429147097725945E-3</v>
      </c>
      <c r="R2322" s="3">
        <f t="shared" si="146"/>
        <v>2.49E-3</v>
      </c>
      <c r="S2322">
        <f t="shared" si="147"/>
        <v>56</v>
      </c>
      <c r="T2322">
        <f>INDEX([1]IDEN_level_ids!$B:$B,MATCH(G2322,[1]IDEN_level_ids!$A:$A,0),1)</f>
        <v>1212</v>
      </c>
      <c r="U2322">
        <f>INDEX([1]IDEN_level_ids!$B:$B,MATCH(H2322,[1]IDEN_level_ids!$A:$A,0),1)</f>
        <v>1072</v>
      </c>
    </row>
    <row r="2323" spans="1:21" hidden="1" x14ac:dyDescent="0.25">
      <c r="A2323">
        <v>42976.680999999997</v>
      </c>
      <c r="B2323">
        <v>2326.8431999999998</v>
      </c>
      <c r="C2323">
        <v>14</v>
      </c>
      <c r="D2323" t="s">
        <v>627</v>
      </c>
      <c r="F2323">
        <v>1974</v>
      </c>
      <c r="G2323" s="1" t="s">
        <v>62</v>
      </c>
      <c r="H2323" s="1" t="s">
        <v>466</v>
      </c>
      <c r="I2323">
        <v>0.3876</v>
      </c>
      <c r="J2323">
        <v>42976.709900000002</v>
      </c>
      <c r="K2323">
        <v>1.57E-3</v>
      </c>
      <c r="L2323">
        <v>2.49E-3</v>
      </c>
      <c r="M2323">
        <v>4.6100000000000002E-2</v>
      </c>
      <c r="N2323">
        <v>0.2046</v>
      </c>
      <c r="O2323">
        <v>3.14E-3</v>
      </c>
      <c r="P2323" s="3">
        <f t="shared" si="144"/>
        <v>2326.8432478534119</v>
      </c>
      <c r="Q2323" s="3">
        <f t="shared" si="145"/>
        <v>1.5647026039005141E-3</v>
      </c>
      <c r="R2323" s="3">
        <f t="shared" si="146"/>
        <v>2.49E-3</v>
      </c>
      <c r="S2323">
        <f t="shared" si="147"/>
        <v>56</v>
      </c>
      <c r="T2323">
        <f>INDEX([1]IDEN_level_ids!$B:$B,MATCH(G2323,[1]IDEN_level_ids!$A:$A,0),1)</f>
        <v>1203</v>
      </c>
      <c r="U2323">
        <f>INDEX([1]IDEN_level_ids!$B:$B,MATCH(H2323,[1]IDEN_level_ids!$A:$A,0),1)</f>
        <v>1061</v>
      </c>
    </row>
    <row r="2324" spans="1:21" hidden="1" x14ac:dyDescent="0.25">
      <c r="A2324">
        <v>42975.429600000003</v>
      </c>
      <c r="B2324">
        <v>2326.9110000000001</v>
      </c>
      <c r="C2324">
        <v>14</v>
      </c>
      <c r="D2324" t="s">
        <v>627</v>
      </c>
      <c r="E2324" t="s">
        <v>427</v>
      </c>
      <c r="F2324">
        <v>1974</v>
      </c>
      <c r="G2324" s="1" t="s">
        <v>452</v>
      </c>
      <c r="H2324" s="1" t="s">
        <v>626</v>
      </c>
      <c r="I2324">
        <v>-0.25619999999999998</v>
      </c>
      <c r="J2324">
        <v>42975.395700000001</v>
      </c>
      <c r="K2324">
        <v>-1.8400000000000001E-3</v>
      </c>
      <c r="L2324">
        <v>2.64E-3</v>
      </c>
      <c r="M2324">
        <v>4.87E-2</v>
      </c>
      <c r="N2324">
        <v>0.26579999999999998</v>
      </c>
      <c r="O2324">
        <v>3.5899999999999999E-3</v>
      </c>
      <c r="P2324" s="3">
        <f t="shared" si="144"/>
        <v>2326.9110031188611</v>
      </c>
      <c r="Q2324" s="3">
        <f t="shared" si="145"/>
        <v>-1.8355219708610093E-3</v>
      </c>
      <c r="R2324" s="3">
        <f t="shared" si="146"/>
        <v>2.64E-3</v>
      </c>
      <c r="S2324">
        <f t="shared" si="147"/>
        <v>56</v>
      </c>
      <c r="T2324">
        <f>INDEX([1]IDEN_level_ids!$B:$B,MATCH(G2324,[1]IDEN_level_ids!$A:$A,0),1)</f>
        <v>1033</v>
      </c>
      <c r="U2324">
        <f>INDEX([1]IDEN_level_ids!$B:$B,MATCH(H2324,[1]IDEN_level_ids!$A:$A,0),1)</f>
        <v>813</v>
      </c>
    </row>
    <row r="2325" spans="1:21" hidden="1" x14ac:dyDescent="0.25">
      <c r="A2325">
        <v>42973.2693</v>
      </c>
      <c r="B2325">
        <v>2327.0279999999998</v>
      </c>
      <c r="C2325">
        <v>14</v>
      </c>
      <c r="D2325" t="s">
        <v>627</v>
      </c>
      <c r="F2325">
        <v>1974</v>
      </c>
      <c r="G2325" s="1" t="s">
        <v>84</v>
      </c>
      <c r="H2325" s="1" t="s">
        <v>469</v>
      </c>
      <c r="I2325">
        <v>0.36720000000000003</v>
      </c>
      <c r="J2325">
        <v>42973.301599999999</v>
      </c>
      <c r="K2325">
        <v>1.75E-3</v>
      </c>
      <c r="L2325">
        <v>2.49E-3</v>
      </c>
      <c r="M2325">
        <v>4.6100000000000002E-2</v>
      </c>
      <c r="N2325">
        <v>0.14829999999999999</v>
      </c>
      <c r="O2325">
        <v>2.9299999999999999E-3</v>
      </c>
      <c r="P2325" s="3">
        <f t="shared" si="144"/>
        <v>2327.0279787626027</v>
      </c>
      <c r="Q2325" s="3">
        <f t="shared" si="145"/>
        <v>1.74906281154108E-3</v>
      </c>
      <c r="R2325" s="3">
        <f t="shared" si="146"/>
        <v>2.49E-3</v>
      </c>
      <c r="S2325">
        <f t="shared" si="147"/>
        <v>56</v>
      </c>
      <c r="T2325">
        <f>INDEX([1]IDEN_level_ids!$B:$B,MATCH(G2325,[1]IDEN_level_ids!$A:$A,0),1)</f>
        <v>1191</v>
      </c>
      <c r="U2325">
        <f>INDEX([1]IDEN_level_ids!$B:$B,MATCH(H2325,[1]IDEN_level_ids!$A:$A,0),1)</f>
        <v>1048</v>
      </c>
    </row>
    <row r="2326" spans="1:21" hidden="1" x14ac:dyDescent="0.25">
      <c r="A2326">
        <v>42966.3796</v>
      </c>
      <c r="B2326">
        <v>2327.4011</v>
      </c>
      <c r="C2326">
        <v>14</v>
      </c>
      <c r="D2326" t="s">
        <v>627</v>
      </c>
      <c r="F2326">
        <v>1974</v>
      </c>
      <c r="G2326" s="1" t="s">
        <v>293</v>
      </c>
      <c r="H2326" s="1" t="s">
        <v>495</v>
      </c>
      <c r="I2326">
        <v>0.1328</v>
      </c>
      <c r="J2326">
        <v>42966.396099999998</v>
      </c>
      <c r="K2326">
        <v>8.9999999999999998E-4</v>
      </c>
      <c r="L2326">
        <v>2.5000000000000001E-3</v>
      </c>
      <c r="M2326">
        <v>4.6100000000000002E-2</v>
      </c>
      <c r="N2326">
        <v>0.186</v>
      </c>
      <c r="O2326">
        <v>3.0699999999999998E-3</v>
      </c>
      <c r="P2326" s="3">
        <f t="shared" si="144"/>
        <v>2327.4011199212141</v>
      </c>
      <c r="Q2326" s="3">
        <f t="shared" si="145"/>
        <v>8.9377099220655509E-4</v>
      </c>
      <c r="R2326" s="3">
        <f t="shared" si="146"/>
        <v>2.5000000000000001E-3</v>
      </c>
      <c r="S2326">
        <f t="shared" si="147"/>
        <v>56</v>
      </c>
      <c r="T2326">
        <f>INDEX([1]IDEN_level_ids!$B:$B,MATCH(G2326,[1]IDEN_level_ids!$A:$A,0),1)</f>
        <v>1121</v>
      </c>
      <c r="U2326">
        <f>INDEX([1]IDEN_level_ids!$B:$B,MATCH(H2326,[1]IDEN_level_ids!$A:$A,0),1)</f>
        <v>960</v>
      </c>
    </row>
    <row r="2327" spans="1:21" hidden="1" x14ac:dyDescent="0.25">
      <c r="A2327">
        <v>42964.7192</v>
      </c>
      <c r="B2327">
        <v>2327.4911000000002</v>
      </c>
      <c r="C2327">
        <v>14</v>
      </c>
      <c r="D2327" t="s">
        <v>627</v>
      </c>
      <c r="F2327">
        <v>1974</v>
      </c>
      <c r="G2327" s="1" t="s">
        <v>216</v>
      </c>
      <c r="H2327" s="1" t="s">
        <v>540</v>
      </c>
      <c r="I2327">
        <v>0.34399999999999997</v>
      </c>
      <c r="J2327">
        <v>42964.796699999999</v>
      </c>
      <c r="K2327">
        <v>4.1999999999999997E-3</v>
      </c>
      <c r="L2327">
        <v>2.5000000000000001E-3</v>
      </c>
      <c r="M2327">
        <v>4.6100000000000002E-2</v>
      </c>
      <c r="N2327">
        <v>9.3399999999999997E-2</v>
      </c>
      <c r="O2327">
        <v>2.7499999999999998E-3</v>
      </c>
      <c r="P2327" s="3">
        <f t="shared" si="144"/>
        <v>2327.491063877359</v>
      </c>
      <c r="Q2327" s="3">
        <f t="shared" si="145"/>
        <v>4.1983337823694455E-3</v>
      </c>
      <c r="R2327" s="3">
        <f t="shared" si="146"/>
        <v>2.5000000000000001E-3</v>
      </c>
      <c r="S2327">
        <f t="shared" si="147"/>
        <v>56</v>
      </c>
      <c r="T2327">
        <f>INDEX([1]IDEN_level_ids!$B:$B,MATCH(G2327,[1]IDEN_level_ids!$A:$A,0),1)</f>
        <v>1170</v>
      </c>
      <c r="U2327">
        <f>INDEX([1]IDEN_level_ids!$B:$B,MATCH(H2327,[1]IDEN_level_ids!$A:$A,0),1)</f>
        <v>1027</v>
      </c>
    </row>
    <row r="2328" spans="1:21" hidden="1" x14ac:dyDescent="0.25">
      <c r="A2328">
        <v>42940.741199999997</v>
      </c>
      <c r="B2328">
        <v>2328.7907</v>
      </c>
      <c r="C2328">
        <v>14</v>
      </c>
      <c r="D2328" t="s">
        <v>627</v>
      </c>
      <c r="F2328">
        <v>1974</v>
      </c>
      <c r="G2328" s="1" t="s">
        <v>38</v>
      </c>
      <c r="H2328" s="1" t="s">
        <v>431</v>
      </c>
      <c r="I2328">
        <v>0.28649999999999998</v>
      </c>
      <c r="J2328">
        <v>42940.741399999999</v>
      </c>
      <c r="K2328">
        <v>1.0000000000000001E-5</v>
      </c>
      <c r="L2328">
        <v>2.5000000000000001E-3</v>
      </c>
      <c r="M2328">
        <v>4.6100000000000002E-2</v>
      </c>
      <c r="N2328">
        <v>0.12189999999999999</v>
      </c>
      <c r="O2328">
        <v>2.8400000000000001E-3</v>
      </c>
      <c r="P2328" s="3">
        <f t="shared" si="144"/>
        <v>2328.7907289313398</v>
      </c>
      <c r="Q2328" s="3">
        <f t="shared" si="145"/>
        <v>1.0846532859432045E-5</v>
      </c>
      <c r="R2328" s="3">
        <f t="shared" si="146"/>
        <v>2.5000000000000001E-3</v>
      </c>
      <c r="S2328">
        <f t="shared" si="147"/>
        <v>56</v>
      </c>
      <c r="T2328">
        <f>INDEX([1]IDEN_level_ids!$B:$B,MATCH(G2328,[1]IDEN_level_ids!$A:$A,0),1)</f>
        <v>1201</v>
      </c>
      <c r="U2328">
        <f>INDEX([1]IDEN_level_ids!$B:$B,MATCH(H2328,[1]IDEN_level_ids!$A:$A,0),1)</f>
        <v>1062</v>
      </c>
    </row>
    <row r="2329" spans="1:21" hidden="1" x14ac:dyDescent="0.25">
      <c r="A2329">
        <v>42934.030700000003</v>
      </c>
      <c r="B2329">
        <v>2329.1547</v>
      </c>
      <c r="C2329">
        <v>14</v>
      </c>
      <c r="D2329" t="s">
        <v>627</v>
      </c>
      <c r="F2329">
        <v>1974</v>
      </c>
      <c r="G2329" s="1" t="s">
        <v>207</v>
      </c>
      <c r="H2329" s="1" t="s">
        <v>454</v>
      </c>
      <c r="I2329">
        <v>0</v>
      </c>
      <c r="J2329">
        <v>42934.073400000001</v>
      </c>
      <c r="K2329">
        <v>2.32E-3</v>
      </c>
      <c r="L2329">
        <v>2.5000000000000001E-3</v>
      </c>
      <c r="M2329">
        <v>4.6100000000000002E-2</v>
      </c>
      <c r="N2329">
        <v>0.1062</v>
      </c>
      <c r="O2329">
        <v>2.8E-3</v>
      </c>
      <c r="P2329" s="3">
        <f t="shared" si="144"/>
        <v>2329.154714094896</v>
      </c>
      <c r="Q2329" s="3">
        <f t="shared" si="145"/>
        <v>2.3164563340287714E-3</v>
      </c>
      <c r="R2329" s="3">
        <f t="shared" si="146"/>
        <v>2.5000000000000001E-3</v>
      </c>
      <c r="S2329">
        <f t="shared" si="147"/>
        <v>56</v>
      </c>
      <c r="T2329">
        <f>INDEX([1]IDEN_level_ids!$B:$B,MATCH(G2329,[1]IDEN_level_ids!$A:$A,0),1)</f>
        <v>1177</v>
      </c>
      <c r="U2329">
        <f>INDEX([1]IDEN_level_ids!$B:$B,MATCH(H2329,[1]IDEN_level_ids!$A:$A,0),1)</f>
        <v>1036</v>
      </c>
    </row>
    <row r="2330" spans="1:21" hidden="1" x14ac:dyDescent="0.25">
      <c r="A2330">
        <v>42931.891000000003</v>
      </c>
      <c r="B2330">
        <v>2329.2707999999998</v>
      </c>
      <c r="C2330">
        <v>14</v>
      </c>
      <c r="D2330" t="s">
        <v>627</v>
      </c>
      <c r="E2330" t="s">
        <v>427</v>
      </c>
      <c r="F2330">
        <v>1974</v>
      </c>
      <c r="G2330" s="1" t="s">
        <v>49</v>
      </c>
      <c r="H2330" s="1" t="s">
        <v>398</v>
      </c>
      <c r="I2330">
        <v>0.31929999999999997</v>
      </c>
      <c r="J2330">
        <v>42931.923199999997</v>
      </c>
      <c r="K2330">
        <v>1.74E-3</v>
      </c>
      <c r="L2330">
        <v>2.64E-3</v>
      </c>
      <c r="M2330">
        <v>4.87E-2</v>
      </c>
      <c r="N2330">
        <v>0.1164</v>
      </c>
      <c r="O2330">
        <v>2.99E-3</v>
      </c>
      <c r="P2330" s="3">
        <f t="shared" si="144"/>
        <v>2329.2707977852638</v>
      </c>
      <c r="Q2330" s="3">
        <f t="shared" si="145"/>
        <v>1.7470104780841211E-3</v>
      </c>
      <c r="R2330" s="3">
        <f t="shared" si="146"/>
        <v>2.64E-3</v>
      </c>
      <c r="S2330">
        <f t="shared" si="147"/>
        <v>56</v>
      </c>
      <c r="T2330">
        <f>INDEX([1]IDEN_level_ids!$B:$B,MATCH(G2330,[1]IDEN_level_ids!$A:$A,0),1)</f>
        <v>1214</v>
      </c>
      <c r="U2330">
        <f>INDEX([1]IDEN_level_ids!$B:$B,MATCH(H2330,[1]IDEN_level_ids!$A:$A,0),1)</f>
        <v>1075</v>
      </c>
    </row>
    <row r="2331" spans="1:21" hidden="1" x14ac:dyDescent="0.25">
      <c r="A2331">
        <v>42929.519200000002</v>
      </c>
      <c r="B2331">
        <v>2329.3995</v>
      </c>
      <c r="C2331">
        <v>14</v>
      </c>
      <c r="D2331" t="s">
        <v>627</v>
      </c>
      <c r="F2331">
        <v>1974</v>
      </c>
      <c r="G2331" s="1" t="s">
        <v>252</v>
      </c>
      <c r="H2331" s="1" t="s">
        <v>468</v>
      </c>
      <c r="I2331">
        <v>0.16639999999999999</v>
      </c>
      <c r="J2331">
        <v>42929.6034</v>
      </c>
      <c r="K2331">
        <v>4.5700000000000003E-3</v>
      </c>
      <c r="L2331">
        <v>2.5000000000000001E-3</v>
      </c>
      <c r="M2331">
        <v>4.6100000000000002E-2</v>
      </c>
      <c r="N2331">
        <v>0.12820000000000001</v>
      </c>
      <c r="O2331">
        <v>2.8700000000000002E-3</v>
      </c>
      <c r="P2331" s="3">
        <f t="shared" si="144"/>
        <v>2329.3994869618759</v>
      </c>
      <c r="Q2331" s="3">
        <f t="shared" si="145"/>
        <v>4.5687688975704077E-3</v>
      </c>
      <c r="R2331" s="3">
        <f t="shared" si="146"/>
        <v>2.5000000000000001E-3</v>
      </c>
      <c r="S2331">
        <f t="shared" si="147"/>
        <v>56</v>
      </c>
      <c r="T2331">
        <f>INDEX([1]IDEN_level_ids!$B:$B,MATCH(G2331,[1]IDEN_level_ids!$A:$A,0),1)</f>
        <v>1188</v>
      </c>
      <c r="U2331">
        <f>INDEX([1]IDEN_level_ids!$B:$B,MATCH(H2331,[1]IDEN_level_ids!$A:$A,0),1)</f>
        <v>1044</v>
      </c>
    </row>
    <row r="2332" spans="1:21" hidden="1" x14ac:dyDescent="0.25">
      <c r="A2332">
        <v>42927.249799999998</v>
      </c>
      <c r="B2332">
        <v>2329.5225999999998</v>
      </c>
      <c r="C2332">
        <v>14</v>
      </c>
      <c r="D2332" t="s">
        <v>627</v>
      </c>
      <c r="F2332">
        <v>1974</v>
      </c>
      <c r="G2332" s="1" t="s">
        <v>267</v>
      </c>
      <c r="H2332" s="1" t="s">
        <v>502</v>
      </c>
      <c r="I2332">
        <v>4.7100000000000003E-2</v>
      </c>
      <c r="J2332">
        <v>42927.265299999999</v>
      </c>
      <c r="K2332">
        <v>8.4000000000000003E-4</v>
      </c>
      <c r="L2332">
        <v>2.5000000000000001E-3</v>
      </c>
      <c r="M2332">
        <v>4.6100000000000002E-2</v>
      </c>
      <c r="N2332">
        <v>0.21260000000000001</v>
      </c>
      <c r="O2332">
        <v>3.1700000000000001E-3</v>
      </c>
      <c r="P2332" s="3">
        <f t="shared" si="144"/>
        <v>2329.52263342992</v>
      </c>
      <c r="Q2332" s="3">
        <f t="shared" si="145"/>
        <v>8.4113442972011399E-4</v>
      </c>
      <c r="R2332" s="3">
        <f t="shared" si="146"/>
        <v>2.5000000000000001E-3</v>
      </c>
      <c r="S2332">
        <f t="shared" si="147"/>
        <v>56</v>
      </c>
      <c r="T2332">
        <f>INDEX([1]IDEN_level_ids!$B:$B,MATCH(G2332,[1]IDEN_level_ids!$A:$A,0),1)</f>
        <v>1104</v>
      </c>
      <c r="U2332">
        <f>INDEX([1]IDEN_level_ids!$B:$B,MATCH(H2332,[1]IDEN_level_ids!$A:$A,0),1)</f>
        <v>952</v>
      </c>
    </row>
    <row r="2333" spans="1:21" hidden="1" x14ac:dyDescent="0.25">
      <c r="A2333">
        <v>42924.358999999997</v>
      </c>
      <c r="B2333">
        <v>2329.6795000000002</v>
      </c>
      <c r="C2333">
        <v>14</v>
      </c>
      <c r="D2333" t="s">
        <v>627</v>
      </c>
      <c r="F2333">
        <v>1974</v>
      </c>
      <c r="G2333" s="1" t="s">
        <v>71</v>
      </c>
      <c r="H2333" s="1" t="s">
        <v>454</v>
      </c>
      <c r="I2333">
        <v>0</v>
      </c>
      <c r="J2333">
        <v>42924.404600000002</v>
      </c>
      <c r="K2333">
        <v>2.47E-3</v>
      </c>
      <c r="L2333">
        <v>2.5000000000000001E-3</v>
      </c>
      <c r="M2333">
        <v>4.6100000000000002E-2</v>
      </c>
      <c r="N2333">
        <v>0.1071</v>
      </c>
      <c r="O2333">
        <v>2.8E-3</v>
      </c>
      <c r="P2333" s="3">
        <f t="shared" si="144"/>
        <v>2329.6795183359641</v>
      </c>
      <c r="Q2333" s="3">
        <f t="shared" si="145"/>
        <v>2.4748948071646737E-3</v>
      </c>
      <c r="R2333" s="3">
        <f t="shared" si="146"/>
        <v>2.5000000000000001E-3</v>
      </c>
      <c r="S2333">
        <f t="shared" si="147"/>
        <v>56</v>
      </c>
      <c r="T2333">
        <f>INDEX([1]IDEN_level_ids!$B:$B,MATCH(G2333,[1]IDEN_level_ids!$A:$A,0),1)</f>
        <v>1179</v>
      </c>
      <c r="U2333">
        <f>INDEX([1]IDEN_level_ids!$B:$B,MATCH(H2333,[1]IDEN_level_ids!$A:$A,0),1)</f>
        <v>1036</v>
      </c>
    </row>
    <row r="2334" spans="1:21" hidden="1" x14ac:dyDescent="0.25">
      <c r="A2334">
        <v>42920.209900000002</v>
      </c>
      <c r="B2334">
        <v>2329.9047</v>
      </c>
      <c r="C2334">
        <v>14</v>
      </c>
      <c r="D2334" t="s">
        <v>627</v>
      </c>
      <c r="F2334">
        <v>1974</v>
      </c>
      <c r="G2334" s="1" t="s">
        <v>243</v>
      </c>
      <c r="H2334" s="1" t="s">
        <v>375</v>
      </c>
      <c r="I2334">
        <v>0.28789999999999999</v>
      </c>
      <c r="J2334">
        <v>42920.2745</v>
      </c>
      <c r="K2334">
        <v>3.5000000000000001E-3</v>
      </c>
      <c r="L2334">
        <v>2.5000000000000001E-3</v>
      </c>
      <c r="M2334">
        <v>4.6100000000000002E-2</v>
      </c>
      <c r="N2334">
        <v>0.1221</v>
      </c>
      <c r="O2334">
        <v>2.8500000000000001E-3</v>
      </c>
      <c r="P2334" s="3">
        <f t="shared" si="144"/>
        <v>2329.9047286346099</v>
      </c>
      <c r="Q2334" s="3">
        <f t="shared" si="145"/>
        <v>3.5067773264927382E-3</v>
      </c>
      <c r="R2334" s="3">
        <f t="shared" si="146"/>
        <v>2.5000000000000001E-3</v>
      </c>
      <c r="S2334">
        <f t="shared" si="147"/>
        <v>56</v>
      </c>
      <c r="T2334">
        <f>INDEX([1]IDEN_level_ids!$B:$B,MATCH(G2334,[1]IDEN_level_ids!$A:$A,0),1)</f>
        <v>1205</v>
      </c>
      <c r="U2334">
        <f>INDEX([1]IDEN_level_ids!$B:$B,MATCH(H2334,[1]IDEN_level_ids!$A:$A,0),1)</f>
        <v>1065</v>
      </c>
    </row>
    <row r="2335" spans="1:21" hidden="1" x14ac:dyDescent="0.25">
      <c r="A2335">
        <v>42916.5092</v>
      </c>
      <c r="B2335">
        <v>2330.1055999999999</v>
      </c>
      <c r="C2335">
        <v>14</v>
      </c>
      <c r="D2335" t="s">
        <v>627</v>
      </c>
      <c r="F2335">
        <v>1974</v>
      </c>
      <c r="G2335" s="1" t="s">
        <v>209</v>
      </c>
      <c r="H2335" s="1" t="s">
        <v>557</v>
      </c>
      <c r="I2335">
        <v>0</v>
      </c>
      <c r="J2335">
        <v>42916.571799999998</v>
      </c>
      <c r="K2335">
        <v>3.3999999999999998E-3</v>
      </c>
      <c r="L2335">
        <v>2.5000000000000001E-3</v>
      </c>
      <c r="M2335">
        <v>4.6100000000000002E-2</v>
      </c>
      <c r="N2335">
        <v>0.1573</v>
      </c>
      <c r="O2335">
        <v>2.97E-3</v>
      </c>
      <c r="P2335" s="3">
        <f t="shared" si="144"/>
        <v>2330.1056368303134</v>
      </c>
      <c r="Q2335" s="3">
        <f t="shared" si="145"/>
        <v>3.3987946089837351E-3</v>
      </c>
      <c r="R2335" s="3">
        <f t="shared" si="146"/>
        <v>2.5000000000000001E-3</v>
      </c>
      <c r="S2335">
        <f t="shared" si="147"/>
        <v>56</v>
      </c>
      <c r="T2335">
        <f>INDEX([1]IDEN_level_ids!$B:$B,MATCH(G2335,[1]IDEN_level_ids!$A:$A,0),1)</f>
        <v>1209</v>
      </c>
      <c r="U2335">
        <f>INDEX([1]IDEN_level_ids!$B:$B,MATCH(H2335,[1]IDEN_level_ids!$A:$A,0),1)</f>
        <v>1069</v>
      </c>
    </row>
    <row r="2336" spans="1:21" hidden="1" x14ac:dyDescent="0.25">
      <c r="A2336">
        <v>42915.309699999998</v>
      </c>
      <c r="B2336">
        <v>2330.1707999999999</v>
      </c>
      <c r="C2336">
        <v>14</v>
      </c>
      <c r="D2336" t="s">
        <v>627</v>
      </c>
      <c r="F2336">
        <v>1974</v>
      </c>
      <c r="G2336" s="1" t="s">
        <v>384</v>
      </c>
      <c r="H2336" s="1" t="s">
        <v>315</v>
      </c>
      <c r="I2336">
        <v>-0.45490000000000003</v>
      </c>
      <c r="J2336">
        <v>42915.338499999998</v>
      </c>
      <c r="K2336">
        <v>1.56E-3</v>
      </c>
      <c r="L2336">
        <v>2.5000000000000001E-3</v>
      </c>
      <c r="M2336">
        <v>4.6100000000000002E-2</v>
      </c>
      <c r="N2336">
        <v>0.18709999999999999</v>
      </c>
      <c r="O2336">
        <v>3.0799999999999998E-3</v>
      </c>
      <c r="P2336" s="3">
        <f t="shared" si="144"/>
        <v>2330.1707642109827</v>
      </c>
      <c r="Q2336" s="3">
        <f t="shared" si="145"/>
        <v>1.5637513379260781E-3</v>
      </c>
      <c r="R2336" s="3">
        <f t="shared" si="146"/>
        <v>2.5000000000000001E-3</v>
      </c>
      <c r="S2336">
        <f t="shared" si="147"/>
        <v>56</v>
      </c>
      <c r="T2336">
        <f>INDEX([1]IDEN_level_ids!$B:$B,MATCH(G2336,[1]IDEN_level_ids!$A:$A,0),1)</f>
        <v>1080</v>
      </c>
      <c r="U2336">
        <f>INDEX([1]IDEN_level_ids!$B:$B,MATCH(H2336,[1]IDEN_level_ids!$A:$A,0),1)</f>
        <v>877</v>
      </c>
    </row>
    <row r="2337" spans="1:21" hidden="1" x14ac:dyDescent="0.25">
      <c r="A2337">
        <v>42913.249000000003</v>
      </c>
      <c r="B2337">
        <v>2330.2827000000002</v>
      </c>
      <c r="C2337">
        <v>14</v>
      </c>
      <c r="D2337" t="s">
        <v>627</v>
      </c>
      <c r="F2337">
        <v>1974</v>
      </c>
      <c r="G2337" s="1" t="s">
        <v>381</v>
      </c>
      <c r="H2337" s="1" t="s">
        <v>314</v>
      </c>
      <c r="I2337">
        <v>-0.23219999999999999</v>
      </c>
      <c r="J2337">
        <v>42913.348299999998</v>
      </c>
      <c r="K2337">
        <v>5.3899999999999998E-3</v>
      </c>
      <c r="L2337">
        <v>2.5000000000000001E-3</v>
      </c>
      <c r="M2337">
        <v>4.6100000000000002E-2</v>
      </c>
      <c r="N2337">
        <v>0.2258</v>
      </c>
      <c r="O2337">
        <v>3.2299999999999998E-3</v>
      </c>
      <c r="P2337" s="3">
        <f t="shared" si="144"/>
        <v>2330.2826593250952</v>
      </c>
      <c r="Q2337" s="3">
        <f t="shared" si="145"/>
        <v>5.3921932735647715E-3</v>
      </c>
      <c r="R2337" s="3">
        <f t="shared" si="146"/>
        <v>2.5000000000000001E-3</v>
      </c>
      <c r="S2337">
        <f t="shared" si="147"/>
        <v>56</v>
      </c>
      <c r="T2337">
        <f>INDEX([1]IDEN_level_ids!$B:$B,MATCH(G2337,[1]IDEN_level_ids!$A:$A,0),1)</f>
        <v>1084</v>
      </c>
      <c r="U2337">
        <f>INDEX([1]IDEN_level_ids!$B:$B,MATCH(H2337,[1]IDEN_level_ids!$A:$A,0),1)</f>
        <v>889</v>
      </c>
    </row>
    <row r="2338" spans="1:21" hidden="1" x14ac:dyDescent="0.25">
      <c r="A2338">
        <v>42891.1901</v>
      </c>
      <c r="B2338">
        <v>2331.4811</v>
      </c>
      <c r="C2338">
        <v>14</v>
      </c>
      <c r="D2338" t="s">
        <v>627</v>
      </c>
      <c r="F2338">
        <v>1974</v>
      </c>
      <c r="G2338" s="1" t="s">
        <v>83</v>
      </c>
      <c r="H2338" s="1" t="s">
        <v>587</v>
      </c>
      <c r="I2338">
        <v>0.13569999999999999</v>
      </c>
      <c r="J2338">
        <v>42891.220600000001</v>
      </c>
      <c r="K2338">
        <v>1.66E-3</v>
      </c>
      <c r="L2338">
        <v>2.5000000000000001E-3</v>
      </c>
      <c r="M2338">
        <v>4.6100000000000002E-2</v>
      </c>
      <c r="N2338">
        <v>0.1133</v>
      </c>
      <c r="O2338">
        <v>2.82E-3</v>
      </c>
      <c r="P2338" s="3">
        <f t="shared" si="144"/>
        <v>2331.4811215741947</v>
      </c>
      <c r="Q2338" s="3">
        <f t="shared" si="145"/>
        <v>1.6579191083110345E-3</v>
      </c>
      <c r="R2338" s="3">
        <f t="shared" si="146"/>
        <v>2.5000000000000001E-3</v>
      </c>
      <c r="S2338">
        <f t="shared" si="147"/>
        <v>56</v>
      </c>
      <c r="T2338">
        <f>INDEX([1]IDEN_level_ids!$B:$B,MATCH(G2338,[1]IDEN_level_ids!$A:$A,0),1)</f>
        <v>1175</v>
      </c>
      <c r="U2338">
        <f>INDEX([1]IDEN_level_ids!$B:$B,MATCH(H2338,[1]IDEN_level_ids!$A:$A,0),1)</f>
        <v>1035</v>
      </c>
    </row>
    <row r="2339" spans="1:21" hidden="1" x14ac:dyDescent="0.25">
      <c r="A2339">
        <v>42871.620300000002</v>
      </c>
      <c r="B2339">
        <v>2332.5454</v>
      </c>
      <c r="C2339">
        <v>14</v>
      </c>
      <c r="D2339" t="s">
        <v>627</v>
      </c>
      <c r="F2339">
        <v>1974</v>
      </c>
      <c r="G2339" s="1" t="s">
        <v>141</v>
      </c>
      <c r="H2339" s="1" t="s">
        <v>578</v>
      </c>
      <c r="I2339">
        <v>0.25619999999999998</v>
      </c>
      <c r="J2339">
        <v>42871.681499999999</v>
      </c>
      <c r="K2339">
        <v>3.3300000000000001E-3</v>
      </c>
      <c r="L2339">
        <v>2.5100000000000001E-3</v>
      </c>
      <c r="M2339">
        <v>4.6100000000000002E-2</v>
      </c>
      <c r="N2339">
        <v>0.1167</v>
      </c>
      <c r="O2339">
        <v>2.8400000000000001E-3</v>
      </c>
      <c r="P2339" s="3">
        <f t="shared" si="144"/>
        <v>2332.5453831750788</v>
      </c>
      <c r="Q2339" s="3">
        <f t="shared" si="145"/>
        <v>3.3297452405349759E-3</v>
      </c>
      <c r="R2339" s="3">
        <f t="shared" si="146"/>
        <v>2.5100000000000001E-3</v>
      </c>
      <c r="S2339">
        <f t="shared" si="147"/>
        <v>56</v>
      </c>
      <c r="T2339">
        <f>INDEX([1]IDEN_level_ids!$B:$B,MATCH(G2339,[1]IDEN_level_ids!$A:$A,0),1)</f>
        <v>1155</v>
      </c>
      <c r="U2339">
        <f>INDEX([1]IDEN_level_ids!$B:$B,MATCH(H2339,[1]IDEN_level_ids!$A:$A,0),1)</f>
        <v>1003</v>
      </c>
    </row>
    <row r="2340" spans="1:21" hidden="1" x14ac:dyDescent="0.25">
      <c r="A2340">
        <v>42866.121200000001</v>
      </c>
      <c r="B2340">
        <v>2332.8445999999999</v>
      </c>
      <c r="C2340">
        <v>14</v>
      </c>
      <c r="D2340" t="s">
        <v>627</v>
      </c>
      <c r="F2340">
        <v>1974</v>
      </c>
      <c r="G2340" s="1" t="s">
        <v>282</v>
      </c>
      <c r="H2340" s="1" t="s">
        <v>483</v>
      </c>
      <c r="I2340">
        <v>0</v>
      </c>
      <c r="J2340">
        <v>42866.141799999998</v>
      </c>
      <c r="K2340">
        <v>1.1199999999999999E-3</v>
      </c>
      <c r="L2340">
        <v>2.5100000000000001E-3</v>
      </c>
      <c r="M2340">
        <v>4.6100000000000002E-2</v>
      </c>
      <c r="N2340">
        <v>0.26600000000000001</v>
      </c>
      <c r="O2340">
        <v>3.4199999999999999E-3</v>
      </c>
      <c r="P2340" s="3">
        <f t="shared" si="144"/>
        <v>2332.8446148283647</v>
      </c>
      <c r="Q2340" s="3">
        <f t="shared" si="145"/>
        <v>1.1210852444492048E-3</v>
      </c>
      <c r="R2340" s="3">
        <f t="shared" si="146"/>
        <v>2.5100000000000001E-3</v>
      </c>
      <c r="S2340">
        <f t="shared" si="147"/>
        <v>56</v>
      </c>
      <c r="T2340">
        <f>INDEX([1]IDEN_level_ids!$B:$B,MATCH(G2340,[1]IDEN_level_ids!$A:$A,0),1)</f>
        <v>1128</v>
      </c>
      <c r="U2340">
        <f>INDEX([1]IDEN_level_ids!$B:$B,MATCH(H2340,[1]IDEN_level_ids!$A:$A,0),1)</f>
        <v>970</v>
      </c>
    </row>
    <row r="2341" spans="1:21" hidden="1" x14ac:dyDescent="0.25">
      <c r="A2341">
        <v>42861.679499999998</v>
      </c>
      <c r="B2341">
        <v>2333.0864000000001</v>
      </c>
      <c r="C2341">
        <v>14</v>
      </c>
      <c r="D2341" t="s">
        <v>627</v>
      </c>
      <c r="F2341">
        <v>1974</v>
      </c>
      <c r="G2341" s="1" t="s">
        <v>401</v>
      </c>
      <c r="H2341" s="1" t="s">
        <v>628</v>
      </c>
      <c r="I2341">
        <v>-6.8900000000000003E-2</v>
      </c>
      <c r="J2341">
        <v>42861.716399999998</v>
      </c>
      <c r="K2341">
        <v>2.0100000000000001E-3</v>
      </c>
      <c r="L2341">
        <v>2.5100000000000001E-3</v>
      </c>
      <c r="M2341">
        <v>4.6100000000000002E-2</v>
      </c>
      <c r="N2341">
        <v>0.3876</v>
      </c>
      <c r="O2341">
        <v>4.0899999999999999E-3</v>
      </c>
      <c r="P2341" s="3">
        <f t="shared" si="144"/>
        <v>2333.0863644762217</v>
      </c>
      <c r="Q2341" s="3">
        <f t="shared" si="145"/>
        <v>2.0085730129721924E-3</v>
      </c>
      <c r="R2341" s="3">
        <f t="shared" si="146"/>
        <v>2.5100000000000001E-3</v>
      </c>
      <c r="S2341">
        <f t="shared" si="147"/>
        <v>56</v>
      </c>
      <c r="T2341">
        <f>INDEX([1]IDEN_level_ids!$B:$B,MATCH(G2341,[1]IDEN_level_ids!$A:$A,0),1)</f>
        <v>1063</v>
      </c>
      <c r="U2341">
        <f>INDEX([1]IDEN_level_ids!$B:$B,MATCH(H2341,[1]IDEN_level_ids!$A:$A,0),1)</f>
        <v>841</v>
      </c>
    </row>
    <row r="2342" spans="1:21" hidden="1" x14ac:dyDescent="0.25">
      <c r="A2342">
        <v>42857.729399999997</v>
      </c>
      <c r="B2342">
        <v>2333.3013999999998</v>
      </c>
      <c r="C2342">
        <v>14</v>
      </c>
      <c r="D2342" t="s">
        <v>627</v>
      </c>
      <c r="F2342">
        <v>1974</v>
      </c>
      <c r="G2342" s="1" t="s">
        <v>46</v>
      </c>
      <c r="H2342" s="1" t="s">
        <v>407</v>
      </c>
      <c r="I2342">
        <v>0.27489999999999998</v>
      </c>
      <c r="J2342">
        <v>42857.801500000001</v>
      </c>
      <c r="K2342">
        <v>3.9300000000000003E-3</v>
      </c>
      <c r="L2342">
        <v>2.5100000000000001E-3</v>
      </c>
      <c r="M2342">
        <v>4.6100000000000002E-2</v>
      </c>
      <c r="N2342">
        <v>0.1241</v>
      </c>
      <c r="O2342">
        <v>2.8600000000000001E-3</v>
      </c>
      <c r="P2342" s="3">
        <f t="shared" si="144"/>
        <v>2333.3013997703761</v>
      </c>
      <c r="Q2342" s="3">
        <f t="shared" si="145"/>
        <v>3.9253303957593744E-3</v>
      </c>
      <c r="R2342" s="3">
        <f t="shared" si="146"/>
        <v>2.5100000000000001E-3</v>
      </c>
      <c r="S2342">
        <f t="shared" si="147"/>
        <v>56</v>
      </c>
      <c r="T2342">
        <f>INDEX([1]IDEN_level_ids!$B:$B,MATCH(G2342,[1]IDEN_level_ids!$A:$A,0),1)</f>
        <v>1212</v>
      </c>
      <c r="U2342">
        <f>INDEX([1]IDEN_level_ids!$B:$B,MATCH(H2342,[1]IDEN_level_ids!$A:$A,0),1)</f>
        <v>1073</v>
      </c>
    </row>
    <row r="2343" spans="1:21" hidden="1" x14ac:dyDescent="0.25">
      <c r="A2343">
        <v>42839.820500000002</v>
      </c>
      <c r="B2343">
        <v>2334.2768000000001</v>
      </c>
      <c r="C2343">
        <v>14</v>
      </c>
      <c r="D2343" t="s">
        <v>627</v>
      </c>
      <c r="F2343">
        <v>1974</v>
      </c>
      <c r="G2343" s="1" t="s">
        <v>377</v>
      </c>
      <c r="H2343" s="1" t="s">
        <v>629</v>
      </c>
      <c r="I2343">
        <v>-0.33889999999999998</v>
      </c>
      <c r="J2343">
        <v>42839.910400000001</v>
      </c>
      <c r="K2343">
        <v>4.8900000000000002E-3</v>
      </c>
      <c r="L2343">
        <v>2.5100000000000001E-3</v>
      </c>
      <c r="M2343">
        <v>4.6100000000000002E-2</v>
      </c>
      <c r="N2343">
        <v>0.22059999999999999</v>
      </c>
      <c r="O2343">
        <v>3.2200000000000002E-3</v>
      </c>
      <c r="P2343" s="3">
        <f t="shared" si="144"/>
        <v>2334.2768207910676</v>
      </c>
      <c r="Q2343" s="3">
        <f t="shared" si="145"/>
        <v>4.8985043208631396E-3</v>
      </c>
      <c r="R2343" s="3">
        <f t="shared" si="146"/>
        <v>2.5100000000000001E-3</v>
      </c>
      <c r="S2343">
        <f t="shared" si="147"/>
        <v>56</v>
      </c>
      <c r="T2343">
        <f>INDEX([1]IDEN_level_ids!$B:$B,MATCH(G2343,[1]IDEN_level_ids!$A:$A,0),1)</f>
        <v>1057</v>
      </c>
      <c r="U2343">
        <f>INDEX([1]IDEN_level_ids!$B:$B,MATCH(H2343,[1]IDEN_level_ids!$A:$A,0),1)</f>
        <v>833</v>
      </c>
    </row>
    <row r="2344" spans="1:21" hidden="1" x14ac:dyDescent="0.25">
      <c r="A2344">
        <v>42836.7909</v>
      </c>
      <c r="B2344">
        <v>2334.4418999999998</v>
      </c>
      <c r="C2344">
        <v>14</v>
      </c>
      <c r="D2344" t="s">
        <v>627</v>
      </c>
      <c r="F2344">
        <v>1974</v>
      </c>
      <c r="G2344" s="1" t="s">
        <v>73</v>
      </c>
      <c r="H2344" s="1" t="s">
        <v>452</v>
      </c>
      <c r="I2344">
        <v>0.25619999999999998</v>
      </c>
      <c r="J2344">
        <v>42836.8442</v>
      </c>
      <c r="K2344">
        <v>2.9099999999999998E-3</v>
      </c>
      <c r="L2344">
        <v>2.5100000000000001E-3</v>
      </c>
      <c r="M2344">
        <v>4.6100000000000002E-2</v>
      </c>
      <c r="N2344">
        <v>0.1192</v>
      </c>
      <c r="O2344">
        <v>2.8500000000000001E-3</v>
      </c>
      <c r="P2344" s="3">
        <f t="shared" si="144"/>
        <v>2334.4419107734793</v>
      </c>
      <c r="Q2344" s="3">
        <f t="shared" si="145"/>
        <v>2.9046433310213615E-3</v>
      </c>
      <c r="R2344" s="3">
        <f t="shared" si="146"/>
        <v>2.5100000000000001E-3</v>
      </c>
      <c r="S2344">
        <f t="shared" si="147"/>
        <v>56</v>
      </c>
      <c r="T2344">
        <f>INDEX([1]IDEN_level_ids!$B:$B,MATCH(G2344,[1]IDEN_level_ids!$A:$A,0),1)</f>
        <v>1173</v>
      </c>
      <c r="U2344">
        <f>INDEX([1]IDEN_level_ids!$B:$B,MATCH(H2344,[1]IDEN_level_ids!$A:$A,0),1)</f>
        <v>1033</v>
      </c>
    </row>
    <row r="2345" spans="1:21" hidden="1" x14ac:dyDescent="0.25">
      <c r="A2345">
        <v>42820.150699999998</v>
      </c>
      <c r="B2345">
        <v>2335.3490999999999</v>
      </c>
      <c r="C2345">
        <v>14</v>
      </c>
      <c r="D2345" t="s">
        <v>627</v>
      </c>
      <c r="F2345">
        <v>1974</v>
      </c>
      <c r="G2345" s="1" t="s">
        <v>345</v>
      </c>
      <c r="H2345" s="1" t="s">
        <v>502</v>
      </c>
      <c r="I2345">
        <v>4.7100000000000003E-2</v>
      </c>
      <c r="J2345">
        <v>42820.186099999999</v>
      </c>
      <c r="K2345">
        <v>1.9300000000000001E-3</v>
      </c>
      <c r="L2345">
        <v>2.5100000000000001E-3</v>
      </c>
      <c r="M2345">
        <v>4.6100000000000002E-2</v>
      </c>
      <c r="N2345">
        <v>0.22520000000000001</v>
      </c>
      <c r="O2345">
        <v>3.2399999999999998E-3</v>
      </c>
      <c r="P2345" s="3">
        <f t="shared" si="144"/>
        <v>2335.3490906794032</v>
      </c>
      <c r="Q2345" s="3">
        <f t="shared" si="145"/>
        <v>1.9306632070765772E-3</v>
      </c>
      <c r="R2345" s="3">
        <f t="shared" si="146"/>
        <v>2.5100000000000001E-3</v>
      </c>
      <c r="S2345">
        <f t="shared" si="147"/>
        <v>56</v>
      </c>
      <c r="T2345">
        <f>INDEX([1]IDEN_level_ids!$B:$B,MATCH(G2345,[1]IDEN_level_ids!$A:$A,0),1)</f>
        <v>1106</v>
      </c>
      <c r="U2345">
        <f>INDEX([1]IDEN_level_ids!$B:$B,MATCH(H2345,[1]IDEN_level_ids!$A:$A,0),1)</f>
        <v>952</v>
      </c>
    </row>
    <row r="2346" spans="1:21" hidden="1" x14ac:dyDescent="0.25">
      <c r="A2346">
        <v>42797.420899999997</v>
      </c>
      <c r="B2346">
        <v>2336.5893999999998</v>
      </c>
      <c r="C2346">
        <v>14</v>
      </c>
      <c r="D2346" t="s">
        <v>627</v>
      </c>
      <c r="F2346">
        <v>1974</v>
      </c>
      <c r="G2346" s="1" t="s">
        <v>275</v>
      </c>
      <c r="H2346" s="1" t="s">
        <v>525</v>
      </c>
      <c r="I2346">
        <v>0</v>
      </c>
      <c r="J2346">
        <v>42797.489099999999</v>
      </c>
      <c r="K2346">
        <v>3.7200000000000002E-3</v>
      </c>
      <c r="L2346">
        <v>2.5200000000000001E-3</v>
      </c>
      <c r="M2346">
        <v>4.6100000000000002E-2</v>
      </c>
      <c r="N2346">
        <v>0.21</v>
      </c>
      <c r="O2346">
        <v>3.1800000000000001E-3</v>
      </c>
      <c r="P2346" s="3">
        <f t="shared" si="144"/>
        <v>2336.5893994794442</v>
      </c>
      <c r="Q2346" s="3">
        <f t="shared" si="145"/>
        <v>3.7234753813208954E-3</v>
      </c>
      <c r="R2346" s="3">
        <f t="shared" si="146"/>
        <v>2.5200000000000001E-3</v>
      </c>
      <c r="S2346">
        <f t="shared" si="147"/>
        <v>56</v>
      </c>
      <c r="T2346">
        <f>INDEX([1]IDEN_level_ids!$B:$B,MATCH(G2346,[1]IDEN_level_ids!$A:$A,0),1)</f>
        <v>1134</v>
      </c>
      <c r="U2346">
        <f>INDEX([1]IDEN_level_ids!$B:$B,MATCH(H2346,[1]IDEN_level_ids!$A:$A,0),1)</f>
        <v>971</v>
      </c>
    </row>
    <row r="2347" spans="1:21" hidden="1" x14ac:dyDescent="0.25">
      <c r="A2347">
        <v>42795.519699999997</v>
      </c>
      <c r="B2347">
        <v>2336.6932000000002</v>
      </c>
      <c r="C2347">
        <v>14</v>
      </c>
      <c r="D2347" t="s">
        <v>627</v>
      </c>
      <c r="F2347">
        <v>1974</v>
      </c>
      <c r="G2347" s="1" t="s">
        <v>244</v>
      </c>
      <c r="H2347" s="1" t="s">
        <v>593</v>
      </c>
      <c r="I2347">
        <v>0</v>
      </c>
      <c r="J2347">
        <v>42795.596799999999</v>
      </c>
      <c r="K2347">
        <v>4.2100000000000002E-3</v>
      </c>
      <c r="L2347">
        <v>2.5200000000000001E-3</v>
      </c>
      <c r="M2347">
        <v>4.6100000000000002E-2</v>
      </c>
      <c r="N2347">
        <v>0.24110000000000001</v>
      </c>
      <c r="O2347">
        <v>3.31E-3</v>
      </c>
      <c r="P2347" s="3">
        <f t="shared" si="144"/>
        <v>2336.6932029569443</v>
      </c>
      <c r="Q2347" s="3">
        <f t="shared" si="145"/>
        <v>4.2097565969925199E-3</v>
      </c>
      <c r="R2347" s="3">
        <f t="shared" si="146"/>
        <v>2.5200000000000001E-3</v>
      </c>
      <c r="S2347">
        <f t="shared" si="147"/>
        <v>56</v>
      </c>
      <c r="T2347">
        <f>INDEX([1]IDEN_level_ids!$B:$B,MATCH(G2347,[1]IDEN_level_ids!$A:$A,0),1)</f>
        <v>1195</v>
      </c>
      <c r="U2347">
        <f>INDEX([1]IDEN_level_ids!$B:$B,MATCH(H2347,[1]IDEN_level_ids!$A:$A,0),1)</f>
        <v>1059</v>
      </c>
    </row>
    <row r="2348" spans="1:21" hidden="1" x14ac:dyDescent="0.25">
      <c r="A2348">
        <v>42792.699500000002</v>
      </c>
      <c r="B2348">
        <v>2336.8472000000002</v>
      </c>
      <c r="C2348">
        <v>14</v>
      </c>
      <c r="D2348" t="s">
        <v>627</v>
      </c>
      <c r="E2348" t="s">
        <v>427</v>
      </c>
      <c r="F2348">
        <v>1974</v>
      </c>
      <c r="G2348" s="1" t="s">
        <v>72</v>
      </c>
      <c r="H2348" s="1" t="s">
        <v>384</v>
      </c>
      <c r="I2348">
        <v>0.45490000000000003</v>
      </c>
      <c r="J2348">
        <v>42792.749000000003</v>
      </c>
      <c r="K2348">
        <v>2.7000000000000001E-3</v>
      </c>
      <c r="L2348">
        <v>2.66E-3</v>
      </c>
      <c r="M2348">
        <v>4.87E-2</v>
      </c>
      <c r="N2348">
        <v>0.1424</v>
      </c>
      <c r="O2348">
        <v>3.0999999999999999E-3</v>
      </c>
      <c r="P2348" s="3">
        <f t="shared" si="144"/>
        <v>2336.8471998360374</v>
      </c>
      <c r="Q2348" s="3">
        <f t="shared" si="145"/>
        <v>2.7031200170313241E-3</v>
      </c>
      <c r="R2348" s="3">
        <f t="shared" si="146"/>
        <v>2.66E-3</v>
      </c>
      <c r="S2348">
        <f t="shared" si="147"/>
        <v>56</v>
      </c>
      <c r="T2348">
        <f>INDEX([1]IDEN_level_ids!$B:$B,MATCH(G2348,[1]IDEN_level_ids!$A:$A,0),1)</f>
        <v>1225</v>
      </c>
      <c r="U2348">
        <f>INDEX([1]IDEN_level_ids!$B:$B,MATCH(H2348,[1]IDEN_level_ids!$A:$A,0),1)</f>
        <v>1080</v>
      </c>
    </row>
    <row r="2349" spans="1:21" hidden="1" x14ac:dyDescent="0.25">
      <c r="A2349">
        <v>42778.2307</v>
      </c>
      <c r="B2349">
        <v>2337.6376</v>
      </c>
      <c r="C2349">
        <v>14</v>
      </c>
      <c r="D2349" t="s">
        <v>627</v>
      </c>
      <c r="F2349">
        <v>1974</v>
      </c>
      <c r="G2349" s="1" t="s">
        <v>398</v>
      </c>
      <c r="H2349" s="1" t="s">
        <v>630</v>
      </c>
      <c r="I2349">
        <v>-0.31929999999999997</v>
      </c>
      <c r="J2349">
        <v>42778.229399999997</v>
      </c>
      <c r="K2349">
        <v>-6.9999999999999994E-5</v>
      </c>
      <c r="L2349">
        <v>2.5200000000000001E-3</v>
      </c>
      <c r="M2349">
        <v>4.6100000000000002E-2</v>
      </c>
      <c r="N2349">
        <v>0.1825</v>
      </c>
      <c r="O2349">
        <v>3.0799999999999998E-3</v>
      </c>
      <c r="P2349" s="3">
        <f t="shared" si="144"/>
        <v>2337.6375872413068</v>
      </c>
      <c r="Q2349" s="3">
        <f t="shared" si="145"/>
        <v>-7.1039145495888079E-5</v>
      </c>
      <c r="R2349" s="3">
        <f t="shared" si="146"/>
        <v>2.5200000000000001E-3</v>
      </c>
      <c r="S2349">
        <f t="shared" si="147"/>
        <v>56</v>
      </c>
      <c r="T2349">
        <f>INDEX([1]IDEN_level_ids!$B:$B,MATCH(G2349,[1]IDEN_level_ids!$A:$A,0),1)</f>
        <v>1075</v>
      </c>
      <c r="U2349">
        <f>INDEX([1]IDEN_level_ids!$B:$B,MATCH(H2349,[1]IDEN_level_ids!$A:$A,0),1)</f>
        <v>867</v>
      </c>
    </row>
    <row r="2350" spans="1:21" hidden="1" x14ac:dyDescent="0.25">
      <c r="A2350">
        <v>42775.709300000002</v>
      </c>
      <c r="B2350">
        <v>2337.7754</v>
      </c>
      <c r="C2350">
        <v>14</v>
      </c>
      <c r="D2350" t="s">
        <v>627</v>
      </c>
      <c r="F2350">
        <v>1974</v>
      </c>
      <c r="G2350" s="1" t="s">
        <v>410</v>
      </c>
      <c r="H2350" s="1" t="s">
        <v>631</v>
      </c>
      <c r="I2350">
        <v>-0.1043</v>
      </c>
      <c r="J2350">
        <v>42775.782200000001</v>
      </c>
      <c r="K2350">
        <v>3.98E-3</v>
      </c>
      <c r="L2350">
        <v>2.5200000000000001E-3</v>
      </c>
      <c r="M2350">
        <v>4.6100000000000002E-2</v>
      </c>
      <c r="N2350">
        <v>0.25459999999999999</v>
      </c>
      <c r="O2350">
        <v>3.3800000000000002E-3</v>
      </c>
      <c r="P2350" s="3">
        <f t="shared" si="144"/>
        <v>2337.7753785137115</v>
      </c>
      <c r="Q2350" s="3">
        <f t="shared" si="145"/>
        <v>3.9841194320615614E-3</v>
      </c>
      <c r="R2350" s="3">
        <f t="shared" si="146"/>
        <v>2.5200000000000001E-3</v>
      </c>
      <c r="S2350">
        <f t="shared" si="147"/>
        <v>56</v>
      </c>
      <c r="T2350">
        <f>INDEX([1]IDEN_level_ids!$B:$B,MATCH(G2350,[1]IDEN_level_ids!$A:$A,0),1)</f>
        <v>1056</v>
      </c>
      <c r="U2350">
        <f>INDEX([1]IDEN_level_ids!$B:$B,MATCH(H2350,[1]IDEN_level_ids!$A:$A,0),1)</f>
        <v>832</v>
      </c>
    </row>
    <row r="2351" spans="1:21" hidden="1" x14ac:dyDescent="0.25">
      <c r="A2351">
        <v>42771.389600000002</v>
      </c>
      <c r="B2351">
        <v>2338.0115000000001</v>
      </c>
      <c r="C2351">
        <v>14</v>
      </c>
      <c r="D2351" t="s">
        <v>627</v>
      </c>
      <c r="F2351">
        <v>1974</v>
      </c>
      <c r="G2351" s="1" t="s">
        <v>396</v>
      </c>
      <c r="H2351" s="1" t="s">
        <v>306</v>
      </c>
      <c r="I2351">
        <v>-0.42980000000000002</v>
      </c>
      <c r="J2351">
        <v>42771.490599999997</v>
      </c>
      <c r="K2351">
        <v>5.5199999999999997E-3</v>
      </c>
      <c r="L2351">
        <v>2.5200000000000001E-3</v>
      </c>
      <c r="M2351">
        <v>4.6100000000000002E-2</v>
      </c>
      <c r="N2351">
        <v>0.2621</v>
      </c>
      <c r="O2351">
        <v>3.4099999999999998E-3</v>
      </c>
      <c r="P2351" s="3">
        <f t="shared" si="144"/>
        <v>2338.0114823297672</v>
      </c>
      <c r="Q2351" s="3">
        <f t="shared" si="145"/>
        <v>5.5209476308846206E-3</v>
      </c>
      <c r="R2351" s="3">
        <f t="shared" si="146"/>
        <v>2.5200000000000001E-3</v>
      </c>
      <c r="S2351">
        <f t="shared" si="147"/>
        <v>56</v>
      </c>
      <c r="T2351">
        <f>INDEX([1]IDEN_level_ids!$B:$B,MATCH(G2351,[1]IDEN_level_ids!$A:$A,0),1)</f>
        <v>1072</v>
      </c>
      <c r="U2351">
        <f>INDEX([1]IDEN_level_ids!$B:$B,MATCH(H2351,[1]IDEN_level_ids!$A:$A,0),1)</f>
        <v>862</v>
      </c>
    </row>
    <row r="2352" spans="1:21" hidden="1" x14ac:dyDescent="0.25">
      <c r="A2352">
        <v>42769.359400000001</v>
      </c>
      <c r="B2352">
        <v>2338.1224999999999</v>
      </c>
      <c r="C2352">
        <v>14</v>
      </c>
      <c r="D2352" t="s">
        <v>627</v>
      </c>
      <c r="F2352">
        <v>1974</v>
      </c>
      <c r="G2352" s="1" t="s">
        <v>71</v>
      </c>
      <c r="H2352" s="1" t="s">
        <v>476</v>
      </c>
      <c r="I2352">
        <v>0</v>
      </c>
      <c r="J2352">
        <v>42769.426700000004</v>
      </c>
      <c r="K2352">
        <v>3.6800000000000001E-3</v>
      </c>
      <c r="L2352">
        <v>2.5200000000000001E-3</v>
      </c>
      <c r="M2352">
        <v>4.6100000000000002E-2</v>
      </c>
      <c r="N2352">
        <v>0.1328</v>
      </c>
      <c r="O2352">
        <v>2.8999999999999998E-3</v>
      </c>
      <c r="P2352" s="3">
        <f t="shared" si="144"/>
        <v>2338.1224643734085</v>
      </c>
      <c r="Q2352" s="3">
        <f t="shared" si="145"/>
        <v>3.6791618222196121E-3</v>
      </c>
      <c r="R2352" s="3">
        <f t="shared" si="146"/>
        <v>2.5200000000000001E-3</v>
      </c>
      <c r="S2352">
        <f t="shared" si="147"/>
        <v>56</v>
      </c>
      <c r="T2352">
        <f>INDEX([1]IDEN_level_ids!$B:$B,MATCH(G2352,[1]IDEN_level_ids!$A:$A,0),1)</f>
        <v>1179</v>
      </c>
      <c r="U2352">
        <f>INDEX([1]IDEN_level_ids!$B:$B,MATCH(H2352,[1]IDEN_level_ids!$A:$A,0),1)</f>
        <v>1037</v>
      </c>
    </row>
    <row r="2353" spans="1:21" hidden="1" x14ac:dyDescent="0.25">
      <c r="A2353">
        <v>42768.15</v>
      </c>
      <c r="B2353">
        <v>2338.1886</v>
      </c>
      <c r="C2353">
        <v>14</v>
      </c>
      <c r="D2353" t="s">
        <v>627</v>
      </c>
      <c r="F2353">
        <v>1974</v>
      </c>
      <c r="G2353" s="1" t="s">
        <v>82</v>
      </c>
      <c r="H2353" s="1" t="s">
        <v>416</v>
      </c>
      <c r="I2353">
        <v>0.26750000000000002</v>
      </c>
      <c r="J2353">
        <v>42768.184099999999</v>
      </c>
      <c r="K2353">
        <v>1.8600000000000001E-3</v>
      </c>
      <c r="L2353">
        <v>2.5200000000000001E-3</v>
      </c>
      <c r="M2353">
        <v>4.6100000000000002E-2</v>
      </c>
      <c r="N2353">
        <v>0.1321</v>
      </c>
      <c r="O2353">
        <v>2.8999999999999998E-3</v>
      </c>
      <c r="P2353" s="3">
        <f t="shared" si="144"/>
        <v>2338.1885819236977</v>
      </c>
      <c r="Q2353" s="3">
        <f t="shared" si="145"/>
        <v>1.8642884265318571E-3</v>
      </c>
      <c r="R2353" s="3">
        <f t="shared" si="146"/>
        <v>2.5200000000000001E-3</v>
      </c>
      <c r="S2353">
        <f t="shared" si="147"/>
        <v>56</v>
      </c>
      <c r="T2353">
        <f>INDEX([1]IDEN_level_ids!$B:$B,MATCH(G2353,[1]IDEN_level_ids!$A:$A,0),1)</f>
        <v>1193</v>
      </c>
      <c r="U2353">
        <f>INDEX([1]IDEN_level_ids!$B:$B,MATCH(H2353,[1]IDEN_level_ids!$A:$A,0),1)</f>
        <v>1055</v>
      </c>
    </row>
    <row r="2354" spans="1:21" hidden="1" x14ac:dyDescent="0.25">
      <c r="A2354">
        <v>42755.109900000003</v>
      </c>
      <c r="B2354">
        <v>2338.9016999999999</v>
      </c>
      <c r="C2354">
        <v>14</v>
      </c>
      <c r="D2354" t="s">
        <v>627</v>
      </c>
      <c r="F2354">
        <v>1974</v>
      </c>
      <c r="G2354" s="1" t="s">
        <v>212</v>
      </c>
      <c r="H2354" s="1" t="s">
        <v>508</v>
      </c>
      <c r="I2354">
        <v>0</v>
      </c>
      <c r="J2354">
        <v>42755.184800000003</v>
      </c>
      <c r="K2354">
        <v>4.1000000000000003E-3</v>
      </c>
      <c r="L2354">
        <v>2.5200000000000001E-3</v>
      </c>
      <c r="M2354">
        <v>4.6100000000000002E-2</v>
      </c>
      <c r="N2354">
        <v>0.22500000000000001</v>
      </c>
      <c r="O2354">
        <v>3.2499999999999999E-3</v>
      </c>
      <c r="P2354" s="3">
        <f t="shared" si="144"/>
        <v>2338.9017180376841</v>
      </c>
      <c r="Q2354" s="3">
        <f t="shared" si="145"/>
        <v>4.0973682957883284E-3</v>
      </c>
      <c r="R2354" s="3">
        <f t="shared" si="146"/>
        <v>2.5200000000000001E-3</v>
      </c>
      <c r="S2354">
        <f t="shared" si="147"/>
        <v>56</v>
      </c>
      <c r="T2354">
        <f>INDEX([1]IDEN_level_ids!$B:$B,MATCH(G2354,[1]IDEN_level_ids!$A:$A,0),1)</f>
        <v>1123</v>
      </c>
      <c r="U2354">
        <f>INDEX([1]IDEN_level_ids!$B:$B,MATCH(H2354,[1]IDEN_level_ids!$A:$A,0),1)</f>
        <v>961</v>
      </c>
    </row>
    <row r="2355" spans="1:21" hidden="1" x14ac:dyDescent="0.25">
      <c r="A2355">
        <v>42747.4303</v>
      </c>
      <c r="B2355">
        <v>2339.3218999999999</v>
      </c>
      <c r="C2355">
        <v>14</v>
      </c>
      <c r="D2355" t="s">
        <v>627</v>
      </c>
      <c r="F2355">
        <v>1974</v>
      </c>
      <c r="G2355" s="1" t="s">
        <v>84</v>
      </c>
      <c r="H2355" s="1" t="s">
        <v>438</v>
      </c>
      <c r="I2355">
        <v>0</v>
      </c>
      <c r="J2355">
        <v>42747.347500000003</v>
      </c>
      <c r="K2355">
        <v>-4.5399999999999998E-3</v>
      </c>
      <c r="L2355">
        <v>2.5200000000000001E-3</v>
      </c>
      <c r="M2355">
        <v>4.6100000000000002E-2</v>
      </c>
      <c r="N2355">
        <v>0.1603</v>
      </c>
      <c r="O2355">
        <v>3.0000000000000001E-3</v>
      </c>
      <c r="P2355" s="3">
        <f t="shared" si="144"/>
        <v>2339.3219030524974</v>
      </c>
      <c r="Q2355" s="3">
        <f t="shared" si="145"/>
        <v>-4.5311783046599885E-3</v>
      </c>
      <c r="R2355" s="3">
        <f t="shared" si="146"/>
        <v>2.5200000000000001E-3</v>
      </c>
      <c r="S2355">
        <f t="shared" si="147"/>
        <v>56</v>
      </c>
      <c r="T2355">
        <f>INDEX([1]IDEN_level_ids!$B:$B,MATCH(G2355,[1]IDEN_level_ids!$A:$A,0),1)</f>
        <v>1191</v>
      </c>
      <c r="U2355">
        <f>INDEX([1]IDEN_level_ids!$B:$B,MATCH(H2355,[1]IDEN_level_ids!$A:$A,0),1)</f>
        <v>1051</v>
      </c>
    </row>
    <row r="2356" spans="1:21" hidden="1" x14ac:dyDescent="0.25">
      <c r="A2356">
        <v>42741.549299999999</v>
      </c>
      <c r="B2356">
        <v>2339.6437999999998</v>
      </c>
      <c r="C2356">
        <v>14</v>
      </c>
      <c r="D2356" t="s">
        <v>627</v>
      </c>
      <c r="F2356">
        <v>1974</v>
      </c>
      <c r="G2356" s="1" t="s">
        <v>239</v>
      </c>
      <c r="H2356" s="1" t="s">
        <v>617</v>
      </c>
      <c r="I2356">
        <v>0</v>
      </c>
      <c r="J2356">
        <v>42741.5772</v>
      </c>
      <c r="K2356">
        <v>1.5299999999999999E-3</v>
      </c>
      <c r="L2356">
        <v>2.5200000000000001E-3</v>
      </c>
      <c r="M2356">
        <v>4.6100000000000002E-2</v>
      </c>
      <c r="N2356">
        <v>0.1956</v>
      </c>
      <c r="O2356">
        <v>3.13E-3</v>
      </c>
      <c r="P2356" s="3">
        <f t="shared" si="144"/>
        <v>2339.6437807648681</v>
      </c>
      <c r="Q2356" s="3">
        <f t="shared" si="145"/>
        <v>1.5272263158294663E-3</v>
      </c>
      <c r="R2356" s="3">
        <f t="shared" si="146"/>
        <v>2.5200000000000001E-3</v>
      </c>
      <c r="S2356">
        <f t="shared" si="147"/>
        <v>56</v>
      </c>
      <c r="T2356">
        <f>INDEX([1]IDEN_level_ids!$B:$B,MATCH(G2356,[1]IDEN_level_ids!$A:$A,0),1)</f>
        <v>1167</v>
      </c>
      <c r="U2356">
        <f>INDEX([1]IDEN_level_ids!$B:$B,MATCH(H2356,[1]IDEN_level_ids!$A:$A,0),1)</f>
        <v>1018</v>
      </c>
    </row>
    <row r="2357" spans="1:21" hidden="1" x14ac:dyDescent="0.25">
      <c r="A2357">
        <v>42736.540200000003</v>
      </c>
      <c r="B2357">
        <v>2339.9180000000001</v>
      </c>
      <c r="C2357">
        <v>14</v>
      </c>
      <c r="D2357" t="s">
        <v>627</v>
      </c>
      <c r="F2357">
        <v>1974</v>
      </c>
      <c r="G2357" s="1" t="s">
        <v>81</v>
      </c>
      <c r="H2357" s="1" t="s">
        <v>600</v>
      </c>
      <c r="I2357">
        <v>0</v>
      </c>
      <c r="J2357">
        <v>42736.583599999998</v>
      </c>
      <c r="K2357">
        <v>2.3800000000000002E-3</v>
      </c>
      <c r="L2357">
        <v>2.5200000000000001E-3</v>
      </c>
      <c r="M2357">
        <v>4.6100000000000002E-2</v>
      </c>
      <c r="N2357">
        <v>0.15629999999999999</v>
      </c>
      <c r="O2357">
        <v>2.99E-3</v>
      </c>
      <c r="P2357" s="3">
        <f t="shared" si="144"/>
        <v>2339.9180076818666</v>
      </c>
      <c r="Q2357" s="3">
        <f t="shared" si="145"/>
        <v>2.3762414534758136E-3</v>
      </c>
      <c r="R2357" s="3">
        <f t="shared" si="146"/>
        <v>2.5200000000000001E-3</v>
      </c>
      <c r="S2357">
        <f t="shared" si="147"/>
        <v>56</v>
      </c>
      <c r="T2357">
        <f>INDEX([1]IDEN_level_ids!$B:$B,MATCH(G2357,[1]IDEN_level_ids!$A:$A,0),1)</f>
        <v>1196</v>
      </c>
      <c r="U2357">
        <f>INDEX([1]IDEN_level_ids!$B:$B,MATCH(H2357,[1]IDEN_level_ids!$A:$A,0),1)</f>
        <v>1058</v>
      </c>
    </row>
    <row r="2358" spans="1:21" hidden="1" x14ac:dyDescent="0.25">
      <c r="A2358">
        <v>42726.259599999998</v>
      </c>
      <c r="B2358">
        <v>2340.4810000000002</v>
      </c>
      <c r="C2358">
        <v>14</v>
      </c>
      <c r="D2358" t="s">
        <v>627</v>
      </c>
      <c r="F2358">
        <v>1974</v>
      </c>
      <c r="G2358" s="1" t="s">
        <v>212</v>
      </c>
      <c r="H2358" s="1" t="s">
        <v>493</v>
      </c>
      <c r="I2358">
        <v>0.14069999999999999</v>
      </c>
      <c r="J2358">
        <v>42726.288500000002</v>
      </c>
      <c r="K2358">
        <v>1.58E-3</v>
      </c>
      <c r="L2358">
        <v>2.5200000000000001E-3</v>
      </c>
      <c r="M2358">
        <v>4.6100000000000002E-2</v>
      </c>
      <c r="N2358">
        <v>0.27789999999999998</v>
      </c>
      <c r="O2358">
        <v>3.49E-3</v>
      </c>
      <c r="P2358" s="3">
        <f t="shared" si="144"/>
        <v>2340.4810282058952</v>
      </c>
      <c r="Q2358" s="3">
        <f t="shared" si="145"/>
        <v>1.5830979964448488E-3</v>
      </c>
      <c r="R2358" s="3">
        <f t="shared" si="146"/>
        <v>2.5200000000000001E-3</v>
      </c>
      <c r="S2358">
        <f t="shared" si="147"/>
        <v>56</v>
      </c>
      <c r="T2358">
        <f>INDEX([1]IDEN_level_ids!$B:$B,MATCH(G2358,[1]IDEN_level_ids!$A:$A,0),1)</f>
        <v>1123</v>
      </c>
      <c r="U2358">
        <f>INDEX([1]IDEN_level_ids!$B:$B,MATCH(H2358,[1]IDEN_level_ids!$A:$A,0),1)</f>
        <v>963</v>
      </c>
    </row>
    <row r="2359" spans="1:21" hidden="1" x14ac:dyDescent="0.25">
      <c r="A2359">
        <v>42710.650500000003</v>
      </c>
      <c r="B2359">
        <v>2341.3364000000001</v>
      </c>
      <c r="C2359">
        <v>14</v>
      </c>
      <c r="D2359" t="s">
        <v>627</v>
      </c>
      <c r="F2359">
        <v>1974</v>
      </c>
      <c r="G2359" s="1" t="s">
        <v>295</v>
      </c>
      <c r="H2359" s="1" t="s">
        <v>580</v>
      </c>
      <c r="I2359">
        <v>0.20710000000000001</v>
      </c>
      <c r="J2359">
        <v>42710.664299999997</v>
      </c>
      <c r="K2359">
        <v>7.5000000000000002E-4</v>
      </c>
      <c r="L2359">
        <v>2.5300000000000001E-3</v>
      </c>
      <c r="M2359">
        <v>4.6100000000000002E-2</v>
      </c>
      <c r="N2359">
        <v>0.15909999999999999</v>
      </c>
      <c r="O2359">
        <v>3.0000000000000001E-3</v>
      </c>
      <c r="P2359" s="3">
        <f t="shared" si="144"/>
        <v>2341.3363840009879</v>
      </c>
      <c r="Q2359" s="3">
        <f t="shared" si="145"/>
        <v>7.5649589189197286E-4</v>
      </c>
      <c r="R2359" s="3">
        <f t="shared" si="146"/>
        <v>2.5300000000000001E-3</v>
      </c>
      <c r="S2359">
        <f t="shared" si="147"/>
        <v>56</v>
      </c>
      <c r="T2359">
        <f>INDEX([1]IDEN_level_ids!$B:$B,MATCH(G2359,[1]IDEN_level_ids!$A:$A,0),1)</f>
        <v>1152</v>
      </c>
      <c r="U2359">
        <f>INDEX([1]IDEN_level_ids!$B:$B,MATCH(H2359,[1]IDEN_level_ids!$A:$A,0),1)</f>
        <v>1001</v>
      </c>
    </row>
    <row r="2360" spans="1:21" hidden="1" x14ac:dyDescent="0.25">
      <c r="A2360">
        <v>42698.630299999997</v>
      </c>
      <c r="B2360">
        <v>2341.9955</v>
      </c>
      <c r="C2360">
        <v>14</v>
      </c>
      <c r="D2360" t="s">
        <v>627</v>
      </c>
      <c r="F2360">
        <v>1974</v>
      </c>
      <c r="G2360" s="1" t="s">
        <v>540</v>
      </c>
      <c r="H2360" s="1" t="s">
        <v>625</v>
      </c>
      <c r="I2360">
        <v>-0.34399999999999997</v>
      </c>
      <c r="J2360">
        <v>42698.604099999997</v>
      </c>
      <c r="K2360">
        <v>-1.4400000000000001E-3</v>
      </c>
      <c r="L2360">
        <v>2.5300000000000001E-3</v>
      </c>
      <c r="M2360">
        <v>4.6100000000000002E-2</v>
      </c>
      <c r="N2360">
        <v>0.39939999999999998</v>
      </c>
      <c r="O2360">
        <v>4.2100000000000002E-3</v>
      </c>
      <c r="P2360" s="3">
        <f t="shared" si="144"/>
        <v>2341.9954995605563</v>
      </c>
      <c r="Q2360" s="3">
        <f t="shared" si="145"/>
        <v>-1.4370559269991645E-3</v>
      </c>
      <c r="R2360" s="3">
        <f t="shared" si="146"/>
        <v>2.5300000000000001E-3</v>
      </c>
      <c r="S2360">
        <f t="shared" si="147"/>
        <v>56</v>
      </c>
      <c r="T2360">
        <f>INDEX([1]IDEN_level_ids!$B:$B,MATCH(G2360,[1]IDEN_level_ids!$A:$A,0),1)</f>
        <v>1027</v>
      </c>
      <c r="U2360">
        <f>INDEX([1]IDEN_level_ids!$B:$B,MATCH(H2360,[1]IDEN_level_ids!$A:$A,0),1)</f>
        <v>809</v>
      </c>
    </row>
    <row r="2361" spans="1:21" hidden="1" x14ac:dyDescent="0.25">
      <c r="A2361">
        <v>42691.32</v>
      </c>
      <c r="B2361">
        <v>2342.3964999999998</v>
      </c>
      <c r="C2361">
        <v>14</v>
      </c>
      <c r="D2361" t="s">
        <v>627</v>
      </c>
      <c r="F2361">
        <v>1974</v>
      </c>
      <c r="G2361" s="1" t="s">
        <v>238</v>
      </c>
      <c r="H2361" s="1" t="s">
        <v>461</v>
      </c>
      <c r="I2361">
        <v>0.24510000000000001</v>
      </c>
      <c r="J2361">
        <v>42691.296999999999</v>
      </c>
      <c r="K2361">
        <v>-1.2700000000000001E-3</v>
      </c>
      <c r="L2361">
        <v>2.5300000000000001E-3</v>
      </c>
      <c r="M2361">
        <v>4.6100000000000002E-2</v>
      </c>
      <c r="N2361">
        <v>0.14319999999999999</v>
      </c>
      <c r="O2361">
        <v>2.9499999999999999E-3</v>
      </c>
      <c r="P2361" s="3">
        <f t="shared" si="144"/>
        <v>2342.3965340026966</v>
      </c>
      <c r="Q2361" s="3">
        <f t="shared" si="145"/>
        <v>-1.2619696299225325E-3</v>
      </c>
      <c r="R2361" s="3">
        <f t="shared" si="146"/>
        <v>2.5300000000000001E-3</v>
      </c>
      <c r="S2361">
        <f t="shared" si="147"/>
        <v>56</v>
      </c>
      <c r="T2361">
        <f>INDEX([1]IDEN_level_ids!$B:$B,MATCH(G2361,[1]IDEN_level_ids!$A:$A,0),1)</f>
        <v>1165</v>
      </c>
      <c r="U2361">
        <f>INDEX([1]IDEN_level_ids!$B:$B,MATCH(H2361,[1]IDEN_level_ids!$A:$A,0),1)</f>
        <v>1017</v>
      </c>
    </row>
    <row r="2362" spans="1:21" hidden="1" x14ac:dyDescent="0.25">
      <c r="A2362">
        <v>42664.120199999998</v>
      </c>
      <c r="B2362">
        <v>2343.8899000000001</v>
      </c>
      <c r="C2362">
        <v>15</v>
      </c>
      <c r="D2362" t="s">
        <v>632</v>
      </c>
      <c r="E2362" t="s">
        <v>427</v>
      </c>
      <c r="F2362">
        <v>1974</v>
      </c>
      <c r="G2362" s="1" t="s">
        <v>386</v>
      </c>
      <c r="H2362" s="1" t="s">
        <v>116</v>
      </c>
      <c r="I2362">
        <v>-0.22500000000000001</v>
      </c>
      <c r="J2362">
        <v>42664.251900000003</v>
      </c>
      <c r="K2362">
        <v>7.2399999999999999E-3</v>
      </c>
      <c r="L2362">
        <v>2.6800000000000001E-3</v>
      </c>
      <c r="M2362">
        <v>4.87E-2</v>
      </c>
      <c r="N2362">
        <v>0.215</v>
      </c>
      <c r="O2362">
        <v>3.4099999999999998E-3</v>
      </c>
      <c r="P2362" s="3">
        <f t="shared" si="144"/>
        <v>2343.8898899408223</v>
      </c>
      <c r="Q2362" s="3">
        <f t="shared" si="145"/>
        <v>7.2353383634435886E-3</v>
      </c>
      <c r="R2362" s="3">
        <f t="shared" si="146"/>
        <v>2.6800000000000001E-3</v>
      </c>
      <c r="S2362">
        <f t="shared" si="147"/>
        <v>57</v>
      </c>
      <c r="T2362">
        <f>INDEX([1]IDEN_level_ids!$B:$B,MATCH(G2362,[1]IDEN_level_ids!$A:$A,0),1)</f>
        <v>1082</v>
      </c>
      <c r="U2362">
        <f>INDEX([1]IDEN_level_ids!$B:$B,MATCH(H2362,[1]IDEN_level_ids!$A:$A,0),1)</f>
        <v>879</v>
      </c>
    </row>
    <row r="2363" spans="1:21" hidden="1" x14ac:dyDescent="0.25">
      <c r="A2363">
        <v>42635.2808</v>
      </c>
      <c r="B2363">
        <v>2345.4753000000001</v>
      </c>
      <c r="C2363">
        <v>15</v>
      </c>
      <c r="D2363" t="s">
        <v>632</v>
      </c>
      <c r="F2363">
        <v>1974</v>
      </c>
      <c r="G2363" s="1" t="s">
        <v>282</v>
      </c>
      <c r="H2363" s="1" t="s">
        <v>501</v>
      </c>
      <c r="I2363">
        <v>0.19689999999999999</v>
      </c>
      <c r="J2363">
        <v>42635.293799999999</v>
      </c>
      <c r="K2363">
        <v>7.2000000000000005E-4</v>
      </c>
      <c r="L2363">
        <v>2.5300000000000001E-3</v>
      </c>
      <c r="M2363">
        <v>4.6100000000000002E-2</v>
      </c>
      <c r="N2363">
        <v>0.34699999999999998</v>
      </c>
      <c r="O2363">
        <v>3.8800000000000002E-3</v>
      </c>
      <c r="P2363" s="3">
        <f t="shared" si="144"/>
        <v>2345.4753463239767</v>
      </c>
      <c r="Q2363" s="3">
        <f t="shared" si="145"/>
        <v>7.1516287971462589E-4</v>
      </c>
      <c r="R2363" s="3">
        <f t="shared" si="146"/>
        <v>2.5300000000000001E-3</v>
      </c>
      <c r="S2363">
        <f t="shared" si="147"/>
        <v>57</v>
      </c>
      <c r="T2363">
        <f>INDEX([1]IDEN_level_ids!$B:$B,MATCH(G2363,[1]IDEN_level_ids!$A:$A,0),1)</f>
        <v>1128</v>
      </c>
      <c r="U2363">
        <f>INDEX([1]IDEN_level_ids!$B:$B,MATCH(H2363,[1]IDEN_level_ids!$A:$A,0),1)</f>
        <v>969</v>
      </c>
    </row>
    <row r="2364" spans="1:21" hidden="1" x14ac:dyDescent="0.25">
      <c r="A2364">
        <v>42630.849399999999</v>
      </c>
      <c r="B2364">
        <v>2345.7192</v>
      </c>
      <c r="C2364">
        <v>15</v>
      </c>
      <c r="D2364" t="s">
        <v>632</v>
      </c>
      <c r="F2364">
        <v>1974</v>
      </c>
      <c r="G2364" s="1" t="s">
        <v>381</v>
      </c>
      <c r="H2364" s="1" t="s">
        <v>126</v>
      </c>
      <c r="I2364">
        <v>-0.23219999999999999</v>
      </c>
      <c r="J2364">
        <v>42630.900699999998</v>
      </c>
      <c r="K2364">
        <v>2.82E-3</v>
      </c>
      <c r="L2364">
        <v>2.5300000000000001E-3</v>
      </c>
      <c r="M2364">
        <v>4.6100000000000002E-2</v>
      </c>
      <c r="N2364">
        <v>0.21870000000000001</v>
      </c>
      <c r="O2364">
        <v>3.2399999999999998E-3</v>
      </c>
      <c r="P2364" s="3">
        <f t="shared" si="144"/>
        <v>2345.7191542610926</v>
      </c>
      <c r="Q2364" s="3">
        <f t="shared" si="145"/>
        <v>2.8227269572198566E-3</v>
      </c>
      <c r="R2364" s="3">
        <f t="shared" si="146"/>
        <v>2.5300000000000001E-3</v>
      </c>
      <c r="S2364">
        <f t="shared" si="147"/>
        <v>57</v>
      </c>
      <c r="T2364">
        <f>INDEX([1]IDEN_level_ids!$B:$B,MATCH(G2364,[1]IDEN_level_ids!$A:$A,0),1)</f>
        <v>1084</v>
      </c>
      <c r="U2364">
        <f>INDEX([1]IDEN_level_ids!$B:$B,MATCH(H2364,[1]IDEN_level_ids!$A:$A,0),1)</f>
        <v>892</v>
      </c>
    </row>
    <row r="2365" spans="1:21" hidden="1" x14ac:dyDescent="0.25">
      <c r="A2365">
        <v>42616.451200000003</v>
      </c>
      <c r="B2365">
        <v>2346.5117</v>
      </c>
      <c r="C2365">
        <v>15</v>
      </c>
      <c r="D2365" t="s">
        <v>632</v>
      </c>
      <c r="F2365">
        <v>1974</v>
      </c>
      <c r="G2365" s="1" t="s">
        <v>283</v>
      </c>
      <c r="H2365" s="1" t="s">
        <v>583</v>
      </c>
      <c r="I2365">
        <v>0.1106</v>
      </c>
      <c r="J2365">
        <v>42616.502800000002</v>
      </c>
      <c r="K2365">
        <v>2.8400000000000001E-3</v>
      </c>
      <c r="L2365">
        <v>2.5400000000000002E-3</v>
      </c>
      <c r="M2365">
        <v>4.6100000000000002E-2</v>
      </c>
      <c r="N2365">
        <v>0.2326</v>
      </c>
      <c r="O2365">
        <v>3.31E-3</v>
      </c>
      <c r="P2365" s="3">
        <f t="shared" si="144"/>
        <v>2346.5116682451494</v>
      </c>
      <c r="Q2365" s="3">
        <f t="shared" si="145"/>
        <v>2.8411529369805066E-3</v>
      </c>
      <c r="R2365" s="3">
        <f t="shared" si="146"/>
        <v>2.5400000000000002E-3</v>
      </c>
      <c r="S2365">
        <f t="shared" si="147"/>
        <v>57</v>
      </c>
      <c r="T2365">
        <f>INDEX([1]IDEN_level_ids!$B:$B,MATCH(G2365,[1]IDEN_level_ids!$A:$A,0),1)</f>
        <v>1178</v>
      </c>
      <c r="U2365">
        <f>INDEX([1]IDEN_level_ids!$B:$B,MATCH(H2365,[1]IDEN_level_ids!$A:$A,0),1)</f>
        <v>1043</v>
      </c>
    </row>
    <row r="2366" spans="1:21" hidden="1" x14ac:dyDescent="0.25">
      <c r="A2366">
        <v>42614.769099999998</v>
      </c>
      <c r="B2366">
        <v>2346.6043</v>
      </c>
      <c r="C2366">
        <v>15</v>
      </c>
      <c r="D2366" t="s">
        <v>632</v>
      </c>
      <c r="F2366">
        <v>1974</v>
      </c>
      <c r="G2366" s="1" t="s">
        <v>379</v>
      </c>
      <c r="H2366" s="1" t="s">
        <v>126</v>
      </c>
      <c r="I2366">
        <v>-0.47110000000000002</v>
      </c>
      <c r="J2366">
        <v>42614.809699999998</v>
      </c>
      <c r="K2366">
        <v>2.2399999999999998E-3</v>
      </c>
      <c r="L2366">
        <v>2.5400000000000002E-3</v>
      </c>
      <c r="M2366">
        <v>4.6100000000000002E-2</v>
      </c>
      <c r="N2366">
        <v>0.2293</v>
      </c>
      <c r="O2366">
        <v>3.29E-3</v>
      </c>
      <c r="P2366" s="3">
        <f t="shared" si="144"/>
        <v>2346.6042902952163</v>
      </c>
      <c r="Q2366" s="3">
        <f t="shared" si="145"/>
        <v>2.235657858363993E-3</v>
      </c>
      <c r="R2366" s="3">
        <f t="shared" si="146"/>
        <v>2.5400000000000002E-3</v>
      </c>
      <c r="S2366">
        <f t="shared" si="147"/>
        <v>57</v>
      </c>
      <c r="T2366">
        <f>INDEX([1]IDEN_level_ids!$B:$B,MATCH(G2366,[1]IDEN_level_ids!$A:$A,0),1)</f>
        <v>1083</v>
      </c>
      <c r="U2366">
        <f>INDEX([1]IDEN_level_ids!$B:$B,MATCH(H2366,[1]IDEN_level_ids!$A:$A,0),1)</f>
        <v>892</v>
      </c>
    </row>
    <row r="2367" spans="1:21" hidden="1" x14ac:dyDescent="0.25">
      <c r="A2367">
        <v>42599.891100000001</v>
      </c>
      <c r="B2367">
        <v>2347.4238</v>
      </c>
      <c r="C2367">
        <v>15</v>
      </c>
      <c r="D2367" t="s">
        <v>632</v>
      </c>
      <c r="E2367" t="s">
        <v>427</v>
      </c>
      <c r="F2367">
        <v>1974</v>
      </c>
      <c r="G2367" s="1" t="s">
        <v>290</v>
      </c>
      <c r="H2367" s="1" t="s">
        <v>565</v>
      </c>
      <c r="I2367">
        <v>0.1676</v>
      </c>
      <c r="J2367">
        <v>42599.926800000001</v>
      </c>
      <c r="K2367">
        <v>1.97E-3</v>
      </c>
      <c r="L2367">
        <v>2.6900000000000001E-3</v>
      </c>
      <c r="M2367">
        <v>4.87E-2</v>
      </c>
      <c r="N2367">
        <v>0.25590000000000002</v>
      </c>
      <c r="O2367">
        <v>3.6099999999999999E-3</v>
      </c>
      <c r="P2367" s="3">
        <f t="shared" si="144"/>
        <v>2347.4238411844203</v>
      </c>
      <c r="Q2367" s="3">
        <f t="shared" si="145"/>
        <v>1.9672106836878811E-3</v>
      </c>
      <c r="R2367" s="3">
        <f t="shared" si="146"/>
        <v>2.6900000000000001E-3</v>
      </c>
      <c r="S2367">
        <f t="shared" si="147"/>
        <v>57</v>
      </c>
      <c r="T2367">
        <f>INDEX([1]IDEN_level_ids!$B:$B,MATCH(G2367,[1]IDEN_level_ids!$A:$A,0),1)</f>
        <v>1153</v>
      </c>
      <c r="U2367">
        <f>INDEX([1]IDEN_level_ids!$B:$B,MATCH(H2367,[1]IDEN_level_ids!$A:$A,0),1)</f>
        <v>1004</v>
      </c>
    </row>
    <row r="2368" spans="1:21" hidden="1" x14ac:dyDescent="0.25">
      <c r="A2368">
        <v>42588.3508</v>
      </c>
      <c r="B2368">
        <v>2348.0599000000002</v>
      </c>
      <c r="C2368">
        <v>15</v>
      </c>
      <c r="D2368" t="s">
        <v>632</v>
      </c>
      <c r="F2368">
        <v>1974</v>
      </c>
      <c r="G2368" s="1" t="s">
        <v>253</v>
      </c>
      <c r="H2368" s="1" t="s">
        <v>621</v>
      </c>
      <c r="I2368">
        <v>0</v>
      </c>
      <c r="J2368">
        <v>42588.394099999998</v>
      </c>
      <c r="K2368">
        <v>2.3900000000000002E-3</v>
      </c>
      <c r="L2368">
        <v>2.5400000000000002E-3</v>
      </c>
      <c r="M2368">
        <v>4.6100000000000002E-2</v>
      </c>
      <c r="N2368">
        <v>0.51880000000000004</v>
      </c>
      <c r="O2368">
        <v>5.28E-3</v>
      </c>
      <c r="P2368" s="3">
        <f t="shared" si="144"/>
        <v>2348.0599300407753</v>
      </c>
      <c r="Q2368" s="3">
        <f t="shared" si="145"/>
        <v>2.3872934657447331E-3</v>
      </c>
      <c r="R2368" s="3">
        <f t="shared" si="146"/>
        <v>2.5400000000000002E-3</v>
      </c>
      <c r="S2368">
        <f t="shared" si="147"/>
        <v>57</v>
      </c>
      <c r="T2368">
        <f>INDEX([1]IDEN_level_ids!$B:$B,MATCH(G2368,[1]IDEN_level_ids!$A:$A,0),1)</f>
        <v>1181</v>
      </c>
      <c r="U2368">
        <f>INDEX([1]IDEN_level_ids!$B:$B,MATCH(H2368,[1]IDEN_level_ids!$A:$A,0),1)</f>
        <v>1046</v>
      </c>
    </row>
    <row r="2369" spans="1:21" hidden="1" x14ac:dyDescent="0.25">
      <c r="A2369">
        <v>42562.151100000003</v>
      </c>
      <c r="B2369">
        <v>2349.5052999999998</v>
      </c>
      <c r="C2369">
        <v>15</v>
      </c>
      <c r="D2369" t="s">
        <v>632</v>
      </c>
      <c r="E2369" t="s">
        <v>427</v>
      </c>
      <c r="F2369">
        <v>1974</v>
      </c>
      <c r="G2369" s="1" t="s">
        <v>384</v>
      </c>
      <c r="H2369" s="1" t="s">
        <v>633</v>
      </c>
      <c r="I2369">
        <v>-0.45490000000000003</v>
      </c>
      <c r="J2369">
        <v>42562.174599999998</v>
      </c>
      <c r="K2369">
        <v>1.2999999999999999E-3</v>
      </c>
      <c r="L2369">
        <v>2.6900000000000001E-3</v>
      </c>
      <c r="M2369">
        <v>4.87E-2</v>
      </c>
      <c r="N2369">
        <v>0.17019999999999999</v>
      </c>
      <c r="O2369">
        <v>3.2399999999999998E-3</v>
      </c>
      <c r="P2369" s="3">
        <f t="shared" si="144"/>
        <v>2349.5053096599713</v>
      </c>
      <c r="Q2369" s="3">
        <f t="shared" si="145"/>
        <v>1.2972404556421679E-3</v>
      </c>
      <c r="R2369" s="3">
        <f t="shared" si="146"/>
        <v>2.6900000000000001E-3</v>
      </c>
      <c r="S2369">
        <f t="shared" si="147"/>
        <v>57</v>
      </c>
      <c r="T2369">
        <f>INDEX([1]IDEN_level_ids!$B:$B,MATCH(G2369,[1]IDEN_level_ids!$A:$A,0),1)</f>
        <v>1080</v>
      </c>
      <c r="U2369">
        <f>INDEX([1]IDEN_level_ids!$B:$B,MATCH(H2369,[1]IDEN_level_ids!$A:$A,0),1)</f>
        <v>878</v>
      </c>
    </row>
    <row r="2370" spans="1:21" hidden="1" x14ac:dyDescent="0.25">
      <c r="A2370">
        <v>42546.849800000004</v>
      </c>
      <c r="B2370">
        <v>2350.3503000000001</v>
      </c>
      <c r="C2370">
        <v>15</v>
      </c>
      <c r="D2370" t="s">
        <v>632</v>
      </c>
      <c r="F2370">
        <v>1974</v>
      </c>
      <c r="G2370" s="1" t="s">
        <v>377</v>
      </c>
      <c r="H2370" s="1" t="s">
        <v>634</v>
      </c>
      <c r="I2370">
        <v>-0.33889999999999998</v>
      </c>
      <c r="J2370">
        <v>42546.815399999999</v>
      </c>
      <c r="K2370">
        <v>-1.9E-3</v>
      </c>
      <c r="L2370">
        <v>2.5400000000000002E-3</v>
      </c>
      <c r="M2370">
        <v>4.6100000000000002E-2</v>
      </c>
      <c r="N2370">
        <v>0.27089999999999997</v>
      </c>
      <c r="O2370">
        <v>3.49E-3</v>
      </c>
      <c r="P2370" s="3">
        <f t="shared" ref="P2370:P2433" si="148">100000000/$A2370</f>
        <v>2350.3502719959301</v>
      </c>
      <c r="Q2370" s="3">
        <f t="shared" ref="Q2370:Q2433" si="149">100000000/($A2370)-100000000/$J2370</f>
        <v>-1.9003078987225308E-3</v>
      </c>
      <c r="R2370" s="3">
        <f t="shared" si="146"/>
        <v>2.5400000000000002E-3</v>
      </c>
      <c r="S2370">
        <f t="shared" si="147"/>
        <v>57</v>
      </c>
      <c r="T2370">
        <f>INDEX([1]IDEN_level_ids!$B:$B,MATCH(G2370,[1]IDEN_level_ids!$A:$A,0),1)</f>
        <v>1057</v>
      </c>
      <c r="U2370">
        <f>INDEX([1]IDEN_level_ids!$B:$B,MATCH(H2370,[1]IDEN_level_ids!$A:$A,0),1)</f>
        <v>838</v>
      </c>
    </row>
    <row r="2371" spans="1:21" hidden="1" x14ac:dyDescent="0.25">
      <c r="A2371">
        <v>42539.1708</v>
      </c>
      <c r="B2371">
        <v>2350.7745</v>
      </c>
      <c r="C2371">
        <v>15</v>
      </c>
      <c r="D2371" t="s">
        <v>632</v>
      </c>
      <c r="F2371">
        <v>1974</v>
      </c>
      <c r="G2371" s="1" t="s">
        <v>72</v>
      </c>
      <c r="H2371" s="1" t="s">
        <v>386</v>
      </c>
      <c r="I2371">
        <v>0.22500000000000001</v>
      </c>
      <c r="J2371">
        <v>42539.212099999997</v>
      </c>
      <c r="K2371">
        <v>2.2799999999999999E-3</v>
      </c>
      <c r="L2371">
        <v>2.5500000000000002E-3</v>
      </c>
      <c r="M2371">
        <v>4.6100000000000002E-2</v>
      </c>
      <c r="N2371">
        <v>0.1646</v>
      </c>
      <c r="O2371">
        <v>3.0500000000000002E-3</v>
      </c>
      <c r="P2371" s="3">
        <f t="shared" si="148"/>
        <v>2350.7745477728022</v>
      </c>
      <c r="Q2371" s="3">
        <f t="shared" si="149"/>
        <v>2.2822940063633723E-3</v>
      </c>
      <c r="R2371" s="3">
        <f t="shared" ref="R2371:R2434" si="150">$L2371</f>
        <v>2.5500000000000002E-3</v>
      </c>
      <c r="S2371">
        <f t="shared" si="147"/>
        <v>57</v>
      </c>
      <c r="T2371">
        <f>INDEX([1]IDEN_level_ids!$B:$B,MATCH(G2371,[1]IDEN_level_ids!$A:$A,0),1)</f>
        <v>1225</v>
      </c>
      <c r="U2371">
        <f>INDEX([1]IDEN_level_ids!$B:$B,MATCH(H2371,[1]IDEN_level_ids!$A:$A,0),1)</f>
        <v>1082</v>
      </c>
    </row>
    <row r="2372" spans="1:21" hidden="1" x14ac:dyDescent="0.25">
      <c r="A2372">
        <v>42494.060599999997</v>
      </c>
      <c r="B2372">
        <v>2353.27</v>
      </c>
      <c r="C2372">
        <v>15</v>
      </c>
      <c r="D2372" t="s">
        <v>632</v>
      </c>
      <c r="E2372" t="s">
        <v>427</v>
      </c>
      <c r="F2372">
        <v>1974</v>
      </c>
      <c r="G2372" s="1" t="s">
        <v>138</v>
      </c>
      <c r="H2372" s="1" t="s">
        <v>491</v>
      </c>
      <c r="I2372">
        <v>0</v>
      </c>
      <c r="J2372">
        <v>42494.127200000003</v>
      </c>
      <c r="K2372">
        <v>3.6900000000000001E-3</v>
      </c>
      <c r="L2372">
        <v>2.7000000000000001E-3</v>
      </c>
      <c r="M2372">
        <v>4.87E-2</v>
      </c>
      <c r="N2372">
        <v>0.22489999999999999</v>
      </c>
      <c r="O2372">
        <v>3.48E-3</v>
      </c>
      <c r="P2372" s="3">
        <f t="shared" si="148"/>
        <v>2353.2700473439813</v>
      </c>
      <c r="Q2372" s="3">
        <f t="shared" si="149"/>
        <v>3.6882222439089674E-3</v>
      </c>
      <c r="R2372" s="3">
        <f t="shared" si="150"/>
        <v>2.7000000000000001E-3</v>
      </c>
      <c r="S2372">
        <f t="shared" ref="S2372:S2435" si="151">IF(D2372=D2371,S2371,S2371+1)</f>
        <v>57</v>
      </c>
      <c r="T2372">
        <f>INDEX([1]IDEN_level_ids!$B:$B,MATCH(G2372,[1]IDEN_level_ids!$A:$A,0),1)</f>
        <v>1126</v>
      </c>
      <c r="U2372">
        <f>INDEX([1]IDEN_level_ids!$B:$B,MATCH(H2372,[1]IDEN_level_ids!$A:$A,0),1)</f>
        <v>967</v>
      </c>
    </row>
    <row r="2373" spans="1:21" hidden="1" x14ac:dyDescent="0.25">
      <c r="A2373">
        <v>42481.749499999998</v>
      </c>
      <c r="B2373">
        <v>2353.9520000000002</v>
      </c>
      <c r="C2373">
        <v>15</v>
      </c>
      <c r="D2373" t="s">
        <v>632</v>
      </c>
      <c r="E2373" t="s">
        <v>427</v>
      </c>
      <c r="F2373">
        <v>1974</v>
      </c>
      <c r="G2373" s="1" t="s">
        <v>207</v>
      </c>
      <c r="H2373" s="1" t="s">
        <v>582</v>
      </c>
      <c r="I2373">
        <v>-0.25890000000000002</v>
      </c>
      <c r="J2373">
        <v>42481.805099999998</v>
      </c>
      <c r="K2373">
        <v>3.0799999999999998E-3</v>
      </c>
      <c r="L2373">
        <v>2.7000000000000001E-3</v>
      </c>
      <c r="M2373">
        <v>4.87E-2</v>
      </c>
      <c r="N2373">
        <v>0.1479</v>
      </c>
      <c r="O2373">
        <v>3.1700000000000001E-3</v>
      </c>
      <c r="P2373" s="3">
        <f t="shared" si="148"/>
        <v>2353.9520188545907</v>
      </c>
      <c r="Q2373" s="3">
        <f t="shared" si="149"/>
        <v>3.0808420669927727E-3</v>
      </c>
      <c r="R2373" s="3">
        <f t="shared" si="150"/>
        <v>2.7000000000000001E-3</v>
      </c>
      <c r="S2373">
        <f t="shared" si="151"/>
        <v>57</v>
      </c>
      <c r="T2373">
        <f>INDEX([1]IDEN_level_ids!$B:$B,MATCH(G2373,[1]IDEN_level_ids!$A:$A,0),1)</f>
        <v>1177</v>
      </c>
      <c r="U2373">
        <f>INDEX([1]IDEN_level_ids!$B:$B,MATCH(H2373,[1]IDEN_level_ids!$A:$A,0),1)</f>
        <v>1042</v>
      </c>
    </row>
    <row r="2374" spans="1:21" hidden="1" x14ac:dyDescent="0.25">
      <c r="A2374">
        <v>42479.780100000004</v>
      </c>
      <c r="B2374">
        <v>2354.0610999999999</v>
      </c>
      <c r="C2374">
        <v>15</v>
      </c>
      <c r="D2374" t="s">
        <v>632</v>
      </c>
      <c r="F2374">
        <v>1974</v>
      </c>
      <c r="G2374" s="1" t="s">
        <v>140</v>
      </c>
      <c r="H2374" s="1" t="s">
        <v>431</v>
      </c>
      <c r="I2374">
        <v>0.28649999999999998</v>
      </c>
      <c r="J2374">
        <v>42479.806499999999</v>
      </c>
      <c r="K2374">
        <v>1.4599999999999999E-3</v>
      </c>
      <c r="L2374">
        <v>2.5500000000000002E-3</v>
      </c>
      <c r="M2374">
        <v>4.6100000000000002E-2</v>
      </c>
      <c r="N2374">
        <v>0.1288</v>
      </c>
      <c r="O2374">
        <v>2.9299999999999999E-3</v>
      </c>
      <c r="P2374" s="3">
        <f t="shared" si="148"/>
        <v>2354.0611501423473</v>
      </c>
      <c r="Q2374" s="3">
        <f t="shared" si="149"/>
        <v>1.462982520024525E-3</v>
      </c>
      <c r="R2374" s="3">
        <f t="shared" si="150"/>
        <v>2.5500000000000002E-3</v>
      </c>
      <c r="S2374">
        <f t="shared" si="151"/>
        <v>57</v>
      </c>
      <c r="T2374">
        <f>INDEX([1]IDEN_level_ids!$B:$B,MATCH(G2374,[1]IDEN_level_ids!$A:$A,0),1)</f>
        <v>1198</v>
      </c>
      <c r="U2374">
        <f>INDEX([1]IDEN_level_ids!$B:$B,MATCH(H2374,[1]IDEN_level_ids!$A:$A,0),1)</f>
        <v>1062</v>
      </c>
    </row>
    <row r="2375" spans="1:21" hidden="1" x14ac:dyDescent="0.25">
      <c r="A2375">
        <v>42473.358999999997</v>
      </c>
      <c r="B2375">
        <v>2354.4169999999999</v>
      </c>
      <c r="C2375">
        <v>15</v>
      </c>
      <c r="D2375" t="s">
        <v>632</v>
      </c>
      <c r="E2375" t="s">
        <v>427</v>
      </c>
      <c r="F2375">
        <v>1974</v>
      </c>
      <c r="G2375" s="1" t="s">
        <v>288</v>
      </c>
      <c r="H2375" s="1" t="s">
        <v>520</v>
      </c>
      <c r="I2375">
        <v>0.3095</v>
      </c>
      <c r="J2375">
        <v>42473.392999999996</v>
      </c>
      <c r="K2375">
        <v>1.8799999999999999E-3</v>
      </c>
      <c r="L2375">
        <v>2.7000000000000001E-3</v>
      </c>
      <c r="M2375">
        <v>4.87E-2</v>
      </c>
      <c r="N2375">
        <v>0.17080000000000001</v>
      </c>
      <c r="O2375">
        <v>3.2599999999999999E-3</v>
      </c>
      <c r="P2375" s="3">
        <f t="shared" si="148"/>
        <v>2354.4170358647643</v>
      </c>
      <c r="Q2375" s="3">
        <f t="shared" si="149"/>
        <v>1.8847135479518329E-3</v>
      </c>
      <c r="R2375" s="3">
        <f t="shared" si="150"/>
        <v>2.7000000000000001E-3</v>
      </c>
      <c r="S2375">
        <f t="shared" si="151"/>
        <v>57</v>
      </c>
      <c r="T2375">
        <f>INDEX([1]IDEN_level_ids!$B:$B,MATCH(G2375,[1]IDEN_level_ids!$A:$A,0),1)</f>
        <v>1151</v>
      </c>
      <c r="U2375">
        <f>INDEX([1]IDEN_level_ids!$B:$B,MATCH(H2375,[1]IDEN_level_ids!$A:$A,0),1)</f>
        <v>1002</v>
      </c>
    </row>
    <row r="2376" spans="1:21" hidden="1" x14ac:dyDescent="0.25">
      <c r="A2376">
        <v>42471.479899999998</v>
      </c>
      <c r="B2376">
        <v>2354.5212000000001</v>
      </c>
      <c r="C2376">
        <v>15</v>
      </c>
      <c r="D2376" t="s">
        <v>632</v>
      </c>
      <c r="F2376">
        <v>1974</v>
      </c>
      <c r="G2376" s="1" t="s">
        <v>540</v>
      </c>
      <c r="H2376" s="1" t="s">
        <v>626</v>
      </c>
      <c r="I2376">
        <v>-0.34399999999999997</v>
      </c>
      <c r="J2376">
        <v>42471.582900000001</v>
      </c>
      <c r="K2376">
        <v>5.7099999999999998E-3</v>
      </c>
      <c r="L2376">
        <v>2.5500000000000002E-3</v>
      </c>
      <c r="M2376">
        <v>4.6100000000000002E-2</v>
      </c>
      <c r="N2376">
        <v>0.29559999999999997</v>
      </c>
      <c r="O2376">
        <v>3.63E-3</v>
      </c>
      <c r="P2376" s="3">
        <f t="shared" si="148"/>
        <v>2354.5212042399307</v>
      </c>
      <c r="Q2376" s="3">
        <f t="shared" si="149"/>
        <v>5.7100693566098926E-3</v>
      </c>
      <c r="R2376" s="3">
        <f t="shared" si="150"/>
        <v>2.5500000000000002E-3</v>
      </c>
      <c r="S2376">
        <f t="shared" si="151"/>
        <v>57</v>
      </c>
      <c r="T2376">
        <f>INDEX([1]IDEN_level_ids!$B:$B,MATCH(G2376,[1]IDEN_level_ids!$A:$A,0),1)</f>
        <v>1027</v>
      </c>
      <c r="U2376">
        <f>INDEX([1]IDEN_level_ids!$B:$B,MATCH(H2376,[1]IDEN_level_ids!$A:$A,0),1)</f>
        <v>813</v>
      </c>
    </row>
    <row r="2377" spans="1:21" hidden="1" x14ac:dyDescent="0.25">
      <c r="A2377">
        <v>42465.580099999999</v>
      </c>
      <c r="B2377">
        <v>2354.8483000000001</v>
      </c>
      <c r="C2377">
        <v>15</v>
      </c>
      <c r="D2377" t="s">
        <v>632</v>
      </c>
      <c r="F2377">
        <v>1974</v>
      </c>
      <c r="G2377" s="1" t="s">
        <v>203</v>
      </c>
      <c r="H2377" s="1" t="s">
        <v>491</v>
      </c>
      <c r="I2377">
        <v>0</v>
      </c>
      <c r="J2377">
        <v>42465.670299999998</v>
      </c>
      <c r="K2377">
        <v>5.0000000000000001E-3</v>
      </c>
      <c r="L2377">
        <v>2.5500000000000002E-3</v>
      </c>
      <c r="M2377">
        <v>4.6100000000000002E-2</v>
      </c>
      <c r="N2377">
        <v>0.2606</v>
      </c>
      <c r="O2377">
        <v>3.4499999999999999E-3</v>
      </c>
      <c r="P2377" s="3">
        <f t="shared" si="148"/>
        <v>2354.8483210288232</v>
      </c>
      <c r="Q2377" s="3">
        <f t="shared" si="149"/>
        <v>5.0018595507026475E-3</v>
      </c>
      <c r="R2377" s="3">
        <f t="shared" si="150"/>
        <v>2.5500000000000002E-3</v>
      </c>
      <c r="S2377">
        <f t="shared" si="151"/>
        <v>57</v>
      </c>
      <c r="T2377">
        <f>INDEX([1]IDEN_level_ids!$B:$B,MATCH(G2377,[1]IDEN_level_ids!$A:$A,0),1)</f>
        <v>1127</v>
      </c>
      <c r="U2377">
        <f>INDEX([1]IDEN_level_ids!$B:$B,MATCH(H2377,[1]IDEN_level_ids!$A:$A,0),1)</f>
        <v>967</v>
      </c>
    </row>
    <row r="2378" spans="1:21" hidden="1" x14ac:dyDescent="0.25">
      <c r="A2378">
        <v>42460.311000000002</v>
      </c>
      <c r="B2378">
        <v>2355.1405</v>
      </c>
      <c r="C2378">
        <v>15</v>
      </c>
      <c r="D2378" t="s">
        <v>632</v>
      </c>
      <c r="F2378">
        <v>1974</v>
      </c>
      <c r="G2378" s="1" t="s">
        <v>407</v>
      </c>
      <c r="H2378" s="1" t="s">
        <v>630</v>
      </c>
      <c r="I2378">
        <v>-0.27489999999999998</v>
      </c>
      <c r="J2378">
        <v>42460.389799999997</v>
      </c>
      <c r="K2378">
        <v>4.3699999999999998E-3</v>
      </c>
      <c r="L2378">
        <v>2.5600000000000002E-3</v>
      </c>
      <c r="M2378">
        <v>4.6100000000000002E-2</v>
      </c>
      <c r="N2378">
        <v>0.1615</v>
      </c>
      <c r="O2378">
        <v>3.0500000000000002E-3</v>
      </c>
      <c r="P2378" s="3">
        <f t="shared" si="148"/>
        <v>2355.1405452494214</v>
      </c>
      <c r="Q2378" s="3">
        <f t="shared" si="149"/>
        <v>4.3707812346838182E-3</v>
      </c>
      <c r="R2378" s="3">
        <f t="shared" si="150"/>
        <v>2.5600000000000002E-3</v>
      </c>
      <c r="S2378">
        <f t="shared" si="151"/>
        <v>57</v>
      </c>
      <c r="T2378">
        <f>INDEX([1]IDEN_level_ids!$B:$B,MATCH(G2378,[1]IDEN_level_ids!$A:$A,0),1)</f>
        <v>1073</v>
      </c>
      <c r="U2378">
        <f>INDEX([1]IDEN_level_ids!$B:$B,MATCH(H2378,[1]IDEN_level_ids!$A:$A,0),1)</f>
        <v>867</v>
      </c>
    </row>
    <row r="2379" spans="1:21" hidden="1" x14ac:dyDescent="0.25">
      <c r="A2379">
        <v>42451.620999999999</v>
      </c>
      <c r="B2379">
        <v>2355.6226999999999</v>
      </c>
      <c r="C2379">
        <v>15</v>
      </c>
      <c r="D2379" t="s">
        <v>632</v>
      </c>
      <c r="E2379" t="s">
        <v>427</v>
      </c>
      <c r="F2379">
        <v>1974</v>
      </c>
      <c r="G2379" s="1" t="s">
        <v>82</v>
      </c>
      <c r="H2379" s="1" t="s">
        <v>410</v>
      </c>
      <c r="I2379">
        <v>0.1043</v>
      </c>
      <c r="J2379">
        <v>42451.800999999999</v>
      </c>
      <c r="K2379">
        <v>9.9900000000000006E-3</v>
      </c>
      <c r="L2379">
        <v>2.7000000000000001E-3</v>
      </c>
      <c r="M2379">
        <v>4.87E-2</v>
      </c>
      <c r="N2379">
        <v>0.1186</v>
      </c>
      <c r="O2379">
        <v>3.0699999999999998E-3</v>
      </c>
      <c r="P2379" s="3">
        <f t="shared" si="148"/>
        <v>2355.6226510172605</v>
      </c>
      <c r="Q2379" s="3">
        <f t="shared" si="149"/>
        <v>9.9880821826445754E-3</v>
      </c>
      <c r="R2379" s="3">
        <f t="shared" si="150"/>
        <v>2.7000000000000001E-3</v>
      </c>
      <c r="S2379">
        <f t="shared" si="151"/>
        <v>57</v>
      </c>
      <c r="T2379">
        <f>INDEX([1]IDEN_level_ids!$B:$B,MATCH(G2379,[1]IDEN_level_ids!$A:$A,0),1)</f>
        <v>1193</v>
      </c>
      <c r="U2379">
        <f>INDEX([1]IDEN_level_ids!$B:$B,MATCH(H2379,[1]IDEN_level_ids!$A:$A,0),1)</f>
        <v>1056</v>
      </c>
    </row>
    <row r="2380" spans="1:21" hidden="1" x14ac:dyDescent="0.25">
      <c r="A2380">
        <v>42445.150999999998</v>
      </c>
      <c r="B2380">
        <v>2355.9816999999998</v>
      </c>
      <c r="C2380">
        <v>15</v>
      </c>
      <c r="D2380" t="s">
        <v>632</v>
      </c>
      <c r="F2380">
        <v>1974</v>
      </c>
      <c r="G2380" s="1" t="s">
        <v>600</v>
      </c>
      <c r="H2380" s="1" t="s">
        <v>628</v>
      </c>
      <c r="I2380">
        <v>0</v>
      </c>
      <c r="J2380">
        <v>42445.238899999997</v>
      </c>
      <c r="K2380">
        <v>4.8799999999999998E-3</v>
      </c>
      <c r="L2380">
        <v>2.5600000000000002E-3</v>
      </c>
      <c r="M2380">
        <v>4.6100000000000002E-2</v>
      </c>
      <c r="N2380">
        <v>0.3957</v>
      </c>
      <c r="O2380">
        <v>4.2300000000000003E-3</v>
      </c>
      <c r="P2380" s="3">
        <f t="shared" si="148"/>
        <v>2355.9817233304225</v>
      </c>
      <c r="Q2380" s="3">
        <f t="shared" si="149"/>
        <v>4.8790111409289239E-3</v>
      </c>
      <c r="R2380" s="3">
        <f t="shared" si="150"/>
        <v>2.5600000000000002E-3</v>
      </c>
      <c r="S2380">
        <f t="shared" si="151"/>
        <v>57</v>
      </c>
      <c r="T2380">
        <f>INDEX([1]IDEN_level_ids!$B:$B,MATCH(G2380,[1]IDEN_level_ids!$A:$A,0),1)</f>
        <v>1058</v>
      </c>
      <c r="U2380">
        <f>INDEX([1]IDEN_level_ids!$B:$B,MATCH(H2380,[1]IDEN_level_ids!$A:$A,0),1)</f>
        <v>841</v>
      </c>
    </row>
    <row r="2381" spans="1:21" hidden="1" x14ac:dyDescent="0.25">
      <c r="A2381">
        <v>42430.329700000002</v>
      </c>
      <c r="B2381">
        <v>2356.8047000000001</v>
      </c>
      <c r="C2381">
        <v>15</v>
      </c>
      <c r="D2381" t="s">
        <v>632</v>
      </c>
      <c r="F2381">
        <v>1974</v>
      </c>
      <c r="G2381" s="1" t="s">
        <v>245</v>
      </c>
      <c r="H2381" s="1" t="s">
        <v>470</v>
      </c>
      <c r="I2381">
        <v>0.2848</v>
      </c>
      <c r="J2381">
        <v>42430.374900000003</v>
      </c>
      <c r="K2381">
        <v>2.5100000000000001E-3</v>
      </c>
      <c r="L2381">
        <v>2.5600000000000002E-3</v>
      </c>
      <c r="M2381">
        <v>4.6100000000000002E-2</v>
      </c>
      <c r="N2381">
        <v>0.1193</v>
      </c>
      <c r="O2381">
        <v>2.9099999999999998E-3</v>
      </c>
      <c r="P2381" s="3">
        <f t="shared" si="148"/>
        <v>2356.8046891702561</v>
      </c>
      <c r="Q2381" s="3">
        <f t="shared" si="149"/>
        <v>2.5106441362368059E-3</v>
      </c>
      <c r="R2381" s="3">
        <f t="shared" si="150"/>
        <v>2.5600000000000002E-3</v>
      </c>
      <c r="S2381">
        <f t="shared" si="151"/>
        <v>57</v>
      </c>
      <c r="T2381">
        <f>INDEX([1]IDEN_level_ids!$B:$B,MATCH(G2381,[1]IDEN_level_ids!$A:$A,0),1)</f>
        <v>1169</v>
      </c>
      <c r="U2381">
        <f>INDEX([1]IDEN_level_ids!$B:$B,MATCH(H2381,[1]IDEN_level_ids!$A:$A,0),1)</f>
        <v>1026</v>
      </c>
    </row>
    <row r="2382" spans="1:21" hidden="1" x14ac:dyDescent="0.25">
      <c r="A2382">
        <v>42427.770499999999</v>
      </c>
      <c r="B2382">
        <v>2356.9468999999999</v>
      </c>
      <c r="C2382">
        <v>15</v>
      </c>
      <c r="D2382" t="s">
        <v>632</v>
      </c>
      <c r="F2382">
        <v>1974</v>
      </c>
      <c r="G2382" s="1" t="s">
        <v>187</v>
      </c>
      <c r="H2382" s="1" t="s">
        <v>419</v>
      </c>
      <c r="I2382">
        <v>0.2853</v>
      </c>
      <c r="J2382">
        <v>42427.862699999998</v>
      </c>
      <c r="K2382">
        <v>5.1200000000000004E-3</v>
      </c>
      <c r="L2382">
        <v>2.5600000000000002E-3</v>
      </c>
      <c r="M2382">
        <v>4.6100000000000002E-2</v>
      </c>
      <c r="N2382">
        <v>0.1769</v>
      </c>
      <c r="O2382">
        <v>3.1099999999999999E-3</v>
      </c>
      <c r="P2382" s="3">
        <f t="shared" si="148"/>
        <v>2356.9468492340411</v>
      </c>
      <c r="Q2382" s="3">
        <f t="shared" si="149"/>
        <v>5.1218818402958277E-3</v>
      </c>
      <c r="R2382" s="3">
        <f t="shared" si="150"/>
        <v>2.5600000000000002E-3</v>
      </c>
      <c r="S2382">
        <f t="shared" si="151"/>
        <v>57</v>
      </c>
      <c r="T2382">
        <f>INDEX([1]IDEN_level_ids!$B:$B,MATCH(G2382,[1]IDEN_level_ids!$A:$A,0),1)</f>
        <v>1204</v>
      </c>
      <c r="U2382">
        <f>INDEX([1]IDEN_level_ids!$B:$B,MATCH(H2382,[1]IDEN_level_ids!$A:$A,0),1)</f>
        <v>1068</v>
      </c>
    </row>
    <row r="2383" spans="1:21" hidden="1" x14ac:dyDescent="0.25">
      <c r="A2383">
        <v>42410.670899999997</v>
      </c>
      <c r="B2383">
        <v>2357.8971000000001</v>
      </c>
      <c r="C2383">
        <v>15</v>
      </c>
      <c r="D2383" t="s">
        <v>632</v>
      </c>
      <c r="F2383">
        <v>1974</v>
      </c>
      <c r="G2383" s="1" t="s">
        <v>384</v>
      </c>
      <c r="H2383" s="1" t="s">
        <v>116</v>
      </c>
      <c r="I2383">
        <v>-0.45490000000000003</v>
      </c>
      <c r="J2383">
        <v>42410.715100000001</v>
      </c>
      <c r="K2383">
        <v>2.4499999999999999E-3</v>
      </c>
      <c r="L2383">
        <v>2.5600000000000002E-3</v>
      </c>
      <c r="M2383">
        <v>4.6100000000000002E-2</v>
      </c>
      <c r="N2383">
        <v>0.19239999999999999</v>
      </c>
      <c r="O2383">
        <v>3.1700000000000001E-3</v>
      </c>
      <c r="P2383" s="3">
        <f t="shared" si="148"/>
        <v>2357.8971489460687</v>
      </c>
      <c r="Q2383" s="3">
        <f t="shared" si="149"/>
        <v>2.4573755417804932E-3</v>
      </c>
      <c r="R2383" s="3">
        <f t="shared" si="150"/>
        <v>2.5600000000000002E-3</v>
      </c>
      <c r="S2383">
        <f t="shared" si="151"/>
        <v>57</v>
      </c>
      <c r="T2383">
        <f>INDEX([1]IDEN_level_ids!$B:$B,MATCH(G2383,[1]IDEN_level_ids!$A:$A,0),1)</f>
        <v>1080</v>
      </c>
      <c r="U2383">
        <f>INDEX([1]IDEN_level_ids!$B:$B,MATCH(H2383,[1]IDEN_level_ids!$A:$A,0),1)</f>
        <v>879</v>
      </c>
    </row>
    <row r="2384" spans="1:21" hidden="1" x14ac:dyDescent="0.25">
      <c r="A2384">
        <v>42405.819300000003</v>
      </c>
      <c r="B2384">
        <v>2358.1669000000002</v>
      </c>
      <c r="C2384">
        <v>15</v>
      </c>
      <c r="D2384" t="s">
        <v>632</v>
      </c>
      <c r="F2384">
        <v>1974</v>
      </c>
      <c r="G2384" s="1" t="s">
        <v>207</v>
      </c>
      <c r="H2384" s="1" t="s">
        <v>583</v>
      </c>
      <c r="I2384">
        <v>0.1106</v>
      </c>
      <c r="J2384">
        <v>42405.864699999998</v>
      </c>
      <c r="K2384">
        <v>2.5300000000000001E-3</v>
      </c>
      <c r="L2384">
        <v>2.5600000000000002E-3</v>
      </c>
      <c r="M2384">
        <v>4.6100000000000002E-2</v>
      </c>
      <c r="N2384">
        <v>0.1593</v>
      </c>
      <c r="O2384">
        <v>3.0500000000000002E-3</v>
      </c>
      <c r="P2384" s="3">
        <f t="shared" si="148"/>
        <v>2358.1669131906147</v>
      </c>
      <c r="Q2384" s="3">
        <f t="shared" si="149"/>
        <v>2.5246691370739427E-3</v>
      </c>
      <c r="R2384" s="3">
        <f t="shared" si="150"/>
        <v>2.5600000000000002E-3</v>
      </c>
      <c r="S2384">
        <f t="shared" si="151"/>
        <v>57</v>
      </c>
      <c r="T2384">
        <f>INDEX([1]IDEN_level_ids!$B:$B,MATCH(G2384,[1]IDEN_level_ids!$A:$A,0),1)</f>
        <v>1177</v>
      </c>
      <c r="U2384">
        <f>INDEX([1]IDEN_level_ids!$B:$B,MATCH(H2384,[1]IDEN_level_ids!$A:$A,0),1)</f>
        <v>1043</v>
      </c>
    </row>
    <row r="2385" spans="1:21" hidden="1" x14ac:dyDescent="0.25">
      <c r="A2385">
        <v>42402.560400000002</v>
      </c>
      <c r="B2385">
        <v>2358.3481999999999</v>
      </c>
      <c r="C2385">
        <v>15</v>
      </c>
      <c r="D2385" t="s">
        <v>632</v>
      </c>
      <c r="F2385">
        <v>1974</v>
      </c>
      <c r="G2385" s="1" t="s">
        <v>278</v>
      </c>
      <c r="H2385" s="1" t="s">
        <v>505</v>
      </c>
      <c r="I2385">
        <v>0</v>
      </c>
      <c r="J2385">
        <v>42402.614800000003</v>
      </c>
      <c r="K2385">
        <v>3.0300000000000001E-3</v>
      </c>
      <c r="L2385">
        <v>2.5600000000000002E-3</v>
      </c>
      <c r="M2385">
        <v>4.6100000000000002E-2</v>
      </c>
      <c r="N2385">
        <v>0.31580000000000003</v>
      </c>
      <c r="O2385">
        <v>3.7399999999999998E-3</v>
      </c>
      <c r="P2385" s="3">
        <f t="shared" si="148"/>
        <v>2358.3481529572914</v>
      </c>
      <c r="Q2385" s="3">
        <f t="shared" si="149"/>
        <v>3.0256185877988173E-3</v>
      </c>
      <c r="R2385" s="3">
        <f t="shared" si="150"/>
        <v>2.5600000000000002E-3</v>
      </c>
      <c r="S2385">
        <f t="shared" si="151"/>
        <v>57</v>
      </c>
      <c r="T2385">
        <f>INDEX([1]IDEN_level_ids!$B:$B,MATCH(G2385,[1]IDEN_level_ids!$A:$A,0),1)</f>
        <v>1102</v>
      </c>
      <c r="U2385">
        <f>INDEX([1]IDEN_level_ids!$B:$B,MATCH(H2385,[1]IDEN_level_ids!$A:$A,0),1)</f>
        <v>950</v>
      </c>
    </row>
    <row r="2386" spans="1:21" hidden="1" x14ac:dyDescent="0.25">
      <c r="A2386">
        <v>42381.890099999997</v>
      </c>
      <c r="B2386">
        <v>2359.4983999999999</v>
      </c>
      <c r="C2386">
        <v>15</v>
      </c>
      <c r="D2386" t="s">
        <v>632</v>
      </c>
      <c r="F2386">
        <v>1974</v>
      </c>
      <c r="G2386" s="1" t="s">
        <v>71</v>
      </c>
      <c r="H2386" s="1" t="s">
        <v>445</v>
      </c>
      <c r="I2386">
        <v>0</v>
      </c>
      <c r="J2386">
        <v>42381.961900000002</v>
      </c>
      <c r="K2386">
        <v>4.0000000000000001E-3</v>
      </c>
      <c r="L2386">
        <v>2.5600000000000002E-3</v>
      </c>
      <c r="M2386">
        <v>4.6100000000000002E-2</v>
      </c>
      <c r="N2386">
        <v>0.1235</v>
      </c>
      <c r="O2386">
        <v>2.9299999999999999E-3</v>
      </c>
      <c r="P2386" s="3">
        <f t="shared" si="148"/>
        <v>2359.4983556431807</v>
      </c>
      <c r="Q2386" s="3">
        <f t="shared" si="149"/>
        <v>3.9972661561478162E-3</v>
      </c>
      <c r="R2386" s="3">
        <f t="shared" si="150"/>
        <v>2.5600000000000002E-3</v>
      </c>
      <c r="S2386">
        <f t="shared" si="151"/>
        <v>57</v>
      </c>
      <c r="T2386">
        <f>INDEX([1]IDEN_level_ids!$B:$B,MATCH(G2386,[1]IDEN_level_ids!$A:$A,0),1)</f>
        <v>1179</v>
      </c>
      <c r="U2386">
        <f>INDEX([1]IDEN_level_ids!$B:$B,MATCH(H2386,[1]IDEN_level_ids!$A:$A,0),1)</f>
        <v>1041</v>
      </c>
    </row>
    <row r="2387" spans="1:21" hidden="1" x14ac:dyDescent="0.25">
      <c r="A2387">
        <v>42372.851199999997</v>
      </c>
      <c r="B2387">
        <v>2360.0016999999998</v>
      </c>
      <c r="C2387">
        <v>15</v>
      </c>
      <c r="D2387" t="s">
        <v>632</v>
      </c>
      <c r="F2387">
        <v>1974</v>
      </c>
      <c r="G2387" s="1" t="s">
        <v>243</v>
      </c>
      <c r="H2387" s="1" t="s">
        <v>413</v>
      </c>
      <c r="I2387">
        <v>6.4600000000000005E-2</v>
      </c>
      <c r="J2387">
        <v>42372.8969</v>
      </c>
      <c r="K2387">
        <v>2.5400000000000002E-3</v>
      </c>
      <c r="L2387">
        <v>2.5699999999999998E-3</v>
      </c>
      <c r="M2387">
        <v>4.6100000000000002E-2</v>
      </c>
      <c r="N2387">
        <v>0.1409</v>
      </c>
      <c r="O2387">
        <v>2.99E-3</v>
      </c>
      <c r="P2387" s="3">
        <f t="shared" si="148"/>
        <v>2360.0016795659953</v>
      </c>
      <c r="Q2387" s="3">
        <f t="shared" si="149"/>
        <v>2.5453080775150738E-3</v>
      </c>
      <c r="R2387" s="3">
        <f t="shared" si="150"/>
        <v>2.5699999999999998E-3</v>
      </c>
      <c r="S2387">
        <f t="shared" si="151"/>
        <v>57</v>
      </c>
      <c r="T2387">
        <f>INDEX([1]IDEN_level_ids!$B:$B,MATCH(G2387,[1]IDEN_level_ids!$A:$A,0),1)</f>
        <v>1205</v>
      </c>
      <c r="U2387">
        <f>INDEX([1]IDEN_level_ids!$B:$B,MATCH(H2387,[1]IDEN_level_ids!$A:$A,0),1)</f>
        <v>1071</v>
      </c>
    </row>
    <row r="2388" spans="1:21" hidden="1" x14ac:dyDescent="0.25">
      <c r="A2388">
        <v>42370.969899999996</v>
      </c>
      <c r="B2388">
        <v>2360.1064999999999</v>
      </c>
      <c r="C2388">
        <v>15</v>
      </c>
      <c r="D2388" t="s">
        <v>632</v>
      </c>
      <c r="F2388">
        <v>1974</v>
      </c>
      <c r="G2388" s="1" t="s">
        <v>396</v>
      </c>
      <c r="H2388" s="1" t="s">
        <v>129</v>
      </c>
      <c r="I2388">
        <v>-0.42980000000000002</v>
      </c>
      <c r="J2388">
        <v>42371.0291</v>
      </c>
      <c r="K2388">
        <v>3.29E-3</v>
      </c>
      <c r="L2388">
        <v>2.5699999999999998E-3</v>
      </c>
      <c r="M2388">
        <v>4.6100000000000002E-2</v>
      </c>
      <c r="N2388">
        <v>0.18690000000000001</v>
      </c>
      <c r="O2388">
        <v>3.16E-3</v>
      </c>
      <c r="P2388" s="3">
        <f t="shared" si="148"/>
        <v>2360.1064652522859</v>
      </c>
      <c r="Q2388" s="3">
        <f t="shared" si="149"/>
        <v>3.2974960890896909E-3</v>
      </c>
      <c r="R2388" s="3">
        <f t="shared" si="150"/>
        <v>2.5699999999999998E-3</v>
      </c>
      <c r="S2388">
        <f t="shared" si="151"/>
        <v>57</v>
      </c>
      <c r="T2388">
        <f>INDEX([1]IDEN_level_ids!$B:$B,MATCH(G2388,[1]IDEN_level_ids!$A:$A,0),1)</f>
        <v>1072</v>
      </c>
      <c r="U2388">
        <f>INDEX([1]IDEN_level_ids!$B:$B,MATCH(H2388,[1]IDEN_level_ids!$A:$A,0),1)</f>
        <v>866</v>
      </c>
    </row>
    <row r="2389" spans="1:21" hidden="1" x14ac:dyDescent="0.25">
      <c r="A2389">
        <v>42365.999100000001</v>
      </c>
      <c r="B2389">
        <v>2360.3834000000002</v>
      </c>
      <c r="C2389">
        <v>15</v>
      </c>
      <c r="D2389" t="s">
        <v>632</v>
      </c>
      <c r="F2389">
        <v>1974</v>
      </c>
      <c r="G2389" s="1" t="s">
        <v>377</v>
      </c>
      <c r="H2389" s="1" t="s">
        <v>635</v>
      </c>
      <c r="I2389">
        <v>-0.33889999999999998</v>
      </c>
      <c r="J2389">
        <v>42366.047299999998</v>
      </c>
      <c r="K2389">
        <v>2.6900000000000001E-3</v>
      </c>
      <c r="L2389">
        <v>2.5699999999999998E-3</v>
      </c>
      <c r="M2389">
        <v>4.6100000000000002E-2</v>
      </c>
      <c r="N2389">
        <v>0.19350000000000001</v>
      </c>
      <c r="O2389">
        <v>3.1800000000000001E-3</v>
      </c>
      <c r="P2389" s="3">
        <f t="shared" si="148"/>
        <v>2360.3833763948692</v>
      </c>
      <c r="Q2389" s="3">
        <f t="shared" si="149"/>
        <v>2.6854164120777568E-3</v>
      </c>
      <c r="R2389" s="3">
        <f t="shared" si="150"/>
        <v>2.5699999999999998E-3</v>
      </c>
      <c r="S2389">
        <f t="shared" si="151"/>
        <v>57</v>
      </c>
      <c r="T2389">
        <f>INDEX([1]IDEN_level_ids!$B:$B,MATCH(G2389,[1]IDEN_level_ids!$A:$A,0),1)</f>
        <v>1057</v>
      </c>
      <c r="U2389">
        <f>INDEX([1]IDEN_level_ids!$B:$B,MATCH(H2389,[1]IDEN_level_ids!$A:$A,0),1)</f>
        <v>840</v>
      </c>
    </row>
    <row r="2390" spans="1:21" hidden="1" x14ac:dyDescent="0.25">
      <c r="A2390">
        <v>42364.849300000002</v>
      </c>
      <c r="B2390">
        <v>2360.4474</v>
      </c>
      <c r="C2390">
        <v>15</v>
      </c>
      <c r="D2390" t="s">
        <v>632</v>
      </c>
      <c r="F2390">
        <v>1974</v>
      </c>
      <c r="G2390" s="1" t="s">
        <v>73</v>
      </c>
      <c r="H2390" s="1" t="s">
        <v>552</v>
      </c>
      <c r="I2390">
        <v>0</v>
      </c>
      <c r="J2390">
        <v>42364.916100000002</v>
      </c>
      <c r="K2390">
        <v>3.7200000000000002E-3</v>
      </c>
      <c r="L2390">
        <v>2.5699999999999998E-3</v>
      </c>
      <c r="M2390">
        <v>4.6100000000000002E-2</v>
      </c>
      <c r="N2390">
        <v>0.1288</v>
      </c>
      <c r="O2390">
        <v>2.9499999999999999E-3</v>
      </c>
      <c r="P2390" s="3">
        <f t="shared" si="148"/>
        <v>2360.4474382020285</v>
      </c>
      <c r="Q2390" s="3">
        <f t="shared" si="149"/>
        <v>3.7218978200144193E-3</v>
      </c>
      <c r="R2390" s="3">
        <f t="shared" si="150"/>
        <v>2.5699999999999998E-3</v>
      </c>
      <c r="S2390">
        <f t="shared" si="151"/>
        <v>57</v>
      </c>
      <c r="T2390">
        <f>INDEX([1]IDEN_level_ids!$B:$B,MATCH(G2390,[1]IDEN_level_ids!$A:$A,0),1)</f>
        <v>1173</v>
      </c>
      <c r="U2390">
        <f>INDEX([1]IDEN_level_ids!$B:$B,MATCH(H2390,[1]IDEN_level_ids!$A:$A,0),1)</f>
        <v>1040</v>
      </c>
    </row>
    <row r="2391" spans="1:21" hidden="1" x14ac:dyDescent="0.25">
      <c r="A2391">
        <v>42351.029699999999</v>
      </c>
      <c r="B2391">
        <v>2361.2177000000001</v>
      </c>
      <c r="C2391">
        <v>15</v>
      </c>
      <c r="D2391" t="s">
        <v>632</v>
      </c>
      <c r="F2391">
        <v>1974</v>
      </c>
      <c r="G2391" s="1" t="s">
        <v>250</v>
      </c>
      <c r="H2391" s="1" t="s">
        <v>471</v>
      </c>
      <c r="I2391">
        <v>0</v>
      </c>
      <c r="J2391">
        <v>42351.068299999999</v>
      </c>
      <c r="K2391">
        <v>2.15E-3</v>
      </c>
      <c r="L2391">
        <v>2.5699999999999998E-3</v>
      </c>
      <c r="M2391">
        <v>4.6100000000000002E-2</v>
      </c>
      <c r="N2391">
        <v>0.49930000000000002</v>
      </c>
      <c r="O2391">
        <v>5.13E-3</v>
      </c>
      <c r="P2391" s="3">
        <f t="shared" si="148"/>
        <v>2361.2176777841132</v>
      </c>
      <c r="Q2391" s="3">
        <f t="shared" si="149"/>
        <v>2.1520827226595429E-3</v>
      </c>
      <c r="R2391" s="3">
        <f t="shared" si="150"/>
        <v>2.5699999999999998E-3</v>
      </c>
      <c r="S2391">
        <f t="shared" si="151"/>
        <v>57</v>
      </c>
      <c r="T2391">
        <f>INDEX([1]IDEN_level_ids!$B:$B,MATCH(G2391,[1]IDEN_level_ids!$A:$A,0),1)</f>
        <v>1107</v>
      </c>
      <c r="U2391">
        <f>INDEX([1]IDEN_level_ids!$B:$B,MATCH(H2391,[1]IDEN_level_ids!$A:$A,0),1)</f>
        <v>955</v>
      </c>
    </row>
    <row r="2392" spans="1:21" hidden="1" x14ac:dyDescent="0.25">
      <c r="A2392">
        <v>42347.850899999998</v>
      </c>
      <c r="B2392">
        <v>2361.3948999999998</v>
      </c>
      <c r="C2392">
        <v>15</v>
      </c>
      <c r="D2392" t="s">
        <v>632</v>
      </c>
      <c r="F2392">
        <v>1974</v>
      </c>
      <c r="G2392" s="1" t="s">
        <v>342</v>
      </c>
      <c r="H2392" s="1" t="s">
        <v>482</v>
      </c>
      <c r="I2392">
        <v>-2.9999999999999997E-4</v>
      </c>
      <c r="J2392">
        <v>42347.948299999996</v>
      </c>
      <c r="K2392">
        <v>5.4299999999999999E-3</v>
      </c>
      <c r="L2392">
        <v>2.5699999999999998E-3</v>
      </c>
      <c r="M2392">
        <v>4.6100000000000002E-2</v>
      </c>
      <c r="N2392">
        <v>0.20699999999999999</v>
      </c>
      <c r="O2392">
        <v>3.2399999999999998E-3</v>
      </c>
      <c r="P2392" s="3">
        <f t="shared" si="148"/>
        <v>2361.3949202791778</v>
      </c>
      <c r="Q2392" s="3">
        <f t="shared" si="149"/>
        <v>5.4311926423906698E-3</v>
      </c>
      <c r="R2392" s="3">
        <f t="shared" si="150"/>
        <v>2.5699999999999998E-3</v>
      </c>
      <c r="S2392">
        <f t="shared" si="151"/>
        <v>57</v>
      </c>
      <c r="T2392">
        <f>INDEX([1]IDEN_level_ids!$B:$B,MATCH(G2392,[1]IDEN_level_ids!$A:$A,0),1)</f>
        <v>1119</v>
      </c>
      <c r="U2392">
        <f>INDEX([1]IDEN_level_ids!$B:$B,MATCH(H2392,[1]IDEN_level_ids!$A:$A,0),1)</f>
        <v>957</v>
      </c>
    </row>
    <row r="2393" spans="1:21" hidden="1" x14ac:dyDescent="0.25">
      <c r="A2393">
        <v>42345.8292</v>
      </c>
      <c r="B2393">
        <v>2361.5077000000001</v>
      </c>
      <c r="C2393">
        <v>15</v>
      </c>
      <c r="D2393" t="s">
        <v>632</v>
      </c>
      <c r="F2393">
        <v>1974</v>
      </c>
      <c r="G2393" s="1" t="s">
        <v>407</v>
      </c>
      <c r="H2393" s="1" t="s">
        <v>636</v>
      </c>
      <c r="I2393">
        <v>-0.27489999999999998</v>
      </c>
      <c r="J2393">
        <v>42345.873200000002</v>
      </c>
      <c r="K2393">
        <v>2.4499999999999999E-3</v>
      </c>
      <c r="L2393">
        <v>2.5699999999999998E-3</v>
      </c>
      <c r="M2393">
        <v>4.6100000000000002E-2</v>
      </c>
      <c r="N2393">
        <v>0.1845</v>
      </c>
      <c r="O2393">
        <v>3.15E-3</v>
      </c>
      <c r="P2393" s="3">
        <f t="shared" si="148"/>
        <v>2361.507659413126</v>
      </c>
      <c r="Q2393" s="3">
        <f t="shared" si="149"/>
        <v>2.4537535578019742E-3</v>
      </c>
      <c r="R2393" s="3">
        <f t="shared" si="150"/>
        <v>2.5699999999999998E-3</v>
      </c>
      <c r="S2393">
        <f t="shared" si="151"/>
        <v>57</v>
      </c>
      <c r="T2393">
        <f>INDEX([1]IDEN_level_ids!$B:$B,MATCH(G2393,[1]IDEN_level_ids!$A:$A,0),1)</f>
        <v>1073</v>
      </c>
      <c r="U2393">
        <f>INDEX([1]IDEN_level_ids!$B:$B,MATCH(H2393,[1]IDEN_level_ids!$A:$A,0),1)</f>
        <v>868</v>
      </c>
    </row>
    <row r="2394" spans="1:21" hidden="1" x14ac:dyDescent="0.25">
      <c r="A2394">
        <v>42340.359299999996</v>
      </c>
      <c r="B2394">
        <v>2361.8126999999999</v>
      </c>
      <c r="C2394">
        <v>15</v>
      </c>
      <c r="D2394" t="s">
        <v>632</v>
      </c>
      <c r="F2394">
        <v>1974</v>
      </c>
      <c r="G2394" s="1" t="s">
        <v>396</v>
      </c>
      <c r="H2394" s="1" t="s">
        <v>630</v>
      </c>
      <c r="I2394">
        <v>-0.42980000000000002</v>
      </c>
      <c r="J2394">
        <v>42340.380400000002</v>
      </c>
      <c r="K2394">
        <v>1.17E-3</v>
      </c>
      <c r="L2394">
        <v>2.5699999999999998E-3</v>
      </c>
      <c r="M2394">
        <v>4.6100000000000002E-2</v>
      </c>
      <c r="N2394">
        <v>0.1552</v>
      </c>
      <c r="O2394">
        <v>3.0400000000000002E-3</v>
      </c>
      <c r="P2394" s="3">
        <f t="shared" si="148"/>
        <v>2361.8127397421499</v>
      </c>
      <c r="Q2394" s="3">
        <f t="shared" si="149"/>
        <v>1.1769910511247872E-3</v>
      </c>
      <c r="R2394" s="3">
        <f t="shared" si="150"/>
        <v>2.5699999999999998E-3</v>
      </c>
      <c r="S2394">
        <f t="shared" si="151"/>
        <v>57</v>
      </c>
      <c r="T2394">
        <f>INDEX([1]IDEN_level_ids!$B:$B,MATCH(G2394,[1]IDEN_level_ids!$A:$A,0),1)</f>
        <v>1072</v>
      </c>
      <c r="U2394">
        <f>INDEX([1]IDEN_level_ids!$B:$B,MATCH(H2394,[1]IDEN_level_ids!$A:$A,0),1)</f>
        <v>867</v>
      </c>
    </row>
    <row r="2395" spans="1:21" hidden="1" x14ac:dyDescent="0.25">
      <c r="A2395">
        <v>42329.3891</v>
      </c>
      <c r="B2395">
        <v>2362.4247999999998</v>
      </c>
      <c r="C2395">
        <v>15</v>
      </c>
      <c r="D2395" t="s">
        <v>632</v>
      </c>
      <c r="F2395">
        <v>1974</v>
      </c>
      <c r="G2395" s="1" t="s">
        <v>82</v>
      </c>
      <c r="H2395" s="1" t="s">
        <v>377</v>
      </c>
      <c r="I2395">
        <v>0.33889999999999998</v>
      </c>
      <c r="J2395">
        <v>42329.433499999999</v>
      </c>
      <c r="K2395">
        <v>2.48E-3</v>
      </c>
      <c r="L2395">
        <v>2.5699999999999998E-3</v>
      </c>
      <c r="M2395">
        <v>4.6100000000000002E-2</v>
      </c>
      <c r="N2395">
        <v>9.8299999999999998E-2</v>
      </c>
      <c r="O2395">
        <v>2.8500000000000001E-3</v>
      </c>
      <c r="P2395" s="3">
        <f t="shared" si="148"/>
        <v>2362.4248335773877</v>
      </c>
      <c r="Q2395" s="3">
        <f t="shared" si="149"/>
        <v>2.4779840864539437E-3</v>
      </c>
      <c r="R2395" s="3">
        <f t="shared" si="150"/>
        <v>2.5699999999999998E-3</v>
      </c>
      <c r="S2395">
        <f t="shared" si="151"/>
        <v>57</v>
      </c>
      <c r="T2395">
        <f>INDEX([1]IDEN_level_ids!$B:$B,MATCH(G2395,[1]IDEN_level_ids!$A:$A,0),1)</f>
        <v>1193</v>
      </c>
      <c r="U2395">
        <f>INDEX([1]IDEN_level_ids!$B:$B,MATCH(H2395,[1]IDEN_level_ids!$A:$A,0),1)</f>
        <v>1057</v>
      </c>
    </row>
    <row r="2396" spans="1:21" hidden="1" x14ac:dyDescent="0.25">
      <c r="A2396">
        <v>42319.999300000003</v>
      </c>
      <c r="B2396">
        <v>2362.9490000000001</v>
      </c>
      <c r="C2396">
        <v>15</v>
      </c>
      <c r="D2396" t="s">
        <v>632</v>
      </c>
      <c r="F2396">
        <v>1974</v>
      </c>
      <c r="G2396" s="1" t="s">
        <v>81</v>
      </c>
      <c r="H2396" s="1" t="s">
        <v>401</v>
      </c>
      <c r="I2396">
        <v>6.8900000000000003E-2</v>
      </c>
      <c r="J2396">
        <v>42320.106099999997</v>
      </c>
      <c r="K2396">
        <v>5.96E-3</v>
      </c>
      <c r="L2396">
        <v>2.5699999999999998E-3</v>
      </c>
      <c r="M2396">
        <v>4.6100000000000002E-2</v>
      </c>
      <c r="N2396">
        <v>0.10290000000000001</v>
      </c>
      <c r="O2396">
        <v>2.8700000000000002E-3</v>
      </c>
      <c r="P2396" s="3">
        <f t="shared" si="148"/>
        <v>2362.9489993871525</v>
      </c>
      <c r="Q2396" s="3">
        <f t="shared" si="149"/>
        <v>5.9631928265844181E-3</v>
      </c>
      <c r="R2396" s="3">
        <f t="shared" si="150"/>
        <v>2.5699999999999998E-3</v>
      </c>
      <c r="S2396">
        <f t="shared" si="151"/>
        <v>57</v>
      </c>
      <c r="T2396">
        <f>INDEX([1]IDEN_level_ids!$B:$B,MATCH(G2396,[1]IDEN_level_ids!$A:$A,0),1)</f>
        <v>1196</v>
      </c>
      <c r="U2396">
        <f>INDEX([1]IDEN_level_ids!$B:$B,MATCH(H2396,[1]IDEN_level_ids!$A:$A,0),1)</f>
        <v>1063</v>
      </c>
    </row>
    <row r="2397" spans="1:21" hidden="1" x14ac:dyDescent="0.25">
      <c r="A2397">
        <v>42318.381200000003</v>
      </c>
      <c r="B2397">
        <v>2363.0392999999999</v>
      </c>
      <c r="C2397">
        <v>15</v>
      </c>
      <c r="D2397" t="s">
        <v>632</v>
      </c>
      <c r="F2397">
        <v>1974</v>
      </c>
      <c r="G2397" s="1" t="s">
        <v>386</v>
      </c>
      <c r="H2397" s="1" t="s">
        <v>637</v>
      </c>
      <c r="I2397">
        <v>-0.22500000000000001</v>
      </c>
      <c r="J2397">
        <v>42318.457799999996</v>
      </c>
      <c r="K2397">
        <v>4.28E-3</v>
      </c>
      <c r="L2397">
        <v>2.5699999999999998E-3</v>
      </c>
      <c r="M2397">
        <v>4.6100000000000002E-2</v>
      </c>
      <c r="N2397">
        <v>0.15279999999999999</v>
      </c>
      <c r="O2397">
        <v>3.0400000000000002E-3</v>
      </c>
      <c r="P2397" s="3">
        <f t="shared" si="148"/>
        <v>2363.0393499078359</v>
      </c>
      <c r="Q2397" s="3">
        <f t="shared" si="149"/>
        <v>4.2773017635227006E-3</v>
      </c>
      <c r="R2397" s="3">
        <f t="shared" si="150"/>
        <v>2.5699999999999998E-3</v>
      </c>
      <c r="S2397">
        <f t="shared" si="151"/>
        <v>57</v>
      </c>
      <c r="T2397">
        <f>INDEX([1]IDEN_level_ids!$B:$B,MATCH(G2397,[1]IDEN_level_ids!$A:$A,0),1)</f>
        <v>1082</v>
      </c>
      <c r="U2397">
        <f>INDEX([1]IDEN_level_ids!$B:$B,MATCH(H2397,[1]IDEN_level_ids!$A:$A,0),1)</f>
        <v>882</v>
      </c>
    </row>
    <row r="2398" spans="1:21" hidden="1" x14ac:dyDescent="0.25">
      <c r="A2398">
        <v>42308.4804</v>
      </c>
      <c r="B2398">
        <v>2363.5922999999998</v>
      </c>
      <c r="C2398">
        <v>15</v>
      </c>
      <c r="D2398" t="s">
        <v>632</v>
      </c>
      <c r="F2398">
        <v>1974</v>
      </c>
      <c r="G2398" s="1" t="s">
        <v>69</v>
      </c>
      <c r="H2398" s="1" t="s">
        <v>545</v>
      </c>
      <c r="I2398">
        <v>0</v>
      </c>
      <c r="J2398">
        <v>42308.557099999998</v>
      </c>
      <c r="K2398">
        <v>4.2900000000000004E-3</v>
      </c>
      <c r="L2398">
        <v>2.5699999999999998E-3</v>
      </c>
      <c r="M2398">
        <v>4.6100000000000002E-2</v>
      </c>
      <c r="N2398">
        <v>0.17499999999999999</v>
      </c>
      <c r="O2398">
        <v>3.1199999999999999E-3</v>
      </c>
      <c r="P2398" s="3">
        <f t="shared" si="148"/>
        <v>2363.5923354978263</v>
      </c>
      <c r="Q2398" s="3">
        <f t="shared" si="149"/>
        <v>4.2848904467973625E-3</v>
      </c>
      <c r="R2398" s="3">
        <f t="shared" si="150"/>
        <v>2.5699999999999998E-3</v>
      </c>
      <c r="S2398">
        <f t="shared" si="151"/>
        <v>57</v>
      </c>
      <c r="T2398">
        <f>INDEX([1]IDEN_level_ids!$B:$B,MATCH(G2398,[1]IDEN_level_ids!$A:$A,0),1)</f>
        <v>1218</v>
      </c>
      <c r="U2398">
        <f>INDEX([1]IDEN_level_ids!$B:$B,MATCH(H2398,[1]IDEN_level_ids!$A:$A,0),1)</f>
        <v>1081</v>
      </c>
    </row>
    <row r="2399" spans="1:21" hidden="1" x14ac:dyDescent="0.25">
      <c r="A2399">
        <v>42292.9611</v>
      </c>
      <c r="B2399">
        <v>2364.4596000000001</v>
      </c>
      <c r="C2399">
        <v>15</v>
      </c>
      <c r="D2399" t="s">
        <v>632</v>
      </c>
      <c r="E2399" t="s">
        <v>638</v>
      </c>
      <c r="F2399">
        <v>1974</v>
      </c>
      <c r="G2399" s="1" t="s">
        <v>283</v>
      </c>
      <c r="H2399" s="1" t="s">
        <v>621</v>
      </c>
      <c r="I2399">
        <v>0</v>
      </c>
      <c r="J2399">
        <v>42293.135300000002</v>
      </c>
      <c r="K2399">
        <v>9.7400000000000004E-3</v>
      </c>
      <c r="L2399">
        <v>9.6600000000000002E-3</v>
      </c>
      <c r="M2399">
        <v>0.17280000000000001</v>
      </c>
      <c r="N2399">
        <v>3.8199999999999998E-2</v>
      </c>
      <c r="O2399">
        <v>1.005E-2</v>
      </c>
      <c r="P2399" s="3">
        <f t="shared" si="148"/>
        <v>2364.4596500007183</v>
      </c>
      <c r="Q2399" s="3">
        <f t="shared" si="149"/>
        <v>9.7389060447312659E-3</v>
      </c>
      <c r="R2399" s="3">
        <f t="shared" si="150"/>
        <v>9.6600000000000002E-3</v>
      </c>
      <c r="S2399">
        <f t="shared" si="151"/>
        <v>57</v>
      </c>
      <c r="T2399">
        <f>INDEX([1]IDEN_level_ids!$B:$B,MATCH(G2399,[1]IDEN_level_ids!$A:$A,0),1)</f>
        <v>1178</v>
      </c>
      <c r="U2399">
        <f>INDEX([1]IDEN_level_ids!$B:$B,MATCH(H2399,[1]IDEN_level_ids!$A:$A,0),1)</f>
        <v>1046</v>
      </c>
    </row>
    <row r="2400" spans="1:21" hidden="1" x14ac:dyDescent="0.25">
      <c r="A2400">
        <v>42292.460899999998</v>
      </c>
      <c r="B2400">
        <v>2364.4875999999999</v>
      </c>
      <c r="C2400">
        <v>15</v>
      </c>
      <c r="D2400" t="s">
        <v>632</v>
      </c>
      <c r="E2400" t="s">
        <v>427</v>
      </c>
      <c r="F2400">
        <v>1974</v>
      </c>
      <c r="G2400" s="1" t="s">
        <v>117</v>
      </c>
      <c r="H2400" s="1" t="s">
        <v>570</v>
      </c>
      <c r="I2400">
        <v>0</v>
      </c>
      <c r="J2400">
        <v>42292.458400000003</v>
      </c>
      <c r="K2400">
        <v>-1.3999999999999999E-4</v>
      </c>
      <c r="L2400">
        <v>2.7200000000000002E-3</v>
      </c>
      <c r="M2400">
        <v>4.87E-2</v>
      </c>
      <c r="N2400">
        <v>0.111</v>
      </c>
      <c r="O2400">
        <v>3.0599999999999998E-3</v>
      </c>
      <c r="P2400" s="3">
        <f t="shared" si="148"/>
        <v>2364.487614859981</v>
      </c>
      <c r="Q2400" s="3">
        <f t="shared" si="149"/>
        <v>-1.3977004982734798E-4</v>
      </c>
      <c r="R2400" s="3">
        <f t="shared" si="150"/>
        <v>2.7200000000000002E-3</v>
      </c>
      <c r="S2400">
        <f t="shared" si="151"/>
        <v>57</v>
      </c>
      <c r="T2400">
        <f>INDEX([1]IDEN_level_ids!$B:$B,MATCH(G2400,[1]IDEN_level_ids!$A:$A,0),1)</f>
        <v>1162</v>
      </c>
      <c r="U2400">
        <f>INDEX([1]IDEN_level_ids!$B:$B,MATCH(H2400,[1]IDEN_level_ids!$A:$A,0),1)</f>
        <v>1015</v>
      </c>
    </row>
    <row r="2401" spans="1:21" hidden="1" x14ac:dyDescent="0.25">
      <c r="A2401">
        <v>42279.280599999998</v>
      </c>
      <c r="B2401">
        <v>2365.2247000000002</v>
      </c>
      <c r="C2401">
        <v>15</v>
      </c>
      <c r="D2401" t="s">
        <v>632</v>
      </c>
      <c r="F2401">
        <v>1974</v>
      </c>
      <c r="G2401" s="1" t="s">
        <v>245</v>
      </c>
      <c r="H2401" s="1" t="s">
        <v>540</v>
      </c>
      <c r="I2401">
        <v>0.34399999999999997</v>
      </c>
      <c r="J2401">
        <v>42279.332199999997</v>
      </c>
      <c r="K2401">
        <v>2.8900000000000002E-3</v>
      </c>
      <c r="L2401">
        <v>2.5799999999999998E-3</v>
      </c>
      <c r="M2401">
        <v>4.6100000000000002E-2</v>
      </c>
      <c r="N2401">
        <v>9.9699999999999997E-2</v>
      </c>
      <c r="O2401">
        <v>2.8600000000000001E-3</v>
      </c>
      <c r="P2401" s="3">
        <f t="shared" si="148"/>
        <v>2365.2247290130099</v>
      </c>
      <c r="Q2401" s="3">
        <f t="shared" si="149"/>
        <v>2.886649094762106E-3</v>
      </c>
      <c r="R2401" s="3">
        <f t="shared" si="150"/>
        <v>2.5799999999999998E-3</v>
      </c>
      <c r="S2401">
        <f t="shared" si="151"/>
        <v>57</v>
      </c>
      <c r="T2401">
        <f>INDEX([1]IDEN_level_ids!$B:$B,MATCH(G2401,[1]IDEN_level_ids!$A:$A,0),1)</f>
        <v>1169</v>
      </c>
      <c r="U2401">
        <f>INDEX([1]IDEN_level_ids!$B:$B,MATCH(H2401,[1]IDEN_level_ids!$A:$A,0),1)</f>
        <v>1027</v>
      </c>
    </row>
    <row r="2402" spans="1:21" hidden="1" x14ac:dyDescent="0.25">
      <c r="A2402">
        <v>42268.500899999999</v>
      </c>
      <c r="B2402">
        <v>2365.8279000000002</v>
      </c>
      <c r="C2402">
        <v>15</v>
      </c>
      <c r="D2402" t="s">
        <v>632</v>
      </c>
      <c r="F2402">
        <v>1974</v>
      </c>
      <c r="G2402" s="1" t="s">
        <v>295</v>
      </c>
      <c r="H2402" s="1" t="s">
        <v>565</v>
      </c>
      <c r="I2402">
        <v>0.1676</v>
      </c>
      <c r="J2402">
        <v>42268.525699999998</v>
      </c>
      <c r="K2402">
        <v>1.39E-3</v>
      </c>
      <c r="L2402">
        <v>2.5799999999999998E-3</v>
      </c>
      <c r="M2402">
        <v>4.6100000000000002E-2</v>
      </c>
      <c r="N2402">
        <v>0.1384</v>
      </c>
      <c r="O2402">
        <v>2.99E-3</v>
      </c>
      <c r="P2402" s="3">
        <f t="shared" si="148"/>
        <v>2365.8279302732499</v>
      </c>
      <c r="Q2402" s="3">
        <f t="shared" si="149"/>
        <v>1.3880903507015319E-3</v>
      </c>
      <c r="R2402" s="3">
        <f t="shared" si="150"/>
        <v>2.5799999999999998E-3</v>
      </c>
      <c r="S2402">
        <f t="shared" si="151"/>
        <v>57</v>
      </c>
      <c r="T2402">
        <f>INDEX([1]IDEN_level_ids!$B:$B,MATCH(G2402,[1]IDEN_level_ids!$A:$A,0),1)</f>
        <v>1152</v>
      </c>
      <c r="U2402">
        <f>INDEX([1]IDEN_level_ids!$B:$B,MATCH(H2402,[1]IDEN_level_ids!$A:$A,0),1)</f>
        <v>1004</v>
      </c>
    </row>
    <row r="2403" spans="1:21" hidden="1" x14ac:dyDescent="0.25">
      <c r="A2403">
        <v>42261.160100000001</v>
      </c>
      <c r="B2403">
        <v>2366.2388999999998</v>
      </c>
      <c r="C2403">
        <v>15</v>
      </c>
      <c r="D2403" t="s">
        <v>632</v>
      </c>
      <c r="F2403">
        <v>1974</v>
      </c>
      <c r="G2403" s="1" t="s">
        <v>83</v>
      </c>
      <c r="H2403" s="1" t="s">
        <v>437</v>
      </c>
      <c r="I2403">
        <v>0.26329999999999998</v>
      </c>
      <c r="J2403">
        <v>42261.177100000001</v>
      </c>
      <c r="K2403">
        <v>9.5E-4</v>
      </c>
      <c r="L2403">
        <v>2.5799999999999998E-3</v>
      </c>
      <c r="M2403">
        <v>4.6100000000000002E-2</v>
      </c>
      <c r="N2403">
        <v>9.7299999999999998E-2</v>
      </c>
      <c r="O2403">
        <v>2.8600000000000001E-3</v>
      </c>
      <c r="P2403" s="3">
        <f t="shared" si="148"/>
        <v>2366.2388766275253</v>
      </c>
      <c r="Q2403" s="3">
        <f t="shared" si="149"/>
        <v>9.5184430847439216E-4</v>
      </c>
      <c r="R2403" s="3">
        <f t="shared" si="150"/>
        <v>2.5799999999999998E-3</v>
      </c>
      <c r="S2403">
        <f t="shared" si="151"/>
        <v>57</v>
      </c>
      <c r="T2403">
        <f>INDEX([1]IDEN_level_ids!$B:$B,MATCH(G2403,[1]IDEN_level_ids!$A:$A,0),1)</f>
        <v>1175</v>
      </c>
      <c r="U2403">
        <f>INDEX([1]IDEN_level_ids!$B:$B,MATCH(H2403,[1]IDEN_level_ids!$A:$A,0),1)</f>
        <v>1039</v>
      </c>
    </row>
    <row r="2404" spans="1:21" hidden="1" x14ac:dyDescent="0.25">
      <c r="A2404">
        <v>42256.159800000001</v>
      </c>
      <c r="B2404">
        <v>2366.5189</v>
      </c>
      <c r="C2404">
        <v>15</v>
      </c>
      <c r="D2404" t="s">
        <v>632</v>
      </c>
      <c r="F2404">
        <v>1974</v>
      </c>
      <c r="G2404" s="1" t="s">
        <v>379</v>
      </c>
      <c r="H2404" s="1" t="s">
        <v>639</v>
      </c>
      <c r="I2404">
        <v>-0.47110000000000002</v>
      </c>
      <c r="J2404">
        <v>42256.185799999999</v>
      </c>
      <c r="K2404">
        <v>1.4599999999999999E-3</v>
      </c>
      <c r="L2404">
        <v>2.5799999999999998E-3</v>
      </c>
      <c r="M2404">
        <v>4.6100000000000002E-2</v>
      </c>
      <c r="N2404">
        <v>0.14099999999999999</v>
      </c>
      <c r="O2404">
        <v>3.0000000000000001E-3</v>
      </c>
      <c r="P2404" s="3">
        <f t="shared" si="148"/>
        <v>2366.5188808756825</v>
      </c>
      <c r="Q2404" s="3">
        <f t="shared" si="149"/>
        <v>1.4561061234417139E-3</v>
      </c>
      <c r="R2404" s="3">
        <f t="shared" si="150"/>
        <v>2.5799999999999998E-3</v>
      </c>
      <c r="S2404">
        <f t="shared" si="151"/>
        <v>57</v>
      </c>
      <c r="T2404">
        <f>INDEX([1]IDEN_level_ids!$B:$B,MATCH(G2404,[1]IDEN_level_ids!$A:$A,0),1)</f>
        <v>1083</v>
      </c>
      <c r="U2404">
        <f>INDEX([1]IDEN_level_ids!$B:$B,MATCH(H2404,[1]IDEN_level_ids!$A:$A,0),1)</f>
        <v>893</v>
      </c>
    </row>
    <row r="2405" spans="1:21" hidden="1" x14ac:dyDescent="0.25">
      <c r="A2405">
        <v>42225.800300000003</v>
      </c>
      <c r="B2405">
        <v>2368.2204000000002</v>
      </c>
      <c r="C2405">
        <v>15</v>
      </c>
      <c r="D2405" t="s">
        <v>632</v>
      </c>
      <c r="F2405">
        <v>1974</v>
      </c>
      <c r="G2405" s="1" t="s">
        <v>396</v>
      </c>
      <c r="H2405" s="1" t="s">
        <v>636</v>
      </c>
      <c r="I2405">
        <v>-0.42980000000000002</v>
      </c>
      <c r="J2405">
        <v>42225.863799999999</v>
      </c>
      <c r="K2405">
        <v>3.5599999999999998E-3</v>
      </c>
      <c r="L2405">
        <v>2.5799999999999998E-3</v>
      </c>
      <c r="M2405">
        <v>4.6100000000000002E-2</v>
      </c>
      <c r="N2405">
        <v>0.188</v>
      </c>
      <c r="O2405">
        <v>3.1800000000000001E-3</v>
      </c>
      <c r="P2405" s="3">
        <f t="shared" si="148"/>
        <v>2368.2203602900095</v>
      </c>
      <c r="Q2405" s="3">
        <f t="shared" si="149"/>
        <v>3.5613716177067545E-3</v>
      </c>
      <c r="R2405" s="3">
        <f t="shared" si="150"/>
        <v>2.5799999999999998E-3</v>
      </c>
      <c r="S2405">
        <f t="shared" si="151"/>
        <v>57</v>
      </c>
      <c r="T2405">
        <f>INDEX([1]IDEN_level_ids!$B:$B,MATCH(G2405,[1]IDEN_level_ids!$A:$A,0),1)</f>
        <v>1072</v>
      </c>
      <c r="U2405">
        <f>INDEX([1]IDEN_level_ids!$B:$B,MATCH(H2405,[1]IDEN_level_ids!$A:$A,0),1)</f>
        <v>868</v>
      </c>
    </row>
    <row r="2406" spans="1:21" hidden="1" x14ac:dyDescent="0.25">
      <c r="A2406">
        <v>42224.679499999998</v>
      </c>
      <c r="B2406">
        <v>2368.2831999999999</v>
      </c>
      <c r="C2406">
        <v>15</v>
      </c>
      <c r="D2406" t="s">
        <v>632</v>
      </c>
      <c r="F2406">
        <v>1974</v>
      </c>
      <c r="G2406" s="1" t="s">
        <v>377</v>
      </c>
      <c r="H2406" s="1" t="s">
        <v>640</v>
      </c>
      <c r="I2406">
        <v>-0.33889999999999998</v>
      </c>
      <c r="J2406">
        <v>42224.763200000001</v>
      </c>
      <c r="K2406">
        <v>4.6899999999999997E-3</v>
      </c>
      <c r="L2406">
        <v>2.5799999999999998E-3</v>
      </c>
      <c r="M2406">
        <v>4.6100000000000002E-2</v>
      </c>
      <c r="N2406">
        <v>0.1467</v>
      </c>
      <c r="O2406">
        <v>3.0300000000000001E-3</v>
      </c>
      <c r="P2406" s="3">
        <f t="shared" si="148"/>
        <v>2368.2832216642405</v>
      </c>
      <c r="Q2406" s="3">
        <f t="shared" si="149"/>
        <v>4.6945273493292916E-3</v>
      </c>
      <c r="R2406" s="3">
        <f t="shared" si="150"/>
        <v>2.5799999999999998E-3</v>
      </c>
      <c r="S2406">
        <f t="shared" si="151"/>
        <v>57</v>
      </c>
      <c r="T2406">
        <f>INDEX([1]IDEN_level_ids!$B:$B,MATCH(G2406,[1]IDEN_level_ids!$A:$A,0),1)</f>
        <v>1057</v>
      </c>
      <c r="U2406">
        <f>INDEX([1]IDEN_level_ids!$B:$B,MATCH(H2406,[1]IDEN_level_ids!$A:$A,0),1)</f>
        <v>843</v>
      </c>
    </row>
    <row r="2407" spans="1:21" hidden="1" x14ac:dyDescent="0.25">
      <c r="A2407">
        <v>42212.43</v>
      </c>
      <c r="B2407">
        <v>2368.9704999999999</v>
      </c>
      <c r="C2407">
        <v>15</v>
      </c>
      <c r="D2407" t="s">
        <v>632</v>
      </c>
      <c r="F2407">
        <v>1974</v>
      </c>
      <c r="G2407" s="1" t="s">
        <v>273</v>
      </c>
      <c r="H2407" s="1" t="s">
        <v>432</v>
      </c>
      <c r="I2407">
        <v>0</v>
      </c>
      <c r="J2407">
        <v>42212.505700000002</v>
      </c>
      <c r="K2407">
        <v>4.2500000000000003E-3</v>
      </c>
      <c r="L2407">
        <v>2.5899999999999999E-3</v>
      </c>
      <c r="M2407">
        <v>4.6100000000000002E-2</v>
      </c>
      <c r="N2407">
        <v>0.4914</v>
      </c>
      <c r="O2407">
        <v>5.0800000000000003E-3</v>
      </c>
      <c r="P2407" s="3">
        <f t="shared" si="148"/>
        <v>2368.9704667558822</v>
      </c>
      <c r="Q2407" s="3">
        <f t="shared" si="149"/>
        <v>4.2482923336137901E-3</v>
      </c>
      <c r="R2407" s="3">
        <f t="shared" si="150"/>
        <v>2.5899999999999999E-3</v>
      </c>
      <c r="S2407">
        <f t="shared" si="151"/>
        <v>57</v>
      </c>
      <c r="T2407">
        <f>INDEX([1]IDEN_level_ids!$B:$B,MATCH(G2407,[1]IDEN_level_ids!$A:$A,0),1)</f>
        <v>1105</v>
      </c>
      <c r="U2407">
        <f>INDEX([1]IDEN_level_ids!$B:$B,MATCH(H2407,[1]IDEN_level_ids!$A:$A,0),1)</f>
        <v>954</v>
      </c>
    </row>
    <row r="2408" spans="1:21" hidden="1" x14ac:dyDescent="0.25">
      <c r="A2408">
        <v>42210.22</v>
      </c>
      <c r="B2408">
        <v>2369.0945000000002</v>
      </c>
      <c r="C2408">
        <v>15</v>
      </c>
      <c r="D2408" t="s">
        <v>632</v>
      </c>
      <c r="F2408">
        <v>1974</v>
      </c>
      <c r="G2408" s="1" t="s">
        <v>71</v>
      </c>
      <c r="H2408" s="1" t="s">
        <v>468</v>
      </c>
      <c r="I2408">
        <v>0.16639999999999999</v>
      </c>
      <c r="J2408">
        <v>42210.235399999998</v>
      </c>
      <c r="K2408">
        <v>8.5999999999999998E-4</v>
      </c>
      <c r="L2408">
        <v>2.5899999999999999E-3</v>
      </c>
      <c r="M2408">
        <v>4.6100000000000002E-2</v>
      </c>
      <c r="N2408">
        <v>0.1195</v>
      </c>
      <c r="O2408">
        <v>2.9399999999999999E-3</v>
      </c>
      <c r="P2408" s="3">
        <f t="shared" si="148"/>
        <v>2369.0944989151917</v>
      </c>
      <c r="Q2408" s="3">
        <f t="shared" si="149"/>
        <v>8.6434143122460227E-4</v>
      </c>
      <c r="R2408" s="3">
        <f t="shared" si="150"/>
        <v>2.5899999999999999E-3</v>
      </c>
      <c r="S2408">
        <f t="shared" si="151"/>
        <v>57</v>
      </c>
      <c r="T2408">
        <f>INDEX([1]IDEN_level_ids!$B:$B,MATCH(G2408,[1]IDEN_level_ids!$A:$A,0),1)</f>
        <v>1179</v>
      </c>
      <c r="U2408">
        <f>INDEX([1]IDEN_level_ids!$B:$B,MATCH(H2408,[1]IDEN_level_ids!$A:$A,0),1)</f>
        <v>1044</v>
      </c>
    </row>
    <row r="2409" spans="1:21" hidden="1" x14ac:dyDescent="0.25">
      <c r="A2409">
        <v>42206.409200000002</v>
      </c>
      <c r="B2409">
        <v>2369.3083999999999</v>
      </c>
      <c r="C2409">
        <v>15</v>
      </c>
      <c r="D2409" t="s">
        <v>632</v>
      </c>
      <c r="F2409">
        <v>1974</v>
      </c>
      <c r="G2409" s="1" t="s">
        <v>73</v>
      </c>
      <c r="H2409" s="1" t="s">
        <v>476</v>
      </c>
      <c r="I2409">
        <v>0</v>
      </c>
      <c r="J2409">
        <v>42206.433799999999</v>
      </c>
      <c r="K2409">
        <v>1.3799999999999999E-3</v>
      </c>
      <c r="L2409">
        <v>2.5899999999999999E-3</v>
      </c>
      <c r="M2409">
        <v>4.6100000000000002E-2</v>
      </c>
      <c r="N2409">
        <v>9.74E-2</v>
      </c>
      <c r="O2409">
        <v>2.8700000000000002E-3</v>
      </c>
      <c r="P2409" s="3">
        <f t="shared" si="148"/>
        <v>2369.3084035208567</v>
      </c>
      <c r="Q2409" s="3">
        <f t="shared" si="149"/>
        <v>1.3809502834192244E-3</v>
      </c>
      <c r="R2409" s="3">
        <f t="shared" si="150"/>
        <v>2.5899999999999999E-3</v>
      </c>
      <c r="S2409">
        <f t="shared" si="151"/>
        <v>57</v>
      </c>
      <c r="T2409">
        <f>INDEX([1]IDEN_level_ids!$B:$B,MATCH(G2409,[1]IDEN_level_ids!$A:$A,0),1)</f>
        <v>1173</v>
      </c>
      <c r="U2409">
        <f>INDEX([1]IDEN_level_ids!$B:$B,MATCH(H2409,[1]IDEN_level_ids!$A:$A,0),1)</f>
        <v>1037</v>
      </c>
    </row>
    <row r="2410" spans="1:21" hidden="1" x14ac:dyDescent="0.25">
      <c r="A2410">
        <v>42203.000899999999</v>
      </c>
      <c r="B2410">
        <v>2369.4996999999998</v>
      </c>
      <c r="C2410">
        <v>15</v>
      </c>
      <c r="D2410" t="s">
        <v>632</v>
      </c>
      <c r="F2410">
        <v>1974</v>
      </c>
      <c r="G2410" s="1" t="s">
        <v>134</v>
      </c>
      <c r="H2410" s="1" t="s">
        <v>486</v>
      </c>
      <c r="I2410">
        <v>0.52449999999999997</v>
      </c>
      <c r="J2410">
        <v>42203.02</v>
      </c>
      <c r="K2410">
        <v>1.07E-3</v>
      </c>
      <c r="L2410">
        <v>2.5899999999999999E-3</v>
      </c>
      <c r="M2410">
        <v>4.6100000000000002E-2</v>
      </c>
      <c r="N2410">
        <v>0.25750000000000001</v>
      </c>
      <c r="O2410">
        <v>3.48E-3</v>
      </c>
      <c r="P2410" s="3">
        <f t="shared" si="148"/>
        <v>2369.4997480617544</v>
      </c>
      <c r="Q2410" s="3">
        <f t="shared" si="149"/>
        <v>1.0723745640461857E-3</v>
      </c>
      <c r="R2410" s="3">
        <f t="shared" si="150"/>
        <v>2.5899999999999999E-3</v>
      </c>
      <c r="S2410">
        <f t="shared" si="151"/>
        <v>57</v>
      </c>
      <c r="T2410">
        <f>INDEX([1]IDEN_level_ids!$B:$B,MATCH(G2410,[1]IDEN_level_ids!$A:$A,0),1)</f>
        <v>1114</v>
      </c>
      <c r="U2410">
        <f>INDEX([1]IDEN_level_ids!$B:$B,MATCH(H2410,[1]IDEN_level_ids!$A:$A,0),1)</f>
        <v>958</v>
      </c>
    </row>
    <row r="2411" spans="1:21" hidden="1" x14ac:dyDescent="0.25">
      <c r="A2411">
        <v>42197.570200000002</v>
      </c>
      <c r="B2411">
        <v>2369.8047000000001</v>
      </c>
      <c r="C2411">
        <v>15</v>
      </c>
      <c r="D2411" t="s">
        <v>632</v>
      </c>
      <c r="F2411">
        <v>1974</v>
      </c>
      <c r="G2411" s="1" t="s">
        <v>384</v>
      </c>
      <c r="H2411" s="1" t="s">
        <v>641</v>
      </c>
      <c r="I2411">
        <v>-0.45490000000000003</v>
      </c>
      <c r="J2411">
        <v>42197.567199999998</v>
      </c>
      <c r="K2411">
        <v>-1.7000000000000001E-4</v>
      </c>
      <c r="L2411">
        <v>2.5899999999999999E-3</v>
      </c>
      <c r="M2411">
        <v>4.6100000000000002E-2</v>
      </c>
      <c r="N2411">
        <v>0.2477</v>
      </c>
      <c r="O2411">
        <v>3.4399999999999999E-3</v>
      </c>
      <c r="P2411" s="3">
        <f t="shared" si="148"/>
        <v>2369.8046955319714</v>
      </c>
      <c r="Q2411" s="3">
        <f t="shared" si="149"/>
        <v>-1.6847924098328804E-4</v>
      </c>
      <c r="R2411" s="3">
        <f t="shared" si="150"/>
        <v>2.5899999999999999E-3</v>
      </c>
      <c r="S2411">
        <f t="shared" si="151"/>
        <v>57</v>
      </c>
      <c r="T2411">
        <f>INDEX([1]IDEN_level_ids!$B:$B,MATCH(G2411,[1]IDEN_level_ids!$A:$A,0),1)</f>
        <v>1080</v>
      </c>
      <c r="U2411">
        <f>INDEX([1]IDEN_level_ids!$B:$B,MATCH(H2411,[1]IDEN_level_ids!$A:$A,0),1)</f>
        <v>880</v>
      </c>
    </row>
    <row r="2412" spans="1:21" hidden="1" x14ac:dyDescent="0.25">
      <c r="A2412">
        <v>42190.2192</v>
      </c>
      <c r="B2412">
        <v>2370.2175999999999</v>
      </c>
      <c r="C2412">
        <v>15</v>
      </c>
      <c r="D2412" t="s">
        <v>632</v>
      </c>
      <c r="F2412">
        <v>1974</v>
      </c>
      <c r="G2412" s="1" t="s">
        <v>94</v>
      </c>
      <c r="H2412" s="1" t="s">
        <v>464</v>
      </c>
      <c r="I2412">
        <v>0</v>
      </c>
      <c r="J2412">
        <v>42190.210800000001</v>
      </c>
      <c r="K2412">
        <v>-4.6999999999999999E-4</v>
      </c>
      <c r="L2412">
        <v>2.5899999999999999E-3</v>
      </c>
      <c r="M2412">
        <v>4.6100000000000002E-2</v>
      </c>
      <c r="N2412">
        <v>0.13020000000000001</v>
      </c>
      <c r="O2412">
        <v>2.98E-3</v>
      </c>
      <c r="P2412" s="3">
        <f t="shared" si="148"/>
        <v>2370.2175977317511</v>
      </c>
      <c r="Q2412" s="3">
        <f t="shared" si="149"/>
        <v>-4.7190633677018923E-4</v>
      </c>
      <c r="R2412" s="3">
        <f t="shared" si="150"/>
        <v>2.5899999999999999E-3</v>
      </c>
      <c r="S2412">
        <f t="shared" si="151"/>
        <v>57</v>
      </c>
      <c r="T2412">
        <f>INDEX([1]IDEN_level_ids!$B:$B,MATCH(G2412,[1]IDEN_level_ids!$A:$A,0),1)</f>
        <v>1207</v>
      </c>
      <c r="U2412">
        <f>INDEX([1]IDEN_level_ids!$B:$B,MATCH(H2412,[1]IDEN_level_ids!$A:$A,0),1)</f>
        <v>1076</v>
      </c>
    </row>
    <row r="2413" spans="1:21" hidden="1" x14ac:dyDescent="0.25">
      <c r="A2413">
        <v>42183.680800000002</v>
      </c>
      <c r="B2413">
        <v>2370.585</v>
      </c>
      <c r="C2413">
        <v>15</v>
      </c>
      <c r="D2413" t="s">
        <v>632</v>
      </c>
      <c r="F2413">
        <v>1974</v>
      </c>
      <c r="G2413" s="1" t="s">
        <v>252</v>
      </c>
      <c r="H2413" s="1" t="s">
        <v>569</v>
      </c>
      <c r="I2413">
        <v>0</v>
      </c>
      <c r="J2413">
        <v>42183.685400000002</v>
      </c>
      <c r="K2413">
        <v>2.5000000000000001E-4</v>
      </c>
      <c r="L2413">
        <v>2.5899999999999999E-3</v>
      </c>
      <c r="M2413">
        <v>4.6100000000000002E-2</v>
      </c>
      <c r="N2413">
        <v>0.1363</v>
      </c>
      <c r="O2413">
        <v>3.0000000000000001E-3</v>
      </c>
      <c r="P2413" s="3">
        <f t="shared" si="148"/>
        <v>2370.5849774967951</v>
      </c>
      <c r="Q2413" s="3">
        <f t="shared" si="149"/>
        <v>2.5850493602774804E-4</v>
      </c>
      <c r="R2413" s="3">
        <f t="shared" si="150"/>
        <v>2.5899999999999999E-3</v>
      </c>
      <c r="S2413">
        <f t="shared" si="151"/>
        <v>57</v>
      </c>
      <c r="T2413">
        <f>INDEX([1]IDEN_level_ids!$B:$B,MATCH(G2413,[1]IDEN_level_ids!$A:$A,0),1)</f>
        <v>1188</v>
      </c>
      <c r="U2413">
        <f>INDEX([1]IDEN_level_ids!$B:$B,MATCH(H2413,[1]IDEN_level_ids!$A:$A,0),1)</f>
        <v>1049</v>
      </c>
    </row>
    <row r="2414" spans="1:21" hidden="1" x14ac:dyDescent="0.25">
      <c r="A2414">
        <v>42180.780599999998</v>
      </c>
      <c r="B2414">
        <v>2370.748</v>
      </c>
      <c r="C2414">
        <v>15</v>
      </c>
      <c r="D2414" t="s">
        <v>632</v>
      </c>
      <c r="F2414">
        <v>1974</v>
      </c>
      <c r="G2414" s="1" t="s">
        <v>293</v>
      </c>
      <c r="H2414" s="1" t="s">
        <v>610</v>
      </c>
      <c r="I2414">
        <v>9.8000000000000004E-2</v>
      </c>
      <c r="J2414">
        <v>42180.7765</v>
      </c>
      <c r="K2414">
        <v>-2.3000000000000001E-4</v>
      </c>
      <c r="L2414">
        <v>2.5899999999999999E-3</v>
      </c>
      <c r="M2414">
        <v>4.6100000000000002E-2</v>
      </c>
      <c r="N2414">
        <v>0.19089999999999999</v>
      </c>
      <c r="O2414">
        <v>3.2000000000000002E-3</v>
      </c>
      <c r="P2414" s="3">
        <f t="shared" si="148"/>
        <v>2370.7479704631169</v>
      </c>
      <c r="Q2414" s="3">
        <f t="shared" si="149"/>
        <v>-2.3043830560709466E-4</v>
      </c>
      <c r="R2414" s="3">
        <f t="shared" si="150"/>
        <v>2.5899999999999999E-3</v>
      </c>
      <c r="S2414">
        <f t="shared" si="151"/>
        <v>57</v>
      </c>
      <c r="T2414">
        <f>INDEX([1]IDEN_level_ids!$B:$B,MATCH(G2414,[1]IDEN_level_ids!$A:$A,0),1)</f>
        <v>1121</v>
      </c>
      <c r="U2414">
        <f>INDEX([1]IDEN_level_ids!$B:$B,MATCH(H2414,[1]IDEN_level_ids!$A:$A,0),1)</f>
        <v>964</v>
      </c>
    </row>
    <row r="2415" spans="1:21" hidden="1" x14ac:dyDescent="0.25">
      <c r="A2415">
        <v>42178.200499999999</v>
      </c>
      <c r="B2415">
        <v>2370.893</v>
      </c>
      <c r="C2415">
        <v>15</v>
      </c>
      <c r="D2415" t="s">
        <v>632</v>
      </c>
      <c r="F2415">
        <v>1974</v>
      </c>
      <c r="G2415" s="1" t="s">
        <v>33</v>
      </c>
      <c r="H2415" s="1" t="s">
        <v>384</v>
      </c>
      <c r="I2415">
        <v>0.45490000000000003</v>
      </c>
      <c r="J2415">
        <v>42178.213600000003</v>
      </c>
      <c r="K2415">
        <v>7.3999999999999999E-4</v>
      </c>
      <c r="L2415">
        <v>2.5899999999999999E-3</v>
      </c>
      <c r="M2415">
        <v>4.6100000000000002E-2</v>
      </c>
      <c r="N2415">
        <v>0.122</v>
      </c>
      <c r="O2415">
        <v>2.9499999999999999E-3</v>
      </c>
      <c r="P2415" s="3">
        <f t="shared" si="148"/>
        <v>2370.8929924594577</v>
      </c>
      <c r="Q2415" s="3">
        <f t="shared" si="149"/>
        <v>7.3636827028167318E-4</v>
      </c>
      <c r="R2415" s="3">
        <f t="shared" si="150"/>
        <v>2.5899999999999999E-3</v>
      </c>
      <c r="S2415">
        <f t="shared" si="151"/>
        <v>57</v>
      </c>
      <c r="T2415">
        <f>INDEX([1]IDEN_level_ids!$B:$B,MATCH(G2415,[1]IDEN_level_ids!$A:$A,0),1)</f>
        <v>1220</v>
      </c>
      <c r="U2415">
        <f>INDEX([1]IDEN_level_ids!$B:$B,MATCH(H2415,[1]IDEN_level_ids!$A:$A,0),1)</f>
        <v>1080</v>
      </c>
    </row>
    <row r="2416" spans="1:21" hidden="1" x14ac:dyDescent="0.25">
      <c r="A2416">
        <v>42162.9401</v>
      </c>
      <c r="B2416">
        <v>2371.7511</v>
      </c>
      <c r="C2416">
        <v>15</v>
      </c>
      <c r="D2416" t="s">
        <v>632</v>
      </c>
      <c r="F2416">
        <v>1974</v>
      </c>
      <c r="G2416" s="1" t="s">
        <v>381</v>
      </c>
      <c r="H2416" s="1" t="s">
        <v>642</v>
      </c>
      <c r="I2416">
        <v>-0.23219999999999999</v>
      </c>
      <c r="J2416">
        <v>42163.052100000001</v>
      </c>
      <c r="K2416">
        <v>6.3E-3</v>
      </c>
      <c r="L2416">
        <v>2.5899999999999999E-3</v>
      </c>
      <c r="M2416">
        <v>4.6100000000000002E-2</v>
      </c>
      <c r="N2416">
        <v>0.1176</v>
      </c>
      <c r="O2416">
        <v>2.9399999999999999E-3</v>
      </c>
      <c r="P2416" s="3">
        <f t="shared" si="148"/>
        <v>2371.7511104022842</v>
      </c>
      <c r="Q2416" s="3">
        <f t="shared" si="149"/>
        <v>6.3002109936860506E-3</v>
      </c>
      <c r="R2416" s="3">
        <f t="shared" si="150"/>
        <v>2.5899999999999999E-3</v>
      </c>
      <c r="S2416">
        <f t="shared" si="151"/>
        <v>57</v>
      </c>
      <c r="T2416">
        <f>INDEX([1]IDEN_level_ids!$B:$B,MATCH(G2416,[1]IDEN_level_ids!$A:$A,0),1)</f>
        <v>1084</v>
      </c>
      <c r="U2416">
        <f>INDEX([1]IDEN_level_ids!$B:$B,MATCH(H2416,[1]IDEN_level_ids!$A:$A,0),1)</f>
        <v>894</v>
      </c>
    </row>
    <row r="2417" spans="1:21" hidden="1" x14ac:dyDescent="0.25">
      <c r="A2417">
        <v>42154.639600000002</v>
      </c>
      <c r="B2417">
        <v>2372.2181</v>
      </c>
      <c r="C2417">
        <v>15</v>
      </c>
      <c r="D2417" t="s">
        <v>632</v>
      </c>
      <c r="F2417">
        <v>1974</v>
      </c>
      <c r="G2417" s="1" t="s">
        <v>81</v>
      </c>
      <c r="H2417" s="1" t="s">
        <v>431</v>
      </c>
      <c r="I2417">
        <v>0.28649999999999998</v>
      </c>
      <c r="J2417">
        <v>42154.682200000003</v>
      </c>
      <c r="K2417">
        <v>2.3999999999999998E-3</v>
      </c>
      <c r="L2417">
        <v>2.5899999999999999E-3</v>
      </c>
      <c r="M2417">
        <v>4.6100000000000002E-2</v>
      </c>
      <c r="N2417">
        <v>0.1023</v>
      </c>
      <c r="O2417">
        <v>2.8900000000000002E-3</v>
      </c>
      <c r="P2417" s="3">
        <f t="shared" si="148"/>
        <v>2372.2181223439993</v>
      </c>
      <c r="Q2417" s="3">
        <f t="shared" si="149"/>
        <v>2.3972779949872347E-3</v>
      </c>
      <c r="R2417" s="3">
        <f t="shared" si="150"/>
        <v>2.5899999999999999E-3</v>
      </c>
      <c r="S2417">
        <f t="shared" si="151"/>
        <v>57</v>
      </c>
      <c r="T2417">
        <f>INDEX([1]IDEN_level_ids!$B:$B,MATCH(G2417,[1]IDEN_level_ids!$A:$A,0),1)</f>
        <v>1196</v>
      </c>
      <c r="U2417">
        <f>INDEX([1]IDEN_level_ids!$B:$B,MATCH(H2417,[1]IDEN_level_ids!$A:$A,0),1)</f>
        <v>1062</v>
      </c>
    </row>
    <row r="2418" spans="1:21" hidden="1" x14ac:dyDescent="0.25">
      <c r="A2418">
        <v>42146.890099999997</v>
      </c>
      <c r="B2418">
        <v>2372.6543000000001</v>
      </c>
      <c r="C2418">
        <v>15</v>
      </c>
      <c r="D2418" t="s">
        <v>632</v>
      </c>
      <c r="F2418">
        <v>1974</v>
      </c>
      <c r="G2418" s="1" t="s">
        <v>379</v>
      </c>
      <c r="H2418" s="1" t="s">
        <v>642</v>
      </c>
      <c r="I2418">
        <v>-0.47110000000000002</v>
      </c>
      <c r="J2418">
        <v>42146.961199999998</v>
      </c>
      <c r="K2418">
        <v>4.0000000000000001E-3</v>
      </c>
      <c r="L2418">
        <v>2.5899999999999999E-3</v>
      </c>
      <c r="M2418">
        <v>4.6100000000000002E-2</v>
      </c>
      <c r="N2418">
        <v>0.1366</v>
      </c>
      <c r="O2418">
        <v>3.0000000000000001E-3</v>
      </c>
      <c r="P2418" s="3">
        <f t="shared" si="148"/>
        <v>2372.6542993500725</v>
      </c>
      <c r="Q2418" s="3">
        <f t="shared" si="149"/>
        <v>4.0025595176302886E-3</v>
      </c>
      <c r="R2418" s="3">
        <f t="shared" si="150"/>
        <v>2.5899999999999999E-3</v>
      </c>
      <c r="S2418">
        <f t="shared" si="151"/>
        <v>57</v>
      </c>
      <c r="T2418">
        <f>INDEX([1]IDEN_level_ids!$B:$B,MATCH(G2418,[1]IDEN_level_ids!$A:$A,0),1)</f>
        <v>1083</v>
      </c>
      <c r="U2418">
        <f>INDEX([1]IDEN_level_ids!$B:$B,MATCH(H2418,[1]IDEN_level_ids!$A:$A,0),1)</f>
        <v>894</v>
      </c>
    </row>
    <row r="2419" spans="1:21" hidden="1" x14ac:dyDescent="0.25">
      <c r="A2419">
        <v>42143.3511</v>
      </c>
      <c r="B2419">
        <v>2372.8535000000002</v>
      </c>
      <c r="C2419">
        <v>15</v>
      </c>
      <c r="D2419" t="s">
        <v>632</v>
      </c>
      <c r="F2419">
        <v>1974</v>
      </c>
      <c r="G2419" s="1" t="s">
        <v>285</v>
      </c>
      <c r="H2419" s="1" t="s">
        <v>580</v>
      </c>
      <c r="I2419">
        <v>0.20710000000000001</v>
      </c>
      <c r="J2419">
        <v>42143.4159</v>
      </c>
      <c r="K2419">
        <v>3.65E-3</v>
      </c>
      <c r="L2419">
        <v>2.5899999999999999E-3</v>
      </c>
      <c r="M2419">
        <v>4.6100000000000002E-2</v>
      </c>
      <c r="N2419">
        <v>0.1139</v>
      </c>
      <c r="O2419">
        <v>2.9299999999999999E-3</v>
      </c>
      <c r="P2419" s="3">
        <f t="shared" si="148"/>
        <v>2372.8535436756001</v>
      </c>
      <c r="Q2419" s="3">
        <f t="shared" si="149"/>
        <v>3.6485155828813731E-3</v>
      </c>
      <c r="R2419" s="3">
        <f t="shared" si="150"/>
        <v>2.5899999999999999E-3</v>
      </c>
      <c r="S2419">
        <f t="shared" si="151"/>
        <v>57</v>
      </c>
      <c r="T2419">
        <f>INDEX([1]IDEN_level_ids!$B:$B,MATCH(G2419,[1]IDEN_level_ids!$A:$A,0),1)</f>
        <v>1150</v>
      </c>
      <c r="U2419">
        <f>INDEX([1]IDEN_level_ids!$B:$B,MATCH(H2419,[1]IDEN_level_ids!$A:$A,0),1)</f>
        <v>1001</v>
      </c>
    </row>
    <row r="2420" spans="1:21" hidden="1" x14ac:dyDescent="0.25">
      <c r="A2420">
        <v>42123.3603</v>
      </c>
      <c r="B2420">
        <v>2373.9796000000001</v>
      </c>
      <c r="C2420">
        <v>15</v>
      </c>
      <c r="D2420" t="s">
        <v>632</v>
      </c>
      <c r="F2420">
        <v>1974</v>
      </c>
      <c r="G2420" s="1" t="s">
        <v>244</v>
      </c>
      <c r="H2420" s="1" t="s">
        <v>401</v>
      </c>
      <c r="I2420">
        <v>6.8900000000000003E-2</v>
      </c>
      <c r="J2420">
        <v>42123.385699999999</v>
      </c>
      <c r="K2420">
        <v>1.4300000000000001E-3</v>
      </c>
      <c r="L2420">
        <v>2.5999999999999999E-3</v>
      </c>
      <c r="M2420">
        <v>4.6100000000000002E-2</v>
      </c>
      <c r="N2420">
        <v>0.14449999999999999</v>
      </c>
      <c r="O2420">
        <v>3.0300000000000001E-3</v>
      </c>
      <c r="P2420" s="3">
        <f t="shared" si="148"/>
        <v>2373.9796466332718</v>
      </c>
      <c r="Q2420" s="3">
        <f t="shared" si="149"/>
        <v>1.4314870945781877E-3</v>
      </c>
      <c r="R2420" s="3">
        <f t="shared" si="150"/>
        <v>2.5999999999999999E-3</v>
      </c>
      <c r="S2420">
        <f t="shared" si="151"/>
        <v>57</v>
      </c>
      <c r="T2420">
        <f>INDEX([1]IDEN_level_ids!$B:$B,MATCH(G2420,[1]IDEN_level_ids!$A:$A,0),1)</f>
        <v>1195</v>
      </c>
      <c r="U2420">
        <f>INDEX([1]IDEN_level_ids!$B:$B,MATCH(H2420,[1]IDEN_level_ids!$A:$A,0),1)</f>
        <v>1063</v>
      </c>
    </row>
    <row r="2421" spans="1:21" hidden="1" x14ac:dyDescent="0.25">
      <c r="A2421">
        <v>42109.891199999998</v>
      </c>
      <c r="B2421">
        <v>2374.739</v>
      </c>
      <c r="C2421">
        <v>15</v>
      </c>
      <c r="D2421" t="s">
        <v>632</v>
      </c>
      <c r="F2421">
        <v>1974</v>
      </c>
      <c r="G2421" s="1" t="s">
        <v>396</v>
      </c>
      <c r="H2421" s="1" t="s">
        <v>643</v>
      </c>
      <c r="I2421">
        <v>-0.42980000000000002</v>
      </c>
      <c r="J2421">
        <v>42109.961799999997</v>
      </c>
      <c r="K2421">
        <v>3.98E-3</v>
      </c>
      <c r="L2421">
        <v>2.5999999999999999E-3</v>
      </c>
      <c r="M2421">
        <v>4.6100000000000002E-2</v>
      </c>
      <c r="N2421">
        <v>0.1416</v>
      </c>
      <c r="O2421">
        <v>3.0300000000000001E-3</v>
      </c>
      <c r="P2421" s="3">
        <f t="shared" si="148"/>
        <v>2374.7389781904735</v>
      </c>
      <c r="Q2421" s="3">
        <f t="shared" si="149"/>
        <v>3.9813992866584158E-3</v>
      </c>
      <c r="R2421" s="3">
        <f t="shared" si="150"/>
        <v>2.5999999999999999E-3</v>
      </c>
      <c r="S2421">
        <f t="shared" si="151"/>
        <v>57</v>
      </c>
      <c r="T2421">
        <f>INDEX([1]IDEN_level_ids!$B:$B,MATCH(G2421,[1]IDEN_level_ids!$A:$A,0),1)</f>
        <v>1072</v>
      </c>
      <c r="U2421">
        <f>INDEX([1]IDEN_level_ids!$B:$B,MATCH(H2421,[1]IDEN_level_ids!$A:$A,0),1)</f>
        <v>869</v>
      </c>
    </row>
    <row r="2422" spans="1:21" hidden="1" x14ac:dyDescent="0.25">
      <c r="A2422">
        <v>42102.8004</v>
      </c>
      <c r="B2422">
        <v>2375.1388999999999</v>
      </c>
      <c r="C2422">
        <v>15</v>
      </c>
      <c r="D2422" t="s">
        <v>644</v>
      </c>
      <c r="F2422">
        <v>1974</v>
      </c>
      <c r="G2422" s="1" t="s">
        <v>56</v>
      </c>
      <c r="H2422" s="1" t="s">
        <v>386</v>
      </c>
      <c r="I2422">
        <v>0.22500000000000001</v>
      </c>
      <c r="J2422">
        <v>42102.8557</v>
      </c>
      <c r="K2422">
        <v>3.1199999999999999E-3</v>
      </c>
      <c r="L2422">
        <v>2.5999999999999999E-3</v>
      </c>
      <c r="M2422">
        <v>4.6100000000000002E-2</v>
      </c>
      <c r="N2422">
        <v>0.13689999999999999</v>
      </c>
      <c r="O2422">
        <v>3.0100000000000001E-3</v>
      </c>
      <c r="P2422" s="3">
        <f t="shared" si="148"/>
        <v>2375.1389230631794</v>
      </c>
      <c r="Q2422" s="3">
        <f t="shared" si="149"/>
        <v>3.1196264544632868E-3</v>
      </c>
      <c r="R2422" s="3">
        <f t="shared" si="150"/>
        <v>2.5999999999999999E-3</v>
      </c>
      <c r="S2422">
        <f t="shared" si="151"/>
        <v>58</v>
      </c>
      <c r="T2422">
        <f>INDEX([1]IDEN_level_ids!$B:$B,MATCH(G2422,[1]IDEN_level_ids!$A:$A,0),1)</f>
        <v>1221</v>
      </c>
      <c r="U2422">
        <f>INDEX([1]IDEN_level_ids!$B:$B,MATCH(H2422,[1]IDEN_level_ids!$A:$A,0),1)</f>
        <v>1082</v>
      </c>
    </row>
    <row r="2423" spans="1:21" hidden="1" x14ac:dyDescent="0.25">
      <c r="A2423">
        <v>42081.940799999997</v>
      </c>
      <c r="B2423">
        <v>2376.3163</v>
      </c>
      <c r="C2423">
        <v>15</v>
      </c>
      <c r="D2423" t="s">
        <v>644</v>
      </c>
      <c r="F2423">
        <v>1974</v>
      </c>
      <c r="G2423" s="1" t="s">
        <v>271</v>
      </c>
      <c r="H2423" s="1" t="s">
        <v>472</v>
      </c>
      <c r="I2423">
        <v>0</v>
      </c>
      <c r="J2423">
        <v>42081.989800000003</v>
      </c>
      <c r="K2423">
        <v>2.7699999999999999E-3</v>
      </c>
      <c r="L2423">
        <v>2.5999999999999999E-3</v>
      </c>
      <c r="M2423">
        <v>4.6100000000000002E-2</v>
      </c>
      <c r="N2423">
        <v>0.1021</v>
      </c>
      <c r="O2423">
        <v>2.8999999999999998E-3</v>
      </c>
      <c r="P2423" s="3">
        <f t="shared" si="148"/>
        <v>2376.3162558320032</v>
      </c>
      <c r="Q2423" s="3">
        <f t="shared" si="149"/>
        <v>2.7669674632306851E-3</v>
      </c>
      <c r="R2423" s="3">
        <f t="shared" si="150"/>
        <v>2.5999999999999999E-3</v>
      </c>
      <c r="S2423">
        <f t="shared" si="151"/>
        <v>58</v>
      </c>
      <c r="T2423">
        <f>INDEX([1]IDEN_level_ids!$B:$B,MATCH(G2423,[1]IDEN_level_ids!$A:$A,0),1)</f>
        <v>1158</v>
      </c>
      <c r="U2423">
        <f>INDEX([1]IDEN_level_ids!$B:$B,MATCH(H2423,[1]IDEN_level_ids!$A:$A,0),1)</f>
        <v>1012</v>
      </c>
    </row>
    <row r="2424" spans="1:21" hidden="1" x14ac:dyDescent="0.25">
      <c r="A2424">
        <v>42077.760799999996</v>
      </c>
      <c r="B2424">
        <v>2376.5522999999998</v>
      </c>
      <c r="C2424">
        <v>15</v>
      </c>
      <c r="D2424" t="s">
        <v>644</v>
      </c>
      <c r="F2424">
        <v>1974</v>
      </c>
      <c r="G2424" s="1" t="s">
        <v>197</v>
      </c>
      <c r="H2424" s="1" t="s">
        <v>438</v>
      </c>
      <c r="I2424">
        <v>0</v>
      </c>
      <c r="J2424">
        <v>42077.808799999999</v>
      </c>
      <c r="K2424">
        <v>2.7100000000000002E-3</v>
      </c>
      <c r="L2424">
        <v>2.5999999999999999E-3</v>
      </c>
      <c r="M2424">
        <v>4.6100000000000002E-2</v>
      </c>
      <c r="N2424">
        <v>9.2299999999999993E-2</v>
      </c>
      <c r="O2424">
        <v>2.8700000000000002E-3</v>
      </c>
      <c r="P2424" s="3">
        <f t="shared" si="148"/>
        <v>2376.5523188201596</v>
      </c>
      <c r="Q2424" s="3">
        <f t="shared" si="149"/>
        <v>2.7110373512186925E-3</v>
      </c>
      <c r="R2424" s="3">
        <f t="shared" si="150"/>
        <v>2.5999999999999999E-3</v>
      </c>
      <c r="S2424">
        <f t="shared" si="151"/>
        <v>58</v>
      </c>
      <c r="T2424">
        <f>INDEX([1]IDEN_level_ids!$B:$B,MATCH(G2424,[1]IDEN_level_ids!$A:$A,0),1)</f>
        <v>1182</v>
      </c>
      <c r="U2424">
        <f>INDEX([1]IDEN_level_ids!$B:$B,MATCH(H2424,[1]IDEN_level_ids!$A:$A,0),1)</f>
        <v>1051</v>
      </c>
    </row>
    <row r="2425" spans="1:21" hidden="1" x14ac:dyDescent="0.25">
      <c r="A2425">
        <v>42072.879099999998</v>
      </c>
      <c r="B2425">
        <v>2376.8281000000002</v>
      </c>
      <c r="C2425">
        <v>15</v>
      </c>
      <c r="D2425" t="s">
        <v>644</v>
      </c>
      <c r="F2425">
        <v>1974</v>
      </c>
      <c r="G2425" s="1" t="s">
        <v>187</v>
      </c>
      <c r="H2425" s="1" t="s">
        <v>413</v>
      </c>
      <c r="I2425">
        <v>6.4600000000000005E-2</v>
      </c>
      <c r="J2425">
        <v>42072.8747</v>
      </c>
      <c r="K2425">
        <v>-2.5000000000000001E-4</v>
      </c>
      <c r="L2425">
        <v>2.5999999999999999E-3</v>
      </c>
      <c r="M2425">
        <v>4.6100000000000002E-2</v>
      </c>
      <c r="N2425">
        <v>0.16370000000000001</v>
      </c>
      <c r="O2425">
        <v>3.1099999999999999E-3</v>
      </c>
      <c r="P2425" s="3">
        <f t="shared" si="148"/>
        <v>2376.8280692727776</v>
      </c>
      <c r="Q2425" s="3">
        <f t="shared" si="149"/>
        <v>-2.4856973959686002E-4</v>
      </c>
      <c r="R2425" s="3">
        <f t="shared" si="150"/>
        <v>2.5999999999999999E-3</v>
      </c>
      <c r="S2425">
        <f t="shared" si="151"/>
        <v>58</v>
      </c>
      <c r="T2425">
        <f>INDEX([1]IDEN_level_ids!$B:$B,MATCH(G2425,[1]IDEN_level_ids!$A:$A,0),1)</f>
        <v>1204</v>
      </c>
      <c r="U2425">
        <f>INDEX([1]IDEN_level_ids!$B:$B,MATCH(H2425,[1]IDEN_level_ids!$A:$A,0),1)</f>
        <v>1071</v>
      </c>
    </row>
    <row r="2426" spans="1:21" hidden="1" x14ac:dyDescent="0.25">
      <c r="A2426">
        <v>42058.150199999996</v>
      </c>
      <c r="B2426">
        <v>2377.6604000000002</v>
      </c>
      <c r="C2426">
        <v>15</v>
      </c>
      <c r="D2426" t="s">
        <v>644</v>
      </c>
      <c r="F2426">
        <v>1974</v>
      </c>
      <c r="G2426" s="1" t="s">
        <v>40</v>
      </c>
      <c r="H2426" s="1" t="s">
        <v>448</v>
      </c>
      <c r="I2426">
        <v>0.29559999999999997</v>
      </c>
      <c r="J2426">
        <v>42058.182500000003</v>
      </c>
      <c r="K2426">
        <v>1.83E-3</v>
      </c>
      <c r="L2426">
        <v>2.5999999999999999E-3</v>
      </c>
      <c r="M2426">
        <v>4.6100000000000002E-2</v>
      </c>
      <c r="N2426">
        <v>9.1600000000000001E-2</v>
      </c>
      <c r="O2426">
        <v>2.8700000000000002E-3</v>
      </c>
      <c r="P2426" s="3">
        <f t="shared" si="148"/>
        <v>2377.6604421370866</v>
      </c>
      <c r="Q2426" s="3">
        <f t="shared" si="149"/>
        <v>1.826004542181181E-3</v>
      </c>
      <c r="R2426" s="3">
        <f t="shared" si="150"/>
        <v>2.5999999999999999E-3</v>
      </c>
      <c r="S2426">
        <f t="shared" si="151"/>
        <v>58</v>
      </c>
      <c r="T2426">
        <f>INDEX([1]IDEN_level_ids!$B:$B,MATCH(G2426,[1]IDEN_level_ids!$A:$A,0),1)</f>
        <v>1199</v>
      </c>
      <c r="U2426">
        <f>INDEX([1]IDEN_level_ids!$B:$B,MATCH(H2426,[1]IDEN_level_ids!$A:$A,0),1)</f>
        <v>1067</v>
      </c>
    </row>
    <row r="2427" spans="1:21" hidden="1" x14ac:dyDescent="0.25">
      <c r="A2427">
        <v>42056.891100000001</v>
      </c>
      <c r="B2427">
        <v>2377.7316000000001</v>
      </c>
      <c r="C2427">
        <v>15</v>
      </c>
      <c r="D2427" t="s">
        <v>644</v>
      </c>
      <c r="F2427">
        <v>1974</v>
      </c>
      <c r="G2427" s="1" t="s">
        <v>381</v>
      </c>
      <c r="H2427" s="1" t="s">
        <v>645</v>
      </c>
      <c r="I2427">
        <v>-0.23219999999999999</v>
      </c>
      <c r="J2427">
        <v>42056.938199999997</v>
      </c>
      <c r="K2427">
        <v>2.66E-3</v>
      </c>
      <c r="L2427">
        <v>2.5999999999999999E-3</v>
      </c>
      <c r="M2427">
        <v>4.6100000000000002E-2</v>
      </c>
      <c r="N2427">
        <v>0.1313</v>
      </c>
      <c r="O2427">
        <v>3.0000000000000001E-3</v>
      </c>
      <c r="P2427" s="3">
        <f t="shared" si="148"/>
        <v>2377.7316245803058</v>
      </c>
      <c r="Q2427" s="3">
        <f t="shared" si="149"/>
        <v>2.6628462342159764E-3</v>
      </c>
      <c r="R2427" s="3">
        <f t="shared" si="150"/>
        <v>2.5999999999999999E-3</v>
      </c>
      <c r="S2427">
        <f t="shared" si="151"/>
        <v>58</v>
      </c>
      <c r="T2427">
        <f>INDEX([1]IDEN_level_ids!$B:$B,MATCH(G2427,[1]IDEN_level_ids!$A:$A,0),1)</f>
        <v>1084</v>
      </c>
      <c r="U2427">
        <f>INDEX([1]IDEN_level_ids!$B:$B,MATCH(H2427,[1]IDEN_level_ids!$A:$A,0),1)</f>
        <v>895</v>
      </c>
    </row>
    <row r="2428" spans="1:21" hidden="1" x14ac:dyDescent="0.25">
      <c r="A2428">
        <v>42056.029399999999</v>
      </c>
      <c r="B2428">
        <v>2377.7802999999999</v>
      </c>
      <c r="C2428">
        <v>15</v>
      </c>
      <c r="D2428" t="s">
        <v>644</v>
      </c>
      <c r="F2428">
        <v>1974</v>
      </c>
      <c r="G2428" s="1" t="s">
        <v>438</v>
      </c>
      <c r="H2428" s="1" t="s">
        <v>646</v>
      </c>
      <c r="I2428">
        <v>0</v>
      </c>
      <c r="J2428">
        <v>42056.140399999997</v>
      </c>
      <c r="K2428">
        <v>6.28E-3</v>
      </c>
      <c r="L2428">
        <v>2.5999999999999999E-3</v>
      </c>
      <c r="M2428">
        <v>4.6100000000000002E-2</v>
      </c>
      <c r="N2428">
        <v>0.26340000000000002</v>
      </c>
      <c r="O2428">
        <v>3.5400000000000002E-3</v>
      </c>
      <c r="P2428" s="3">
        <f t="shared" si="148"/>
        <v>2377.7803427158533</v>
      </c>
      <c r="Q2428" s="3">
        <f t="shared" si="149"/>
        <v>6.275745123730303E-3</v>
      </c>
      <c r="R2428" s="3">
        <f t="shared" si="150"/>
        <v>2.5999999999999999E-3</v>
      </c>
      <c r="S2428">
        <f t="shared" si="151"/>
        <v>58</v>
      </c>
      <c r="T2428">
        <f>INDEX([1]IDEN_level_ids!$B:$B,MATCH(G2428,[1]IDEN_level_ids!$A:$A,0),1)</f>
        <v>1051</v>
      </c>
      <c r="U2428">
        <f>INDEX([1]IDEN_level_ids!$B:$B,MATCH(H2428,[1]IDEN_level_ids!$A:$A,0),1)</f>
        <v>829</v>
      </c>
    </row>
    <row r="2429" spans="1:21" hidden="1" x14ac:dyDescent="0.25">
      <c r="A2429">
        <v>42045.450199999999</v>
      </c>
      <c r="B2429">
        <v>2378.3786</v>
      </c>
      <c r="C2429">
        <v>15</v>
      </c>
      <c r="D2429" t="s">
        <v>644</v>
      </c>
      <c r="F2429">
        <v>1974</v>
      </c>
      <c r="G2429" s="1" t="s">
        <v>238</v>
      </c>
      <c r="H2429" s="1" t="s">
        <v>475</v>
      </c>
      <c r="I2429">
        <v>0.18990000000000001</v>
      </c>
      <c r="J2429">
        <v>42045.462899999999</v>
      </c>
      <c r="K2429">
        <v>7.2000000000000005E-4</v>
      </c>
      <c r="L2429">
        <v>2.6099999999999999E-3</v>
      </c>
      <c r="M2429">
        <v>4.6100000000000002E-2</v>
      </c>
      <c r="N2429">
        <v>0.1008</v>
      </c>
      <c r="O2429">
        <v>2.8999999999999998E-3</v>
      </c>
      <c r="P2429" s="3">
        <f t="shared" si="148"/>
        <v>2378.3786241870234</v>
      </c>
      <c r="Q2429" s="3">
        <f t="shared" si="149"/>
        <v>7.1839876272861147E-4</v>
      </c>
      <c r="R2429" s="3">
        <f t="shared" si="150"/>
        <v>2.6099999999999999E-3</v>
      </c>
      <c r="S2429">
        <f t="shared" si="151"/>
        <v>58</v>
      </c>
      <c r="T2429">
        <f>INDEX([1]IDEN_level_ids!$B:$B,MATCH(G2429,[1]IDEN_level_ids!$A:$A,0),1)</f>
        <v>1165</v>
      </c>
      <c r="U2429">
        <f>INDEX([1]IDEN_level_ids!$B:$B,MATCH(H2429,[1]IDEN_level_ids!$A:$A,0),1)</f>
        <v>1030</v>
      </c>
    </row>
    <row r="2430" spans="1:21" hidden="1" x14ac:dyDescent="0.25">
      <c r="A2430">
        <v>42038.181199999999</v>
      </c>
      <c r="B2430">
        <v>2378.7899000000002</v>
      </c>
      <c r="C2430">
        <v>15</v>
      </c>
      <c r="D2430" t="s">
        <v>644</v>
      </c>
      <c r="E2430" t="s">
        <v>427</v>
      </c>
      <c r="F2430">
        <v>1974</v>
      </c>
      <c r="G2430" s="1" t="s">
        <v>53</v>
      </c>
      <c r="H2430" s="1" t="s">
        <v>379</v>
      </c>
      <c r="I2430">
        <v>0.47110000000000002</v>
      </c>
      <c r="J2430">
        <v>42038.229200000002</v>
      </c>
      <c r="K2430">
        <v>2.7200000000000002E-3</v>
      </c>
      <c r="L2430">
        <v>2.7599999999999999E-3</v>
      </c>
      <c r="M2430">
        <v>4.87E-2</v>
      </c>
      <c r="N2430">
        <v>0.19489999999999999</v>
      </c>
      <c r="O2430">
        <v>3.4199999999999999E-3</v>
      </c>
      <c r="P2430" s="3">
        <f t="shared" si="148"/>
        <v>2378.7898797105904</v>
      </c>
      <c r="Q2430" s="3">
        <f t="shared" si="149"/>
        <v>2.7161447187609156E-3</v>
      </c>
      <c r="R2430" s="3">
        <f t="shared" si="150"/>
        <v>2.7599999999999999E-3</v>
      </c>
      <c r="S2430">
        <f t="shared" si="151"/>
        <v>58</v>
      </c>
      <c r="T2430">
        <f>INDEX([1]IDEN_level_ids!$B:$B,MATCH(G2430,[1]IDEN_level_ids!$A:$A,0),1)</f>
        <v>1231</v>
      </c>
      <c r="U2430">
        <f>INDEX([1]IDEN_level_ids!$B:$B,MATCH(H2430,[1]IDEN_level_ids!$A:$A,0),1)</f>
        <v>1083</v>
      </c>
    </row>
    <row r="2431" spans="1:21" hidden="1" x14ac:dyDescent="0.25">
      <c r="A2431">
        <v>42035.109900000003</v>
      </c>
      <c r="B2431">
        <v>2378.9636999999998</v>
      </c>
      <c r="C2431">
        <v>15</v>
      </c>
      <c r="D2431" t="s">
        <v>644</v>
      </c>
      <c r="F2431">
        <v>1974</v>
      </c>
      <c r="G2431" s="1" t="s">
        <v>302</v>
      </c>
      <c r="H2431" s="1" t="s">
        <v>647</v>
      </c>
      <c r="I2431">
        <v>0</v>
      </c>
      <c r="J2431">
        <v>42035.160100000001</v>
      </c>
      <c r="K2431">
        <v>2.8400000000000001E-3</v>
      </c>
      <c r="L2431">
        <v>2.6099999999999999E-3</v>
      </c>
      <c r="M2431">
        <v>4.6100000000000002E-2</v>
      </c>
      <c r="N2431">
        <v>0.35560000000000003</v>
      </c>
      <c r="O2431">
        <v>4.0499999999999998E-3</v>
      </c>
      <c r="P2431" s="3">
        <f t="shared" si="148"/>
        <v>2378.9636862588527</v>
      </c>
      <c r="Q2431" s="3">
        <f t="shared" si="149"/>
        <v>2.8410496538526786E-3</v>
      </c>
      <c r="R2431" s="3">
        <f t="shared" si="150"/>
        <v>2.6099999999999999E-3</v>
      </c>
      <c r="S2431">
        <f t="shared" si="151"/>
        <v>58</v>
      </c>
      <c r="T2431">
        <f>INDEX([1]IDEN_level_ids!$B:$B,MATCH(G2431,[1]IDEN_level_ids!$A:$A,0),1)</f>
        <v>1100</v>
      </c>
      <c r="U2431">
        <f>INDEX([1]IDEN_level_ids!$B:$B,MATCH(H2431,[1]IDEN_level_ids!$A:$A,0),1)</f>
        <v>929</v>
      </c>
    </row>
    <row r="2432" spans="1:21" hidden="1" x14ac:dyDescent="0.25">
      <c r="A2432">
        <v>42030.440999999999</v>
      </c>
      <c r="B2432">
        <v>2379.2278999999999</v>
      </c>
      <c r="C2432">
        <v>15</v>
      </c>
      <c r="D2432" t="s">
        <v>644</v>
      </c>
      <c r="E2432" t="s">
        <v>427</v>
      </c>
      <c r="F2432">
        <v>1974</v>
      </c>
      <c r="G2432" s="1" t="s">
        <v>239</v>
      </c>
      <c r="H2432" s="1" t="s">
        <v>441</v>
      </c>
      <c r="I2432">
        <v>9.8500000000000004E-2</v>
      </c>
      <c r="J2432">
        <v>42030.476799999997</v>
      </c>
      <c r="K2432">
        <v>2.0300000000000001E-3</v>
      </c>
      <c r="L2432">
        <v>2.7599999999999999E-3</v>
      </c>
      <c r="M2432">
        <v>4.87E-2</v>
      </c>
      <c r="N2432">
        <v>0.1236</v>
      </c>
      <c r="O2432">
        <v>3.15E-3</v>
      </c>
      <c r="P2432" s="3">
        <f t="shared" si="148"/>
        <v>2379.227950522813</v>
      </c>
      <c r="Q2432" s="3">
        <f t="shared" si="149"/>
        <v>2.026538053087279E-3</v>
      </c>
      <c r="R2432" s="3">
        <f t="shared" si="150"/>
        <v>2.7599999999999999E-3</v>
      </c>
      <c r="S2432">
        <f t="shared" si="151"/>
        <v>58</v>
      </c>
      <c r="T2432">
        <f>INDEX([1]IDEN_level_ids!$B:$B,MATCH(G2432,[1]IDEN_level_ids!$A:$A,0),1)</f>
        <v>1167</v>
      </c>
      <c r="U2432">
        <f>INDEX([1]IDEN_level_ids!$B:$B,MATCH(H2432,[1]IDEN_level_ids!$A:$A,0),1)</f>
        <v>1034</v>
      </c>
    </row>
    <row r="2433" spans="1:21" hidden="1" x14ac:dyDescent="0.25">
      <c r="A2433">
        <v>42023.999000000003</v>
      </c>
      <c r="B2433">
        <v>2379.5927000000001</v>
      </c>
      <c r="C2433">
        <v>15</v>
      </c>
      <c r="D2433" t="s">
        <v>644</v>
      </c>
      <c r="E2433" t="s">
        <v>427</v>
      </c>
      <c r="F2433">
        <v>1974</v>
      </c>
      <c r="G2433" s="1" t="s">
        <v>203</v>
      </c>
      <c r="H2433" s="1" t="s">
        <v>483</v>
      </c>
      <c r="I2433">
        <v>0</v>
      </c>
      <c r="J2433">
        <v>42024.023099999999</v>
      </c>
      <c r="K2433">
        <v>1.3699999999999999E-3</v>
      </c>
      <c r="L2433">
        <v>2.7599999999999999E-3</v>
      </c>
      <c r="M2433">
        <v>4.87E-2</v>
      </c>
      <c r="N2433">
        <v>0.2477</v>
      </c>
      <c r="O2433">
        <v>3.6700000000000001E-3</v>
      </c>
      <c r="P2433" s="3">
        <f t="shared" si="148"/>
        <v>2379.592670369138</v>
      </c>
      <c r="Q2433" s="3">
        <f t="shared" si="149"/>
        <v>1.3646523848365177E-3</v>
      </c>
      <c r="R2433" s="3">
        <f t="shared" si="150"/>
        <v>2.7599999999999999E-3</v>
      </c>
      <c r="S2433">
        <f t="shared" si="151"/>
        <v>58</v>
      </c>
      <c r="T2433">
        <f>INDEX([1]IDEN_level_ids!$B:$B,MATCH(G2433,[1]IDEN_level_ids!$A:$A,0),1)</f>
        <v>1127</v>
      </c>
      <c r="U2433">
        <f>INDEX([1]IDEN_level_ids!$B:$B,MATCH(H2433,[1]IDEN_level_ids!$A:$A,0),1)</f>
        <v>970</v>
      </c>
    </row>
    <row r="2434" spans="1:21" hidden="1" x14ac:dyDescent="0.25">
      <c r="A2434">
        <v>42022.120799999997</v>
      </c>
      <c r="B2434">
        <v>2379.6990000000001</v>
      </c>
      <c r="C2434">
        <v>15</v>
      </c>
      <c r="D2434" t="s">
        <v>644</v>
      </c>
      <c r="E2434" t="s">
        <v>427</v>
      </c>
      <c r="F2434">
        <v>1974</v>
      </c>
      <c r="G2434" s="1" t="s">
        <v>53</v>
      </c>
      <c r="H2434" s="1" t="s">
        <v>381</v>
      </c>
      <c r="I2434">
        <v>0.23219999999999999</v>
      </c>
      <c r="J2434">
        <v>42022.138299999999</v>
      </c>
      <c r="K2434">
        <v>9.8999999999999999E-4</v>
      </c>
      <c r="L2434">
        <v>2.7599999999999999E-3</v>
      </c>
      <c r="M2434">
        <v>4.87E-2</v>
      </c>
      <c r="N2434">
        <v>0.17960000000000001</v>
      </c>
      <c r="O2434">
        <v>3.3600000000000001E-3</v>
      </c>
      <c r="P2434" s="3">
        <f t="shared" ref="P2434:P2497" si="152">100000000/$A2434</f>
        <v>2379.699027470313</v>
      </c>
      <c r="Q2434" s="3">
        <f t="shared" ref="Q2434:Q2497" si="153">100000000/($A2434)-100000000/$J2434</f>
        <v>9.910188932735764E-4</v>
      </c>
      <c r="R2434" s="3">
        <f t="shared" si="150"/>
        <v>2.7599999999999999E-3</v>
      </c>
      <c r="S2434">
        <f t="shared" si="151"/>
        <v>58</v>
      </c>
      <c r="T2434">
        <f>INDEX([1]IDEN_level_ids!$B:$B,MATCH(G2434,[1]IDEN_level_ids!$A:$A,0),1)</f>
        <v>1231</v>
      </c>
      <c r="U2434">
        <f>INDEX([1]IDEN_level_ids!$B:$B,MATCH(H2434,[1]IDEN_level_ids!$A:$A,0),1)</f>
        <v>1084</v>
      </c>
    </row>
    <row r="2435" spans="1:21" hidden="1" x14ac:dyDescent="0.25">
      <c r="A2435">
        <v>42015.8197</v>
      </c>
      <c r="B2435">
        <v>2380.0558999999998</v>
      </c>
      <c r="C2435">
        <v>15</v>
      </c>
      <c r="D2435" t="s">
        <v>644</v>
      </c>
      <c r="F2435">
        <v>1974</v>
      </c>
      <c r="G2435" s="1" t="s">
        <v>384</v>
      </c>
      <c r="H2435" s="1" t="s">
        <v>648</v>
      </c>
      <c r="I2435">
        <v>-0.45490000000000003</v>
      </c>
      <c r="J2435">
        <v>42015.888400000003</v>
      </c>
      <c r="K2435">
        <v>3.8899999999999998E-3</v>
      </c>
      <c r="L2435">
        <v>2.6099999999999999E-3</v>
      </c>
      <c r="M2435">
        <v>4.6100000000000002E-2</v>
      </c>
      <c r="N2435">
        <v>0.11269999999999999</v>
      </c>
      <c r="O2435">
        <v>2.9399999999999999E-3</v>
      </c>
      <c r="P2435" s="3">
        <f t="shared" si="152"/>
        <v>2380.0559102265947</v>
      </c>
      <c r="Q2435" s="3">
        <f t="shared" si="153"/>
        <v>3.8916192720535037E-3</v>
      </c>
      <c r="R2435" s="3">
        <f t="shared" ref="R2435:R2498" si="154">$L2435</f>
        <v>2.6099999999999999E-3</v>
      </c>
      <c r="S2435">
        <f t="shared" si="151"/>
        <v>58</v>
      </c>
      <c r="T2435">
        <f>INDEX([1]IDEN_level_ids!$B:$B,MATCH(G2435,[1]IDEN_level_ids!$A:$A,0),1)</f>
        <v>1080</v>
      </c>
      <c r="U2435">
        <f>INDEX([1]IDEN_level_ids!$B:$B,MATCH(H2435,[1]IDEN_level_ids!$A:$A,0),1)</f>
        <v>883</v>
      </c>
    </row>
    <row r="2436" spans="1:21" hidden="1" x14ac:dyDescent="0.25">
      <c r="A2436">
        <v>42003.090400000001</v>
      </c>
      <c r="B2436">
        <v>2380.7772</v>
      </c>
      <c r="C2436">
        <v>15</v>
      </c>
      <c r="D2436" t="s">
        <v>644</v>
      </c>
      <c r="F2436">
        <v>1974</v>
      </c>
      <c r="G2436" s="1" t="s">
        <v>416</v>
      </c>
      <c r="H2436" s="1" t="s">
        <v>620</v>
      </c>
      <c r="I2436">
        <v>-0.26750000000000002</v>
      </c>
      <c r="J2436">
        <v>42003.1541</v>
      </c>
      <c r="K2436">
        <v>3.6099999999999999E-3</v>
      </c>
      <c r="L2436">
        <v>2.6099999999999999E-3</v>
      </c>
      <c r="M2436">
        <v>4.6100000000000002E-2</v>
      </c>
      <c r="N2436">
        <v>0.2203</v>
      </c>
      <c r="O2436">
        <v>3.3500000000000001E-3</v>
      </c>
      <c r="P2436" s="3">
        <f t="shared" si="152"/>
        <v>2380.7772010985173</v>
      </c>
      <c r="Q2436" s="3">
        <f t="shared" si="153"/>
        <v>3.6105742760810244E-3</v>
      </c>
      <c r="R2436" s="3">
        <f t="shared" si="154"/>
        <v>2.6099999999999999E-3</v>
      </c>
      <c r="S2436">
        <f t="shared" ref="S2436:S2499" si="155">IF(D2436=D2435,S2435,S2435+1)</f>
        <v>58</v>
      </c>
      <c r="T2436">
        <f>INDEX([1]IDEN_level_ids!$B:$B,MATCH(G2436,[1]IDEN_level_ids!$A:$A,0),1)</f>
        <v>1055</v>
      </c>
      <c r="U2436">
        <f>INDEX([1]IDEN_level_ids!$B:$B,MATCH(H2436,[1]IDEN_level_ids!$A:$A,0),1)</f>
        <v>839</v>
      </c>
    </row>
    <row r="2437" spans="1:21" hidden="1" x14ac:dyDescent="0.25">
      <c r="A2437">
        <v>41985.540200000003</v>
      </c>
      <c r="B2437">
        <v>2381.7723999999998</v>
      </c>
      <c r="C2437">
        <v>15</v>
      </c>
      <c r="D2437" t="s">
        <v>644</v>
      </c>
      <c r="F2437">
        <v>1974</v>
      </c>
      <c r="G2437" s="1" t="s">
        <v>216</v>
      </c>
      <c r="H2437" s="1" t="s">
        <v>454</v>
      </c>
      <c r="I2437">
        <v>0</v>
      </c>
      <c r="J2437">
        <v>41985.551500000001</v>
      </c>
      <c r="K2437">
        <v>6.4000000000000005E-4</v>
      </c>
      <c r="L2437">
        <v>2.6099999999999999E-3</v>
      </c>
      <c r="M2437">
        <v>4.6100000000000002E-2</v>
      </c>
      <c r="N2437">
        <v>9.9099999999999994E-2</v>
      </c>
      <c r="O2437">
        <v>2.8999999999999998E-3</v>
      </c>
      <c r="P2437" s="3">
        <f t="shared" si="152"/>
        <v>2381.7723798156585</v>
      </c>
      <c r="Q2437" s="3">
        <f t="shared" si="153"/>
        <v>6.4103071008503321E-4</v>
      </c>
      <c r="R2437" s="3">
        <f t="shared" si="154"/>
        <v>2.6099999999999999E-3</v>
      </c>
      <c r="S2437">
        <f t="shared" si="155"/>
        <v>58</v>
      </c>
      <c r="T2437">
        <f>INDEX([1]IDEN_level_ids!$B:$B,MATCH(G2437,[1]IDEN_level_ids!$A:$A,0),1)</f>
        <v>1170</v>
      </c>
      <c r="U2437">
        <f>INDEX([1]IDEN_level_ids!$B:$B,MATCH(H2437,[1]IDEN_level_ids!$A:$A,0),1)</f>
        <v>1036</v>
      </c>
    </row>
    <row r="2438" spans="1:21" hidden="1" x14ac:dyDescent="0.25">
      <c r="A2438">
        <v>41978.5092</v>
      </c>
      <c r="B2438">
        <v>2382.1713</v>
      </c>
      <c r="C2438">
        <v>15</v>
      </c>
      <c r="D2438" t="s">
        <v>644</v>
      </c>
      <c r="F2438">
        <v>1974</v>
      </c>
      <c r="G2438" s="1" t="s">
        <v>265</v>
      </c>
      <c r="H2438" s="1" t="s">
        <v>570</v>
      </c>
      <c r="I2438">
        <v>0</v>
      </c>
      <c r="J2438">
        <v>41978.560299999997</v>
      </c>
      <c r="K2438">
        <v>2.8999999999999998E-3</v>
      </c>
      <c r="L2438">
        <v>2.6099999999999999E-3</v>
      </c>
      <c r="M2438">
        <v>4.6100000000000002E-2</v>
      </c>
      <c r="N2438">
        <v>0.13189999999999999</v>
      </c>
      <c r="O2438">
        <v>3.0100000000000001E-3</v>
      </c>
      <c r="P2438" s="3">
        <f t="shared" si="152"/>
        <v>2382.1713039776077</v>
      </c>
      <c r="Q2438" s="3">
        <f t="shared" si="153"/>
        <v>2.8997886720389943E-3</v>
      </c>
      <c r="R2438" s="3">
        <f t="shared" si="154"/>
        <v>2.6099999999999999E-3</v>
      </c>
      <c r="S2438">
        <f t="shared" si="155"/>
        <v>58</v>
      </c>
      <c r="T2438">
        <f>INDEX([1]IDEN_level_ids!$B:$B,MATCH(G2438,[1]IDEN_level_ids!$A:$A,0),1)</f>
        <v>1161</v>
      </c>
      <c r="U2438">
        <f>INDEX([1]IDEN_level_ids!$B:$B,MATCH(H2438,[1]IDEN_level_ids!$A:$A,0),1)</f>
        <v>1015</v>
      </c>
    </row>
    <row r="2439" spans="1:21" hidden="1" x14ac:dyDescent="0.25">
      <c r="A2439">
        <v>41966.859900000003</v>
      </c>
      <c r="B2439">
        <v>2382.8326000000002</v>
      </c>
      <c r="C2439">
        <v>15</v>
      </c>
      <c r="D2439" t="s">
        <v>644</v>
      </c>
      <c r="E2439" t="s">
        <v>427</v>
      </c>
      <c r="F2439">
        <v>1974</v>
      </c>
      <c r="G2439" s="1" t="s">
        <v>416</v>
      </c>
      <c r="H2439" s="1" t="s">
        <v>628</v>
      </c>
      <c r="I2439">
        <v>-0.26750000000000002</v>
      </c>
      <c r="J2439">
        <v>41966.867400000003</v>
      </c>
      <c r="K2439">
        <v>4.2999999999999999E-4</v>
      </c>
      <c r="L2439">
        <v>2.7699999999999999E-3</v>
      </c>
      <c r="M2439">
        <v>4.87E-2</v>
      </c>
      <c r="N2439">
        <v>0.35039999999999999</v>
      </c>
      <c r="O2439">
        <v>4.2599999999999999E-3</v>
      </c>
      <c r="P2439" s="3">
        <f t="shared" si="152"/>
        <v>2382.8325549798878</v>
      </c>
      <c r="Q2439" s="3">
        <f t="shared" si="153"/>
        <v>4.2584174798321328E-4</v>
      </c>
      <c r="R2439" s="3">
        <f t="shared" si="154"/>
        <v>2.7699999999999999E-3</v>
      </c>
      <c r="S2439">
        <f t="shared" si="155"/>
        <v>58</v>
      </c>
      <c r="T2439">
        <f>INDEX([1]IDEN_level_ids!$B:$B,MATCH(G2439,[1]IDEN_level_ids!$A:$A,0),1)</f>
        <v>1055</v>
      </c>
      <c r="U2439">
        <f>INDEX([1]IDEN_level_ids!$B:$B,MATCH(H2439,[1]IDEN_level_ids!$A:$A,0),1)</f>
        <v>841</v>
      </c>
    </row>
    <row r="2440" spans="1:21" hidden="1" x14ac:dyDescent="0.25">
      <c r="A2440">
        <v>41965.060599999997</v>
      </c>
      <c r="B2440">
        <v>2382.9346999999998</v>
      </c>
      <c r="C2440">
        <v>15</v>
      </c>
      <c r="D2440" t="s">
        <v>644</v>
      </c>
      <c r="F2440">
        <v>1974</v>
      </c>
      <c r="G2440" s="1" t="s">
        <v>77</v>
      </c>
      <c r="H2440" s="1" t="s">
        <v>419</v>
      </c>
      <c r="I2440">
        <v>0.2853</v>
      </c>
      <c r="J2440">
        <v>41965.100899999998</v>
      </c>
      <c r="K2440">
        <v>2.2799999999999999E-3</v>
      </c>
      <c r="L2440">
        <v>2.6199999999999999E-3</v>
      </c>
      <c r="M2440">
        <v>4.6100000000000002E-2</v>
      </c>
      <c r="N2440">
        <v>0.13950000000000001</v>
      </c>
      <c r="O2440">
        <v>3.0400000000000002E-3</v>
      </c>
      <c r="P2440" s="3">
        <f t="shared" si="152"/>
        <v>2382.9347216527076</v>
      </c>
      <c r="Q2440" s="3">
        <f t="shared" si="153"/>
        <v>2.2883840911163134E-3</v>
      </c>
      <c r="R2440" s="3">
        <f t="shared" si="154"/>
        <v>2.6199999999999999E-3</v>
      </c>
      <c r="S2440">
        <f t="shared" si="155"/>
        <v>58</v>
      </c>
      <c r="T2440">
        <f>INDEX([1]IDEN_level_ids!$B:$B,MATCH(G2440,[1]IDEN_level_ids!$A:$A,0),1)</f>
        <v>1197</v>
      </c>
      <c r="U2440">
        <f>INDEX([1]IDEN_level_ids!$B:$B,MATCH(H2440,[1]IDEN_level_ids!$A:$A,0),1)</f>
        <v>1068</v>
      </c>
    </row>
    <row r="2441" spans="1:21" hidden="1" x14ac:dyDescent="0.25">
      <c r="A2441">
        <v>41958.37</v>
      </c>
      <c r="B2441">
        <v>2383.3146999999999</v>
      </c>
      <c r="C2441">
        <v>15</v>
      </c>
      <c r="D2441" t="s">
        <v>644</v>
      </c>
      <c r="F2441">
        <v>1974</v>
      </c>
      <c r="G2441" s="1" t="s">
        <v>419</v>
      </c>
      <c r="H2441" s="1" t="s">
        <v>649</v>
      </c>
      <c r="I2441">
        <v>-0.2853</v>
      </c>
      <c r="J2441">
        <v>41958.3923</v>
      </c>
      <c r="K2441">
        <v>1.2700000000000001E-3</v>
      </c>
      <c r="L2441">
        <v>2.6199999999999999E-3</v>
      </c>
      <c r="M2441">
        <v>4.6100000000000002E-2</v>
      </c>
      <c r="N2441">
        <v>0.53139999999999998</v>
      </c>
      <c r="O2441">
        <v>5.5799999999999999E-3</v>
      </c>
      <c r="P2441" s="3">
        <f t="shared" si="152"/>
        <v>2383.314699784572</v>
      </c>
      <c r="Q2441" s="3">
        <f t="shared" si="153"/>
        <v>1.2666814641306701E-3</v>
      </c>
      <c r="R2441" s="3">
        <f t="shared" si="154"/>
        <v>2.6199999999999999E-3</v>
      </c>
      <c r="S2441">
        <f t="shared" si="155"/>
        <v>58</v>
      </c>
      <c r="T2441">
        <f>INDEX([1]IDEN_level_ids!$B:$B,MATCH(G2441,[1]IDEN_level_ids!$A:$A,0),1)</f>
        <v>1068</v>
      </c>
      <c r="U2441">
        <f>INDEX([1]IDEN_level_ids!$B:$B,MATCH(H2441,[1]IDEN_level_ids!$A:$A,0),1)</f>
        <v>858</v>
      </c>
    </row>
    <row r="2442" spans="1:21" hidden="1" x14ac:dyDescent="0.25">
      <c r="A2442">
        <v>41951.489099999999</v>
      </c>
      <c r="B2442">
        <v>2383.7055999999998</v>
      </c>
      <c r="C2442">
        <v>15</v>
      </c>
      <c r="D2442" t="s">
        <v>644</v>
      </c>
      <c r="F2442">
        <v>1974</v>
      </c>
      <c r="G2442" s="1" t="s">
        <v>446</v>
      </c>
      <c r="H2442" s="1" t="s">
        <v>340</v>
      </c>
      <c r="I2442">
        <v>-0.31669999999999998</v>
      </c>
      <c r="J2442">
        <v>41951.507899999997</v>
      </c>
      <c r="K2442">
        <v>1.07E-3</v>
      </c>
      <c r="L2442">
        <v>2.6199999999999999E-3</v>
      </c>
      <c r="M2442">
        <v>4.6100000000000002E-2</v>
      </c>
      <c r="N2442">
        <v>0.25280000000000002</v>
      </c>
      <c r="O2442">
        <v>3.5000000000000001E-3</v>
      </c>
      <c r="P2442" s="3">
        <f t="shared" si="152"/>
        <v>2383.7056120136626</v>
      </c>
      <c r="Q2442" s="3">
        <f t="shared" si="153"/>
        <v>1.0682253805498476E-3</v>
      </c>
      <c r="R2442" s="3">
        <f t="shared" si="154"/>
        <v>2.6199999999999999E-3</v>
      </c>
      <c r="S2442">
        <f t="shared" si="155"/>
        <v>58</v>
      </c>
      <c r="T2442">
        <f>INDEX([1]IDEN_level_ids!$B:$B,MATCH(G2442,[1]IDEN_level_ids!$A:$A,0),1)</f>
        <v>1079</v>
      </c>
      <c r="U2442">
        <f>INDEX([1]IDEN_level_ids!$B:$B,MATCH(H2442,[1]IDEN_level_ids!$A:$A,0),1)</f>
        <v>875</v>
      </c>
    </row>
    <row r="2443" spans="1:21" hidden="1" x14ac:dyDescent="0.25">
      <c r="A2443">
        <v>41927.540399999998</v>
      </c>
      <c r="B2443">
        <v>2385.0672</v>
      </c>
      <c r="C2443">
        <v>15</v>
      </c>
      <c r="D2443" t="s">
        <v>644</v>
      </c>
      <c r="F2443">
        <v>1974</v>
      </c>
      <c r="G2443" s="1" t="s">
        <v>238</v>
      </c>
      <c r="H2443" s="1" t="s">
        <v>540</v>
      </c>
      <c r="I2443">
        <v>0.34399999999999997</v>
      </c>
      <c r="J2443">
        <v>41927.5864</v>
      </c>
      <c r="K2443">
        <v>2.6099999999999999E-3</v>
      </c>
      <c r="L2443">
        <v>2.6199999999999999E-3</v>
      </c>
      <c r="M2443">
        <v>4.6100000000000002E-2</v>
      </c>
      <c r="N2443">
        <v>9.01E-2</v>
      </c>
      <c r="O2443">
        <v>2.8800000000000002E-3</v>
      </c>
      <c r="P2443" s="3">
        <f t="shared" si="152"/>
        <v>2385.0671669736203</v>
      </c>
      <c r="Q2443" s="3">
        <f t="shared" si="153"/>
        <v>2.6167280093432055E-3</v>
      </c>
      <c r="R2443" s="3">
        <f t="shared" si="154"/>
        <v>2.6199999999999999E-3</v>
      </c>
      <c r="S2443">
        <f t="shared" si="155"/>
        <v>58</v>
      </c>
      <c r="T2443">
        <f>INDEX([1]IDEN_level_ids!$B:$B,MATCH(G2443,[1]IDEN_level_ids!$A:$A,0),1)</f>
        <v>1165</v>
      </c>
      <c r="U2443">
        <f>INDEX([1]IDEN_level_ids!$B:$B,MATCH(H2443,[1]IDEN_level_ids!$A:$A,0),1)</f>
        <v>1027</v>
      </c>
    </row>
    <row r="2444" spans="1:21" hidden="1" x14ac:dyDescent="0.25">
      <c r="A2444">
        <v>41924.659599999999</v>
      </c>
      <c r="B2444">
        <v>2385.2311</v>
      </c>
      <c r="C2444">
        <v>15</v>
      </c>
      <c r="D2444" t="s">
        <v>644</v>
      </c>
      <c r="F2444">
        <v>1974</v>
      </c>
      <c r="G2444" s="1" t="s">
        <v>33</v>
      </c>
      <c r="H2444" s="1" t="s">
        <v>386</v>
      </c>
      <c r="I2444">
        <v>0.22500000000000001</v>
      </c>
      <c r="J2444">
        <v>41924.676800000001</v>
      </c>
      <c r="K2444">
        <v>9.7999999999999997E-4</v>
      </c>
      <c r="L2444">
        <v>2.6199999999999999E-3</v>
      </c>
      <c r="M2444">
        <v>4.6100000000000002E-2</v>
      </c>
      <c r="N2444">
        <v>0.122</v>
      </c>
      <c r="O2444">
        <v>2.99E-3</v>
      </c>
      <c r="P2444" s="3">
        <f t="shared" si="152"/>
        <v>2385.2310538497491</v>
      </c>
      <c r="Q2444" s="3">
        <f t="shared" si="153"/>
        <v>9.7856387355932384E-4</v>
      </c>
      <c r="R2444" s="3">
        <f t="shared" si="154"/>
        <v>2.6199999999999999E-3</v>
      </c>
      <c r="S2444">
        <f t="shared" si="155"/>
        <v>58</v>
      </c>
      <c r="T2444">
        <f>INDEX([1]IDEN_level_ids!$B:$B,MATCH(G2444,[1]IDEN_level_ids!$A:$A,0),1)</f>
        <v>1220</v>
      </c>
      <c r="U2444">
        <f>INDEX([1]IDEN_level_ids!$B:$B,MATCH(H2444,[1]IDEN_level_ids!$A:$A,0),1)</f>
        <v>1082</v>
      </c>
    </row>
    <row r="2445" spans="1:21" hidden="1" x14ac:dyDescent="0.25">
      <c r="A2445">
        <v>41920.210200000001</v>
      </c>
      <c r="B2445">
        <v>2385.4841999999999</v>
      </c>
      <c r="C2445">
        <v>15</v>
      </c>
      <c r="D2445" t="s">
        <v>644</v>
      </c>
      <c r="F2445">
        <v>1974</v>
      </c>
      <c r="G2445" s="1" t="s">
        <v>396</v>
      </c>
      <c r="H2445" s="1" t="s">
        <v>650</v>
      </c>
      <c r="I2445">
        <v>-0.42980000000000002</v>
      </c>
      <c r="J2445">
        <v>41920.249100000001</v>
      </c>
      <c r="K2445">
        <v>2.2100000000000002E-3</v>
      </c>
      <c r="L2445">
        <v>2.6199999999999999E-3</v>
      </c>
      <c r="M2445">
        <v>4.6100000000000002E-2</v>
      </c>
      <c r="N2445">
        <v>0.14130000000000001</v>
      </c>
      <c r="O2445">
        <v>3.0500000000000002E-3</v>
      </c>
      <c r="P2445" s="3">
        <f t="shared" si="152"/>
        <v>2385.4842216416178</v>
      </c>
      <c r="Q2445" s="3">
        <f t="shared" si="153"/>
        <v>2.2136160500849655E-3</v>
      </c>
      <c r="R2445" s="3">
        <f t="shared" si="154"/>
        <v>2.6199999999999999E-3</v>
      </c>
      <c r="S2445">
        <f t="shared" si="155"/>
        <v>58</v>
      </c>
      <c r="T2445">
        <f>INDEX([1]IDEN_level_ids!$B:$B,MATCH(G2445,[1]IDEN_level_ids!$A:$A,0),1)</f>
        <v>1072</v>
      </c>
      <c r="U2445">
        <f>INDEX([1]IDEN_level_ids!$B:$B,MATCH(H2445,[1]IDEN_level_ids!$A:$A,0),1)</f>
        <v>870</v>
      </c>
    </row>
    <row r="2446" spans="1:21" hidden="1" x14ac:dyDescent="0.25">
      <c r="A2446">
        <v>41884.731299999999</v>
      </c>
      <c r="B2446">
        <v>2387.5048999999999</v>
      </c>
      <c r="C2446">
        <v>15</v>
      </c>
      <c r="D2446" t="s">
        <v>644</v>
      </c>
      <c r="F2446">
        <v>1974</v>
      </c>
      <c r="G2446" s="1" t="s">
        <v>238</v>
      </c>
      <c r="H2446" s="1" t="s">
        <v>541</v>
      </c>
      <c r="I2446">
        <v>0</v>
      </c>
      <c r="J2446">
        <v>41884.786399999997</v>
      </c>
      <c r="K2446">
        <v>3.14E-3</v>
      </c>
      <c r="L2446">
        <v>2.63E-3</v>
      </c>
      <c r="M2446">
        <v>4.6100000000000002E-2</v>
      </c>
      <c r="N2446">
        <v>0.15740000000000001</v>
      </c>
      <c r="O2446">
        <v>3.1199999999999999E-3</v>
      </c>
      <c r="P2446" s="3">
        <f t="shared" si="152"/>
        <v>2387.5048710172819</v>
      </c>
      <c r="Q2446" s="3">
        <f t="shared" si="153"/>
        <v>3.1407947776642686E-3</v>
      </c>
      <c r="R2446" s="3">
        <f t="shared" si="154"/>
        <v>2.63E-3</v>
      </c>
      <c r="S2446">
        <f t="shared" si="155"/>
        <v>58</v>
      </c>
      <c r="T2446">
        <f>INDEX([1]IDEN_level_ids!$B:$B,MATCH(G2446,[1]IDEN_level_ids!$A:$A,0),1)</f>
        <v>1165</v>
      </c>
      <c r="U2446">
        <f>INDEX([1]IDEN_level_ids!$B:$B,MATCH(H2446,[1]IDEN_level_ids!$A:$A,0),1)</f>
        <v>1028</v>
      </c>
    </row>
    <row r="2447" spans="1:21" hidden="1" x14ac:dyDescent="0.25">
      <c r="A2447">
        <v>41881.929499999998</v>
      </c>
      <c r="B2447">
        <v>2387.6646000000001</v>
      </c>
      <c r="C2447">
        <v>15</v>
      </c>
      <c r="D2447" t="s">
        <v>644</v>
      </c>
      <c r="F2447">
        <v>1974</v>
      </c>
      <c r="G2447" s="1" t="s">
        <v>416</v>
      </c>
      <c r="H2447" s="1" t="s">
        <v>623</v>
      </c>
      <c r="I2447">
        <v>-0.26750000000000002</v>
      </c>
      <c r="J2447">
        <v>41881.958299999998</v>
      </c>
      <c r="K2447">
        <v>1.64E-3</v>
      </c>
      <c r="L2447">
        <v>2.63E-3</v>
      </c>
      <c r="M2447">
        <v>4.6100000000000002E-2</v>
      </c>
      <c r="N2447">
        <v>0.2195</v>
      </c>
      <c r="O2447">
        <v>3.3600000000000001E-3</v>
      </c>
      <c r="P2447" s="3">
        <f t="shared" si="152"/>
        <v>2387.6645893308237</v>
      </c>
      <c r="Q2447" s="3">
        <f t="shared" si="153"/>
        <v>1.6418702221017156E-3</v>
      </c>
      <c r="R2447" s="3">
        <f t="shared" si="154"/>
        <v>2.63E-3</v>
      </c>
      <c r="S2447">
        <f t="shared" si="155"/>
        <v>58</v>
      </c>
      <c r="T2447">
        <f>INDEX([1]IDEN_level_ids!$B:$B,MATCH(G2447,[1]IDEN_level_ids!$A:$A,0),1)</f>
        <v>1055</v>
      </c>
      <c r="U2447">
        <f>INDEX([1]IDEN_level_ids!$B:$B,MATCH(H2447,[1]IDEN_level_ids!$A:$A,0),1)</f>
        <v>842</v>
      </c>
    </row>
    <row r="2448" spans="1:21" hidden="1" x14ac:dyDescent="0.25">
      <c r="A2448">
        <v>41877.190300000002</v>
      </c>
      <c r="B2448">
        <v>2387.9348</v>
      </c>
      <c r="C2448">
        <v>15</v>
      </c>
      <c r="D2448" t="s">
        <v>644</v>
      </c>
      <c r="F2448">
        <v>1974</v>
      </c>
      <c r="G2448" s="1" t="s">
        <v>289</v>
      </c>
      <c r="H2448" s="1" t="s">
        <v>487</v>
      </c>
      <c r="I2448">
        <v>0</v>
      </c>
      <c r="J2448">
        <v>41877.219299999997</v>
      </c>
      <c r="K2448">
        <v>1.65E-3</v>
      </c>
      <c r="L2448">
        <v>2.63E-3</v>
      </c>
      <c r="M2448">
        <v>4.6100000000000002E-2</v>
      </c>
      <c r="N2448">
        <v>0.17979999999999999</v>
      </c>
      <c r="O2448">
        <v>3.2000000000000002E-3</v>
      </c>
      <c r="P2448" s="3">
        <f t="shared" si="152"/>
        <v>2387.934798959041</v>
      </c>
      <c r="Q2448" s="3">
        <f t="shared" si="153"/>
        <v>1.6536463099328103E-3</v>
      </c>
      <c r="R2448" s="3">
        <f t="shared" si="154"/>
        <v>2.63E-3</v>
      </c>
      <c r="S2448">
        <f t="shared" si="155"/>
        <v>58</v>
      </c>
      <c r="T2448">
        <f>INDEX([1]IDEN_level_ids!$B:$B,MATCH(G2448,[1]IDEN_level_ids!$A:$A,0),1)</f>
        <v>1122</v>
      </c>
      <c r="U2448">
        <f>INDEX([1]IDEN_level_ids!$B:$B,MATCH(H2448,[1]IDEN_level_ids!$A:$A,0),1)</f>
        <v>968</v>
      </c>
    </row>
    <row r="2449" spans="1:21" hidden="1" x14ac:dyDescent="0.25">
      <c r="A2449">
        <v>41873.311300000001</v>
      </c>
      <c r="B2449">
        <v>2388.1559999999999</v>
      </c>
      <c r="C2449">
        <v>15</v>
      </c>
      <c r="D2449" t="s">
        <v>644</v>
      </c>
      <c r="F2449">
        <v>1974</v>
      </c>
      <c r="G2449" s="1" t="s">
        <v>82</v>
      </c>
      <c r="H2449" s="1" t="s">
        <v>401</v>
      </c>
      <c r="I2449">
        <v>6.8900000000000003E-2</v>
      </c>
      <c r="J2449">
        <v>41873.335099999997</v>
      </c>
      <c r="K2449">
        <v>1.3600000000000001E-3</v>
      </c>
      <c r="L2449">
        <v>2.63E-3</v>
      </c>
      <c r="M2449">
        <v>4.6100000000000002E-2</v>
      </c>
      <c r="N2449">
        <v>0.1051</v>
      </c>
      <c r="O2449">
        <v>2.9399999999999999E-3</v>
      </c>
      <c r="P2449" s="3">
        <f t="shared" si="152"/>
        <v>2388.1560090519997</v>
      </c>
      <c r="Q2449" s="3">
        <f t="shared" si="153"/>
        <v>1.357382039714139E-3</v>
      </c>
      <c r="R2449" s="3">
        <f t="shared" si="154"/>
        <v>2.63E-3</v>
      </c>
      <c r="S2449">
        <f t="shared" si="155"/>
        <v>58</v>
      </c>
      <c r="T2449">
        <f>INDEX([1]IDEN_level_ids!$B:$B,MATCH(G2449,[1]IDEN_level_ids!$A:$A,0),1)</f>
        <v>1193</v>
      </c>
      <c r="U2449">
        <f>INDEX([1]IDEN_level_ids!$B:$B,MATCH(H2449,[1]IDEN_level_ids!$A:$A,0),1)</f>
        <v>1063</v>
      </c>
    </row>
    <row r="2450" spans="1:21" hidden="1" x14ac:dyDescent="0.25">
      <c r="A2450">
        <v>41848.479800000001</v>
      </c>
      <c r="B2450">
        <v>2389.5731000000001</v>
      </c>
      <c r="C2450">
        <v>15</v>
      </c>
      <c r="D2450" t="s">
        <v>644</v>
      </c>
      <c r="F2450">
        <v>1974</v>
      </c>
      <c r="G2450" s="1" t="s">
        <v>117</v>
      </c>
      <c r="H2450" s="1" t="s">
        <v>585</v>
      </c>
      <c r="I2450">
        <v>0</v>
      </c>
      <c r="J2450">
        <v>41848.521399999998</v>
      </c>
      <c r="K2450">
        <v>2.3800000000000002E-3</v>
      </c>
      <c r="L2450">
        <v>2.63E-3</v>
      </c>
      <c r="M2450">
        <v>4.6100000000000002E-2</v>
      </c>
      <c r="N2450">
        <v>0.114</v>
      </c>
      <c r="O2450">
        <v>2.97E-3</v>
      </c>
      <c r="P2450" s="3">
        <f t="shared" si="152"/>
        <v>2389.5730616240926</v>
      </c>
      <c r="Q2450" s="3">
        <f t="shared" si="153"/>
        <v>2.3753823556944553E-3</v>
      </c>
      <c r="R2450" s="3">
        <f t="shared" si="154"/>
        <v>2.63E-3</v>
      </c>
      <c r="S2450">
        <f t="shared" si="155"/>
        <v>58</v>
      </c>
      <c r="T2450">
        <f>INDEX([1]IDEN_level_ids!$B:$B,MATCH(G2450,[1]IDEN_level_ids!$A:$A,0),1)</f>
        <v>1162</v>
      </c>
      <c r="U2450">
        <f>INDEX([1]IDEN_level_ids!$B:$B,MATCH(H2450,[1]IDEN_level_ids!$A:$A,0),1)</f>
        <v>1019</v>
      </c>
    </row>
    <row r="2451" spans="1:21" hidden="1" x14ac:dyDescent="0.25">
      <c r="A2451">
        <v>41845.449699999997</v>
      </c>
      <c r="B2451">
        <v>2389.7460999999998</v>
      </c>
      <c r="C2451">
        <v>15</v>
      </c>
      <c r="D2451" t="s">
        <v>644</v>
      </c>
      <c r="F2451">
        <v>1974</v>
      </c>
      <c r="G2451" s="1" t="s">
        <v>94</v>
      </c>
      <c r="H2451" s="1" t="s">
        <v>453</v>
      </c>
      <c r="I2451">
        <v>0.26840000000000003</v>
      </c>
      <c r="J2451">
        <v>41845.525300000001</v>
      </c>
      <c r="K2451">
        <v>4.3200000000000001E-3</v>
      </c>
      <c r="L2451">
        <v>2.63E-3</v>
      </c>
      <c r="M2451">
        <v>4.6100000000000002E-2</v>
      </c>
      <c r="N2451">
        <v>0.12909999999999999</v>
      </c>
      <c r="O2451">
        <v>3.0200000000000001E-3</v>
      </c>
      <c r="P2451" s="3">
        <f t="shared" si="152"/>
        <v>2389.7460946631913</v>
      </c>
      <c r="Q2451" s="3">
        <f t="shared" si="153"/>
        <v>4.317422316489683E-3</v>
      </c>
      <c r="R2451" s="3">
        <f t="shared" si="154"/>
        <v>2.63E-3</v>
      </c>
      <c r="S2451">
        <f t="shared" si="155"/>
        <v>58</v>
      </c>
      <c r="T2451">
        <f>INDEX([1]IDEN_level_ids!$B:$B,MATCH(G2451,[1]IDEN_level_ids!$A:$A,0),1)</f>
        <v>1207</v>
      </c>
      <c r="U2451">
        <f>INDEX([1]IDEN_level_ids!$B:$B,MATCH(H2451,[1]IDEN_level_ids!$A:$A,0),1)</f>
        <v>1078</v>
      </c>
    </row>
    <row r="2452" spans="1:21" hidden="1" x14ac:dyDescent="0.25">
      <c r="A2452">
        <v>41840.000599999999</v>
      </c>
      <c r="B2452">
        <v>2390.0572999999999</v>
      </c>
      <c r="C2452">
        <v>15</v>
      </c>
      <c r="D2452" t="s">
        <v>644</v>
      </c>
      <c r="F2452">
        <v>1974</v>
      </c>
      <c r="G2452" s="1" t="s">
        <v>117</v>
      </c>
      <c r="H2452" s="1" t="s">
        <v>576</v>
      </c>
      <c r="I2452">
        <v>0.13669999999999999</v>
      </c>
      <c r="J2452">
        <v>41840.004200000003</v>
      </c>
      <c r="K2452">
        <v>2.0000000000000001E-4</v>
      </c>
      <c r="L2452">
        <v>2.63E-3</v>
      </c>
      <c r="M2452">
        <v>4.6100000000000002E-2</v>
      </c>
      <c r="N2452">
        <v>0.1133</v>
      </c>
      <c r="O2452">
        <v>2.97E-3</v>
      </c>
      <c r="P2452" s="3">
        <f t="shared" si="152"/>
        <v>2390.0573271024286</v>
      </c>
      <c r="Q2452" s="3">
        <f t="shared" si="153"/>
        <v>2.0564544774970273E-4</v>
      </c>
      <c r="R2452" s="3">
        <f t="shared" si="154"/>
        <v>2.63E-3</v>
      </c>
      <c r="S2452">
        <f t="shared" si="155"/>
        <v>58</v>
      </c>
      <c r="T2452">
        <f>INDEX([1]IDEN_level_ids!$B:$B,MATCH(G2452,[1]IDEN_level_ids!$A:$A,0),1)</f>
        <v>1162</v>
      </c>
      <c r="U2452">
        <f>INDEX([1]IDEN_level_ids!$B:$B,MATCH(H2452,[1]IDEN_level_ids!$A:$A,0),1)</f>
        <v>1024</v>
      </c>
    </row>
    <row r="2453" spans="1:21" hidden="1" x14ac:dyDescent="0.25">
      <c r="A2453">
        <v>41837.480300000003</v>
      </c>
      <c r="B2453">
        <v>2390.2013000000002</v>
      </c>
      <c r="C2453">
        <v>15</v>
      </c>
      <c r="D2453" t="s">
        <v>644</v>
      </c>
      <c r="F2453">
        <v>1974</v>
      </c>
      <c r="G2453" s="1" t="s">
        <v>140</v>
      </c>
      <c r="H2453" s="1" t="s">
        <v>448</v>
      </c>
      <c r="I2453">
        <v>0.29559999999999997</v>
      </c>
      <c r="J2453">
        <v>41837.509700000002</v>
      </c>
      <c r="K2453">
        <v>1.6800000000000001E-3</v>
      </c>
      <c r="L2453">
        <v>2.63E-3</v>
      </c>
      <c r="M2453">
        <v>4.6100000000000002E-2</v>
      </c>
      <c r="N2453">
        <v>0.1114</v>
      </c>
      <c r="O2453">
        <v>2.96E-3</v>
      </c>
      <c r="P2453" s="3">
        <f t="shared" si="152"/>
        <v>2390.2013047377518</v>
      </c>
      <c r="Q2453" s="3">
        <f t="shared" si="153"/>
        <v>1.6796391291791224E-3</v>
      </c>
      <c r="R2453" s="3">
        <f t="shared" si="154"/>
        <v>2.63E-3</v>
      </c>
      <c r="S2453">
        <f t="shared" si="155"/>
        <v>58</v>
      </c>
      <c r="T2453">
        <f>INDEX([1]IDEN_level_ids!$B:$B,MATCH(G2453,[1]IDEN_level_ids!$A:$A,0),1)</f>
        <v>1198</v>
      </c>
      <c r="U2453">
        <f>INDEX([1]IDEN_level_ids!$B:$B,MATCH(H2453,[1]IDEN_level_ids!$A:$A,0),1)</f>
        <v>1067</v>
      </c>
    </row>
    <row r="2454" spans="1:21" hidden="1" x14ac:dyDescent="0.25">
      <c r="A2454">
        <v>41826.7192</v>
      </c>
      <c r="B2454">
        <v>2390.8162000000002</v>
      </c>
      <c r="C2454">
        <v>15</v>
      </c>
      <c r="D2454" t="s">
        <v>644</v>
      </c>
      <c r="F2454">
        <v>1974</v>
      </c>
      <c r="G2454" s="1" t="s">
        <v>271</v>
      </c>
      <c r="H2454" s="1" t="s">
        <v>570</v>
      </c>
      <c r="I2454">
        <v>0</v>
      </c>
      <c r="J2454">
        <v>41826.745000000003</v>
      </c>
      <c r="K2454">
        <v>1.47E-3</v>
      </c>
      <c r="L2454">
        <v>2.63E-3</v>
      </c>
      <c r="M2454">
        <v>4.6100000000000002E-2</v>
      </c>
      <c r="N2454">
        <v>0.1193</v>
      </c>
      <c r="O2454">
        <v>2.99E-3</v>
      </c>
      <c r="P2454" s="3">
        <f t="shared" si="152"/>
        <v>2390.8162512540548</v>
      </c>
      <c r="Q2454" s="3">
        <f t="shared" si="153"/>
        <v>1.4747276959496958E-3</v>
      </c>
      <c r="R2454" s="3">
        <f t="shared" si="154"/>
        <v>2.63E-3</v>
      </c>
      <c r="S2454">
        <f t="shared" si="155"/>
        <v>58</v>
      </c>
      <c r="T2454">
        <f>INDEX([1]IDEN_level_ids!$B:$B,MATCH(G2454,[1]IDEN_level_ids!$A:$A,0),1)</f>
        <v>1158</v>
      </c>
      <c r="U2454">
        <f>INDEX([1]IDEN_level_ids!$B:$B,MATCH(H2454,[1]IDEN_level_ids!$A:$A,0),1)</f>
        <v>1015</v>
      </c>
    </row>
    <row r="2455" spans="1:21" hidden="1" x14ac:dyDescent="0.25">
      <c r="A2455">
        <v>41823.289400000001</v>
      </c>
      <c r="B2455">
        <v>2391.0122999999999</v>
      </c>
      <c r="C2455">
        <v>15</v>
      </c>
      <c r="D2455" t="s">
        <v>644</v>
      </c>
      <c r="F2455">
        <v>1974</v>
      </c>
      <c r="G2455" s="1" t="s">
        <v>212</v>
      </c>
      <c r="H2455" s="1" t="s">
        <v>501</v>
      </c>
      <c r="I2455">
        <v>0.19689999999999999</v>
      </c>
      <c r="J2455">
        <v>41823.335800000001</v>
      </c>
      <c r="K2455">
        <v>2.66E-3</v>
      </c>
      <c r="L2455">
        <v>2.63E-3</v>
      </c>
      <c r="M2455">
        <v>4.6100000000000002E-2</v>
      </c>
      <c r="N2455">
        <v>0.31569999999999998</v>
      </c>
      <c r="O2455">
        <v>3.8500000000000001E-3</v>
      </c>
      <c r="P2455" s="3">
        <f t="shared" si="152"/>
        <v>2391.0123147798126</v>
      </c>
      <c r="Q2455" s="3">
        <f t="shared" si="153"/>
        <v>2.652657165981509E-3</v>
      </c>
      <c r="R2455" s="3">
        <f t="shared" si="154"/>
        <v>2.63E-3</v>
      </c>
      <c r="S2455">
        <f t="shared" si="155"/>
        <v>58</v>
      </c>
      <c r="T2455">
        <f>INDEX([1]IDEN_level_ids!$B:$B,MATCH(G2455,[1]IDEN_level_ids!$A:$A,0),1)</f>
        <v>1123</v>
      </c>
      <c r="U2455">
        <f>INDEX([1]IDEN_level_ids!$B:$B,MATCH(H2455,[1]IDEN_level_ids!$A:$A,0),1)</f>
        <v>969</v>
      </c>
    </row>
    <row r="2456" spans="1:21" hidden="1" x14ac:dyDescent="0.25">
      <c r="A2456">
        <v>41818.949699999997</v>
      </c>
      <c r="B2456">
        <v>2391.2604000000001</v>
      </c>
      <c r="C2456">
        <v>15</v>
      </c>
      <c r="D2456" t="s">
        <v>644</v>
      </c>
      <c r="F2456">
        <v>1974</v>
      </c>
      <c r="G2456" s="1" t="s">
        <v>73</v>
      </c>
      <c r="H2456" s="1" t="s">
        <v>445</v>
      </c>
      <c r="I2456">
        <v>0</v>
      </c>
      <c r="J2456">
        <v>41818.969100000002</v>
      </c>
      <c r="K2456">
        <v>1.1100000000000001E-3</v>
      </c>
      <c r="L2456">
        <v>2.63E-3</v>
      </c>
      <c r="M2456">
        <v>4.6100000000000002E-2</v>
      </c>
      <c r="N2456">
        <v>0.1086</v>
      </c>
      <c r="O2456">
        <v>2.96E-3</v>
      </c>
      <c r="P2456" s="3">
        <f t="shared" si="152"/>
        <v>2391.2604385662034</v>
      </c>
      <c r="Q2456" s="3">
        <f t="shared" si="153"/>
        <v>1.1093160237578559E-3</v>
      </c>
      <c r="R2456" s="3">
        <f t="shared" si="154"/>
        <v>2.63E-3</v>
      </c>
      <c r="S2456">
        <f t="shared" si="155"/>
        <v>58</v>
      </c>
      <c r="T2456">
        <f>INDEX([1]IDEN_level_ids!$B:$B,MATCH(G2456,[1]IDEN_level_ids!$A:$A,0),1)</f>
        <v>1173</v>
      </c>
      <c r="U2456">
        <f>INDEX([1]IDEN_level_ids!$B:$B,MATCH(H2456,[1]IDEN_level_ids!$A:$A,0),1)</f>
        <v>1041</v>
      </c>
    </row>
    <row r="2457" spans="1:21" hidden="1" x14ac:dyDescent="0.25">
      <c r="A2457">
        <v>41802.479399999997</v>
      </c>
      <c r="B2457">
        <v>2392.2026000000001</v>
      </c>
      <c r="C2457">
        <v>15</v>
      </c>
      <c r="D2457" t="s">
        <v>644</v>
      </c>
      <c r="F2457">
        <v>1974</v>
      </c>
      <c r="G2457" s="1" t="s">
        <v>193</v>
      </c>
      <c r="H2457" s="1" t="s">
        <v>413</v>
      </c>
      <c r="I2457">
        <v>6.4600000000000005E-2</v>
      </c>
      <c r="J2457">
        <v>41802.470699999998</v>
      </c>
      <c r="K2457">
        <v>-5.0000000000000001E-4</v>
      </c>
      <c r="L2457">
        <v>2.64E-3</v>
      </c>
      <c r="M2457">
        <v>4.6100000000000002E-2</v>
      </c>
      <c r="N2457">
        <v>0.15129999999999999</v>
      </c>
      <c r="O2457">
        <v>3.1099999999999999E-3</v>
      </c>
      <c r="P2457" s="3">
        <f t="shared" si="152"/>
        <v>2392.2026022217237</v>
      </c>
      <c r="Q2457" s="3">
        <f t="shared" si="153"/>
        <v>-4.9786919998950907E-4</v>
      </c>
      <c r="R2457" s="3">
        <f t="shared" si="154"/>
        <v>2.64E-3</v>
      </c>
      <c r="S2457">
        <f t="shared" si="155"/>
        <v>58</v>
      </c>
      <c r="T2457">
        <f>INDEX([1]IDEN_level_ids!$B:$B,MATCH(G2457,[1]IDEN_level_ids!$A:$A,0),1)</f>
        <v>1202</v>
      </c>
      <c r="U2457">
        <f>INDEX([1]IDEN_level_ids!$B:$B,MATCH(H2457,[1]IDEN_level_ids!$A:$A,0),1)</f>
        <v>1071</v>
      </c>
    </row>
    <row r="2458" spans="1:21" hidden="1" x14ac:dyDescent="0.25">
      <c r="A2458">
        <v>41777.340300000003</v>
      </c>
      <c r="B2458">
        <v>2393.6421</v>
      </c>
      <c r="C2458">
        <v>15</v>
      </c>
      <c r="D2458" t="s">
        <v>644</v>
      </c>
      <c r="F2458">
        <v>1974</v>
      </c>
      <c r="G2458" s="1" t="s">
        <v>350</v>
      </c>
      <c r="H2458" s="1" t="s">
        <v>482</v>
      </c>
      <c r="I2458">
        <v>-2.9999999999999997E-4</v>
      </c>
      <c r="J2458">
        <v>41777.329899999997</v>
      </c>
      <c r="K2458">
        <v>-5.9999999999999995E-4</v>
      </c>
      <c r="L2458">
        <v>2.64E-3</v>
      </c>
      <c r="M2458">
        <v>4.6100000000000002E-2</v>
      </c>
      <c r="N2458">
        <v>0.1991</v>
      </c>
      <c r="O2458">
        <v>3.3E-3</v>
      </c>
      <c r="P2458" s="3">
        <f t="shared" si="152"/>
        <v>2393.6420864015604</v>
      </c>
      <c r="Q2458" s="3">
        <f t="shared" si="153"/>
        <v>-5.9587048235698603E-4</v>
      </c>
      <c r="R2458" s="3">
        <f t="shared" si="154"/>
        <v>2.64E-3</v>
      </c>
      <c r="S2458">
        <f t="shared" si="155"/>
        <v>58</v>
      </c>
      <c r="T2458">
        <f>INDEX([1]IDEN_level_ids!$B:$B,MATCH(G2458,[1]IDEN_level_ids!$A:$A,0),1)</f>
        <v>1112</v>
      </c>
      <c r="U2458">
        <f>INDEX([1]IDEN_level_ids!$B:$B,MATCH(H2458,[1]IDEN_level_ids!$A:$A,0),1)</f>
        <v>957</v>
      </c>
    </row>
    <row r="2459" spans="1:21" hidden="1" x14ac:dyDescent="0.25">
      <c r="A2459">
        <v>41762.999100000001</v>
      </c>
      <c r="B2459">
        <v>2394.4641000000001</v>
      </c>
      <c r="C2459">
        <v>15</v>
      </c>
      <c r="D2459" t="s">
        <v>644</v>
      </c>
      <c r="F2459">
        <v>1974</v>
      </c>
      <c r="G2459" s="1" t="s">
        <v>180</v>
      </c>
      <c r="H2459" s="1" t="s">
        <v>416</v>
      </c>
      <c r="I2459">
        <v>0.26750000000000002</v>
      </c>
      <c r="J2459">
        <v>41763.049500000001</v>
      </c>
      <c r="K2459">
        <v>2.8900000000000002E-3</v>
      </c>
      <c r="L2459">
        <v>2.64E-3</v>
      </c>
      <c r="M2459">
        <v>4.6100000000000002E-2</v>
      </c>
      <c r="N2459">
        <v>0.114</v>
      </c>
      <c r="O2459">
        <v>2.98E-3</v>
      </c>
      <c r="P2459" s="3">
        <f t="shared" si="152"/>
        <v>2394.464050834893</v>
      </c>
      <c r="Q2459" s="3">
        <f t="shared" si="153"/>
        <v>2.8896593903482426E-3</v>
      </c>
      <c r="R2459" s="3">
        <f t="shared" si="154"/>
        <v>2.64E-3</v>
      </c>
      <c r="S2459">
        <f t="shared" si="155"/>
        <v>58</v>
      </c>
      <c r="T2459">
        <f>INDEX([1]IDEN_level_ids!$B:$B,MATCH(G2459,[1]IDEN_level_ids!$A:$A,0),1)</f>
        <v>1184</v>
      </c>
      <c r="U2459">
        <f>INDEX([1]IDEN_level_ids!$B:$B,MATCH(H2459,[1]IDEN_level_ids!$A:$A,0),1)</f>
        <v>1055</v>
      </c>
    </row>
    <row r="2460" spans="1:21" hidden="1" x14ac:dyDescent="0.25">
      <c r="A2460">
        <v>41757.970699999998</v>
      </c>
      <c r="B2460">
        <v>2394.7523999999999</v>
      </c>
      <c r="C2460">
        <v>15</v>
      </c>
      <c r="D2460" t="s">
        <v>644</v>
      </c>
      <c r="F2460">
        <v>1974</v>
      </c>
      <c r="G2460" s="1" t="s">
        <v>268</v>
      </c>
      <c r="H2460" s="1" t="s">
        <v>461</v>
      </c>
      <c r="I2460">
        <v>0.24510000000000001</v>
      </c>
      <c r="J2460">
        <v>41757.964699999997</v>
      </c>
      <c r="K2460">
        <v>-3.4000000000000002E-4</v>
      </c>
      <c r="L2460">
        <v>2.64E-3</v>
      </c>
      <c r="M2460">
        <v>4.6100000000000002E-2</v>
      </c>
      <c r="N2460">
        <v>9.2600000000000002E-2</v>
      </c>
      <c r="O2460">
        <v>2.9099999999999998E-3</v>
      </c>
      <c r="P2460" s="3">
        <f t="shared" si="152"/>
        <v>2394.7523867581049</v>
      </c>
      <c r="Q2460" s="3">
        <f t="shared" si="153"/>
        <v>-3.4409038880767184E-4</v>
      </c>
      <c r="R2460" s="3">
        <f t="shared" si="154"/>
        <v>2.64E-3</v>
      </c>
      <c r="S2460">
        <f t="shared" si="155"/>
        <v>58</v>
      </c>
      <c r="T2460">
        <f>INDEX([1]IDEN_level_ids!$B:$B,MATCH(G2460,[1]IDEN_level_ids!$A:$A,0),1)</f>
        <v>1160</v>
      </c>
      <c r="U2460">
        <f>INDEX([1]IDEN_level_ids!$B:$B,MATCH(H2460,[1]IDEN_level_ids!$A:$A,0),1)</f>
        <v>1017</v>
      </c>
    </row>
    <row r="2461" spans="1:21" hidden="1" x14ac:dyDescent="0.25">
      <c r="A2461">
        <v>41757.259400000003</v>
      </c>
      <c r="B2461">
        <v>2394.7932000000001</v>
      </c>
      <c r="C2461">
        <v>15</v>
      </c>
      <c r="D2461" t="s">
        <v>644</v>
      </c>
      <c r="F2461">
        <v>1974</v>
      </c>
      <c r="G2461" s="1" t="s">
        <v>285</v>
      </c>
      <c r="H2461" s="1" t="s">
        <v>578</v>
      </c>
      <c r="I2461">
        <v>0.25619999999999998</v>
      </c>
      <c r="J2461">
        <v>41757.2762</v>
      </c>
      <c r="K2461">
        <v>9.6000000000000002E-4</v>
      </c>
      <c r="L2461">
        <v>2.64E-3</v>
      </c>
      <c r="M2461">
        <v>4.6100000000000002E-2</v>
      </c>
      <c r="N2461">
        <v>0.12690000000000001</v>
      </c>
      <c r="O2461">
        <v>3.0300000000000001E-3</v>
      </c>
      <c r="P2461" s="3">
        <f t="shared" si="152"/>
        <v>2394.793179362724</v>
      </c>
      <c r="Q2461" s="3">
        <f t="shared" si="153"/>
        <v>9.6348538681922946E-4</v>
      </c>
      <c r="R2461" s="3">
        <f t="shared" si="154"/>
        <v>2.64E-3</v>
      </c>
      <c r="S2461">
        <f t="shared" si="155"/>
        <v>58</v>
      </c>
      <c r="T2461">
        <f>INDEX([1]IDEN_level_ids!$B:$B,MATCH(G2461,[1]IDEN_level_ids!$A:$A,0),1)</f>
        <v>1150</v>
      </c>
      <c r="U2461">
        <f>INDEX([1]IDEN_level_ids!$B:$B,MATCH(H2461,[1]IDEN_level_ids!$A:$A,0),1)</f>
        <v>1003</v>
      </c>
    </row>
    <row r="2462" spans="1:21" hidden="1" x14ac:dyDescent="0.25">
      <c r="A2462">
        <v>41747.020600000003</v>
      </c>
      <c r="B2462">
        <v>2395.3805000000002</v>
      </c>
      <c r="C2462">
        <v>15</v>
      </c>
      <c r="D2462" t="s">
        <v>644</v>
      </c>
      <c r="F2462">
        <v>1974</v>
      </c>
      <c r="G2462" s="1" t="s">
        <v>209</v>
      </c>
      <c r="H2462" s="1" t="s">
        <v>464</v>
      </c>
      <c r="I2462">
        <v>0</v>
      </c>
      <c r="J2462">
        <v>41747.044999999998</v>
      </c>
      <c r="K2462">
        <v>1.4E-3</v>
      </c>
      <c r="L2462">
        <v>2.64E-3</v>
      </c>
      <c r="M2462">
        <v>4.6100000000000002E-2</v>
      </c>
      <c r="N2462">
        <v>0.14810000000000001</v>
      </c>
      <c r="O2462">
        <v>3.0999999999999999E-3</v>
      </c>
      <c r="P2462" s="3">
        <f t="shared" si="152"/>
        <v>2395.3805220773047</v>
      </c>
      <c r="Q2462" s="3">
        <f t="shared" si="153"/>
        <v>1.4000340556776791E-3</v>
      </c>
      <c r="R2462" s="3">
        <f t="shared" si="154"/>
        <v>2.64E-3</v>
      </c>
      <c r="S2462">
        <f t="shared" si="155"/>
        <v>58</v>
      </c>
      <c r="T2462">
        <f>INDEX([1]IDEN_level_ids!$B:$B,MATCH(G2462,[1]IDEN_level_ids!$A:$A,0),1)</f>
        <v>1209</v>
      </c>
      <c r="U2462">
        <f>INDEX([1]IDEN_level_ids!$B:$B,MATCH(H2462,[1]IDEN_level_ids!$A:$A,0),1)</f>
        <v>1076</v>
      </c>
    </row>
    <row r="2463" spans="1:21" hidden="1" x14ac:dyDescent="0.25">
      <c r="A2463">
        <v>41744.218999999997</v>
      </c>
      <c r="B2463">
        <v>2395.5412999999999</v>
      </c>
      <c r="C2463">
        <v>15</v>
      </c>
      <c r="D2463" t="s">
        <v>644</v>
      </c>
      <c r="E2463" t="s">
        <v>427</v>
      </c>
      <c r="F2463">
        <v>1974</v>
      </c>
      <c r="G2463" s="1" t="s">
        <v>239</v>
      </c>
      <c r="H2463" s="1" t="s">
        <v>587</v>
      </c>
      <c r="I2463">
        <v>0.13569999999999999</v>
      </c>
      <c r="J2463">
        <v>41744.242100000003</v>
      </c>
      <c r="K2463">
        <v>1.33E-3</v>
      </c>
      <c r="L2463">
        <v>2.8E-3</v>
      </c>
      <c r="M2463">
        <v>4.87E-2</v>
      </c>
      <c r="N2463">
        <v>9.3399999999999997E-2</v>
      </c>
      <c r="O2463">
        <v>3.0799999999999998E-3</v>
      </c>
      <c r="P2463" s="3">
        <f t="shared" si="152"/>
        <v>2395.541284411142</v>
      </c>
      <c r="Q2463" s="3">
        <f t="shared" si="153"/>
        <v>1.3256200350042491E-3</v>
      </c>
      <c r="R2463" s="3">
        <f t="shared" si="154"/>
        <v>2.8E-3</v>
      </c>
      <c r="S2463">
        <f t="shared" si="155"/>
        <v>58</v>
      </c>
      <c r="T2463">
        <f>INDEX([1]IDEN_level_ids!$B:$B,MATCH(G2463,[1]IDEN_level_ids!$A:$A,0),1)</f>
        <v>1167</v>
      </c>
      <c r="U2463">
        <f>INDEX([1]IDEN_level_ids!$B:$B,MATCH(H2463,[1]IDEN_level_ids!$A:$A,0),1)</f>
        <v>1035</v>
      </c>
    </row>
    <row r="2464" spans="1:21" hidden="1" x14ac:dyDescent="0.25">
      <c r="A2464">
        <v>41733.200799999999</v>
      </c>
      <c r="B2464">
        <v>2396.1736999999998</v>
      </c>
      <c r="C2464">
        <v>15</v>
      </c>
      <c r="D2464" t="s">
        <v>644</v>
      </c>
      <c r="F2464">
        <v>1974</v>
      </c>
      <c r="G2464" s="1" t="s">
        <v>94</v>
      </c>
      <c r="H2464" s="1" t="s">
        <v>450</v>
      </c>
      <c r="I2464">
        <v>0.2989</v>
      </c>
      <c r="J2464">
        <v>41733.208599999998</v>
      </c>
      <c r="K2464">
        <v>4.4999999999999999E-4</v>
      </c>
      <c r="L2464">
        <v>2.64E-3</v>
      </c>
      <c r="M2464">
        <v>4.6100000000000002E-2</v>
      </c>
      <c r="N2464">
        <v>0.1109</v>
      </c>
      <c r="O2464">
        <v>2.97E-3</v>
      </c>
      <c r="P2464" s="3">
        <f t="shared" si="152"/>
        <v>2396.1737437594293</v>
      </c>
      <c r="Q2464" s="3">
        <f t="shared" si="153"/>
        <v>4.4784850797441322E-4</v>
      </c>
      <c r="R2464" s="3">
        <f t="shared" si="154"/>
        <v>2.64E-3</v>
      </c>
      <c r="S2464">
        <f t="shared" si="155"/>
        <v>58</v>
      </c>
      <c r="T2464">
        <f>INDEX([1]IDEN_level_ids!$B:$B,MATCH(G2464,[1]IDEN_level_ids!$A:$A,0),1)</f>
        <v>1207</v>
      </c>
      <c r="U2464">
        <f>INDEX([1]IDEN_level_ids!$B:$B,MATCH(H2464,[1]IDEN_level_ids!$A:$A,0),1)</f>
        <v>1077</v>
      </c>
    </row>
    <row r="2465" spans="1:21" hidden="1" x14ac:dyDescent="0.25">
      <c r="A2465">
        <v>41691.450799999999</v>
      </c>
      <c r="B2465">
        <v>2398.5733</v>
      </c>
      <c r="C2465">
        <v>15</v>
      </c>
      <c r="D2465" t="s">
        <v>644</v>
      </c>
      <c r="F2465">
        <v>1974</v>
      </c>
      <c r="G2465" s="1" t="s">
        <v>293</v>
      </c>
      <c r="H2465" s="1" t="s">
        <v>487</v>
      </c>
      <c r="I2465">
        <v>0</v>
      </c>
      <c r="J2465">
        <v>41691.502800000002</v>
      </c>
      <c r="K2465">
        <v>2.99E-3</v>
      </c>
      <c r="L2465">
        <v>2.65E-3</v>
      </c>
      <c r="M2465">
        <v>4.6100000000000002E-2</v>
      </c>
      <c r="N2465">
        <v>0.17760000000000001</v>
      </c>
      <c r="O2465">
        <v>3.2200000000000002E-3</v>
      </c>
      <c r="P2465" s="3">
        <f t="shared" si="152"/>
        <v>2398.5732825589271</v>
      </c>
      <c r="Q2465" s="3">
        <f t="shared" si="153"/>
        <v>2.9916362404946995E-3</v>
      </c>
      <c r="R2465" s="3">
        <f t="shared" si="154"/>
        <v>2.65E-3</v>
      </c>
      <c r="S2465">
        <f t="shared" si="155"/>
        <v>58</v>
      </c>
      <c r="T2465">
        <f>INDEX([1]IDEN_level_ids!$B:$B,MATCH(G2465,[1]IDEN_level_ids!$A:$A,0),1)</f>
        <v>1121</v>
      </c>
      <c r="U2465">
        <f>INDEX([1]IDEN_level_ids!$B:$B,MATCH(H2465,[1]IDEN_level_ids!$A:$A,0),1)</f>
        <v>968</v>
      </c>
    </row>
    <row r="2466" spans="1:21" hidden="1" x14ac:dyDescent="0.25">
      <c r="A2466">
        <v>41687.680200000003</v>
      </c>
      <c r="B2466">
        <v>2398.7901999999999</v>
      </c>
      <c r="C2466">
        <v>15</v>
      </c>
      <c r="D2466" t="s">
        <v>644</v>
      </c>
      <c r="F2466">
        <v>1974</v>
      </c>
      <c r="G2466" s="1" t="s">
        <v>81</v>
      </c>
      <c r="H2466" s="1" t="s">
        <v>375</v>
      </c>
      <c r="I2466">
        <v>0.28789999999999999</v>
      </c>
      <c r="J2466">
        <v>41687.717799999999</v>
      </c>
      <c r="K2466">
        <v>2.16E-3</v>
      </c>
      <c r="L2466">
        <v>2.65E-3</v>
      </c>
      <c r="M2466">
        <v>4.6100000000000002E-2</v>
      </c>
      <c r="N2466">
        <v>9.2799999999999994E-2</v>
      </c>
      <c r="O2466">
        <v>2.9199999999999999E-3</v>
      </c>
      <c r="P2466" s="3">
        <f t="shared" si="152"/>
        <v>2398.7902305967123</v>
      </c>
      <c r="Q2466" s="3">
        <f t="shared" si="153"/>
        <v>2.1635752068505099E-3</v>
      </c>
      <c r="R2466" s="3">
        <f t="shared" si="154"/>
        <v>2.65E-3</v>
      </c>
      <c r="S2466">
        <f t="shared" si="155"/>
        <v>58</v>
      </c>
      <c r="T2466">
        <f>INDEX([1]IDEN_level_ids!$B:$B,MATCH(G2466,[1]IDEN_level_ids!$A:$A,0),1)</f>
        <v>1196</v>
      </c>
      <c r="U2466">
        <f>INDEX([1]IDEN_level_ids!$B:$B,MATCH(H2466,[1]IDEN_level_ids!$A:$A,0),1)</f>
        <v>1065</v>
      </c>
    </row>
    <row r="2467" spans="1:21" hidden="1" x14ac:dyDescent="0.25">
      <c r="A2467">
        <v>41659.241300000002</v>
      </c>
      <c r="B2467">
        <v>2400.4277999999999</v>
      </c>
      <c r="C2467">
        <v>15</v>
      </c>
      <c r="D2467" t="s">
        <v>651</v>
      </c>
      <c r="F2467">
        <v>1974</v>
      </c>
      <c r="G2467" s="1" t="s">
        <v>262</v>
      </c>
      <c r="H2467" s="1" t="s">
        <v>474</v>
      </c>
      <c r="I2467">
        <v>0.2712</v>
      </c>
      <c r="J2467">
        <v>41659.239500000003</v>
      </c>
      <c r="K2467">
        <v>-1E-4</v>
      </c>
      <c r="L2467">
        <v>2.65E-3</v>
      </c>
      <c r="M2467">
        <v>4.6100000000000002E-2</v>
      </c>
      <c r="N2467">
        <v>0.2334</v>
      </c>
      <c r="O2467">
        <v>3.46E-3</v>
      </c>
      <c r="P2467" s="3">
        <f t="shared" si="152"/>
        <v>2400.4277773536887</v>
      </c>
      <c r="Q2467" s="3">
        <f t="shared" si="153"/>
        <v>-1.0371696771471761E-4</v>
      </c>
      <c r="R2467" s="3">
        <f t="shared" si="154"/>
        <v>2.65E-3</v>
      </c>
      <c r="S2467">
        <f t="shared" si="155"/>
        <v>59</v>
      </c>
      <c r="T2467">
        <f>INDEX([1]IDEN_level_ids!$B:$B,MATCH(G2467,[1]IDEN_level_ids!$A:$A,0),1)</f>
        <v>1115</v>
      </c>
      <c r="U2467">
        <f>INDEX([1]IDEN_level_ids!$B:$B,MATCH(H2467,[1]IDEN_level_ids!$A:$A,0),1)</f>
        <v>959</v>
      </c>
    </row>
    <row r="2468" spans="1:21" hidden="1" x14ac:dyDescent="0.25">
      <c r="A2468">
        <v>41656.120199999998</v>
      </c>
      <c r="B2468">
        <v>2400.6075999999998</v>
      </c>
      <c r="C2468">
        <v>15</v>
      </c>
      <c r="D2468" t="s">
        <v>651</v>
      </c>
      <c r="F2468">
        <v>1974</v>
      </c>
      <c r="G2468" s="1" t="s">
        <v>46</v>
      </c>
      <c r="H2468" s="1" t="s">
        <v>446</v>
      </c>
      <c r="I2468">
        <v>0.31669999999999998</v>
      </c>
      <c r="J2468">
        <v>41656.176200000002</v>
      </c>
      <c r="K2468">
        <v>3.2299999999999998E-3</v>
      </c>
      <c r="L2468">
        <v>2.65E-3</v>
      </c>
      <c r="M2468">
        <v>4.6100000000000002E-2</v>
      </c>
      <c r="N2468">
        <v>0.12820000000000001</v>
      </c>
      <c r="O2468">
        <v>3.0500000000000002E-3</v>
      </c>
      <c r="P2468" s="3">
        <f t="shared" si="152"/>
        <v>2400.6076302804599</v>
      </c>
      <c r="Q2468" s="3">
        <f t="shared" si="153"/>
        <v>3.2272291787194263E-3</v>
      </c>
      <c r="R2468" s="3">
        <f t="shared" si="154"/>
        <v>2.65E-3</v>
      </c>
      <c r="S2468">
        <f t="shared" si="155"/>
        <v>59</v>
      </c>
      <c r="T2468">
        <f>INDEX([1]IDEN_level_ids!$B:$B,MATCH(G2468,[1]IDEN_level_ids!$A:$A,0),1)</f>
        <v>1212</v>
      </c>
      <c r="U2468">
        <f>INDEX([1]IDEN_level_ids!$B:$B,MATCH(H2468,[1]IDEN_level_ids!$A:$A,0),1)</f>
        <v>1079</v>
      </c>
    </row>
    <row r="2469" spans="1:21" hidden="1" x14ac:dyDescent="0.25">
      <c r="A2469">
        <v>41643.94</v>
      </c>
      <c r="B2469">
        <v>2401.3098</v>
      </c>
      <c r="C2469">
        <v>15</v>
      </c>
      <c r="D2469" t="s">
        <v>651</v>
      </c>
      <c r="F2469">
        <v>1974</v>
      </c>
      <c r="G2469" s="1" t="s">
        <v>166</v>
      </c>
      <c r="H2469" s="1" t="s">
        <v>416</v>
      </c>
      <c r="I2469">
        <v>0.26750000000000002</v>
      </c>
      <c r="J2469">
        <v>41644.0144</v>
      </c>
      <c r="K2469">
        <v>4.2900000000000004E-3</v>
      </c>
      <c r="L2469">
        <v>2.66E-3</v>
      </c>
      <c r="M2469">
        <v>4.6100000000000002E-2</v>
      </c>
      <c r="N2469">
        <v>9.6000000000000002E-2</v>
      </c>
      <c r="O2469">
        <v>2.9399999999999999E-3</v>
      </c>
      <c r="P2469" s="3">
        <f t="shared" si="152"/>
        <v>2401.3097704011675</v>
      </c>
      <c r="Q2469" s="3">
        <f t="shared" si="153"/>
        <v>4.2901110637103557E-3</v>
      </c>
      <c r="R2469" s="3">
        <f t="shared" si="154"/>
        <v>2.66E-3</v>
      </c>
      <c r="S2469">
        <f t="shared" si="155"/>
        <v>59</v>
      </c>
      <c r="T2469">
        <f>INDEX([1]IDEN_level_ids!$B:$B,MATCH(G2469,[1]IDEN_level_ids!$A:$A,0),1)</f>
        <v>1186</v>
      </c>
      <c r="U2469">
        <f>INDEX([1]IDEN_level_ids!$B:$B,MATCH(H2469,[1]IDEN_level_ids!$A:$A,0),1)</f>
        <v>1055</v>
      </c>
    </row>
    <row r="2470" spans="1:21" hidden="1" x14ac:dyDescent="0.25">
      <c r="A2470">
        <v>41641.890899999999</v>
      </c>
      <c r="B2470">
        <v>2401.4279000000001</v>
      </c>
      <c r="C2470">
        <v>15</v>
      </c>
      <c r="D2470" t="s">
        <v>651</v>
      </c>
      <c r="F2470">
        <v>1974</v>
      </c>
      <c r="G2470" s="1" t="s">
        <v>68</v>
      </c>
      <c r="H2470" s="1" t="s">
        <v>381</v>
      </c>
      <c r="I2470">
        <v>0.23219999999999999</v>
      </c>
      <c r="J2470">
        <v>41641.932999999997</v>
      </c>
      <c r="K2470">
        <v>2.4299999999999999E-3</v>
      </c>
      <c r="L2470">
        <v>2.66E-3</v>
      </c>
      <c r="M2470">
        <v>4.6100000000000002E-2</v>
      </c>
      <c r="N2470">
        <v>0.1537</v>
      </c>
      <c r="O2470">
        <v>3.14E-3</v>
      </c>
      <c r="P2470" s="3">
        <f t="shared" si="152"/>
        <v>2401.4279332353758</v>
      </c>
      <c r="Q2470" s="3">
        <f t="shared" si="153"/>
        <v>2.4278439714180422E-3</v>
      </c>
      <c r="R2470" s="3">
        <f t="shared" si="154"/>
        <v>2.66E-3</v>
      </c>
      <c r="S2470">
        <f t="shared" si="155"/>
        <v>59</v>
      </c>
      <c r="T2470">
        <f>INDEX([1]IDEN_level_ids!$B:$B,MATCH(G2470,[1]IDEN_level_ids!$A:$A,0),1)</f>
        <v>1229</v>
      </c>
      <c r="U2470">
        <f>INDEX([1]IDEN_level_ids!$B:$B,MATCH(H2470,[1]IDEN_level_ids!$A:$A,0),1)</f>
        <v>1084</v>
      </c>
    </row>
    <row r="2471" spans="1:21" hidden="1" x14ac:dyDescent="0.25">
      <c r="A2471">
        <v>41639.410799999998</v>
      </c>
      <c r="B2471">
        <v>2401.5709999999999</v>
      </c>
      <c r="C2471">
        <v>15</v>
      </c>
      <c r="D2471" t="s">
        <v>651</v>
      </c>
      <c r="F2471">
        <v>1974</v>
      </c>
      <c r="G2471" s="1" t="s">
        <v>216</v>
      </c>
      <c r="H2471" s="1" t="s">
        <v>437</v>
      </c>
      <c r="I2471">
        <v>0.26329999999999998</v>
      </c>
      <c r="J2471">
        <v>41639.423199999997</v>
      </c>
      <c r="K2471">
        <v>7.1000000000000002E-4</v>
      </c>
      <c r="L2471">
        <v>2.66E-3</v>
      </c>
      <c r="M2471">
        <v>4.6100000000000002E-2</v>
      </c>
      <c r="N2471">
        <v>8.4199999999999997E-2</v>
      </c>
      <c r="O2471">
        <v>2.8999999999999998E-3</v>
      </c>
      <c r="P2471" s="3">
        <f t="shared" si="152"/>
        <v>2401.5709655526634</v>
      </c>
      <c r="Q2471" s="3">
        <f t="shared" si="153"/>
        <v>7.1517513151775347E-4</v>
      </c>
      <c r="R2471" s="3">
        <f t="shared" si="154"/>
        <v>2.66E-3</v>
      </c>
      <c r="S2471">
        <f t="shared" si="155"/>
        <v>59</v>
      </c>
      <c r="T2471">
        <f>INDEX([1]IDEN_level_ids!$B:$B,MATCH(G2471,[1]IDEN_level_ids!$A:$A,0),1)</f>
        <v>1170</v>
      </c>
      <c r="U2471">
        <f>INDEX([1]IDEN_level_ids!$B:$B,MATCH(H2471,[1]IDEN_level_ids!$A:$A,0),1)</f>
        <v>1039</v>
      </c>
    </row>
    <row r="2472" spans="1:21" hidden="1" x14ac:dyDescent="0.25">
      <c r="A2472">
        <v>41614.699500000002</v>
      </c>
      <c r="B2472">
        <v>2402.9969999999998</v>
      </c>
      <c r="C2472">
        <v>15</v>
      </c>
      <c r="D2472" t="s">
        <v>651</v>
      </c>
      <c r="F2472">
        <v>1974</v>
      </c>
      <c r="G2472" s="1" t="s">
        <v>419</v>
      </c>
      <c r="H2472" s="1" t="s">
        <v>652</v>
      </c>
      <c r="I2472">
        <v>-0.2853</v>
      </c>
      <c r="J2472">
        <v>41614.735500000003</v>
      </c>
      <c r="K2472">
        <v>2.0799999999999998E-3</v>
      </c>
      <c r="L2472">
        <v>2.66E-3</v>
      </c>
      <c r="M2472">
        <v>4.6100000000000002E-2</v>
      </c>
      <c r="N2472">
        <v>0.28149999999999997</v>
      </c>
      <c r="O2472">
        <v>3.7000000000000002E-3</v>
      </c>
      <c r="P2472" s="3">
        <f t="shared" si="152"/>
        <v>2402.9970467526746</v>
      </c>
      <c r="Q2472" s="3">
        <f t="shared" si="153"/>
        <v>2.0787803323401022E-3</v>
      </c>
      <c r="R2472" s="3">
        <f t="shared" si="154"/>
        <v>2.66E-3</v>
      </c>
      <c r="S2472">
        <f t="shared" si="155"/>
        <v>59</v>
      </c>
      <c r="T2472">
        <f>INDEX([1]IDEN_level_ids!$B:$B,MATCH(G2472,[1]IDEN_level_ids!$A:$A,0),1)</f>
        <v>1068</v>
      </c>
      <c r="U2472">
        <f>INDEX([1]IDEN_level_ids!$B:$B,MATCH(H2472,[1]IDEN_level_ids!$A:$A,0),1)</f>
        <v>865</v>
      </c>
    </row>
    <row r="2473" spans="1:21" hidden="1" x14ac:dyDescent="0.25">
      <c r="A2473">
        <v>41610.070899999999</v>
      </c>
      <c r="B2473">
        <v>2403.2644</v>
      </c>
      <c r="C2473">
        <v>15</v>
      </c>
      <c r="D2473" t="s">
        <v>651</v>
      </c>
      <c r="F2473">
        <v>1974</v>
      </c>
      <c r="G2473" s="1" t="s">
        <v>77</v>
      </c>
      <c r="H2473" s="1" t="s">
        <v>413</v>
      </c>
      <c r="I2473">
        <v>6.4600000000000005E-2</v>
      </c>
      <c r="J2473">
        <v>41610.1129</v>
      </c>
      <c r="K2473">
        <v>2.4299999999999999E-3</v>
      </c>
      <c r="L2473">
        <v>2.66E-3</v>
      </c>
      <c r="M2473">
        <v>4.6100000000000002E-2</v>
      </c>
      <c r="N2473">
        <v>0.13650000000000001</v>
      </c>
      <c r="O2473">
        <v>3.0799999999999998E-3</v>
      </c>
      <c r="P2473" s="3">
        <f t="shared" si="152"/>
        <v>2403.2643501215471</v>
      </c>
      <c r="Q2473" s="3">
        <f t="shared" si="153"/>
        <v>2.4257829568341549E-3</v>
      </c>
      <c r="R2473" s="3">
        <f t="shared" si="154"/>
        <v>2.66E-3</v>
      </c>
      <c r="S2473">
        <f t="shared" si="155"/>
        <v>59</v>
      </c>
      <c r="T2473">
        <f>INDEX([1]IDEN_level_ids!$B:$B,MATCH(G2473,[1]IDEN_level_ids!$A:$A,0),1)</f>
        <v>1197</v>
      </c>
      <c r="U2473">
        <f>INDEX([1]IDEN_level_ids!$B:$B,MATCH(H2473,[1]IDEN_level_ids!$A:$A,0),1)</f>
        <v>1071</v>
      </c>
    </row>
    <row r="2474" spans="1:21" hidden="1" x14ac:dyDescent="0.25">
      <c r="A2474">
        <v>41557.669099999999</v>
      </c>
      <c r="B2474">
        <v>2406.2946999999999</v>
      </c>
      <c r="C2474">
        <v>15</v>
      </c>
      <c r="D2474" t="s">
        <v>651</v>
      </c>
      <c r="E2474" t="s">
        <v>427</v>
      </c>
      <c r="F2474">
        <v>1974</v>
      </c>
      <c r="G2474" s="1" t="s">
        <v>182</v>
      </c>
      <c r="H2474" s="1" t="s">
        <v>453</v>
      </c>
      <c r="I2474">
        <v>0.26840000000000003</v>
      </c>
      <c r="J2474">
        <v>41557.623699999996</v>
      </c>
      <c r="K2474">
        <v>-2.63E-3</v>
      </c>
      <c r="L2474">
        <v>2.82E-3</v>
      </c>
      <c r="M2474">
        <v>4.87E-2</v>
      </c>
      <c r="N2474">
        <v>0.2296</v>
      </c>
      <c r="O2474">
        <v>3.6600000000000001E-3</v>
      </c>
      <c r="P2474" s="3">
        <f t="shared" si="152"/>
        <v>2406.2947264768513</v>
      </c>
      <c r="Q2474" s="3">
        <f t="shared" si="153"/>
        <v>-2.6287783293810207E-3</v>
      </c>
      <c r="R2474" s="3">
        <f t="shared" si="154"/>
        <v>2.82E-3</v>
      </c>
      <c r="S2474">
        <f t="shared" si="155"/>
        <v>59</v>
      </c>
      <c r="T2474">
        <f>INDEX([1]IDEN_level_ids!$B:$B,MATCH(G2474,[1]IDEN_level_ids!$A:$A,0),1)</f>
        <v>1210</v>
      </c>
      <c r="U2474">
        <f>INDEX([1]IDEN_level_ids!$B:$B,MATCH(H2474,[1]IDEN_level_ids!$A:$A,0),1)</f>
        <v>1078</v>
      </c>
    </row>
    <row r="2475" spans="1:21" hidden="1" x14ac:dyDescent="0.25">
      <c r="A2475">
        <v>41544.3194</v>
      </c>
      <c r="B2475">
        <v>2407.0680000000002</v>
      </c>
      <c r="C2475">
        <v>15</v>
      </c>
      <c r="D2475" t="s">
        <v>651</v>
      </c>
      <c r="F2475">
        <v>1974</v>
      </c>
      <c r="G2475" s="1" t="s">
        <v>252</v>
      </c>
      <c r="H2475" s="1" t="s">
        <v>416</v>
      </c>
      <c r="I2475">
        <v>0.26750000000000002</v>
      </c>
      <c r="J2475">
        <v>41544.365599999997</v>
      </c>
      <c r="K2475">
        <v>2.6800000000000001E-3</v>
      </c>
      <c r="L2475">
        <v>2.6700000000000001E-3</v>
      </c>
      <c r="M2475">
        <v>4.6100000000000002E-2</v>
      </c>
      <c r="N2475">
        <v>0.1123</v>
      </c>
      <c r="O2475">
        <v>3.0100000000000001E-3</v>
      </c>
      <c r="P2475" s="3">
        <f t="shared" si="152"/>
        <v>2407.0679564436432</v>
      </c>
      <c r="Q2475" s="3">
        <f t="shared" si="153"/>
        <v>2.6768140028252674E-3</v>
      </c>
      <c r="R2475" s="3">
        <f t="shared" si="154"/>
        <v>2.6700000000000001E-3</v>
      </c>
      <c r="S2475">
        <f t="shared" si="155"/>
        <v>59</v>
      </c>
      <c r="T2475">
        <f>INDEX([1]IDEN_level_ids!$B:$B,MATCH(G2475,[1]IDEN_level_ids!$A:$A,0),1)</f>
        <v>1188</v>
      </c>
      <c r="U2475">
        <f>INDEX([1]IDEN_level_ids!$B:$B,MATCH(H2475,[1]IDEN_level_ids!$A:$A,0),1)</f>
        <v>1055</v>
      </c>
    </row>
    <row r="2476" spans="1:21" hidden="1" x14ac:dyDescent="0.25">
      <c r="A2476">
        <v>41534.580800000003</v>
      </c>
      <c r="B2476">
        <v>2407.6323000000002</v>
      </c>
      <c r="C2476">
        <v>15</v>
      </c>
      <c r="D2476" t="s">
        <v>651</v>
      </c>
      <c r="F2476">
        <v>1974</v>
      </c>
      <c r="G2476" s="1" t="s">
        <v>265</v>
      </c>
      <c r="H2476" s="1" t="s">
        <v>585</v>
      </c>
      <c r="I2476">
        <v>0</v>
      </c>
      <c r="J2476">
        <v>41534.623200000002</v>
      </c>
      <c r="K2476">
        <v>2.4599999999999999E-3</v>
      </c>
      <c r="L2476">
        <v>2.6700000000000001E-3</v>
      </c>
      <c r="M2476">
        <v>4.6100000000000002E-2</v>
      </c>
      <c r="N2476">
        <v>0.12239999999999999</v>
      </c>
      <c r="O2476">
        <v>3.0400000000000002E-3</v>
      </c>
      <c r="P2476" s="3">
        <f t="shared" si="152"/>
        <v>2407.6323409047141</v>
      </c>
      <c r="Q2476" s="3">
        <f t="shared" si="153"/>
        <v>2.4577955300628673E-3</v>
      </c>
      <c r="R2476" s="3">
        <f t="shared" si="154"/>
        <v>2.6700000000000001E-3</v>
      </c>
      <c r="S2476">
        <f t="shared" si="155"/>
        <v>59</v>
      </c>
      <c r="T2476">
        <f>INDEX([1]IDEN_level_ids!$B:$B,MATCH(G2476,[1]IDEN_level_ids!$A:$A,0),1)</f>
        <v>1161</v>
      </c>
      <c r="U2476">
        <f>INDEX([1]IDEN_level_ids!$B:$B,MATCH(H2476,[1]IDEN_level_ids!$A:$A,0),1)</f>
        <v>1019</v>
      </c>
    </row>
    <row r="2477" spans="1:21" hidden="1" x14ac:dyDescent="0.25">
      <c r="A2477">
        <v>41530.219599999997</v>
      </c>
      <c r="B2477">
        <v>2407.8852000000002</v>
      </c>
      <c r="C2477">
        <v>15</v>
      </c>
      <c r="D2477" t="s">
        <v>651</v>
      </c>
      <c r="F2477">
        <v>1974</v>
      </c>
      <c r="G2477" s="1" t="s">
        <v>79</v>
      </c>
      <c r="H2477" s="1" t="s">
        <v>545</v>
      </c>
      <c r="I2477">
        <v>0</v>
      </c>
      <c r="J2477">
        <v>41530.244400000003</v>
      </c>
      <c r="K2477">
        <v>1.4400000000000001E-3</v>
      </c>
      <c r="L2477">
        <v>2.6700000000000001E-3</v>
      </c>
      <c r="M2477">
        <v>4.6100000000000002E-2</v>
      </c>
      <c r="N2477">
        <v>0.17050000000000001</v>
      </c>
      <c r="O2477">
        <v>3.2200000000000002E-3</v>
      </c>
      <c r="P2477" s="3">
        <f t="shared" si="152"/>
        <v>2407.8851728489299</v>
      </c>
      <c r="Q2477" s="3">
        <f t="shared" si="153"/>
        <v>1.4378810715243162E-3</v>
      </c>
      <c r="R2477" s="3">
        <f t="shared" si="154"/>
        <v>2.6700000000000001E-3</v>
      </c>
      <c r="S2477">
        <f t="shared" si="155"/>
        <v>59</v>
      </c>
      <c r="T2477">
        <f>INDEX([1]IDEN_level_ids!$B:$B,MATCH(G2477,[1]IDEN_level_ids!$A:$A,0),1)</f>
        <v>1216</v>
      </c>
      <c r="U2477">
        <f>INDEX([1]IDEN_level_ids!$B:$B,MATCH(H2477,[1]IDEN_level_ids!$A:$A,0),1)</f>
        <v>1081</v>
      </c>
    </row>
    <row r="2478" spans="1:21" hidden="1" x14ac:dyDescent="0.25">
      <c r="A2478">
        <v>41526.0291</v>
      </c>
      <c r="B2478">
        <v>2408.1282000000001</v>
      </c>
      <c r="C2478">
        <v>15</v>
      </c>
      <c r="D2478" t="s">
        <v>651</v>
      </c>
      <c r="F2478">
        <v>1974</v>
      </c>
      <c r="G2478" s="1" t="s">
        <v>265</v>
      </c>
      <c r="H2478" s="1" t="s">
        <v>576</v>
      </c>
      <c r="I2478">
        <v>0.13669999999999999</v>
      </c>
      <c r="J2478">
        <v>41526.106</v>
      </c>
      <c r="K2478">
        <v>4.4600000000000004E-3</v>
      </c>
      <c r="L2478">
        <v>2.6700000000000001E-3</v>
      </c>
      <c r="M2478">
        <v>4.6100000000000002E-2</v>
      </c>
      <c r="N2478">
        <v>0.1197</v>
      </c>
      <c r="O2478">
        <v>3.0300000000000001E-3</v>
      </c>
      <c r="P2478" s="3">
        <f t="shared" si="152"/>
        <v>2408.1281588274956</v>
      </c>
      <c r="Q2478" s="3">
        <f t="shared" si="153"/>
        <v>4.459485207007674E-3</v>
      </c>
      <c r="R2478" s="3">
        <f t="shared" si="154"/>
        <v>2.6700000000000001E-3</v>
      </c>
      <c r="S2478">
        <f t="shared" si="155"/>
        <v>59</v>
      </c>
      <c r="T2478">
        <f>INDEX([1]IDEN_level_ids!$B:$B,MATCH(G2478,[1]IDEN_level_ids!$A:$A,0),1)</f>
        <v>1161</v>
      </c>
      <c r="U2478">
        <f>INDEX([1]IDEN_level_ids!$B:$B,MATCH(H2478,[1]IDEN_level_ids!$A:$A,0),1)</f>
        <v>1024</v>
      </c>
    </row>
    <row r="2479" spans="1:21" hidden="1" x14ac:dyDescent="0.25">
      <c r="A2479">
        <v>41514.5792</v>
      </c>
      <c r="B2479">
        <v>2408.7923000000001</v>
      </c>
      <c r="C2479">
        <v>15</v>
      </c>
      <c r="D2479" t="s">
        <v>651</v>
      </c>
      <c r="F2479">
        <v>1974</v>
      </c>
      <c r="G2479" s="1" t="s">
        <v>283</v>
      </c>
      <c r="H2479" s="1" t="s">
        <v>591</v>
      </c>
      <c r="I2479">
        <v>0</v>
      </c>
      <c r="J2479">
        <v>41514.540699999998</v>
      </c>
      <c r="K2479">
        <v>-2.2399999999999998E-3</v>
      </c>
      <c r="L2479">
        <v>2.6700000000000001E-3</v>
      </c>
      <c r="M2479">
        <v>4.6100000000000002E-2</v>
      </c>
      <c r="N2479">
        <v>0.2379</v>
      </c>
      <c r="O2479">
        <v>3.5100000000000001E-3</v>
      </c>
      <c r="P2479" s="3">
        <f t="shared" si="152"/>
        <v>2408.7923309602038</v>
      </c>
      <c r="Q2479" s="3">
        <f t="shared" si="153"/>
        <v>-2.2338800622492272E-3</v>
      </c>
      <c r="R2479" s="3">
        <f t="shared" si="154"/>
        <v>2.6700000000000001E-3</v>
      </c>
      <c r="S2479">
        <f t="shared" si="155"/>
        <v>59</v>
      </c>
      <c r="T2479">
        <f>INDEX([1]IDEN_level_ids!$B:$B,MATCH(G2479,[1]IDEN_level_ids!$A:$A,0),1)</f>
        <v>1178</v>
      </c>
      <c r="U2479">
        <f>INDEX([1]IDEN_level_ids!$B:$B,MATCH(H2479,[1]IDEN_level_ids!$A:$A,0),1)</f>
        <v>1053</v>
      </c>
    </row>
    <row r="2480" spans="1:21" hidden="1" x14ac:dyDescent="0.25">
      <c r="A2480">
        <v>41512.3701</v>
      </c>
      <c r="B2480">
        <v>2408.9205000000002</v>
      </c>
      <c r="C2480">
        <v>15</v>
      </c>
      <c r="D2480" t="s">
        <v>651</v>
      </c>
      <c r="F2480">
        <v>1974</v>
      </c>
      <c r="G2480" s="1" t="s">
        <v>81</v>
      </c>
      <c r="H2480" s="1" t="s">
        <v>448</v>
      </c>
      <c r="I2480">
        <v>0.29559999999999997</v>
      </c>
      <c r="J2480">
        <v>41512.385399999999</v>
      </c>
      <c r="K2480">
        <v>8.8999999999999995E-4</v>
      </c>
      <c r="L2480">
        <v>2.6700000000000001E-3</v>
      </c>
      <c r="M2480">
        <v>4.6100000000000002E-2</v>
      </c>
      <c r="N2480">
        <v>9.3600000000000003E-2</v>
      </c>
      <c r="O2480">
        <v>2.9499999999999999E-3</v>
      </c>
      <c r="P2480" s="3">
        <f t="shared" si="152"/>
        <v>2408.9205159596513</v>
      </c>
      <c r="Q2480" s="3">
        <f t="shared" si="153"/>
        <v>8.8784307490641368E-4</v>
      </c>
      <c r="R2480" s="3">
        <f t="shared" si="154"/>
        <v>2.6700000000000001E-3</v>
      </c>
      <c r="S2480">
        <f t="shared" si="155"/>
        <v>59</v>
      </c>
      <c r="T2480">
        <f>INDEX([1]IDEN_level_ids!$B:$B,MATCH(G2480,[1]IDEN_level_ids!$A:$A,0),1)</f>
        <v>1196</v>
      </c>
      <c r="U2480">
        <f>INDEX([1]IDEN_level_ids!$B:$B,MATCH(H2480,[1]IDEN_level_ids!$A:$A,0),1)</f>
        <v>1067</v>
      </c>
    </row>
    <row r="2481" spans="1:21" hidden="1" x14ac:dyDescent="0.25">
      <c r="A2481">
        <v>41495.260399999999</v>
      </c>
      <c r="B2481">
        <v>2409.9137999999998</v>
      </c>
      <c r="C2481">
        <v>15</v>
      </c>
      <c r="D2481" t="s">
        <v>651</v>
      </c>
      <c r="F2481">
        <v>1974</v>
      </c>
      <c r="G2481" s="1" t="s">
        <v>81</v>
      </c>
      <c r="H2481" s="1" t="s">
        <v>419</v>
      </c>
      <c r="I2481">
        <v>0.2853</v>
      </c>
      <c r="J2481">
        <v>41495.328300000001</v>
      </c>
      <c r="K2481">
        <v>3.9399999999999999E-3</v>
      </c>
      <c r="L2481">
        <v>2.6800000000000001E-3</v>
      </c>
      <c r="M2481">
        <v>4.6100000000000002E-2</v>
      </c>
      <c r="N2481">
        <v>0.11310000000000001</v>
      </c>
      <c r="O2481">
        <v>3.0200000000000001E-3</v>
      </c>
      <c r="P2481" s="3">
        <f t="shared" si="152"/>
        <v>2409.9137837920402</v>
      </c>
      <c r="Q2481" s="3">
        <f t="shared" si="153"/>
        <v>3.9434112859453307E-3</v>
      </c>
      <c r="R2481" s="3">
        <f t="shared" si="154"/>
        <v>2.6800000000000001E-3</v>
      </c>
      <c r="S2481">
        <f t="shared" si="155"/>
        <v>59</v>
      </c>
      <c r="T2481">
        <f>INDEX([1]IDEN_level_ids!$B:$B,MATCH(G2481,[1]IDEN_level_ids!$A:$A,0),1)</f>
        <v>1196</v>
      </c>
      <c r="U2481">
        <f>INDEX([1]IDEN_level_ids!$B:$B,MATCH(H2481,[1]IDEN_level_ids!$A:$A,0),1)</f>
        <v>1068</v>
      </c>
    </row>
    <row r="2482" spans="1:21" hidden="1" x14ac:dyDescent="0.25">
      <c r="A2482">
        <v>41484.569799999997</v>
      </c>
      <c r="B2482">
        <v>2410.5347999999999</v>
      </c>
      <c r="C2482">
        <v>15</v>
      </c>
      <c r="D2482" t="s">
        <v>651</v>
      </c>
      <c r="F2482">
        <v>1974</v>
      </c>
      <c r="G2482" s="1" t="s">
        <v>94</v>
      </c>
      <c r="H2482" s="1" t="s">
        <v>446</v>
      </c>
      <c r="I2482">
        <v>0.31669999999999998</v>
      </c>
      <c r="J2482">
        <v>41484.586600000002</v>
      </c>
      <c r="K2482">
        <v>9.7000000000000005E-4</v>
      </c>
      <c r="L2482">
        <v>2.6800000000000001E-3</v>
      </c>
      <c r="M2482">
        <v>4.6100000000000002E-2</v>
      </c>
      <c r="N2482">
        <v>0.10639999999999999</v>
      </c>
      <c r="O2482">
        <v>3.0000000000000001E-3</v>
      </c>
      <c r="P2482" s="3">
        <f t="shared" si="152"/>
        <v>2410.5348201055713</v>
      </c>
      <c r="Q2482" s="3">
        <f t="shared" si="153"/>
        <v>9.761935293681745E-4</v>
      </c>
      <c r="R2482" s="3">
        <f t="shared" si="154"/>
        <v>2.6800000000000001E-3</v>
      </c>
      <c r="S2482">
        <f t="shared" si="155"/>
        <v>59</v>
      </c>
      <c r="T2482">
        <f>INDEX([1]IDEN_level_ids!$B:$B,MATCH(G2482,[1]IDEN_level_ids!$A:$A,0),1)</f>
        <v>1207</v>
      </c>
      <c r="U2482">
        <f>INDEX([1]IDEN_level_ids!$B:$B,MATCH(H2482,[1]IDEN_level_ids!$A:$A,0),1)</f>
        <v>1079</v>
      </c>
    </row>
    <row r="2483" spans="1:21" hidden="1" x14ac:dyDescent="0.25">
      <c r="A2483">
        <v>41475.949200000003</v>
      </c>
      <c r="B2483">
        <v>2411.0358000000001</v>
      </c>
      <c r="C2483">
        <v>15</v>
      </c>
      <c r="D2483" t="s">
        <v>651</v>
      </c>
      <c r="F2483">
        <v>1974</v>
      </c>
      <c r="G2483" s="1" t="s">
        <v>256</v>
      </c>
      <c r="H2483" s="1" t="s">
        <v>508</v>
      </c>
      <c r="I2483">
        <v>0</v>
      </c>
      <c r="J2483">
        <v>41475.983500000002</v>
      </c>
      <c r="K2483">
        <v>1.99E-3</v>
      </c>
      <c r="L2483">
        <v>2.6800000000000001E-3</v>
      </c>
      <c r="M2483">
        <v>4.6100000000000002E-2</v>
      </c>
      <c r="N2483">
        <v>0.214</v>
      </c>
      <c r="O2483">
        <v>3.4099999999999998E-3</v>
      </c>
      <c r="P2483" s="3">
        <f t="shared" si="152"/>
        <v>2411.0358395366147</v>
      </c>
      <c r="Q2483" s="3">
        <f t="shared" si="153"/>
        <v>1.9938895306950144E-3</v>
      </c>
      <c r="R2483" s="3">
        <f t="shared" si="154"/>
        <v>2.6800000000000001E-3</v>
      </c>
      <c r="S2483">
        <f t="shared" si="155"/>
        <v>59</v>
      </c>
      <c r="T2483">
        <f>INDEX([1]IDEN_level_ids!$B:$B,MATCH(G2483,[1]IDEN_level_ids!$A:$A,0),1)</f>
        <v>1120</v>
      </c>
      <c r="U2483">
        <f>INDEX([1]IDEN_level_ids!$B:$B,MATCH(H2483,[1]IDEN_level_ids!$A:$A,0),1)</f>
        <v>961</v>
      </c>
    </row>
    <row r="2484" spans="1:21" hidden="1" x14ac:dyDescent="0.25">
      <c r="A2484">
        <v>41464.2693</v>
      </c>
      <c r="B2484">
        <v>2411.7150000000001</v>
      </c>
      <c r="C2484">
        <v>15</v>
      </c>
      <c r="D2484" t="s">
        <v>651</v>
      </c>
      <c r="F2484">
        <v>1974</v>
      </c>
      <c r="G2484" s="1" t="s">
        <v>71</v>
      </c>
      <c r="H2484" s="1" t="s">
        <v>569</v>
      </c>
      <c r="I2484">
        <v>0</v>
      </c>
      <c r="J2484">
        <v>41464.3174</v>
      </c>
      <c r="K2484">
        <v>2.8E-3</v>
      </c>
      <c r="L2484">
        <v>2.6800000000000001E-3</v>
      </c>
      <c r="M2484">
        <v>4.6100000000000002E-2</v>
      </c>
      <c r="N2484">
        <v>0.126</v>
      </c>
      <c r="O2484">
        <v>3.0699999999999998E-3</v>
      </c>
      <c r="P2484" s="3">
        <f t="shared" si="152"/>
        <v>2411.7149943360996</v>
      </c>
      <c r="Q2484" s="3">
        <f t="shared" si="153"/>
        <v>2.7976703468084452E-3</v>
      </c>
      <c r="R2484" s="3">
        <f t="shared" si="154"/>
        <v>2.6800000000000001E-3</v>
      </c>
      <c r="S2484">
        <f t="shared" si="155"/>
        <v>59</v>
      </c>
      <c r="T2484">
        <f>INDEX([1]IDEN_level_ids!$B:$B,MATCH(G2484,[1]IDEN_level_ids!$A:$A,0),1)</f>
        <v>1179</v>
      </c>
      <c r="U2484">
        <f>INDEX([1]IDEN_level_ids!$B:$B,MATCH(H2484,[1]IDEN_level_ids!$A:$A,0),1)</f>
        <v>1049</v>
      </c>
    </row>
    <row r="2485" spans="1:21" hidden="1" x14ac:dyDescent="0.25">
      <c r="A2485">
        <v>41455.879200000003</v>
      </c>
      <c r="B2485">
        <v>2412.2031000000002</v>
      </c>
      <c r="C2485">
        <v>15</v>
      </c>
      <c r="D2485" t="s">
        <v>651</v>
      </c>
      <c r="F2485">
        <v>1974</v>
      </c>
      <c r="G2485" s="1" t="s">
        <v>204</v>
      </c>
      <c r="H2485" s="1" t="s">
        <v>591</v>
      </c>
      <c r="I2485">
        <v>0</v>
      </c>
      <c r="J2485">
        <v>41455.938999999998</v>
      </c>
      <c r="K2485">
        <v>3.48E-3</v>
      </c>
      <c r="L2485">
        <v>2.6800000000000001E-3</v>
      </c>
      <c r="M2485">
        <v>4.6100000000000002E-2</v>
      </c>
      <c r="N2485">
        <v>0.2205</v>
      </c>
      <c r="O2485">
        <v>3.4399999999999999E-3</v>
      </c>
      <c r="P2485" s="3">
        <f t="shared" si="152"/>
        <v>2412.2030922938425</v>
      </c>
      <c r="Q2485" s="3">
        <f t="shared" si="153"/>
        <v>3.4795917877090687E-3</v>
      </c>
      <c r="R2485" s="3">
        <f t="shared" si="154"/>
        <v>2.6800000000000001E-3</v>
      </c>
      <c r="S2485">
        <f t="shared" si="155"/>
        <v>59</v>
      </c>
      <c r="T2485">
        <f>INDEX([1]IDEN_level_ids!$B:$B,MATCH(G2485,[1]IDEN_level_ids!$A:$A,0),1)</f>
        <v>1176</v>
      </c>
      <c r="U2485">
        <f>INDEX([1]IDEN_level_ids!$B:$B,MATCH(H2485,[1]IDEN_level_ids!$A:$A,0),1)</f>
        <v>1053</v>
      </c>
    </row>
    <row r="2486" spans="1:21" hidden="1" x14ac:dyDescent="0.25">
      <c r="A2486">
        <v>41448.160000000003</v>
      </c>
      <c r="B2486">
        <v>2412.6523000000002</v>
      </c>
      <c r="C2486">
        <v>15</v>
      </c>
      <c r="D2486" t="s">
        <v>651</v>
      </c>
      <c r="F2486">
        <v>1974</v>
      </c>
      <c r="G2486" s="1" t="s">
        <v>207</v>
      </c>
      <c r="H2486" s="1" t="s">
        <v>595</v>
      </c>
      <c r="I2486">
        <v>0</v>
      </c>
      <c r="J2486">
        <v>41448.201300000001</v>
      </c>
      <c r="K2486">
        <v>2.3999999999999998E-3</v>
      </c>
      <c r="L2486">
        <v>2.6800000000000001E-3</v>
      </c>
      <c r="M2486">
        <v>4.6100000000000002E-2</v>
      </c>
      <c r="N2486">
        <v>0.14530000000000001</v>
      </c>
      <c r="O2486">
        <v>3.14E-3</v>
      </c>
      <c r="P2486" s="3">
        <f t="shared" si="152"/>
        <v>2412.6523348684232</v>
      </c>
      <c r="Q2486" s="3">
        <f t="shared" si="153"/>
        <v>2.4040257067099446E-3</v>
      </c>
      <c r="R2486" s="3">
        <f t="shared" si="154"/>
        <v>2.6800000000000001E-3</v>
      </c>
      <c r="S2486">
        <f t="shared" si="155"/>
        <v>59</v>
      </c>
      <c r="T2486">
        <f>INDEX([1]IDEN_level_ids!$B:$B,MATCH(G2486,[1]IDEN_level_ids!$A:$A,0),1)</f>
        <v>1177</v>
      </c>
      <c r="U2486">
        <f>INDEX([1]IDEN_level_ids!$B:$B,MATCH(H2486,[1]IDEN_level_ids!$A:$A,0),1)</f>
        <v>1052</v>
      </c>
    </row>
    <row r="2487" spans="1:21" hidden="1" x14ac:dyDescent="0.25">
      <c r="A2487">
        <v>41446.719100000002</v>
      </c>
      <c r="B2487">
        <v>2412.7361999999998</v>
      </c>
      <c r="C2487">
        <v>15</v>
      </c>
      <c r="D2487" t="s">
        <v>651</v>
      </c>
      <c r="F2487">
        <v>1974</v>
      </c>
      <c r="G2487" s="1" t="s">
        <v>180</v>
      </c>
      <c r="H2487" s="1" t="s">
        <v>410</v>
      </c>
      <c r="I2487">
        <v>0.1043</v>
      </c>
      <c r="J2487">
        <v>41446.666499999999</v>
      </c>
      <c r="K2487">
        <v>-3.0599999999999998E-3</v>
      </c>
      <c r="L2487">
        <v>2.6800000000000001E-3</v>
      </c>
      <c r="M2487">
        <v>4.6100000000000002E-2</v>
      </c>
      <c r="N2487">
        <v>0.123</v>
      </c>
      <c r="O2487">
        <v>3.0599999999999998E-3</v>
      </c>
      <c r="P2487" s="3">
        <f t="shared" si="152"/>
        <v>2412.7362110068684</v>
      </c>
      <c r="Q2487" s="3">
        <f t="shared" si="153"/>
        <v>-3.0620055945291824E-3</v>
      </c>
      <c r="R2487" s="3">
        <f t="shared" si="154"/>
        <v>2.6800000000000001E-3</v>
      </c>
      <c r="S2487">
        <f t="shared" si="155"/>
        <v>59</v>
      </c>
      <c r="T2487">
        <f>INDEX([1]IDEN_level_ids!$B:$B,MATCH(G2487,[1]IDEN_level_ids!$A:$A,0),1)</f>
        <v>1184</v>
      </c>
      <c r="U2487">
        <f>INDEX([1]IDEN_level_ids!$B:$B,MATCH(H2487,[1]IDEN_level_ids!$A:$A,0),1)</f>
        <v>1056</v>
      </c>
    </row>
    <row r="2488" spans="1:21" hidden="1" x14ac:dyDescent="0.25">
      <c r="A2488">
        <v>41443.008900000001</v>
      </c>
      <c r="B2488">
        <v>2412.9522000000002</v>
      </c>
      <c r="C2488">
        <v>15</v>
      </c>
      <c r="D2488" t="s">
        <v>651</v>
      </c>
      <c r="F2488">
        <v>1974</v>
      </c>
      <c r="G2488" s="1" t="s">
        <v>216</v>
      </c>
      <c r="H2488" s="1" t="s">
        <v>445</v>
      </c>
      <c r="I2488">
        <v>0</v>
      </c>
      <c r="J2488">
        <v>41443.108800000002</v>
      </c>
      <c r="K2488">
        <v>5.8199999999999997E-3</v>
      </c>
      <c r="L2488">
        <v>2.6800000000000001E-3</v>
      </c>
      <c r="M2488">
        <v>4.6100000000000002E-2</v>
      </c>
      <c r="N2488">
        <v>0.1072</v>
      </c>
      <c r="O2488">
        <v>3.0000000000000001E-3</v>
      </c>
      <c r="P2488" s="3">
        <f t="shared" si="152"/>
        <v>2412.9522120677875</v>
      </c>
      <c r="Q2488" s="3">
        <f t="shared" si="153"/>
        <v>5.8165020186606853E-3</v>
      </c>
      <c r="R2488" s="3">
        <f t="shared" si="154"/>
        <v>2.6800000000000001E-3</v>
      </c>
      <c r="S2488">
        <f t="shared" si="155"/>
        <v>59</v>
      </c>
      <c r="T2488">
        <f>INDEX([1]IDEN_level_ids!$B:$B,MATCH(G2488,[1]IDEN_level_ids!$A:$A,0),1)</f>
        <v>1170</v>
      </c>
      <c r="U2488">
        <f>INDEX([1]IDEN_level_ids!$B:$B,MATCH(H2488,[1]IDEN_level_ids!$A:$A,0),1)</f>
        <v>1041</v>
      </c>
    </row>
    <row r="2489" spans="1:21" hidden="1" x14ac:dyDescent="0.25">
      <c r="A2489">
        <v>41439.949500000002</v>
      </c>
      <c r="B2489">
        <v>2413.1304</v>
      </c>
      <c r="C2489">
        <v>15</v>
      </c>
      <c r="D2489" t="s">
        <v>651</v>
      </c>
      <c r="F2489">
        <v>1974</v>
      </c>
      <c r="G2489" s="1" t="s">
        <v>62</v>
      </c>
      <c r="H2489" s="1" t="s">
        <v>396</v>
      </c>
      <c r="I2489">
        <v>0.42980000000000002</v>
      </c>
      <c r="J2489">
        <v>41439.955300000001</v>
      </c>
      <c r="K2489">
        <v>3.4000000000000002E-4</v>
      </c>
      <c r="L2489">
        <v>2.6800000000000001E-3</v>
      </c>
      <c r="M2489">
        <v>4.6100000000000002E-2</v>
      </c>
      <c r="N2489">
        <v>0.18360000000000001</v>
      </c>
      <c r="O2489">
        <v>3.29E-3</v>
      </c>
      <c r="P2489" s="3">
        <f t="shared" si="152"/>
        <v>2413.130353838872</v>
      </c>
      <c r="Q2489" s="3">
        <f t="shared" si="153"/>
        <v>3.3774544272091589E-4</v>
      </c>
      <c r="R2489" s="3">
        <f t="shared" si="154"/>
        <v>2.6800000000000001E-3</v>
      </c>
      <c r="S2489">
        <f t="shared" si="155"/>
        <v>59</v>
      </c>
      <c r="T2489">
        <f>INDEX([1]IDEN_level_ids!$B:$B,MATCH(G2489,[1]IDEN_level_ids!$A:$A,0),1)</f>
        <v>1203</v>
      </c>
      <c r="U2489">
        <f>INDEX([1]IDEN_level_ids!$B:$B,MATCH(H2489,[1]IDEN_level_ids!$A:$A,0),1)</f>
        <v>1072</v>
      </c>
    </row>
    <row r="2490" spans="1:21" hidden="1" x14ac:dyDescent="0.25">
      <c r="A2490">
        <v>41423.771000000001</v>
      </c>
      <c r="B2490">
        <v>2414.0727999999999</v>
      </c>
      <c r="C2490">
        <v>15</v>
      </c>
      <c r="D2490" t="s">
        <v>651</v>
      </c>
      <c r="F2490">
        <v>1974</v>
      </c>
      <c r="G2490" s="1" t="s">
        <v>238</v>
      </c>
      <c r="H2490" s="1" t="s">
        <v>452</v>
      </c>
      <c r="I2490">
        <v>0.25619999999999998</v>
      </c>
      <c r="J2490">
        <v>41423.7736</v>
      </c>
      <c r="K2490">
        <v>1.4999999999999999E-4</v>
      </c>
      <c r="L2490">
        <v>2.6800000000000001E-3</v>
      </c>
      <c r="M2490">
        <v>4.6100000000000002E-2</v>
      </c>
      <c r="N2490">
        <v>0.1071</v>
      </c>
      <c r="O2490">
        <v>3.0100000000000001E-3</v>
      </c>
      <c r="P2490" s="3">
        <f t="shared" si="152"/>
        <v>2414.0728278939164</v>
      </c>
      <c r="Q2490" s="3">
        <f t="shared" si="153"/>
        <v>1.5152142850638484E-4</v>
      </c>
      <c r="R2490" s="3">
        <f t="shared" si="154"/>
        <v>2.6800000000000001E-3</v>
      </c>
      <c r="S2490">
        <f t="shared" si="155"/>
        <v>59</v>
      </c>
      <c r="T2490">
        <f>INDEX([1]IDEN_level_ids!$B:$B,MATCH(G2490,[1]IDEN_level_ids!$A:$A,0),1)</f>
        <v>1165</v>
      </c>
      <c r="U2490">
        <f>INDEX([1]IDEN_level_ids!$B:$B,MATCH(H2490,[1]IDEN_level_ids!$A:$A,0),1)</f>
        <v>1033</v>
      </c>
    </row>
    <row r="2491" spans="1:21" hidden="1" x14ac:dyDescent="0.25">
      <c r="A2491">
        <v>41414.900600000001</v>
      </c>
      <c r="B2491">
        <v>2414.5898999999999</v>
      </c>
      <c r="C2491">
        <v>15</v>
      </c>
      <c r="D2491" t="s">
        <v>651</v>
      </c>
      <c r="F2491">
        <v>1974</v>
      </c>
      <c r="G2491" s="1" t="s">
        <v>194</v>
      </c>
      <c r="H2491" s="1" t="s">
        <v>377</v>
      </c>
      <c r="I2491">
        <v>0.33889999999999998</v>
      </c>
      <c r="J2491">
        <v>41414.909500000002</v>
      </c>
      <c r="K2491">
        <v>5.1999999999999995E-4</v>
      </c>
      <c r="L2491">
        <v>2.6900000000000001E-3</v>
      </c>
      <c r="M2491">
        <v>4.6100000000000002E-2</v>
      </c>
      <c r="N2491">
        <v>8.5999999999999993E-2</v>
      </c>
      <c r="O2491">
        <v>2.9399999999999999E-3</v>
      </c>
      <c r="P2491" s="3">
        <f t="shared" si="152"/>
        <v>2414.5898831397894</v>
      </c>
      <c r="Q2491" s="3">
        <f t="shared" si="153"/>
        <v>5.1889163160012686E-4</v>
      </c>
      <c r="R2491" s="3">
        <f t="shared" si="154"/>
        <v>2.6900000000000001E-3</v>
      </c>
      <c r="S2491">
        <f t="shared" si="155"/>
        <v>59</v>
      </c>
      <c r="T2491">
        <f>INDEX([1]IDEN_level_ids!$B:$B,MATCH(G2491,[1]IDEN_level_ids!$A:$A,0),1)</f>
        <v>1187</v>
      </c>
      <c r="U2491">
        <f>INDEX([1]IDEN_level_ids!$B:$B,MATCH(H2491,[1]IDEN_level_ids!$A:$A,0),1)</f>
        <v>1057</v>
      </c>
    </row>
    <row r="2492" spans="1:21" hidden="1" x14ac:dyDescent="0.25">
      <c r="A2492">
        <v>41403.189599999998</v>
      </c>
      <c r="B2492">
        <v>2415.2728999999999</v>
      </c>
      <c r="C2492">
        <v>15</v>
      </c>
      <c r="D2492" t="s">
        <v>651</v>
      </c>
      <c r="F2492">
        <v>1974</v>
      </c>
      <c r="G2492" s="1" t="s">
        <v>76</v>
      </c>
      <c r="H2492" s="1" t="s">
        <v>458</v>
      </c>
      <c r="I2492">
        <v>0</v>
      </c>
      <c r="J2492">
        <v>41403.198100000001</v>
      </c>
      <c r="K2492">
        <v>5.0000000000000001E-4</v>
      </c>
      <c r="L2492">
        <v>2.6900000000000001E-3</v>
      </c>
      <c r="M2492">
        <v>4.6100000000000002E-2</v>
      </c>
      <c r="N2492">
        <v>0.12790000000000001</v>
      </c>
      <c r="O2492">
        <v>3.0799999999999998E-3</v>
      </c>
      <c r="P2492" s="3">
        <f t="shared" si="152"/>
        <v>2415.2728561762788</v>
      </c>
      <c r="Q2492" s="3">
        <f t="shared" si="153"/>
        <v>4.9585105080041103E-4</v>
      </c>
      <c r="R2492" s="3">
        <f t="shared" si="154"/>
        <v>2.6900000000000001E-3</v>
      </c>
      <c r="S2492">
        <f t="shared" si="155"/>
        <v>59</v>
      </c>
      <c r="T2492">
        <f>INDEX([1]IDEN_level_ids!$B:$B,MATCH(G2492,[1]IDEN_level_ids!$A:$A,0),1)</f>
        <v>1194</v>
      </c>
      <c r="U2492">
        <f>INDEX([1]IDEN_level_ids!$B:$B,MATCH(H2492,[1]IDEN_level_ids!$A:$A,0),1)</f>
        <v>1064</v>
      </c>
    </row>
    <row r="2493" spans="1:21" hidden="1" x14ac:dyDescent="0.25">
      <c r="A2493">
        <v>41382.791100000002</v>
      </c>
      <c r="B2493">
        <v>2416.4634000000001</v>
      </c>
      <c r="C2493">
        <v>15</v>
      </c>
      <c r="D2493" t="s">
        <v>651</v>
      </c>
      <c r="F2493">
        <v>1974</v>
      </c>
      <c r="G2493" s="1" t="s">
        <v>271</v>
      </c>
      <c r="H2493" s="1" t="s">
        <v>585</v>
      </c>
      <c r="I2493">
        <v>0</v>
      </c>
      <c r="J2493">
        <v>41382.8079</v>
      </c>
      <c r="K2493">
        <v>9.7999999999999997E-4</v>
      </c>
      <c r="L2493">
        <v>2.6900000000000001E-3</v>
      </c>
      <c r="M2493">
        <v>4.6100000000000002E-2</v>
      </c>
      <c r="N2493">
        <v>0.1096</v>
      </c>
      <c r="O2493">
        <v>3.0200000000000001E-3</v>
      </c>
      <c r="P2493" s="3">
        <f t="shared" si="152"/>
        <v>2416.4633979944383</v>
      </c>
      <c r="Q2493" s="3">
        <f t="shared" si="153"/>
        <v>9.8100122113464749E-4</v>
      </c>
      <c r="R2493" s="3">
        <f t="shared" si="154"/>
        <v>2.6900000000000001E-3</v>
      </c>
      <c r="S2493">
        <f t="shared" si="155"/>
        <v>59</v>
      </c>
      <c r="T2493">
        <f>INDEX([1]IDEN_level_ids!$B:$B,MATCH(G2493,[1]IDEN_level_ids!$A:$A,0),1)</f>
        <v>1158</v>
      </c>
      <c r="U2493">
        <f>INDEX([1]IDEN_level_ids!$B:$B,MATCH(H2493,[1]IDEN_level_ids!$A:$A,0),1)</f>
        <v>1019</v>
      </c>
    </row>
    <row r="2494" spans="1:21" hidden="1" x14ac:dyDescent="0.25">
      <c r="A2494">
        <v>41369.1299</v>
      </c>
      <c r="B2494">
        <v>2417.2613999999999</v>
      </c>
      <c r="C2494">
        <v>15</v>
      </c>
      <c r="D2494" t="s">
        <v>651</v>
      </c>
      <c r="F2494">
        <v>1974</v>
      </c>
      <c r="G2494" s="1" t="s">
        <v>416</v>
      </c>
      <c r="H2494" s="1" t="s">
        <v>653</v>
      </c>
      <c r="I2494">
        <v>-0.26750000000000002</v>
      </c>
      <c r="J2494">
        <v>41369.184600000001</v>
      </c>
      <c r="K2494">
        <v>3.1900000000000001E-3</v>
      </c>
      <c r="L2494">
        <v>2.6900000000000001E-3</v>
      </c>
      <c r="M2494">
        <v>4.6100000000000002E-2</v>
      </c>
      <c r="N2494">
        <v>0.30280000000000001</v>
      </c>
      <c r="O2494">
        <v>3.8600000000000001E-3</v>
      </c>
      <c r="P2494" s="3">
        <f t="shared" si="152"/>
        <v>2417.261379239209</v>
      </c>
      <c r="Q2494" s="3">
        <f t="shared" si="153"/>
        <v>3.1962002326508809E-3</v>
      </c>
      <c r="R2494" s="3">
        <f t="shared" si="154"/>
        <v>2.6900000000000001E-3</v>
      </c>
      <c r="S2494">
        <f t="shared" si="155"/>
        <v>59</v>
      </c>
      <c r="T2494">
        <f>INDEX([1]IDEN_level_ids!$B:$B,MATCH(G2494,[1]IDEN_level_ids!$A:$A,0),1)</f>
        <v>1055</v>
      </c>
      <c r="U2494">
        <f>INDEX([1]IDEN_level_ids!$B:$B,MATCH(H2494,[1]IDEN_level_ids!$A:$A,0),1)</f>
        <v>846</v>
      </c>
    </row>
    <row r="2495" spans="1:21" hidden="1" x14ac:dyDescent="0.25">
      <c r="A2495">
        <v>41367.059699999998</v>
      </c>
      <c r="B2495">
        <v>2417.3824</v>
      </c>
      <c r="C2495">
        <v>15</v>
      </c>
      <c r="D2495" t="s">
        <v>651</v>
      </c>
      <c r="F2495">
        <v>1974</v>
      </c>
      <c r="G2495" s="1" t="s">
        <v>377</v>
      </c>
      <c r="H2495" s="1" t="s">
        <v>347</v>
      </c>
      <c r="I2495">
        <v>-0.33889999999999998</v>
      </c>
      <c r="J2495">
        <v>41367.040300000001</v>
      </c>
      <c r="K2495">
        <v>-1.1299999999999999E-3</v>
      </c>
      <c r="L2495">
        <v>2.6900000000000001E-3</v>
      </c>
      <c r="M2495">
        <v>4.6100000000000002E-2</v>
      </c>
      <c r="N2495">
        <v>0.23630000000000001</v>
      </c>
      <c r="O2495">
        <v>3.5200000000000001E-3</v>
      </c>
      <c r="P2495" s="3">
        <f t="shared" si="152"/>
        <v>2417.3823502374767</v>
      </c>
      <c r="Q2495" s="3">
        <f t="shared" si="153"/>
        <v>-1.1336855923218536E-3</v>
      </c>
      <c r="R2495" s="3">
        <f t="shared" si="154"/>
        <v>2.6900000000000001E-3</v>
      </c>
      <c r="S2495">
        <f t="shared" si="155"/>
        <v>59</v>
      </c>
      <c r="T2495">
        <f>INDEX([1]IDEN_level_ids!$B:$B,MATCH(G2495,[1]IDEN_level_ids!$A:$A,0),1)</f>
        <v>1057</v>
      </c>
      <c r="U2495">
        <f>INDEX([1]IDEN_level_ids!$B:$B,MATCH(H2495,[1]IDEN_level_ids!$A:$A,0),1)</f>
        <v>851</v>
      </c>
    </row>
    <row r="2496" spans="1:21" hidden="1" x14ac:dyDescent="0.25">
      <c r="A2496">
        <v>41349.211000000003</v>
      </c>
      <c r="B2496">
        <v>2418.4258</v>
      </c>
      <c r="C2496">
        <v>15</v>
      </c>
      <c r="D2496" t="s">
        <v>651</v>
      </c>
      <c r="F2496">
        <v>1974</v>
      </c>
      <c r="G2496" s="1" t="s">
        <v>265</v>
      </c>
      <c r="H2496" s="1" t="s">
        <v>536</v>
      </c>
      <c r="I2496">
        <v>0</v>
      </c>
      <c r="J2496">
        <v>41349.215900000003</v>
      </c>
      <c r="K2496">
        <v>2.9E-4</v>
      </c>
      <c r="L2496">
        <v>2.6900000000000001E-3</v>
      </c>
      <c r="M2496">
        <v>4.6100000000000002E-2</v>
      </c>
      <c r="N2496">
        <v>9.9500000000000005E-2</v>
      </c>
      <c r="O2496">
        <v>2.99E-3</v>
      </c>
      <c r="P2496" s="3">
        <f t="shared" si="152"/>
        <v>2418.4258316319506</v>
      </c>
      <c r="Q2496" s="3">
        <f t="shared" si="153"/>
        <v>2.8659035797318211E-4</v>
      </c>
      <c r="R2496" s="3">
        <f t="shared" si="154"/>
        <v>2.6900000000000001E-3</v>
      </c>
      <c r="S2496">
        <f t="shared" si="155"/>
        <v>59</v>
      </c>
      <c r="T2496">
        <f>INDEX([1]IDEN_level_ids!$B:$B,MATCH(G2496,[1]IDEN_level_ids!$A:$A,0),1)</f>
        <v>1161</v>
      </c>
      <c r="U2496">
        <f>INDEX([1]IDEN_level_ids!$B:$B,MATCH(H2496,[1]IDEN_level_ids!$A:$A,0),1)</f>
        <v>1021</v>
      </c>
    </row>
    <row r="2497" spans="1:21" hidden="1" x14ac:dyDescent="0.25">
      <c r="A2497">
        <v>41327.691200000001</v>
      </c>
      <c r="B2497">
        <v>2419.6851000000001</v>
      </c>
      <c r="C2497">
        <v>15</v>
      </c>
      <c r="D2497" t="s">
        <v>651</v>
      </c>
      <c r="F2497">
        <v>1974</v>
      </c>
      <c r="G2497" s="1" t="s">
        <v>166</v>
      </c>
      <c r="H2497" s="1" t="s">
        <v>410</v>
      </c>
      <c r="I2497">
        <v>0.1043</v>
      </c>
      <c r="J2497">
        <v>41327.631300000001</v>
      </c>
      <c r="K2497">
        <v>-3.5000000000000001E-3</v>
      </c>
      <c r="L2497">
        <v>2.7000000000000001E-3</v>
      </c>
      <c r="M2497">
        <v>4.6100000000000002E-2</v>
      </c>
      <c r="N2497">
        <v>0.1043</v>
      </c>
      <c r="O2497">
        <v>3.0100000000000001E-3</v>
      </c>
      <c r="P2497" s="3">
        <f t="shared" si="152"/>
        <v>2419.685133535841</v>
      </c>
      <c r="Q2497" s="3">
        <f t="shared" si="153"/>
        <v>-3.5070758940491942E-3</v>
      </c>
      <c r="R2497" s="3">
        <f t="shared" si="154"/>
        <v>2.7000000000000001E-3</v>
      </c>
      <c r="S2497">
        <f t="shared" si="155"/>
        <v>59</v>
      </c>
      <c r="T2497">
        <f>INDEX([1]IDEN_level_ids!$B:$B,MATCH(G2497,[1]IDEN_level_ids!$A:$A,0),1)</f>
        <v>1186</v>
      </c>
      <c r="U2497">
        <f>INDEX([1]IDEN_level_ids!$B:$B,MATCH(H2497,[1]IDEN_level_ids!$A:$A,0),1)</f>
        <v>1056</v>
      </c>
    </row>
    <row r="2498" spans="1:21" hidden="1" x14ac:dyDescent="0.25">
      <c r="A2498">
        <v>41305.858999999997</v>
      </c>
      <c r="B2498">
        <v>2420.9641000000001</v>
      </c>
      <c r="C2498">
        <v>15</v>
      </c>
      <c r="D2498" t="s">
        <v>651</v>
      </c>
      <c r="F2498">
        <v>1974</v>
      </c>
      <c r="G2498" s="1" t="s">
        <v>267</v>
      </c>
      <c r="H2498" s="1" t="s">
        <v>509</v>
      </c>
      <c r="I2498">
        <v>0.21629999999999999</v>
      </c>
      <c r="J2498">
        <v>41305.858899999999</v>
      </c>
      <c r="K2498">
        <v>0</v>
      </c>
      <c r="L2498">
        <v>2.7000000000000001E-3</v>
      </c>
      <c r="M2498">
        <v>4.6100000000000002E-2</v>
      </c>
      <c r="N2498">
        <v>0.18540000000000001</v>
      </c>
      <c r="O2498">
        <v>3.31E-3</v>
      </c>
      <c r="P2498" s="3">
        <f t="shared" ref="P2498:P2561" si="156">100000000/$A2498</f>
        <v>2420.9640574234277</v>
      </c>
      <c r="Q2498" s="3">
        <f t="shared" ref="Q2498:Q2561" si="157">100000000/($A2498)-100000000/$J2498</f>
        <v>-5.8610667110770009E-6</v>
      </c>
      <c r="R2498" s="3">
        <f t="shared" si="154"/>
        <v>2.7000000000000001E-3</v>
      </c>
      <c r="S2498">
        <f t="shared" si="155"/>
        <v>59</v>
      </c>
      <c r="T2498">
        <f>INDEX([1]IDEN_level_ids!$B:$B,MATCH(G2498,[1]IDEN_level_ids!$A:$A,0),1)</f>
        <v>1104</v>
      </c>
      <c r="U2498">
        <f>INDEX([1]IDEN_level_ids!$B:$B,MATCH(H2498,[1]IDEN_level_ids!$A:$A,0),1)</f>
        <v>956</v>
      </c>
    </row>
    <row r="2499" spans="1:21" hidden="1" x14ac:dyDescent="0.25">
      <c r="A2499">
        <v>41298.5893</v>
      </c>
      <c r="B2499">
        <v>2421.3901999999998</v>
      </c>
      <c r="C2499">
        <v>15</v>
      </c>
      <c r="D2499" t="s">
        <v>651</v>
      </c>
      <c r="F2499">
        <v>1974</v>
      </c>
      <c r="G2499" s="1" t="s">
        <v>244</v>
      </c>
      <c r="H2499" s="1" t="s">
        <v>419</v>
      </c>
      <c r="I2499">
        <v>0.2853</v>
      </c>
      <c r="J2499">
        <v>41298.607900000003</v>
      </c>
      <c r="K2499">
        <v>1.09E-3</v>
      </c>
      <c r="L2499">
        <v>2.7000000000000001E-3</v>
      </c>
      <c r="M2499">
        <v>4.6100000000000002E-2</v>
      </c>
      <c r="N2499">
        <v>0.15279999999999999</v>
      </c>
      <c r="O2499">
        <v>3.1900000000000001E-3</v>
      </c>
      <c r="P2499" s="3">
        <f t="shared" si="156"/>
        <v>2421.3902144110284</v>
      </c>
      <c r="Q2499" s="3">
        <f t="shared" si="157"/>
        <v>1.0905417952926655E-3</v>
      </c>
      <c r="R2499" s="3">
        <f t="shared" ref="R2499:R2562" si="158">$L2499</f>
        <v>2.7000000000000001E-3</v>
      </c>
      <c r="S2499">
        <f t="shared" si="155"/>
        <v>59</v>
      </c>
      <c r="T2499">
        <f>INDEX([1]IDEN_level_ids!$B:$B,MATCH(G2499,[1]IDEN_level_ids!$A:$A,0),1)</f>
        <v>1195</v>
      </c>
      <c r="U2499">
        <f>INDEX([1]IDEN_level_ids!$B:$B,MATCH(H2499,[1]IDEN_level_ids!$A:$A,0),1)</f>
        <v>1068</v>
      </c>
    </row>
    <row r="2500" spans="1:21" hidden="1" x14ac:dyDescent="0.25">
      <c r="A2500">
        <v>41296.540099999998</v>
      </c>
      <c r="B2500">
        <v>2421.5104000000001</v>
      </c>
      <c r="C2500">
        <v>15</v>
      </c>
      <c r="D2500" t="s">
        <v>651</v>
      </c>
      <c r="F2500">
        <v>1974</v>
      </c>
      <c r="G2500" s="1" t="s">
        <v>377</v>
      </c>
      <c r="H2500" s="1" t="s">
        <v>366</v>
      </c>
      <c r="I2500">
        <v>-0.33889999999999998</v>
      </c>
      <c r="J2500">
        <v>41296.5723</v>
      </c>
      <c r="K2500">
        <v>1.89E-3</v>
      </c>
      <c r="L2500">
        <v>2.7000000000000001E-3</v>
      </c>
      <c r="M2500">
        <v>4.6100000000000002E-2</v>
      </c>
      <c r="N2500">
        <v>0.2064</v>
      </c>
      <c r="O2500">
        <v>3.3999999999999998E-3</v>
      </c>
      <c r="P2500" s="3">
        <f t="shared" si="156"/>
        <v>2421.5103676445765</v>
      </c>
      <c r="Q2500" s="3">
        <f t="shared" si="157"/>
        <v>1.8881139399127278E-3</v>
      </c>
      <c r="R2500" s="3">
        <f t="shared" si="158"/>
        <v>2.7000000000000001E-3</v>
      </c>
      <c r="S2500">
        <f t="shared" ref="S2500:S2563" si="159">IF(D2500=D2499,S2499,S2499+1)</f>
        <v>59</v>
      </c>
      <c r="T2500">
        <f>INDEX([1]IDEN_level_ids!$B:$B,MATCH(G2500,[1]IDEN_level_ids!$A:$A,0),1)</f>
        <v>1057</v>
      </c>
      <c r="U2500">
        <f>INDEX([1]IDEN_level_ids!$B:$B,MATCH(H2500,[1]IDEN_level_ids!$A:$A,0),1)</f>
        <v>853</v>
      </c>
    </row>
    <row r="2501" spans="1:21" hidden="1" x14ac:dyDescent="0.25">
      <c r="A2501">
        <v>41290.0213</v>
      </c>
      <c r="B2501">
        <v>2421.8926999999999</v>
      </c>
      <c r="C2501">
        <v>15</v>
      </c>
      <c r="D2501" t="s">
        <v>651</v>
      </c>
      <c r="F2501">
        <v>1974</v>
      </c>
      <c r="G2501" s="1" t="s">
        <v>209</v>
      </c>
      <c r="H2501" s="1" t="s">
        <v>450</v>
      </c>
      <c r="I2501">
        <v>0.2989</v>
      </c>
      <c r="J2501">
        <v>41290.0429</v>
      </c>
      <c r="K2501">
        <v>1.2600000000000001E-3</v>
      </c>
      <c r="L2501">
        <v>2.7000000000000001E-3</v>
      </c>
      <c r="M2501">
        <v>4.6100000000000002E-2</v>
      </c>
      <c r="N2501">
        <v>0.12970000000000001</v>
      </c>
      <c r="O2501">
        <v>3.0999999999999999E-3</v>
      </c>
      <c r="P2501" s="3">
        <f t="shared" si="156"/>
        <v>2421.8926716804576</v>
      </c>
      <c r="Q2501" s="3">
        <f t="shared" si="157"/>
        <v>1.2669611855926632E-3</v>
      </c>
      <c r="R2501" s="3">
        <f t="shared" si="158"/>
        <v>2.7000000000000001E-3</v>
      </c>
      <c r="S2501">
        <f t="shared" si="159"/>
        <v>59</v>
      </c>
      <c r="T2501">
        <f>INDEX([1]IDEN_level_ids!$B:$B,MATCH(G2501,[1]IDEN_level_ids!$A:$A,0),1)</f>
        <v>1209</v>
      </c>
      <c r="U2501">
        <f>INDEX([1]IDEN_level_ids!$B:$B,MATCH(H2501,[1]IDEN_level_ids!$A:$A,0),1)</f>
        <v>1077</v>
      </c>
    </row>
    <row r="2502" spans="1:21" hidden="1" x14ac:dyDescent="0.25">
      <c r="A2502">
        <v>41271.391300000003</v>
      </c>
      <c r="B2502">
        <v>2422.9859000000001</v>
      </c>
      <c r="C2502">
        <v>15</v>
      </c>
      <c r="D2502" t="s">
        <v>651</v>
      </c>
      <c r="F2502">
        <v>1974</v>
      </c>
      <c r="G2502" s="1" t="s">
        <v>216</v>
      </c>
      <c r="H2502" s="1" t="s">
        <v>468</v>
      </c>
      <c r="I2502">
        <v>0.16639999999999999</v>
      </c>
      <c r="J2502">
        <v>41271.382299999997</v>
      </c>
      <c r="K2502">
        <v>-5.2999999999999998E-4</v>
      </c>
      <c r="L2502">
        <v>2.7000000000000001E-3</v>
      </c>
      <c r="M2502">
        <v>4.6100000000000002E-2</v>
      </c>
      <c r="N2502">
        <v>0.10929999999999999</v>
      </c>
      <c r="O2502">
        <v>3.0400000000000002E-3</v>
      </c>
      <c r="P2502" s="3">
        <f t="shared" si="156"/>
        <v>2422.985919546647</v>
      </c>
      <c r="Q2502" s="3">
        <f t="shared" si="157"/>
        <v>-5.283775844873162E-4</v>
      </c>
      <c r="R2502" s="3">
        <f t="shared" si="158"/>
        <v>2.7000000000000001E-3</v>
      </c>
      <c r="S2502">
        <f t="shared" si="159"/>
        <v>59</v>
      </c>
      <c r="T2502">
        <f>INDEX([1]IDEN_level_ids!$B:$B,MATCH(G2502,[1]IDEN_level_ids!$A:$A,0),1)</f>
        <v>1170</v>
      </c>
      <c r="U2502">
        <f>INDEX([1]IDEN_level_ids!$B:$B,MATCH(H2502,[1]IDEN_level_ids!$A:$A,0),1)</f>
        <v>1044</v>
      </c>
    </row>
    <row r="2503" spans="1:21" hidden="1" x14ac:dyDescent="0.25">
      <c r="A2503">
        <v>41262.721299999997</v>
      </c>
      <c r="B2503">
        <v>2423.4949999999999</v>
      </c>
      <c r="C2503">
        <v>15</v>
      </c>
      <c r="D2503" t="s">
        <v>651</v>
      </c>
      <c r="F2503">
        <v>1974</v>
      </c>
      <c r="G2503" s="1" t="s">
        <v>272</v>
      </c>
      <c r="H2503" s="1" t="s">
        <v>486</v>
      </c>
      <c r="I2503">
        <v>0.52449999999999997</v>
      </c>
      <c r="J2503">
        <v>41262.786699999997</v>
      </c>
      <c r="K2503">
        <v>3.8400000000000001E-3</v>
      </c>
      <c r="L2503">
        <v>2.7100000000000002E-3</v>
      </c>
      <c r="M2503">
        <v>4.6100000000000002E-2</v>
      </c>
      <c r="N2503">
        <v>0.2445</v>
      </c>
      <c r="O2503">
        <v>3.5799999999999998E-3</v>
      </c>
      <c r="P2503" s="3">
        <f t="shared" si="156"/>
        <v>2423.4950301254125</v>
      </c>
      <c r="Q2503" s="3">
        <f t="shared" si="157"/>
        <v>3.8411505292970105E-3</v>
      </c>
      <c r="R2503" s="3">
        <f t="shared" si="158"/>
        <v>2.7100000000000002E-3</v>
      </c>
      <c r="S2503">
        <f t="shared" si="159"/>
        <v>59</v>
      </c>
      <c r="T2503">
        <f>INDEX([1]IDEN_level_ids!$B:$B,MATCH(G2503,[1]IDEN_level_ids!$A:$A,0),1)</f>
        <v>1109</v>
      </c>
      <c r="U2503">
        <f>INDEX([1]IDEN_level_ids!$B:$B,MATCH(H2503,[1]IDEN_level_ids!$A:$A,0),1)</f>
        <v>958</v>
      </c>
    </row>
    <row r="2504" spans="1:21" hidden="1" x14ac:dyDescent="0.25">
      <c r="A2504">
        <v>41255.741000000002</v>
      </c>
      <c r="B2504">
        <v>2423.9050999999999</v>
      </c>
      <c r="C2504">
        <v>15</v>
      </c>
      <c r="D2504" t="s">
        <v>651</v>
      </c>
      <c r="F2504">
        <v>1974</v>
      </c>
      <c r="G2504" s="1" t="s">
        <v>250</v>
      </c>
      <c r="H2504" s="1" t="s">
        <v>486</v>
      </c>
      <c r="I2504">
        <v>0.52449999999999997</v>
      </c>
      <c r="J2504">
        <v>41255.7552</v>
      </c>
      <c r="K2504">
        <v>8.3000000000000001E-4</v>
      </c>
      <c r="L2504">
        <v>2.7100000000000002E-3</v>
      </c>
      <c r="M2504">
        <v>4.6100000000000002E-2</v>
      </c>
      <c r="N2504">
        <v>0.22620000000000001</v>
      </c>
      <c r="O2504">
        <v>3.5000000000000001E-3</v>
      </c>
      <c r="P2504" s="3">
        <f t="shared" si="156"/>
        <v>2423.9050754172613</v>
      </c>
      <c r="Q2504" s="3">
        <f t="shared" si="157"/>
        <v>8.3429455844452605E-4</v>
      </c>
      <c r="R2504" s="3">
        <f t="shared" si="158"/>
        <v>2.7100000000000002E-3</v>
      </c>
      <c r="S2504">
        <f t="shared" si="159"/>
        <v>59</v>
      </c>
      <c r="T2504">
        <f>INDEX([1]IDEN_level_ids!$B:$B,MATCH(G2504,[1]IDEN_level_ids!$A:$A,0),1)</f>
        <v>1107</v>
      </c>
      <c r="U2504">
        <f>INDEX([1]IDEN_level_ids!$B:$B,MATCH(H2504,[1]IDEN_level_ids!$A:$A,0),1)</f>
        <v>958</v>
      </c>
    </row>
    <row r="2505" spans="1:21" hidden="1" x14ac:dyDescent="0.25">
      <c r="A2505">
        <v>41246.709000000003</v>
      </c>
      <c r="B2505">
        <v>2424.4358999999999</v>
      </c>
      <c r="C2505">
        <v>15</v>
      </c>
      <c r="D2505" t="s">
        <v>651</v>
      </c>
      <c r="F2505">
        <v>1974</v>
      </c>
      <c r="G2505" s="1" t="s">
        <v>407</v>
      </c>
      <c r="H2505" s="1" t="s">
        <v>344</v>
      </c>
      <c r="I2505">
        <v>-0.27489999999999998</v>
      </c>
      <c r="J2505">
        <v>41246.7212</v>
      </c>
      <c r="K2505">
        <v>7.2000000000000005E-4</v>
      </c>
      <c r="L2505">
        <v>2.7100000000000002E-3</v>
      </c>
      <c r="M2505">
        <v>4.6100000000000002E-2</v>
      </c>
      <c r="N2505">
        <v>0.27889999999999998</v>
      </c>
      <c r="O2505">
        <v>3.7499999999999999E-3</v>
      </c>
      <c r="P2505" s="3">
        <f t="shared" si="156"/>
        <v>2424.4358501426136</v>
      </c>
      <c r="Q2505" s="3">
        <f t="shared" si="157"/>
        <v>7.1710226893628715E-4</v>
      </c>
      <c r="R2505" s="3">
        <f t="shared" si="158"/>
        <v>2.7100000000000002E-3</v>
      </c>
      <c r="S2505">
        <f t="shared" si="159"/>
        <v>59</v>
      </c>
      <c r="T2505">
        <f>INDEX([1]IDEN_level_ids!$B:$B,MATCH(G2505,[1]IDEN_level_ids!$A:$A,0),1)</f>
        <v>1073</v>
      </c>
      <c r="U2505">
        <f>INDEX([1]IDEN_level_ids!$B:$B,MATCH(H2505,[1]IDEN_level_ids!$A:$A,0),1)</f>
        <v>872</v>
      </c>
    </row>
    <row r="2506" spans="1:21" hidden="1" x14ac:dyDescent="0.25">
      <c r="A2506">
        <v>41240.870000000003</v>
      </c>
      <c r="B2506">
        <v>2424.7791000000002</v>
      </c>
      <c r="C2506">
        <v>15</v>
      </c>
      <c r="D2506" t="s">
        <v>651</v>
      </c>
      <c r="F2506">
        <v>1974</v>
      </c>
      <c r="G2506" s="1" t="s">
        <v>82</v>
      </c>
      <c r="H2506" s="1" t="s">
        <v>375</v>
      </c>
      <c r="I2506">
        <v>0.28789999999999999</v>
      </c>
      <c r="J2506">
        <v>41240.946900000003</v>
      </c>
      <c r="K2506">
        <v>4.5199999999999997E-3</v>
      </c>
      <c r="L2506">
        <v>2.7100000000000002E-3</v>
      </c>
      <c r="M2506">
        <v>4.6100000000000002E-2</v>
      </c>
      <c r="N2506">
        <v>9.2700000000000005E-2</v>
      </c>
      <c r="O2506">
        <v>2.99E-3</v>
      </c>
      <c r="P2506" s="3">
        <f t="shared" si="156"/>
        <v>2424.7791086851462</v>
      </c>
      <c r="Q2506" s="3">
        <f t="shared" si="157"/>
        <v>4.5213683843030594E-3</v>
      </c>
      <c r="R2506" s="3">
        <f t="shared" si="158"/>
        <v>2.7100000000000002E-3</v>
      </c>
      <c r="S2506">
        <f t="shared" si="159"/>
        <v>59</v>
      </c>
      <c r="T2506">
        <f>INDEX([1]IDEN_level_ids!$B:$B,MATCH(G2506,[1]IDEN_level_ids!$A:$A,0),1)</f>
        <v>1193</v>
      </c>
      <c r="U2506">
        <f>INDEX([1]IDEN_level_ids!$B:$B,MATCH(H2506,[1]IDEN_level_ids!$A:$A,0),1)</f>
        <v>1065</v>
      </c>
    </row>
    <row r="2507" spans="1:21" hidden="1" x14ac:dyDescent="0.25">
      <c r="A2507">
        <v>41235.951099999998</v>
      </c>
      <c r="B2507">
        <v>2425.0684000000001</v>
      </c>
      <c r="C2507">
        <v>15</v>
      </c>
      <c r="D2507" t="s">
        <v>654</v>
      </c>
      <c r="F2507">
        <v>1974</v>
      </c>
      <c r="G2507" s="1" t="s">
        <v>117</v>
      </c>
      <c r="H2507" s="1" t="s">
        <v>540</v>
      </c>
      <c r="I2507">
        <v>0.34399999999999997</v>
      </c>
      <c r="J2507">
        <v>41236.007899999997</v>
      </c>
      <c r="K2507">
        <v>3.3400000000000001E-3</v>
      </c>
      <c r="L2507">
        <v>2.7100000000000002E-3</v>
      </c>
      <c r="M2507">
        <v>4.6100000000000002E-2</v>
      </c>
      <c r="N2507">
        <v>8.6199999999999999E-2</v>
      </c>
      <c r="O2507">
        <v>2.96E-3</v>
      </c>
      <c r="P2507" s="3">
        <f t="shared" si="156"/>
        <v>2425.0683525521981</v>
      </c>
      <c r="Q2507" s="3">
        <f t="shared" si="157"/>
        <v>3.340378698794666E-3</v>
      </c>
      <c r="R2507" s="3">
        <f t="shared" si="158"/>
        <v>2.7100000000000002E-3</v>
      </c>
      <c r="S2507">
        <f t="shared" si="159"/>
        <v>60</v>
      </c>
      <c r="T2507">
        <f>INDEX([1]IDEN_level_ids!$B:$B,MATCH(G2507,[1]IDEN_level_ids!$A:$A,0),1)</f>
        <v>1162</v>
      </c>
      <c r="U2507">
        <f>INDEX([1]IDEN_level_ids!$B:$B,MATCH(H2507,[1]IDEN_level_ids!$A:$A,0),1)</f>
        <v>1027</v>
      </c>
    </row>
    <row r="2508" spans="1:21" hidden="1" x14ac:dyDescent="0.25">
      <c r="A2508">
        <v>41232.249199999998</v>
      </c>
      <c r="B2508">
        <v>2425.2860999999998</v>
      </c>
      <c r="C2508">
        <v>15</v>
      </c>
      <c r="D2508" t="s">
        <v>654</v>
      </c>
      <c r="F2508">
        <v>1974</v>
      </c>
      <c r="G2508" s="1" t="s">
        <v>238</v>
      </c>
      <c r="H2508" s="1" t="s">
        <v>587</v>
      </c>
      <c r="I2508">
        <v>0.13569999999999999</v>
      </c>
      <c r="J2508">
        <v>41232.256399999998</v>
      </c>
      <c r="K2508">
        <v>4.2000000000000002E-4</v>
      </c>
      <c r="L2508">
        <v>2.7100000000000002E-3</v>
      </c>
      <c r="M2508">
        <v>4.6100000000000002E-2</v>
      </c>
      <c r="N2508">
        <v>9.2600000000000002E-2</v>
      </c>
      <c r="O2508">
        <v>2.99E-3</v>
      </c>
      <c r="P2508" s="3">
        <f t="shared" si="156"/>
        <v>2425.2860792275187</v>
      </c>
      <c r="Q2508" s="3">
        <f t="shared" si="157"/>
        <v>4.235048304508382E-4</v>
      </c>
      <c r="R2508" s="3">
        <f t="shared" si="158"/>
        <v>2.7100000000000002E-3</v>
      </c>
      <c r="S2508">
        <f t="shared" si="159"/>
        <v>60</v>
      </c>
      <c r="T2508">
        <f>INDEX([1]IDEN_level_ids!$B:$B,MATCH(G2508,[1]IDEN_level_ids!$A:$A,0),1)</f>
        <v>1165</v>
      </c>
      <c r="U2508">
        <f>INDEX([1]IDEN_level_ids!$B:$B,MATCH(H2508,[1]IDEN_level_ids!$A:$A,0),1)</f>
        <v>1035</v>
      </c>
    </row>
    <row r="2509" spans="1:21" hidden="1" x14ac:dyDescent="0.25">
      <c r="A2509">
        <v>41230.6806</v>
      </c>
      <c r="B2509">
        <v>2425.3782999999999</v>
      </c>
      <c r="C2509">
        <v>15</v>
      </c>
      <c r="D2509" t="s">
        <v>654</v>
      </c>
      <c r="F2509">
        <v>1974</v>
      </c>
      <c r="G2509" s="1" t="s">
        <v>108</v>
      </c>
      <c r="H2509" s="1" t="s">
        <v>520</v>
      </c>
      <c r="I2509">
        <v>0.3095</v>
      </c>
      <c r="J2509">
        <v>41230.735000000001</v>
      </c>
      <c r="K2509">
        <v>3.2000000000000002E-3</v>
      </c>
      <c r="L2509">
        <v>2.7100000000000002E-3</v>
      </c>
      <c r="M2509">
        <v>4.6100000000000002E-2</v>
      </c>
      <c r="N2509">
        <v>0.15679999999999999</v>
      </c>
      <c r="O2509">
        <v>3.2100000000000002E-3</v>
      </c>
      <c r="P2509" s="3">
        <f t="shared" si="156"/>
        <v>2425.3783479868143</v>
      </c>
      <c r="Q2509" s="3">
        <f t="shared" si="157"/>
        <v>3.2000540891203855E-3</v>
      </c>
      <c r="R2509" s="3">
        <f t="shared" si="158"/>
        <v>2.7100000000000002E-3</v>
      </c>
      <c r="S2509">
        <f t="shared" si="159"/>
        <v>60</v>
      </c>
      <c r="T2509">
        <f>INDEX([1]IDEN_level_ids!$B:$B,MATCH(G2509,[1]IDEN_level_ids!$A:$A,0),1)</f>
        <v>1149</v>
      </c>
      <c r="U2509">
        <f>INDEX([1]IDEN_level_ids!$B:$B,MATCH(H2509,[1]IDEN_level_ids!$A:$A,0),1)</f>
        <v>1002</v>
      </c>
    </row>
    <row r="2510" spans="1:21" hidden="1" x14ac:dyDescent="0.25">
      <c r="A2510">
        <v>41227.960500000001</v>
      </c>
      <c r="B2510">
        <v>2425.5383999999999</v>
      </c>
      <c r="C2510">
        <v>15</v>
      </c>
      <c r="D2510" t="s">
        <v>654</v>
      </c>
      <c r="E2510" t="s">
        <v>427</v>
      </c>
      <c r="F2510">
        <v>1974</v>
      </c>
      <c r="G2510" s="1" t="s">
        <v>252</v>
      </c>
      <c r="H2510" s="1" t="s">
        <v>410</v>
      </c>
      <c r="I2510">
        <v>0.1043</v>
      </c>
      <c r="J2510">
        <v>41227.982600000003</v>
      </c>
      <c r="K2510">
        <v>1.2999999999999999E-3</v>
      </c>
      <c r="L2510">
        <v>2.8700000000000002E-3</v>
      </c>
      <c r="M2510">
        <v>4.87E-2</v>
      </c>
      <c r="N2510">
        <v>0.109</v>
      </c>
      <c r="O2510">
        <v>3.2200000000000002E-3</v>
      </c>
      <c r="P2510" s="3">
        <f t="shared" si="156"/>
        <v>2425.5383673417459</v>
      </c>
      <c r="Q2510" s="3">
        <f t="shared" si="157"/>
        <v>1.3001945412725036E-3</v>
      </c>
      <c r="R2510" s="3">
        <f t="shared" si="158"/>
        <v>2.8700000000000002E-3</v>
      </c>
      <c r="S2510">
        <f t="shared" si="159"/>
        <v>60</v>
      </c>
      <c r="T2510">
        <f>INDEX([1]IDEN_level_ids!$B:$B,MATCH(G2510,[1]IDEN_level_ids!$A:$A,0),1)</f>
        <v>1188</v>
      </c>
      <c r="U2510">
        <f>INDEX([1]IDEN_level_ids!$B:$B,MATCH(H2510,[1]IDEN_level_ids!$A:$A,0),1)</f>
        <v>1056</v>
      </c>
    </row>
    <row r="2511" spans="1:21" hidden="1" x14ac:dyDescent="0.25">
      <c r="A2511">
        <v>41224.089</v>
      </c>
      <c r="B2511">
        <v>2425.7662</v>
      </c>
      <c r="C2511">
        <v>15</v>
      </c>
      <c r="D2511" t="s">
        <v>654</v>
      </c>
      <c r="F2511">
        <v>1974</v>
      </c>
      <c r="G2511" s="1" t="s">
        <v>265</v>
      </c>
      <c r="H2511" s="1" t="s">
        <v>617</v>
      </c>
      <c r="I2511">
        <v>0</v>
      </c>
      <c r="J2511">
        <v>41224.114800000003</v>
      </c>
      <c r="K2511">
        <v>1.5200000000000001E-3</v>
      </c>
      <c r="L2511">
        <v>2.7100000000000002E-3</v>
      </c>
      <c r="M2511">
        <v>4.6100000000000002E-2</v>
      </c>
      <c r="N2511">
        <v>0.16520000000000001</v>
      </c>
      <c r="O2511">
        <v>3.2499999999999999E-3</v>
      </c>
      <c r="P2511" s="3">
        <f t="shared" si="156"/>
        <v>2425.7661582285054</v>
      </c>
      <c r="Q2511" s="3">
        <f t="shared" si="157"/>
        <v>1.5181591452346765E-3</v>
      </c>
      <c r="R2511" s="3">
        <f t="shared" si="158"/>
        <v>2.7100000000000002E-3</v>
      </c>
      <c r="S2511">
        <f t="shared" si="159"/>
        <v>60</v>
      </c>
      <c r="T2511">
        <f>INDEX([1]IDEN_level_ids!$B:$B,MATCH(G2511,[1]IDEN_level_ids!$A:$A,0),1)</f>
        <v>1161</v>
      </c>
      <c r="U2511">
        <f>INDEX([1]IDEN_level_ids!$B:$B,MATCH(H2511,[1]IDEN_level_ids!$A:$A,0),1)</f>
        <v>1018</v>
      </c>
    </row>
    <row r="2512" spans="1:21" hidden="1" x14ac:dyDescent="0.25">
      <c r="A2512">
        <v>41217.358999999997</v>
      </c>
      <c r="B2512">
        <v>2426.1622000000002</v>
      </c>
      <c r="C2512">
        <v>15</v>
      </c>
      <c r="D2512" t="s">
        <v>654</v>
      </c>
      <c r="F2512">
        <v>1974</v>
      </c>
      <c r="G2512" s="1" t="s">
        <v>86</v>
      </c>
      <c r="H2512" s="1" t="s">
        <v>428</v>
      </c>
      <c r="I2512">
        <v>0.39950000000000002</v>
      </c>
      <c r="J2512">
        <v>41217.382799999999</v>
      </c>
      <c r="K2512">
        <v>1.4E-3</v>
      </c>
      <c r="L2512">
        <v>2.7100000000000002E-3</v>
      </c>
      <c r="M2512">
        <v>4.6100000000000002E-2</v>
      </c>
      <c r="N2512">
        <v>0.1295</v>
      </c>
      <c r="O2512">
        <v>3.1199999999999999E-3</v>
      </c>
      <c r="P2512" s="3">
        <f t="shared" si="156"/>
        <v>2426.1622390701941</v>
      </c>
      <c r="Q2512" s="3">
        <f t="shared" si="157"/>
        <v>1.4009298356540967E-3</v>
      </c>
      <c r="R2512" s="3">
        <f t="shared" si="158"/>
        <v>2.7100000000000002E-3</v>
      </c>
      <c r="S2512">
        <f t="shared" si="159"/>
        <v>60</v>
      </c>
      <c r="T2512">
        <f>INDEX([1]IDEN_level_ids!$B:$B,MATCH(G2512,[1]IDEN_level_ids!$A:$A,0),1)</f>
        <v>1183</v>
      </c>
      <c r="U2512">
        <f>INDEX([1]IDEN_level_ids!$B:$B,MATCH(H2512,[1]IDEN_level_ids!$A:$A,0),1)</f>
        <v>1060</v>
      </c>
    </row>
    <row r="2513" spans="1:21" hidden="1" x14ac:dyDescent="0.25">
      <c r="A2513">
        <v>41210.919199999997</v>
      </c>
      <c r="B2513">
        <v>2426.5414000000001</v>
      </c>
      <c r="C2513">
        <v>15</v>
      </c>
      <c r="D2513" t="s">
        <v>654</v>
      </c>
      <c r="F2513">
        <v>1974</v>
      </c>
      <c r="G2513" s="1" t="s">
        <v>269</v>
      </c>
      <c r="H2513" s="1" t="s">
        <v>577</v>
      </c>
      <c r="I2513">
        <v>3.2599999999999997E-2</v>
      </c>
      <c r="J2513">
        <v>41210.967400000001</v>
      </c>
      <c r="K2513">
        <v>2.8400000000000001E-3</v>
      </c>
      <c r="L2513">
        <v>2.7100000000000002E-3</v>
      </c>
      <c r="M2513">
        <v>4.6100000000000002E-2</v>
      </c>
      <c r="N2513">
        <v>0.2097</v>
      </c>
      <c r="O2513">
        <v>3.4299999999999999E-3</v>
      </c>
      <c r="P2513" s="3">
        <f t="shared" si="156"/>
        <v>2426.5413618825569</v>
      </c>
      <c r="Q2513" s="3">
        <f t="shared" si="157"/>
        <v>2.8380623180055409E-3</v>
      </c>
      <c r="R2513" s="3">
        <f t="shared" si="158"/>
        <v>2.7100000000000002E-3</v>
      </c>
      <c r="S2513">
        <f t="shared" si="159"/>
        <v>60</v>
      </c>
      <c r="T2513">
        <f>INDEX([1]IDEN_level_ids!$B:$B,MATCH(G2513,[1]IDEN_level_ids!$A:$A,0),1)</f>
        <v>1137</v>
      </c>
      <c r="U2513">
        <f>INDEX([1]IDEN_level_ids!$B:$B,MATCH(H2513,[1]IDEN_level_ids!$A:$A,0),1)</f>
        <v>985</v>
      </c>
    </row>
    <row r="2514" spans="1:21" hidden="1" x14ac:dyDescent="0.25">
      <c r="A2514">
        <v>41205.241000000002</v>
      </c>
      <c r="B2514">
        <v>2426.8757000000001</v>
      </c>
      <c r="C2514">
        <v>15</v>
      </c>
      <c r="D2514" t="s">
        <v>654</v>
      </c>
      <c r="F2514">
        <v>1974</v>
      </c>
      <c r="G2514" s="1" t="s">
        <v>166</v>
      </c>
      <c r="H2514" s="1" t="s">
        <v>377</v>
      </c>
      <c r="I2514">
        <v>0.33889999999999998</v>
      </c>
      <c r="J2514">
        <v>41205.263800000001</v>
      </c>
      <c r="K2514">
        <v>1.34E-3</v>
      </c>
      <c r="L2514">
        <v>2.7100000000000002E-3</v>
      </c>
      <c r="M2514">
        <v>4.6100000000000002E-2</v>
      </c>
      <c r="N2514">
        <v>7.85E-2</v>
      </c>
      <c r="O2514">
        <v>2.9399999999999999E-3</v>
      </c>
      <c r="P2514" s="3">
        <f t="shared" si="156"/>
        <v>2426.8757462187878</v>
      </c>
      <c r="Q2514" s="3">
        <f t="shared" si="157"/>
        <v>1.3428567590381135E-3</v>
      </c>
      <c r="R2514" s="3">
        <f t="shared" si="158"/>
        <v>2.7100000000000002E-3</v>
      </c>
      <c r="S2514">
        <f t="shared" si="159"/>
        <v>60</v>
      </c>
      <c r="T2514">
        <f>INDEX([1]IDEN_level_ids!$B:$B,MATCH(G2514,[1]IDEN_level_ids!$A:$A,0),1)</f>
        <v>1186</v>
      </c>
      <c r="U2514">
        <f>INDEX([1]IDEN_level_ids!$B:$B,MATCH(H2514,[1]IDEN_level_ids!$A:$A,0),1)</f>
        <v>1057</v>
      </c>
    </row>
    <row r="2515" spans="1:21" hidden="1" x14ac:dyDescent="0.25">
      <c r="A2515">
        <v>41202.081400000003</v>
      </c>
      <c r="B2515">
        <v>2427.0619000000002</v>
      </c>
      <c r="C2515">
        <v>15</v>
      </c>
      <c r="D2515" t="s">
        <v>654</v>
      </c>
      <c r="F2515">
        <v>1974</v>
      </c>
      <c r="G2515" s="1" t="s">
        <v>451</v>
      </c>
      <c r="H2515" s="1" t="s">
        <v>630</v>
      </c>
      <c r="I2515">
        <v>-0.38469999999999999</v>
      </c>
      <c r="J2515">
        <v>41202.159500000002</v>
      </c>
      <c r="K2515">
        <v>4.5999999999999999E-3</v>
      </c>
      <c r="L2515">
        <v>2.7100000000000002E-3</v>
      </c>
      <c r="M2515">
        <v>4.6100000000000002E-2</v>
      </c>
      <c r="N2515">
        <v>0.16220000000000001</v>
      </c>
      <c r="O2515">
        <v>3.2399999999999998E-3</v>
      </c>
      <c r="P2515" s="3">
        <f t="shared" si="156"/>
        <v>2427.0618522684631</v>
      </c>
      <c r="Q2515" s="3">
        <f t="shared" si="157"/>
        <v>4.6005727117517381E-3</v>
      </c>
      <c r="R2515" s="3">
        <f t="shared" si="158"/>
        <v>2.7100000000000002E-3</v>
      </c>
      <c r="S2515">
        <f t="shared" si="159"/>
        <v>60</v>
      </c>
      <c r="T2515">
        <f>INDEX([1]IDEN_level_ids!$B:$B,MATCH(G2515,[1]IDEN_level_ids!$A:$A,0),1)</f>
        <v>1066</v>
      </c>
      <c r="U2515">
        <f>INDEX([1]IDEN_level_ids!$B:$B,MATCH(H2515,[1]IDEN_level_ids!$A:$A,0),1)</f>
        <v>867</v>
      </c>
    </row>
    <row r="2516" spans="1:21" hidden="1" x14ac:dyDescent="0.25">
      <c r="A2516">
        <v>41163.811000000002</v>
      </c>
      <c r="B2516">
        <v>2429.3182999999999</v>
      </c>
      <c r="C2516">
        <v>15</v>
      </c>
      <c r="D2516" t="s">
        <v>654</v>
      </c>
      <c r="F2516">
        <v>1974</v>
      </c>
      <c r="G2516" s="1" t="s">
        <v>268</v>
      </c>
      <c r="H2516" s="1" t="s">
        <v>467</v>
      </c>
      <c r="I2516">
        <v>0</v>
      </c>
      <c r="J2516">
        <v>41163.883199999997</v>
      </c>
      <c r="K2516">
        <v>4.2599999999999999E-3</v>
      </c>
      <c r="L2516">
        <v>2.7200000000000002E-3</v>
      </c>
      <c r="M2516">
        <v>4.6100000000000002E-2</v>
      </c>
      <c r="N2516">
        <v>0.1</v>
      </c>
      <c r="O2516">
        <v>3.0200000000000001E-3</v>
      </c>
      <c r="P2516" s="3">
        <f t="shared" si="156"/>
        <v>2429.318315546634</v>
      </c>
      <c r="Q2516" s="3">
        <f t="shared" si="157"/>
        <v>4.260938685547444E-3</v>
      </c>
      <c r="R2516" s="3">
        <f t="shared" si="158"/>
        <v>2.7200000000000002E-3</v>
      </c>
      <c r="S2516">
        <f t="shared" si="159"/>
        <v>60</v>
      </c>
      <c r="T2516">
        <f>INDEX([1]IDEN_level_ids!$B:$B,MATCH(G2516,[1]IDEN_level_ids!$A:$A,0),1)</f>
        <v>1160</v>
      </c>
      <c r="U2516">
        <f>INDEX([1]IDEN_level_ids!$B:$B,MATCH(H2516,[1]IDEN_level_ids!$A:$A,0),1)</f>
        <v>1025</v>
      </c>
    </row>
    <row r="2517" spans="1:21" hidden="1" x14ac:dyDescent="0.25">
      <c r="A2517">
        <v>41147.191099999996</v>
      </c>
      <c r="B2517">
        <v>2430.2995000000001</v>
      </c>
      <c r="C2517">
        <v>15</v>
      </c>
      <c r="D2517" t="s">
        <v>654</v>
      </c>
      <c r="F2517">
        <v>1974</v>
      </c>
      <c r="G2517" s="1" t="s">
        <v>83</v>
      </c>
      <c r="H2517" s="1" t="s">
        <v>569</v>
      </c>
      <c r="I2517">
        <v>0</v>
      </c>
      <c r="J2517">
        <v>41147.218200000003</v>
      </c>
      <c r="K2517">
        <v>1.6000000000000001E-3</v>
      </c>
      <c r="L2517">
        <v>2.7200000000000002E-3</v>
      </c>
      <c r="M2517">
        <v>4.6100000000000002E-2</v>
      </c>
      <c r="N2517">
        <v>0.1265</v>
      </c>
      <c r="O2517">
        <v>3.1099999999999999E-3</v>
      </c>
      <c r="P2517" s="3">
        <f t="shared" si="156"/>
        <v>2430.2995496574736</v>
      </c>
      <c r="Q2517" s="3">
        <f t="shared" si="157"/>
        <v>1.6006213954824489E-3</v>
      </c>
      <c r="R2517" s="3">
        <f t="shared" si="158"/>
        <v>2.7200000000000002E-3</v>
      </c>
      <c r="S2517">
        <f t="shared" si="159"/>
        <v>60</v>
      </c>
      <c r="T2517">
        <f>INDEX([1]IDEN_level_ids!$B:$B,MATCH(G2517,[1]IDEN_level_ids!$A:$A,0),1)</f>
        <v>1175</v>
      </c>
      <c r="U2517">
        <f>INDEX([1]IDEN_level_ids!$B:$B,MATCH(H2517,[1]IDEN_level_ids!$A:$A,0),1)</f>
        <v>1049</v>
      </c>
    </row>
    <row r="2518" spans="1:21" hidden="1" x14ac:dyDescent="0.25">
      <c r="A2518">
        <v>41134.4107</v>
      </c>
      <c r="B2518">
        <v>2431.0545999999999</v>
      </c>
      <c r="C2518">
        <v>15</v>
      </c>
      <c r="D2518" t="s">
        <v>654</v>
      </c>
      <c r="E2518" t="s">
        <v>427</v>
      </c>
      <c r="F2518">
        <v>1974</v>
      </c>
      <c r="G2518" s="1" t="s">
        <v>83</v>
      </c>
      <c r="H2518" s="1" t="s">
        <v>438</v>
      </c>
      <c r="I2518">
        <v>0</v>
      </c>
      <c r="J2518">
        <v>41134.393799999998</v>
      </c>
      <c r="K2518">
        <v>-9.8999999999999999E-4</v>
      </c>
      <c r="L2518">
        <v>2.8800000000000002E-3</v>
      </c>
      <c r="M2518">
        <v>4.87E-2</v>
      </c>
      <c r="N2518">
        <v>8.8499999999999995E-2</v>
      </c>
      <c r="O2518">
        <v>3.16E-3</v>
      </c>
      <c r="P2518" s="3">
        <f t="shared" si="156"/>
        <v>2431.0546400996573</v>
      </c>
      <c r="Q2518" s="3">
        <f t="shared" si="157"/>
        <v>-9.9879491654064623E-4</v>
      </c>
      <c r="R2518" s="3">
        <f t="shared" si="158"/>
        <v>2.8800000000000002E-3</v>
      </c>
      <c r="S2518">
        <f t="shared" si="159"/>
        <v>60</v>
      </c>
      <c r="T2518">
        <f>INDEX([1]IDEN_level_ids!$B:$B,MATCH(G2518,[1]IDEN_level_ids!$A:$A,0),1)</f>
        <v>1175</v>
      </c>
      <c r="U2518">
        <f>INDEX([1]IDEN_level_ids!$B:$B,MATCH(H2518,[1]IDEN_level_ids!$A:$A,0),1)</f>
        <v>1051</v>
      </c>
    </row>
    <row r="2519" spans="1:21" hidden="1" x14ac:dyDescent="0.25">
      <c r="A2519">
        <v>41118.459799999997</v>
      </c>
      <c r="B2519">
        <v>2431.9976999999999</v>
      </c>
      <c r="C2519">
        <v>15</v>
      </c>
      <c r="D2519" t="s">
        <v>654</v>
      </c>
      <c r="F2519">
        <v>1974</v>
      </c>
      <c r="G2519" s="1" t="s">
        <v>288</v>
      </c>
      <c r="H2519" s="1" t="s">
        <v>528</v>
      </c>
      <c r="I2519">
        <v>0</v>
      </c>
      <c r="J2519">
        <v>41118.4205</v>
      </c>
      <c r="K2519">
        <v>-2.32E-3</v>
      </c>
      <c r="L2519">
        <v>2.7200000000000002E-3</v>
      </c>
      <c r="M2519">
        <v>4.6100000000000002E-2</v>
      </c>
      <c r="N2519">
        <v>0.2021</v>
      </c>
      <c r="O2519">
        <v>3.4099999999999998E-3</v>
      </c>
      <c r="P2519" s="3">
        <f t="shared" si="156"/>
        <v>2431.9977082410078</v>
      </c>
      <c r="Q2519" s="3">
        <f t="shared" si="157"/>
        <v>-2.324445072645176E-3</v>
      </c>
      <c r="R2519" s="3">
        <f t="shared" si="158"/>
        <v>2.7200000000000002E-3</v>
      </c>
      <c r="S2519">
        <f t="shared" si="159"/>
        <v>60</v>
      </c>
      <c r="T2519">
        <f>INDEX([1]IDEN_level_ids!$B:$B,MATCH(G2519,[1]IDEN_level_ids!$A:$A,0),1)</f>
        <v>1151</v>
      </c>
      <c r="U2519">
        <f>INDEX([1]IDEN_level_ids!$B:$B,MATCH(H2519,[1]IDEN_level_ids!$A:$A,0),1)</f>
        <v>1009</v>
      </c>
    </row>
    <row r="2520" spans="1:21" hidden="1" x14ac:dyDescent="0.25">
      <c r="A2520">
        <v>41110.800000000003</v>
      </c>
      <c r="B2520">
        <v>2432.4508000000001</v>
      </c>
      <c r="C2520">
        <v>15</v>
      </c>
      <c r="D2520" t="s">
        <v>654</v>
      </c>
      <c r="F2520">
        <v>1974</v>
      </c>
      <c r="G2520" s="1" t="s">
        <v>49</v>
      </c>
      <c r="H2520" s="1" t="s">
        <v>384</v>
      </c>
      <c r="I2520">
        <v>0.45490000000000003</v>
      </c>
      <c r="J2520">
        <v>41110.820800000001</v>
      </c>
      <c r="K2520">
        <v>1.23E-3</v>
      </c>
      <c r="L2520">
        <v>2.7299999999999998E-3</v>
      </c>
      <c r="M2520">
        <v>4.6100000000000002E-2</v>
      </c>
      <c r="N2520">
        <v>0.1232</v>
      </c>
      <c r="O2520">
        <v>3.1099999999999999E-3</v>
      </c>
      <c r="P2520" s="3">
        <f t="shared" si="156"/>
        <v>2432.4508401685202</v>
      </c>
      <c r="Q2520" s="3">
        <f t="shared" si="157"/>
        <v>1.2306973321756232E-3</v>
      </c>
      <c r="R2520" s="3">
        <f t="shared" si="158"/>
        <v>2.7299999999999998E-3</v>
      </c>
      <c r="S2520">
        <f t="shared" si="159"/>
        <v>60</v>
      </c>
      <c r="T2520">
        <f>INDEX([1]IDEN_level_ids!$B:$B,MATCH(G2520,[1]IDEN_level_ids!$A:$A,0),1)</f>
        <v>1214</v>
      </c>
      <c r="U2520">
        <f>INDEX([1]IDEN_level_ids!$B:$B,MATCH(H2520,[1]IDEN_level_ids!$A:$A,0),1)</f>
        <v>1080</v>
      </c>
    </row>
    <row r="2521" spans="1:21" hidden="1" x14ac:dyDescent="0.25">
      <c r="A2521">
        <v>41103.480300000003</v>
      </c>
      <c r="B2521">
        <v>2432.884</v>
      </c>
      <c r="C2521">
        <v>15</v>
      </c>
      <c r="D2521" t="s">
        <v>654</v>
      </c>
      <c r="F2521">
        <v>1974</v>
      </c>
      <c r="G2521" s="1" t="s">
        <v>398</v>
      </c>
      <c r="H2521" s="1" t="s">
        <v>311</v>
      </c>
      <c r="I2521">
        <v>-0.31929999999999997</v>
      </c>
      <c r="J2521">
        <v>41103.507799999999</v>
      </c>
      <c r="K2521">
        <v>1.6299999999999999E-3</v>
      </c>
      <c r="L2521">
        <v>2.7299999999999998E-3</v>
      </c>
      <c r="M2521">
        <v>4.6100000000000002E-2</v>
      </c>
      <c r="N2521">
        <v>0.17380000000000001</v>
      </c>
      <c r="O2521">
        <v>3.3E-3</v>
      </c>
      <c r="P2521" s="3">
        <f t="shared" si="156"/>
        <v>2432.8840105542108</v>
      </c>
      <c r="Q2521" s="3">
        <f t="shared" si="157"/>
        <v>1.6277031782010454E-3</v>
      </c>
      <c r="R2521" s="3">
        <f t="shared" si="158"/>
        <v>2.7299999999999998E-3</v>
      </c>
      <c r="S2521">
        <f t="shared" si="159"/>
        <v>60</v>
      </c>
      <c r="T2521">
        <f>INDEX([1]IDEN_level_ids!$B:$B,MATCH(G2521,[1]IDEN_level_ids!$A:$A,0),1)</f>
        <v>1075</v>
      </c>
      <c r="U2521">
        <f>INDEX([1]IDEN_level_ids!$B:$B,MATCH(H2521,[1]IDEN_level_ids!$A:$A,0),1)</f>
        <v>876</v>
      </c>
    </row>
    <row r="2522" spans="1:21" hidden="1" x14ac:dyDescent="0.25">
      <c r="A2522">
        <v>41094.4908</v>
      </c>
      <c r="B2522">
        <v>2433.4162000000001</v>
      </c>
      <c r="C2522">
        <v>15</v>
      </c>
      <c r="D2522" t="s">
        <v>654</v>
      </c>
      <c r="F2522">
        <v>1974</v>
      </c>
      <c r="G2522" s="1" t="s">
        <v>172</v>
      </c>
      <c r="H2522" s="1" t="s">
        <v>513</v>
      </c>
      <c r="I2522">
        <v>0.26</v>
      </c>
      <c r="J2522">
        <v>41094.547100000003</v>
      </c>
      <c r="K2522">
        <v>3.3300000000000001E-3</v>
      </c>
      <c r="L2522">
        <v>2.7299999999999998E-3</v>
      </c>
      <c r="M2522">
        <v>4.6100000000000002E-2</v>
      </c>
      <c r="N2522">
        <v>0.20449999999999999</v>
      </c>
      <c r="O2522">
        <v>3.4299999999999999E-3</v>
      </c>
      <c r="P2522" s="3">
        <f t="shared" si="156"/>
        <v>2433.4162086758356</v>
      </c>
      <c r="Q2522" s="3">
        <f t="shared" si="157"/>
        <v>3.3338080652356439E-3</v>
      </c>
      <c r="R2522" s="3">
        <f t="shared" si="158"/>
        <v>2.7299999999999998E-3</v>
      </c>
      <c r="S2522">
        <f t="shared" si="159"/>
        <v>60</v>
      </c>
      <c r="T2522">
        <f>INDEX([1]IDEN_level_ids!$B:$B,MATCH(G2522,[1]IDEN_level_ids!$A:$A,0),1)</f>
        <v>1136</v>
      </c>
      <c r="U2522">
        <f>INDEX([1]IDEN_level_ids!$B:$B,MATCH(H2522,[1]IDEN_level_ids!$A:$A,0),1)</f>
        <v>979</v>
      </c>
    </row>
    <row r="2523" spans="1:21" hidden="1" x14ac:dyDescent="0.25">
      <c r="A2523">
        <v>41086.659200000002</v>
      </c>
      <c r="B2523">
        <v>2433.88</v>
      </c>
      <c r="C2523">
        <v>15</v>
      </c>
      <c r="D2523" t="s">
        <v>654</v>
      </c>
      <c r="F2523">
        <v>1974</v>
      </c>
      <c r="G2523" s="1" t="s">
        <v>108</v>
      </c>
      <c r="H2523" s="1" t="s">
        <v>578</v>
      </c>
      <c r="I2523">
        <v>0.25619999999999998</v>
      </c>
      <c r="J2523">
        <v>41086.672500000001</v>
      </c>
      <c r="K2523">
        <v>7.9000000000000001E-4</v>
      </c>
      <c r="L2523">
        <v>2.7299999999999998E-3</v>
      </c>
      <c r="M2523">
        <v>4.6100000000000002E-2</v>
      </c>
      <c r="N2523">
        <v>0.1191</v>
      </c>
      <c r="O2523">
        <v>3.0999999999999999E-3</v>
      </c>
      <c r="P2523" s="3">
        <f t="shared" si="156"/>
        <v>2433.8800463971525</v>
      </c>
      <c r="Q2523" s="3">
        <f t="shared" si="157"/>
        <v>7.8786143149045529E-4</v>
      </c>
      <c r="R2523" s="3">
        <f t="shared" si="158"/>
        <v>2.7299999999999998E-3</v>
      </c>
      <c r="S2523">
        <f t="shared" si="159"/>
        <v>60</v>
      </c>
      <c r="T2523">
        <f>INDEX([1]IDEN_level_ids!$B:$B,MATCH(G2523,[1]IDEN_level_ids!$A:$A,0),1)</f>
        <v>1149</v>
      </c>
      <c r="U2523">
        <f>INDEX([1]IDEN_level_ids!$B:$B,MATCH(H2523,[1]IDEN_level_ids!$A:$A,0),1)</f>
        <v>1003</v>
      </c>
    </row>
    <row r="2524" spans="1:21" hidden="1" x14ac:dyDescent="0.25">
      <c r="A2524">
        <v>41078.6011</v>
      </c>
      <c r="B2524">
        <v>2434.3575000000001</v>
      </c>
      <c r="C2524">
        <v>15</v>
      </c>
      <c r="D2524" t="s">
        <v>654</v>
      </c>
      <c r="F2524">
        <v>1974</v>
      </c>
      <c r="G2524" s="1" t="s">
        <v>446</v>
      </c>
      <c r="H2524" s="1" t="s">
        <v>648</v>
      </c>
      <c r="I2524">
        <v>-0.31669999999999998</v>
      </c>
      <c r="J2524">
        <v>41078.571799999998</v>
      </c>
      <c r="K2524">
        <v>-1.74E-3</v>
      </c>
      <c r="L2524">
        <v>2.7299999999999998E-3</v>
      </c>
      <c r="M2524">
        <v>4.6100000000000002E-2</v>
      </c>
      <c r="N2524">
        <v>0.1203</v>
      </c>
      <c r="O2524">
        <v>3.0999999999999999E-3</v>
      </c>
      <c r="P2524" s="3">
        <f t="shared" si="156"/>
        <v>2434.3574835122613</v>
      </c>
      <c r="Q2524" s="3">
        <f t="shared" si="157"/>
        <v>-1.7363474712510651E-3</v>
      </c>
      <c r="R2524" s="3">
        <f t="shared" si="158"/>
        <v>2.7299999999999998E-3</v>
      </c>
      <c r="S2524">
        <f t="shared" si="159"/>
        <v>60</v>
      </c>
      <c r="T2524">
        <f>INDEX([1]IDEN_level_ids!$B:$B,MATCH(G2524,[1]IDEN_level_ids!$A:$A,0),1)</f>
        <v>1079</v>
      </c>
      <c r="U2524">
        <f>INDEX([1]IDEN_level_ids!$B:$B,MATCH(H2524,[1]IDEN_level_ids!$A:$A,0),1)</f>
        <v>883</v>
      </c>
    </row>
    <row r="2525" spans="1:21" hidden="1" x14ac:dyDescent="0.25">
      <c r="A2525">
        <v>41069.170400000003</v>
      </c>
      <c r="B2525">
        <v>2434.9164999999998</v>
      </c>
      <c r="C2525">
        <v>15</v>
      </c>
      <c r="D2525" t="s">
        <v>654</v>
      </c>
      <c r="E2525" t="s">
        <v>427</v>
      </c>
      <c r="F2525">
        <v>1974</v>
      </c>
      <c r="G2525" s="1" t="s">
        <v>76</v>
      </c>
      <c r="H2525" s="1" t="s">
        <v>451</v>
      </c>
      <c r="I2525">
        <v>0.38469999999999999</v>
      </c>
      <c r="J2525">
        <v>41069.183299999997</v>
      </c>
      <c r="K2525">
        <v>7.6000000000000004E-4</v>
      </c>
      <c r="L2525">
        <v>2.8900000000000002E-3</v>
      </c>
      <c r="M2525">
        <v>4.87E-2</v>
      </c>
      <c r="N2525">
        <v>9.6299999999999997E-2</v>
      </c>
      <c r="O2525">
        <v>3.2000000000000002E-3</v>
      </c>
      <c r="P2525" s="3">
        <f t="shared" si="156"/>
        <v>2434.9164842151276</v>
      </c>
      <c r="Q2525" s="3">
        <f t="shared" si="157"/>
        <v>7.6481731821331778E-4</v>
      </c>
      <c r="R2525" s="3">
        <f t="shared" si="158"/>
        <v>2.8900000000000002E-3</v>
      </c>
      <c r="S2525">
        <f t="shared" si="159"/>
        <v>60</v>
      </c>
      <c r="T2525">
        <f>INDEX([1]IDEN_level_ids!$B:$B,MATCH(G2525,[1]IDEN_level_ids!$A:$A,0),1)</f>
        <v>1194</v>
      </c>
      <c r="U2525">
        <f>INDEX([1]IDEN_level_ids!$B:$B,MATCH(H2525,[1]IDEN_level_ids!$A:$A,0),1)</f>
        <v>1066</v>
      </c>
    </row>
    <row r="2526" spans="1:21" hidden="1" x14ac:dyDescent="0.25">
      <c r="A2526">
        <v>41065.6489</v>
      </c>
      <c r="B2526">
        <v>2435.1253000000002</v>
      </c>
      <c r="C2526">
        <v>15</v>
      </c>
      <c r="D2526" t="s">
        <v>654</v>
      </c>
      <c r="F2526">
        <v>1974</v>
      </c>
      <c r="G2526" s="1" t="s">
        <v>82</v>
      </c>
      <c r="H2526" s="1" t="s">
        <v>448</v>
      </c>
      <c r="I2526">
        <v>0.29559999999999997</v>
      </c>
      <c r="J2526">
        <v>41065.614399999999</v>
      </c>
      <c r="K2526">
        <v>-2.0500000000000002E-3</v>
      </c>
      <c r="L2526">
        <v>2.7299999999999998E-3</v>
      </c>
      <c r="M2526">
        <v>4.6100000000000002E-2</v>
      </c>
      <c r="N2526">
        <v>9.5500000000000002E-2</v>
      </c>
      <c r="O2526">
        <v>3.0200000000000001E-3</v>
      </c>
      <c r="P2526" s="3">
        <f t="shared" si="156"/>
        <v>2435.125285454822</v>
      </c>
      <c r="Q2526" s="3">
        <f t="shared" si="157"/>
        <v>-2.045794847617799E-3</v>
      </c>
      <c r="R2526" s="3">
        <f t="shared" si="158"/>
        <v>2.7299999999999998E-3</v>
      </c>
      <c r="S2526">
        <f t="shared" si="159"/>
        <v>60</v>
      </c>
      <c r="T2526">
        <f>INDEX([1]IDEN_level_ids!$B:$B,MATCH(G2526,[1]IDEN_level_ids!$A:$A,0),1)</f>
        <v>1193</v>
      </c>
      <c r="U2526">
        <f>INDEX([1]IDEN_level_ids!$B:$B,MATCH(H2526,[1]IDEN_level_ids!$A:$A,0),1)</f>
        <v>1067</v>
      </c>
    </row>
    <row r="2527" spans="1:21" hidden="1" x14ac:dyDescent="0.25">
      <c r="A2527">
        <v>41059.640500000001</v>
      </c>
      <c r="B2527">
        <v>2435.4816000000001</v>
      </c>
      <c r="C2527">
        <v>15</v>
      </c>
      <c r="D2527" t="s">
        <v>654</v>
      </c>
      <c r="F2527">
        <v>1974</v>
      </c>
      <c r="G2527" s="1" t="s">
        <v>51</v>
      </c>
      <c r="H2527" s="1" t="s">
        <v>384</v>
      </c>
      <c r="I2527">
        <v>0.45490000000000003</v>
      </c>
      <c r="J2527">
        <v>41059.664599999996</v>
      </c>
      <c r="K2527">
        <v>1.4300000000000001E-3</v>
      </c>
      <c r="L2527">
        <v>2.7299999999999998E-3</v>
      </c>
      <c r="M2527">
        <v>4.6100000000000002E-2</v>
      </c>
      <c r="N2527">
        <v>0.13730000000000001</v>
      </c>
      <c r="O2527">
        <v>3.1700000000000001E-3</v>
      </c>
      <c r="P2527" s="3">
        <f t="shared" si="156"/>
        <v>2435.4816258072206</v>
      </c>
      <c r="Q2527" s="3">
        <f t="shared" si="157"/>
        <v>1.4295077112365107E-3</v>
      </c>
      <c r="R2527" s="3">
        <f t="shared" si="158"/>
        <v>2.7299999999999998E-3</v>
      </c>
      <c r="S2527">
        <f t="shared" si="159"/>
        <v>60</v>
      </c>
      <c r="T2527">
        <f>INDEX([1]IDEN_level_ids!$B:$B,MATCH(G2527,[1]IDEN_level_ids!$A:$A,0),1)</f>
        <v>1213</v>
      </c>
      <c r="U2527">
        <f>INDEX([1]IDEN_level_ids!$B:$B,MATCH(H2527,[1]IDEN_level_ids!$A:$A,0),1)</f>
        <v>1080</v>
      </c>
    </row>
    <row r="2528" spans="1:21" hidden="1" x14ac:dyDescent="0.25">
      <c r="A2528">
        <v>41048.530599999998</v>
      </c>
      <c r="B2528">
        <v>2436.1408000000001</v>
      </c>
      <c r="C2528">
        <v>15</v>
      </c>
      <c r="D2528" t="s">
        <v>654</v>
      </c>
      <c r="F2528">
        <v>1974</v>
      </c>
      <c r="G2528" s="1" t="s">
        <v>82</v>
      </c>
      <c r="H2528" s="1" t="s">
        <v>419</v>
      </c>
      <c r="I2528">
        <v>0.2853</v>
      </c>
      <c r="J2528">
        <v>41048.5573</v>
      </c>
      <c r="K2528">
        <v>1.5900000000000001E-3</v>
      </c>
      <c r="L2528">
        <v>2.7299999999999998E-3</v>
      </c>
      <c r="M2528">
        <v>4.6100000000000002E-2</v>
      </c>
      <c r="N2528">
        <v>0.1148</v>
      </c>
      <c r="O2528">
        <v>3.0899999999999999E-3</v>
      </c>
      <c r="P2528" s="3">
        <f t="shared" si="156"/>
        <v>2436.1407957438555</v>
      </c>
      <c r="Q2528" s="3">
        <f t="shared" si="157"/>
        <v>1.584585756972956E-3</v>
      </c>
      <c r="R2528" s="3">
        <f t="shared" si="158"/>
        <v>2.7299999999999998E-3</v>
      </c>
      <c r="S2528">
        <f t="shared" si="159"/>
        <v>60</v>
      </c>
      <c r="T2528">
        <f>INDEX([1]IDEN_level_ids!$B:$B,MATCH(G2528,[1]IDEN_level_ids!$A:$A,0),1)</f>
        <v>1193</v>
      </c>
      <c r="U2528">
        <f>INDEX([1]IDEN_level_ids!$B:$B,MATCH(H2528,[1]IDEN_level_ids!$A:$A,0),1)</f>
        <v>1068</v>
      </c>
    </row>
    <row r="2529" spans="1:21" hidden="1" x14ac:dyDescent="0.25">
      <c r="A2529">
        <v>41040.020799999998</v>
      </c>
      <c r="B2529">
        <v>2436.6459</v>
      </c>
      <c r="C2529">
        <v>15</v>
      </c>
      <c r="D2529" t="s">
        <v>654</v>
      </c>
      <c r="F2529">
        <v>1974</v>
      </c>
      <c r="G2529" s="1" t="s">
        <v>265</v>
      </c>
      <c r="H2529" s="1" t="s">
        <v>475</v>
      </c>
      <c r="I2529">
        <v>0.18990000000000001</v>
      </c>
      <c r="J2529">
        <v>41039.986299999997</v>
      </c>
      <c r="K2529">
        <v>-2.0500000000000002E-3</v>
      </c>
      <c r="L2529">
        <v>2.7399999999999998E-3</v>
      </c>
      <c r="M2529">
        <v>4.6100000000000002E-2</v>
      </c>
      <c r="N2529">
        <v>0.11070000000000001</v>
      </c>
      <c r="O2529">
        <v>3.0799999999999998E-3</v>
      </c>
      <c r="P2529" s="3">
        <f t="shared" si="156"/>
        <v>2436.6459385420194</v>
      </c>
      <c r="Q2529" s="3">
        <f t="shared" si="157"/>
        <v>-2.0483507055359951E-3</v>
      </c>
      <c r="R2529" s="3">
        <f t="shared" si="158"/>
        <v>2.7399999999999998E-3</v>
      </c>
      <c r="S2529">
        <f t="shared" si="159"/>
        <v>60</v>
      </c>
      <c r="T2529">
        <f>INDEX([1]IDEN_level_ids!$B:$B,MATCH(G2529,[1]IDEN_level_ids!$A:$A,0),1)</f>
        <v>1161</v>
      </c>
      <c r="U2529">
        <f>INDEX([1]IDEN_level_ids!$B:$B,MATCH(H2529,[1]IDEN_level_ids!$A:$A,0),1)</f>
        <v>1030</v>
      </c>
    </row>
    <row r="2530" spans="1:21" hidden="1" x14ac:dyDescent="0.25">
      <c r="A2530">
        <v>41023.489000000001</v>
      </c>
      <c r="B2530">
        <v>2437.6279</v>
      </c>
      <c r="C2530">
        <v>15</v>
      </c>
      <c r="D2530" t="s">
        <v>654</v>
      </c>
      <c r="F2530">
        <v>1974</v>
      </c>
      <c r="G2530" s="1" t="s">
        <v>40</v>
      </c>
      <c r="H2530" s="1" t="s">
        <v>407</v>
      </c>
      <c r="I2530">
        <v>0.27489999999999998</v>
      </c>
      <c r="J2530">
        <v>41023.51</v>
      </c>
      <c r="K2530">
        <v>1.25E-3</v>
      </c>
      <c r="L2530">
        <v>2.7399999999999998E-3</v>
      </c>
      <c r="M2530">
        <v>4.6100000000000002E-2</v>
      </c>
      <c r="N2530">
        <v>7.9799999999999996E-2</v>
      </c>
      <c r="O2530">
        <v>2.97E-3</v>
      </c>
      <c r="P2530" s="3">
        <f t="shared" si="156"/>
        <v>2437.6278672932963</v>
      </c>
      <c r="Q2530" s="3">
        <f t="shared" si="157"/>
        <v>1.2478255812311545E-3</v>
      </c>
      <c r="R2530" s="3">
        <f t="shared" si="158"/>
        <v>2.7399999999999998E-3</v>
      </c>
      <c r="S2530">
        <f t="shared" si="159"/>
        <v>60</v>
      </c>
      <c r="T2530">
        <f>INDEX([1]IDEN_level_ids!$B:$B,MATCH(G2530,[1]IDEN_level_ids!$A:$A,0),1)</f>
        <v>1199</v>
      </c>
      <c r="U2530">
        <f>INDEX([1]IDEN_level_ids!$B:$B,MATCH(H2530,[1]IDEN_level_ids!$A:$A,0),1)</f>
        <v>1073</v>
      </c>
    </row>
    <row r="2531" spans="1:21" hidden="1" x14ac:dyDescent="0.25">
      <c r="A2531">
        <v>41020.540200000003</v>
      </c>
      <c r="B2531">
        <v>2437.8031000000001</v>
      </c>
      <c r="C2531">
        <v>15</v>
      </c>
      <c r="D2531" t="s">
        <v>654</v>
      </c>
      <c r="F2531">
        <v>1974</v>
      </c>
      <c r="G2531" s="1" t="s">
        <v>197</v>
      </c>
      <c r="H2531" s="1" t="s">
        <v>428</v>
      </c>
      <c r="I2531">
        <v>0.39950000000000002</v>
      </c>
      <c r="J2531">
        <v>41020.552000000003</v>
      </c>
      <c r="K2531">
        <v>7.1000000000000002E-4</v>
      </c>
      <c r="L2531">
        <v>2.7399999999999998E-3</v>
      </c>
      <c r="M2531">
        <v>4.6100000000000002E-2</v>
      </c>
      <c r="N2531">
        <v>0.1071</v>
      </c>
      <c r="O2531">
        <v>3.0699999999999998E-3</v>
      </c>
      <c r="P2531" s="3">
        <f t="shared" si="156"/>
        <v>2437.8030984584643</v>
      </c>
      <c r="Q2531" s="3">
        <f t="shared" si="157"/>
        <v>7.0126010405147099E-4</v>
      </c>
      <c r="R2531" s="3">
        <f t="shared" si="158"/>
        <v>2.7399999999999998E-3</v>
      </c>
      <c r="S2531">
        <f t="shared" si="159"/>
        <v>60</v>
      </c>
      <c r="T2531">
        <f>INDEX([1]IDEN_level_ids!$B:$B,MATCH(G2531,[1]IDEN_level_ids!$A:$A,0),1)</f>
        <v>1182</v>
      </c>
      <c r="U2531">
        <f>INDEX([1]IDEN_level_ids!$B:$B,MATCH(H2531,[1]IDEN_level_ids!$A:$A,0),1)</f>
        <v>1060</v>
      </c>
    </row>
    <row r="2532" spans="1:21" hidden="1" x14ac:dyDescent="0.25">
      <c r="A2532">
        <v>41012.510999999999</v>
      </c>
      <c r="B2532">
        <v>2438.2804000000001</v>
      </c>
      <c r="C2532">
        <v>15</v>
      </c>
      <c r="D2532" t="s">
        <v>654</v>
      </c>
      <c r="F2532">
        <v>1974</v>
      </c>
      <c r="G2532" s="1" t="s">
        <v>197</v>
      </c>
      <c r="H2532" s="1" t="s">
        <v>377</v>
      </c>
      <c r="I2532">
        <v>0.33889999999999998</v>
      </c>
      <c r="J2532">
        <v>41012.562899999997</v>
      </c>
      <c r="K2532">
        <v>3.0799999999999998E-3</v>
      </c>
      <c r="L2532">
        <v>2.7399999999999998E-3</v>
      </c>
      <c r="M2532">
        <v>4.6100000000000002E-2</v>
      </c>
      <c r="N2532">
        <v>8.1900000000000001E-2</v>
      </c>
      <c r="O2532">
        <v>2.98E-3</v>
      </c>
      <c r="P2532" s="3">
        <f t="shared" si="156"/>
        <v>2438.2803579132233</v>
      </c>
      <c r="Q2532" s="3">
        <f t="shared" si="157"/>
        <v>3.0855606582917972E-3</v>
      </c>
      <c r="R2532" s="3">
        <f t="shared" si="158"/>
        <v>2.7399999999999998E-3</v>
      </c>
      <c r="S2532">
        <f t="shared" si="159"/>
        <v>60</v>
      </c>
      <c r="T2532">
        <f>INDEX([1]IDEN_level_ids!$B:$B,MATCH(G2532,[1]IDEN_level_ids!$A:$A,0),1)</f>
        <v>1182</v>
      </c>
      <c r="U2532">
        <f>INDEX([1]IDEN_level_ids!$B:$B,MATCH(H2532,[1]IDEN_level_ids!$A:$A,0),1)</f>
        <v>1057</v>
      </c>
    </row>
    <row r="2533" spans="1:21" hidden="1" x14ac:dyDescent="0.25">
      <c r="A2533">
        <v>41010.6299</v>
      </c>
      <c r="B2533">
        <v>2438.3921999999998</v>
      </c>
      <c r="C2533">
        <v>15</v>
      </c>
      <c r="D2533" t="s">
        <v>654</v>
      </c>
      <c r="F2533">
        <v>1974</v>
      </c>
      <c r="G2533" s="1" t="s">
        <v>416</v>
      </c>
      <c r="H2533" s="1" t="s">
        <v>655</v>
      </c>
      <c r="I2533">
        <v>-0.26750000000000002</v>
      </c>
      <c r="J2533">
        <v>41010.587899999999</v>
      </c>
      <c r="K2533">
        <v>-2.5000000000000001E-3</v>
      </c>
      <c r="L2533">
        <v>2.7399999999999998E-3</v>
      </c>
      <c r="M2533">
        <v>4.6100000000000002E-2</v>
      </c>
      <c r="N2533">
        <v>0.55420000000000003</v>
      </c>
      <c r="O2533">
        <v>6.1399999999999996E-3</v>
      </c>
      <c r="P2533" s="3">
        <f t="shared" si="156"/>
        <v>2438.3921984090275</v>
      </c>
      <c r="Q2533" s="3">
        <f t="shared" si="157"/>
        <v>-2.497220293207647E-3</v>
      </c>
      <c r="R2533" s="3">
        <f t="shared" si="158"/>
        <v>2.7399999999999998E-3</v>
      </c>
      <c r="S2533">
        <f t="shared" si="159"/>
        <v>60</v>
      </c>
      <c r="T2533">
        <f>INDEX([1]IDEN_level_ids!$B:$B,MATCH(G2533,[1]IDEN_level_ids!$A:$A,0),1)</f>
        <v>1055</v>
      </c>
      <c r="U2533">
        <f>INDEX([1]IDEN_level_ids!$B:$B,MATCH(H2533,[1]IDEN_level_ids!$A:$A,0),1)</f>
        <v>850</v>
      </c>
    </row>
    <row r="2534" spans="1:21" hidden="1" x14ac:dyDescent="0.25">
      <c r="A2534">
        <v>40999.109900000003</v>
      </c>
      <c r="B2534">
        <v>2439.0772999999999</v>
      </c>
      <c r="C2534">
        <v>15</v>
      </c>
      <c r="D2534" t="s">
        <v>654</v>
      </c>
      <c r="F2534">
        <v>1974</v>
      </c>
      <c r="G2534" s="1" t="s">
        <v>386</v>
      </c>
      <c r="H2534" s="1" t="s">
        <v>318</v>
      </c>
      <c r="I2534">
        <v>-0.22500000000000001</v>
      </c>
      <c r="J2534">
        <v>40999.120799999997</v>
      </c>
      <c r="K2534">
        <v>6.4999999999999997E-4</v>
      </c>
      <c r="L2534">
        <v>2.7399999999999998E-3</v>
      </c>
      <c r="M2534">
        <v>4.6100000000000002E-2</v>
      </c>
      <c r="N2534">
        <v>0.13289999999999999</v>
      </c>
      <c r="O2534">
        <v>3.16E-3</v>
      </c>
      <c r="P2534" s="3">
        <f t="shared" si="156"/>
        <v>2439.0773420181004</v>
      </c>
      <c r="Q2534" s="3">
        <f t="shared" si="157"/>
        <v>6.4845153974601999E-4</v>
      </c>
      <c r="R2534" s="3">
        <f t="shared" si="158"/>
        <v>2.7399999999999998E-3</v>
      </c>
      <c r="S2534">
        <f t="shared" si="159"/>
        <v>60</v>
      </c>
      <c r="T2534">
        <f>INDEX([1]IDEN_level_ids!$B:$B,MATCH(G2534,[1]IDEN_level_ids!$A:$A,0),1)</f>
        <v>1082</v>
      </c>
      <c r="U2534">
        <f>INDEX([1]IDEN_level_ids!$B:$B,MATCH(H2534,[1]IDEN_level_ids!$A:$A,0),1)</f>
        <v>888</v>
      </c>
    </row>
    <row r="2535" spans="1:21" hidden="1" x14ac:dyDescent="0.25">
      <c r="A2535">
        <v>40994.2503</v>
      </c>
      <c r="B2535">
        <v>2439.3665000000001</v>
      </c>
      <c r="C2535">
        <v>15</v>
      </c>
      <c r="D2535" t="s">
        <v>654</v>
      </c>
      <c r="F2535">
        <v>1974</v>
      </c>
      <c r="G2535" s="1" t="s">
        <v>268</v>
      </c>
      <c r="H2535" s="1" t="s">
        <v>540</v>
      </c>
      <c r="I2535">
        <v>0.34399999999999997</v>
      </c>
      <c r="J2535">
        <v>40994.254099999998</v>
      </c>
      <c r="K2535">
        <v>2.3000000000000001E-4</v>
      </c>
      <c r="L2535">
        <v>2.7399999999999998E-3</v>
      </c>
      <c r="M2535">
        <v>4.6100000000000002E-2</v>
      </c>
      <c r="N2535">
        <v>8.9300000000000004E-2</v>
      </c>
      <c r="O2535">
        <v>3.0100000000000001E-3</v>
      </c>
      <c r="P2535" s="3">
        <f t="shared" si="156"/>
        <v>2439.3664786693271</v>
      </c>
      <c r="Q2535" s="3">
        <f t="shared" si="157"/>
        <v>2.2611931399296736E-4</v>
      </c>
      <c r="R2535" s="3">
        <f t="shared" si="158"/>
        <v>2.7399999999999998E-3</v>
      </c>
      <c r="S2535">
        <f t="shared" si="159"/>
        <v>60</v>
      </c>
      <c r="T2535">
        <f>INDEX([1]IDEN_level_ids!$B:$B,MATCH(G2535,[1]IDEN_level_ids!$A:$A,0),1)</f>
        <v>1160</v>
      </c>
      <c r="U2535">
        <f>INDEX([1]IDEN_level_ids!$B:$B,MATCH(H2535,[1]IDEN_level_ids!$A:$A,0),1)</f>
        <v>1027</v>
      </c>
    </row>
    <row r="2536" spans="1:21" hidden="1" x14ac:dyDescent="0.25">
      <c r="A2536">
        <v>40975.819900000002</v>
      </c>
      <c r="B2536">
        <v>2440.4636999999998</v>
      </c>
      <c r="C2536">
        <v>15</v>
      </c>
      <c r="D2536" t="s">
        <v>654</v>
      </c>
      <c r="F2536">
        <v>1974</v>
      </c>
      <c r="G2536" s="1" t="s">
        <v>84</v>
      </c>
      <c r="H2536" s="1" t="s">
        <v>458</v>
      </c>
      <c r="I2536">
        <v>0</v>
      </c>
      <c r="J2536">
        <v>40975.855000000003</v>
      </c>
      <c r="K2536">
        <v>2.0899999999999998E-3</v>
      </c>
      <c r="L2536">
        <v>2.7399999999999998E-3</v>
      </c>
      <c r="M2536">
        <v>4.6100000000000002E-2</v>
      </c>
      <c r="N2536">
        <v>0.1472</v>
      </c>
      <c r="O2536">
        <v>3.2200000000000002E-3</v>
      </c>
      <c r="P2536" s="3">
        <f t="shared" si="156"/>
        <v>2440.4636745291823</v>
      </c>
      <c r="Q2536" s="3">
        <f t="shared" si="157"/>
        <v>2.0905061037410633E-3</v>
      </c>
      <c r="R2536" s="3">
        <f t="shared" si="158"/>
        <v>2.7399999999999998E-3</v>
      </c>
      <c r="S2536">
        <f t="shared" si="159"/>
        <v>60</v>
      </c>
      <c r="T2536">
        <f>INDEX([1]IDEN_level_ids!$B:$B,MATCH(G2536,[1]IDEN_level_ids!$A:$A,0),1)</f>
        <v>1191</v>
      </c>
      <c r="U2536">
        <f>INDEX([1]IDEN_level_ids!$B:$B,MATCH(H2536,[1]IDEN_level_ids!$A:$A,0),1)</f>
        <v>1064</v>
      </c>
    </row>
    <row r="2537" spans="1:21" hidden="1" x14ac:dyDescent="0.25">
      <c r="A2537">
        <v>40965.591200000003</v>
      </c>
      <c r="B2537">
        <v>2441.0729999999999</v>
      </c>
      <c r="C2537">
        <v>15</v>
      </c>
      <c r="D2537" t="s">
        <v>654</v>
      </c>
      <c r="F2537">
        <v>1974</v>
      </c>
      <c r="G2537" s="1" t="s">
        <v>141</v>
      </c>
      <c r="H2537" s="1" t="s">
        <v>472</v>
      </c>
      <c r="I2537">
        <v>0</v>
      </c>
      <c r="J2537">
        <v>40965.559500000003</v>
      </c>
      <c r="K2537">
        <v>-1.89E-3</v>
      </c>
      <c r="L2537">
        <v>2.7499999999999998E-3</v>
      </c>
      <c r="M2537">
        <v>4.6100000000000002E-2</v>
      </c>
      <c r="N2537">
        <v>9.6299999999999997E-2</v>
      </c>
      <c r="O2537">
        <v>3.0400000000000002E-3</v>
      </c>
      <c r="P2537" s="3">
        <f t="shared" si="156"/>
        <v>2441.073033995418</v>
      </c>
      <c r="Q2537" s="3">
        <f t="shared" si="157"/>
        <v>-1.8889529674197547E-3</v>
      </c>
      <c r="R2537" s="3">
        <f t="shared" si="158"/>
        <v>2.7499999999999998E-3</v>
      </c>
      <c r="S2537">
        <f t="shared" si="159"/>
        <v>60</v>
      </c>
      <c r="T2537">
        <f>INDEX([1]IDEN_level_ids!$B:$B,MATCH(G2537,[1]IDEN_level_ids!$A:$A,0),1)</f>
        <v>1155</v>
      </c>
      <c r="U2537">
        <f>INDEX([1]IDEN_level_ids!$B:$B,MATCH(H2537,[1]IDEN_level_ids!$A:$A,0),1)</f>
        <v>1012</v>
      </c>
    </row>
    <row r="2538" spans="1:21" hidden="1" x14ac:dyDescent="0.25">
      <c r="A2538">
        <v>40953.930500000002</v>
      </c>
      <c r="B2538">
        <v>2441.7680999999998</v>
      </c>
      <c r="C2538">
        <v>15</v>
      </c>
      <c r="D2538" t="s">
        <v>654</v>
      </c>
      <c r="F2538">
        <v>1974</v>
      </c>
      <c r="G2538" s="1" t="s">
        <v>245</v>
      </c>
      <c r="H2538" s="1" t="s">
        <v>437</v>
      </c>
      <c r="I2538">
        <v>0.26329999999999998</v>
      </c>
      <c r="J2538">
        <v>40953.958700000003</v>
      </c>
      <c r="K2538">
        <v>1.6800000000000001E-3</v>
      </c>
      <c r="L2538">
        <v>2.7499999999999998E-3</v>
      </c>
      <c r="M2538">
        <v>4.6100000000000002E-2</v>
      </c>
      <c r="N2538">
        <v>9.2899999999999996E-2</v>
      </c>
      <c r="O2538">
        <v>3.0300000000000001E-3</v>
      </c>
      <c r="P2538" s="3">
        <f t="shared" si="156"/>
        <v>2441.7680740069623</v>
      </c>
      <c r="Q2538" s="3">
        <f t="shared" si="157"/>
        <v>1.681348076544964E-3</v>
      </c>
      <c r="R2538" s="3">
        <f t="shared" si="158"/>
        <v>2.7499999999999998E-3</v>
      </c>
      <c r="S2538">
        <f t="shared" si="159"/>
        <v>60</v>
      </c>
      <c r="T2538">
        <f>INDEX([1]IDEN_level_ids!$B:$B,MATCH(G2538,[1]IDEN_level_ids!$A:$A,0),1)</f>
        <v>1169</v>
      </c>
      <c r="U2538">
        <f>INDEX([1]IDEN_level_ids!$B:$B,MATCH(H2538,[1]IDEN_level_ids!$A:$A,0),1)</f>
        <v>1039</v>
      </c>
    </row>
    <row r="2539" spans="1:21" hidden="1" x14ac:dyDescent="0.25">
      <c r="A2539">
        <v>40951.869599999998</v>
      </c>
      <c r="B2539">
        <v>2441.8910000000001</v>
      </c>
      <c r="C2539">
        <v>15</v>
      </c>
      <c r="D2539" t="s">
        <v>654</v>
      </c>
      <c r="F2539">
        <v>1974</v>
      </c>
      <c r="G2539" s="1" t="s">
        <v>238</v>
      </c>
      <c r="H2539" s="1" t="s">
        <v>552</v>
      </c>
      <c r="I2539">
        <v>0</v>
      </c>
      <c r="J2539">
        <v>40951.845500000003</v>
      </c>
      <c r="K2539">
        <v>-1.4400000000000001E-3</v>
      </c>
      <c r="L2539">
        <v>2.7499999999999998E-3</v>
      </c>
      <c r="M2539">
        <v>4.6100000000000002E-2</v>
      </c>
      <c r="N2539">
        <v>0.1244</v>
      </c>
      <c r="O2539">
        <v>3.14E-3</v>
      </c>
      <c r="P2539" s="3">
        <f t="shared" si="156"/>
        <v>2441.8909558160931</v>
      </c>
      <c r="Q2539" s="3">
        <f t="shared" si="157"/>
        <v>-1.4370432222676754E-3</v>
      </c>
      <c r="R2539" s="3">
        <f t="shared" si="158"/>
        <v>2.7499999999999998E-3</v>
      </c>
      <c r="S2539">
        <f t="shared" si="159"/>
        <v>60</v>
      </c>
      <c r="T2539">
        <f>INDEX([1]IDEN_level_ids!$B:$B,MATCH(G2539,[1]IDEN_level_ids!$A:$A,0),1)</f>
        <v>1165</v>
      </c>
      <c r="U2539">
        <f>INDEX([1]IDEN_level_ids!$B:$B,MATCH(H2539,[1]IDEN_level_ids!$A:$A,0),1)</f>
        <v>1040</v>
      </c>
    </row>
    <row r="2540" spans="1:21" hidden="1" x14ac:dyDescent="0.25">
      <c r="A2540">
        <v>40948.360800000002</v>
      </c>
      <c r="B2540">
        <v>2442.1001999999999</v>
      </c>
      <c r="C2540">
        <v>15</v>
      </c>
      <c r="D2540" t="s">
        <v>654</v>
      </c>
      <c r="F2540">
        <v>1974</v>
      </c>
      <c r="G2540" s="1" t="s">
        <v>238</v>
      </c>
      <c r="H2540" s="1" t="s">
        <v>454</v>
      </c>
      <c r="I2540">
        <v>0</v>
      </c>
      <c r="J2540">
        <v>40948.341099999998</v>
      </c>
      <c r="K2540">
        <v>-1.17E-3</v>
      </c>
      <c r="L2540">
        <v>2.7499999999999998E-3</v>
      </c>
      <c r="M2540">
        <v>4.6100000000000002E-2</v>
      </c>
      <c r="N2540">
        <v>9.7199999999999995E-2</v>
      </c>
      <c r="O2540">
        <v>3.0400000000000002E-3</v>
      </c>
      <c r="P2540" s="3">
        <f t="shared" si="156"/>
        <v>2442.1001975737204</v>
      </c>
      <c r="Q2540" s="3">
        <f t="shared" si="157"/>
        <v>-1.1748796805477468E-3</v>
      </c>
      <c r="R2540" s="3">
        <f t="shared" si="158"/>
        <v>2.7499999999999998E-3</v>
      </c>
      <c r="S2540">
        <f t="shared" si="159"/>
        <v>60</v>
      </c>
      <c r="T2540">
        <f>INDEX([1]IDEN_level_ids!$B:$B,MATCH(G2540,[1]IDEN_level_ids!$A:$A,0),1)</f>
        <v>1165</v>
      </c>
      <c r="U2540">
        <f>INDEX([1]IDEN_level_ids!$B:$B,MATCH(H2540,[1]IDEN_level_ids!$A:$A,0),1)</f>
        <v>1036</v>
      </c>
    </row>
    <row r="2541" spans="1:21" hidden="1" x14ac:dyDescent="0.25">
      <c r="A2541">
        <v>40943.631099999999</v>
      </c>
      <c r="B2541">
        <v>2442.3823000000002</v>
      </c>
      <c r="C2541">
        <v>15</v>
      </c>
      <c r="D2541" t="s">
        <v>654</v>
      </c>
      <c r="F2541">
        <v>1974</v>
      </c>
      <c r="G2541" s="1" t="s">
        <v>244</v>
      </c>
      <c r="H2541" s="1" t="s">
        <v>413</v>
      </c>
      <c r="I2541">
        <v>6.4600000000000005E-2</v>
      </c>
      <c r="J2541">
        <v>40943.619899999998</v>
      </c>
      <c r="K2541">
        <v>-6.6E-4</v>
      </c>
      <c r="L2541">
        <v>2.7499999999999998E-3</v>
      </c>
      <c r="M2541">
        <v>4.6100000000000002E-2</v>
      </c>
      <c r="N2541">
        <v>0.1552</v>
      </c>
      <c r="O2541">
        <v>3.2499999999999999E-3</v>
      </c>
      <c r="P2541" s="3">
        <f t="shared" si="156"/>
        <v>2442.3823025310521</v>
      </c>
      <c r="Q2541" s="3">
        <f t="shared" si="157"/>
        <v>-6.6810608996092924E-4</v>
      </c>
      <c r="R2541" s="3">
        <f t="shared" si="158"/>
        <v>2.7499999999999998E-3</v>
      </c>
      <c r="S2541">
        <f t="shared" si="159"/>
        <v>60</v>
      </c>
      <c r="T2541">
        <f>INDEX([1]IDEN_level_ids!$B:$B,MATCH(G2541,[1]IDEN_level_ids!$A:$A,0),1)</f>
        <v>1195</v>
      </c>
      <c r="U2541">
        <f>INDEX([1]IDEN_level_ids!$B:$B,MATCH(H2541,[1]IDEN_level_ids!$A:$A,0),1)</f>
        <v>1071</v>
      </c>
    </row>
    <row r="2542" spans="1:21" hidden="1" x14ac:dyDescent="0.25">
      <c r="A2542">
        <v>40939.998899999999</v>
      </c>
      <c r="B2542">
        <v>2442.5990000000002</v>
      </c>
      <c r="C2542">
        <v>15</v>
      </c>
      <c r="D2542" t="s">
        <v>654</v>
      </c>
      <c r="F2542">
        <v>1974</v>
      </c>
      <c r="G2542" s="1" t="s">
        <v>271</v>
      </c>
      <c r="H2542" s="1" t="s">
        <v>467</v>
      </c>
      <c r="I2542">
        <v>0</v>
      </c>
      <c r="J2542">
        <v>40939.923600000002</v>
      </c>
      <c r="K2542">
        <v>-4.4999999999999997E-3</v>
      </c>
      <c r="L2542">
        <v>2.7499999999999998E-3</v>
      </c>
      <c r="M2542">
        <v>4.6100000000000002E-2</v>
      </c>
      <c r="N2542">
        <v>9.5699999999999993E-2</v>
      </c>
      <c r="O2542">
        <v>3.0400000000000002E-3</v>
      </c>
      <c r="P2542" s="3">
        <f t="shared" si="156"/>
        <v>2442.5989908856595</v>
      </c>
      <c r="Q2542" s="3">
        <f t="shared" si="157"/>
        <v>-4.4926245050191937E-3</v>
      </c>
      <c r="R2542" s="3">
        <f t="shared" si="158"/>
        <v>2.7499999999999998E-3</v>
      </c>
      <c r="S2542">
        <f t="shared" si="159"/>
        <v>60</v>
      </c>
      <c r="T2542">
        <f>INDEX([1]IDEN_level_ids!$B:$B,MATCH(G2542,[1]IDEN_level_ids!$A:$A,0),1)</f>
        <v>1158</v>
      </c>
      <c r="U2542">
        <f>INDEX([1]IDEN_level_ids!$B:$B,MATCH(H2542,[1]IDEN_level_ids!$A:$A,0),1)</f>
        <v>1025</v>
      </c>
    </row>
    <row r="2543" spans="1:21" hidden="1" x14ac:dyDescent="0.25">
      <c r="A2543">
        <v>40932.119500000001</v>
      </c>
      <c r="B2543">
        <v>2443.0691999999999</v>
      </c>
      <c r="C2543">
        <v>15</v>
      </c>
      <c r="D2543" t="s">
        <v>654</v>
      </c>
      <c r="F2543">
        <v>1974</v>
      </c>
      <c r="G2543" s="1" t="s">
        <v>239</v>
      </c>
      <c r="H2543" s="1" t="s">
        <v>583</v>
      </c>
      <c r="I2543">
        <v>0.1106</v>
      </c>
      <c r="J2543">
        <v>40932.118199999997</v>
      </c>
      <c r="K2543">
        <v>-8.0000000000000007E-5</v>
      </c>
      <c r="L2543">
        <v>2.7499999999999998E-3</v>
      </c>
      <c r="M2543">
        <v>4.6100000000000002E-2</v>
      </c>
      <c r="N2543">
        <v>0.15720000000000001</v>
      </c>
      <c r="O2543">
        <v>3.2599999999999999E-3</v>
      </c>
      <c r="P2543" s="3">
        <f t="shared" si="156"/>
        <v>2443.0691892219261</v>
      </c>
      <c r="Q2543" s="3">
        <f t="shared" si="157"/>
        <v>-7.7591634635609807E-5</v>
      </c>
      <c r="R2543" s="3">
        <f t="shared" si="158"/>
        <v>2.7499999999999998E-3</v>
      </c>
      <c r="S2543">
        <f t="shared" si="159"/>
        <v>60</v>
      </c>
      <c r="T2543">
        <f>INDEX([1]IDEN_level_ids!$B:$B,MATCH(G2543,[1]IDEN_level_ids!$A:$A,0),1)</f>
        <v>1167</v>
      </c>
      <c r="U2543">
        <f>INDEX([1]IDEN_level_ids!$B:$B,MATCH(H2543,[1]IDEN_level_ids!$A:$A,0),1)</f>
        <v>1043</v>
      </c>
    </row>
    <row r="2544" spans="1:21" hidden="1" x14ac:dyDescent="0.25">
      <c r="A2544">
        <v>40925.950499999999</v>
      </c>
      <c r="B2544">
        <v>2443.4373999999998</v>
      </c>
      <c r="C2544">
        <v>15</v>
      </c>
      <c r="D2544" t="s">
        <v>654</v>
      </c>
      <c r="F2544">
        <v>1974</v>
      </c>
      <c r="G2544" s="1" t="s">
        <v>545</v>
      </c>
      <c r="H2544" s="1" t="s">
        <v>624</v>
      </c>
      <c r="I2544">
        <v>0</v>
      </c>
      <c r="J2544">
        <v>40925.996700000003</v>
      </c>
      <c r="K2544">
        <v>2.7599999999999999E-3</v>
      </c>
      <c r="L2544">
        <v>2.7499999999999998E-3</v>
      </c>
      <c r="M2544">
        <v>4.6100000000000002E-2</v>
      </c>
      <c r="N2544">
        <v>0.17430000000000001</v>
      </c>
      <c r="O2544">
        <v>3.3300000000000001E-3</v>
      </c>
      <c r="P2544" s="3">
        <f t="shared" si="156"/>
        <v>2443.4374468590536</v>
      </c>
      <c r="Q2544" s="3">
        <f t="shared" si="157"/>
        <v>2.7583154756030126E-3</v>
      </c>
      <c r="R2544" s="3">
        <f t="shared" si="158"/>
        <v>2.7499999999999998E-3</v>
      </c>
      <c r="S2544">
        <f t="shared" si="159"/>
        <v>60</v>
      </c>
      <c r="T2544">
        <f>INDEX([1]IDEN_level_ids!$B:$B,MATCH(G2544,[1]IDEN_level_ids!$A:$A,0),1)</f>
        <v>1081</v>
      </c>
      <c r="U2544">
        <f>INDEX([1]IDEN_level_ids!$B:$B,MATCH(H2544,[1]IDEN_level_ids!$A:$A,0),1)</f>
        <v>887</v>
      </c>
    </row>
    <row r="2545" spans="1:21" hidden="1" x14ac:dyDescent="0.25">
      <c r="A2545">
        <v>40921.341399999998</v>
      </c>
      <c r="B2545">
        <v>2443.7127</v>
      </c>
      <c r="C2545">
        <v>15</v>
      </c>
      <c r="D2545" t="s">
        <v>654</v>
      </c>
      <c r="F2545">
        <v>1974</v>
      </c>
      <c r="G2545" s="1" t="s">
        <v>271</v>
      </c>
      <c r="H2545" s="1" t="s">
        <v>470</v>
      </c>
      <c r="I2545">
        <v>0.2848</v>
      </c>
      <c r="J2545">
        <v>40921.337200000002</v>
      </c>
      <c r="K2545">
        <v>-2.5000000000000001E-4</v>
      </c>
      <c r="L2545">
        <v>2.7499999999999998E-3</v>
      </c>
      <c r="M2545">
        <v>4.6100000000000002E-2</v>
      </c>
      <c r="N2545">
        <v>9.98E-2</v>
      </c>
      <c r="O2545">
        <v>3.0599999999999998E-3</v>
      </c>
      <c r="P2545" s="3">
        <f t="shared" si="156"/>
        <v>2443.7126589403542</v>
      </c>
      <c r="Q2545" s="3">
        <f t="shared" si="157"/>
        <v>-2.5081275134652969E-4</v>
      </c>
      <c r="R2545" s="3">
        <f t="shared" si="158"/>
        <v>2.7499999999999998E-3</v>
      </c>
      <c r="S2545">
        <f t="shared" si="159"/>
        <v>60</v>
      </c>
      <c r="T2545">
        <f>INDEX([1]IDEN_level_ids!$B:$B,MATCH(G2545,[1]IDEN_level_ids!$A:$A,0),1)</f>
        <v>1158</v>
      </c>
      <c r="U2545">
        <f>INDEX([1]IDEN_level_ids!$B:$B,MATCH(H2545,[1]IDEN_level_ids!$A:$A,0),1)</f>
        <v>1026</v>
      </c>
    </row>
    <row r="2546" spans="1:21" hidden="1" x14ac:dyDescent="0.25">
      <c r="A2546">
        <v>40901.358999999997</v>
      </c>
      <c r="B2546">
        <v>2444.9065000000001</v>
      </c>
      <c r="C2546">
        <v>15</v>
      </c>
      <c r="D2546" t="s">
        <v>654</v>
      </c>
      <c r="F2546">
        <v>1974</v>
      </c>
      <c r="G2546" s="1" t="s">
        <v>73</v>
      </c>
      <c r="H2546" s="1" t="s">
        <v>569</v>
      </c>
      <c r="I2546">
        <v>0</v>
      </c>
      <c r="J2546">
        <v>40901.3246</v>
      </c>
      <c r="K2546">
        <v>-2.0600000000000002E-3</v>
      </c>
      <c r="L2546">
        <v>2.7499999999999998E-3</v>
      </c>
      <c r="M2546">
        <v>4.6100000000000002E-2</v>
      </c>
      <c r="N2546">
        <v>0.1179</v>
      </c>
      <c r="O2546">
        <v>3.1199999999999999E-3</v>
      </c>
      <c r="P2546" s="3">
        <f t="shared" si="156"/>
        <v>2444.9065372131035</v>
      </c>
      <c r="Q2546" s="3">
        <f t="shared" si="157"/>
        <v>-2.0562851127579052E-3</v>
      </c>
      <c r="R2546" s="3">
        <f t="shared" si="158"/>
        <v>2.7499999999999998E-3</v>
      </c>
      <c r="S2546">
        <f t="shared" si="159"/>
        <v>60</v>
      </c>
      <c r="T2546">
        <f>INDEX([1]IDEN_level_ids!$B:$B,MATCH(G2546,[1]IDEN_level_ids!$A:$A,0),1)</f>
        <v>1173</v>
      </c>
      <c r="U2546">
        <f>INDEX([1]IDEN_level_ids!$B:$B,MATCH(H2546,[1]IDEN_level_ids!$A:$A,0),1)</f>
        <v>1049</v>
      </c>
    </row>
    <row r="2547" spans="1:21" hidden="1" x14ac:dyDescent="0.25">
      <c r="A2547">
        <v>40889.3105</v>
      </c>
      <c r="B2547">
        <v>2445.627</v>
      </c>
      <c r="C2547">
        <v>15</v>
      </c>
      <c r="D2547" t="s">
        <v>654</v>
      </c>
      <c r="E2547" t="s">
        <v>427</v>
      </c>
      <c r="F2547">
        <v>1974</v>
      </c>
      <c r="G2547" s="1" t="s">
        <v>172</v>
      </c>
      <c r="H2547" s="1" t="s">
        <v>577</v>
      </c>
      <c r="I2547">
        <v>3.2599999999999997E-2</v>
      </c>
      <c r="J2547">
        <v>40889.297200000001</v>
      </c>
      <c r="K2547">
        <v>-8.0000000000000004E-4</v>
      </c>
      <c r="L2547">
        <v>2.9099999999999998E-3</v>
      </c>
      <c r="M2547">
        <v>4.87E-2</v>
      </c>
      <c r="N2547">
        <v>0.113</v>
      </c>
      <c r="O2547">
        <v>3.29E-3</v>
      </c>
      <c r="P2547" s="3">
        <f t="shared" si="156"/>
        <v>2445.6269567079153</v>
      </c>
      <c r="Q2547" s="3">
        <f t="shared" si="157"/>
        <v>-7.9548538951712544E-4</v>
      </c>
      <c r="R2547" s="3">
        <f t="shared" si="158"/>
        <v>2.9099999999999998E-3</v>
      </c>
      <c r="S2547">
        <f t="shared" si="159"/>
        <v>60</v>
      </c>
      <c r="T2547">
        <f>INDEX([1]IDEN_level_ids!$B:$B,MATCH(G2547,[1]IDEN_level_ids!$A:$A,0),1)</f>
        <v>1136</v>
      </c>
      <c r="U2547">
        <f>INDEX([1]IDEN_level_ids!$B:$B,MATCH(H2547,[1]IDEN_level_ids!$A:$A,0),1)</f>
        <v>985</v>
      </c>
    </row>
    <row r="2548" spans="1:21" hidden="1" x14ac:dyDescent="0.25">
      <c r="A2548">
        <v>40888.528899999998</v>
      </c>
      <c r="B2548">
        <v>2445.6736999999998</v>
      </c>
      <c r="C2548">
        <v>15</v>
      </c>
      <c r="D2548" t="s">
        <v>654</v>
      </c>
      <c r="E2548" t="s">
        <v>427</v>
      </c>
      <c r="F2548">
        <v>1974</v>
      </c>
      <c r="G2548" s="1" t="s">
        <v>73</v>
      </c>
      <c r="H2548" s="1" t="s">
        <v>438</v>
      </c>
      <c r="I2548">
        <v>0</v>
      </c>
      <c r="J2548">
        <v>40888.500200000002</v>
      </c>
      <c r="K2548">
        <v>-1.72E-3</v>
      </c>
      <c r="L2548">
        <v>2.9099999999999998E-3</v>
      </c>
      <c r="M2548">
        <v>4.87E-2</v>
      </c>
      <c r="N2548">
        <v>7.9500000000000001E-2</v>
      </c>
      <c r="O2548">
        <v>3.1700000000000001E-3</v>
      </c>
      <c r="P2548" s="3">
        <f t="shared" si="156"/>
        <v>2445.6737058104336</v>
      </c>
      <c r="Q2548" s="3">
        <f t="shared" si="157"/>
        <v>-1.7166400089081435E-3</v>
      </c>
      <c r="R2548" s="3">
        <f t="shared" si="158"/>
        <v>2.9099999999999998E-3</v>
      </c>
      <c r="S2548">
        <f t="shared" si="159"/>
        <v>60</v>
      </c>
      <c r="T2548">
        <f>INDEX([1]IDEN_level_ids!$B:$B,MATCH(G2548,[1]IDEN_level_ids!$A:$A,0),1)</f>
        <v>1173</v>
      </c>
      <c r="U2548">
        <f>INDEX([1]IDEN_level_ids!$B:$B,MATCH(H2548,[1]IDEN_level_ids!$A:$A,0),1)</f>
        <v>1051</v>
      </c>
    </row>
    <row r="2549" spans="1:21" hidden="1" x14ac:dyDescent="0.25">
      <c r="A2549">
        <v>40869.589500000002</v>
      </c>
      <c r="B2549">
        <v>2446.8071</v>
      </c>
      <c r="C2549">
        <v>15</v>
      </c>
      <c r="D2549" t="s">
        <v>654</v>
      </c>
      <c r="F2549">
        <v>1974</v>
      </c>
      <c r="G2549" s="1" t="s">
        <v>243</v>
      </c>
      <c r="H2549" s="1" t="s">
        <v>453</v>
      </c>
      <c r="I2549">
        <v>0.26840000000000003</v>
      </c>
      <c r="J2549">
        <v>40869.582900000001</v>
      </c>
      <c r="K2549">
        <v>-4.0000000000000002E-4</v>
      </c>
      <c r="L2549">
        <v>2.7599999999999999E-3</v>
      </c>
      <c r="M2549">
        <v>4.6100000000000002E-2</v>
      </c>
      <c r="N2549">
        <v>0.1366</v>
      </c>
      <c r="O2549">
        <v>3.1900000000000001E-3</v>
      </c>
      <c r="P2549" s="3">
        <f t="shared" si="156"/>
        <v>2446.8070568704879</v>
      </c>
      <c r="Q2549" s="3">
        <f t="shared" si="157"/>
        <v>-3.9513313868155819E-4</v>
      </c>
      <c r="R2549" s="3">
        <f t="shared" si="158"/>
        <v>2.7599999999999999E-3</v>
      </c>
      <c r="S2549">
        <f t="shared" si="159"/>
        <v>60</v>
      </c>
      <c r="T2549">
        <f>INDEX([1]IDEN_level_ids!$B:$B,MATCH(G2549,[1]IDEN_level_ids!$A:$A,0),1)</f>
        <v>1205</v>
      </c>
      <c r="U2549">
        <f>INDEX([1]IDEN_level_ids!$B:$B,MATCH(H2549,[1]IDEN_level_ids!$A:$A,0),1)</f>
        <v>1078</v>
      </c>
    </row>
    <row r="2550" spans="1:21" hidden="1" x14ac:dyDescent="0.25">
      <c r="A2550">
        <v>40857.829899999997</v>
      </c>
      <c r="B2550">
        <v>2447.5113000000001</v>
      </c>
      <c r="C2550">
        <v>15</v>
      </c>
      <c r="D2550" t="s">
        <v>654</v>
      </c>
      <c r="F2550">
        <v>1974</v>
      </c>
      <c r="G2550" s="1" t="s">
        <v>268</v>
      </c>
      <c r="H2550" s="1" t="s">
        <v>563</v>
      </c>
      <c r="I2550">
        <v>0</v>
      </c>
      <c r="J2550">
        <v>40857.8128</v>
      </c>
      <c r="K2550">
        <v>-1.0200000000000001E-3</v>
      </c>
      <c r="L2550">
        <v>2.7599999999999999E-3</v>
      </c>
      <c r="M2550">
        <v>4.6100000000000002E-2</v>
      </c>
      <c r="N2550">
        <v>0.2137</v>
      </c>
      <c r="O2550">
        <v>3.5100000000000001E-3</v>
      </c>
      <c r="P2550" s="3">
        <f t="shared" si="156"/>
        <v>2447.5112908529682</v>
      </c>
      <c r="Q2550" s="3">
        <f t="shared" si="157"/>
        <v>-1.02434369864568E-3</v>
      </c>
      <c r="R2550" s="3">
        <f t="shared" si="158"/>
        <v>2.7599999999999999E-3</v>
      </c>
      <c r="S2550">
        <f t="shared" si="159"/>
        <v>60</v>
      </c>
      <c r="T2550">
        <f>INDEX([1]IDEN_level_ids!$B:$B,MATCH(G2550,[1]IDEN_level_ids!$A:$A,0),1)</f>
        <v>1160</v>
      </c>
      <c r="U2550">
        <f>INDEX([1]IDEN_level_ids!$B:$B,MATCH(H2550,[1]IDEN_level_ids!$A:$A,0),1)</f>
        <v>1032</v>
      </c>
    </row>
    <row r="2551" spans="1:21" hidden="1" x14ac:dyDescent="0.25">
      <c r="A2551">
        <v>40845.660199999998</v>
      </c>
      <c r="B2551">
        <v>2448.2404999999999</v>
      </c>
      <c r="C2551">
        <v>15</v>
      </c>
      <c r="D2551" t="s">
        <v>654</v>
      </c>
      <c r="F2551">
        <v>1974</v>
      </c>
      <c r="G2551" s="1" t="s">
        <v>76</v>
      </c>
      <c r="H2551" s="1" t="s">
        <v>448</v>
      </c>
      <c r="I2551">
        <v>0.29559999999999997</v>
      </c>
      <c r="J2551">
        <v>40845.625500000002</v>
      </c>
      <c r="K2551">
        <v>-2.0799999999999998E-3</v>
      </c>
      <c r="L2551">
        <v>2.7599999999999999E-3</v>
      </c>
      <c r="M2551">
        <v>4.6100000000000002E-2</v>
      </c>
      <c r="N2551">
        <v>0.10929999999999999</v>
      </c>
      <c r="O2551">
        <v>3.0999999999999999E-3</v>
      </c>
      <c r="P2551" s="3">
        <f t="shared" si="156"/>
        <v>2448.2405109955844</v>
      </c>
      <c r="Q2551" s="3">
        <f t="shared" si="157"/>
        <v>-2.0798786817977089E-3</v>
      </c>
      <c r="R2551" s="3">
        <f t="shared" si="158"/>
        <v>2.7599999999999999E-3</v>
      </c>
      <c r="S2551">
        <f t="shared" si="159"/>
        <v>60</v>
      </c>
      <c r="T2551">
        <f>INDEX([1]IDEN_level_ids!$B:$B,MATCH(G2551,[1]IDEN_level_ids!$A:$A,0),1)</f>
        <v>1194</v>
      </c>
      <c r="U2551">
        <f>INDEX([1]IDEN_level_ids!$B:$B,MATCH(H2551,[1]IDEN_level_ids!$A:$A,0),1)</f>
        <v>1067</v>
      </c>
    </row>
    <row r="2552" spans="1:21" hidden="1" x14ac:dyDescent="0.25">
      <c r="A2552">
        <v>40834.680899999999</v>
      </c>
      <c r="B2552">
        <v>2448.8987999999999</v>
      </c>
      <c r="C2552">
        <v>15</v>
      </c>
      <c r="D2552" t="s">
        <v>654</v>
      </c>
      <c r="F2552">
        <v>1974</v>
      </c>
      <c r="G2552" s="1" t="s">
        <v>207</v>
      </c>
      <c r="H2552" s="1" t="s">
        <v>416</v>
      </c>
      <c r="I2552">
        <v>0.26750000000000002</v>
      </c>
      <c r="J2552">
        <v>40834.666499999999</v>
      </c>
      <c r="K2552">
        <v>-8.5999999999999998E-4</v>
      </c>
      <c r="L2552">
        <v>2.7599999999999999E-3</v>
      </c>
      <c r="M2552">
        <v>4.6100000000000002E-2</v>
      </c>
      <c r="N2552">
        <v>0.1052</v>
      </c>
      <c r="O2552">
        <v>3.0899999999999999E-3</v>
      </c>
      <c r="P2552" s="3">
        <f t="shared" si="156"/>
        <v>2448.8987741789847</v>
      </c>
      <c r="Q2552" s="3">
        <f t="shared" si="157"/>
        <v>-8.6358345424741856E-4</v>
      </c>
      <c r="R2552" s="3">
        <f t="shared" si="158"/>
        <v>2.7599999999999999E-3</v>
      </c>
      <c r="S2552">
        <f t="shared" si="159"/>
        <v>60</v>
      </c>
      <c r="T2552">
        <f>INDEX([1]IDEN_level_ids!$B:$B,MATCH(G2552,[1]IDEN_level_ids!$A:$A,0),1)</f>
        <v>1177</v>
      </c>
      <c r="U2552">
        <f>INDEX([1]IDEN_level_ids!$B:$B,MATCH(H2552,[1]IDEN_level_ids!$A:$A,0),1)</f>
        <v>1055</v>
      </c>
    </row>
    <row r="2553" spans="1:21" hidden="1" x14ac:dyDescent="0.25">
      <c r="A2553">
        <v>40810.030200000001</v>
      </c>
      <c r="B2553">
        <v>2450.3780000000002</v>
      </c>
      <c r="C2553">
        <v>15</v>
      </c>
      <c r="D2553" t="s">
        <v>656</v>
      </c>
      <c r="F2553">
        <v>1974</v>
      </c>
      <c r="G2553" s="1" t="s">
        <v>289</v>
      </c>
      <c r="H2553" s="1" t="s">
        <v>525</v>
      </c>
      <c r="I2553">
        <v>0</v>
      </c>
      <c r="J2553">
        <v>40810.060100000002</v>
      </c>
      <c r="K2553">
        <v>1.8E-3</v>
      </c>
      <c r="L2553">
        <v>2.7699999999999999E-3</v>
      </c>
      <c r="M2553">
        <v>4.6100000000000002E-2</v>
      </c>
      <c r="N2553">
        <v>0.21940000000000001</v>
      </c>
      <c r="O2553">
        <v>3.5400000000000002E-3</v>
      </c>
      <c r="P2553" s="3">
        <f t="shared" si="156"/>
        <v>2450.377995554632</v>
      </c>
      <c r="Q2553" s="3">
        <f t="shared" si="157"/>
        <v>1.7953000287889154E-3</v>
      </c>
      <c r="R2553" s="3">
        <f t="shared" si="158"/>
        <v>2.7699999999999999E-3</v>
      </c>
      <c r="S2553">
        <f t="shared" si="159"/>
        <v>61</v>
      </c>
      <c r="T2553">
        <f>INDEX([1]IDEN_level_ids!$B:$B,MATCH(G2553,[1]IDEN_level_ids!$A:$A,0),1)</f>
        <v>1122</v>
      </c>
      <c r="U2553">
        <f>INDEX([1]IDEN_level_ids!$B:$B,MATCH(H2553,[1]IDEN_level_ids!$A:$A,0),1)</f>
        <v>971</v>
      </c>
    </row>
    <row r="2554" spans="1:21" hidden="1" x14ac:dyDescent="0.25">
      <c r="A2554">
        <v>40801.189200000001</v>
      </c>
      <c r="B2554">
        <v>2450.9090000000001</v>
      </c>
      <c r="C2554">
        <v>15</v>
      </c>
      <c r="D2554" t="s">
        <v>656</v>
      </c>
      <c r="F2554">
        <v>1974</v>
      </c>
      <c r="G2554" s="1" t="s">
        <v>301</v>
      </c>
      <c r="H2554" s="1" t="s">
        <v>472</v>
      </c>
      <c r="I2554">
        <v>-0.97850000000000004</v>
      </c>
      <c r="J2554">
        <v>40801.160900000003</v>
      </c>
      <c r="K2554">
        <v>-1.6999999999999999E-3</v>
      </c>
      <c r="L2554">
        <v>2.7699999999999999E-3</v>
      </c>
      <c r="M2554">
        <v>4.6100000000000002E-2</v>
      </c>
      <c r="N2554">
        <v>0.20979999999999999</v>
      </c>
      <c r="O2554">
        <v>3.5000000000000001E-3</v>
      </c>
      <c r="P2554" s="3">
        <f t="shared" si="156"/>
        <v>2450.9089553693693</v>
      </c>
      <c r="Q2554" s="3">
        <f t="shared" si="157"/>
        <v>-1.6999693611978728E-3</v>
      </c>
      <c r="R2554" s="3">
        <f t="shared" si="158"/>
        <v>2.7699999999999999E-3</v>
      </c>
      <c r="S2554">
        <f t="shared" si="159"/>
        <v>61</v>
      </c>
      <c r="T2554">
        <f>INDEX([1]IDEN_level_ids!$B:$B,MATCH(G2554,[1]IDEN_level_ids!$A:$A,0),1)</f>
        <v>1154</v>
      </c>
      <c r="U2554">
        <f>INDEX([1]IDEN_level_ids!$B:$B,MATCH(H2554,[1]IDEN_level_ids!$A:$A,0),1)</f>
        <v>1012</v>
      </c>
    </row>
    <row r="2555" spans="1:21" hidden="1" x14ac:dyDescent="0.25">
      <c r="A2555">
        <v>40799.220600000001</v>
      </c>
      <c r="B2555">
        <v>2451.0272</v>
      </c>
      <c r="C2555">
        <v>15</v>
      </c>
      <c r="D2555" t="s">
        <v>656</v>
      </c>
      <c r="F2555">
        <v>1974</v>
      </c>
      <c r="G2555" s="1" t="s">
        <v>267</v>
      </c>
      <c r="H2555" s="1" t="s">
        <v>482</v>
      </c>
      <c r="I2555">
        <v>-2.9999999999999997E-4</v>
      </c>
      <c r="J2555">
        <v>40799.154799999997</v>
      </c>
      <c r="K2555">
        <v>-3.96E-3</v>
      </c>
      <c r="L2555">
        <v>2.7699999999999999E-3</v>
      </c>
      <c r="M2555">
        <v>4.6100000000000002E-2</v>
      </c>
      <c r="N2555">
        <v>0.17599999999999999</v>
      </c>
      <c r="O2555">
        <v>3.3600000000000001E-3</v>
      </c>
      <c r="P2555" s="3">
        <f t="shared" si="156"/>
        <v>2451.0272139855533</v>
      </c>
      <c r="Q2555" s="3">
        <f t="shared" si="157"/>
        <v>-3.9529640130240296E-3</v>
      </c>
      <c r="R2555" s="3">
        <f t="shared" si="158"/>
        <v>2.7699999999999999E-3</v>
      </c>
      <c r="S2555">
        <f t="shared" si="159"/>
        <v>61</v>
      </c>
      <c r="T2555">
        <f>INDEX([1]IDEN_level_ids!$B:$B,MATCH(G2555,[1]IDEN_level_ids!$A:$A,0),1)</f>
        <v>1104</v>
      </c>
      <c r="U2555">
        <f>INDEX([1]IDEN_level_ids!$B:$B,MATCH(H2555,[1]IDEN_level_ids!$A:$A,0),1)</f>
        <v>957</v>
      </c>
    </row>
    <row r="2556" spans="1:21" hidden="1" x14ac:dyDescent="0.25">
      <c r="A2556">
        <v>40780.9807</v>
      </c>
      <c r="B2556">
        <v>2452.1235000000001</v>
      </c>
      <c r="C2556">
        <v>15</v>
      </c>
      <c r="D2556" t="s">
        <v>656</v>
      </c>
      <c r="F2556">
        <v>1974</v>
      </c>
      <c r="G2556" s="1" t="s">
        <v>386</v>
      </c>
      <c r="H2556" s="1" t="s">
        <v>143</v>
      </c>
      <c r="I2556">
        <v>-0.22500000000000001</v>
      </c>
      <c r="J2556">
        <v>40780.978300000002</v>
      </c>
      <c r="K2556">
        <v>-1.4999999999999999E-4</v>
      </c>
      <c r="L2556">
        <v>2.7699999999999999E-3</v>
      </c>
      <c r="M2556">
        <v>4.6100000000000002E-2</v>
      </c>
      <c r="N2556">
        <v>0.2515</v>
      </c>
      <c r="O2556">
        <v>3.7000000000000002E-3</v>
      </c>
      <c r="P2556" s="3">
        <f t="shared" si="156"/>
        <v>2452.1234723519046</v>
      </c>
      <c r="Q2556" s="3">
        <f t="shared" si="157"/>
        <v>-1.4430983674174058E-4</v>
      </c>
      <c r="R2556" s="3">
        <f t="shared" si="158"/>
        <v>2.7699999999999999E-3</v>
      </c>
      <c r="S2556">
        <f t="shared" si="159"/>
        <v>61</v>
      </c>
      <c r="T2556">
        <f>INDEX([1]IDEN_level_ids!$B:$B,MATCH(G2556,[1]IDEN_level_ids!$A:$A,0),1)</f>
        <v>1082</v>
      </c>
      <c r="U2556">
        <f>INDEX([1]IDEN_level_ids!$B:$B,MATCH(H2556,[1]IDEN_level_ids!$A:$A,0),1)</f>
        <v>890</v>
      </c>
    </row>
    <row r="2557" spans="1:21" hidden="1" x14ac:dyDescent="0.25">
      <c r="A2557">
        <v>40773.1806</v>
      </c>
      <c r="B2557">
        <v>2452.5925999999999</v>
      </c>
      <c r="C2557">
        <v>15</v>
      </c>
      <c r="D2557" t="s">
        <v>656</v>
      </c>
      <c r="F2557">
        <v>1974</v>
      </c>
      <c r="G2557" s="1" t="s">
        <v>194</v>
      </c>
      <c r="H2557" s="1" t="s">
        <v>466</v>
      </c>
      <c r="I2557">
        <v>0.3876</v>
      </c>
      <c r="J2557">
        <v>40773.181900000003</v>
      </c>
      <c r="K2557">
        <v>8.0000000000000007E-5</v>
      </c>
      <c r="L2557">
        <v>2.7699999999999999E-3</v>
      </c>
      <c r="M2557">
        <v>4.6100000000000002E-2</v>
      </c>
      <c r="N2557">
        <v>0.1181</v>
      </c>
      <c r="O2557">
        <v>3.14E-3</v>
      </c>
      <c r="P2557" s="3">
        <f t="shared" si="156"/>
        <v>2452.5925750320298</v>
      </c>
      <c r="Q2557" s="3">
        <f t="shared" si="157"/>
        <v>7.8197732364060357E-5</v>
      </c>
      <c r="R2557" s="3">
        <f t="shared" si="158"/>
        <v>2.7699999999999999E-3</v>
      </c>
      <c r="S2557">
        <f t="shared" si="159"/>
        <v>61</v>
      </c>
      <c r="T2557">
        <f>INDEX([1]IDEN_level_ids!$B:$B,MATCH(G2557,[1]IDEN_level_ids!$A:$A,0),1)</f>
        <v>1187</v>
      </c>
      <c r="U2557">
        <f>INDEX([1]IDEN_level_ids!$B:$B,MATCH(H2557,[1]IDEN_level_ids!$A:$A,0),1)</f>
        <v>1061</v>
      </c>
    </row>
    <row r="2558" spans="1:21" hidden="1" x14ac:dyDescent="0.25">
      <c r="A2558">
        <v>40770.308900000004</v>
      </c>
      <c r="B2558">
        <v>2452.7653</v>
      </c>
      <c r="C2558">
        <v>15</v>
      </c>
      <c r="D2558" t="s">
        <v>656</v>
      </c>
      <c r="F2558">
        <v>1974</v>
      </c>
      <c r="G2558" s="1" t="s">
        <v>271</v>
      </c>
      <c r="H2558" s="1" t="s">
        <v>540</v>
      </c>
      <c r="I2558">
        <v>0.34399999999999997</v>
      </c>
      <c r="J2558">
        <v>40770.294399999999</v>
      </c>
      <c r="K2558">
        <v>-8.7000000000000001E-4</v>
      </c>
      <c r="L2558">
        <v>2.7699999999999999E-3</v>
      </c>
      <c r="M2558">
        <v>4.6100000000000002E-2</v>
      </c>
      <c r="N2558">
        <v>8.6199999999999999E-2</v>
      </c>
      <c r="O2558">
        <v>3.0300000000000001E-3</v>
      </c>
      <c r="P2558" s="3">
        <f t="shared" si="156"/>
        <v>2452.7653259943781</v>
      </c>
      <c r="Q2558" s="3">
        <f t="shared" si="157"/>
        <v>-8.7232868327191682E-4</v>
      </c>
      <c r="R2558" s="3">
        <f t="shared" si="158"/>
        <v>2.7699999999999999E-3</v>
      </c>
      <c r="S2558">
        <f t="shared" si="159"/>
        <v>61</v>
      </c>
      <c r="T2558">
        <f>INDEX([1]IDEN_level_ids!$B:$B,MATCH(G2558,[1]IDEN_level_ids!$A:$A,0),1)</f>
        <v>1158</v>
      </c>
      <c r="U2558">
        <f>INDEX([1]IDEN_level_ids!$B:$B,MATCH(H2558,[1]IDEN_level_ids!$A:$A,0),1)</f>
        <v>1027</v>
      </c>
    </row>
    <row r="2559" spans="1:21" hidden="1" x14ac:dyDescent="0.25">
      <c r="A2559">
        <v>40757.2405</v>
      </c>
      <c r="B2559">
        <v>2453.5518000000002</v>
      </c>
      <c r="C2559">
        <v>15</v>
      </c>
      <c r="D2559" t="s">
        <v>656</v>
      </c>
      <c r="E2559" t="s">
        <v>427</v>
      </c>
      <c r="F2559">
        <v>1974</v>
      </c>
      <c r="G2559" s="1" t="s">
        <v>243</v>
      </c>
      <c r="H2559" s="1" t="s">
        <v>450</v>
      </c>
      <c r="I2559">
        <v>0.2989</v>
      </c>
      <c r="J2559">
        <v>40757.266199999998</v>
      </c>
      <c r="K2559">
        <v>1.5399999999999999E-3</v>
      </c>
      <c r="L2559">
        <v>2.9299999999999999E-3</v>
      </c>
      <c r="M2559">
        <v>4.87E-2</v>
      </c>
      <c r="N2559">
        <v>0.1108</v>
      </c>
      <c r="O2559">
        <v>3.3E-3</v>
      </c>
      <c r="P2559" s="3">
        <f t="shared" si="156"/>
        <v>2453.5517805725831</v>
      </c>
      <c r="Q2559" s="3">
        <f t="shared" si="157"/>
        <v>1.5471175238417345E-3</v>
      </c>
      <c r="R2559" s="3">
        <f t="shared" si="158"/>
        <v>2.9299999999999999E-3</v>
      </c>
      <c r="S2559">
        <f t="shared" si="159"/>
        <v>61</v>
      </c>
      <c r="T2559">
        <f>INDEX([1]IDEN_level_ids!$B:$B,MATCH(G2559,[1]IDEN_level_ids!$A:$A,0),1)</f>
        <v>1205</v>
      </c>
      <c r="U2559">
        <f>INDEX([1]IDEN_level_ids!$B:$B,MATCH(H2559,[1]IDEN_level_ids!$A:$A,0),1)</f>
        <v>1077</v>
      </c>
    </row>
    <row r="2560" spans="1:21" hidden="1" x14ac:dyDescent="0.25">
      <c r="A2560">
        <v>40756.591099999998</v>
      </c>
      <c r="B2560">
        <v>2453.5909000000001</v>
      </c>
      <c r="C2560">
        <v>15</v>
      </c>
      <c r="D2560" t="s">
        <v>656</v>
      </c>
      <c r="E2560" t="s">
        <v>427</v>
      </c>
      <c r="F2560">
        <v>1974</v>
      </c>
      <c r="G2560" s="1" t="s">
        <v>85</v>
      </c>
      <c r="H2560" s="1" t="s">
        <v>477</v>
      </c>
      <c r="I2560">
        <v>0.32490000000000002</v>
      </c>
      <c r="J2560">
        <v>40756.572899999999</v>
      </c>
      <c r="K2560">
        <v>-1.09E-3</v>
      </c>
      <c r="L2560">
        <v>2.9299999999999999E-3</v>
      </c>
      <c r="M2560">
        <v>4.87E-2</v>
      </c>
      <c r="N2560">
        <v>0.21590000000000001</v>
      </c>
      <c r="O2560">
        <v>3.7399999999999998E-3</v>
      </c>
      <c r="P2560" s="3">
        <f t="shared" si="156"/>
        <v>2453.5908745321931</v>
      </c>
      <c r="Q2560" s="3">
        <f t="shared" si="157"/>
        <v>-1.0956601781799691E-3</v>
      </c>
      <c r="R2560" s="3">
        <f t="shared" si="158"/>
        <v>2.9299999999999999E-3</v>
      </c>
      <c r="S2560">
        <f t="shared" si="159"/>
        <v>61</v>
      </c>
      <c r="T2560">
        <f>INDEX([1]IDEN_level_ids!$B:$B,MATCH(G2560,[1]IDEN_level_ids!$A:$A,0),1)</f>
        <v>1168</v>
      </c>
      <c r="U2560">
        <f>INDEX([1]IDEN_level_ids!$B:$B,MATCH(H2560,[1]IDEN_level_ids!$A:$A,0),1)</f>
        <v>1045</v>
      </c>
    </row>
    <row r="2561" spans="1:21" hidden="1" x14ac:dyDescent="0.25">
      <c r="A2561">
        <v>40749.131399999998</v>
      </c>
      <c r="B2561">
        <v>2454.04</v>
      </c>
      <c r="C2561">
        <v>15</v>
      </c>
      <c r="D2561" t="s">
        <v>656</v>
      </c>
      <c r="F2561">
        <v>1974</v>
      </c>
      <c r="G2561" s="1" t="s">
        <v>166</v>
      </c>
      <c r="H2561" s="1" t="s">
        <v>401</v>
      </c>
      <c r="I2561">
        <v>6.8900000000000003E-2</v>
      </c>
      <c r="J2561">
        <v>40749.165399999998</v>
      </c>
      <c r="K2561">
        <v>2.0400000000000001E-3</v>
      </c>
      <c r="L2561">
        <v>2.7699999999999999E-3</v>
      </c>
      <c r="M2561">
        <v>4.6100000000000002E-2</v>
      </c>
      <c r="N2561">
        <v>9.4399999999999998E-2</v>
      </c>
      <c r="O2561">
        <v>3.0599999999999998E-3</v>
      </c>
      <c r="P2561" s="3">
        <f t="shared" si="156"/>
        <v>2454.0400387528261</v>
      </c>
      <c r="Q2561" s="3">
        <f t="shared" si="157"/>
        <v>2.0475845453802322E-3</v>
      </c>
      <c r="R2561" s="3">
        <f t="shared" si="158"/>
        <v>2.7699999999999999E-3</v>
      </c>
      <c r="S2561">
        <f t="shared" si="159"/>
        <v>61</v>
      </c>
      <c r="T2561">
        <f>INDEX([1]IDEN_level_ids!$B:$B,MATCH(G2561,[1]IDEN_level_ids!$A:$A,0),1)</f>
        <v>1186</v>
      </c>
      <c r="U2561">
        <f>INDEX([1]IDEN_level_ids!$B:$B,MATCH(H2561,[1]IDEN_level_ids!$A:$A,0),1)</f>
        <v>1063</v>
      </c>
    </row>
    <row r="2562" spans="1:21" hidden="1" x14ac:dyDescent="0.25">
      <c r="A2562">
        <v>40727.520600000003</v>
      </c>
      <c r="B2562">
        <v>2455.3422</v>
      </c>
      <c r="C2562">
        <v>15</v>
      </c>
      <c r="D2562" t="s">
        <v>656</v>
      </c>
      <c r="F2562">
        <v>1974</v>
      </c>
      <c r="G2562" s="1" t="s">
        <v>271</v>
      </c>
      <c r="H2562" s="1" t="s">
        <v>541</v>
      </c>
      <c r="I2562">
        <v>0</v>
      </c>
      <c r="J2562">
        <v>40727.494500000001</v>
      </c>
      <c r="K2562">
        <v>-1.57E-3</v>
      </c>
      <c r="L2562">
        <v>2.7799999999999999E-3</v>
      </c>
      <c r="M2562">
        <v>4.6100000000000002E-2</v>
      </c>
      <c r="N2562">
        <v>0.15479999999999999</v>
      </c>
      <c r="O2562">
        <v>3.29E-3</v>
      </c>
      <c r="P2562" s="3">
        <f t="shared" ref="P2562:P2625" si="160">100000000/$A2562</f>
        <v>2455.3421992499093</v>
      </c>
      <c r="Q2562" s="3">
        <f t="shared" ref="Q2562:Q2625" si="161">100000000/($A2562)-100000000/$J2562</f>
        <v>-1.5734930962025828E-3</v>
      </c>
      <c r="R2562" s="3">
        <f t="shared" si="158"/>
        <v>2.7799999999999999E-3</v>
      </c>
      <c r="S2562">
        <f t="shared" si="159"/>
        <v>61</v>
      </c>
      <c r="T2562">
        <f>INDEX([1]IDEN_level_ids!$B:$B,MATCH(G2562,[1]IDEN_level_ids!$A:$A,0),1)</f>
        <v>1158</v>
      </c>
      <c r="U2562">
        <f>INDEX([1]IDEN_level_ids!$B:$B,MATCH(H2562,[1]IDEN_level_ids!$A:$A,0),1)</f>
        <v>1028</v>
      </c>
    </row>
    <row r="2563" spans="1:21" hidden="1" x14ac:dyDescent="0.25">
      <c r="A2563">
        <v>40723.858899999999</v>
      </c>
      <c r="B2563">
        <v>2455.5630000000001</v>
      </c>
      <c r="C2563">
        <v>15</v>
      </c>
      <c r="D2563" t="s">
        <v>656</v>
      </c>
      <c r="F2563">
        <v>1974</v>
      </c>
      <c r="G2563" s="1" t="s">
        <v>100</v>
      </c>
      <c r="H2563" s="1" t="s">
        <v>580</v>
      </c>
      <c r="I2563">
        <v>0.20710000000000001</v>
      </c>
      <c r="J2563">
        <v>40723.801599999999</v>
      </c>
      <c r="K2563">
        <v>-3.4499999999999999E-3</v>
      </c>
      <c r="L2563">
        <v>2.7799999999999999E-3</v>
      </c>
      <c r="M2563">
        <v>4.6100000000000002E-2</v>
      </c>
      <c r="N2563">
        <v>0.11600000000000001</v>
      </c>
      <c r="O2563">
        <v>3.14E-3</v>
      </c>
      <c r="P2563" s="3">
        <f t="shared" si="160"/>
        <v>2455.5629722015365</v>
      </c>
      <c r="Q2563" s="3">
        <f t="shared" si="161"/>
        <v>-3.4550742511783028E-3</v>
      </c>
      <c r="R2563" s="3">
        <f t="shared" ref="R2563:R2626" si="162">$L2563</f>
        <v>2.7799999999999999E-3</v>
      </c>
      <c r="S2563">
        <f t="shared" si="159"/>
        <v>61</v>
      </c>
      <c r="T2563">
        <f>INDEX([1]IDEN_level_ids!$B:$B,MATCH(G2563,[1]IDEN_level_ids!$A:$A,0),1)</f>
        <v>1146</v>
      </c>
      <c r="U2563">
        <f>INDEX([1]IDEN_level_ids!$B:$B,MATCH(H2563,[1]IDEN_level_ids!$A:$A,0),1)</f>
        <v>1001</v>
      </c>
    </row>
    <row r="2564" spans="1:21" hidden="1" x14ac:dyDescent="0.25">
      <c r="A2564">
        <v>40718.910900000003</v>
      </c>
      <c r="B2564">
        <v>2455.8613999999998</v>
      </c>
      <c r="C2564">
        <v>15</v>
      </c>
      <c r="D2564" t="s">
        <v>656</v>
      </c>
      <c r="E2564" t="s">
        <v>427</v>
      </c>
      <c r="F2564">
        <v>1974</v>
      </c>
      <c r="G2564" s="1" t="s">
        <v>46</v>
      </c>
      <c r="H2564" s="1" t="s">
        <v>384</v>
      </c>
      <c r="I2564">
        <v>0.45490000000000003</v>
      </c>
      <c r="J2564">
        <v>40718.859499999999</v>
      </c>
      <c r="K2564">
        <v>-3.0999999999999999E-3</v>
      </c>
      <c r="L2564">
        <v>2.9399999999999999E-3</v>
      </c>
      <c r="M2564">
        <v>4.87E-2</v>
      </c>
      <c r="N2564">
        <v>0.108</v>
      </c>
      <c r="O2564">
        <v>3.29E-3</v>
      </c>
      <c r="P2564" s="3">
        <f t="shared" si="160"/>
        <v>2455.8613624413024</v>
      </c>
      <c r="Q2564" s="3">
        <f t="shared" si="161"/>
        <v>-3.1000689996290021E-3</v>
      </c>
      <c r="R2564" s="3">
        <f t="shared" si="162"/>
        <v>2.9399999999999999E-3</v>
      </c>
      <c r="S2564">
        <f t="shared" ref="S2564:S2627" si="163">IF(D2564=D2563,S2563,S2563+1)</f>
        <v>61</v>
      </c>
      <c r="T2564">
        <f>INDEX([1]IDEN_level_ids!$B:$B,MATCH(G2564,[1]IDEN_level_ids!$A:$A,0),1)</f>
        <v>1212</v>
      </c>
      <c r="U2564">
        <f>INDEX([1]IDEN_level_ids!$B:$B,MATCH(H2564,[1]IDEN_level_ids!$A:$A,0),1)</f>
        <v>1080</v>
      </c>
    </row>
    <row r="2565" spans="1:21" hidden="1" x14ac:dyDescent="0.25">
      <c r="A2565">
        <v>40715.049899999998</v>
      </c>
      <c r="B2565">
        <v>2456.0943000000002</v>
      </c>
      <c r="C2565">
        <v>15</v>
      </c>
      <c r="D2565" t="s">
        <v>656</v>
      </c>
      <c r="F2565">
        <v>1974</v>
      </c>
      <c r="G2565" s="1" t="s">
        <v>288</v>
      </c>
      <c r="H2565" s="1" t="s">
        <v>544</v>
      </c>
      <c r="I2565">
        <v>0</v>
      </c>
      <c r="J2565">
        <v>40715.000399999997</v>
      </c>
      <c r="K2565">
        <v>-2.98E-3</v>
      </c>
      <c r="L2565">
        <v>2.7799999999999999E-3</v>
      </c>
      <c r="M2565">
        <v>4.6100000000000002E-2</v>
      </c>
      <c r="N2565">
        <v>0.18459999999999999</v>
      </c>
      <c r="O2565">
        <v>3.4099999999999998E-3</v>
      </c>
      <c r="P2565" s="3">
        <f t="shared" si="160"/>
        <v>2456.0942512807778</v>
      </c>
      <c r="Q2565" s="3">
        <f t="shared" si="161"/>
        <v>-2.9860411209483573E-3</v>
      </c>
      <c r="R2565" s="3">
        <f t="shared" si="162"/>
        <v>2.7799999999999999E-3</v>
      </c>
      <c r="S2565">
        <f t="shared" si="163"/>
        <v>61</v>
      </c>
      <c r="T2565">
        <f>INDEX([1]IDEN_level_ids!$B:$B,MATCH(G2565,[1]IDEN_level_ids!$A:$A,0),1)</f>
        <v>1151</v>
      </c>
      <c r="U2565">
        <f>INDEX([1]IDEN_level_ids!$B:$B,MATCH(H2565,[1]IDEN_level_ids!$A:$A,0),1)</f>
        <v>1011</v>
      </c>
    </row>
    <row r="2566" spans="1:21" hidden="1" x14ac:dyDescent="0.25">
      <c r="A2566">
        <v>40708.730799999998</v>
      </c>
      <c r="B2566">
        <v>2456.4755</v>
      </c>
      <c r="C2566">
        <v>15</v>
      </c>
      <c r="D2566" t="s">
        <v>656</v>
      </c>
      <c r="F2566">
        <v>1974</v>
      </c>
      <c r="G2566" s="1" t="s">
        <v>194</v>
      </c>
      <c r="H2566" s="1" t="s">
        <v>458</v>
      </c>
      <c r="I2566">
        <v>0</v>
      </c>
      <c r="J2566">
        <v>40708.663</v>
      </c>
      <c r="K2566">
        <v>-4.0899999999999999E-3</v>
      </c>
      <c r="L2566">
        <v>2.7799999999999999E-3</v>
      </c>
      <c r="M2566">
        <v>4.6100000000000002E-2</v>
      </c>
      <c r="N2566">
        <v>0.1105</v>
      </c>
      <c r="O2566">
        <v>3.1199999999999999E-3</v>
      </c>
      <c r="P2566" s="3">
        <f t="shared" si="160"/>
        <v>2456.4755037757159</v>
      </c>
      <c r="Q2566" s="3">
        <f t="shared" si="161"/>
        <v>-4.0912431622928125E-3</v>
      </c>
      <c r="R2566" s="3">
        <f t="shared" si="162"/>
        <v>2.7799999999999999E-3</v>
      </c>
      <c r="S2566">
        <f t="shared" si="163"/>
        <v>61</v>
      </c>
      <c r="T2566">
        <f>INDEX([1]IDEN_level_ids!$B:$B,MATCH(G2566,[1]IDEN_level_ids!$A:$A,0),1)</f>
        <v>1187</v>
      </c>
      <c r="U2566">
        <f>INDEX([1]IDEN_level_ids!$B:$B,MATCH(H2566,[1]IDEN_level_ids!$A:$A,0),1)</f>
        <v>1064</v>
      </c>
    </row>
    <row r="2567" spans="1:21" hidden="1" x14ac:dyDescent="0.25">
      <c r="A2567">
        <v>40705.730799999998</v>
      </c>
      <c r="B2567">
        <v>2456.6565000000001</v>
      </c>
      <c r="C2567">
        <v>15</v>
      </c>
      <c r="D2567" t="s">
        <v>656</v>
      </c>
      <c r="F2567">
        <v>1974</v>
      </c>
      <c r="G2567" s="1" t="s">
        <v>40</v>
      </c>
      <c r="H2567" s="1" t="s">
        <v>398</v>
      </c>
      <c r="I2567">
        <v>0.31929999999999997</v>
      </c>
      <c r="J2567">
        <v>40705.670400000003</v>
      </c>
      <c r="K2567">
        <v>-3.65E-3</v>
      </c>
      <c r="L2567">
        <v>2.7799999999999999E-3</v>
      </c>
      <c r="M2567">
        <v>4.6100000000000002E-2</v>
      </c>
      <c r="N2567">
        <v>8.6199999999999999E-2</v>
      </c>
      <c r="O2567">
        <v>3.0400000000000002E-3</v>
      </c>
      <c r="P2567" s="3">
        <f t="shared" si="160"/>
        <v>2456.6565452744558</v>
      </c>
      <c r="Q2567" s="3">
        <f t="shared" si="161"/>
        <v>-3.6452428830671124E-3</v>
      </c>
      <c r="R2567" s="3">
        <f t="shared" si="162"/>
        <v>2.7799999999999999E-3</v>
      </c>
      <c r="S2567">
        <f t="shared" si="163"/>
        <v>61</v>
      </c>
      <c r="T2567">
        <f>INDEX([1]IDEN_level_ids!$B:$B,MATCH(G2567,[1]IDEN_level_ids!$A:$A,0),1)</f>
        <v>1199</v>
      </c>
      <c r="U2567">
        <f>INDEX([1]IDEN_level_ids!$B:$B,MATCH(H2567,[1]IDEN_level_ids!$A:$A,0),1)</f>
        <v>1075</v>
      </c>
    </row>
    <row r="2568" spans="1:21" hidden="1" x14ac:dyDescent="0.25">
      <c r="A2568">
        <v>40704.470999999998</v>
      </c>
      <c r="B2568">
        <v>2456.7325999999998</v>
      </c>
      <c r="C2568">
        <v>15</v>
      </c>
      <c r="D2568" t="s">
        <v>656</v>
      </c>
      <c r="F2568">
        <v>1974</v>
      </c>
      <c r="G2568" s="1" t="s">
        <v>82</v>
      </c>
      <c r="H2568" s="1" t="s">
        <v>557</v>
      </c>
      <c r="I2568">
        <v>0</v>
      </c>
      <c r="J2568">
        <v>40704.467600000004</v>
      </c>
      <c r="K2568">
        <v>-2.0000000000000001E-4</v>
      </c>
      <c r="L2568">
        <v>2.7799999999999999E-3</v>
      </c>
      <c r="M2568">
        <v>4.6100000000000002E-2</v>
      </c>
      <c r="N2568">
        <v>0.12720000000000001</v>
      </c>
      <c r="O2568">
        <v>3.1900000000000001E-3</v>
      </c>
      <c r="P2568" s="3">
        <f t="shared" si="160"/>
        <v>2456.732578590691</v>
      </c>
      <c r="Q2568" s="3">
        <f t="shared" si="161"/>
        <v>-2.0520820544334128E-4</v>
      </c>
      <c r="R2568" s="3">
        <f t="shared" si="162"/>
        <v>2.7799999999999999E-3</v>
      </c>
      <c r="S2568">
        <f t="shared" si="163"/>
        <v>61</v>
      </c>
      <c r="T2568">
        <f>INDEX([1]IDEN_level_ids!$B:$B,MATCH(G2568,[1]IDEN_level_ids!$A:$A,0),1)</f>
        <v>1193</v>
      </c>
      <c r="U2568">
        <f>INDEX([1]IDEN_level_ids!$B:$B,MATCH(H2568,[1]IDEN_level_ids!$A:$A,0),1)</f>
        <v>1069</v>
      </c>
    </row>
    <row r="2569" spans="1:21" hidden="1" x14ac:dyDescent="0.25">
      <c r="A2569">
        <v>40692.099399999999</v>
      </c>
      <c r="B2569">
        <v>2457.4794999999999</v>
      </c>
      <c r="C2569">
        <v>15</v>
      </c>
      <c r="D2569" t="s">
        <v>656</v>
      </c>
      <c r="F2569">
        <v>1974</v>
      </c>
      <c r="G2569" s="1" t="s">
        <v>345</v>
      </c>
      <c r="H2569" s="1" t="s">
        <v>482</v>
      </c>
      <c r="I2569">
        <v>-2.9999999999999997E-4</v>
      </c>
      <c r="J2569">
        <v>40692.075499999999</v>
      </c>
      <c r="K2569">
        <v>-1.4400000000000001E-3</v>
      </c>
      <c r="L2569">
        <v>2.7799999999999999E-3</v>
      </c>
      <c r="M2569">
        <v>4.6100000000000002E-2</v>
      </c>
      <c r="N2569">
        <v>0.18360000000000001</v>
      </c>
      <c r="O2569">
        <v>3.4099999999999998E-3</v>
      </c>
      <c r="P2569" s="3">
        <f t="shared" si="160"/>
        <v>2457.479497850632</v>
      </c>
      <c r="Q2569" s="3">
        <f t="shared" si="161"/>
        <v>-1.4433709579861898E-3</v>
      </c>
      <c r="R2569" s="3">
        <f t="shared" si="162"/>
        <v>2.7799999999999999E-3</v>
      </c>
      <c r="S2569">
        <f t="shared" si="163"/>
        <v>61</v>
      </c>
      <c r="T2569">
        <f>INDEX([1]IDEN_level_ids!$B:$B,MATCH(G2569,[1]IDEN_level_ids!$A:$A,0),1)</f>
        <v>1106</v>
      </c>
      <c r="U2569">
        <f>INDEX([1]IDEN_level_ids!$B:$B,MATCH(H2569,[1]IDEN_level_ids!$A:$A,0),1)</f>
        <v>957</v>
      </c>
    </row>
    <row r="2570" spans="1:21" hidden="1" x14ac:dyDescent="0.25">
      <c r="A2570">
        <v>40672.2307</v>
      </c>
      <c r="B2570">
        <v>2458.6799999999998</v>
      </c>
      <c r="C2570">
        <v>15</v>
      </c>
      <c r="D2570" t="s">
        <v>656</v>
      </c>
      <c r="F2570">
        <v>1974</v>
      </c>
      <c r="G2570" s="1" t="s">
        <v>259</v>
      </c>
      <c r="H2570" s="1" t="s">
        <v>493</v>
      </c>
      <c r="I2570">
        <v>0.14069999999999999</v>
      </c>
      <c r="J2570">
        <v>40672.191099999996</v>
      </c>
      <c r="K2570">
        <v>-2.3900000000000002E-3</v>
      </c>
      <c r="L2570">
        <v>2.7799999999999999E-3</v>
      </c>
      <c r="M2570">
        <v>4.6100000000000002E-2</v>
      </c>
      <c r="N2570">
        <v>0.28249999999999997</v>
      </c>
      <c r="O2570">
        <v>3.8800000000000002E-3</v>
      </c>
      <c r="P2570" s="3">
        <f t="shared" si="160"/>
        <v>2458.679995636433</v>
      </c>
      <c r="Q2570" s="3">
        <f t="shared" si="161"/>
        <v>-2.3938648300827481E-3</v>
      </c>
      <c r="R2570" s="3">
        <f t="shared" si="162"/>
        <v>2.7799999999999999E-3</v>
      </c>
      <c r="S2570">
        <f t="shared" si="163"/>
        <v>61</v>
      </c>
      <c r="T2570">
        <f>INDEX([1]IDEN_level_ids!$B:$B,MATCH(G2570,[1]IDEN_level_ids!$A:$A,0),1)</f>
        <v>1117</v>
      </c>
      <c r="U2570">
        <f>INDEX([1]IDEN_level_ids!$B:$B,MATCH(H2570,[1]IDEN_level_ids!$A:$A,0),1)</f>
        <v>963</v>
      </c>
    </row>
    <row r="2571" spans="1:21" hidden="1" x14ac:dyDescent="0.25">
      <c r="A2571">
        <v>40649.541100000002</v>
      </c>
      <c r="B2571">
        <v>2460.0524</v>
      </c>
      <c r="C2571">
        <v>15</v>
      </c>
      <c r="D2571" t="s">
        <v>656</v>
      </c>
      <c r="F2571">
        <v>1974</v>
      </c>
      <c r="G2571" s="1" t="s">
        <v>252</v>
      </c>
      <c r="H2571" s="1" t="s">
        <v>401</v>
      </c>
      <c r="I2571">
        <v>6.8900000000000003E-2</v>
      </c>
      <c r="J2571">
        <v>40649.516600000003</v>
      </c>
      <c r="K2571">
        <v>-1.48E-3</v>
      </c>
      <c r="L2571">
        <v>2.7899999999999999E-3</v>
      </c>
      <c r="M2571">
        <v>4.6100000000000002E-2</v>
      </c>
      <c r="N2571">
        <v>0.1111</v>
      </c>
      <c r="O2571">
        <v>3.14E-3</v>
      </c>
      <c r="P2571" s="3">
        <f t="shared" si="160"/>
        <v>2460.0523719073421</v>
      </c>
      <c r="Q2571" s="3">
        <f t="shared" si="161"/>
        <v>-1.4827060235802492E-3</v>
      </c>
      <c r="R2571" s="3">
        <f t="shared" si="162"/>
        <v>2.7899999999999999E-3</v>
      </c>
      <c r="S2571">
        <f t="shared" si="163"/>
        <v>61</v>
      </c>
      <c r="T2571">
        <f>INDEX([1]IDEN_level_ids!$B:$B,MATCH(G2571,[1]IDEN_level_ids!$A:$A,0),1)</f>
        <v>1188</v>
      </c>
      <c r="U2571">
        <f>INDEX([1]IDEN_level_ids!$B:$B,MATCH(H2571,[1]IDEN_level_ids!$A:$A,0),1)</f>
        <v>1063</v>
      </c>
    </row>
    <row r="2572" spans="1:21" hidden="1" x14ac:dyDescent="0.25">
      <c r="A2572">
        <v>40641.879099999998</v>
      </c>
      <c r="B2572">
        <v>2460.5162</v>
      </c>
      <c r="C2572">
        <v>15</v>
      </c>
      <c r="D2572" t="s">
        <v>656</v>
      </c>
      <c r="E2572" t="s">
        <v>427</v>
      </c>
      <c r="F2572">
        <v>1974</v>
      </c>
      <c r="G2572" s="1" t="s">
        <v>84</v>
      </c>
      <c r="H2572" s="1" t="s">
        <v>451</v>
      </c>
      <c r="I2572">
        <v>0.38469999999999999</v>
      </c>
      <c r="J2572">
        <v>40641.840199999999</v>
      </c>
      <c r="K2572">
        <v>-2.3600000000000001E-3</v>
      </c>
      <c r="L2572">
        <v>2.9499999999999999E-3</v>
      </c>
      <c r="M2572">
        <v>4.87E-2</v>
      </c>
      <c r="N2572">
        <v>0.11840000000000001</v>
      </c>
      <c r="O2572">
        <v>3.3500000000000001E-3</v>
      </c>
      <c r="P2572" s="3">
        <f t="shared" si="160"/>
        <v>2460.5161526598804</v>
      </c>
      <c r="Q2572" s="3">
        <f t="shared" si="161"/>
        <v>-2.3550626119686058E-3</v>
      </c>
      <c r="R2572" s="3">
        <f t="shared" si="162"/>
        <v>2.9499999999999999E-3</v>
      </c>
      <c r="S2572">
        <f t="shared" si="163"/>
        <v>61</v>
      </c>
      <c r="T2572">
        <f>INDEX([1]IDEN_level_ids!$B:$B,MATCH(G2572,[1]IDEN_level_ids!$A:$A,0),1)</f>
        <v>1191</v>
      </c>
      <c r="U2572">
        <f>INDEX([1]IDEN_level_ids!$B:$B,MATCH(H2572,[1]IDEN_level_ids!$A:$A,0),1)</f>
        <v>1066</v>
      </c>
    </row>
    <row r="2573" spans="1:21" hidden="1" x14ac:dyDescent="0.25">
      <c r="A2573">
        <v>40640.689299999998</v>
      </c>
      <c r="B2573">
        <v>2460.5882000000001</v>
      </c>
      <c r="C2573">
        <v>15</v>
      </c>
      <c r="D2573" t="s">
        <v>656</v>
      </c>
      <c r="F2573">
        <v>1974</v>
      </c>
      <c r="G2573" s="1" t="s">
        <v>245</v>
      </c>
      <c r="H2573" s="1" t="s">
        <v>477</v>
      </c>
      <c r="I2573">
        <v>0.32490000000000002</v>
      </c>
      <c r="J2573">
        <v>40640.625899999999</v>
      </c>
      <c r="K2573">
        <v>-3.8400000000000001E-3</v>
      </c>
      <c r="L2573">
        <v>2.7899999999999999E-3</v>
      </c>
      <c r="M2573">
        <v>4.6100000000000002E-2</v>
      </c>
      <c r="N2573">
        <v>0.13300000000000001</v>
      </c>
      <c r="O2573">
        <v>3.2200000000000002E-3</v>
      </c>
      <c r="P2573" s="3">
        <f t="shared" si="160"/>
        <v>2460.5881869232962</v>
      </c>
      <c r="Q2573" s="3">
        <f t="shared" si="161"/>
        <v>-3.838555327092763E-3</v>
      </c>
      <c r="R2573" s="3">
        <f t="shared" si="162"/>
        <v>2.7899999999999999E-3</v>
      </c>
      <c r="S2573">
        <f t="shared" si="163"/>
        <v>61</v>
      </c>
      <c r="T2573">
        <f>INDEX([1]IDEN_level_ids!$B:$B,MATCH(G2573,[1]IDEN_level_ids!$A:$A,0),1)</f>
        <v>1169</v>
      </c>
      <c r="U2573">
        <f>INDEX([1]IDEN_level_ids!$B:$B,MATCH(H2573,[1]IDEN_level_ids!$A:$A,0),1)</f>
        <v>1045</v>
      </c>
    </row>
    <row r="2574" spans="1:21" hidden="1" x14ac:dyDescent="0.25">
      <c r="A2574">
        <v>40627.770600000003</v>
      </c>
      <c r="B2574">
        <v>2461.3706000000002</v>
      </c>
      <c r="C2574">
        <v>15</v>
      </c>
      <c r="D2574" t="s">
        <v>656</v>
      </c>
      <c r="F2574">
        <v>1974</v>
      </c>
      <c r="G2574" s="1" t="s">
        <v>250</v>
      </c>
      <c r="H2574" s="1" t="s">
        <v>474</v>
      </c>
      <c r="I2574">
        <v>0.2712</v>
      </c>
      <c r="J2574">
        <v>40627.784699999997</v>
      </c>
      <c r="K2574">
        <v>8.4999999999999995E-4</v>
      </c>
      <c r="L2574">
        <v>2.7899999999999999E-3</v>
      </c>
      <c r="M2574">
        <v>4.6100000000000002E-2</v>
      </c>
      <c r="N2574">
        <v>0.2291</v>
      </c>
      <c r="O2574">
        <v>3.62E-3</v>
      </c>
      <c r="P2574" s="3">
        <f t="shared" si="160"/>
        <v>2461.370597578396</v>
      </c>
      <c r="Q2574" s="3">
        <f t="shared" si="161"/>
        <v>8.5422637903320719E-4</v>
      </c>
      <c r="R2574" s="3">
        <f t="shared" si="162"/>
        <v>2.7899999999999999E-3</v>
      </c>
      <c r="S2574">
        <f t="shared" si="163"/>
        <v>61</v>
      </c>
      <c r="T2574">
        <f>INDEX([1]IDEN_level_ids!$B:$B,MATCH(G2574,[1]IDEN_level_ids!$A:$A,0),1)</f>
        <v>1107</v>
      </c>
      <c r="U2574">
        <f>INDEX([1]IDEN_level_ids!$B:$B,MATCH(H2574,[1]IDEN_level_ids!$A:$A,0),1)</f>
        <v>959</v>
      </c>
    </row>
    <row r="2575" spans="1:21" hidden="1" x14ac:dyDescent="0.25">
      <c r="A2575">
        <v>40626.239200000004</v>
      </c>
      <c r="B2575">
        <v>2461.4634000000001</v>
      </c>
      <c r="C2575">
        <v>15</v>
      </c>
      <c r="D2575" t="s">
        <v>656</v>
      </c>
      <c r="E2575" t="s">
        <v>427</v>
      </c>
      <c r="F2575">
        <v>1974</v>
      </c>
      <c r="G2575" s="1" t="s">
        <v>299</v>
      </c>
      <c r="H2575" s="1" t="s">
        <v>473</v>
      </c>
      <c r="I2575">
        <v>0.1031</v>
      </c>
      <c r="J2575">
        <v>40626.267699999997</v>
      </c>
      <c r="K2575">
        <v>1.72E-3</v>
      </c>
      <c r="L2575">
        <v>2.9499999999999999E-3</v>
      </c>
      <c r="M2575">
        <v>4.87E-2</v>
      </c>
      <c r="N2575">
        <v>0.2054</v>
      </c>
      <c r="O2575">
        <v>3.7200000000000002E-3</v>
      </c>
      <c r="P2575" s="3">
        <f t="shared" si="160"/>
        <v>2461.4633785743081</v>
      </c>
      <c r="Q2575" s="3">
        <f t="shared" si="161"/>
        <v>1.7267573480239662E-3</v>
      </c>
      <c r="R2575" s="3">
        <f t="shared" si="162"/>
        <v>2.9499999999999999E-3</v>
      </c>
      <c r="S2575">
        <f t="shared" si="163"/>
        <v>61</v>
      </c>
      <c r="T2575">
        <f>INDEX([1]IDEN_level_ids!$B:$B,MATCH(G2575,[1]IDEN_level_ids!$A:$A,0),1)</f>
        <v>1101</v>
      </c>
      <c r="U2575">
        <f>INDEX([1]IDEN_level_ids!$B:$B,MATCH(H2575,[1]IDEN_level_ids!$A:$A,0),1)</f>
        <v>934</v>
      </c>
    </row>
    <row r="2576" spans="1:21" hidden="1" x14ac:dyDescent="0.25">
      <c r="A2576">
        <v>40602.211199999998</v>
      </c>
      <c r="B2576">
        <v>2462.92</v>
      </c>
      <c r="C2576">
        <v>15</v>
      </c>
      <c r="D2576" t="s">
        <v>656</v>
      </c>
      <c r="F2576">
        <v>1974</v>
      </c>
      <c r="G2576" s="1" t="s">
        <v>238</v>
      </c>
      <c r="H2576" s="1" t="s">
        <v>437</v>
      </c>
      <c r="I2576">
        <v>0.26329999999999998</v>
      </c>
      <c r="J2576">
        <v>40602.212899999999</v>
      </c>
      <c r="K2576">
        <v>1E-4</v>
      </c>
      <c r="L2576">
        <v>2.7899999999999999E-3</v>
      </c>
      <c r="M2576">
        <v>4.6100000000000002E-2</v>
      </c>
      <c r="N2576">
        <v>8.4199999999999997E-2</v>
      </c>
      <c r="O2576">
        <v>3.0500000000000002E-3</v>
      </c>
      <c r="P2576" s="3">
        <f t="shared" si="160"/>
        <v>2462.9200490440285</v>
      </c>
      <c r="Q2576" s="3">
        <f t="shared" si="161"/>
        <v>1.0312157337466488E-4</v>
      </c>
      <c r="R2576" s="3">
        <f t="shared" si="162"/>
        <v>2.7899999999999999E-3</v>
      </c>
      <c r="S2576">
        <f t="shared" si="163"/>
        <v>61</v>
      </c>
      <c r="T2576">
        <f>INDEX([1]IDEN_level_ids!$B:$B,MATCH(G2576,[1]IDEN_level_ids!$A:$A,0),1)</f>
        <v>1165</v>
      </c>
      <c r="U2576">
        <f>INDEX([1]IDEN_level_ids!$B:$B,MATCH(H2576,[1]IDEN_level_ids!$A:$A,0),1)</f>
        <v>1039</v>
      </c>
    </row>
    <row r="2577" spans="1:21" hidden="1" x14ac:dyDescent="0.25">
      <c r="A2577">
        <v>40590.348899999997</v>
      </c>
      <c r="B2577">
        <v>2463.6397999999999</v>
      </c>
      <c r="C2577">
        <v>15</v>
      </c>
      <c r="D2577" t="s">
        <v>656</v>
      </c>
      <c r="F2577">
        <v>1974</v>
      </c>
      <c r="G2577" s="1" t="s">
        <v>275</v>
      </c>
      <c r="H2577" s="1" t="s">
        <v>513</v>
      </c>
      <c r="I2577">
        <v>0.26</v>
      </c>
      <c r="J2577">
        <v>40590.332499999997</v>
      </c>
      <c r="K2577">
        <v>-1E-3</v>
      </c>
      <c r="L2577">
        <v>2.8E-3</v>
      </c>
      <c r="M2577">
        <v>4.6100000000000002E-2</v>
      </c>
      <c r="N2577">
        <v>0.20050000000000001</v>
      </c>
      <c r="O2577">
        <v>3.5000000000000001E-3</v>
      </c>
      <c r="P2577" s="3">
        <f t="shared" si="160"/>
        <v>2463.6398235049419</v>
      </c>
      <c r="Q2577" s="3">
        <f t="shared" si="161"/>
        <v>-9.9540187557067838E-4</v>
      </c>
      <c r="R2577" s="3">
        <f t="shared" si="162"/>
        <v>2.8E-3</v>
      </c>
      <c r="S2577">
        <f t="shared" si="163"/>
        <v>61</v>
      </c>
      <c r="T2577">
        <f>INDEX([1]IDEN_level_ids!$B:$B,MATCH(G2577,[1]IDEN_level_ids!$A:$A,0),1)</f>
        <v>1134</v>
      </c>
      <c r="U2577">
        <f>INDEX([1]IDEN_level_ids!$B:$B,MATCH(H2577,[1]IDEN_level_ids!$A:$A,0),1)</f>
        <v>979</v>
      </c>
    </row>
    <row r="2578" spans="1:21" hidden="1" x14ac:dyDescent="0.25">
      <c r="A2578">
        <v>40583.751400000001</v>
      </c>
      <c r="B2578">
        <v>2464.0403000000001</v>
      </c>
      <c r="C2578">
        <v>15</v>
      </c>
      <c r="D2578" t="s">
        <v>656</v>
      </c>
      <c r="F2578">
        <v>1974</v>
      </c>
      <c r="G2578" s="1" t="s">
        <v>166</v>
      </c>
      <c r="H2578" s="1" t="s">
        <v>431</v>
      </c>
      <c r="I2578">
        <v>0.28649999999999998</v>
      </c>
      <c r="J2578">
        <v>40583.741499999996</v>
      </c>
      <c r="K2578">
        <v>-5.9999999999999995E-4</v>
      </c>
      <c r="L2578">
        <v>2.8E-3</v>
      </c>
      <c r="M2578">
        <v>4.6100000000000002E-2</v>
      </c>
      <c r="N2578">
        <v>9.2700000000000005E-2</v>
      </c>
      <c r="O2578">
        <v>3.0799999999999998E-3</v>
      </c>
      <c r="P2578" s="3">
        <f t="shared" si="160"/>
        <v>2464.0403252617994</v>
      </c>
      <c r="Q2578" s="3">
        <f t="shared" si="161"/>
        <v>-6.0107812441856368E-4</v>
      </c>
      <c r="R2578" s="3">
        <f t="shared" si="162"/>
        <v>2.8E-3</v>
      </c>
      <c r="S2578">
        <f t="shared" si="163"/>
        <v>61</v>
      </c>
      <c r="T2578">
        <f>INDEX([1]IDEN_level_ids!$B:$B,MATCH(G2578,[1]IDEN_level_ids!$A:$A,0),1)</f>
        <v>1186</v>
      </c>
      <c r="U2578">
        <f>INDEX([1]IDEN_level_ids!$B:$B,MATCH(H2578,[1]IDEN_level_ids!$A:$A,0),1)</f>
        <v>1062</v>
      </c>
    </row>
    <row r="2579" spans="1:21" hidden="1" x14ac:dyDescent="0.25">
      <c r="A2579">
        <v>40567.630899999996</v>
      </c>
      <c r="B2579">
        <v>2465.0194999999999</v>
      </c>
      <c r="C2579">
        <v>15</v>
      </c>
      <c r="D2579" t="s">
        <v>656</v>
      </c>
      <c r="F2579">
        <v>1974</v>
      </c>
      <c r="G2579" s="1" t="s">
        <v>86</v>
      </c>
      <c r="H2579" s="1" t="s">
        <v>466</v>
      </c>
      <c r="I2579">
        <v>0.3876</v>
      </c>
      <c r="J2579">
        <v>40567.666100000002</v>
      </c>
      <c r="K2579">
        <v>2.14E-3</v>
      </c>
      <c r="L2579">
        <v>2.8E-3</v>
      </c>
      <c r="M2579">
        <v>4.6100000000000002E-2</v>
      </c>
      <c r="N2579">
        <v>0.1328</v>
      </c>
      <c r="O2579">
        <v>3.2299999999999998E-3</v>
      </c>
      <c r="P2579" s="3">
        <f t="shared" si="160"/>
        <v>2465.0194695002515</v>
      </c>
      <c r="Q2579" s="3">
        <f t="shared" si="161"/>
        <v>2.1388631312220241E-3</v>
      </c>
      <c r="R2579" s="3">
        <f t="shared" si="162"/>
        <v>2.8E-3</v>
      </c>
      <c r="S2579">
        <f t="shared" si="163"/>
        <v>61</v>
      </c>
      <c r="T2579">
        <f>INDEX([1]IDEN_level_ids!$B:$B,MATCH(G2579,[1]IDEN_level_ids!$A:$A,0),1)</f>
        <v>1183</v>
      </c>
      <c r="U2579">
        <f>INDEX([1]IDEN_level_ids!$B:$B,MATCH(H2579,[1]IDEN_level_ids!$A:$A,0),1)</f>
        <v>1061</v>
      </c>
    </row>
    <row r="2580" spans="1:21" hidden="1" x14ac:dyDescent="0.25">
      <c r="A2580">
        <v>40551.210400000004</v>
      </c>
      <c r="B2580">
        <v>2466.0176000000001</v>
      </c>
      <c r="C2580">
        <v>15</v>
      </c>
      <c r="D2580" t="s">
        <v>656</v>
      </c>
      <c r="F2580">
        <v>1974</v>
      </c>
      <c r="G2580" s="1" t="s">
        <v>545</v>
      </c>
      <c r="H2580" s="1" t="s">
        <v>314</v>
      </c>
      <c r="I2580">
        <v>0</v>
      </c>
      <c r="J2580">
        <v>40551.099300000002</v>
      </c>
      <c r="K2580">
        <v>-6.7600000000000004E-3</v>
      </c>
      <c r="L2580">
        <v>2.8E-3</v>
      </c>
      <c r="M2580">
        <v>4.6100000000000002E-2</v>
      </c>
      <c r="N2580">
        <v>0.23530000000000001</v>
      </c>
      <c r="O2580">
        <v>3.6600000000000001E-3</v>
      </c>
      <c r="P2580" s="3">
        <f t="shared" si="160"/>
        <v>2466.0176358138988</v>
      </c>
      <c r="Q2580" s="3">
        <f t="shared" si="161"/>
        <v>-6.7562794615696475E-3</v>
      </c>
      <c r="R2580" s="3">
        <f t="shared" si="162"/>
        <v>2.8E-3</v>
      </c>
      <c r="S2580">
        <f t="shared" si="163"/>
        <v>61</v>
      </c>
      <c r="T2580">
        <f>INDEX([1]IDEN_level_ids!$B:$B,MATCH(G2580,[1]IDEN_level_ids!$A:$A,0),1)</f>
        <v>1081</v>
      </c>
      <c r="U2580">
        <f>INDEX([1]IDEN_level_ids!$B:$B,MATCH(H2580,[1]IDEN_level_ids!$A:$A,0),1)</f>
        <v>889</v>
      </c>
    </row>
    <row r="2581" spans="1:21" hidden="1" x14ac:dyDescent="0.25">
      <c r="A2581">
        <v>40540.689400000003</v>
      </c>
      <c r="B2581">
        <v>2466.6576</v>
      </c>
      <c r="C2581">
        <v>15</v>
      </c>
      <c r="D2581" t="s">
        <v>656</v>
      </c>
      <c r="F2581">
        <v>1974</v>
      </c>
      <c r="G2581" s="1" t="s">
        <v>117</v>
      </c>
      <c r="H2581" s="1" t="s">
        <v>587</v>
      </c>
      <c r="I2581">
        <v>0.13569999999999999</v>
      </c>
      <c r="J2581">
        <v>40540.677900000002</v>
      </c>
      <c r="K2581">
        <v>-6.9999999999999999E-4</v>
      </c>
      <c r="L2581">
        <v>2.8E-3</v>
      </c>
      <c r="M2581">
        <v>4.6100000000000002E-2</v>
      </c>
      <c r="N2581">
        <v>9.5200000000000007E-2</v>
      </c>
      <c r="O2581">
        <v>3.0999999999999999E-3</v>
      </c>
      <c r="P2581" s="3">
        <f t="shared" si="160"/>
        <v>2466.6576094288125</v>
      </c>
      <c r="Q2581" s="3">
        <f t="shared" si="161"/>
        <v>-6.9970617096259957E-4</v>
      </c>
      <c r="R2581" s="3">
        <f t="shared" si="162"/>
        <v>2.8E-3</v>
      </c>
      <c r="S2581">
        <f t="shared" si="163"/>
        <v>61</v>
      </c>
      <c r="T2581">
        <f>INDEX([1]IDEN_level_ids!$B:$B,MATCH(G2581,[1]IDEN_level_ids!$A:$A,0),1)</f>
        <v>1162</v>
      </c>
      <c r="U2581">
        <f>INDEX([1]IDEN_level_ids!$B:$B,MATCH(H2581,[1]IDEN_level_ids!$A:$A,0),1)</f>
        <v>1035</v>
      </c>
    </row>
    <row r="2582" spans="1:21" hidden="1" x14ac:dyDescent="0.25">
      <c r="A2582">
        <v>40536.249900000003</v>
      </c>
      <c r="B2582">
        <v>2466.9277999999999</v>
      </c>
      <c r="C2582">
        <v>15</v>
      </c>
      <c r="D2582" t="s">
        <v>656</v>
      </c>
      <c r="F2582">
        <v>1974</v>
      </c>
      <c r="G2582" s="1" t="s">
        <v>275</v>
      </c>
      <c r="H2582" s="1" t="s">
        <v>589</v>
      </c>
      <c r="I2582">
        <v>0</v>
      </c>
      <c r="J2582">
        <v>40536.235999999997</v>
      </c>
      <c r="K2582">
        <v>-8.4000000000000003E-4</v>
      </c>
      <c r="L2582">
        <v>2.8E-3</v>
      </c>
      <c r="M2582">
        <v>4.6100000000000002E-2</v>
      </c>
      <c r="N2582">
        <v>0.16350000000000001</v>
      </c>
      <c r="O2582">
        <v>3.3500000000000001E-3</v>
      </c>
      <c r="P2582" s="3">
        <f t="shared" si="160"/>
        <v>2466.9277559392585</v>
      </c>
      <c r="Q2582" s="3">
        <f t="shared" si="161"/>
        <v>-8.4591711538450909E-4</v>
      </c>
      <c r="R2582" s="3">
        <f t="shared" si="162"/>
        <v>2.8E-3</v>
      </c>
      <c r="S2582">
        <f t="shared" si="163"/>
        <v>61</v>
      </c>
      <c r="T2582">
        <f>INDEX([1]IDEN_level_ids!$B:$B,MATCH(G2582,[1]IDEN_level_ids!$A:$A,0),1)</f>
        <v>1134</v>
      </c>
      <c r="U2582">
        <f>INDEX([1]IDEN_level_ids!$B:$B,MATCH(H2582,[1]IDEN_level_ids!$A:$A,0),1)</f>
        <v>984</v>
      </c>
    </row>
    <row r="2583" spans="1:21" hidden="1" x14ac:dyDescent="0.25">
      <c r="A2583">
        <v>40531.070800000001</v>
      </c>
      <c r="B2583">
        <v>2467.2429999999999</v>
      </c>
      <c r="C2583">
        <v>15</v>
      </c>
      <c r="D2583" t="s">
        <v>656</v>
      </c>
      <c r="F2583">
        <v>1974</v>
      </c>
      <c r="G2583" s="1" t="s">
        <v>72</v>
      </c>
      <c r="H2583" s="1" t="s">
        <v>381</v>
      </c>
      <c r="I2583">
        <v>0.23219999999999999</v>
      </c>
      <c r="J2583">
        <v>40531.095399999998</v>
      </c>
      <c r="K2583">
        <v>1.49E-3</v>
      </c>
      <c r="L2583">
        <v>2.8E-3</v>
      </c>
      <c r="M2583">
        <v>4.6100000000000002E-2</v>
      </c>
      <c r="N2583">
        <v>0.14269999999999999</v>
      </c>
      <c r="O2583">
        <v>3.2699999999999999E-3</v>
      </c>
      <c r="P2583" s="3">
        <f t="shared" si="160"/>
        <v>2467.242982388711</v>
      </c>
      <c r="Q2583" s="3">
        <f t="shared" si="161"/>
        <v>1.4974719229030597E-3</v>
      </c>
      <c r="R2583" s="3">
        <f t="shared" si="162"/>
        <v>2.8E-3</v>
      </c>
      <c r="S2583">
        <f t="shared" si="163"/>
        <v>61</v>
      </c>
      <c r="T2583">
        <f>INDEX([1]IDEN_level_ids!$B:$B,MATCH(G2583,[1]IDEN_level_ids!$A:$A,0),1)</f>
        <v>1225</v>
      </c>
      <c r="U2583">
        <f>INDEX([1]IDEN_level_ids!$B:$B,MATCH(H2583,[1]IDEN_level_ids!$A:$A,0),1)</f>
        <v>1084</v>
      </c>
    </row>
    <row r="2584" spans="1:21" hidden="1" x14ac:dyDescent="0.25">
      <c r="A2584">
        <v>40527.490400000002</v>
      </c>
      <c r="B2584">
        <v>2467.4609999999998</v>
      </c>
      <c r="C2584">
        <v>15</v>
      </c>
      <c r="D2584" t="s">
        <v>656</v>
      </c>
      <c r="E2584" t="s">
        <v>236</v>
      </c>
      <c r="F2584">
        <v>1974</v>
      </c>
      <c r="G2584" s="1" t="s">
        <v>40</v>
      </c>
      <c r="H2584" s="1" t="s">
        <v>464</v>
      </c>
      <c r="I2584">
        <v>0</v>
      </c>
      <c r="J2584">
        <v>40527.508900000001</v>
      </c>
      <c r="K2584">
        <v>1.1299999999999999E-3</v>
      </c>
      <c r="L2584">
        <v>1.4400000000000001E-3</v>
      </c>
      <c r="M2584">
        <v>2.3599999999999999E-2</v>
      </c>
      <c r="N2584">
        <v>0.35410000000000003</v>
      </c>
      <c r="O2584">
        <v>2.2200000000000002E-3</v>
      </c>
      <c r="P2584" s="3">
        <f t="shared" si="160"/>
        <v>2467.4609509006259</v>
      </c>
      <c r="Q2584" s="3">
        <f t="shared" si="161"/>
        <v>1.1263467413300532E-3</v>
      </c>
      <c r="R2584" s="3">
        <f t="shared" si="162"/>
        <v>1.4400000000000001E-3</v>
      </c>
      <c r="S2584">
        <f t="shared" si="163"/>
        <v>61</v>
      </c>
      <c r="T2584">
        <f>INDEX([1]IDEN_level_ids!$B:$B,MATCH(G2584,[1]IDEN_level_ids!$A:$A,0),1)</f>
        <v>1199</v>
      </c>
      <c r="U2584">
        <f>INDEX([1]IDEN_level_ids!$B:$B,MATCH(H2584,[1]IDEN_level_ids!$A:$A,0),1)</f>
        <v>1076</v>
      </c>
    </row>
    <row r="2585" spans="1:21" hidden="1" x14ac:dyDescent="0.25">
      <c r="A2585">
        <v>40518.229399999997</v>
      </c>
      <c r="B2585">
        <v>2468.0248999999999</v>
      </c>
      <c r="C2585">
        <v>15</v>
      </c>
      <c r="D2585" t="s">
        <v>656</v>
      </c>
      <c r="F2585">
        <v>1974</v>
      </c>
      <c r="G2585" s="1" t="s">
        <v>207</v>
      </c>
      <c r="H2585" s="1" t="s">
        <v>410</v>
      </c>
      <c r="I2585">
        <v>0.1043</v>
      </c>
      <c r="J2585">
        <v>40518.283499999998</v>
      </c>
      <c r="K2585">
        <v>3.29E-3</v>
      </c>
      <c r="L2585">
        <v>2.81E-3</v>
      </c>
      <c r="M2585">
        <v>4.6100000000000002E-2</v>
      </c>
      <c r="N2585">
        <v>0.11509999999999999</v>
      </c>
      <c r="O2585">
        <v>3.1700000000000001E-3</v>
      </c>
      <c r="P2585" s="3">
        <f t="shared" si="160"/>
        <v>2468.024923122628</v>
      </c>
      <c r="Q2585" s="3">
        <f t="shared" si="161"/>
        <v>3.2953061386251647E-3</v>
      </c>
      <c r="R2585" s="3">
        <f t="shared" si="162"/>
        <v>2.81E-3</v>
      </c>
      <c r="S2585">
        <f t="shared" si="163"/>
        <v>61</v>
      </c>
      <c r="T2585">
        <f>INDEX([1]IDEN_level_ids!$B:$B,MATCH(G2585,[1]IDEN_level_ids!$A:$A,0),1)</f>
        <v>1177</v>
      </c>
      <c r="U2585">
        <f>INDEX([1]IDEN_level_ids!$B:$B,MATCH(H2585,[1]IDEN_level_ids!$A:$A,0),1)</f>
        <v>1056</v>
      </c>
    </row>
    <row r="2586" spans="1:21" hidden="1" x14ac:dyDescent="0.25">
      <c r="A2586">
        <v>40515.5196</v>
      </c>
      <c r="B2586">
        <v>2468.19</v>
      </c>
      <c r="C2586">
        <v>15</v>
      </c>
      <c r="D2586" t="s">
        <v>656</v>
      </c>
      <c r="E2586" t="s">
        <v>427</v>
      </c>
      <c r="F2586">
        <v>1974</v>
      </c>
      <c r="G2586" s="1" t="s">
        <v>108</v>
      </c>
      <c r="H2586" s="1" t="s">
        <v>510</v>
      </c>
      <c r="I2586">
        <v>0</v>
      </c>
      <c r="J2586">
        <v>40515.469499999999</v>
      </c>
      <c r="K2586">
        <v>-3.0500000000000002E-3</v>
      </c>
      <c r="L2586">
        <v>2.97E-3</v>
      </c>
      <c r="M2586">
        <v>4.87E-2</v>
      </c>
      <c r="N2586">
        <v>0.24640000000000001</v>
      </c>
      <c r="O2586">
        <v>3.9399999999999999E-3</v>
      </c>
      <c r="P2586" s="3">
        <f t="shared" si="160"/>
        <v>2468.1899920641767</v>
      </c>
      <c r="Q2586" s="3">
        <f t="shared" si="161"/>
        <v>-3.0520766545123479E-3</v>
      </c>
      <c r="R2586" s="3">
        <f t="shared" si="162"/>
        <v>2.97E-3</v>
      </c>
      <c r="S2586">
        <f t="shared" si="163"/>
        <v>61</v>
      </c>
      <c r="T2586">
        <f>INDEX([1]IDEN_level_ids!$B:$B,MATCH(G2586,[1]IDEN_level_ids!$A:$A,0),1)</f>
        <v>1149</v>
      </c>
      <c r="U2586">
        <f>INDEX([1]IDEN_level_ids!$B:$B,MATCH(H2586,[1]IDEN_level_ids!$A:$A,0),1)</f>
        <v>1006</v>
      </c>
    </row>
    <row r="2587" spans="1:21" hidden="1" x14ac:dyDescent="0.25">
      <c r="A2587">
        <v>40508.609299999996</v>
      </c>
      <c r="B2587">
        <v>2468.6109999999999</v>
      </c>
      <c r="C2587">
        <v>15</v>
      </c>
      <c r="D2587" t="s">
        <v>656</v>
      </c>
      <c r="F2587">
        <v>1974</v>
      </c>
      <c r="G2587" s="1" t="s">
        <v>71</v>
      </c>
      <c r="H2587" s="1" t="s">
        <v>410</v>
      </c>
      <c r="I2587">
        <v>0.1043</v>
      </c>
      <c r="J2587">
        <v>40508.614600000001</v>
      </c>
      <c r="K2587">
        <v>3.2000000000000003E-4</v>
      </c>
      <c r="L2587">
        <v>2.81E-3</v>
      </c>
      <c r="M2587">
        <v>4.6100000000000002E-2</v>
      </c>
      <c r="N2587">
        <v>0.1133</v>
      </c>
      <c r="O2587">
        <v>3.1700000000000001E-3</v>
      </c>
      <c r="P2587" s="3">
        <f t="shared" si="160"/>
        <v>2468.6110367160891</v>
      </c>
      <c r="Q2587" s="3">
        <f t="shared" si="161"/>
        <v>3.2298410178555059E-4</v>
      </c>
      <c r="R2587" s="3">
        <f t="shared" si="162"/>
        <v>2.81E-3</v>
      </c>
      <c r="S2587">
        <f t="shared" si="163"/>
        <v>61</v>
      </c>
      <c r="T2587">
        <f>INDEX([1]IDEN_level_ids!$B:$B,MATCH(G2587,[1]IDEN_level_ids!$A:$A,0),1)</f>
        <v>1179</v>
      </c>
      <c r="U2587">
        <f>INDEX([1]IDEN_level_ids!$B:$B,MATCH(H2587,[1]IDEN_level_ids!$A:$A,0),1)</f>
        <v>1056</v>
      </c>
    </row>
    <row r="2588" spans="1:21" hidden="1" x14ac:dyDescent="0.25">
      <c r="A2588">
        <v>40503.159699999997</v>
      </c>
      <c r="B2588">
        <v>2468.9432000000002</v>
      </c>
      <c r="C2588">
        <v>15</v>
      </c>
      <c r="D2588" t="s">
        <v>656</v>
      </c>
      <c r="F2588">
        <v>1974</v>
      </c>
      <c r="G2588" s="1" t="s">
        <v>86</v>
      </c>
      <c r="H2588" s="1" t="s">
        <v>458</v>
      </c>
      <c r="I2588">
        <v>0</v>
      </c>
      <c r="J2588">
        <v>40503.147199999999</v>
      </c>
      <c r="K2588">
        <v>-7.6000000000000004E-4</v>
      </c>
      <c r="L2588">
        <v>2.81E-3</v>
      </c>
      <c r="M2588">
        <v>4.6100000000000002E-2</v>
      </c>
      <c r="N2588">
        <v>0.1305</v>
      </c>
      <c r="O2588">
        <v>3.2299999999999998E-3</v>
      </c>
      <c r="P2588" s="3">
        <f t="shared" si="160"/>
        <v>2468.9431822278302</v>
      </c>
      <c r="Q2588" s="3">
        <f t="shared" si="161"/>
        <v>-7.6196028976482921E-4</v>
      </c>
      <c r="R2588" s="3">
        <f t="shared" si="162"/>
        <v>2.81E-3</v>
      </c>
      <c r="S2588">
        <f t="shared" si="163"/>
        <v>61</v>
      </c>
      <c r="T2588">
        <f>INDEX([1]IDEN_level_ids!$B:$B,MATCH(G2588,[1]IDEN_level_ids!$A:$A,0),1)</f>
        <v>1183</v>
      </c>
      <c r="U2588">
        <f>INDEX([1]IDEN_level_ids!$B:$B,MATCH(H2588,[1]IDEN_level_ids!$A:$A,0),1)</f>
        <v>1064</v>
      </c>
    </row>
    <row r="2589" spans="1:21" hidden="1" x14ac:dyDescent="0.25">
      <c r="A2589">
        <v>40496.039599999996</v>
      </c>
      <c r="B2589">
        <v>2469.3773000000001</v>
      </c>
      <c r="C2589">
        <v>15</v>
      </c>
      <c r="D2589" t="s">
        <v>656</v>
      </c>
      <c r="F2589">
        <v>1974</v>
      </c>
      <c r="G2589" s="1" t="s">
        <v>238</v>
      </c>
      <c r="H2589" s="1" t="s">
        <v>582</v>
      </c>
      <c r="I2589">
        <v>-0.25890000000000002</v>
      </c>
      <c r="J2589">
        <v>40496.072800000002</v>
      </c>
      <c r="K2589">
        <v>2.0200000000000001E-3</v>
      </c>
      <c r="L2589">
        <v>2.81E-3</v>
      </c>
      <c r="M2589">
        <v>4.6100000000000002E-2</v>
      </c>
      <c r="N2589">
        <v>0.1424</v>
      </c>
      <c r="O2589">
        <v>3.2799999999999999E-3</v>
      </c>
      <c r="P2589" s="3">
        <f t="shared" si="160"/>
        <v>2469.3772770806954</v>
      </c>
      <c r="Q2589" s="3">
        <f t="shared" si="161"/>
        <v>2.0244759539309598E-3</v>
      </c>
      <c r="R2589" s="3">
        <f t="shared" si="162"/>
        <v>2.81E-3</v>
      </c>
      <c r="S2589">
        <f t="shared" si="163"/>
        <v>61</v>
      </c>
      <c r="T2589">
        <f>INDEX([1]IDEN_level_ids!$B:$B,MATCH(G2589,[1]IDEN_level_ids!$A:$A,0),1)</f>
        <v>1165</v>
      </c>
      <c r="U2589">
        <f>INDEX([1]IDEN_level_ids!$B:$B,MATCH(H2589,[1]IDEN_level_ids!$A:$A,0),1)</f>
        <v>1042</v>
      </c>
    </row>
    <row r="2590" spans="1:21" hidden="1" x14ac:dyDescent="0.25">
      <c r="A2590">
        <v>40484.950900000003</v>
      </c>
      <c r="B2590">
        <v>2470.0536000000002</v>
      </c>
      <c r="C2590">
        <v>15</v>
      </c>
      <c r="D2590" t="s">
        <v>656</v>
      </c>
      <c r="F2590">
        <v>1974</v>
      </c>
      <c r="G2590" s="1" t="s">
        <v>140</v>
      </c>
      <c r="H2590" s="1" t="s">
        <v>398</v>
      </c>
      <c r="I2590">
        <v>0.31929999999999997</v>
      </c>
      <c r="J2590">
        <v>40484.997499999998</v>
      </c>
      <c r="K2590">
        <v>2.8500000000000001E-3</v>
      </c>
      <c r="L2590">
        <v>2.81E-3</v>
      </c>
      <c r="M2590">
        <v>4.6100000000000002E-2</v>
      </c>
      <c r="N2590">
        <v>0.1081</v>
      </c>
      <c r="O2590">
        <v>3.15E-3</v>
      </c>
      <c r="P2590" s="3">
        <f t="shared" si="160"/>
        <v>2470.0536317063925</v>
      </c>
      <c r="Q2590" s="3">
        <f t="shared" si="161"/>
        <v>2.8431395903680823E-3</v>
      </c>
      <c r="R2590" s="3">
        <f t="shared" si="162"/>
        <v>2.81E-3</v>
      </c>
      <c r="S2590">
        <f t="shared" si="163"/>
        <v>61</v>
      </c>
      <c r="T2590">
        <f>INDEX([1]IDEN_level_ids!$B:$B,MATCH(G2590,[1]IDEN_level_ids!$A:$A,0),1)</f>
        <v>1198</v>
      </c>
      <c r="U2590">
        <f>INDEX([1]IDEN_level_ids!$B:$B,MATCH(H2590,[1]IDEN_level_ids!$A:$A,0),1)</f>
        <v>1075</v>
      </c>
    </row>
    <row r="2591" spans="1:21" hidden="1" x14ac:dyDescent="0.25">
      <c r="A2591">
        <v>40476.9395</v>
      </c>
      <c r="B2591">
        <v>2470.5425</v>
      </c>
      <c r="C2591">
        <v>15</v>
      </c>
      <c r="D2591" t="s">
        <v>656</v>
      </c>
      <c r="F2591">
        <v>1974</v>
      </c>
      <c r="G2591" s="1" t="s">
        <v>361</v>
      </c>
      <c r="H2591" s="1" t="s">
        <v>513</v>
      </c>
      <c r="I2591">
        <v>0.26</v>
      </c>
      <c r="J2591">
        <v>40476.980300000003</v>
      </c>
      <c r="K2591">
        <v>2.49E-3</v>
      </c>
      <c r="L2591">
        <v>2.81E-3</v>
      </c>
      <c r="M2591">
        <v>4.6100000000000002E-2</v>
      </c>
      <c r="N2591">
        <v>0.22839999999999999</v>
      </c>
      <c r="O2591">
        <v>3.64E-3</v>
      </c>
      <c r="P2591" s="3">
        <f t="shared" si="160"/>
        <v>2470.5425171782072</v>
      </c>
      <c r="Q2591" s="3">
        <f t="shared" si="161"/>
        <v>2.4902582645154325E-3</v>
      </c>
      <c r="R2591" s="3">
        <f t="shared" si="162"/>
        <v>2.81E-3</v>
      </c>
      <c r="S2591">
        <f t="shared" si="163"/>
        <v>61</v>
      </c>
      <c r="T2591">
        <f>INDEX([1]IDEN_level_ids!$B:$B,MATCH(G2591,[1]IDEN_level_ids!$A:$A,0),1)</f>
        <v>1133</v>
      </c>
      <c r="U2591">
        <f>INDEX([1]IDEN_level_ids!$B:$B,MATCH(H2591,[1]IDEN_level_ids!$A:$A,0),1)</f>
        <v>979</v>
      </c>
    </row>
    <row r="2592" spans="1:21" hidden="1" x14ac:dyDescent="0.25">
      <c r="A2592">
        <v>40454.729599999999</v>
      </c>
      <c r="B2592">
        <v>2471.8989000000001</v>
      </c>
      <c r="C2592">
        <v>15</v>
      </c>
      <c r="D2592" t="s">
        <v>656</v>
      </c>
      <c r="F2592">
        <v>1974</v>
      </c>
      <c r="G2592" s="1" t="s">
        <v>81</v>
      </c>
      <c r="H2592" s="1" t="s">
        <v>518</v>
      </c>
      <c r="I2592">
        <v>0</v>
      </c>
      <c r="J2592">
        <v>40454.674800000001</v>
      </c>
      <c r="K2592">
        <v>-3.3500000000000001E-3</v>
      </c>
      <c r="L2592">
        <v>2.81E-3</v>
      </c>
      <c r="M2592">
        <v>4.6100000000000002E-2</v>
      </c>
      <c r="N2592">
        <v>0.17449999999999999</v>
      </c>
      <c r="O2592">
        <v>3.4099999999999998E-3</v>
      </c>
      <c r="P2592" s="3">
        <f t="shared" si="160"/>
        <v>2471.8988604981309</v>
      </c>
      <c r="Q2592" s="3">
        <f t="shared" si="161"/>
        <v>-3.3484401546957088E-3</v>
      </c>
      <c r="R2592" s="3">
        <f t="shared" si="162"/>
        <v>2.81E-3</v>
      </c>
      <c r="S2592">
        <f t="shared" si="163"/>
        <v>61</v>
      </c>
      <c r="T2592">
        <f>INDEX([1]IDEN_level_ids!$B:$B,MATCH(G2592,[1]IDEN_level_ids!$A:$A,0),1)</f>
        <v>1196</v>
      </c>
      <c r="U2592">
        <f>INDEX([1]IDEN_level_ids!$B:$B,MATCH(H2592,[1]IDEN_level_ids!$A:$A,0),1)</f>
        <v>1074</v>
      </c>
    </row>
    <row r="2593" spans="1:21" hidden="1" x14ac:dyDescent="0.25">
      <c r="A2593">
        <v>40434.700599999996</v>
      </c>
      <c r="B2593">
        <v>2473.1233000000002</v>
      </c>
      <c r="C2593">
        <v>15</v>
      </c>
      <c r="D2593" t="s">
        <v>656</v>
      </c>
      <c r="F2593">
        <v>1974</v>
      </c>
      <c r="G2593" s="1" t="s">
        <v>262</v>
      </c>
      <c r="H2593" s="1" t="s">
        <v>491</v>
      </c>
      <c r="I2593">
        <v>0</v>
      </c>
      <c r="J2593">
        <v>40434.654799999997</v>
      </c>
      <c r="K2593">
        <v>-2.8E-3</v>
      </c>
      <c r="L2593">
        <v>2.82E-3</v>
      </c>
      <c r="M2593">
        <v>4.6100000000000002E-2</v>
      </c>
      <c r="N2593">
        <v>0.2457</v>
      </c>
      <c r="O2593">
        <v>3.7399999999999998E-3</v>
      </c>
      <c r="P2593" s="3">
        <f t="shared" si="160"/>
        <v>2473.1232954894194</v>
      </c>
      <c r="Q2593" s="3">
        <f t="shared" si="161"/>
        <v>-2.8012863594994997E-3</v>
      </c>
      <c r="R2593" s="3">
        <f t="shared" si="162"/>
        <v>2.82E-3</v>
      </c>
      <c r="S2593">
        <f t="shared" si="163"/>
        <v>61</v>
      </c>
      <c r="T2593">
        <f>INDEX([1]IDEN_level_ids!$B:$B,MATCH(G2593,[1]IDEN_level_ids!$A:$A,0),1)</f>
        <v>1115</v>
      </c>
      <c r="U2593">
        <f>INDEX([1]IDEN_level_ids!$B:$B,MATCH(H2593,[1]IDEN_level_ids!$A:$A,0),1)</f>
        <v>967</v>
      </c>
    </row>
    <row r="2594" spans="1:21" hidden="1" x14ac:dyDescent="0.25">
      <c r="A2594">
        <v>40417.620000000003</v>
      </c>
      <c r="B2594">
        <v>2474.1684</v>
      </c>
      <c r="C2594">
        <v>15</v>
      </c>
      <c r="D2594" t="s">
        <v>656</v>
      </c>
      <c r="E2594" t="s">
        <v>427</v>
      </c>
      <c r="F2594">
        <v>1974</v>
      </c>
      <c r="G2594" s="1" t="s">
        <v>141</v>
      </c>
      <c r="H2594" s="1" t="s">
        <v>461</v>
      </c>
      <c r="I2594">
        <v>0.24510000000000001</v>
      </c>
      <c r="J2594">
        <v>40417.574699999997</v>
      </c>
      <c r="K2594">
        <v>-2.7799999999999999E-3</v>
      </c>
      <c r="L2594">
        <v>2.98E-3</v>
      </c>
      <c r="M2594">
        <v>4.87E-2</v>
      </c>
      <c r="N2594">
        <v>7.2700000000000001E-2</v>
      </c>
      <c r="O2594">
        <v>3.2200000000000002E-3</v>
      </c>
      <c r="P2594" s="3">
        <f t="shared" si="160"/>
        <v>2474.1684443566937</v>
      </c>
      <c r="Q2594" s="3">
        <f t="shared" si="161"/>
        <v>-2.7730469078051101E-3</v>
      </c>
      <c r="R2594" s="3">
        <f t="shared" si="162"/>
        <v>2.98E-3</v>
      </c>
      <c r="S2594">
        <f t="shared" si="163"/>
        <v>61</v>
      </c>
      <c r="T2594">
        <f>INDEX([1]IDEN_level_ids!$B:$B,MATCH(G2594,[1]IDEN_level_ids!$A:$A,0),1)</f>
        <v>1155</v>
      </c>
      <c r="U2594">
        <f>INDEX([1]IDEN_level_ids!$B:$B,MATCH(H2594,[1]IDEN_level_ids!$A:$A,0),1)</f>
        <v>1017</v>
      </c>
    </row>
    <row r="2595" spans="1:21" hidden="1" x14ac:dyDescent="0.25">
      <c r="A2595">
        <v>40402.938900000001</v>
      </c>
      <c r="B2595">
        <v>2475.0675000000001</v>
      </c>
      <c r="C2595">
        <v>15</v>
      </c>
      <c r="D2595" t="s">
        <v>657</v>
      </c>
      <c r="F2595">
        <v>1974</v>
      </c>
      <c r="G2595" s="1" t="s">
        <v>302</v>
      </c>
      <c r="H2595" s="1" t="s">
        <v>473</v>
      </c>
      <c r="I2595">
        <v>0.1031</v>
      </c>
      <c r="J2595">
        <v>40402.838900000002</v>
      </c>
      <c r="K2595">
        <v>-6.13E-3</v>
      </c>
      <c r="L2595">
        <v>2.82E-3</v>
      </c>
      <c r="M2595">
        <v>4.6100000000000002E-2</v>
      </c>
      <c r="N2595">
        <v>0.23180000000000001</v>
      </c>
      <c r="O2595">
        <v>3.6700000000000001E-3</v>
      </c>
      <c r="P2595" s="3">
        <f t="shared" si="160"/>
        <v>2475.0674758464165</v>
      </c>
      <c r="Q2595" s="3">
        <f t="shared" si="161"/>
        <v>-6.1259741723915795E-3</v>
      </c>
      <c r="R2595" s="3">
        <f t="shared" si="162"/>
        <v>2.82E-3</v>
      </c>
      <c r="S2595">
        <f t="shared" si="163"/>
        <v>62</v>
      </c>
      <c r="T2595">
        <f>INDEX([1]IDEN_level_ids!$B:$B,MATCH(G2595,[1]IDEN_level_ids!$A:$A,0),1)</f>
        <v>1100</v>
      </c>
      <c r="U2595">
        <f>INDEX([1]IDEN_level_ids!$B:$B,MATCH(H2595,[1]IDEN_level_ids!$A:$A,0),1)</f>
        <v>934</v>
      </c>
    </row>
    <row r="2596" spans="1:21" hidden="1" x14ac:dyDescent="0.25">
      <c r="A2596">
        <v>40386.2399</v>
      </c>
      <c r="B2596">
        <v>2476.0909000000001</v>
      </c>
      <c r="C2596">
        <v>15</v>
      </c>
      <c r="D2596" t="s">
        <v>657</v>
      </c>
      <c r="F2596">
        <v>1974</v>
      </c>
      <c r="G2596" s="1" t="s">
        <v>71</v>
      </c>
      <c r="H2596" s="1" t="s">
        <v>377</v>
      </c>
      <c r="I2596">
        <v>0.33889999999999998</v>
      </c>
      <c r="J2596">
        <v>40386.247100000001</v>
      </c>
      <c r="K2596">
        <v>4.4000000000000002E-4</v>
      </c>
      <c r="L2596">
        <v>2.82E-3</v>
      </c>
      <c r="M2596">
        <v>4.6100000000000002E-2</v>
      </c>
      <c r="N2596">
        <v>9.01E-2</v>
      </c>
      <c r="O2596">
        <v>3.0999999999999999E-3</v>
      </c>
      <c r="P2596" s="3">
        <f t="shared" si="160"/>
        <v>2476.0908727232118</v>
      </c>
      <c r="Q2596" s="3">
        <f t="shared" si="161"/>
        <v>4.4143379409433692E-4</v>
      </c>
      <c r="R2596" s="3">
        <f t="shared" si="162"/>
        <v>2.82E-3</v>
      </c>
      <c r="S2596">
        <f t="shared" si="163"/>
        <v>62</v>
      </c>
      <c r="T2596">
        <f>INDEX([1]IDEN_level_ids!$B:$B,MATCH(G2596,[1]IDEN_level_ids!$A:$A,0),1)</f>
        <v>1179</v>
      </c>
      <c r="U2596">
        <f>INDEX([1]IDEN_level_ids!$B:$B,MATCH(H2596,[1]IDEN_level_ids!$A:$A,0),1)</f>
        <v>1057</v>
      </c>
    </row>
    <row r="2597" spans="1:21" hidden="1" x14ac:dyDescent="0.25">
      <c r="A2597">
        <v>40380.549099999997</v>
      </c>
      <c r="B2597">
        <v>2476.4398000000001</v>
      </c>
      <c r="C2597">
        <v>15</v>
      </c>
      <c r="D2597" t="s">
        <v>657</v>
      </c>
      <c r="F2597">
        <v>1974</v>
      </c>
      <c r="G2597" s="1" t="s">
        <v>278</v>
      </c>
      <c r="H2597" s="1" t="s">
        <v>509</v>
      </c>
      <c r="I2597">
        <v>0.21629999999999999</v>
      </c>
      <c r="J2597">
        <v>40380.547200000001</v>
      </c>
      <c r="K2597">
        <v>-1.2E-4</v>
      </c>
      <c r="L2597">
        <v>2.8300000000000001E-3</v>
      </c>
      <c r="M2597">
        <v>4.6100000000000002E-2</v>
      </c>
      <c r="N2597">
        <v>0.20860000000000001</v>
      </c>
      <c r="O2597">
        <v>3.5699999999999998E-3</v>
      </c>
      <c r="P2597" s="3">
        <f t="shared" si="160"/>
        <v>2476.4398263222233</v>
      </c>
      <c r="Q2597" s="3">
        <f t="shared" si="161"/>
        <v>-1.1652233524728217E-4</v>
      </c>
      <c r="R2597" s="3">
        <f t="shared" si="162"/>
        <v>2.8300000000000001E-3</v>
      </c>
      <c r="S2597">
        <f t="shared" si="163"/>
        <v>62</v>
      </c>
      <c r="T2597">
        <f>INDEX([1]IDEN_level_ids!$B:$B,MATCH(G2597,[1]IDEN_level_ids!$A:$A,0),1)</f>
        <v>1102</v>
      </c>
      <c r="U2597">
        <f>INDEX([1]IDEN_level_ids!$B:$B,MATCH(H2597,[1]IDEN_level_ids!$A:$A,0),1)</f>
        <v>956</v>
      </c>
    </row>
    <row r="2598" spans="1:21" hidden="1" x14ac:dyDescent="0.25">
      <c r="A2598">
        <v>40376.401299999998</v>
      </c>
      <c r="B2598">
        <v>2476.6941999999999</v>
      </c>
      <c r="C2598">
        <v>15</v>
      </c>
      <c r="D2598" t="s">
        <v>657</v>
      </c>
      <c r="F2598">
        <v>1974</v>
      </c>
      <c r="G2598" s="1" t="s">
        <v>398</v>
      </c>
      <c r="H2598" s="1" t="s">
        <v>641</v>
      </c>
      <c r="I2598">
        <v>-0.31929999999999997</v>
      </c>
      <c r="J2598">
        <v>40376.464800000002</v>
      </c>
      <c r="K2598">
        <v>3.8999999999999998E-3</v>
      </c>
      <c r="L2598">
        <v>2.8300000000000001E-3</v>
      </c>
      <c r="M2598">
        <v>4.6100000000000002E-2</v>
      </c>
      <c r="N2598">
        <v>0.24940000000000001</v>
      </c>
      <c r="O2598">
        <v>3.7599999999999999E-3</v>
      </c>
      <c r="P2598" s="3">
        <f t="shared" si="160"/>
        <v>2476.6942268329399</v>
      </c>
      <c r="Q2598" s="3">
        <f t="shared" si="161"/>
        <v>3.8950929506427201E-3</v>
      </c>
      <c r="R2598" s="3">
        <f t="shared" si="162"/>
        <v>2.8300000000000001E-3</v>
      </c>
      <c r="S2598">
        <f t="shared" si="163"/>
        <v>62</v>
      </c>
      <c r="T2598">
        <f>INDEX([1]IDEN_level_ids!$B:$B,MATCH(G2598,[1]IDEN_level_ids!$A:$A,0),1)</f>
        <v>1075</v>
      </c>
      <c r="U2598">
        <f>INDEX([1]IDEN_level_ids!$B:$B,MATCH(H2598,[1]IDEN_level_ids!$A:$A,0),1)</f>
        <v>880</v>
      </c>
    </row>
    <row r="2599" spans="1:21" hidden="1" x14ac:dyDescent="0.25">
      <c r="A2599">
        <v>40374.480100000001</v>
      </c>
      <c r="B2599">
        <v>2476.8121000000001</v>
      </c>
      <c r="C2599">
        <v>15</v>
      </c>
      <c r="D2599" t="s">
        <v>657</v>
      </c>
      <c r="E2599" t="s">
        <v>427</v>
      </c>
      <c r="F2599">
        <v>1974</v>
      </c>
      <c r="G2599" s="1" t="s">
        <v>194</v>
      </c>
      <c r="H2599" s="1" t="s">
        <v>451</v>
      </c>
      <c r="I2599">
        <v>0.38469999999999999</v>
      </c>
      <c r="J2599">
        <v>40374.648099999999</v>
      </c>
      <c r="K2599">
        <v>1.031E-2</v>
      </c>
      <c r="L2599">
        <v>2.99E-3</v>
      </c>
      <c r="M2599">
        <v>4.87E-2</v>
      </c>
      <c r="N2599">
        <v>8.09E-2</v>
      </c>
      <c r="O2599">
        <v>3.2499999999999999E-3</v>
      </c>
      <c r="P2599" s="3">
        <f t="shared" si="160"/>
        <v>2476.8120791232182</v>
      </c>
      <c r="Q2599" s="3">
        <f t="shared" si="161"/>
        <v>1.0306081882390572E-2</v>
      </c>
      <c r="R2599" s="3">
        <f t="shared" si="162"/>
        <v>2.99E-3</v>
      </c>
      <c r="S2599">
        <f t="shared" si="163"/>
        <v>62</v>
      </c>
      <c r="T2599">
        <f>INDEX([1]IDEN_level_ids!$B:$B,MATCH(G2599,[1]IDEN_level_ids!$A:$A,0),1)</f>
        <v>1187</v>
      </c>
      <c r="U2599">
        <f>INDEX([1]IDEN_level_ids!$B:$B,MATCH(H2599,[1]IDEN_level_ids!$A:$A,0),1)</f>
        <v>1066</v>
      </c>
    </row>
    <row r="2600" spans="1:21" hidden="1" x14ac:dyDescent="0.25">
      <c r="A2600">
        <v>40356.309699999998</v>
      </c>
      <c r="B2600">
        <v>2477.9272999999998</v>
      </c>
      <c r="C2600">
        <v>15</v>
      </c>
      <c r="D2600" t="s">
        <v>657</v>
      </c>
      <c r="F2600">
        <v>1974</v>
      </c>
      <c r="G2600" s="1" t="s">
        <v>207</v>
      </c>
      <c r="H2600" s="1" t="s">
        <v>600</v>
      </c>
      <c r="I2600">
        <v>0</v>
      </c>
      <c r="J2600">
        <v>40356.294999999998</v>
      </c>
      <c r="K2600">
        <v>-8.9999999999999998E-4</v>
      </c>
      <c r="L2600">
        <v>2.8300000000000001E-3</v>
      </c>
      <c r="M2600">
        <v>4.6100000000000002E-2</v>
      </c>
      <c r="N2600">
        <v>0.1198</v>
      </c>
      <c r="O2600">
        <v>3.2100000000000002E-3</v>
      </c>
      <c r="P2600" s="3">
        <f t="shared" si="160"/>
        <v>2477.9272620162296</v>
      </c>
      <c r="Q2600" s="3">
        <f t="shared" si="161"/>
        <v>-9.0259848548157606E-4</v>
      </c>
      <c r="R2600" s="3">
        <f t="shared" si="162"/>
        <v>2.8300000000000001E-3</v>
      </c>
      <c r="S2600">
        <f t="shared" si="163"/>
        <v>62</v>
      </c>
      <c r="T2600">
        <f>INDEX([1]IDEN_level_ids!$B:$B,MATCH(G2600,[1]IDEN_level_ids!$A:$A,0),1)</f>
        <v>1177</v>
      </c>
      <c r="U2600">
        <f>INDEX([1]IDEN_level_ids!$B:$B,MATCH(H2600,[1]IDEN_level_ids!$A:$A,0),1)</f>
        <v>1058</v>
      </c>
    </row>
    <row r="2601" spans="1:21" hidden="1" x14ac:dyDescent="0.25">
      <c r="A2601">
        <v>40354.741399999999</v>
      </c>
      <c r="B2601">
        <v>2478.0236</v>
      </c>
      <c r="C2601">
        <v>15</v>
      </c>
      <c r="D2601" t="s">
        <v>657</v>
      </c>
      <c r="F2601">
        <v>1974</v>
      </c>
      <c r="G2601" s="1" t="s">
        <v>437</v>
      </c>
      <c r="H2601" s="1" t="s">
        <v>634</v>
      </c>
      <c r="I2601">
        <v>-0.26329999999999998</v>
      </c>
      <c r="J2601">
        <v>40354.786200000002</v>
      </c>
      <c r="K2601">
        <v>2.7499999999999998E-3</v>
      </c>
      <c r="L2601">
        <v>2.8300000000000001E-3</v>
      </c>
      <c r="M2601">
        <v>4.6100000000000002E-2</v>
      </c>
      <c r="N2601">
        <v>0.25590000000000002</v>
      </c>
      <c r="O2601">
        <v>3.8E-3</v>
      </c>
      <c r="P2601" s="3">
        <f t="shared" si="160"/>
        <v>2478.0235613156474</v>
      </c>
      <c r="Q2601" s="3">
        <f t="shared" si="161"/>
        <v>2.7509860910868156E-3</v>
      </c>
      <c r="R2601" s="3">
        <f t="shared" si="162"/>
        <v>2.8300000000000001E-3</v>
      </c>
      <c r="S2601">
        <f t="shared" si="163"/>
        <v>62</v>
      </c>
      <c r="T2601">
        <f>INDEX([1]IDEN_level_ids!$B:$B,MATCH(G2601,[1]IDEN_level_ids!$A:$A,0),1)</f>
        <v>1039</v>
      </c>
      <c r="U2601">
        <f>INDEX([1]IDEN_level_ids!$B:$B,MATCH(H2601,[1]IDEN_level_ids!$A:$A,0),1)</f>
        <v>838</v>
      </c>
    </row>
    <row r="2602" spans="1:21" hidden="1" x14ac:dyDescent="0.25">
      <c r="A2602">
        <v>40346.631399999998</v>
      </c>
      <c r="B2602">
        <v>2478.5216999999998</v>
      </c>
      <c r="C2602">
        <v>15</v>
      </c>
      <c r="D2602" t="s">
        <v>657</v>
      </c>
      <c r="F2602">
        <v>1974</v>
      </c>
      <c r="G2602" s="1" t="s">
        <v>71</v>
      </c>
      <c r="H2602" s="1" t="s">
        <v>600</v>
      </c>
      <c r="I2602">
        <v>0</v>
      </c>
      <c r="J2602">
        <v>40346.626100000001</v>
      </c>
      <c r="K2602">
        <v>-3.2000000000000003E-4</v>
      </c>
      <c r="L2602">
        <v>2.8300000000000001E-3</v>
      </c>
      <c r="M2602">
        <v>4.6100000000000002E-2</v>
      </c>
      <c r="N2602">
        <v>0.1206</v>
      </c>
      <c r="O2602">
        <v>3.2200000000000002E-3</v>
      </c>
      <c r="P2602" s="3">
        <f t="shared" si="160"/>
        <v>2478.5216641407146</v>
      </c>
      <c r="Q2602" s="3">
        <f t="shared" si="161"/>
        <v>-3.255827332395711E-4</v>
      </c>
      <c r="R2602" s="3">
        <f t="shared" si="162"/>
        <v>2.8300000000000001E-3</v>
      </c>
      <c r="S2602">
        <f t="shared" si="163"/>
        <v>62</v>
      </c>
      <c r="T2602">
        <f>INDEX([1]IDEN_level_ids!$B:$B,MATCH(G2602,[1]IDEN_level_ids!$A:$A,0),1)</f>
        <v>1179</v>
      </c>
      <c r="U2602">
        <f>INDEX([1]IDEN_level_ids!$B:$B,MATCH(H2602,[1]IDEN_level_ids!$A:$A,0),1)</f>
        <v>1058</v>
      </c>
    </row>
    <row r="2603" spans="1:21" hidden="1" x14ac:dyDescent="0.25">
      <c r="A2603">
        <v>40339.210400000004</v>
      </c>
      <c r="B2603">
        <v>2478.9776000000002</v>
      </c>
      <c r="C2603">
        <v>15</v>
      </c>
      <c r="D2603" t="s">
        <v>657</v>
      </c>
      <c r="E2603" t="s">
        <v>427</v>
      </c>
      <c r="F2603">
        <v>1974</v>
      </c>
      <c r="G2603" s="1" t="s">
        <v>342</v>
      </c>
      <c r="H2603" s="1" t="s">
        <v>487</v>
      </c>
      <c r="I2603">
        <v>0</v>
      </c>
      <c r="J2603">
        <v>40339.259899999997</v>
      </c>
      <c r="K2603">
        <v>3.0400000000000002E-3</v>
      </c>
      <c r="L2603">
        <v>2.99E-3</v>
      </c>
      <c r="M2603">
        <v>4.87E-2</v>
      </c>
      <c r="N2603">
        <v>0.18179999999999999</v>
      </c>
      <c r="O2603">
        <v>3.6600000000000001E-3</v>
      </c>
      <c r="P2603" s="3">
        <f t="shared" si="160"/>
        <v>2478.9776252040865</v>
      </c>
      <c r="Q2603" s="3">
        <f t="shared" si="161"/>
        <v>3.0419346494454658E-3</v>
      </c>
      <c r="R2603" s="3">
        <f t="shared" si="162"/>
        <v>2.99E-3</v>
      </c>
      <c r="S2603">
        <f t="shared" si="163"/>
        <v>62</v>
      </c>
      <c r="T2603">
        <f>INDEX([1]IDEN_level_ids!$B:$B,MATCH(G2603,[1]IDEN_level_ids!$A:$A,0),1)</f>
        <v>1119</v>
      </c>
      <c r="U2603">
        <f>INDEX([1]IDEN_level_ids!$B:$B,MATCH(H2603,[1]IDEN_level_ids!$A:$A,0),1)</f>
        <v>968</v>
      </c>
    </row>
    <row r="2604" spans="1:21" hidden="1" x14ac:dyDescent="0.25">
      <c r="A2604">
        <v>40337.661500000002</v>
      </c>
      <c r="B2604">
        <v>2479.0727999999999</v>
      </c>
      <c r="C2604">
        <v>15</v>
      </c>
      <c r="D2604" t="s">
        <v>657</v>
      </c>
      <c r="E2604" t="s">
        <v>427</v>
      </c>
      <c r="F2604">
        <v>1974</v>
      </c>
      <c r="G2604" s="1" t="s">
        <v>100</v>
      </c>
      <c r="H2604" s="1" t="s">
        <v>578</v>
      </c>
      <c r="I2604">
        <v>0.25619999999999998</v>
      </c>
      <c r="J2604">
        <v>40337.661899999999</v>
      </c>
      <c r="K2604">
        <v>3.0000000000000001E-5</v>
      </c>
      <c r="L2604">
        <v>2.99E-3</v>
      </c>
      <c r="M2604">
        <v>4.87E-2</v>
      </c>
      <c r="N2604">
        <v>0.1149</v>
      </c>
      <c r="O2604">
        <v>3.3800000000000002E-3</v>
      </c>
      <c r="P2604" s="3">
        <f t="shared" si="160"/>
        <v>2479.0728138764316</v>
      </c>
      <c r="Q2604" s="3">
        <f t="shared" si="161"/>
        <v>2.4583207959949505E-5</v>
      </c>
      <c r="R2604" s="3">
        <f t="shared" si="162"/>
        <v>2.99E-3</v>
      </c>
      <c r="S2604">
        <f t="shared" si="163"/>
        <v>62</v>
      </c>
      <c r="T2604">
        <f>INDEX([1]IDEN_level_ids!$B:$B,MATCH(G2604,[1]IDEN_level_ids!$A:$A,0),1)</f>
        <v>1146</v>
      </c>
      <c r="U2604">
        <f>INDEX([1]IDEN_level_ids!$B:$B,MATCH(H2604,[1]IDEN_level_ids!$A:$A,0),1)</f>
        <v>1003</v>
      </c>
    </row>
    <row r="2605" spans="1:21" hidden="1" x14ac:dyDescent="0.25">
      <c r="A2605">
        <v>40322.049299999999</v>
      </c>
      <c r="B2605">
        <v>2480.0327000000002</v>
      </c>
      <c r="C2605">
        <v>15</v>
      </c>
      <c r="D2605" t="s">
        <v>657</v>
      </c>
      <c r="F2605">
        <v>1974</v>
      </c>
      <c r="G2605" s="1" t="s">
        <v>85</v>
      </c>
      <c r="H2605" s="1" t="s">
        <v>462</v>
      </c>
      <c r="I2605">
        <v>0.37159999999999999</v>
      </c>
      <c r="J2605">
        <v>40322.055099999998</v>
      </c>
      <c r="K2605">
        <v>3.6000000000000002E-4</v>
      </c>
      <c r="L2605">
        <v>2.8300000000000001E-3</v>
      </c>
      <c r="M2605">
        <v>4.6100000000000002E-2</v>
      </c>
      <c r="N2605">
        <v>0.29449999999999998</v>
      </c>
      <c r="O2605">
        <v>4.0200000000000001E-3</v>
      </c>
      <c r="P2605" s="3">
        <f t="shared" si="160"/>
        <v>2480.0326802834397</v>
      </c>
      <c r="Q2605" s="3">
        <f t="shared" si="161"/>
        <v>3.5673254978974001E-4</v>
      </c>
      <c r="R2605" s="3">
        <f t="shared" si="162"/>
        <v>2.8300000000000001E-3</v>
      </c>
      <c r="S2605">
        <f t="shared" si="163"/>
        <v>62</v>
      </c>
      <c r="T2605">
        <f>INDEX([1]IDEN_level_ids!$B:$B,MATCH(G2605,[1]IDEN_level_ids!$A:$A,0),1)</f>
        <v>1168</v>
      </c>
      <c r="U2605">
        <f>INDEX([1]IDEN_level_ids!$B:$B,MATCH(H2605,[1]IDEN_level_ids!$A:$A,0),1)</f>
        <v>1047</v>
      </c>
    </row>
    <row r="2606" spans="1:21" hidden="1" x14ac:dyDescent="0.25">
      <c r="A2606">
        <v>40310.780200000001</v>
      </c>
      <c r="B2606">
        <v>2480.7260000000001</v>
      </c>
      <c r="C2606">
        <v>15</v>
      </c>
      <c r="D2606" t="s">
        <v>657</v>
      </c>
      <c r="F2606">
        <v>1974</v>
      </c>
      <c r="G2606" s="1" t="s">
        <v>38</v>
      </c>
      <c r="H2606" s="1" t="s">
        <v>450</v>
      </c>
      <c r="I2606">
        <v>0.2989</v>
      </c>
      <c r="J2606">
        <v>40310.768799999998</v>
      </c>
      <c r="K2606">
        <v>-6.9999999999999999E-4</v>
      </c>
      <c r="L2606">
        <v>2.8300000000000001E-3</v>
      </c>
      <c r="M2606">
        <v>4.6100000000000002E-2</v>
      </c>
      <c r="N2606">
        <v>0.11310000000000001</v>
      </c>
      <c r="O2606">
        <v>3.2000000000000002E-3</v>
      </c>
      <c r="P2606" s="3">
        <f t="shared" si="160"/>
        <v>2480.7259870400621</v>
      </c>
      <c r="Q2606" s="3">
        <f t="shared" si="161"/>
        <v>-7.015563610366371E-4</v>
      </c>
      <c r="R2606" s="3">
        <f t="shared" si="162"/>
        <v>2.8300000000000001E-3</v>
      </c>
      <c r="S2606">
        <f t="shared" si="163"/>
        <v>62</v>
      </c>
      <c r="T2606">
        <f>INDEX([1]IDEN_level_ids!$B:$B,MATCH(G2606,[1]IDEN_level_ids!$A:$A,0),1)</f>
        <v>1201</v>
      </c>
      <c r="U2606">
        <f>INDEX([1]IDEN_level_ids!$B:$B,MATCH(H2606,[1]IDEN_level_ids!$A:$A,0),1)</f>
        <v>1077</v>
      </c>
    </row>
    <row r="2607" spans="1:21" hidden="1" x14ac:dyDescent="0.25">
      <c r="A2607">
        <v>40306.669699999999</v>
      </c>
      <c r="B2607">
        <v>2480.9789999999998</v>
      </c>
      <c r="C2607">
        <v>15</v>
      </c>
      <c r="D2607" t="s">
        <v>657</v>
      </c>
      <c r="E2607" t="s">
        <v>427</v>
      </c>
      <c r="F2607">
        <v>1974</v>
      </c>
      <c r="G2607" s="1" t="s">
        <v>140</v>
      </c>
      <c r="H2607" s="1" t="s">
        <v>464</v>
      </c>
      <c r="I2607">
        <v>0</v>
      </c>
      <c r="J2607">
        <v>40306.836000000003</v>
      </c>
      <c r="K2607">
        <v>1.0240000000000001E-2</v>
      </c>
      <c r="L2607">
        <v>3.0000000000000001E-3</v>
      </c>
      <c r="M2607">
        <v>4.87E-2</v>
      </c>
      <c r="N2607">
        <v>0.1168</v>
      </c>
      <c r="O2607">
        <v>3.3999999999999998E-3</v>
      </c>
      <c r="P2607" s="3">
        <f t="shared" si="160"/>
        <v>2480.9789730655916</v>
      </c>
      <c r="Q2607" s="3">
        <f t="shared" si="161"/>
        <v>1.0236149600586941E-2</v>
      </c>
      <c r="R2607" s="3">
        <f t="shared" si="162"/>
        <v>3.0000000000000001E-3</v>
      </c>
      <c r="S2607">
        <f t="shared" si="163"/>
        <v>62</v>
      </c>
      <c r="T2607">
        <f>INDEX([1]IDEN_level_ids!$B:$B,MATCH(G2607,[1]IDEN_level_ids!$A:$A,0),1)</f>
        <v>1198</v>
      </c>
      <c r="U2607">
        <f>INDEX([1]IDEN_level_ids!$B:$B,MATCH(H2607,[1]IDEN_level_ids!$A:$A,0),1)</f>
        <v>1076</v>
      </c>
    </row>
    <row r="2608" spans="1:21" hidden="1" x14ac:dyDescent="0.25">
      <c r="A2608">
        <v>40306.379000000001</v>
      </c>
      <c r="B2608">
        <v>2480.9969000000001</v>
      </c>
      <c r="C2608">
        <v>15</v>
      </c>
      <c r="D2608" t="s">
        <v>657</v>
      </c>
      <c r="E2608" t="s">
        <v>427</v>
      </c>
      <c r="F2608">
        <v>1974</v>
      </c>
      <c r="G2608" s="1" t="s">
        <v>197</v>
      </c>
      <c r="H2608" s="1" t="s">
        <v>458</v>
      </c>
      <c r="I2608">
        <v>0</v>
      </c>
      <c r="J2608">
        <v>40306.316400000003</v>
      </c>
      <c r="K2608">
        <v>-3.8500000000000001E-3</v>
      </c>
      <c r="L2608">
        <v>3.0000000000000001E-3</v>
      </c>
      <c r="M2608">
        <v>4.87E-2</v>
      </c>
      <c r="N2608">
        <v>9.8699999999999996E-2</v>
      </c>
      <c r="O2608">
        <v>3.3300000000000001E-3</v>
      </c>
      <c r="P2608" s="3">
        <f t="shared" si="160"/>
        <v>2480.9968665257675</v>
      </c>
      <c r="Q2608" s="3">
        <f t="shared" si="161"/>
        <v>-3.853252237149718E-3</v>
      </c>
      <c r="R2608" s="3">
        <f t="shared" si="162"/>
        <v>3.0000000000000001E-3</v>
      </c>
      <c r="S2608">
        <f t="shared" si="163"/>
        <v>62</v>
      </c>
      <c r="T2608">
        <f>INDEX([1]IDEN_level_ids!$B:$B,MATCH(G2608,[1]IDEN_level_ids!$A:$A,0),1)</f>
        <v>1182</v>
      </c>
      <c r="U2608">
        <f>INDEX([1]IDEN_level_ids!$B:$B,MATCH(H2608,[1]IDEN_level_ids!$A:$A,0),1)</f>
        <v>1064</v>
      </c>
    </row>
    <row r="2609" spans="1:21" hidden="1" x14ac:dyDescent="0.25">
      <c r="A2609">
        <v>40302.490899999997</v>
      </c>
      <c r="B2609">
        <v>2481.2361999999998</v>
      </c>
      <c r="C2609">
        <v>15</v>
      </c>
      <c r="D2609" t="s">
        <v>657</v>
      </c>
      <c r="F2609">
        <v>1974</v>
      </c>
      <c r="G2609" s="1" t="s">
        <v>448</v>
      </c>
      <c r="H2609" s="1" t="s">
        <v>370</v>
      </c>
      <c r="I2609">
        <v>-0.29559999999999997</v>
      </c>
      <c r="J2609">
        <v>40302.508399999999</v>
      </c>
      <c r="K2609">
        <v>1.08E-3</v>
      </c>
      <c r="L2609">
        <v>2.8400000000000001E-3</v>
      </c>
      <c r="M2609">
        <v>4.6100000000000002E-2</v>
      </c>
      <c r="N2609">
        <v>0.28970000000000001</v>
      </c>
      <c r="O2609">
        <v>3.9899999999999996E-3</v>
      </c>
      <c r="P2609" s="3">
        <f t="shared" si="160"/>
        <v>2481.2362156007584</v>
      </c>
      <c r="Q2609" s="3">
        <f t="shared" si="161"/>
        <v>1.077392834758939E-3</v>
      </c>
      <c r="R2609" s="3">
        <f t="shared" si="162"/>
        <v>2.8400000000000001E-3</v>
      </c>
      <c r="S2609">
        <f t="shared" si="163"/>
        <v>62</v>
      </c>
      <c r="T2609">
        <f>INDEX([1]IDEN_level_ids!$B:$B,MATCH(G2609,[1]IDEN_level_ids!$A:$A,0),1)</f>
        <v>1067</v>
      </c>
      <c r="U2609">
        <f>INDEX([1]IDEN_level_ids!$B:$B,MATCH(H2609,[1]IDEN_level_ids!$A:$A,0),1)</f>
        <v>873</v>
      </c>
    </row>
    <row r="2610" spans="1:21" hidden="1" x14ac:dyDescent="0.25">
      <c r="A2610">
        <v>40299.149100000002</v>
      </c>
      <c r="B2610">
        <v>2481.442</v>
      </c>
      <c r="C2610">
        <v>15</v>
      </c>
      <c r="D2610" t="s">
        <v>657</v>
      </c>
      <c r="F2610">
        <v>1974</v>
      </c>
      <c r="G2610" s="1" t="s">
        <v>193</v>
      </c>
      <c r="H2610" s="1" t="s">
        <v>453</v>
      </c>
      <c r="I2610">
        <v>0.26840000000000003</v>
      </c>
      <c r="J2610">
        <v>40299.156600000002</v>
      </c>
      <c r="K2610">
        <v>4.6999999999999999E-4</v>
      </c>
      <c r="L2610">
        <v>2.8400000000000001E-3</v>
      </c>
      <c r="M2610">
        <v>4.6100000000000002E-2</v>
      </c>
      <c r="N2610">
        <v>0.15329999999999999</v>
      </c>
      <c r="O2610">
        <v>3.3500000000000001E-3</v>
      </c>
      <c r="P2610" s="3">
        <f t="shared" si="160"/>
        <v>2481.4419716866923</v>
      </c>
      <c r="Q2610" s="3">
        <f t="shared" si="161"/>
        <v>4.6181648349374882E-4</v>
      </c>
      <c r="R2610" s="3">
        <f t="shared" si="162"/>
        <v>2.8400000000000001E-3</v>
      </c>
      <c r="S2610">
        <f t="shared" si="163"/>
        <v>62</v>
      </c>
      <c r="T2610">
        <f>INDEX([1]IDEN_level_ids!$B:$B,MATCH(G2610,[1]IDEN_level_ids!$A:$A,0),1)</f>
        <v>1202</v>
      </c>
      <c r="U2610">
        <f>INDEX([1]IDEN_level_ids!$B:$B,MATCH(H2610,[1]IDEN_level_ids!$A:$A,0),1)</f>
        <v>1078</v>
      </c>
    </row>
    <row r="2611" spans="1:21" hidden="1" x14ac:dyDescent="0.25">
      <c r="A2611">
        <v>40293.751199999999</v>
      </c>
      <c r="B2611">
        <v>2481.7743999999998</v>
      </c>
      <c r="C2611">
        <v>15</v>
      </c>
      <c r="D2611" t="s">
        <v>657</v>
      </c>
      <c r="F2611">
        <v>1974</v>
      </c>
      <c r="G2611" s="1" t="s">
        <v>94</v>
      </c>
      <c r="H2611" s="1" t="s">
        <v>386</v>
      </c>
      <c r="I2611">
        <v>0.22500000000000001</v>
      </c>
      <c r="J2611">
        <v>40293.733</v>
      </c>
      <c r="K2611">
        <v>-1.1199999999999999E-3</v>
      </c>
      <c r="L2611">
        <v>2.8400000000000001E-3</v>
      </c>
      <c r="M2611">
        <v>4.6100000000000002E-2</v>
      </c>
      <c r="N2611">
        <v>0.1094</v>
      </c>
      <c r="O2611">
        <v>3.1900000000000001E-3</v>
      </c>
      <c r="P2611" s="3">
        <f t="shared" si="160"/>
        <v>2481.7743948347011</v>
      </c>
      <c r="Q2611" s="3">
        <f t="shared" si="161"/>
        <v>-1.1209756607968302E-3</v>
      </c>
      <c r="R2611" s="3">
        <f t="shared" si="162"/>
        <v>2.8400000000000001E-3</v>
      </c>
      <c r="S2611">
        <f t="shared" si="163"/>
        <v>62</v>
      </c>
      <c r="T2611">
        <f>INDEX([1]IDEN_level_ids!$B:$B,MATCH(G2611,[1]IDEN_level_ids!$A:$A,0),1)</f>
        <v>1207</v>
      </c>
      <c r="U2611">
        <f>INDEX([1]IDEN_level_ids!$B:$B,MATCH(H2611,[1]IDEN_level_ids!$A:$A,0),1)</f>
        <v>1082</v>
      </c>
    </row>
    <row r="2612" spans="1:21" hidden="1" x14ac:dyDescent="0.25">
      <c r="A2612">
        <v>40281.659899999999</v>
      </c>
      <c r="B2612">
        <v>2482.5192999999999</v>
      </c>
      <c r="C2612">
        <v>15</v>
      </c>
      <c r="D2612" t="s">
        <v>657</v>
      </c>
      <c r="F2612">
        <v>1974</v>
      </c>
      <c r="G2612" s="1" t="s">
        <v>100</v>
      </c>
      <c r="H2612" s="1" t="s">
        <v>565</v>
      </c>
      <c r="I2612">
        <v>0.1676</v>
      </c>
      <c r="J2612">
        <v>40281.663099999998</v>
      </c>
      <c r="K2612">
        <v>2.0000000000000001E-4</v>
      </c>
      <c r="L2612">
        <v>2.8400000000000001E-3</v>
      </c>
      <c r="M2612">
        <v>4.6100000000000002E-2</v>
      </c>
      <c r="N2612">
        <v>0.14130000000000001</v>
      </c>
      <c r="O2612">
        <v>3.31E-3</v>
      </c>
      <c r="P2612" s="3">
        <f t="shared" si="160"/>
        <v>2482.5193462298212</v>
      </c>
      <c r="Q2612" s="3">
        <f t="shared" si="161"/>
        <v>1.9721285798368626E-4</v>
      </c>
      <c r="R2612" s="3">
        <f t="shared" si="162"/>
        <v>2.8400000000000001E-3</v>
      </c>
      <c r="S2612">
        <f t="shared" si="163"/>
        <v>62</v>
      </c>
      <c r="T2612">
        <f>INDEX([1]IDEN_level_ids!$B:$B,MATCH(G2612,[1]IDEN_level_ids!$A:$A,0),1)</f>
        <v>1146</v>
      </c>
      <c r="U2612">
        <f>INDEX([1]IDEN_level_ids!$B:$B,MATCH(H2612,[1]IDEN_level_ids!$A:$A,0),1)</f>
        <v>1004</v>
      </c>
    </row>
    <row r="2613" spans="1:21" hidden="1" x14ac:dyDescent="0.25">
      <c r="A2613">
        <v>40271.699099999998</v>
      </c>
      <c r="B2613">
        <v>2483.1334000000002</v>
      </c>
      <c r="C2613">
        <v>15</v>
      </c>
      <c r="D2613" t="s">
        <v>657</v>
      </c>
      <c r="E2613" t="s">
        <v>236</v>
      </c>
      <c r="F2613">
        <v>1974</v>
      </c>
      <c r="G2613" s="1" t="s">
        <v>361</v>
      </c>
      <c r="H2613" s="1" t="s">
        <v>577</v>
      </c>
      <c r="I2613">
        <v>3.2599999999999997E-2</v>
      </c>
      <c r="J2613">
        <v>40271.7304</v>
      </c>
      <c r="K2613">
        <v>1.9300000000000001E-3</v>
      </c>
      <c r="L2613">
        <v>1.4499999999999999E-3</v>
      </c>
      <c r="M2613">
        <v>2.3599999999999999E-2</v>
      </c>
      <c r="N2613">
        <v>0.45240000000000002</v>
      </c>
      <c r="O2613">
        <v>2.66E-3</v>
      </c>
      <c r="P2613" s="3">
        <f t="shared" si="160"/>
        <v>2483.1333724382143</v>
      </c>
      <c r="Q2613" s="3">
        <f t="shared" si="161"/>
        <v>1.929941271100688E-3</v>
      </c>
      <c r="R2613" s="3">
        <f t="shared" si="162"/>
        <v>1.4499999999999999E-3</v>
      </c>
      <c r="S2613">
        <f t="shared" si="163"/>
        <v>62</v>
      </c>
      <c r="T2613">
        <f>INDEX([1]IDEN_level_ids!$B:$B,MATCH(G2613,[1]IDEN_level_ids!$A:$A,0),1)</f>
        <v>1133</v>
      </c>
      <c r="U2613">
        <f>INDEX([1]IDEN_level_ids!$B:$B,MATCH(H2613,[1]IDEN_level_ids!$A:$A,0),1)</f>
        <v>985</v>
      </c>
    </row>
    <row r="2614" spans="1:21" hidden="1" x14ac:dyDescent="0.25">
      <c r="A2614">
        <v>40268.569000000003</v>
      </c>
      <c r="B2614">
        <v>2483.3263999999999</v>
      </c>
      <c r="C2614">
        <v>15</v>
      </c>
      <c r="D2614" t="s">
        <v>657</v>
      </c>
      <c r="F2614">
        <v>1974</v>
      </c>
      <c r="G2614" s="1" t="s">
        <v>545</v>
      </c>
      <c r="H2614" s="1" t="s">
        <v>126</v>
      </c>
      <c r="I2614">
        <v>0</v>
      </c>
      <c r="J2614">
        <v>40268.651599999997</v>
      </c>
      <c r="K2614">
        <v>5.0899999999999999E-3</v>
      </c>
      <c r="L2614">
        <v>2.8400000000000001E-3</v>
      </c>
      <c r="M2614">
        <v>4.6100000000000002E-2</v>
      </c>
      <c r="N2614">
        <v>0.2127</v>
      </c>
      <c r="O2614">
        <v>3.6099999999999999E-3</v>
      </c>
      <c r="P2614" s="3">
        <f t="shared" si="160"/>
        <v>2483.3263878833141</v>
      </c>
      <c r="Q2614" s="3">
        <f t="shared" si="161"/>
        <v>5.0938571689584933E-3</v>
      </c>
      <c r="R2614" s="3">
        <f t="shared" si="162"/>
        <v>2.8400000000000001E-3</v>
      </c>
      <c r="S2614">
        <f t="shared" si="163"/>
        <v>62</v>
      </c>
      <c r="T2614">
        <f>INDEX([1]IDEN_level_ids!$B:$B,MATCH(G2614,[1]IDEN_level_ids!$A:$A,0),1)</f>
        <v>1081</v>
      </c>
      <c r="U2614">
        <f>INDEX([1]IDEN_level_ids!$B:$B,MATCH(H2614,[1]IDEN_level_ids!$A:$A,0),1)</f>
        <v>892</v>
      </c>
    </row>
    <row r="2615" spans="1:21" hidden="1" x14ac:dyDescent="0.25">
      <c r="A2615">
        <v>40260.249300000003</v>
      </c>
      <c r="B2615">
        <v>2483.8395999999998</v>
      </c>
      <c r="C2615">
        <v>15</v>
      </c>
      <c r="D2615" t="s">
        <v>657</v>
      </c>
      <c r="F2615">
        <v>1974</v>
      </c>
      <c r="G2615" s="1" t="s">
        <v>117</v>
      </c>
      <c r="H2615" s="1" t="s">
        <v>552</v>
      </c>
      <c r="I2615">
        <v>0</v>
      </c>
      <c r="J2615">
        <v>40260.267</v>
      </c>
      <c r="K2615">
        <v>1.1000000000000001E-3</v>
      </c>
      <c r="L2615">
        <v>2.8400000000000001E-3</v>
      </c>
      <c r="M2615">
        <v>4.6100000000000002E-2</v>
      </c>
      <c r="N2615">
        <v>0.12559999999999999</v>
      </c>
      <c r="O2615">
        <v>3.2499999999999999E-3</v>
      </c>
      <c r="P2615" s="3">
        <f t="shared" si="160"/>
        <v>2483.8395623148808</v>
      </c>
      <c r="Q2615" s="3">
        <f t="shared" si="161"/>
        <v>1.0919937576545635E-3</v>
      </c>
      <c r="R2615" s="3">
        <f t="shared" si="162"/>
        <v>2.8400000000000001E-3</v>
      </c>
      <c r="S2615">
        <f t="shared" si="163"/>
        <v>62</v>
      </c>
      <c r="T2615">
        <f>INDEX([1]IDEN_level_ids!$B:$B,MATCH(G2615,[1]IDEN_level_ids!$A:$A,0),1)</f>
        <v>1162</v>
      </c>
      <c r="U2615">
        <f>INDEX([1]IDEN_level_ids!$B:$B,MATCH(H2615,[1]IDEN_level_ids!$A:$A,0),1)</f>
        <v>1040</v>
      </c>
    </row>
    <row r="2616" spans="1:21" hidden="1" x14ac:dyDescent="0.25">
      <c r="A2616">
        <v>40257.830499999996</v>
      </c>
      <c r="B2616">
        <v>2483.9888000000001</v>
      </c>
      <c r="C2616">
        <v>15</v>
      </c>
      <c r="D2616" t="s">
        <v>657</v>
      </c>
      <c r="F2616">
        <v>1974</v>
      </c>
      <c r="G2616" s="1" t="s">
        <v>350</v>
      </c>
      <c r="H2616" s="1" t="s">
        <v>610</v>
      </c>
      <c r="I2616">
        <v>9.8000000000000004E-2</v>
      </c>
      <c r="J2616">
        <v>40257.915099999998</v>
      </c>
      <c r="K2616">
        <v>5.2199999999999998E-3</v>
      </c>
      <c r="L2616">
        <v>2.8400000000000001E-3</v>
      </c>
      <c r="M2616">
        <v>4.6100000000000002E-2</v>
      </c>
      <c r="N2616">
        <v>0.20930000000000001</v>
      </c>
      <c r="O2616">
        <v>3.5899999999999999E-3</v>
      </c>
      <c r="P2616" s="3">
        <f t="shared" si="160"/>
        <v>2483.9887981544362</v>
      </c>
      <c r="Q2616" s="3">
        <f t="shared" si="161"/>
        <v>5.2199785259290366E-3</v>
      </c>
      <c r="R2616" s="3">
        <f t="shared" si="162"/>
        <v>2.8400000000000001E-3</v>
      </c>
      <c r="S2616">
        <f t="shared" si="163"/>
        <v>62</v>
      </c>
      <c r="T2616">
        <f>INDEX([1]IDEN_level_ids!$B:$B,MATCH(G2616,[1]IDEN_level_ids!$A:$A,0),1)</f>
        <v>1112</v>
      </c>
      <c r="U2616">
        <f>INDEX([1]IDEN_level_ids!$B:$B,MATCH(H2616,[1]IDEN_level_ids!$A:$A,0),1)</f>
        <v>964</v>
      </c>
    </row>
    <row r="2617" spans="1:21" hidden="1" x14ac:dyDescent="0.25">
      <c r="A2617">
        <v>40256.760600000001</v>
      </c>
      <c r="B2617">
        <v>2484.0547999999999</v>
      </c>
      <c r="C2617">
        <v>15</v>
      </c>
      <c r="D2617" t="s">
        <v>657</v>
      </c>
      <c r="F2617">
        <v>1974</v>
      </c>
      <c r="G2617" s="1" t="s">
        <v>117</v>
      </c>
      <c r="H2617" s="1" t="s">
        <v>454</v>
      </c>
      <c r="I2617">
        <v>0</v>
      </c>
      <c r="J2617">
        <v>40256.762699999999</v>
      </c>
      <c r="K2617">
        <v>1.2999999999999999E-4</v>
      </c>
      <c r="L2617">
        <v>2.8400000000000001E-3</v>
      </c>
      <c r="M2617">
        <v>4.6100000000000002E-2</v>
      </c>
      <c r="N2617">
        <v>9.7900000000000001E-2</v>
      </c>
      <c r="O2617">
        <v>3.15E-3</v>
      </c>
      <c r="P2617" s="3">
        <f t="shared" si="160"/>
        <v>2484.0548148824473</v>
      </c>
      <c r="Q2617" s="3">
        <f t="shared" si="161"/>
        <v>1.2958108800376067E-4</v>
      </c>
      <c r="R2617" s="3">
        <f t="shared" si="162"/>
        <v>2.8400000000000001E-3</v>
      </c>
      <c r="S2617">
        <f t="shared" si="163"/>
        <v>62</v>
      </c>
      <c r="T2617">
        <f>INDEX([1]IDEN_level_ids!$B:$B,MATCH(G2617,[1]IDEN_level_ids!$A:$A,0),1)</f>
        <v>1162</v>
      </c>
      <c r="U2617">
        <f>INDEX([1]IDEN_level_ids!$B:$B,MATCH(H2617,[1]IDEN_level_ids!$A:$A,0),1)</f>
        <v>1036</v>
      </c>
    </row>
    <row r="2618" spans="1:21" hidden="1" x14ac:dyDescent="0.25">
      <c r="A2618">
        <v>40245.690999999999</v>
      </c>
      <c r="B2618">
        <v>2484.7381</v>
      </c>
      <c r="C2618">
        <v>15</v>
      </c>
      <c r="D2618" t="s">
        <v>657</v>
      </c>
      <c r="F2618">
        <v>1974</v>
      </c>
      <c r="G2618" s="1" t="s">
        <v>469</v>
      </c>
      <c r="H2618" s="1" t="s">
        <v>333</v>
      </c>
      <c r="I2618">
        <v>-0.36720000000000003</v>
      </c>
      <c r="J2618">
        <v>40245.754500000003</v>
      </c>
      <c r="K2618">
        <v>3.9199999999999999E-3</v>
      </c>
      <c r="L2618">
        <v>2.8400000000000001E-3</v>
      </c>
      <c r="M2618">
        <v>4.6100000000000002E-2</v>
      </c>
      <c r="N2618">
        <v>0.29049999999999998</v>
      </c>
      <c r="O2618">
        <v>4.0099999999999997E-3</v>
      </c>
      <c r="P2618" s="3">
        <f t="shared" si="160"/>
        <v>2484.7380555597865</v>
      </c>
      <c r="Q2618" s="3">
        <f t="shared" si="161"/>
        <v>3.9204350496220286E-3</v>
      </c>
      <c r="R2618" s="3">
        <f t="shared" si="162"/>
        <v>2.8400000000000001E-3</v>
      </c>
      <c r="S2618">
        <f t="shared" si="163"/>
        <v>62</v>
      </c>
      <c r="T2618">
        <f>INDEX([1]IDEN_level_ids!$B:$B,MATCH(G2618,[1]IDEN_level_ids!$A:$A,0),1)</f>
        <v>1048</v>
      </c>
      <c r="U2618">
        <f>INDEX([1]IDEN_level_ids!$B:$B,MATCH(H2618,[1]IDEN_level_ids!$A:$A,0),1)</f>
        <v>848</v>
      </c>
    </row>
    <row r="2619" spans="1:21" hidden="1" x14ac:dyDescent="0.25">
      <c r="A2619">
        <v>40242.210200000001</v>
      </c>
      <c r="B2619">
        <v>2484.953</v>
      </c>
      <c r="C2619">
        <v>15</v>
      </c>
      <c r="D2619" t="s">
        <v>657</v>
      </c>
      <c r="F2619">
        <v>1974</v>
      </c>
      <c r="G2619" s="1" t="s">
        <v>541</v>
      </c>
      <c r="H2619" s="1" t="s">
        <v>321</v>
      </c>
      <c r="I2619">
        <v>0</v>
      </c>
      <c r="J2619">
        <v>40242.2621</v>
      </c>
      <c r="K2619">
        <v>3.2000000000000002E-3</v>
      </c>
      <c r="L2619">
        <v>2.8400000000000001E-3</v>
      </c>
      <c r="M2619">
        <v>4.6100000000000002E-2</v>
      </c>
      <c r="N2619">
        <v>0.31230000000000002</v>
      </c>
      <c r="O2619">
        <v>4.1399999999999996E-3</v>
      </c>
      <c r="P2619" s="3">
        <f t="shared" si="160"/>
        <v>2484.9529760669061</v>
      </c>
      <c r="Q2619" s="3">
        <f t="shared" si="161"/>
        <v>3.2048163479885261E-3</v>
      </c>
      <c r="R2619" s="3">
        <f t="shared" si="162"/>
        <v>2.8400000000000001E-3</v>
      </c>
      <c r="S2619">
        <f t="shared" si="163"/>
        <v>62</v>
      </c>
      <c r="T2619">
        <f>INDEX([1]IDEN_level_ids!$B:$B,MATCH(G2619,[1]IDEN_level_ids!$A:$A,0),1)</f>
        <v>1028</v>
      </c>
      <c r="U2619">
        <f>INDEX([1]IDEN_level_ids!$B:$B,MATCH(H2619,[1]IDEN_level_ids!$A:$A,0),1)</f>
        <v>823</v>
      </c>
    </row>
    <row r="2620" spans="1:21" hidden="1" x14ac:dyDescent="0.25">
      <c r="A2620">
        <v>40235.7497</v>
      </c>
      <c r="B2620">
        <v>2485.3519999999999</v>
      </c>
      <c r="C2620">
        <v>15</v>
      </c>
      <c r="D2620" t="s">
        <v>657</v>
      </c>
      <c r="E2620" t="s">
        <v>427</v>
      </c>
      <c r="F2620">
        <v>1974</v>
      </c>
      <c r="G2620" s="1" t="s">
        <v>180</v>
      </c>
      <c r="H2620" s="1" t="s">
        <v>375</v>
      </c>
      <c r="I2620">
        <v>0.28789999999999999</v>
      </c>
      <c r="J2620">
        <v>40235.812299999998</v>
      </c>
      <c r="K2620">
        <v>3.8700000000000002E-3</v>
      </c>
      <c r="L2620">
        <v>3.0100000000000001E-3</v>
      </c>
      <c r="M2620">
        <v>4.87E-2</v>
      </c>
      <c r="N2620">
        <v>9.6500000000000002E-2</v>
      </c>
      <c r="O2620">
        <v>3.3300000000000001E-3</v>
      </c>
      <c r="P2620" s="3">
        <f t="shared" si="160"/>
        <v>2485.3519754349204</v>
      </c>
      <c r="Q2620" s="3">
        <f t="shared" si="161"/>
        <v>3.8667799844915862E-3</v>
      </c>
      <c r="R2620" s="3">
        <f t="shared" si="162"/>
        <v>3.0100000000000001E-3</v>
      </c>
      <c r="S2620">
        <f t="shared" si="163"/>
        <v>62</v>
      </c>
      <c r="T2620">
        <f>INDEX([1]IDEN_level_ids!$B:$B,MATCH(G2620,[1]IDEN_level_ids!$A:$A,0),1)</f>
        <v>1184</v>
      </c>
      <c r="U2620">
        <f>INDEX([1]IDEN_level_ids!$B:$B,MATCH(H2620,[1]IDEN_level_ids!$A:$A,0),1)</f>
        <v>1065</v>
      </c>
    </row>
    <row r="2621" spans="1:21" hidden="1" x14ac:dyDescent="0.25">
      <c r="A2621">
        <v>40234.1299</v>
      </c>
      <c r="B2621">
        <v>2485.4520000000002</v>
      </c>
      <c r="C2621">
        <v>15</v>
      </c>
      <c r="D2621" t="s">
        <v>657</v>
      </c>
      <c r="F2621">
        <v>1974</v>
      </c>
      <c r="G2621" s="1" t="s">
        <v>238</v>
      </c>
      <c r="H2621" s="1" t="s">
        <v>468</v>
      </c>
      <c r="I2621">
        <v>0.16639999999999999</v>
      </c>
      <c r="J2621">
        <v>40234.171900000001</v>
      </c>
      <c r="K2621">
        <v>2.5999999999999999E-3</v>
      </c>
      <c r="L2621">
        <v>2.8500000000000001E-3</v>
      </c>
      <c r="M2621">
        <v>4.6100000000000002E-2</v>
      </c>
      <c r="N2621">
        <v>0.1157</v>
      </c>
      <c r="O2621">
        <v>3.2200000000000002E-3</v>
      </c>
      <c r="P2621" s="3">
        <f t="shared" si="160"/>
        <v>2485.452034095063</v>
      </c>
      <c r="Q2621" s="3">
        <f t="shared" si="161"/>
        <v>2.5945354532268539E-3</v>
      </c>
      <c r="R2621" s="3">
        <f t="shared" si="162"/>
        <v>2.8500000000000001E-3</v>
      </c>
      <c r="S2621">
        <f t="shared" si="163"/>
        <v>62</v>
      </c>
      <c r="T2621">
        <f>INDEX([1]IDEN_level_ids!$B:$B,MATCH(G2621,[1]IDEN_level_ids!$A:$A,0),1)</f>
        <v>1165</v>
      </c>
      <c r="U2621">
        <f>INDEX([1]IDEN_level_ids!$B:$B,MATCH(H2621,[1]IDEN_level_ids!$A:$A,0),1)</f>
        <v>1044</v>
      </c>
    </row>
    <row r="2622" spans="1:21" hidden="1" x14ac:dyDescent="0.25">
      <c r="A2622">
        <v>40231.298999999999</v>
      </c>
      <c r="B2622">
        <v>2485.6269000000002</v>
      </c>
      <c r="C2622">
        <v>15</v>
      </c>
      <c r="D2622" t="s">
        <v>657</v>
      </c>
      <c r="F2622">
        <v>1974</v>
      </c>
      <c r="G2622" s="1" t="s">
        <v>438</v>
      </c>
      <c r="H2622" s="1" t="s">
        <v>366</v>
      </c>
      <c r="I2622">
        <v>0</v>
      </c>
      <c r="J2622">
        <v>40231.326300000001</v>
      </c>
      <c r="K2622">
        <v>1.6900000000000001E-3</v>
      </c>
      <c r="L2622">
        <v>2.8500000000000001E-3</v>
      </c>
      <c r="M2622">
        <v>4.6100000000000002E-2</v>
      </c>
      <c r="N2622">
        <v>0.2152</v>
      </c>
      <c r="O2622">
        <v>3.63E-3</v>
      </c>
      <c r="P2622" s="3">
        <f t="shared" si="160"/>
        <v>2485.6269244500409</v>
      </c>
      <c r="Q2622" s="3">
        <f t="shared" si="161"/>
        <v>1.6866860050868127E-3</v>
      </c>
      <c r="R2622" s="3">
        <f t="shared" si="162"/>
        <v>2.8500000000000001E-3</v>
      </c>
      <c r="S2622">
        <f t="shared" si="163"/>
        <v>62</v>
      </c>
      <c r="T2622">
        <f>INDEX([1]IDEN_level_ids!$B:$B,MATCH(G2622,[1]IDEN_level_ids!$A:$A,0),1)</f>
        <v>1051</v>
      </c>
      <c r="U2622">
        <f>INDEX([1]IDEN_level_ids!$B:$B,MATCH(H2622,[1]IDEN_level_ids!$A:$A,0),1)</f>
        <v>853</v>
      </c>
    </row>
    <row r="2623" spans="1:21" hidden="1" x14ac:dyDescent="0.25">
      <c r="A2623">
        <v>40226.78</v>
      </c>
      <c r="B2623">
        <v>2485.9061999999999</v>
      </c>
      <c r="C2623">
        <v>15</v>
      </c>
      <c r="D2623" t="s">
        <v>657</v>
      </c>
      <c r="E2623" t="s">
        <v>427</v>
      </c>
      <c r="F2623">
        <v>1974</v>
      </c>
      <c r="G2623" s="1" t="s">
        <v>265</v>
      </c>
      <c r="H2623" s="1" t="s">
        <v>587</v>
      </c>
      <c r="I2623">
        <v>0.13569999999999999</v>
      </c>
      <c r="J2623">
        <v>40226.779699999999</v>
      </c>
      <c r="K2623">
        <v>-2.0000000000000002E-5</v>
      </c>
      <c r="L2623">
        <v>3.0100000000000001E-3</v>
      </c>
      <c r="M2623">
        <v>4.87E-2</v>
      </c>
      <c r="N2623">
        <v>0.1019</v>
      </c>
      <c r="O2623">
        <v>3.3500000000000001E-3</v>
      </c>
      <c r="P2623" s="3">
        <f t="shared" si="160"/>
        <v>2485.9061550539218</v>
      </c>
      <c r="Q2623" s="3">
        <f t="shared" si="161"/>
        <v>-1.8539188204158563E-5</v>
      </c>
      <c r="R2623" s="3">
        <f t="shared" si="162"/>
        <v>3.0100000000000001E-3</v>
      </c>
      <c r="S2623">
        <f t="shared" si="163"/>
        <v>62</v>
      </c>
      <c r="T2623">
        <f>INDEX([1]IDEN_level_ids!$B:$B,MATCH(G2623,[1]IDEN_level_ids!$A:$A,0),1)</f>
        <v>1161</v>
      </c>
      <c r="U2623">
        <f>INDEX([1]IDEN_level_ids!$B:$B,MATCH(H2623,[1]IDEN_level_ids!$A:$A,0),1)</f>
        <v>1035</v>
      </c>
    </row>
    <row r="2624" spans="1:21" hidden="1" x14ac:dyDescent="0.25">
      <c r="A2624">
        <v>40199.349399999999</v>
      </c>
      <c r="B2624">
        <v>2487.6024000000002</v>
      </c>
      <c r="C2624">
        <v>15</v>
      </c>
      <c r="D2624" t="s">
        <v>657</v>
      </c>
      <c r="F2624">
        <v>1974</v>
      </c>
      <c r="G2624" s="1" t="s">
        <v>540</v>
      </c>
      <c r="H2624" s="1" t="s">
        <v>321</v>
      </c>
      <c r="I2624">
        <v>-0.34399999999999997</v>
      </c>
      <c r="J2624">
        <v>40199.462200000002</v>
      </c>
      <c r="K2624">
        <v>6.9800000000000001E-3</v>
      </c>
      <c r="L2624">
        <v>2.8500000000000001E-3</v>
      </c>
      <c r="M2624">
        <v>4.6100000000000002E-2</v>
      </c>
      <c r="N2624">
        <v>0.27610000000000001</v>
      </c>
      <c r="O2624">
        <v>3.9399999999999999E-3</v>
      </c>
      <c r="P2624" s="3">
        <f t="shared" si="160"/>
        <v>2487.6024486107726</v>
      </c>
      <c r="Q2624" s="3">
        <f t="shared" si="161"/>
        <v>6.980231596116937E-3</v>
      </c>
      <c r="R2624" s="3">
        <f t="shared" si="162"/>
        <v>2.8500000000000001E-3</v>
      </c>
      <c r="S2624">
        <f t="shared" si="163"/>
        <v>62</v>
      </c>
      <c r="T2624">
        <f>INDEX([1]IDEN_level_ids!$B:$B,MATCH(G2624,[1]IDEN_level_ids!$A:$A,0),1)</f>
        <v>1027</v>
      </c>
      <c r="U2624">
        <f>INDEX([1]IDEN_level_ids!$B:$B,MATCH(H2624,[1]IDEN_level_ids!$A:$A,0),1)</f>
        <v>823</v>
      </c>
    </row>
    <row r="2625" spans="1:21" hidden="1" x14ac:dyDescent="0.25">
      <c r="A2625">
        <v>40194.6296</v>
      </c>
      <c r="B2625">
        <v>2487.8946000000001</v>
      </c>
      <c r="C2625">
        <v>15</v>
      </c>
      <c r="D2625" t="s">
        <v>657</v>
      </c>
      <c r="F2625">
        <v>1974</v>
      </c>
      <c r="G2625" s="1" t="s">
        <v>259</v>
      </c>
      <c r="H2625" s="1" t="s">
        <v>487</v>
      </c>
      <c r="I2625">
        <v>0</v>
      </c>
      <c r="J2625">
        <v>40194.639900000002</v>
      </c>
      <c r="K2625">
        <v>6.4000000000000005E-4</v>
      </c>
      <c r="L2625">
        <v>2.8500000000000001E-3</v>
      </c>
      <c r="M2625">
        <v>4.6100000000000002E-2</v>
      </c>
      <c r="N2625">
        <v>0.20130000000000001</v>
      </c>
      <c r="O2625">
        <v>3.5699999999999998E-3</v>
      </c>
      <c r="P2625" s="3">
        <f t="shared" si="160"/>
        <v>2487.8945519627327</v>
      </c>
      <c r="Q2625" s="3">
        <f t="shared" si="161"/>
        <v>6.3753062477189815E-4</v>
      </c>
      <c r="R2625" s="3">
        <f t="shared" si="162"/>
        <v>2.8500000000000001E-3</v>
      </c>
      <c r="S2625">
        <f t="shared" si="163"/>
        <v>62</v>
      </c>
      <c r="T2625">
        <f>INDEX([1]IDEN_level_ids!$B:$B,MATCH(G2625,[1]IDEN_level_ids!$A:$A,0),1)</f>
        <v>1117</v>
      </c>
      <c r="U2625">
        <f>INDEX([1]IDEN_level_ids!$B:$B,MATCH(H2625,[1]IDEN_level_ids!$A:$A,0),1)</f>
        <v>968</v>
      </c>
    </row>
    <row r="2626" spans="1:21" hidden="1" x14ac:dyDescent="0.25">
      <c r="A2626">
        <v>40191.491000000002</v>
      </c>
      <c r="B2626">
        <v>2488.0888</v>
      </c>
      <c r="C2626">
        <v>15</v>
      </c>
      <c r="D2626" t="s">
        <v>657</v>
      </c>
      <c r="F2626">
        <v>1974</v>
      </c>
      <c r="G2626" s="1" t="s">
        <v>83</v>
      </c>
      <c r="H2626" s="1" t="s">
        <v>410</v>
      </c>
      <c r="I2626">
        <v>0.1043</v>
      </c>
      <c r="J2626">
        <v>40191.515399999997</v>
      </c>
      <c r="K2626">
        <v>1.5100000000000001E-3</v>
      </c>
      <c r="L2626">
        <v>2.8500000000000001E-3</v>
      </c>
      <c r="M2626">
        <v>4.6100000000000002E-2</v>
      </c>
      <c r="N2626">
        <v>0.12609999999999999</v>
      </c>
      <c r="O2626">
        <v>3.2599999999999999E-3</v>
      </c>
      <c r="P2626" s="3">
        <f t="shared" ref="P2626:P2689" si="164">100000000/$A2626</f>
        <v>2488.0888345247008</v>
      </c>
      <c r="Q2626" s="3">
        <f t="shared" ref="Q2626:Q2689" si="165">100000000/($A2626)-100000000/$J2626</f>
        <v>1.5105020788723778E-3</v>
      </c>
      <c r="R2626" s="3">
        <f t="shared" si="162"/>
        <v>2.8500000000000001E-3</v>
      </c>
      <c r="S2626">
        <f t="shared" si="163"/>
        <v>62</v>
      </c>
      <c r="T2626">
        <f>INDEX([1]IDEN_level_ids!$B:$B,MATCH(G2626,[1]IDEN_level_ids!$A:$A,0),1)</f>
        <v>1175</v>
      </c>
      <c r="U2626">
        <f>INDEX([1]IDEN_level_ids!$B:$B,MATCH(H2626,[1]IDEN_level_ids!$A:$A,0),1)</f>
        <v>1056</v>
      </c>
    </row>
    <row r="2627" spans="1:21" hidden="1" x14ac:dyDescent="0.25">
      <c r="A2627">
        <v>40186.779000000002</v>
      </c>
      <c r="B2627">
        <v>2488.3806</v>
      </c>
      <c r="C2627">
        <v>15</v>
      </c>
      <c r="D2627" t="s">
        <v>657</v>
      </c>
      <c r="F2627">
        <v>1974</v>
      </c>
      <c r="G2627" s="1" t="s">
        <v>193</v>
      </c>
      <c r="H2627" s="1" t="s">
        <v>450</v>
      </c>
      <c r="I2627">
        <v>0.2989</v>
      </c>
      <c r="J2627">
        <v>40186.839999999997</v>
      </c>
      <c r="K2627">
        <v>3.7699999999999999E-3</v>
      </c>
      <c r="L2627">
        <v>2.8500000000000001E-3</v>
      </c>
      <c r="M2627">
        <v>4.6100000000000002E-2</v>
      </c>
      <c r="N2627">
        <v>0.14460000000000001</v>
      </c>
      <c r="O2627">
        <v>3.3300000000000001E-3</v>
      </c>
      <c r="P2627" s="3">
        <f t="shared" si="164"/>
        <v>2488.3805691419061</v>
      </c>
      <c r="Q2627" s="3">
        <f t="shared" si="165"/>
        <v>3.7771373590658186E-3</v>
      </c>
      <c r="R2627" s="3">
        <f t="shared" ref="R2627:R2690" si="166">$L2627</f>
        <v>2.8500000000000001E-3</v>
      </c>
      <c r="S2627">
        <f t="shared" si="163"/>
        <v>62</v>
      </c>
      <c r="T2627">
        <f>INDEX([1]IDEN_level_ids!$B:$B,MATCH(G2627,[1]IDEN_level_ids!$A:$A,0),1)</f>
        <v>1202</v>
      </c>
      <c r="U2627">
        <f>INDEX([1]IDEN_level_ids!$B:$B,MATCH(H2627,[1]IDEN_level_ids!$A:$A,0),1)</f>
        <v>1077</v>
      </c>
    </row>
    <row r="2628" spans="1:21" hidden="1" x14ac:dyDescent="0.25">
      <c r="A2628">
        <v>40184.839500000002</v>
      </c>
      <c r="B2628">
        <v>2488.5007000000001</v>
      </c>
      <c r="C2628">
        <v>15</v>
      </c>
      <c r="D2628" t="s">
        <v>657</v>
      </c>
      <c r="F2628">
        <v>1974</v>
      </c>
      <c r="G2628" s="1" t="s">
        <v>540</v>
      </c>
      <c r="H2628" s="1" t="s">
        <v>325</v>
      </c>
      <c r="I2628">
        <v>-0.34399999999999997</v>
      </c>
      <c r="J2628">
        <v>40184.854399999997</v>
      </c>
      <c r="K2628">
        <v>9.2000000000000003E-4</v>
      </c>
      <c r="L2628">
        <v>2.8500000000000001E-3</v>
      </c>
      <c r="M2628">
        <v>4.6100000000000002E-2</v>
      </c>
      <c r="N2628">
        <v>0.19719999999999999</v>
      </c>
      <c r="O2628">
        <v>3.5500000000000002E-3</v>
      </c>
      <c r="P2628" s="3">
        <f t="shared" si="164"/>
        <v>2488.5006695124412</v>
      </c>
      <c r="Q2628" s="3">
        <f t="shared" si="165"/>
        <v>9.2270235927571775E-4</v>
      </c>
      <c r="R2628" s="3">
        <f t="shared" si="166"/>
        <v>2.8500000000000001E-3</v>
      </c>
      <c r="S2628">
        <f t="shared" ref="S2628:S2691" si="167">IF(D2628=D2627,S2627,S2627+1)</f>
        <v>62</v>
      </c>
      <c r="T2628">
        <f>INDEX([1]IDEN_level_ids!$B:$B,MATCH(G2628,[1]IDEN_level_ids!$A:$A,0),1)</f>
        <v>1027</v>
      </c>
      <c r="U2628">
        <f>INDEX([1]IDEN_level_ids!$B:$B,MATCH(H2628,[1]IDEN_level_ids!$A:$A,0),1)</f>
        <v>822</v>
      </c>
    </row>
    <row r="2629" spans="1:21" hidden="1" x14ac:dyDescent="0.25">
      <c r="A2629">
        <v>40170.629800000002</v>
      </c>
      <c r="B2629">
        <v>2489.3809000000001</v>
      </c>
      <c r="C2629">
        <v>15</v>
      </c>
      <c r="D2629" t="s">
        <v>657</v>
      </c>
      <c r="E2629" t="s">
        <v>427</v>
      </c>
      <c r="F2629">
        <v>1974</v>
      </c>
      <c r="G2629" s="1" t="s">
        <v>251</v>
      </c>
      <c r="H2629" s="1" t="s">
        <v>413</v>
      </c>
      <c r="I2629">
        <v>6.4600000000000005E-2</v>
      </c>
      <c r="J2629">
        <v>40170.682399999998</v>
      </c>
      <c r="K2629">
        <v>3.2599999999999999E-3</v>
      </c>
      <c r="L2629">
        <v>3.0200000000000001E-3</v>
      </c>
      <c r="M2629">
        <v>4.87E-2</v>
      </c>
      <c r="N2629">
        <v>0.1956</v>
      </c>
      <c r="O2629">
        <v>3.7499999999999999E-3</v>
      </c>
      <c r="P2629" s="3">
        <f t="shared" si="164"/>
        <v>2489.3809357203554</v>
      </c>
      <c r="Q2629" s="3">
        <f t="shared" si="165"/>
        <v>3.2596269065834349E-3</v>
      </c>
      <c r="R2629" s="3">
        <f t="shared" si="166"/>
        <v>3.0200000000000001E-3</v>
      </c>
      <c r="S2629">
        <f t="shared" si="167"/>
        <v>62</v>
      </c>
      <c r="T2629">
        <f>INDEX([1]IDEN_level_ids!$B:$B,MATCH(G2629,[1]IDEN_level_ids!$A:$A,0),1)</f>
        <v>1192</v>
      </c>
      <c r="U2629">
        <f>INDEX([1]IDEN_level_ids!$B:$B,MATCH(H2629,[1]IDEN_level_ids!$A:$A,0),1)</f>
        <v>1071</v>
      </c>
    </row>
    <row r="2630" spans="1:21" hidden="1" x14ac:dyDescent="0.25">
      <c r="A2630">
        <v>40163.208899999998</v>
      </c>
      <c r="B2630">
        <v>2489.8409000000001</v>
      </c>
      <c r="C2630">
        <v>15</v>
      </c>
      <c r="D2630" t="s">
        <v>657</v>
      </c>
      <c r="F2630">
        <v>1974</v>
      </c>
      <c r="G2630" s="1" t="s">
        <v>295</v>
      </c>
      <c r="H2630" s="1" t="s">
        <v>570</v>
      </c>
      <c r="I2630">
        <v>0</v>
      </c>
      <c r="J2630">
        <v>40163.157599999999</v>
      </c>
      <c r="K2630">
        <v>-3.1800000000000001E-3</v>
      </c>
      <c r="L2630">
        <v>2.8600000000000001E-3</v>
      </c>
      <c r="M2630">
        <v>4.6100000000000002E-2</v>
      </c>
      <c r="N2630">
        <v>0.1384</v>
      </c>
      <c r="O2630">
        <v>3.31E-3</v>
      </c>
      <c r="P2630" s="3">
        <f t="shared" si="164"/>
        <v>2489.8408951581555</v>
      </c>
      <c r="Q2630" s="3">
        <f t="shared" si="165"/>
        <v>-3.1802489038454951E-3</v>
      </c>
      <c r="R2630" s="3">
        <f t="shared" si="166"/>
        <v>2.8600000000000001E-3</v>
      </c>
      <c r="S2630">
        <f t="shared" si="167"/>
        <v>62</v>
      </c>
      <c r="T2630">
        <f>INDEX([1]IDEN_level_ids!$B:$B,MATCH(G2630,[1]IDEN_level_ids!$A:$A,0),1)</f>
        <v>1152</v>
      </c>
      <c r="U2630">
        <f>INDEX([1]IDEN_level_ids!$B:$B,MATCH(H2630,[1]IDEN_level_ids!$A:$A,0),1)</f>
        <v>1015</v>
      </c>
    </row>
    <row r="2631" spans="1:21" hidden="1" x14ac:dyDescent="0.25">
      <c r="A2631">
        <v>40150.609700000001</v>
      </c>
      <c r="B2631">
        <v>2490.6221999999998</v>
      </c>
      <c r="C2631">
        <v>15</v>
      </c>
      <c r="D2631" t="s">
        <v>657</v>
      </c>
      <c r="E2631" t="s">
        <v>427</v>
      </c>
      <c r="F2631">
        <v>1974</v>
      </c>
      <c r="G2631" s="1" t="s">
        <v>283</v>
      </c>
      <c r="H2631" s="1" t="s">
        <v>401</v>
      </c>
      <c r="I2631">
        <v>6.8900000000000003E-2</v>
      </c>
      <c r="J2631">
        <v>40150.455600000001</v>
      </c>
      <c r="K2631">
        <v>-9.5600000000000008E-3</v>
      </c>
      <c r="L2631">
        <v>3.0200000000000001E-3</v>
      </c>
      <c r="M2631">
        <v>4.87E-2</v>
      </c>
      <c r="N2631">
        <v>0.14369999999999999</v>
      </c>
      <c r="O2631">
        <v>3.5300000000000002E-3</v>
      </c>
      <c r="P2631" s="3">
        <f t="shared" si="164"/>
        <v>2490.6222034282082</v>
      </c>
      <c r="Q2631" s="3">
        <f t="shared" si="165"/>
        <v>-9.5591662866354454E-3</v>
      </c>
      <c r="R2631" s="3">
        <f t="shared" si="166"/>
        <v>3.0200000000000001E-3</v>
      </c>
      <c r="S2631">
        <f t="shared" si="167"/>
        <v>62</v>
      </c>
      <c r="T2631">
        <f>INDEX([1]IDEN_level_ids!$B:$B,MATCH(G2631,[1]IDEN_level_ids!$A:$A,0),1)</f>
        <v>1178</v>
      </c>
      <c r="U2631">
        <f>INDEX([1]IDEN_level_ids!$B:$B,MATCH(H2631,[1]IDEN_level_ids!$A:$A,0),1)</f>
        <v>1063</v>
      </c>
    </row>
    <row r="2632" spans="1:21" hidden="1" x14ac:dyDescent="0.25">
      <c r="A2632">
        <v>40145.400399999999</v>
      </c>
      <c r="B2632">
        <v>2490.9454000000001</v>
      </c>
      <c r="C2632">
        <v>15</v>
      </c>
      <c r="D2632" t="s">
        <v>657</v>
      </c>
      <c r="F2632">
        <v>1974</v>
      </c>
      <c r="G2632" s="1" t="s">
        <v>288</v>
      </c>
      <c r="H2632" s="1" t="s">
        <v>481</v>
      </c>
      <c r="I2632">
        <v>0</v>
      </c>
      <c r="J2632">
        <v>40145.487800000003</v>
      </c>
      <c r="K2632">
        <v>5.4200000000000003E-3</v>
      </c>
      <c r="L2632">
        <v>2.8600000000000001E-3</v>
      </c>
      <c r="M2632">
        <v>4.6100000000000002E-2</v>
      </c>
      <c r="N2632">
        <v>0.19900000000000001</v>
      </c>
      <c r="O2632">
        <v>3.5699999999999998E-3</v>
      </c>
      <c r="P2632" s="3">
        <f t="shared" si="164"/>
        <v>2490.9453886029742</v>
      </c>
      <c r="Q2632" s="3">
        <f t="shared" si="165"/>
        <v>5.4229911975198775E-3</v>
      </c>
      <c r="R2632" s="3">
        <f t="shared" si="166"/>
        <v>2.8600000000000001E-3</v>
      </c>
      <c r="S2632">
        <f t="shared" si="167"/>
        <v>62</v>
      </c>
      <c r="T2632">
        <f>INDEX([1]IDEN_level_ids!$B:$B,MATCH(G2632,[1]IDEN_level_ids!$A:$A,0),1)</f>
        <v>1151</v>
      </c>
      <c r="U2632">
        <f>INDEX([1]IDEN_level_ids!$B:$B,MATCH(H2632,[1]IDEN_level_ids!$A:$A,0),1)</f>
        <v>1016</v>
      </c>
    </row>
    <row r="2633" spans="1:21" hidden="1" x14ac:dyDescent="0.25">
      <c r="A2633">
        <v>40131.010300000002</v>
      </c>
      <c r="B2633">
        <v>2491.8386</v>
      </c>
      <c r="C2633">
        <v>15</v>
      </c>
      <c r="D2633" t="s">
        <v>657</v>
      </c>
      <c r="F2633">
        <v>1974</v>
      </c>
      <c r="G2633" s="1" t="s">
        <v>100</v>
      </c>
      <c r="H2633" s="1" t="s">
        <v>548</v>
      </c>
      <c r="I2633">
        <v>0</v>
      </c>
      <c r="J2633">
        <v>40131.027600000001</v>
      </c>
      <c r="K2633">
        <v>1.07E-3</v>
      </c>
      <c r="L2633">
        <v>2.8600000000000001E-3</v>
      </c>
      <c r="M2633">
        <v>4.6100000000000002E-2</v>
      </c>
      <c r="N2633">
        <v>0.49149999999999999</v>
      </c>
      <c r="O2633">
        <v>5.6299999999999996E-3</v>
      </c>
      <c r="P2633" s="3">
        <f t="shared" si="164"/>
        <v>2491.8385869792069</v>
      </c>
      <c r="Q2633" s="3">
        <f t="shared" si="165"/>
        <v>1.0742014378593012E-3</v>
      </c>
      <c r="R2633" s="3">
        <f t="shared" si="166"/>
        <v>2.8600000000000001E-3</v>
      </c>
      <c r="S2633">
        <f t="shared" si="167"/>
        <v>62</v>
      </c>
      <c r="T2633">
        <f>INDEX([1]IDEN_level_ids!$B:$B,MATCH(G2633,[1]IDEN_level_ids!$A:$A,0),1)</f>
        <v>1146</v>
      </c>
      <c r="U2633">
        <f>INDEX([1]IDEN_level_ids!$B:$B,MATCH(H2633,[1]IDEN_level_ids!$A:$A,0),1)</f>
        <v>1005</v>
      </c>
    </row>
    <row r="2634" spans="1:21" hidden="1" x14ac:dyDescent="0.25">
      <c r="A2634">
        <v>40128.591399999998</v>
      </c>
      <c r="B2634">
        <v>2491.9888000000001</v>
      </c>
      <c r="C2634">
        <v>15</v>
      </c>
      <c r="D2634" t="s">
        <v>657</v>
      </c>
      <c r="F2634">
        <v>1974</v>
      </c>
      <c r="G2634" s="1" t="s">
        <v>437</v>
      </c>
      <c r="H2634" s="1" t="s">
        <v>623</v>
      </c>
      <c r="I2634">
        <v>-0.26329999999999998</v>
      </c>
      <c r="J2634">
        <v>40128.679600000003</v>
      </c>
      <c r="K2634">
        <v>5.4799999999999996E-3</v>
      </c>
      <c r="L2634">
        <v>2.8600000000000001E-3</v>
      </c>
      <c r="M2634">
        <v>4.6100000000000002E-2</v>
      </c>
      <c r="N2634">
        <v>0.21820000000000001</v>
      </c>
      <c r="O2634">
        <v>3.6600000000000001E-3</v>
      </c>
      <c r="P2634" s="3">
        <f t="shared" si="164"/>
        <v>2491.9887918119152</v>
      </c>
      <c r="Q2634" s="3">
        <f t="shared" si="165"/>
        <v>5.477215140217595E-3</v>
      </c>
      <c r="R2634" s="3">
        <f t="shared" si="166"/>
        <v>2.8600000000000001E-3</v>
      </c>
      <c r="S2634">
        <f t="shared" si="167"/>
        <v>62</v>
      </c>
      <c r="T2634">
        <f>INDEX([1]IDEN_level_ids!$B:$B,MATCH(G2634,[1]IDEN_level_ids!$A:$A,0),1)</f>
        <v>1039</v>
      </c>
      <c r="U2634">
        <f>INDEX([1]IDEN_level_ids!$B:$B,MATCH(H2634,[1]IDEN_level_ids!$A:$A,0),1)</f>
        <v>842</v>
      </c>
    </row>
    <row r="2635" spans="1:21" hidden="1" x14ac:dyDescent="0.25">
      <c r="A2635">
        <v>40127.160400000001</v>
      </c>
      <c r="B2635">
        <v>2492.0776999999998</v>
      </c>
      <c r="C2635">
        <v>15</v>
      </c>
      <c r="D2635" t="s">
        <v>657</v>
      </c>
      <c r="F2635">
        <v>1974</v>
      </c>
      <c r="G2635" s="1" t="s">
        <v>375</v>
      </c>
      <c r="H2635" s="1" t="s">
        <v>370</v>
      </c>
      <c r="I2635">
        <v>-0.28789999999999999</v>
      </c>
      <c r="J2635">
        <v>40127.175900000002</v>
      </c>
      <c r="K2635">
        <v>9.6000000000000002E-4</v>
      </c>
      <c r="L2635">
        <v>2.8600000000000001E-3</v>
      </c>
      <c r="M2635">
        <v>4.6100000000000002E-2</v>
      </c>
      <c r="N2635">
        <v>0.29709999999999998</v>
      </c>
      <c r="O2635">
        <v>4.0699999999999998E-3</v>
      </c>
      <c r="P2635" s="3">
        <f t="shared" si="164"/>
        <v>2492.0776601974558</v>
      </c>
      <c r="Q2635" s="3">
        <f t="shared" si="165"/>
        <v>9.6261954331566812E-4</v>
      </c>
      <c r="R2635" s="3">
        <f t="shared" si="166"/>
        <v>2.8600000000000001E-3</v>
      </c>
      <c r="S2635">
        <f t="shared" si="167"/>
        <v>62</v>
      </c>
      <c r="T2635">
        <f>INDEX([1]IDEN_level_ids!$B:$B,MATCH(G2635,[1]IDEN_level_ids!$A:$A,0),1)</f>
        <v>1065</v>
      </c>
      <c r="U2635">
        <f>INDEX([1]IDEN_level_ids!$B:$B,MATCH(H2635,[1]IDEN_level_ids!$A:$A,0),1)</f>
        <v>873</v>
      </c>
    </row>
    <row r="2636" spans="1:21" hidden="1" x14ac:dyDescent="0.25">
      <c r="A2636">
        <v>40116.741099999999</v>
      </c>
      <c r="B2636">
        <v>2492.7249000000002</v>
      </c>
      <c r="C2636">
        <v>15</v>
      </c>
      <c r="D2636" t="s">
        <v>657</v>
      </c>
      <c r="F2636">
        <v>1974</v>
      </c>
      <c r="G2636" s="1" t="s">
        <v>166</v>
      </c>
      <c r="H2636" s="1" t="s">
        <v>375</v>
      </c>
      <c r="I2636">
        <v>0.28789999999999999</v>
      </c>
      <c r="J2636">
        <v>40116.777199999997</v>
      </c>
      <c r="K2636">
        <v>2.2399999999999998E-3</v>
      </c>
      <c r="L2636">
        <v>2.8600000000000001E-3</v>
      </c>
      <c r="M2636">
        <v>4.6100000000000002E-2</v>
      </c>
      <c r="N2636">
        <v>0.1019</v>
      </c>
      <c r="O2636">
        <v>3.1900000000000001E-3</v>
      </c>
      <c r="P2636" s="3">
        <f t="shared" si="164"/>
        <v>2492.7249137891713</v>
      </c>
      <c r="Q2636" s="3">
        <f t="shared" si="165"/>
        <v>2.2431355573644396E-3</v>
      </c>
      <c r="R2636" s="3">
        <f t="shared" si="166"/>
        <v>2.8600000000000001E-3</v>
      </c>
      <c r="S2636">
        <f t="shared" si="167"/>
        <v>62</v>
      </c>
      <c r="T2636">
        <f>INDEX([1]IDEN_level_ids!$B:$B,MATCH(G2636,[1]IDEN_level_ids!$A:$A,0),1)</f>
        <v>1186</v>
      </c>
      <c r="U2636">
        <f>INDEX([1]IDEN_level_ids!$B:$B,MATCH(H2636,[1]IDEN_level_ids!$A:$A,0),1)</f>
        <v>1065</v>
      </c>
    </row>
    <row r="2637" spans="1:21" hidden="1" x14ac:dyDescent="0.25">
      <c r="A2637">
        <v>40110.7402</v>
      </c>
      <c r="B2637">
        <v>2493.0978</v>
      </c>
      <c r="C2637">
        <v>15</v>
      </c>
      <c r="D2637" t="s">
        <v>657</v>
      </c>
      <c r="F2637">
        <v>1974</v>
      </c>
      <c r="G2637" s="1" t="s">
        <v>56</v>
      </c>
      <c r="H2637" s="1" t="s">
        <v>379</v>
      </c>
      <c r="I2637">
        <v>0.47110000000000002</v>
      </c>
      <c r="J2637">
        <v>40110.829899999997</v>
      </c>
      <c r="K2637">
        <v>5.5799999999999999E-3</v>
      </c>
      <c r="L2637">
        <v>2.8600000000000001E-3</v>
      </c>
      <c r="M2637">
        <v>4.6100000000000002E-2</v>
      </c>
      <c r="N2637">
        <v>0.1724</v>
      </c>
      <c r="O2637">
        <v>3.46E-3</v>
      </c>
      <c r="P2637" s="3">
        <f t="shared" si="164"/>
        <v>2493.0978461474515</v>
      </c>
      <c r="Q2637" s="3">
        <f t="shared" si="165"/>
        <v>5.5753241044840252E-3</v>
      </c>
      <c r="R2637" s="3">
        <f t="shared" si="166"/>
        <v>2.8600000000000001E-3</v>
      </c>
      <c r="S2637">
        <f t="shared" si="167"/>
        <v>62</v>
      </c>
      <c r="T2637">
        <f>INDEX([1]IDEN_level_ids!$B:$B,MATCH(G2637,[1]IDEN_level_ids!$A:$A,0),1)</f>
        <v>1221</v>
      </c>
      <c r="U2637">
        <f>INDEX([1]IDEN_level_ids!$B:$B,MATCH(H2637,[1]IDEN_level_ids!$A:$A,0),1)</f>
        <v>1083</v>
      </c>
    </row>
    <row r="2638" spans="1:21" hidden="1" x14ac:dyDescent="0.25">
      <c r="A2638">
        <v>40106.731099999997</v>
      </c>
      <c r="B2638">
        <v>2493.3471</v>
      </c>
      <c r="C2638">
        <v>15</v>
      </c>
      <c r="D2638" t="s">
        <v>657</v>
      </c>
      <c r="F2638">
        <v>1974</v>
      </c>
      <c r="G2638" s="1" t="s">
        <v>77</v>
      </c>
      <c r="H2638" s="1" t="s">
        <v>453</v>
      </c>
      <c r="I2638">
        <v>0.26840000000000003</v>
      </c>
      <c r="J2638">
        <v>40106.798799999997</v>
      </c>
      <c r="K2638">
        <v>4.2100000000000002E-3</v>
      </c>
      <c r="L2638">
        <v>2.8600000000000001E-3</v>
      </c>
      <c r="M2638">
        <v>4.6100000000000002E-2</v>
      </c>
      <c r="N2638">
        <v>0.15579999999999999</v>
      </c>
      <c r="O2638">
        <v>3.3899999999999998E-3</v>
      </c>
      <c r="P2638" s="3">
        <f t="shared" si="164"/>
        <v>2493.3470581450606</v>
      </c>
      <c r="Q2638" s="3">
        <f t="shared" si="165"/>
        <v>4.2087526526302099E-3</v>
      </c>
      <c r="R2638" s="3">
        <f t="shared" si="166"/>
        <v>2.8600000000000001E-3</v>
      </c>
      <c r="S2638">
        <f t="shared" si="167"/>
        <v>62</v>
      </c>
      <c r="T2638">
        <f>INDEX([1]IDEN_level_ids!$B:$B,MATCH(G2638,[1]IDEN_level_ids!$A:$A,0),1)</f>
        <v>1197</v>
      </c>
      <c r="U2638">
        <f>INDEX([1]IDEN_level_ids!$B:$B,MATCH(H2638,[1]IDEN_level_ids!$A:$A,0),1)</f>
        <v>1078</v>
      </c>
    </row>
    <row r="2639" spans="1:21" hidden="1" x14ac:dyDescent="0.25">
      <c r="A2639">
        <v>40104.011400000003</v>
      </c>
      <c r="B2639">
        <v>2493.5160999999998</v>
      </c>
      <c r="C2639">
        <v>15</v>
      </c>
      <c r="D2639" t="s">
        <v>657</v>
      </c>
      <c r="F2639">
        <v>1974</v>
      </c>
      <c r="G2639" s="1" t="s">
        <v>209</v>
      </c>
      <c r="H2639" s="1" t="s">
        <v>384</v>
      </c>
      <c r="I2639">
        <v>0.45490000000000003</v>
      </c>
      <c r="J2639">
        <v>40104.104099999997</v>
      </c>
      <c r="K2639">
        <v>5.77E-3</v>
      </c>
      <c r="L2639">
        <v>2.8600000000000001E-3</v>
      </c>
      <c r="M2639">
        <v>4.6100000000000002E-2</v>
      </c>
      <c r="N2639">
        <v>0.1419</v>
      </c>
      <c r="O2639">
        <v>3.3400000000000001E-3</v>
      </c>
      <c r="P2639" s="3">
        <f t="shared" si="164"/>
        <v>2493.5161473647495</v>
      </c>
      <c r="Q2639" s="3">
        <f t="shared" si="165"/>
        <v>5.7637229911051691E-3</v>
      </c>
      <c r="R2639" s="3">
        <f t="shared" si="166"/>
        <v>2.8600000000000001E-3</v>
      </c>
      <c r="S2639">
        <f t="shared" si="167"/>
        <v>62</v>
      </c>
      <c r="T2639">
        <f>INDEX([1]IDEN_level_ids!$B:$B,MATCH(G2639,[1]IDEN_level_ids!$A:$A,0),1)</f>
        <v>1209</v>
      </c>
      <c r="U2639">
        <f>INDEX([1]IDEN_level_ids!$B:$B,MATCH(H2639,[1]IDEN_level_ids!$A:$A,0),1)</f>
        <v>1080</v>
      </c>
    </row>
    <row r="2640" spans="1:21" hidden="1" x14ac:dyDescent="0.25">
      <c r="A2640">
        <v>40101.711300000003</v>
      </c>
      <c r="B2640">
        <v>2493.6592000000001</v>
      </c>
      <c r="C2640">
        <v>15</v>
      </c>
      <c r="D2640" t="s">
        <v>657</v>
      </c>
      <c r="F2640">
        <v>1974</v>
      </c>
      <c r="G2640" s="1" t="s">
        <v>117</v>
      </c>
      <c r="H2640" s="1" t="s">
        <v>476</v>
      </c>
      <c r="I2640">
        <v>0</v>
      </c>
      <c r="J2640">
        <v>40101.784800000001</v>
      </c>
      <c r="K2640">
        <v>4.5700000000000003E-3</v>
      </c>
      <c r="L2640">
        <v>2.8600000000000001E-3</v>
      </c>
      <c r="M2640">
        <v>4.6100000000000002E-2</v>
      </c>
      <c r="N2640">
        <v>0.113</v>
      </c>
      <c r="O2640">
        <v>3.2299999999999998E-3</v>
      </c>
      <c r="P2640" s="3">
        <f t="shared" si="164"/>
        <v>2493.6591671089109</v>
      </c>
      <c r="Q2640" s="3">
        <f t="shared" si="165"/>
        <v>4.5704686135650263E-3</v>
      </c>
      <c r="R2640" s="3">
        <f t="shared" si="166"/>
        <v>2.8600000000000001E-3</v>
      </c>
      <c r="S2640">
        <f t="shared" si="167"/>
        <v>62</v>
      </c>
      <c r="T2640">
        <f>INDEX([1]IDEN_level_ids!$B:$B,MATCH(G2640,[1]IDEN_level_ids!$A:$A,0),1)</f>
        <v>1162</v>
      </c>
      <c r="U2640">
        <f>INDEX([1]IDEN_level_ids!$B:$B,MATCH(H2640,[1]IDEN_level_ids!$A:$A,0),1)</f>
        <v>1037</v>
      </c>
    </row>
    <row r="2641" spans="1:21" hidden="1" x14ac:dyDescent="0.25">
      <c r="A2641">
        <v>40091.809600000001</v>
      </c>
      <c r="B2641">
        <v>2494.2750000000001</v>
      </c>
      <c r="C2641">
        <v>15</v>
      </c>
      <c r="D2641" t="s">
        <v>657</v>
      </c>
      <c r="F2641">
        <v>1974</v>
      </c>
      <c r="G2641" s="1" t="s">
        <v>204</v>
      </c>
      <c r="H2641" s="1" t="s">
        <v>401</v>
      </c>
      <c r="I2641">
        <v>6.8900000000000003E-2</v>
      </c>
      <c r="J2641">
        <v>40091.853900000002</v>
      </c>
      <c r="K2641">
        <v>2.7499999999999998E-3</v>
      </c>
      <c r="L2641">
        <v>2.8700000000000002E-3</v>
      </c>
      <c r="M2641">
        <v>4.6100000000000002E-2</v>
      </c>
      <c r="N2641">
        <v>0.14430000000000001</v>
      </c>
      <c r="O2641">
        <v>3.3500000000000001E-3</v>
      </c>
      <c r="P2641" s="3">
        <f t="shared" si="164"/>
        <v>2494.2750401568305</v>
      </c>
      <c r="Q2641" s="3">
        <f t="shared" si="165"/>
        <v>2.7560806879591837E-3</v>
      </c>
      <c r="R2641" s="3">
        <f t="shared" si="166"/>
        <v>2.8700000000000002E-3</v>
      </c>
      <c r="S2641">
        <f t="shared" si="167"/>
        <v>62</v>
      </c>
      <c r="T2641">
        <f>INDEX([1]IDEN_level_ids!$B:$B,MATCH(G2641,[1]IDEN_level_ids!$A:$A,0),1)</f>
        <v>1176</v>
      </c>
      <c r="U2641">
        <f>INDEX([1]IDEN_level_ids!$B:$B,MATCH(H2641,[1]IDEN_level_ids!$A:$A,0),1)</f>
        <v>1063</v>
      </c>
    </row>
    <row r="2642" spans="1:21" hidden="1" x14ac:dyDescent="0.25">
      <c r="A2642">
        <v>40089.201200000003</v>
      </c>
      <c r="B2642">
        <v>2494.4373000000001</v>
      </c>
      <c r="C2642">
        <v>15</v>
      </c>
      <c r="D2642" t="s">
        <v>657</v>
      </c>
      <c r="F2642">
        <v>1974</v>
      </c>
      <c r="G2642" s="1" t="s">
        <v>446</v>
      </c>
      <c r="H2642" s="1" t="s">
        <v>624</v>
      </c>
      <c r="I2642">
        <v>-0.31669999999999998</v>
      </c>
      <c r="J2642">
        <v>40089.275600000001</v>
      </c>
      <c r="K2642">
        <v>4.6299999999999996E-3</v>
      </c>
      <c r="L2642">
        <v>2.8700000000000002E-3</v>
      </c>
      <c r="M2642">
        <v>4.6100000000000002E-2</v>
      </c>
      <c r="N2642">
        <v>0.1774</v>
      </c>
      <c r="O2642">
        <v>3.48E-3</v>
      </c>
      <c r="P2642" s="3">
        <f t="shared" si="164"/>
        <v>2494.4373299211557</v>
      </c>
      <c r="Q2642" s="3">
        <f t="shared" si="165"/>
        <v>4.6293212976706855E-3</v>
      </c>
      <c r="R2642" s="3">
        <f t="shared" si="166"/>
        <v>2.8700000000000002E-3</v>
      </c>
      <c r="S2642">
        <f t="shared" si="167"/>
        <v>62</v>
      </c>
      <c r="T2642">
        <f>INDEX([1]IDEN_level_ids!$B:$B,MATCH(G2642,[1]IDEN_level_ids!$A:$A,0),1)</f>
        <v>1079</v>
      </c>
      <c r="U2642">
        <f>INDEX([1]IDEN_level_ids!$B:$B,MATCH(H2642,[1]IDEN_level_ids!$A:$A,0),1)</f>
        <v>887</v>
      </c>
    </row>
    <row r="2643" spans="1:21" hidden="1" x14ac:dyDescent="0.25">
      <c r="A2643">
        <v>40080.940900000001</v>
      </c>
      <c r="B2643">
        <v>2494.9513999999999</v>
      </c>
      <c r="C2643">
        <v>15</v>
      </c>
      <c r="D2643" t="s">
        <v>657</v>
      </c>
      <c r="E2643" t="s">
        <v>427</v>
      </c>
      <c r="F2643">
        <v>1974</v>
      </c>
      <c r="G2643" s="1" t="s">
        <v>141</v>
      </c>
      <c r="H2643" s="1" t="s">
        <v>536</v>
      </c>
      <c r="I2643">
        <v>0</v>
      </c>
      <c r="J2643">
        <v>40080.970200000003</v>
      </c>
      <c r="K2643">
        <v>1.82E-3</v>
      </c>
      <c r="L2643">
        <v>3.0300000000000001E-3</v>
      </c>
      <c r="M2643">
        <v>4.87E-2</v>
      </c>
      <c r="N2643">
        <v>9.4200000000000006E-2</v>
      </c>
      <c r="O2643">
        <v>3.3500000000000001E-3</v>
      </c>
      <c r="P2643" s="3">
        <f t="shared" si="164"/>
        <v>2494.9514096860935</v>
      </c>
      <c r="Q2643" s="3">
        <f t="shared" si="165"/>
        <v>1.8238599500364217E-3</v>
      </c>
      <c r="R2643" s="3">
        <f t="shared" si="166"/>
        <v>3.0300000000000001E-3</v>
      </c>
      <c r="S2643">
        <f t="shared" si="167"/>
        <v>62</v>
      </c>
      <c r="T2643">
        <f>INDEX([1]IDEN_level_ids!$B:$B,MATCH(G2643,[1]IDEN_level_ids!$A:$A,0),1)</f>
        <v>1155</v>
      </c>
      <c r="U2643">
        <f>INDEX([1]IDEN_level_ids!$B:$B,MATCH(H2643,[1]IDEN_level_ids!$A:$A,0),1)</f>
        <v>1021</v>
      </c>
    </row>
    <row r="2644" spans="1:21" hidden="1" x14ac:dyDescent="0.25">
      <c r="A2644">
        <v>40074.931299999997</v>
      </c>
      <c r="B2644">
        <v>2495.3256000000001</v>
      </c>
      <c r="C2644">
        <v>15</v>
      </c>
      <c r="D2644" t="s">
        <v>657</v>
      </c>
      <c r="F2644">
        <v>1974</v>
      </c>
      <c r="G2644" s="1" t="s">
        <v>271</v>
      </c>
      <c r="H2644" s="1" t="s">
        <v>587</v>
      </c>
      <c r="I2644">
        <v>0.13569999999999999</v>
      </c>
      <c r="J2644">
        <v>40074.964399999997</v>
      </c>
      <c r="K2644">
        <v>2.0600000000000002E-3</v>
      </c>
      <c r="L2644">
        <v>2.8700000000000002E-3</v>
      </c>
      <c r="M2644">
        <v>4.6100000000000002E-2</v>
      </c>
      <c r="N2644">
        <v>0.1162</v>
      </c>
      <c r="O2644">
        <v>3.2499999999999999E-3</v>
      </c>
      <c r="P2644" s="3">
        <f t="shared" si="164"/>
        <v>2495.3255503147925</v>
      </c>
      <c r="Q2644" s="3">
        <f t="shared" si="165"/>
        <v>2.0610193159882328E-3</v>
      </c>
      <c r="R2644" s="3">
        <f t="shared" si="166"/>
        <v>2.8700000000000002E-3</v>
      </c>
      <c r="S2644">
        <f t="shared" si="167"/>
        <v>62</v>
      </c>
      <c r="T2644">
        <f>INDEX([1]IDEN_level_ids!$B:$B,MATCH(G2644,[1]IDEN_level_ids!$A:$A,0),1)</f>
        <v>1158</v>
      </c>
      <c r="U2644">
        <f>INDEX([1]IDEN_level_ids!$B:$B,MATCH(H2644,[1]IDEN_level_ids!$A:$A,0),1)</f>
        <v>1035</v>
      </c>
    </row>
    <row r="2645" spans="1:21" hidden="1" x14ac:dyDescent="0.25">
      <c r="A2645">
        <v>40070.4015</v>
      </c>
      <c r="B2645">
        <v>2495.6075999999998</v>
      </c>
      <c r="C2645">
        <v>15</v>
      </c>
      <c r="D2645" t="s">
        <v>657</v>
      </c>
      <c r="F2645">
        <v>1974</v>
      </c>
      <c r="G2645" s="1" t="s">
        <v>40</v>
      </c>
      <c r="H2645" s="1" t="s">
        <v>450</v>
      </c>
      <c r="I2645">
        <v>0.2989</v>
      </c>
      <c r="J2645">
        <v>40070.506699999998</v>
      </c>
      <c r="K2645">
        <v>6.5599999999999999E-3</v>
      </c>
      <c r="L2645">
        <v>2.8700000000000002E-3</v>
      </c>
      <c r="M2645">
        <v>4.6100000000000002E-2</v>
      </c>
      <c r="N2645">
        <v>0.1163</v>
      </c>
      <c r="O2645">
        <v>3.2499999999999999E-3</v>
      </c>
      <c r="P2645" s="3">
        <f t="shared" si="164"/>
        <v>2495.6076369736402</v>
      </c>
      <c r="Q2645" s="3">
        <f t="shared" si="165"/>
        <v>6.5518992655597685E-3</v>
      </c>
      <c r="R2645" s="3">
        <f t="shared" si="166"/>
        <v>2.8700000000000002E-3</v>
      </c>
      <c r="S2645">
        <f t="shared" si="167"/>
        <v>62</v>
      </c>
      <c r="T2645">
        <f>INDEX([1]IDEN_level_ids!$B:$B,MATCH(G2645,[1]IDEN_level_ids!$A:$A,0),1)</f>
        <v>1199</v>
      </c>
      <c r="U2645">
        <f>INDEX([1]IDEN_level_ids!$B:$B,MATCH(H2645,[1]IDEN_level_ids!$A:$A,0),1)</f>
        <v>1077</v>
      </c>
    </row>
    <row r="2646" spans="1:21" hidden="1" x14ac:dyDescent="0.25">
      <c r="A2646">
        <v>40065.280700000003</v>
      </c>
      <c r="B2646">
        <v>2495.9265999999998</v>
      </c>
      <c r="C2646">
        <v>15</v>
      </c>
      <c r="D2646" t="s">
        <v>657</v>
      </c>
      <c r="F2646">
        <v>1974</v>
      </c>
      <c r="G2646" s="1" t="s">
        <v>267</v>
      </c>
      <c r="H2646" s="1" t="s">
        <v>495</v>
      </c>
      <c r="I2646">
        <v>0.1328</v>
      </c>
      <c r="J2646">
        <v>40065.359600000003</v>
      </c>
      <c r="K2646">
        <v>4.9100000000000003E-3</v>
      </c>
      <c r="L2646">
        <v>2.8700000000000002E-3</v>
      </c>
      <c r="M2646">
        <v>4.6100000000000002E-2</v>
      </c>
      <c r="N2646">
        <v>0.1976</v>
      </c>
      <c r="O2646">
        <v>3.5799999999999998E-3</v>
      </c>
      <c r="P2646" s="3">
        <f t="shared" si="164"/>
        <v>2495.9266041033875</v>
      </c>
      <c r="Q2646" s="3">
        <f t="shared" si="165"/>
        <v>4.915183865250583E-3</v>
      </c>
      <c r="R2646" s="3">
        <f t="shared" si="166"/>
        <v>2.8700000000000002E-3</v>
      </c>
      <c r="S2646">
        <f t="shared" si="167"/>
        <v>62</v>
      </c>
      <c r="T2646">
        <f>INDEX([1]IDEN_level_ids!$B:$B,MATCH(G2646,[1]IDEN_level_ids!$A:$A,0),1)</f>
        <v>1104</v>
      </c>
      <c r="U2646">
        <f>INDEX([1]IDEN_level_ids!$B:$B,MATCH(H2646,[1]IDEN_level_ids!$A:$A,0),1)</f>
        <v>960</v>
      </c>
    </row>
    <row r="2647" spans="1:21" hidden="1" x14ac:dyDescent="0.25">
      <c r="A2647">
        <v>40064.159699999997</v>
      </c>
      <c r="B2647">
        <v>2495.9964</v>
      </c>
      <c r="C2647">
        <v>15</v>
      </c>
      <c r="D2647" t="s">
        <v>657</v>
      </c>
      <c r="E2647" t="s">
        <v>427</v>
      </c>
      <c r="F2647">
        <v>1974</v>
      </c>
      <c r="G2647" s="1" t="s">
        <v>565</v>
      </c>
      <c r="H2647" s="1" t="s">
        <v>658</v>
      </c>
      <c r="I2647">
        <v>-0.1676</v>
      </c>
      <c r="J2647">
        <v>40064.213199999998</v>
      </c>
      <c r="K2647">
        <v>3.3300000000000001E-3</v>
      </c>
      <c r="L2647">
        <v>3.0400000000000002E-3</v>
      </c>
      <c r="M2647">
        <v>4.87E-2</v>
      </c>
      <c r="N2647">
        <v>0.38080000000000003</v>
      </c>
      <c r="O2647">
        <v>4.8999999999999998E-3</v>
      </c>
      <c r="P2647" s="3">
        <f t="shared" si="164"/>
        <v>2495.9964404295247</v>
      </c>
      <c r="Q2647" s="3">
        <f t="shared" si="165"/>
        <v>3.3330446026411664E-3</v>
      </c>
      <c r="R2647" s="3">
        <f t="shared" si="166"/>
        <v>3.0400000000000002E-3</v>
      </c>
      <c r="S2647">
        <f t="shared" si="167"/>
        <v>62</v>
      </c>
      <c r="T2647">
        <f>INDEX([1]IDEN_level_ids!$B:$B,MATCH(G2647,[1]IDEN_level_ids!$A:$A,0),1)</f>
        <v>1004</v>
      </c>
      <c r="U2647">
        <f>INDEX([1]IDEN_level_ids!$B:$B,MATCH(H2647,[1]IDEN_level_ids!$A:$A,0),1)</f>
        <v>799</v>
      </c>
    </row>
    <row r="2648" spans="1:21" hidden="1" x14ac:dyDescent="0.25">
      <c r="A2648">
        <v>40062.089399999997</v>
      </c>
      <c r="B2648">
        <v>2496.1253999999999</v>
      </c>
      <c r="C2648">
        <v>15</v>
      </c>
      <c r="D2648" t="s">
        <v>657</v>
      </c>
      <c r="E2648" t="s">
        <v>427</v>
      </c>
      <c r="F2648">
        <v>1974</v>
      </c>
      <c r="G2648" s="1" t="s">
        <v>38</v>
      </c>
      <c r="H2648" s="1" t="s">
        <v>446</v>
      </c>
      <c r="I2648">
        <v>0.31669999999999998</v>
      </c>
      <c r="J2648">
        <v>40062.146699999998</v>
      </c>
      <c r="K2648">
        <v>3.5699999999999998E-3</v>
      </c>
      <c r="L2648">
        <v>3.0400000000000002E-3</v>
      </c>
      <c r="M2648">
        <v>4.87E-2</v>
      </c>
      <c r="N2648">
        <v>0.126</v>
      </c>
      <c r="O2648">
        <v>3.47E-3</v>
      </c>
      <c r="P2648" s="3">
        <f t="shared" si="164"/>
        <v>2496.1254267482118</v>
      </c>
      <c r="Q2648" s="3">
        <f t="shared" si="165"/>
        <v>3.5701528436220542E-3</v>
      </c>
      <c r="R2648" s="3">
        <f t="shared" si="166"/>
        <v>3.0400000000000002E-3</v>
      </c>
      <c r="S2648">
        <f t="shared" si="167"/>
        <v>62</v>
      </c>
      <c r="T2648">
        <f>INDEX([1]IDEN_level_ids!$B:$B,MATCH(G2648,[1]IDEN_level_ids!$A:$A,0),1)</f>
        <v>1201</v>
      </c>
      <c r="U2648">
        <f>INDEX([1]IDEN_level_ids!$B:$B,MATCH(H2648,[1]IDEN_level_ids!$A:$A,0),1)</f>
        <v>1079</v>
      </c>
    </row>
    <row r="2649" spans="1:21" hidden="1" x14ac:dyDescent="0.25">
      <c r="A2649">
        <v>40053.081100000003</v>
      </c>
      <c r="B2649">
        <v>2496.6867999999999</v>
      </c>
      <c r="C2649">
        <v>15</v>
      </c>
      <c r="D2649" t="s">
        <v>657</v>
      </c>
      <c r="F2649">
        <v>1974</v>
      </c>
      <c r="G2649" s="1" t="s">
        <v>245</v>
      </c>
      <c r="H2649" s="1" t="s">
        <v>469</v>
      </c>
      <c r="I2649">
        <v>0.36720000000000003</v>
      </c>
      <c r="J2649">
        <v>40053.1296</v>
      </c>
      <c r="K2649">
        <v>3.0300000000000001E-3</v>
      </c>
      <c r="L2649">
        <v>2.8700000000000002E-3</v>
      </c>
      <c r="M2649">
        <v>4.6100000000000002E-2</v>
      </c>
      <c r="N2649">
        <v>0.14199999999999999</v>
      </c>
      <c r="O2649">
        <v>3.3500000000000001E-3</v>
      </c>
      <c r="P2649" s="3">
        <f t="shared" si="164"/>
        <v>2496.6868279204614</v>
      </c>
      <c r="Q2649" s="3">
        <f t="shared" si="165"/>
        <v>3.0232172202886431E-3</v>
      </c>
      <c r="R2649" s="3">
        <f t="shared" si="166"/>
        <v>2.8700000000000002E-3</v>
      </c>
      <c r="S2649">
        <f t="shared" si="167"/>
        <v>62</v>
      </c>
      <c r="T2649">
        <f>INDEX([1]IDEN_level_ids!$B:$B,MATCH(G2649,[1]IDEN_level_ids!$A:$A,0),1)</f>
        <v>1169</v>
      </c>
      <c r="U2649">
        <f>INDEX([1]IDEN_level_ids!$B:$B,MATCH(H2649,[1]IDEN_level_ids!$A:$A,0),1)</f>
        <v>1048</v>
      </c>
    </row>
    <row r="2650" spans="1:21" hidden="1" x14ac:dyDescent="0.25">
      <c r="A2650">
        <v>40047.278899999998</v>
      </c>
      <c r="B2650">
        <v>2497.0486000000001</v>
      </c>
      <c r="C2650">
        <v>15</v>
      </c>
      <c r="D2650" t="s">
        <v>657</v>
      </c>
      <c r="F2650">
        <v>1974</v>
      </c>
      <c r="G2650" s="1" t="s">
        <v>377</v>
      </c>
      <c r="H2650" s="1" t="s">
        <v>636</v>
      </c>
      <c r="I2650">
        <v>-0.33889999999999998</v>
      </c>
      <c r="J2650">
        <v>40047.381600000001</v>
      </c>
      <c r="K2650">
        <v>6.4099999999999999E-3</v>
      </c>
      <c r="L2650">
        <v>2.8700000000000002E-3</v>
      </c>
      <c r="M2650">
        <v>4.6100000000000002E-2</v>
      </c>
      <c r="N2650">
        <v>0.21149999999999999</v>
      </c>
      <c r="O2650">
        <v>3.64E-3</v>
      </c>
      <c r="P2650" s="3">
        <f t="shared" si="164"/>
        <v>2497.0485572741372</v>
      </c>
      <c r="Q2650" s="3">
        <f t="shared" si="165"/>
        <v>6.4035868658720574E-3</v>
      </c>
      <c r="R2650" s="3">
        <f t="shared" si="166"/>
        <v>2.8700000000000002E-3</v>
      </c>
      <c r="S2650">
        <f t="shared" si="167"/>
        <v>62</v>
      </c>
      <c r="T2650">
        <f>INDEX([1]IDEN_level_ids!$B:$B,MATCH(G2650,[1]IDEN_level_ids!$A:$A,0),1)</f>
        <v>1057</v>
      </c>
      <c r="U2650">
        <f>INDEX([1]IDEN_level_ids!$B:$B,MATCH(H2650,[1]IDEN_level_ids!$A:$A,0),1)</f>
        <v>868</v>
      </c>
    </row>
    <row r="2651" spans="1:21" hidden="1" x14ac:dyDescent="0.25">
      <c r="A2651">
        <v>40033.690900000001</v>
      </c>
      <c r="B2651">
        <v>2497.8960999999999</v>
      </c>
      <c r="C2651">
        <v>15</v>
      </c>
      <c r="D2651" t="s">
        <v>657</v>
      </c>
      <c r="F2651">
        <v>1974</v>
      </c>
      <c r="G2651" s="1" t="s">
        <v>470</v>
      </c>
      <c r="H2651" s="1" t="s">
        <v>325</v>
      </c>
      <c r="I2651">
        <v>-0.2848</v>
      </c>
      <c r="J2651">
        <v>40033.811699999998</v>
      </c>
      <c r="K2651">
        <v>7.5300000000000002E-3</v>
      </c>
      <c r="L2651">
        <v>2.8700000000000002E-3</v>
      </c>
      <c r="M2651">
        <v>4.6100000000000002E-2</v>
      </c>
      <c r="N2651">
        <v>0.2266</v>
      </c>
      <c r="O2651">
        <v>3.7200000000000002E-3</v>
      </c>
      <c r="P2651" s="3">
        <f t="shared" si="164"/>
        <v>2497.8960908148492</v>
      </c>
      <c r="Q2651" s="3">
        <f t="shared" si="165"/>
        <v>7.5372749920461501E-3</v>
      </c>
      <c r="R2651" s="3">
        <f t="shared" si="166"/>
        <v>2.8700000000000002E-3</v>
      </c>
      <c r="S2651">
        <f t="shared" si="167"/>
        <v>62</v>
      </c>
      <c r="T2651">
        <f>INDEX([1]IDEN_level_ids!$B:$B,MATCH(G2651,[1]IDEN_level_ids!$A:$A,0),1)</f>
        <v>1026</v>
      </c>
      <c r="U2651">
        <f>INDEX([1]IDEN_level_ids!$B:$B,MATCH(H2651,[1]IDEN_level_ids!$A:$A,0),1)</f>
        <v>822</v>
      </c>
    </row>
    <row r="2652" spans="1:21" hidden="1" x14ac:dyDescent="0.25">
      <c r="A2652">
        <v>40018.4205</v>
      </c>
      <c r="B2652">
        <v>2498.8492000000001</v>
      </c>
      <c r="C2652">
        <v>16</v>
      </c>
      <c r="D2652" t="s">
        <v>659</v>
      </c>
      <c r="F2652">
        <v>1974</v>
      </c>
      <c r="G2652" s="1" t="s">
        <v>268</v>
      </c>
      <c r="H2652" s="1" t="s">
        <v>552</v>
      </c>
      <c r="I2652">
        <v>0</v>
      </c>
      <c r="J2652">
        <v>40018.513200000001</v>
      </c>
      <c r="K2652">
        <v>5.79E-3</v>
      </c>
      <c r="L2652">
        <v>2.8800000000000002E-3</v>
      </c>
      <c r="M2652">
        <v>4.6100000000000002E-2</v>
      </c>
      <c r="N2652">
        <v>0.1293</v>
      </c>
      <c r="O2652">
        <v>3.3E-3</v>
      </c>
      <c r="P2652" s="3">
        <f t="shared" si="164"/>
        <v>2498.8492486853647</v>
      </c>
      <c r="Q2652" s="3">
        <f t="shared" si="165"/>
        <v>5.7884040866156283E-3</v>
      </c>
      <c r="R2652" s="3">
        <f t="shared" si="166"/>
        <v>2.8800000000000002E-3</v>
      </c>
      <c r="S2652">
        <f t="shared" si="167"/>
        <v>63</v>
      </c>
      <c r="T2652">
        <f>INDEX([1]IDEN_level_ids!$B:$B,MATCH(G2652,[1]IDEN_level_ids!$A:$A,0),1)</f>
        <v>1160</v>
      </c>
      <c r="U2652">
        <f>INDEX([1]IDEN_level_ids!$B:$B,MATCH(H2652,[1]IDEN_level_ids!$A:$A,0),1)</f>
        <v>1040</v>
      </c>
    </row>
    <row r="2653" spans="1:21" hidden="1" x14ac:dyDescent="0.25">
      <c r="A2653">
        <v>40017.0412</v>
      </c>
      <c r="B2653">
        <v>2498.9353999999998</v>
      </c>
      <c r="C2653">
        <v>16</v>
      </c>
      <c r="D2653" t="s">
        <v>659</v>
      </c>
      <c r="E2653" t="s">
        <v>427</v>
      </c>
      <c r="F2653">
        <v>1974</v>
      </c>
      <c r="G2653" s="1" t="s">
        <v>252</v>
      </c>
      <c r="H2653" s="1" t="s">
        <v>375</v>
      </c>
      <c r="I2653">
        <v>0.28789999999999999</v>
      </c>
      <c r="J2653">
        <v>40017.128400000001</v>
      </c>
      <c r="K2653">
        <v>5.4400000000000004E-3</v>
      </c>
      <c r="L2653">
        <v>3.0400000000000002E-3</v>
      </c>
      <c r="M2653">
        <v>4.87E-2</v>
      </c>
      <c r="N2653">
        <v>9.6000000000000002E-2</v>
      </c>
      <c r="O2653">
        <v>3.3700000000000002E-3</v>
      </c>
      <c r="P2653" s="3">
        <f t="shared" si="164"/>
        <v>2498.9353785606718</v>
      </c>
      <c r="Q2653" s="3">
        <f t="shared" si="165"/>
        <v>5.4453473730973201E-3</v>
      </c>
      <c r="R2653" s="3">
        <f t="shared" si="166"/>
        <v>3.0400000000000002E-3</v>
      </c>
      <c r="S2653">
        <f t="shared" si="167"/>
        <v>63</v>
      </c>
      <c r="T2653">
        <f>INDEX([1]IDEN_level_ids!$B:$B,MATCH(G2653,[1]IDEN_level_ids!$A:$A,0),1)</f>
        <v>1188</v>
      </c>
      <c r="U2653">
        <f>INDEX([1]IDEN_level_ids!$B:$B,MATCH(H2653,[1]IDEN_level_ids!$A:$A,0),1)</f>
        <v>1065</v>
      </c>
    </row>
    <row r="2654" spans="1:21" hidden="1" x14ac:dyDescent="0.25">
      <c r="A2654">
        <v>40008.1708</v>
      </c>
      <c r="B2654">
        <v>2499.4893999999999</v>
      </c>
      <c r="C2654">
        <v>16</v>
      </c>
      <c r="D2654" t="s">
        <v>659</v>
      </c>
      <c r="F2654">
        <v>1974</v>
      </c>
      <c r="G2654" s="1" t="s">
        <v>578</v>
      </c>
      <c r="H2654" s="1" t="s">
        <v>658</v>
      </c>
      <c r="I2654">
        <v>-0.25619999999999998</v>
      </c>
      <c r="J2654">
        <v>40008.2143</v>
      </c>
      <c r="K2654">
        <v>2.7200000000000002E-3</v>
      </c>
      <c r="L2654">
        <v>2.8800000000000002E-3</v>
      </c>
      <c r="M2654">
        <v>4.6100000000000002E-2</v>
      </c>
      <c r="N2654">
        <v>0.39789999999999998</v>
      </c>
      <c r="O2654">
        <v>4.7800000000000004E-3</v>
      </c>
      <c r="P2654" s="3">
        <f t="shared" si="164"/>
        <v>2499.4894292942781</v>
      </c>
      <c r="Q2654" s="3">
        <f t="shared" si="165"/>
        <v>2.7176366675121244E-3</v>
      </c>
      <c r="R2654" s="3">
        <f t="shared" si="166"/>
        <v>2.8800000000000002E-3</v>
      </c>
      <c r="S2654">
        <f t="shared" si="167"/>
        <v>63</v>
      </c>
      <c r="T2654">
        <f>INDEX([1]IDEN_level_ids!$B:$B,MATCH(G2654,[1]IDEN_level_ids!$A:$A,0),1)</f>
        <v>1003</v>
      </c>
      <c r="U2654">
        <f>INDEX([1]IDEN_level_ids!$B:$B,MATCH(H2654,[1]IDEN_level_ids!$A:$A,0),1)</f>
        <v>799</v>
      </c>
    </row>
    <row r="2655" spans="1:21" hidden="1" x14ac:dyDescent="0.25">
      <c r="A2655">
        <v>40000.200299999997</v>
      </c>
      <c r="B2655">
        <v>2499.9875000000002</v>
      </c>
      <c r="C2655">
        <v>16</v>
      </c>
      <c r="D2655" t="s">
        <v>659</v>
      </c>
      <c r="F2655">
        <v>1974</v>
      </c>
      <c r="G2655" s="1" t="s">
        <v>239</v>
      </c>
      <c r="H2655" s="1" t="s">
        <v>569</v>
      </c>
      <c r="I2655">
        <v>0</v>
      </c>
      <c r="J2655">
        <v>40000.239699999998</v>
      </c>
      <c r="K2655">
        <v>2.4599999999999999E-3</v>
      </c>
      <c r="L2655">
        <v>2.8800000000000002E-3</v>
      </c>
      <c r="M2655">
        <v>4.6100000000000002E-2</v>
      </c>
      <c r="N2655">
        <v>0.12509999999999999</v>
      </c>
      <c r="O2655">
        <v>3.29E-3</v>
      </c>
      <c r="P2655" s="3">
        <f t="shared" si="164"/>
        <v>2499.9874813126876</v>
      </c>
      <c r="Q2655" s="3">
        <f t="shared" si="165"/>
        <v>2.4624729130664491E-3</v>
      </c>
      <c r="R2655" s="3">
        <f t="shared" si="166"/>
        <v>2.8800000000000002E-3</v>
      </c>
      <c r="S2655">
        <f t="shared" si="167"/>
        <v>63</v>
      </c>
      <c r="T2655">
        <f>INDEX([1]IDEN_level_ids!$B:$B,MATCH(G2655,[1]IDEN_level_ids!$A:$A,0),1)</f>
        <v>1167</v>
      </c>
      <c r="U2655">
        <f>INDEX([1]IDEN_level_ids!$B:$B,MATCH(H2655,[1]IDEN_level_ids!$A:$A,0),1)</f>
        <v>1049</v>
      </c>
    </row>
    <row r="2656" spans="1:21" hidden="1" x14ac:dyDescent="0.25">
      <c r="A2656">
        <v>39994.409599999999</v>
      </c>
      <c r="B2656">
        <v>2500.3494000000001</v>
      </c>
      <c r="C2656">
        <v>16</v>
      </c>
      <c r="D2656" t="s">
        <v>659</v>
      </c>
      <c r="F2656">
        <v>1974</v>
      </c>
      <c r="G2656" s="1" t="s">
        <v>77</v>
      </c>
      <c r="H2656" s="1" t="s">
        <v>450</v>
      </c>
      <c r="I2656">
        <v>0.2989</v>
      </c>
      <c r="J2656">
        <v>39994.482199999999</v>
      </c>
      <c r="K2656">
        <v>4.5300000000000002E-3</v>
      </c>
      <c r="L2656">
        <v>2.8800000000000002E-3</v>
      </c>
      <c r="M2656">
        <v>4.6100000000000002E-2</v>
      </c>
      <c r="N2656">
        <v>0.13220000000000001</v>
      </c>
      <c r="O2656">
        <v>3.32E-3</v>
      </c>
      <c r="P2656" s="3">
        <f t="shared" si="164"/>
        <v>2500.3494488389697</v>
      </c>
      <c r="Q2656" s="3">
        <f t="shared" si="165"/>
        <v>4.5387603486233274E-3</v>
      </c>
      <c r="R2656" s="3">
        <f t="shared" si="166"/>
        <v>2.8800000000000002E-3</v>
      </c>
      <c r="S2656">
        <f t="shared" si="167"/>
        <v>63</v>
      </c>
      <c r="T2656">
        <f>INDEX([1]IDEN_level_ids!$B:$B,MATCH(G2656,[1]IDEN_level_ids!$A:$A,0),1)</f>
        <v>1197</v>
      </c>
      <c r="U2656">
        <f>INDEX([1]IDEN_level_ids!$B:$B,MATCH(H2656,[1]IDEN_level_ids!$A:$A,0),1)</f>
        <v>1077</v>
      </c>
    </row>
    <row r="2657" spans="1:21" hidden="1" x14ac:dyDescent="0.25">
      <c r="A2657">
        <v>39992.969700000001</v>
      </c>
      <c r="B2657">
        <v>2500.4395</v>
      </c>
      <c r="C2657">
        <v>16</v>
      </c>
      <c r="D2657" t="s">
        <v>659</v>
      </c>
      <c r="F2657">
        <v>1974</v>
      </c>
      <c r="G2657" s="1" t="s">
        <v>262</v>
      </c>
      <c r="H2657" s="1" t="s">
        <v>483</v>
      </c>
      <c r="I2657">
        <v>0</v>
      </c>
      <c r="J2657">
        <v>39993.007700000002</v>
      </c>
      <c r="K2657">
        <v>2.3800000000000002E-3</v>
      </c>
      <c r="L2657">
        <v>2.8800000000000002E-3</v>
      </c>
      <c r="M2657">
        <v>4.6100000000000002E-2</v>
      </c>
      <c r="N2657">
        <v>0.26500000000000001</v>
      </c>
      <c r="O2657">
        <v>3.9199999999999999E-3</v>
      </c>
      <c r="P2657" s="3">
        <f t="shared" si="164"/>
        <v>2500.4394709903227</v>
      </c>
      <c r="Q2657" s="3">
        <f t="shared" si="165"/>
        <v>2.3758328111398441E-3</v>
      </c>
      <c r="R2657" s="3">
        <f t="shared" si="166"/>
        <v>2.8800000000000002E-3</v>
      </c>
      <c r="S2657">
        <f t="shared" si="167"/>
        <v>63</v>
      </c>
      <c r="T2657">
        <f>INDEX([1]IDEN_level_ids!$B:$B,MATCH(G2657,[1]IDEN_level_ids!$A:$A,0),1)</f>
        <v>1115</v>
      </c>
      <c r="U2657">
        <f>INDEX([1]IDEN_level_ids!$B:$B,MATCH(H2657,[1]IDEN_level_ids!$A:$A,0),1)</f>
        <v>970</v>
      </c>
    </row>
    <row r="2658" spans="1:21" hidden="1" x14ac:dyDescent="0.25">
      <c r="A2658">
        <v>39988.4594</v>
      </c>
      <c r="B2658">
        <v>2500.7215000000001</v>
      </c>
      <c r="C2658">
        <v>16</v>
      </c>
      <c r="D2658" t="s">
        <v>659</v>
      </c>
      <c r="F2658">
        <v>1974</v>
      </c>
      <c r="G2658" s="1" t="s">
        <v>451</v>
      </c>
      <c r="H2658" s="1" t="s">
        <v>344</v>
      </c>
      <c r="I2658">
        <v>-0.38469999999999999</v>
      </c>
      <c r="J2658">
        <v>39988.490899999997</v>
      </c>
      <c r="K2658">
        <v>1.97E-3</v>
      </c>
      <c r="L2658">
        <v>2.8800000000000002E-3</v>
      </c>
      <c r="M2658">
        <v>4.6100000000000002E-2</v>
      </c>
      <c r="N2658">
        <v>0.27929999999999999</v>
      </c>
      <c r="O2658">
        <v>4.0000000000000001E-3</v>
      </c>
      <c r="P2658" s="3">
        <f t="shared" si="164"/>
        <v>2500.7214956623211</v>
      </c>
      <c r="Q2658" s="3">
        <f t="shared" si="165"/>
        <v>1.9698849678206898E-3</v>
      </c>
      <c r="R2658" s="3">
        <f t="shared" si="166"/>
        <v>2.8800000000000002E-3</v>
      </c>
      <c r="S2658">
        <f t="shared" si="167"/>
        <v>63</v>
      </c>
      <c r="T2658">
        <f>INDEX([1]IDEN_level_ids!$B:$B,MATCH(G2658,[1]IDEN_level_ids!$A:$A,0),1)</f>
        <v>1066</v>
      </c>
      <c r="U2658">
        <f>INDEX([1]IDEN_level_ids!$B:$B,MATCH(H2658,[1]IDEN_level_ids!$A:$A,0),1)</f>
        <v>872</v>
      </c>
    </row>
    <row r="2659" spans="1:21" hidden="1" x14ac:dyDescent="0.25">
      <c r="A2659">
        <v>39974.481</v>
      </c>
      <c r="B2659">
        <v>2501.596</v>
      </c>
      <c r="C2659">
        <v>16</v>
      </c>
      <c r="D2659" t="s">
        <v>659</v>
      </c>
      <c r="F2659">
        <v>1974</v>
      </c>
      <c r="G2659" s="1" t="s">
        <v>239</v>
      </c>
      <c r="H2659" s="1" t="s">
        <v>595</v>
      </c>
      <c r="I2659">
        <v>0</v>
      </c>
      <c r="J2659">
        <v>39974.4548</v>
      </c>
      <c r="K2659">
        <v>-1.64E-3</v>
      </c>
      <c r="L2659">
        <v>2.8800000000000002E-3</v>
      </c>
      <c r="M2659">
        <v>4.6100000000000002E-2</v>
      </c>
      <c r="N2659">
        <v>0.1421</v>
      </c>
      <c r="O2659">
        <v>3.3600000000000001E-3</v>
      </c>
      <c r="P2659" s="3">
        <f t="shared" si="164"/>
        <v>2501.5959556798248</v>
      </c>
      <c r="Q2659" s="3">
        <f t="shared" si="165"/>
        <v>-1.639592444007576E-3</v>
      </c>
      <c r="R2659" s="3">
        <f t="shared" si="166"/>
        <v>2.8800000000000002E-3</v>
      </c>
      <c r="S2659">
        <f t="shared" si="167"/>
        <v>63</v>
      </c>
      <c r="T2659">
        <f>INDEX([1]IDEN_level_ids!$B:$B,MATCH(G2659,[1]IDEN_level_ids!$A:$A,0),1)</f>
        <v>1167</v>
      </c>
      <c r="U2659">
        <f>INDEX([1]IDEN_level_ids!$B:$B,MATCH(H2659,[1]IDEN_level_ids!$A:$A,0),1)</f>
        <v>1052</v>
      </c>
    </row>
    <row r="2660" spans="1:21" hidden="1" x14ac:dyDescent="0.25">
      <c r="A2660">
        <v>39972.31</v>
      </c>
      <c r="B2660">
        <v>2501.7318</v>
      </c>
      <c r="C2660">
        <v>16</v>
      </c>
      <c r="D2660" t="s">
        <v>659</v>
      </c>
      <c r="F2660">
        <v>1974</v>
      </c>
      <c r="G2660" s="1" t="s">
        <v>197</v>
      </c>
      <c r="H2660" s="1" t="s">
        <v>451</v>
      </c>
      <c r="I2660">
        <v>0.38469999999999999</v>
      </c>
      <c r="J2660">
        <v>39972.301599999999</v>
      </c>
      <c r="K2660">
        <v>-5.2999999999999998E-4</v>
      </c>
      <c r="L2660">
        <v>2.8800000000000002E-3</v>
      </c>
      <c r="M2660">
        <v>4.6100000000000002E-2</v>
      </c>
      <c r="N2660">
        <v>9.0700000000000003E-2</v>
      </c>
      <c r="O2660">
        <v>3.1700000000000001E-3</v>
      </c>
      <c r="P2660" s="3">
        <f t="shared" si="164"/>
        <v>2501.7318238550638</v>
      </c>
      <c r="Q2660" s="3">
        <f t="shared" si="165"/>
        <v>-5.2572772847270244E-4</v>
      </c>
      <c r="R2660" s="3">
        <f t="shared" si="166"/>
        <v>2.8800000000000002E-3</v>
      </c>
      <c r="S2660">
        <f t="shared" si="167"/>
        <v>63</v>
      </c>
      <c r="T2660">
        <f>INDEX([1]IDEN_level_ids!$B:$B,MATCH(G2660,[1]IDEN_level_ids!$A:$A,0),1)</f>
        <v>1182</v>
      </c>
      <c r="U2660">
        <f>INDEX([1]IDEN_level_ids!$B:$B,MATCH(H2660,[1]IDEN_level_ids!$A:$A,0),1)</f>
        <v>1066</v>
      </c>
    </row>
    <row r="2661" spans="1:21" hidden="1" x14ac:dyDescent="0.25">
      <c r="A2661">
        <v>39947.588799999998</v>
      </c>
      <c r="B2661">
        <v>2503.2800000000002</v>
      </c>
      <c r="C2661">
        <v>16</v>
      </c>
      <c r="D2661" t="s">
        <v>659</v>
      </c>
      <c r="E2661" t="s">
        <v>427</v>
      </c>
      <c r="F2661">
        <v>1974</v>
      </c>
      <c r="G2661" s="1" t="s">
        <v>453</v>
      </c>
      <c r="H2661" s="1" t="s">
        <v>349</v>
      </c>
      <c r="I2661">
        <v>-0.26840000000000003</v>
      </c>
      <c r="J2661">
        <v>39947.596299999997</v>
      </c>
      <c r="K2661">
        <v>4.6999999999999999E-4</v>
      </c>
      <c r="L2661">
        <v>3.0500000000000002E-3</v>
      </c>
      <c r="M2661">
        <v>4.87E-2</v>
      </c>
      <c r="N2661">
        <v>0.40689999999999998</v>
      </c>
      <c r="O2661">
        <v>5.1500000000000001E-3</v>
      </c>
      <c r="P2661" s="3">
        <f t="shared" si="164"/>
        <v>2503.2799977154068</v>
      </c>
      <c r="Q2661" s="3">
        <f t="shared" si="165"/>
        <v>4.6998071775306016E-4</v>
      </c>
      <c r="R2661" s="3">
        <f t="shared" si="166"/>
        <v>3.0500000000000002E-3</v>
      </c>
      <c r="S2661">
        <f t="shared" si="167"/>
        <v>63</v>
      </c>
      <c r="T2661">
        <f>INDEX([1]IDEN_level_ids!$B:$B,MATCH(G2661,[1]IDEN_level_ids!$A:$A,0),1)</f>
        <v>1078</v>
      </c>
      <c r="U2661">
        <f>INDEX([1]IDEN_level_ids!$B:$B,MATCH(H2661,[1]IDEN_level_ids!$A:$A,0),1)</f>
        <v>886</v>
      </c>
    </row>
    <row r="2662" spans="1:21" hidden="1" x14ac:dyDescent="0.25">
      <c r="A2662">
        <v>39946.309699999998</v>
      </c>
      <c r="B2662">
        <v>2503.3602000000001</v>
      </c>
      <c r="C2662">
        <v>16</v>
      </c>
      <c r="D2662" t="s">
        <v>659</v>
      </c>
      <c r="E2662" t="s">
        <v>427</v>
      </c>
      <c r="F2662">
        <v>1974</v>
      </c>
      <c r="G2662" s="1" t="s">
        <v>69</v>
      </c>
      <c r="H2662" s="1" t="s">
        <v>381</v>
      </c>
      <c r="I2662">
        <v>0.23219999999999999</v>
      </c>
      <c r="J2662">
        <v>39946.307999999997</v>
      </c>
      <c r="K2662">
        <v>-1E-4</v>
      </c>
      <c r="L2662">
        <v>3.0500000000000002E-3</v>
      </c>
      <c r="M2662">
        <v>4.87E-2</v>
      </c>
      <c r="N2662">
        <v>0.14069999999999999</v>
      </c>
      <c r="O2662">
        <v>3.5500000000000002E-3</v>
      </c>
      <c r="P2662" s="3">
        <f t="shared" si="164"/>
        <v>2503.3601539418296</v>
      </c>
      <c r="Q2662" s="3">
        <f t="shared" si="165"/>
        <v>-1.0653580966391019E-4</v>
      </c>
      <c r="R2662" s="3">
        <f t="shared" si="166"/>
        <v>3.0500000000000002E-3</v>
      </c>
      <c r="S2662">
        <f t="shared" si="167"/>
        <v>63</v>
      </c>
      <c r="T2662">
        <f>INDEX([1]IDEN_level_ids!$B:$B,MATCH(G2662,[1]IDEN_level_ids!$A:$A,0),1)</f>
        <v>1218</v>
      </c>
      <c r="U2662">
        <f>INDEX([1]IDEN_level_ids!$B:$B,MATCH(H2662,[1]IDEN_level_ids!$A:$A,0),1)</f>
        <v>1084</v>
      </c>
    </row>
    <row r="2663" spans="1:21" hidden="1" x14ac:dyDescent="0.25">
      <c r="A2663">
        <v>39945.540800000002</v>
      </c>
      <c r="B2663">
        <v>2503.4083000000001</v>
      </c>
      <c r="C2663">
        <v>16</v>
      </c>
      <c r="D2663" t="s">
        <v>659</v>
      </c>
      <c r="F2663">
        <v>1974</v>
      </c>
      <c r="G2663" s="1" t="s">
        <v>73</v>
      </c>
      <c r="H2663" s="1" t="s">
        <v>410</v>
      </c>
      <c r="I2663">
        <v>0.1043</v>
      </c>
      <c r="J2663">
        <v>39945.621800000001</v>
      </c>
      <c r="K2663">
        <v>5.0800000000000003E-3</v>
      </c>
      <c r="L2663">
        <v>2.8900000000000002E-3</v>
      </c>
      <c r="M2663">
        <v>4.6100000000000002E-2</v>
      </c>
      <c r="N2663">
        <v>0.1091</v>
      </c>
      <c r="O2663">
        <v>3.2399999999999998E-3</v>
      </c>
      <c r="P2663" s="3">
        <f t="shared" si="164"/>
        <v>2503.4083403872705</v>
      </c>
      <c r="Q2663" s="3">
        <f t="shared" si="165"/>
        <v>5.0763028948495048E-3</v>
      </c>
      <c r="R2663" s="3">
        <f t="shared" si="166"/>
        <v>2.8900000000000002E-3</v>
      </c>
      <c r="S2663">
        <f t="shared" si="167"/>
        <v>63</v>
      </c>
      <c r="T2663">
        <f>INDEX([1]IDEN_level_ids!$B:$B,MATCH(G2663,[1]IDEN_level_ids!$A:$A,0),1)</f>
        <v>1173</v>
      </c>
      <c r="U2663">
        <f>INDEX([1]IDEN_level_ids!$B:$B,MATCH(H2663,[1]IDEN_level_ids!$A:$A,0),1)</f>
        <v>1056</v>
      </c>
    </row>
    <row r="2664" spans="1:21" hidden="1" x14ac:dyDescent="0.25">
      <c r="A2664">
        <v>39942.860399999998</v>
      </c>
      <c r="B2664">
        <v>2503.5763000000002</v>
      </c>
      <c r="C2664">
        <v>16</v>
      </c>
      <c r="D2664" t="s">
        <v>659</v>
      </c>
      <c r="F2664">
        <v>1974</v>
      </c>
      <c r="G2664" s="1" t="s">
        <v>265</v>
      </c>
      <c r="H2664" s="1" t="s">
        <v>454</v>
      </c>
      <c r="I2664">
        <v>0</v>
      </c>
      <c r="J2664">
        <v>39942.864500000003</v>
      </c>
      <c r="K2664">
        <v>2.5999999999999998E-4</v>
      </c>
      <c r="L2664">
        <v>2.8900000000000002E-3</v>
      </c>
      <c r="M2664">
        <v>4.6100000000000002E-2</v>
      </c>
      <c r="N2664">
        <v>0.1137</v>
      </c>
      <c r="O2664">
        <v>3.2599999999999999E-3</v>
      </c>
      <c r="P2664" s="3">
        <f t="shared" si="164"/>
        <v>2503.5763337570088</v>
      </c>
      <c r="Q2664" s="3">
        <f t="shared" si="165"/>
        <v>2.5698364697746001E-4</v>
      </c>
      <c r="R2664" s="3">
        <f t="shared" si="166"/>
        <v>2.8900000000000002E-3</v>
      </c>
      <c r="S2664">
        <f t="shared" si="167"/>
        <v>63</v>
      </c>
      <c r="T2664">
        <f>INDEX([1]IDEN_level_ids!$B:$B,MATCH(G2664,[1]IDEN_level_ids!$A:$A,0),1)</f>
        <v>1161</v>
      </c>
      <c r="U2664">
        <f>INDEX([1]IDEN_level_ids!$B:$B,MATCH(H2664,[1]IDEN_level_ids!$A:$A,0),1)</f>
        <v>1036</v>
      </c>
    </row>
    <row r="2665" spans="1:21" hidden="1" x14ac:dyDescent="0.25">
      <c r="A2665">
        <v>39941.4709</v>
      </c>
      <c r="B2665">
        <v>2503.6633999999999</v>
      </c>
      <c r="C2665">
        <v>16</v>
      </c>
      <c r="D2665" t="s">
        <v>659</v>
      </c>
      <c r="F2665">
        <v>1974</v>
      </c>
      <c r="G2665" s="1" t="s">
        <v>166</v>
      </c>
      <c r="H2665" s="1" t="s">
        <v>448</v>
      </c>
      <c r="I2665">
        <v>0.29559999999999997</v>
      </c>
      <c r="J2665">
        <v>39941.4447</v>
      </c>
      <c r="K2665">
        <v>-1.64E-3</v>
      </c>
      <c r="L2665">
        <v>2.8900000000000002E-3</v>
      </c>
      <c r="M2665">
        <v>4.6100000000000002E-2</v>
      </c>
      <c r="N2665">
        <v>9.1600000000000001E-2</v>
      </c>
      <c r="O2665">
        <v>3.1800000000000001E-3</v>
      </c>
      <c r="P2665" s="3">
        <f t="shared" si="164"/>
        <v>2503.6634291803211</v>
      </c>
      <c r="Q2665" s="3">
        <f t="shared" si="165"/>
        <v>-1.6423036854575912E-3</v>
      </c>
      <c r="R2665" s="3">
        <f t="shared" si="166"/>
        <v>2.8900000000000002E-3</v>
      </c>
      <c r="S2665">
        <f t="shared" si="167"/>
        <v>63</v>
      </c>
      <c r="T2665">
        <f>INDEX([1]IDEN_level_ids!$B:$B,MATCH(G2665,[1]IDEN_level_ids!$A:$A,0),1)</f>
        <v>1186</v>
      </c>
      <c r="U2665">
        <f>INDEX([1]IDEN_level_ids!$B:$B,MATCH(H2665,[1]IDEN_level_ids!$A:$A,0),1)</f>
        <v>1067</v>
      </c>
    </row>
    <row r="2666" spans="1:21" hidden="1" x14ac:dyDescent="0.25">
      <c r="A2666">
        <v>39939.829899999997</v>
      </c>
      <c r="B2666">
        <v>2503.7662999999998</v>
      </c>
      <c r="C2666">
        <v>16</v>
      </c>
      <c r="D2666" t="s">
        <v>659</v>
      </c>
      <c r="F2666">
        <v>1974</v>
      </c>
      <c r="G2666" s="1" t="s">
        <v>207</v>
      </c>
      <c r="H2666" s="1" t="s">
        <v>401</v>
      </c>
      <c r="I2666">
        <v>6.8900000000000003E-2</v>
      </c>
      <c r="J2666">
        <v>39939.817499999997</v>
      </c>
      <c r="K2666">
        <v>-7.7999999999999999E-4</v>
      </c>
      <c r="L2666">
        <v>2.8900000000000002E-3</v>
      </c>
      <c r="M2666">
        <v>4.6100000000000002E-2</v>
      </c>
      <c r="N2666">
        <v>0.10299999999999999</v>
      </c>
      <c r="O2666">
        <v>3.2200000000000002E-3</v>
      </c>
      <c r="P2666" s="3">
        <f t="shared" si="164"/>
        <v>2503.7662967112437</v>
      </c>
      <c r="Q2666" s="3">
        <f t="shared" si="165"/>
        <v>-7.7733710440952564E-4</v>
      </c>
      <c r="R2666" s="3">
        <f t="shared" si="166"/>
        <v>2.8900000000000002E-3</v>
      </c>
      <c r="S2666">
        <f t="shared" si="167"/>
        <v>63</v>
      </c>
      <c r="T2666">
        <f>INDEX([1]IDEN_level_ids!$B:$B,MATCH(G2666,[1]IDEN_level_ids!$A:$A,0),1)</f>
        <v>1177</v>
      </c>
      <c r="U2666">
        <f>INDEX([1]IDEN_level_ids!$B:$B,MATCH(H2666,[1]IDEN_level_ids!$A:$A,0),1)</f>
        <v>1063</v>
      </c>
    </row>
    <row r="2667" spans="1:21" hidden="1" x14ac:dyDescent="0.25">
      <c r="A2667">
        <v>39937.481299999999</v>
      </c>
      <c r="B2667">
        <v>2503.9135000000001</v>
      </c>
      <c r="C2667">
        <v>16</v>
      </c>
      <c r="D2667" t="s">
        <v>659</v>
      </c>
      <c r="F2667">
        <v>1974</v>
      </c>
      <c r="G2667" s="1" t="s">
        <v>476</v>
      </c>
      <c r="H2667" s="1" t="s">
        <v>623</v>
      </c>
      <c r="I2667">
        <v>0</v>
      </c>
      <c r="J2667">
        <v>39937.529199999997</v>
      </c>
      <c r="K2667">
        <v>3.0100000000000001E-3</v>
      </c>
      <c r="L2667">
        <v>2.8900000000000002E-3</v>
      </c>
      <c r="M2667">
        <v>4.6100000000000002E-2</v>
      </c>
      <c r="N2667">
        <v>0.21709999999999999</v>
      </c>
      <c r="O2667">
        <v>3.6900000000000001E-3</v>
      </c>
      <c r="P2667" s="3">
        <f t="shared" si="164"/>
        <v>2503.9135354787636</v>
      </c>
      <c r="Q2667" s="3">
        <f t="shared" si="165"/>
        <v>3.003126651947241E-3</v>
      </c>
      <c r="R2667" s="3">
        <f t="shared" si="166"/>
        <v>2.8900000000000002E-3</v>
      </c>
      <c r="S2667">
        <f t="shared" si="167"/>
        <v>63</v>
      </c>
      <c r="T2667">
        <f>INDEX([1]IDEN_level_ids!$B:$B,MATCH(G2667,[1]IDEN_level_ids!$A:$A,0),1)</f>
        <v>1037</v>
      </c>
      <c r="U2667">
        <f>INDEX([1]IDEN_level_ids!$B:$B,MATCH(H2667,[1]IDEN_level_ids!$A:$A,0),1)</f>
        <v>842</v>
      </c>
    </row>
    <row r="2668" spans="1:21" hidden="1" x14ac:dyDescent="0.25">
      <c r="A2668">
        <v>39933.781000000003</v>
      </c>
      <c r="B2668">
        <v>2504.1455999999998</v>
      </c>
      <c r="C2668">
        <v>16</v>
      </c>
      <c r="D2668" t="s">
        <v>659</v>
      </c>
      <c r="F2668">
        <v>1974</v>
      </c>
      <c r="G2668" s="1" t="s">
        <v>282</v>
      </c>
      <c r="H2668" s="1" t="s">
        <v>538</v>
      </c>
      <c r="I2668">
        <v>0</v>
      </c>
      <c r="J2668">
        <v>39933.761599999998</v>
      </c>
      <c r="K2668">
        <v>-1.2199999999999999E-3</v>
      </c>
      <c r="L2668">
        <v>2.8900000000000002E-3</v>
      </c>
      <c r="M2668">
        <v>4.6100000000000002E-2</v>
      </c>
      <c r="N2668">
        <v>0.23300000000000001</v>
      </c>
      <c r="O2668">
        <v>3.7699999999999999E-3</v>
      </c>
      <c r="P2668" s="3">
        <f t="shared" si="164"/>
        <v>2504.1455503549737</v>
      </c>
      <c r="Q2668" s="3">
        <f t="shared" si="165"/>
        <v>-1.2165251091573737E-3</v>
      </c>
      <c r="R2668" s="3">
        <f t="shared" si="166"/>
        <v>2.8900000000000002E-3</v>
      </c>
      <c r="S2668">
        <f t="shared" si="167"/>
        <v>63</v>
      </c>
      <c r="T2668">
        <f>INDEX([1]IDEN_level_ids!$B:$B,MATCH(G2668,[1]IDEN_level_ids!$A:$A,0),1)</f>
        <v>1128</v>
      </c>
      <c r="U2668">
        <f>INDEX([1]IDEN_level_ids!$B:$B,MATCH(H2668,[1]IDEN_level_ids!$A:$A,0),1)</f>
        <v>978</v>
      </c>
    </row>
    <row r="2669" spans="1:21" hidden="1" x14ac:dyDescent="0.25">
      <c r="A2669">
        <v>39932.631399999998</v>
      </c>
      <c r="B2669">
        <v>2504.2175999999999</v>
      </c>
      <c r="C2669">
        <v>16</v>
      </c>
      <c r="D2669" t="s">
        <v>659</v>
      </c>
      <c r="E2669" t="s">
        <v>427</v>
      </c>
      <c r="F2669">
        <v>1974</v>
      </c>
      <c r="G2669" s="1" t="s">
        <v>33</v>
      </c>
      <c r="H2669" s="1" t="s">
        <v>379</v>
      </c>
      <c r="I2669">
        <v>0.47110000000000002</v>
      </c>
      <c r="J2669">
        <v>39932.650900000001</v>
      </c>
      <c r="K2669">
        <v>1.2199999999999999E-3</v>
      </c>
      <c r="L2669">
        <v>3.0599999999999998E-3</v>
      </c>
      <c r="M2669">
        <v>4.87E-2</v>
      </c>
      <c r="N2669">
        <v>0.13339999999999999</v>
      </c>
      <c r="O2669">
        <v>3.5300000000000002E-3</v>
      </c>
      <c r="P2669" s="3">
        <f t="shared" si="164"/>
        <v>2504.217640914092</v>
      </c>
      <c r="Q2669" s="3">
        <f t="shared" si="165"/>
        <v>1.2228650716679113E-3</v>
      </c>
      <c r="R2669" s="3">
        <f t="shared" si="166"/>
        <v>3.0599999999999998E-3</v>
      </c>
      <c r="S2669">
        <f t="shared" si="167"/>
        <v>63</v>
      </c>
      <c r="T2669">
        <f>INDEX([1]IDEN_level_ids!$B:$B,MATCH(G2669,[1]IDEN_level_ids!$A:$A,0),1)</f>
        <v>1220</v>
      </c>
      <c r="U2669">
        <f>INDEX([1]IDEN_level_ids!$B:$B,MATCH(H2669,[1]IDEN_level_ids!$A:$A,0),1)</f>
        <v>1083</v>
      </c>
    </row>
    <row r="2670" spans="1:21" hidden="1" x14ac:dyDescent="0.25">
      <c r="A2670">
        <v>39931.489099999999</v>
      </c>
      <c r="B2670">
        <v>2504.2892999999999</v>
      </c>
      <c r="C2670">
        <v>16</v>
      </c>
      <c r="D2670" t="s">
        <v>659</v>
      </c>
      <c r="F2670">
        <v>1974</v>
      </c>
      <c r="G2670" s="1" t="s">
        <v>377</v>
      </c>
      <c r="H2670" s="1" t="s">
        <v>643</v>
      </c>
      <c r="I2670">
        <v>-0.33889999999999998</v>
      </c>
      <c r="J2670">
        <v>39931.479599999999</v>
      </c>
      <c r="K2670">
        <v>-5.9999999999999995E-4</v>
      </c>
      <c r="L2670">
        <v>2.8900000000000002E-3</v>
      </c>
      <c r="M2670">
        <v>4.6100000000000002E-2</v>
      </c>
      <c r="N2670">
        <v>0.14360000000000001</v>
      </c>
      <c r="O2670">
        <v>3.3700000000000002E-3</v>
      </c>
      <c r="P2670" s="3">
        <f t="shared" si="164"/>
        <v>2504.2892778070727</v>
      </c>
      <c r="Q2670" s="3">
        <f t="shared" si="165"/>
        <v>-5.9578929676717962E-4</v>
      </c>
      <c r="R2670" s="3">
        <f t="shared" si="166"/>
        <v>2.8900000000000002E-3</v>
      </c>
      <c r="S2670">
        <f t="shared" si="167"/>
        <v>63</v>
      </c>
      <c r="T2670">
        <f>INDEX([1]IDEN_level_ids!$B:$B,MATCH(G2670,[1]IDEN_level_ids!$A:$A,0),1)</f>
        <v>1057</v>
      </c>
      <c r="U2670">
        <f>INDEX([1]IDEN_level_ids!$B:$B,MATCH(H2670,[1]IDEN_level_ids!$A:$A,0),1)</f>
        <v>869</v>
      </c>
    </row>
    <row r="2671" spans="1:21" hidden="1" x14ac:dyDescent="0.25">
      <c r="A2671">
        <v>39930.191400000003</v>
      </c>
      <c r="B2671">
        <v>2504.3706999999999</v>
      </c>
      <c r="C2671">
        <v>16</v>
      </c>
      <c r="D2671" t="s">
        <v>659</v>
      </c>
      <c r="F2671">
        <v>1974</v>
      </c>
      <c r="G2671" s="1" t="s">
        <v>71</v>
      </c>
      <c r="H2671" s="1" t="s">
        <v>401</v>
      </c>
      <c r="I2671">
        <v>6.8900000000000003E-2</v>
      </c>
      <c r="J2671">
        <v>39930.1486</v>
      </c>
      <c r="K2671">
        <v>-2.6800000000000001E-3</v>
      </c>
      <c r="L2671">
        <v>2.8900000000000002E-3</v>
      </c>
      <c r="M2671">
        <v>4.6100000000000002E-2</v>
      </c>
      <c r="N2671">
        <v>0.1047</v>
      </c>
      <c r="O2671">
        <v>3.2299999999999998E-3</v>
      </c>
      <c r="P2671" s="3">
        <f t="shared" si="164"/>
        <v>2504.3706652505552</v>
      </c>
      <c r="Q2671" s="3">
        <f t="shared" si="165"/>
        <v>-2.6843642767744313E-3</v>
      </c>
      <c r="R2671" s="3">
        <f t="shared" si="166"/>
        <v>2.8900000000000002E-3</v>
      </c>
      <c r="S2671">
        <f t="shared" si="167"/>
        <v>63</v>
      </c>
      <c r="T2671">
        <f>INDEX([1]IDEN_level_ids!$B:$B,MATCH(G2671,[1]IDEN_level_ids!$A:$A,0),1)</f>
        <v>1179</v>
      </c>
      <c r="U2671">
        <f>INDEX([1]IDEN_level_ids!$B:$B,MATCH(H2671,[1]IDEN_level_ids!$A:$A,0),1)</f>
        <v>1063</v>
      </c>
    </row>
    <row r="2672" spans="1:21" hidden="1" x14ac:dyDescent="0.25">
      <c r="A2672">
        <v>39924.169300000001</v>
      </c>
      <c r="B2672">
        <v>2504.7483999999999</v>
      </c>
      <c r="C2672">
        <v>16</v>
      </c>
      <c r="D2672" t="s">
        <v>659</v>
      </c>
      <c r="F2672">
        <v>1974</v>
      </c>
      <c r="G2672" s="1" t="s">
        <v>197</v>
      </c>
      <c r="H2672" s="1" t="s">
        <v>375</v>
      </c>
      <c r="I2672">
        <v>0.28789999999999999</v>
      </c>
      <c r="J2672">
        <v>39924.076200000003</v>
      </c>
      <c r="K2672">
        <v>-5.8399999999999997E-3</v>
      </c>
      <c r="L2672">
        <v>2.8900000000000002E-3</v>
      </c>
      <c r="M2672">
        <v>4.6100000000000002E-2</v>
      </c>
      <c r="N2672">
        <v>8.8499999999999995E-2</v>
      </c>
      <c r="O2672">
        <v>3.1700000000000001E-3</v>
      </c>
      <c r="P2672" s="3">
        <f t="shared" si="164"/>
        <v>2504.7484206515473</v>
      </c>
      <c r="Q2672" s="3">
        <f t="shared" si="165"/>
        <v>-5.8408885101925989E-3</v>
      </c>
      <c r="R2672" s="3">
        <f t="shared" si="166"/>
        <v>2.8900000000000002E-3</v>
      </c>
      <c r="S2672">
        <f t="shared" si="167"/>
        <v>63</v>
      </c>
      <c r="T2672">
        <f>INDEX([1]IDEN_level_ids!$B:$B,MATCH(G2672,[1]IDEN_level_ids!$A:$A,0),1)</f>
        <v>1182</v>
      </c>
      <c r="U2672">
        <f>INDEX([1]IDEN_level_ids!$B:$B,MATCH(H2672,[1]IDEN_level_ids!$A:$A,0),1)</f>
        <v>1065</v>
      </c>
    </row>
    <row r="2673" spans="1:21" hidden="1" x14ac:dyDescent="0.25">
      <c r="A2673">
        <v>39910.650699999998</v>
      </c>
      <c r="B2673">
        <v>2505.5967999999998</v>
      </c>
      <c r="C2673">
        <v>16</v>
      </c>
      <c r="D2673" t="s">
        <v>659</v>
      </c>
      <c r="F2673">
        <v>1974</v>
      </c>
      <c r="G2673" s="1" t="s">
        <v>117</v>
      </c>
      <c r="H2673" s="1" t="s">
        <v>437</v>
      </c>
      <c r="I2673">
        <v>0.26329999999999998</v>
      </c>
      <c r="J2673">
        <v>39910.634400000003</v>
      </c>
      <c r="K2673">
        <v>-1.0200000000000001E-3</v>
      </c>
      <c r="L2673">
        <v>2.8900000000000002E-3</v>
      </c>
      <c r="M2673">
        <v>4.6100000000000002E-2</v>
      </c>
      <c r="N2673">
        <v>8.43E-2</v>
      </c>
      <c r="O2673">
        <v>3.16E-3</v>
      </c>
      <c r="P2673" s="3">
        <f t="shared" si="164"/>
        <v>2505.5968330779433</v>
      </c>
      <c r="Q2673" s="3">
        <f t="shared" si="165"/>
        <v>-1.0233169427920075E-3</v>
      </c>
      <c r="R2673" s="3">
        <f t="shared" si="166"/>
        <v>2.8900000000000002E-3</v>
      </c>
      <c r="S2673">
        <f t="shared" si="167"/>
        <v>63</v>
      </c>
      <c r="T2673">
        <f>INDEX([1]IDEN_level_ids!$B:$B,MATCH(G2673,[1]IDEN_level_ids!$A:$A,0),1)</f>
        <v>1162</v>
      </c>
      <c r="U2673">
        <f>INDEX([1]IDEN_level_ids!$B:$B,MATCH(H2673,[1]IDEN_level_ids!$A:$A,0),1)</f>
        <v>1039</v>
      </c>
    </row>
    <row r="2674" spans="1:21" hidden="1" x14ac:dyDescent="0.25">
      <c r="A2674">
        <v>39908.838900000002</v>
      </c>
      <c r="B2674">
        <v>2505.7105999999999</v>
      </c>
      <c r="C2674">
        <v>16</v>
      </c>
      <c r="D2674" t="s">
        <v>659</v>
      </c>
      <c r="F2674">
        <v>1974</v>
      </c>
      <c r="G2674" s="1" t="s">
        <v>299</v>
      </c>
      <c r="H2674" s="1" t="s">
        <v>496</v>
      </c>
      <c r="I2674">
        <v>0</v>
      </c>
      <c r="J2674">
        <v>39908.754699999998</v>
      </c>
      <c r="K2674">
        <v>-5.2900000000000004E-3</v>
      </c>
      <c r="L2674">
        <v>2.8900000000000002E-3</v>
      </c>
      <c r="M2674">
        <v>4.6100000000000002E-2</v>
      </c>
      <c r="N2674">
        <v>0.31330000000000002</v>
      </c>
      <c r="O2674">
        <v>4.2100000000000002E-3</v>
      </c>
      <c r="P2674" s="3">
        <f t="shared" si="164"/>
        <v>2505.7105833264418</v>
      </c>
      <c r="Q2674" s="3">
        <f t="shared" si="165"/>
        <v>-5.2865801681036828E-3</v>
      </c>
      <c r="R2674" s="3">
        <f t="shared" si="166"/>
        <v>2.8900000000000002E-3</v>
      </c>
      <c r="S2674">
        <f t="shared" si="167"/>
        <v>63</v>
      </c>
      <c r="T2674">
        <f>INDEX([1]IDEN_level_ids!$B:$B,MATCH(G2674,[1]IDEN_level_ids!$A:$A,0),1)</f>
        <v>1101</v>
      </c>
      <c r="U2674">
        <f>INDEX([1]IDEN_level_ids!$B:$B,MATCH(H2674,[1]IDEN_level_ids!$A:$A,0),1)</f>
        <v>944</v>
      </c>
    </row>
    <row r="2675" spans="1:21" hidden="1" x14ac:dyDescent="0.25">
      <c r="A2675">
        <v>39903.868999999999</v>
      </c>
      <c r="B2675">
        <v>2506.0227</v>
      </c>
      <c r="C2675">
        <v>16</v>
      </c>
      <c r="D2675" t="s">
        <v>659</v>
      </c>
      <c r="F2675">
        <v>1974</v>
      </c>
      <c r="G2675" s="1" t="s">
        <v>454</v>
      </c>
      <c r="H2675" s="1" t="s">
        <v>620</v>
      </c>
      <c r="I2675">
        <v>0</v>
      </c>
      <c r="J2675">
        <v>39903.747199999998</v>
      </c>
      <c r="K2675">
        <v>-7.6499999999999997E-3</v>
      </c>
      <c r="L2675">
        <v>2.8900000000000002E-3</v>
      </c>
      <c r="M2675">
        <v>4.6100000000000002E-2</v>
      </c>
      <c r="N2675">
        <v>0.22620000000000001</v>
      </c>
      <c r="O2675">
        <v>3.7399999999999998E-3</v>
      </c>
      <c r="P2675" s="3">
        <f t="shared" si="164"/>
        <v>2506.0226616120858</v>
      </c>
      <c r="Q2675" s="3">
        <f t="shared" si="165"/>
        <v>-7.6492455373227131E-3</v>
      </c>
      <c r="R2675" s="3">
        <f t="shared" si="166"/>
        <v>2.8900000000000002E-3</v>
      </c>
      <c r="S2675">
        <f t="shared" si="167"/>
        <v>63</v>
      </c>
      <c r="T2675">
        <f>INDEX([1]IDEN_level_ids!$B:$B,MATCH(G2675,[1]IDEN_level_ids!$A:$A,0),1)</f>
        <v>1036</v>
      </c>
      <c r="U2675">
        <f>INDEX([1]IDEN_level_ids!$B:$B,MATCH(H2675,[1]IDEN_level_ids!$A:$A,0),1)</f>
        <v>839</v>
      </c>
    </row>
    <row r="2676" spans="1:21" hidden="1" x14ac:dyDescent="0.25">
      <c r="A2676">
        <v>39902.430800000002</v>
      </c>
      <c r="B2676">
        <v>2506.1129999999998</v>
      </c>
      <c r="C2676">
        <v>16</v>
      </c>
      <c r="D2676" t="s">
        <v>659</v>
      </c>
      <c r="F2676">
        <v>1974</v>
      </c>
      <c r="G2676" s="1" t="s">
        <v>256</v>
      </c>
      <c r="H2676" s="1" t="s">
        <v>525</v>
      </c>
      <c r="I2676">
        <v>0</v>
      </c>
      <c r="J2676">
        <v>39902.376799999998</v>
      </c>
      <c r="K2676">
        <v>-3.3899999999999998E-3</v>
      </c>
      <c r="L2676">
        <v>2.8900000000000002E-3</v>
      </c>
      <c r="M2676">
        <v>4.6100000000000002E-2</v>
      </c>
      <c r="N2676">
        <v>0.214</v>
      </c>
      <c r="O2676">
        <v>3.6800000000000001E-3</v>
      </c>
      <c r="P2676" s="3">
        <f t="shared" si="164"/>
        <v>2506.1129859787889</v>
      </c>
      <c r="Q2676" s="3">
        <f t="shared" si="165"/>
        <v>-3.3915298313331732E-3</v>
      </c>
      <c r="R2676" s="3">
        <f t="shared" si="166"/>
        <v>2.8900000000000002E-3</v>
      </c>
      <c r="S2676">
        <f t="shared" si="167"/>
        <v>63</v>
      </c>
      <c r="T2676">
        <f>INDEX([1]IDEN_level_ids!$B:$B,MATCH(G2676,[1]IDEN_level_ids!$A:$A,0),1)</f>
        <v>1120</v>
      </c>
      <c r="U2676">
        <f>INDEX([1]IDEN_level_ids!$B:$B,MATCH(H2676,[1]IDEN_level_ids!$A:$A,0),1)</f>
        <v>971</v>
      </c>
    </row>
    <row r="2677" spans="1:21" hidden="1" x14ac:dyDescent="0.25">
      <c r="A2677">
        <v>39892.621500000001</v>
      </c>
      <c r="B2677">
        <v>2506.7292000000002</v>
      </c>
      <c r="C2677">
        <v>16</v>
      </c>
      <c r="D2677" t="s">
        <v>659</v>
      </c>
      <c r="F2677">
        <v>1974</v>
      </c>
      <c r="G2677" s="1" t="s">
        <v>138</v>
      </c>
      <c r="H2677" s="1" t="s">
        <v>571</v>
      </c>
      <c r="I2677">
        <v>0.443</v>
      </c>
      <c r="J2677">
        <v>39892.600700000003</v>
      </c>
      <c r="K2677">
        <v>-1.31E-3</v>
      </c>
      <c r="L2677">
        <v>2.8900000000000002E-3</v>
      </c>
      <c r="M2677">
        <v>4.6100000000000002E-2</v>
      </c>
      <c r="N2677">
        <v>0.41360000000000002</v>
      </c>
      <c r="O2677">
        <v>4.9399999999999999E-3</v>
      </c>
      <c r="P2677" s="3">
        <f t="shared" si="164"/>
        <v>2506.7292205903291</v>
      </c>
      <c r="Q2677" s="3">
        <f t="shared" si="165"/>
        <v>-1.3070084892206069E-3</v>
      </c>
      <c r="R2677" s="3">
        <f t="shared" si="166"/>
        <v>2.8900000000000002E-3</v>
      </c>
      <c r="S2677">
        <f t="shared" si="167"/>
        <v>63</v>
      </c>
      <c r="T2677">
        <f>INDEX([1]IDEN_level_ids!$B:$B,MATCH(G2677,[1]IDEN_level_ids!$A:$A,0),1)</f>
        <v>1126</v>
      </c>
      <c r="U2677">
        <f>INDEX([1]IDEN_level_ids!$B:$B,MATCH(H2677,[1]IDEN_level_ids!$A:$A,0),1)</f>
        <v>975</v>
      </c>
    </row>
    <row r="2678" spans="1:21" hidden="1" x14ac:dyDescent="0.25">
      <c r="A2678">
        <v>39884.559000000001</v>
      </c>
      <c r="B2678">
        <v>2507.2359000000001</v>
      </c>
      <c r="C2678">
        <v>16</v>
      </c>
      <c r="D2678" t="s">
        <v>659</v>
      </c>
      <c r="F2678">
        <v>1974</v>
      </c>
      <c r="G2678" s="1" t="s">
        <v>452</v>
      </c>
      <c r="H2678" s="1" t="s">
        <v>631</v>
      </c>
      <c r="I2678">
        <v>-0.25619999999999998</v>
      </c>
      <c r="J2678">
        <v>39884.559699999998</v>
      </c>
      <c r="K2678">
        <v>5.0000000000000002E-5</v>
      </c>
      <c r="L2678">
        <v>2.8999999999999998E-3</v>
      </c>
      <c r="M2678">
        <v>4.6100000000000002E-2</v>
      </c>
      <c r="N2678">
        <v>0.23910000000000001</v>
      </c>
      <c r="O2678">
        <v>3.81E-3</v>
      </c>
      <c r="P2678" s="3">
        <f t="shared" si="164"/>
        <v>2507.2359456199579</v>
      </c>
      <c r="Q2678" s="3">
        <f t="shared" si="165"/>
        <v>4.4003623770549893E-5</v>
      </c>
      <c r="R2678" s="3">
        <f t="shared" si="166"/>
        <v>2.8999999999999998E-3</v>
      </c>
      <c r="S2678">
        <f t="shared" si="167"/>
        <v>63</v>
      </c>
      <c r="T2678">
        <f>INDEX([1]IDEN_level_ids!$B:$B,MATCH(G2678,[1]IDEN_level_ids!$A:$A,0),1)</f>
        <v>1033</v>
      </c>
      <c r="U2678">
        <f>INDEX([1]IDEN_level_ids!$B:$B,MATCH(H2678,[1]IDEN_level_ids!$A:$A,0),1)</f>
        <v>832</v>
      </c>
    </row>
    <row r="2679" spans="1:21" hidden="1" x14ac:dyDescent="0.25">
      <c r="A2679">
        <v>39871.8609</v>
      </c>
      <c r="B2679">
        <v>2508.0344</v>
      </c>
      <c r="C2679">
        <v>16</v>
      </c>
      <c r="D2679" t="s">
        <v>659</v>
      </c>
      <c r="F2679">
        <v>1974</v>
      </c>
      <c r="G2679" s="1" t="s">
        <v>245</v>
      </c>
      <c r="H2679" s="1" t="s">
        <v>516</v>
      </c>
      <c r="I2679">
        <v>0.36720000000000003</v>
      </c>
      <c r="J2679">
        <v>39871.886400000003</v>
      </c>
      <c r="K2679">
        <v>1.6100000000000001E-3</v>
      </c>
      <c r="L2679">
        <v>2.8999999999999998E-3</v>
      </c>
      <c r="M2679">
        <v>4.6100000000000002E-2</v>
      </c>
      <c r="N2679">
        <v>0.18640000000000001</v>
      </c>
      <c r="O2679">
        <v>3.5599999999999998E-3</v>
      </c>
      <c r="P2679" s="3">
        <f t="shared" si="164"/>
        <v>2508.0344318717262</v>
      </c>
      <c r="Q2679" s="3">
        <f t="shared" si="165"/>
        <v>1.6040093355513818E-3</v>
      </c>
      <c r="R2679" s="3">
        <f t="shared" si="166"/>
        <v>2.8999999999999998E-3</v>
      </c>
      <c r="S2679">
        <f t="shared" si="167"/>
        <v>63</v>
      </c>
      <c r="T2679">
        <f>INDEX([1]IDEN_level_ids!$B:$B,MATCH(G2679,[1]IDEN_level_ids!$A:$A,0),1)</f>
        <v>1169</v>
      </c>
      <c r="U2679">
        <f>INDEX([1]IDEN_level_ids!$B:$B,MATCH(H2679,[1]IDEN_level_ids!$A:$A,0),1)</f>
        <v>1050</v>
      </c>
    </row>
    <row r="2680" spans="1:21" hidden="1" x14ac:dyDescent="0.25">
      <c r="A2680">
        <v>39851.120699999999</v>
      </c>
      <c r="B2680">
        <v>2509.3397</v>
      </c>
      <c r="C2680">
        <v>16</v>
      </c>
      <c r="D2680" t="s">
        <v>659</v>
      </c>
      <c r="E2680" t="s">
        <v>427</v>
      </c>
      <c r="F2680">
        <v>1974</v>
      </c>
      <c r="G2680" s="1" t="s">
        <v>285</v>
      </c>
      <c r="H2680" s="1" t="s">
        <v>472</v>
      </c>
      <c r="I2680">
        <v>0</v>
      </c>
      <c r="J2680">
        <v>39851.1541</v>
      </c>
      <c r="K2680">
        <v>2.0999999999999999E-3</v>
      </c>
      <c r="L2680">
        <v>3.0699999999999998E-3</v>
      </c>
      <c r="M2680">
        <v>4.87E-2</v>
      </c>
      <c r="N2680">
        <v>0.1013</v>
      </c>
      <c r="O2680">
        <v>3.4099999999999998E-3</v>
      </c>
      <c r="P2680" s="3">
        <f t="shared" si="164"/>
        <v>2509.3397185188824</v>
      </c>
      <c r="Q2680" s="3">
        <f t="shared" si="165"/>
        <v>2.1031247024438926E-3</v>
      </c>
      <c r="R2680" s="3">
        <f t="shared" si="166"/>
        <v>3.0699999999999998E-3</v>
      </c>
      <c r="S2680">
        <f t="shared" si="167"/>
        <v>63</v>
      </c>
      <c r="T2680">
        <f>INDEX([1]IDEN_level_ids!$B:$B,MATCH(G2680,[1]IDEN_level_ids!$A:$A,0),1)</f>
        <v>1150</v>
      </c>
      <c r="U2680">
        <f>INDEX([1]IDEN_level_ids!$B:$B,MATCH(H2680,[1]IDEN_level_ids!$A:$A,0),1)</f>
        <v>1012</v>
      </c>
    </row>
    <row r="2681" spans="1:21" hidden="1" x14ac:dyDescent="0.25">
      <c r="A2681">
        <v>39850.629999999997</v>
      </c>
      <c r="B2681">
        <v>2509.3706000000002</v>
      </c>
      <c r="C2681">
        <v>16</v>
      </c>
      <c r="D2681" t="s">
        <v>659</v>
      </c>
      <c r="F2681">
        <v>1974</v>
      </c>
      <c r="G2681" s="1" t="s">
        <v>209</v>
      </c>
      <c r="H2681" s="1" t="s">
        <v>386</v>
      </c>
      <c r="I2681">
        <v>0.22500000000000001</v>
      </c>
      <c r="J2681">
        <v>39850.567300000002</v>
      </c>
      <c r="K2681">
        <v>-3.9500000000000004E-3</v>
      </c>
      <c r="L2681">
        <v>2.8999999999999998E-3</v>
      </c>
      <c r="M2681">
        <v>4.6100000000000002E-2</v>
      </c>
      <c r="N2681">
        <v>0.1235</v>
      </c>
      <c r="O2681">
        <v>3.31E-3</v>
      </c>
      <c r="P2681" s="3">
        <f t="shared" si="164"/>
        <v>2509.3706172273814</v>
      </c>
      <c r="Q2681" s="3">
        <f t="shared" si="165"/>
        <v>-3.9481881526626239E-3</v>
      </c>
      <c r="R2681" s="3">
        <f t="shared" si="166"/>
        <v>2.8999999999999998E-3</v>
      </c>
      <c r="S2681">
        <f t="shared" si="167"/>
        <v>63</v>
      </c>
      <c r="T2681">
        <f>INDEX([1]IDEN_level_ids!$B:$B,MATCH(G2681,[1]IDEN_level_ids!$A:$A,0),1)</f>
        <v>1209</v>
      </c>
      <c r="U2681">
        <f>INDEX([1]IDEN_level_ids!$B:$B,MATCH(H2681,[1]IDEN_level_ids!$A:$A,0),1)</f>
        <v>1082</v>
      </c>
    </row>
    <row r="2682" spans="1:21" hidden="1" x14ac:dyDescent="0.25">
      <c r="A2682">
        <v>39840.659200000002</v>
      </c>
      <c r="B2682">
        <v>2509.9985999999999</v>
      </c>
      <c r="C2682">
        <v>16</v>
      </c>
      <c r="D2682" t="s">
        <v>659</v>
      </c>
      <c r="F2682">
        <v>1974</v>
      </c>
      <c r="G2682" s="1" t="s">
        <v>450</v>
      </c>
      <c r="H2682" s="1" t="s">
        <v>624</v>
      </c>
      <c r="I2682">
        <v>-0.2989</v>
      </c>
      <c r="J2682">
        <v>39840.6535</v>
      </c>
      <c r="K2682">
        <v>-3.6000000000000002E-4</v>
      </c>
      <c r="L2682">
        <v>2.8999999999999998E-3</v>
      </c>
      <c r="M2682">
        <v>4.6100000000000002E-2</v>
      </c>
      <c r="N2682">
        <v>0.15709999999999999</v>
      </c>
      <c r="O2682">
        <v>3.4399999999999999E-3</v>
      </c>
      <c r="P2682" s="3">
        <f t="shared" si="164"/>
        <v>2509.998629741548</v>
      </c>
      <c r="Q2682" s="3">
        <f t="shared" si="165"/>
        <v>-3.591053591662785E-4</v>
      </c>
      <c r="R2682" s="3">
        <f t="shared" si="166"/>
        <v>2.8999999999999998E-3</v>
      </c>
      <c r="S2682">
        <f t="shared" si="167"/>
        <v>63</v>
      </c>
      <c r="T2682">
        <f>INDEX([1]IDEN_level_ids!$B:$B,MATCH(G2682,[1]IDEN_level_ids!$A:$A,0),1)</f>
        <v>1077</v>
      </c>
      <c r="U2682">
        <f>INDEX([1]IDEN_level_ids!$B:$B,MATCH(H2682,[1]IDEN_level_ids!$A:$A,0),1)</f>
        <v>887</v>
      </c>
    </row>
    <row r="2683" spans="1:21" hidden="1" x14ac:dyDescent="0.25">
      <c r="A2683">
        <v>39827.180800000002</v>
      </c>
      <c r="B2683">
        <v>2510.8481000000002</v>
      </c>
      <c r="C2683">
        <v>16</v>
      </c>
      <c r="D2683" t="s">
        <v>659</v>
      </c>
      <c r="F2683">
        <v>1974</v>
      </c>
      <c r="G2683" s="1" t="s">
        <v>245</v>
      </c>
      <c r="H2683" s="1" t="s">
        <v>438</v>
      </c>
      <c r="I2683">
        <v>0</v>
      </c>
      <c r="J2683">
        <v>39827.1754</v>
      </c>
      <c r="K2683">
        <v>-3.4000000000000002E-4</v>
      </c>
      <c r="L2683">
        <v>2.8999999999999998E-3</v>
      </c>
      <c r="M2683">
        <v>4.6100000000000002E-2</v>
      </c>
      <c r="N2683">
        <v>9.6199999999999994E-2</v>
      </c>
      <c r="O2683">
        <v>3.2100000000000002E-3</v>
      </c>
      <c r="P2683" s="3">
        <f t="shared" si="164"/>
        <v>2510.8480688645677</v>
      </c>
      <c r="Q2683" s="3">
        <f t="shared" si="165"/>
        <v>-3.4043537971228943E-4</v>
      </c>
      <c r="R2683" s="3">
        <f t="shared" si="166"/>
        <v>2.8999999999999998E-3</v>
      </c>
      <c r="S2683">
        <f t="shared" si="167"/>
        <v>63</v>
      </c>
      <c r="T2683">
        <f>INDEX([1]IDEN_level_ids!$B:$B,MATCH(G2683,[1]IDEN_level_ids!$A:$A,0),1)</f>
        <v>1169</v>
      </c>
      <c r="U2683">
        <f>INDEX([1]IDEN_level_ids!$B:$B,MATCH(H2683,[1]IDEN_level_ids!$A:$A,0),1)</f>
        <v>1051</v>
      </c>
    </row>
    <row r="2684" spans="1:21" hidden="1" x14ac:dyDescent="0.25">
      <c r="A2684">
        <v>39826.389799999997</v>
      </c>
      <c r="B2684">
        <v>2510.8978999999999</v>
      </c>
      <c r="C2684">
        <v>16</v>
      </c>
      <c r="D2684" t="s">
        <v>659</v>
      </c>
      <c r="E2684" t="s">
        <v>427</v>
      </c>
      <c r="F2684">
        <v>1974</v>
      </c>
      <c r="G2684" s="1" t="s">
        <v>452</v>
      </c>
      <c r="H2684" s="1" t="s">
        <v>629</v>
      </c>
      <c r="I2684">
        <v>-0.25619999999999998</v>
      </c>
      <c r="J2684">
        <v>39826.320399999997</v>
      </c>
      <c r="K2684">
        <v>-4.3800000000000002E-3</v>
      </c>
      <c r="L2684">
        <v>3.0699999999999998E-3</v>
      </c>
      <c r="M2684">
        <v>4.87E-2</v>
      </c>
      <c r="N2684">
        <v>0.2051</v>
      </c>
      <c r="O2684">
        <v>3.8600000000000001E-3</v>
      </c>
      <c r="P2684" s="3">
        <f t="shared" si="164"/>
        <v>2510.8979373269731</v>
      </c>
      <c r="Q2684" s="3">
        <f t="shared" si="165"/>
        <v>-4.375405890186812E-3</v>
      </c>
      <c r="R2684" s="3">
        <f t="shared" si="166"/>
        <v>3.0699999999999998E-3</v>
      </c>
      <c r="S2684">
        <f t="shared" si="167"/>
        <v>63</v>
      </c>
      <c r="T2684">
        <f>INDEX([1]IDEN_level_ids!$B:$B,MATCH(G2684,[1]IDEN_level_ids!$A:$A,0),1)</f>
        <v>1033</v>
      </c>
      <c r="U2684">
        <f>INDEX([1]IDEN_level_ids!$B:$B,MATCH(H2684,[1]IDEN_level_ids!$A:$A,0),1)</f>
        <v>833</v>
      </c>
    </row>
    <row r="2685" spans="1:21" hidden="1" x14ac:dyDescent="0.25">
      <c r="A2685">
        <v>39823.2307</v>
      </c>
      <c r="B2685">
        <v>2511.0971</v>
      </c>
      <c r="C2685">
        <v>16</v>
      </c>
      <c r="D2685" t="s">
        <v>659</v>
      </c>
      <c r="F2685">
        <v>1974</v>
      </c>
      <c r="G2685" s="1" t="s">
        <v>73</v>
      </c>
      <c r="H2685" s="1" t="s">
        <v>377</v>
      </c>
      <c r="I2685">
        <v>0.33889999999999998</v>
      </c>
      <c r="J2685">
        <v>39823.254300000001</v>
      </c>
      <c r="K2685">
        <v>1.49E-3</v>
      </c>
      <c r="L2685">
        <v>2.8999999999999998E-3</v>
      </c>
      <c r="M2685">
        <v>4.6100000000000002E-2</v>
      </c>
      <c r="N2685">
        <v>8.0699999999999994E-2</v>
      </c>
      <c r="O2685">
        <v>3.16E-3</v>
      </c>
      <c r="P2685" s="3">
        <f t="shared" si="164"/>
        <v>2511.0971220122528</v>
      </c>
      <c r="Q2685" s="3">
        <f t="shared" si="165"/>
        <v>1.4881227843943634E-3</v>
      </c>
      <c r="R2685" s="3">
        <f t="shared" si="166"/>
        <v>2.8999999999999998E-3</v>
      </c>
      <c r="S2685">
        <f t="shared" si="167"/>
        <v>63</v>
      </c>
      <c r="T2685">
        <f>INDEX([1]IDEN_level_ids!$B:$B,MATCH(G2685,[1]IDEN_level_ids!$A:$A,0),1)</f>
        <v>1173</v>
      </c>
      <c r="U2685">
        <f>INDEX([1]IDEN_level_ids!$B:$B,MATCH(H2685,[1]IDEN_level_ids!$A:$A,0),1)</f>
        <v>1057</v>
      </c>
    </row>
    <row r="2686" spans="1:21" hidden="1" x14ac:dyDescent="0.25">
      <c r="A2686">
        <v>39821.881200000003</v>
      </c>
      <c r="B2686">
        <v>2511.1822000000002</v>
      </c>
      <c r="C2686">
        <v>16</v>
      </c>
      <c r="D2686" t="s">
        <v>659</v>
      </c>
      <c r="F2686">
        <v>1974</v>
      </c>
      <c r="G2686" s="1" t="s">
        <v>40</v>
      </c>
      <c r="H2686" s="1" t="s">
        <v>446</v>
      </c>
      <c r="I2686">
        <v>0.31669999999999998</v>
      </c>
      <c r="J2686">
        <v>39821.884599999998</v>
      </c>
      <c r="K2686">
        <v>2.2000000000000001E-4</v>
      </c>
      <c r="L2686">
        <v>2.8999999999999998E-3</v>
      </c>
      <c r="M2686">
        <v>4.6100000000000002E-2</v>
      </c>
      <c r="N2686">
        <v>9.3700000000000006E-2</v>
      </c>
      <c r="O2686">
        <v>3.2100000000000002E-3</v>
      </c>
      <c r="P2686" s="3">
        <f t="shared" si="164"/>
        <v>2511.1822190861235</v>
      </c>
      <c r="Q2686" s="3">
        <f t="shared" si="165"/>
        <v>2.1440520959004061E-4</v>
      </c>
      <c r="R2686" s="3">
        <f t="shared" si="166"/>
        <v>2.8999999999999998E-3</v>
      </c>
      <c r="S2686">
        <f t="shared" si="167"/>
        <v>63</v>
      </c>
      <c r="T2686">
        <f>INDEX([1]IDEN_level_ids!$B:$B,MATCH(G2686,[1]IDEN_level_ids!$A:$A,0),1)</f>
        <v>1199</v>
      </c>
      <c r="U2686">
        <f>INDEX([1]IDEN_level_ids!$B:$B,MATCH(H2686,[1]IDEN_level_ids!$A:$A,0),1)</f>
        <v>1079</v>
      </c>
    </row>
    <row r="2687" spans="1:21" hidden="1" x14ac:dyDescent="0.25">
      <c r="A2687">
        <v>39810.971299999997</v>
      </c>
      <c r="B2687">
        <v>2511.8703999999998</v>
      </c>
      <c r="C2687">
        <v>16</v>
      </c>
      <c r="D2687" t="s">
        <v>659</v>
      </c>
      <c r="E2687" t="s">
        <v>427</v>
      </c>
      <c r="F2687">
        <v>1974</v>
      </c>
      <c r="G2687" s="1" t="s">
        <v>76</v>
      </c>
      <c r="H2687" s="1" t="s">
        <v>407</v>
      </c>
      <c r="I2687">
        <v>0.27489999999999998</v>
      </c>
      <c r="J2687">
        <v>39810.953000000001</v>
      </c>
      <c r="K2687">
        <v>-1.15E-3</v>
      </c>
      <c r="L2687">
        <v>3.0699999999999998E-3</v>
      </c>
      <c r="M2687">
        <v>4.87E-2</v>
      </c>
      <c r="N2687">
        <v>9.1600000000000001E-2</v>
      </c>
      <c r="O2687">
        <v>3.3800000000000002E-3</v>
      </c>
      <c r="P2687" s="3">
        <f t="shared" si="164"/>
        <v>2511.8703898590893</v>
      </c>
      <c r="Q2687" s="3">
        <f t="shared" si="165"/>
        <v>-1.1546377227205085E-3</v>
      </c>
      <c r="R2687" s="3">
        <f t="shared" si="166"/>
        <v>3.0699999999999998E-3</v>
      </c>
      <c r="S2687">
        <f t="shared" si="167"/>
        <v>63</v>
      </c>
      <c r="T2687">
        <f>INDEX([1]IDEN_level_ids!$B:$B,MATCH(G2687,[1]IDEN_level_ids!$A:$A,0),1)</f>
        <v>1194</v>
      </c>
      <c r="U2687">
        <f>INDEX([1]IDEN_level_ids!$B:$B,MATCH(H2687,[1]IDEN_level_ids!$A:$A,0),1)</f>
        <v>1073</v>
      </c>
    </row>
    <row r="2688" spans="1:21" hidden="1" x14ac:dyDescent="0.25">
      <c r="A2688">
        <v>39808.261100000003</v>
      </c>
      <c r="B2688">
        <v>2512.0414000000001</v>
      </c>
      <c r="C2688">
        <v>16</v>
      </c>
      <c r="D2688" t="s">
        <v>659</v>
      </c>
      <c r="F2688">
        <v>1974</v>
      </c>
      <c r="G2688" s="1" t="s">
        <v>446</v>
      </c>
      <c r="H2688" s="1" t="s">
        <v>318</v>
      </c>
      <c r="I2688">
        <v>-0.31669999999999998</v>
      </c>
      <c r="J2688">
        <v>39808.2673</v>
      </c>
      <c r="K2688">
        <v>3.8999999999999999E-4</v>
      </c>
      <c r="L2688">
        <v>2.9099999999999998E-3</v>
      </c>
      <c r="M2688">
        <v>4.6100000000000002E-2</v>
      </c>
      <c r="N2688">
        <v>0.14169999999999999</v>
      </c>
      <c r="O2688">
        <v>3.3899999999999998E-3</v>
      </c>
      <c r="P2688" s="3">
        <f t="shared" si="164"/>
        <v>2512.0414013763589</v>
      </c>
      <c r="Q2688" s="3">
        <f t="shared" si="165"/>
        <v>3.9124176282712142E-4</v>
      </c>
      <c r="R2688" s="3">
        <f t="shared" si="166"/>
        <v>2.9099999999999998E-3</v>
      </c>
      <c r="S2688">
        <f t="shared" si="167"/>
        <v>63</v>
      </c>
      <c r="T2688">
        <f>INDEX([1]IDEN_level_ids!$B:$B,MATCH(G2688,[1]IDEN_level_ids!$A:$A,0),1)</f>
        <v>1079</v>
      </c>
      <c r="U2688">
        <f>INDEX([1]IDEN_level_ids!$B:$B,MATCH(H2688,[1]IDEN_level_ids!$A:$A,0),1)</f>
        <v>888</v>
      </c>
    </row>
    <row r="2689" spans="1:21" hidden="1" x14ac:dyDescent="0.25">
      <c r="A2689">
        <v>39800.849199999997</v>
      </c>
      <c r="B2689">
        <v>2512.5092</v>
      </c>
      <c r="C2689">
        <v>16</v>
      </c>
      <c r="D2689" t="s">
        <v>659</v>
      </c>
      <c r="F2689">
        <v>1974</v>
      </c>
      <c r="G2689" s="1" t="s">
        <v>545</v>
      </c>
      <c r="H2689" s="1" t="s">
        <v>642</v>
      </c>
      <c r="I2689">
        <v>0</v>
      </c>
      <c r="J2689">
        <v>39800.803</v>
      </c>
      <c r="K2689">
        <v>-2.9099999999999998E-3</v>
      </c>
      <c r="L2689">
        <v>2.9099999999999998E-3</v>
      </c>
      <c r="M2689">
        <v>4.6100000000000002E-2</v>
      </c>
      <c r="N2689">
        <v>0.14299999999999999</v>
      </c>
      <c r="O2689">
        <v>3.3899999999999998E-3</v>
      </c>
      <c r="P2689" s="3">
        <f t="shared" si="164"/>
        <v>2512.5092054568527</v>
      </c>
      <c r="Q2689" s="3">
        <f t="shared" si="165"/>
        <v>-2.9164719435357256E-3</v>
      </c>
      <c r="R2689" s="3">
        <f t="shared" si="166"/>
        <v>2.9099999999999998E-3</v>
      </c>
      <c r="S2689">
        <f t="shared" si="167"/>
        <v>63</v>
      </c>
      <c r="T2689">
        <f>INDEX([1]IDEN_level_ids!$B:$B,MATCH(G2689,[1]IDEN_level_ids!$A:$A,0),1)</f>
        <v>1081</v>
      </c>
      <c r="U2689">
        <f>INDEX([1]IDEN_level_ids!$B:$B,MATCH(H2689,[1]IDEN_level_ids!$A:$A,0),1)</f>
        <v>894</v>
      </c>
    </row>
    <row r="2690" spans="1:21" hidden="1" x14ac:dyDescent="0.25">
      <c r="A2690">
        <v>39787.270799999998</v>
      </c>
      <c r="B2690">
        <v>2513.3667</v>
      </c>
      <c r="C2690">
        <v>16</v>
      </c>
      <c r="D2690" t="s">
        <v>659</v>
      </c>
      <c r="F2690">
        <v>1974</v>
      </c>
      <c r="G2690" s="1" t="s">
        <v>468</v>
      </c>
      <c r="H2690" s="1" t="s">
        <v>660</v>
      </c>
      <c r="I2690">
        <v>-0.16639999999999999</v>
      </c>
      <c r="J2690">
        <v>39787.263299999999</v>
      </c>
      <c r="K2690">
        <v>-4.6999999999999999E-4</v>
      </c>
      <c r="L2690">
        <v>2.9099999999999998E-3</v>
      </c>
      <c r="M2690">
        <v>4.6100000000000002E-2</v>
      </c>
      <c r="N2690">
        <v>0.53120000000000001</v>
      </c>
      <c r="O2690">
        <v>6.2100000000000002E-3</v>
      </c>
      <c r="P2690" s="3">
        <f t="shared" ref="P2690:P2753" si="168">100000000/$A2690</f>
        <v>2513.3666619827568</v>
      </c>
      <c r="Q2690" s="3">
        <f t="shared" ref="Q2690:Q2753" si="169">100000000/($A2690)-100000000/$J2690</f>
        <v>-4.7377598730236059E-4</v>
      </c>
      <c r="R2690" s="3">
        <f t="shared" si="166"/>
        <v>2.9099999999999998E-3</v>
      </c>
      <c r="S2690">
        <f t="shared" si="167"/>
        <v>63</v>
      </c>
      <c r="T2690">
        <f>INDEX([1]IDEN_level_ids!$B:$B,MATCH(G2690,[1]IDEN_level_ids!$A:$A,0),1)</f>
        <v>1044</v>
      </c>
      <c r="U2690">
        <f>INDEX([1]IDEN_level_ids!$B:$B,MATCH(H2690,[1]IDEN_level_ids!$A:$A,0),1)</f>
        <v>847</v>
      </c>
    </row>
    <row r="2691" spans="1:21" hidden="1" x14ac:dyDescent="0.25">
      <c r="A2691">
        <v>39785.511500000001</v>
      </c>
      <c r="B2691">
        <v>2513.4778000000001</v>
      </c>
      <c r="C2691">
        <v>16</v>
      </c>
      <c r="D2691" t="s">
        <v>659</v>
      </c>
      <c r="F2691">
        <v>1974</v>
      </c>
      <c r="G2691" s="1" t="s">
        <v>614</v>
      </c>
      <c r="H2691" s="1" t="s">
        <v>332</v>
      </c>
      <c r="I2691">
        <v>-0.1457</v>
      </c>
      <c r="J2691">
        <v>39785.542300000001</v>
      </c>
      <c r="K2691">
        <v>1.9499999999999999E-3</v>
      </c>
      <c r="L2691">
        <v>2.9099999999999998E-3</v>
      </c>
      <c r="M2691">
        <v>4.6100000000000002E-2</v>
      </c>
      <c r="N2691">
        <v>0.36520000000000002</v>
      </c>
      <c r="O2691">
        <v>4.5799999999999999E-3</v>
      </c>
      <c r="P2691" s="3">
        <f t="shared" si="168"/>
        <v>2513.4778020888334</v>
      </c>
      <c r="Q2691" s="3">
        <f t="shared" si="169"/>
        <v>1.9458102574390068E-3</v>
      </c>
      <c r="R2691" s="3">
        <f t="shared" ref="R2691:R2754" si="170">$L2691</f>
        <v>2.9099999999999998E-3</v>
      </c>
      <c r="S2691">
        <f t="shared" si="167"/>
        <v>63</v>
      </c>
      <c r="T2691">
        <f>INDEX([1]IDEN_level_ids!$B:$B,MATCH(G2691,[1]IDEN_level_ids!$A:$A,0),1)</f>
        <v>1031</v>
      </c>
      <c r="U2691">
        <f>INDEX([1]IDEN_level_ids!$B:$B,MATCH(H2691,[1]IDEN_level_ids!$A:$A,0),1)</f>
        <v>828</v>
      </c>
    </row>
    <row r="2692" spans="1:21" hidden="1" x14ac:dyDescent="0.25">
      <c r="A2692">
        <v>39772.349099999999</v>
      </c>
      <c r="B2692">
        <v>2514.3096</v>
      </c>
      <c r="C2692">
        <v>16</v>
      </c>
      <c r="D2692" t="s">
        <v>659</v>
      </c>
      <c r="F2692">
        <v>1974</v>
      </c>
      <c r="G2692" s="1" t="s">
        <v>536</v>
      </c>
      <c r="H2692" s="1" t="s">
        <v>321</v>
      </c>
      <c r="I2692">
        <v>0</v>
      </c>
      <c r="J2692">
        <v>39772.356</v>
      </c>
      <c r="K2692">
        <v>4.4000000000000002E-4</v>
      </c>
      <c r="L2692">
        <v>2.9099999999999998E-3</v>
      </c>
      <c r="M2692">
        <v>4.6100000000000002E-2</v>
      </c>
      <c r="N2692">
        <v>0.27579999999999999</v>
      </c>
      <c r="O2692">
        <v>4.0200000000000001E-3</v>
      </c>
      <c r="P2692" s="3">
        <f t="shared" si="168"/>
        <v>2514.3096212036417</v>
      </c>
      <c r="Q2692" s="3">
        <f t="shared" si="169"/>
        <v>4.3620087217277614E-4</v>
      </c>
      <c r="R2692" s="3">
        <f t="shared" si="170"/>
        <v>2.9099999999999998E-3</v>
      </c>
      <c r="S2692">
        <f t="shared" ref="S2692:S2755" si="171">IF(D2692=D2691,S2691,S2691+1)</f>
        <v>63</v>
      </c>
      <c r="T2692">
        <f>INDEX([1]IDEN_level_ids!$B:$B,MATCH(G2692,[1]IDEN_level_ids!$A:$A,0),1)</f>
        <v>1021</v>
      </c>
      <c r="U2692">
        <f>INDEX([1]IDEN_level_ids!$B:$B,MATCH(H2692,[1]IDEN_level_ids!$A:$A,0),1)</f>
        <v>823</v>
      </c>
    </row>
    <row r="2693" spans="1:21" hidden="1" x14ac:dyDescent="0.25">
      <c r="A2693">
        <v>39763.011200000001</v>
      </c>
      <c r="B2693">
        <v>2514.9000999999998</v>
      </c>
      <c r="C2693">
        <v>16</v>
      </c>
      <c r="D2693" t="s">
        <v>659</v>
      </c>
      <c r="F2693">
        <v>1974</v>
      </c>
      <c r="G2693" s="1" t="s">
        <v>342</v>
      </c>
      <c r="H2693" s="1" t="s">
        <v>543</v>
      </c>
      <c r="I2693">
        <v>3.3500000000000002E-2</v>
      </c>
      <c r="J2693">
        <v>39762.998</v>
      </c>
      <c r="K2693">
        <v>-8.3000000000000001E-4</v>
      </c>
      <c r="L2693">
        <v>2.9099999999999998E-3</v>
      </c>
      <c r="M2693">
        <v>4.6100000000000002E-2</v>
      </c>
      <c r="N2693">
        <v>0.30909999999999999</v>
      </c>
      <c r="O2693">
        <v>4.2199999999999998E-3</v>
      </c>
      <c r="P2693" s="3">
        <f t="shared" si="168"/>
        <v>2514.9000787948371</v>
      </c>
      <c r="Q2693" s="3">
        <f t="shared" si="169"/>
        <v>-8.3486363519114093E-4</v>
      </c>
      <c r="R2693" s="3">
        <f t="shared" si="170"/>
        <v>2.9099999999999998E-3</v>
      </c>
      <c r="S2693">
        <f t="shared" si="171"/>
        <v>63</v>
      </c>
      <c r="T2693">
        <f>INDEX([1]IDEN_level_ids!$B:$B,MATCH(G2693,[1]IDEN_level_ids!$A:$A,0),1)</f>
        <v>1119</v>
      </c>
      <c r="U2693">
        <f>INDEX([1]IDEN_level_ids!$B:$B,MATCH(H2693,[1]IDEN_level_ids!$A:$A,0),1)</f>
        <v>972</v>
      </c>
    </row>
    <row r="2694" spans="1:21" hidden="1" x14ac:dyDescent="0.25">
      <c r="A2694">
        <v>39748.751300000004</v>
      </c>
      <c r="B2694">
        <v>2515.8022999999998</v>
      </c>
      <c r="C2694">
        <v>16</v>
      </c>
      <c r="D2694" t="s">
        <v>659</v>
      </c>
      <c r="F2694">
        <v>1974</v>
      </c>
      <c r="G2694" s="1" t="s">
        <v>197</v>
      </c>
      <c r="H2694" s="1" t="s">
        <v>448</v>
      </c>
      <c r="I2694">
        <v>0.29559999999999997</v>
      </c>
      <c r="J2694">
        <v>39748.743799999997</v>
      </c>
      <c r="K2694">
        <v>-4.6999999999999999E-4</v>
      </c>
      <c r="L2694">
        <v>2.9199999999999999E-3</v>
      </c>
      <c r="M2694">
        <v>4.6100000000000002E-2</v>
      </c>
      <c r="N2694">
        <v>8.8999999999999996E-2</v>
      </c>
      <c r="O2694">
        <v>3.2000000000000002E-3</v>
      </c>
      <c r="P2694" s="3">
        <f t="shared" si="168"/>
        <v>2515.8023014423597</v>
      </c>
      <c r="Q2694" s="3">
        <f t="shared" si="169"/>
        <v>-4.7469468154304195E-4</v>
      </c>
      <c r="R2694" s="3">
        <f t="shared" si="170"/>
        <v>2.9199999999999999E-3</v>
      </c>
      <c r="S2694">
        <f t="shared" si="171"/>
        <v>63</v>
      </c>
      <c r="T2694">
        <f>INDEX([1]IDEN_level_ids!$B:$B,MATCH(G2694,[1]IDEN_level_ids!$A:$A,0),1)</f>
        <v>1182</v>
      </c>
      <c r="U2694">
        <f>INDEX([1]IDEN_level_ids!$B:$B,MATCH(H2694,[1]IDEN_level_ids!$A:$A,0),1)</f>
        <v>1067</v>
      </c>
    </row>
    <row r="2695" spans="1:21" hidden="1" x14ac:dyDescent="0.25">
      <c r="A2695">
        <v>39741.770199999999</v>
      </c>
      <c r="B2695">
        <v>2516.2442000000001</v>
      </c>
      <c r="C2695">
        <v>16</v>
      </c>
      <c r="D2695" t="s">
        <v>659</v>
      </c>
      <c r="F2695">
        <v>1974</v>
      </c>
      <c r="G2695" s="1" t="s">
        <v>448</v>
      </c>
      <c r="H2695" s="1" t="s">
        <v>315</v>
      </c>
      <c r="I2695">
        <v>-0.29559999999999997</v>
      </c>
      <c r="J2695">
        <v>39741.724000000002</v>
      </c>
      <c r="K2695">
        <v>-2.9199999999999999E-3</v>
      </c>
      <c r="L2695">
        <v>2.9199999999999999E-3</v>
      </c>
      <c r="M2695">
        <v>4.6100000000000002E-2</v>
      </c>
      <c r="N2695">
        <v>0.18240000000000001</v>
      </c>
      <c r="O2695">
        <v>3.5699999999999998E-3</v>
      </c>
      <c r="P2695" s="3">
        <f t="shared" si="168"/>
        <v>2516.2442311137916</v>
      </c>
      <c r="Q2695" s="3">
        <f t="shared" si="169"/>
        <v>-2.9251494847812864E-3</v>
      </c>
      <c r="R2695" s="3">
        <f t="shared" si="170"/>
        <v>2.9199999999999999E-3</v>
      </c>
      <c r="S2695">
        <f t="shared" si="171"/>
        <v>63</v>
      </c>
      <c r="T2695">
        <f>INDEX([1]IDEN_level_ids!$B:$B,MATCH(G2695,[1]IDEN_level_ids!$A:$A,0),1)</f>
        <v>1067</v>
      </c>
      <c r="U2695">
        <f>INDEX([1]IDEN_level_ids!$B:$B,MATCH(H2695,[1]IDEN_level_ids!$A:$A,0),1)</f>
        <v>877</v>
      </c>
    </row>
    <row r="2696" spans="1:21" hidden="1" x14ac:dyDescent="0.25">
      <c r="A2696">
        <v>39728.349099999999</v>
      </c>
      <c r="B2696">
        <v>2517.0943000000002</v>
      </c>
      <c r="C2696">
        <v>16</v>
      </c>
      <c r="D2696" t="s">
        <v>659</v>
      </c>
      <c r="F2696">
        <v>1974</v>
      </c>
      <c r="G2696" s="1" t="s">
        <v>453</v>
      </c>
      <c r="H2696" s="1" t="s">
        <v>624</v>
      </c>
      <c r="I2696">
        <v>-0.26840000000000003</v>
      </c>
      <c r="J2696">
        <v>39728.336799999997</v>
      </c>
      <c r="K2696">
        <v>-7.7999999999999999E-4</v>
      </c>
      <c r="L2696">
        <v>2.9199999999999999E-3</v>
      </c>
      <c r="M2696">
        <v>4.6100000000000002E-2</v>
      </c>
      <c r="N2696">
        <v>0.16830000000000001</v>
      </c>
      <c r="O2696">
        <v>3.5100000000000001E-3</v>
      </c>
      <c r="P2696" s="3">
        <f t="shared" si="168"/>
        <v>2517.0942731169266</v>
      </c>
      <c r="Q2696" s="3">
        <f t="shared" si="169"/>
        <v>-7.7929916142238653E-4</v>
      </c>
      <c r="R2696" s="3">
        <f t="shared" si="170"/>
        <v>2.9199999999999999E-3</v>
      </c>
      <c r="S2696">
        <f t="shared" si="171"/>
        <v>63</v>
      </c>
      <c r="T2696">
        <f>INDEX([1]IDEN_level_ids!$B:$B,MATCH(G2696,[1]IDEN_level_ids!$A:$A,0),1)</f>
        <v>1078</v>
      </c>
      <c r="U2696">
        <f>INDEX([1]IDEN_level_ids!$B:$B,MATCH(H2696,[1]IDEN_level_ids!$A:$A,0),1)</f>
        <v>887</v>
      </c>
    </row>
    <row r="2697" spans="1:21" hidden="1" x14ac:dyDescent="0.25">
      <c r="A2697">
        <v>39710.701399999998</v>
      </c>
      <c r="B2697">
        <v>2518.2129</v>
      </c>
      <c r="C2697">
        <v>16</v>
      </c>
      <c r="D2697" t="s">
        <v>659</v>
      </c>
      <c r="E2697" t="s">
        <v>427</v>
      </c>
      <c r="F2697">
        <v>1974</v>
      </c>
      <c r="G2697" s="1" t="s">
        <v>295</v>
      </c>
      <c r="H2697" s="1" t="s">
        <v>576</v>
      </c>
      <c r="I2697">
        <v>0.13669999999999999</v>
      </c>
      <c r="J2697">
        <v>39710.703399999999</v>
      </c>
      <c r="K2697">
        <v>1.2999999999999999E-4</v>
      </c>
      <c r="L2697">
        <v>3.0899999999999999E-3</v>
      </c>
      <c r="M2697">
        <v>4.87E-2</v>
      </c>
      <c r="N2697">
        <v>0.1061</v>
      </c>
      <c r="O2697">
        <v>3.46E-3</v>
      </c>
      <c r="P2697" s="3">
        <f t="shared" si="168"/>
        <v>2518.2128865646278</v>
      </c>
      <c r="Q2697" s="3">
        <f t="shared" si="169"/>
        <v>1.2682791657425696E-4</v>
      </c>
      <c r="R2697" s="3">
        <f t="shared" si="170"/>
        <v>3.0899999999999999E-3</v>
      </c>
      <c r="S2697">
        <f t="shared" si="171"/>
        <v>63</v>
      </c>
      <c r="T2697">
        <f>INDEX([1]IDEN_level_ids!$B:$B,MATCH(G2697,[1]IDEN_level_ids!$A:$A,0),1)</f>
        <v>1152</v>
      </c>
      <c r="U2697">
        <f>INDEX([1]IDEN_level_ids!$B:$B,MATCH(H2697,[1]IDEN_level_ids!$A:$A,0),1)</f>
        <v>1024</v>
      </c>
    </row>
    <row r="2698" spans="1:21" hidden="1" x14ac:dyDescent="0.25">
      <c r="A2698">
        <v>39709.759599999998</v>
      </c>
      <c r="B2698">
        <v>2518.2725999999998</v>
      </c>
      <c r="C2698">
        <v>16</v>
      </c>
      <c r="D2698" t="s">
        <v>659</v>
      </c>
      <c r="F2698">
        <v>1974</v>
      </c>
      <c r="G2698" s="1" t="s">
        <v>438</v>
      </c>
      <c r="H2698" s="1" t="s">
        <v>121</v>
      </c>
      <c r="I2698">
        <v>0</v>
      </c>
      <c r="J2698">
        <v>39709.715799999998</v>
      </c>
      <c r="K2698">
        <v>-2.7799999999999999E-3</v>
      </c>
      <c r="L2698">
        <v>2.9199999999999999E-3</v>
      </c>
      <c r="M2698">
        <v>4.6100000000000002E-2</v>
      </c>
      <c r="N2698">
        <v>0.1711</v>
      </c>
      <c r="O2698">
        <v>3.5200000000000001E-3</v>
      </c>
      <c r="P2698" s="3">
        <f t="shared" si="168"/>
        <v>2518.2726112499558</v>
      </c>
      <c r="Q2698" s="3">
        <f t="shared" si="169"/>
        <v>-2.7776663255281164E-3</v>
      </c>
      <c r="R2698" s="3">
        <f t="shared" si="170"/>
        <v>2.9199999999999999E-3</v>
      </c>
      <c r="S2698">
        <f t="shared" si="171"/>
        <v>63</v>
      </c>
      <c r="T2698">
        <f>INDEX([1]IDEN_level_ids!$B:$B,MATCH(G2698,[1]IDEN_level_ids!$A:$A,0),1)</f>
        <v>1051</v>
      </c>
      <c r="U2698">
        <f>INDEX([1]IDEN_level_ids!$B:$B,MATCH(H2698,[1]IDEN_level_ids!$A:$A,0),1)</f>
        <v>860</v>
      </c>
    </row>
    <row r="2699" spans="1:21" hidden="1" x14ac:dyDescent="0.25">
      <c r="A2699">
        <v>39703.431400000001</v>
      </c>
      <c r="B2699">
        <v>2518.674</v>
      </c>
      <c r="C2699">
        <v>16</v>
      </c>
      <c r="D2699" t="s">
        <v>659</v>
      </c>
      <c r="F2699">
        <v>1974</v>
      </c>
      <c r="G2699" s="1" t="s">
        <v>468</v>
      </c>
      <c r="H2699" s="1" t="s">
        <v>662</v>
      </c>
      <c r="I2699">
        <v>-0.16639999999999999</v>
      </c>
      <c r="J2699">
        <v>39703.3995</v>
      </c>
      <c r="K2699">
        <v>-2.0200000000000001E-3</v>
      </c>
      <c r="L2699">
        <v>2.9199999999999999E-3</v>
      </c>
      <c r="M2699">
        <v>4.6100000000000002E-2</v>
      </c>
      <c r="N2699">
        <v>0.53120000000000001</v>
      </c>
      <c r="O2699">
        <v>6.2300000000000003E-3</v>
      </c>
      <c r="P2699" s="3">
        <f t="shared" si="168"/>
        <v>2518.6739904803289</v>
      </c>
      <c r="Q2699" s="3">
        <f t="shared" si="169"/>
        <v>-2.0236478817423631E-3</v>
      </c>
      <c r="R2699" s="3">
        <f t="shared" si="170"/>
        <v>2.9199999999999999E-3</v>
      </c>
      <c r="S2699">
        <f t="shared" si="171"/>
        <v>63</v>
      </c>
      <c r="T2699">
        <f>INDEX([1]IDEN_level_ids!$B:$B,MATCH(G2699,[1]IDEN_level_ids!$A:$A,0),1)</f>
        <v>1044</v>
      </c>
      <c r="U2699">
        <f>INDEX([1]IDEN_level_ids!$B:$B,MATCH(H2699,[1]IDEN_level_ids!$A:$A,0),1)</f>
        <v>849</v>
      </c>
    </row>
    <row r="2700" spans="1:21" hidden="1" x14ac:dyDescent="0.25">
      <c r="A2700">
        <v>39696.970399999998</v>
      </c>
      <c r="B2700">
        <v>2519.0839000000001</v>
      </c>
      <c r="C2700">
        <v>16</v>
      </c>
      <c r="D2700" t="s">
        <v>659</v>
      </c>
      <c r="F2700">
        <v>1974</v>
      </c>
      <c r="G2700" s="1" t="s">
        <v>280</v>
      </c>
      <c r="H2700" s="1" t="s">
        <v>589</v>
      </c>
      <c r="I2700">
        <v>0</v>
      </c>
      <c r="J2700">
        <v>39696.991499999996</v>
      </c>
      <c r="K2700">
        <v>1.34E-3</v>
      </c>
      <c r="L2700">
        <v>2.9199999999999999E-3</v>
      </c>
      <c r="M2700">
        <v>4.6100000000000002E-2</v>
      </c>
      <c r="N2700">
        <v>0.2069</v>
      </c>
      <c r="O2700">
        <v>3.6900000000000001E-3</v>
      </c>
      <c r="P2700" s="3">
        <f t="shared" si="168"/>
        <v>2519.083924852865</v>
      </c>
      <c r="Q2700" s="3">
        <f t="shared" si="169"/>
        <v>1.3389596742854337E-3</v>
      </c>
      <c r="R2700" s="3">
        <f t="shared" si="170"/>
        <v>2.9199999999999999E-3</v>
      </c>
      <c r="S2700">
        <f t="shared" si="171"/>
        <v>63</v>
      </c>
      <c r="T2700">
        <f>INDEX([1]IDEN_level_ids!$B:$B,MATCH(G2700,[1]IDEN_level_ids!$A:$A,0),1)</f>
        <v>1130</v>
      </c>
      <c r="U2700">
        <f>INDEX([1]IDEN_level_ids!$B:$B,MATCH(H2700,[1]IDEN_level_ids!$A:$A,0),1)</f>
        <v>984</v>
      </c>
    </row>
    <row r="2701" spans="1:21" hidden="1" x14ac:dyDescent="0.25">
      <c r="A2701">
        <v>39688.479200000002</v>
      </c>
      <c r="B2701">
        <v>2519.6228999999998</v>
      </c>
      <c r="C2701">
        <v>16</v>
      </c>
      <c r="D2701" t="s">
        <v>659</v>
      </c>
      <c r="E2701" t="s">
        <v>427</v>
      </c>
      <c r="F2701">
        <v>1974</v>
      </c>
      <c r="G2701" s="1" t="s">
        <v>180</v>
      </c>
      <c r="H2701" s="1" t="s">
        <v>413</v>
      </c>
      <c r="I2701">
        <v>6.4600000000000005E-2</v>
      </c>
      <c r="J2701">
        <v>39688.434800000003</v>
      </c>
      <c r="K2701">
        <v>-2.82E-3</v>
      </c>
      <c r="L2701">
        <v>3.0899999999999999E-3</v>
      </c>
      <c r="M2701">
        <v>4.87E-2</v>
      </c>
      <c r="N2701">
        <v>0.1142</v>
      </c>
      <c r="O2701">
        <v>3.49E-3</v>
      </c>
      <c r="P2701" s="3">
        <f t="shared" si="168"/>
        <v>2519.6228733299508</v>
      </c>
      <c r="Q2701" s="3">
        <f t="shared" si="169"/>
        <v>-2.8187368975522986E-3</v>
      </c>
      <c r="R2701" s="3">
        <f t="shared" si="170"/>
        <v>3.0899999999999999E-3</v>
      </c>
      <c r="S2701">
        <f t="shared" si="171"/>
        <v>63</v>
      </c>
      <c r="T2701">
        <f>INDEX([1]IDEN_level_ids!$B:$B,MATCH(G2701,[1]IDEN_level_ids!$A:$A,0),1)</f>
        <v>1184</v>
      </c>
      <c r="U2701">
        <f>INDEX([1]IDEN_level_ids!$B:$B,MATCH(H2701,[1]IDEN_level_ids!$A:$A,0),1)</f>
        <v>1071</v>
      </c>
    </row>
    <row r="2702" spans="1:21" hidden="1" x14ac:dyDescent="0.25">
      <c r="A2702">
        <v>39671.909800000001</v>
      </c>
      <c r="B2702">
        <v>2520.6752000000001</v>
      </c>
      <c r="C2702">
        <v>16</v>
      </c>
      <c r="D2702" t="s">
        <v>659</v>
      </c>
      <c r="F2702">
        <v>1974</v>
      </c>
      <c r="G2702" s="1" t="s">
        <v>243</v>
      </c>
      <c r="H2702" s="1" t="s">
        <v>545</v>
      </c>
      <c r="I2702">
        <v>0</v>
      </c>
      <c r="J2702">
        <v>39671.922899999998</v>
      </c>
      <c r="K2702">
        <v>8.3000000000000001E-4</v>
      </c>
      <c r="L2702">
        <v>2.9299999999999999E-3</v>
      </c>
      <c r="M2702">
        <v>4.6100000000000002E-2</v>
      </c>
      <c r="N2702">
        <v>0.1424</v>
      </c>
      <c r="O2702">
        <v>3.4099999999999998E-3</v>
      </c>
      <c r="P2702" s="3">
        <f t="shared" si="168"/>
        <v>2520.6752209342844</v>
      </c>
      <c r="Q2702" s="3">
        <f t="shared" si="169"/>
        <v>8.3234799285492045E-4</v>
      </c>
      <c r="R2702" s="3">
        <f t="shared" si="170"/>
        <v>2.9299999999999999E-3</v>
      </c>
      <c r="S2702">
        <f t="shared" si="171"/>
        <v>63</v>
      </c>
      <c r="T2702">
        <f>INDEX([1]IDEN_level_ids!$B:$B,MATCH(G2702,[1]IDEN_level_ids!$A:$A,0),1)</f>
        <v>1205</v>
      </c>
      <c r="U2702">
        <f>INDEX([1]IDEN_level_ids!$B:$B,MATCH(H2702,[1]IDEN_level_ids!$A:$A,0),1)</f>
        <v>1081</v>
      </c>
    </row>
    <row r="2703" spans="1:21" hidden="1" x14ac:dyDescent="0.25">
      <c r="A2703">
        <v>39668.919600000001</v>
      </c>
      <c r="B2703">
        <v>2520.8652000000002</v>
      </c>
      <c r="C2703">
        <v>16</v>
      </c>
      <c r="D2703" t="s">
        <v>659</v>
      </c>
      <c r="F2703">
        <v>1974</v>
      </c>
      <c r="G2703" s="1" t="s">
        <v>268</v>
      </c>
      <c r="H2703" s="1" t="s">
        <v>437</v>
      </c>
      <c r="I2703">
        <v>0.26329999999999998</v>
      </c>
      <c r="J2703">
        <v>39668.880599999997</v>
      </c>
      <c r="K2703">
        <v>-2.48E-3</v>
      </c>
      <c r="L2703">
        <v>2.9299999999999999E-3</v>
      </c>
      <c r="M2703">
        <v>4.6100000000000002E-2</v>
      </c>
      <c r="N2703">
        <v>8.6800000000000002E-2</v>
      </c>
      <c r="O2703">
        <v>3.2100000000000002E-3</v>
      </c>
      <c r="P2703" s="3">
        <f t="shared" si="168"/>
        <v>2520.8652266899649</v>
      </c>
      <c r="Q2703" s="3">
        <f t="shared" si="169"/>
        <v>-2.4783594185464608E-3</v>
      </c>
      <c r="R2703" s="3">
        <f t="shared" si="170"/>
        <v>2.9299999999999999E-3</v>
      </c>
      <c r="S2703">
        <f t="shared" si="171"/>
        <v>63</v>
      </c>
      <c r="T2703">
        <f>INDEX([1]IDEN_level_ids!$B:$B,MATCH(G2703,[1]IDEN_level_ids!$A:$A,0),1)</f>
        <v>1160</v>
      </c>
      <c r="U2703">
        <f>INDEX([1]IDEN_level_ids!$B:$B,MATCH(H2703,[1]IDEN_level_ids!$A:$A,0),1)</f>
        <v>1039</v>
      </c>
    </row>
    <row r="2704" spans="1:21" hidden="1" x14ac:dyDescent="0.25">
      <c r="A2704">
        <v>39660.181400000001</v>
      </c>
      <c r="B2704">
        <v>2521.4205999999999</v>
      </c>
      <c r="C2704">
        <v>16</v>
      </c>
      <c r="D2704" t="s">
        <v>659</v>
      </c>
      <c r="F2704">
        <v>1974</v>
      </c>
      <c r="G2704" s="1" t="s">
        <v>431</v>
      </c>
      <c r="H2704" s="1" t="s">
        <v>370</v>
      </c>
      <c r="I2704">
        <v>-0.28649999999999998</v>
      </c>
      <c r="J2704">
        <v>39660.211600000002</v>
      </c>
      <c r="K2704">
        <v>1.92E-3</v>
      </c>
      <c r="L2704">
        <v>2.9299999999999999E-3</v>
      </c>
      <c r="M2704">
        <v>4.6100000000000002E-2</v>
      </c>
      <c r="N2704">
        <v>0.2984</v>
      </c>
      <c r="O2704">
        <v>4.1700000000000001E-3</v>
      </c>
      <c r="P2704" s="3">
        <f t="shared" si="168"/>
        <v>2521.4206408042296</v>
      </c>
      <c r="Q2704" s="3">
        <f t="shared" si="169"/>
        <v>1.9199822763766861E-3</v>
      </c>
      <c r="R2704" s="3">
        <f t="shared" si="170"/>
        <v>2.9299999999999999E-3</v>
      </c>
      <c r="S2704">
        <f t="shared" si="171"/>
        <v>63</v>
      </c>
      <c r="T2704">
        <f>INDEX([1]IDEN_level_ids!$B:$B,MATCH(G2704,[1]IDEN_level_ids!$A:$A,0),1)</f>
        <v>1062</v>
      </c>
      <c r="U2704">
        <f>INDEX([1]IDEN_level_ids!$B:$B,MATCH(H2704,[1]IDEN_level_ids!$A:$A,0),1)</f>
        <v>873</v>
      </c>
    </row>
    <row r="2705" spans="1:21" hidden="1" x14ac:dyDescent="0.25">
      <c r="A2705">
        <v>39659.099800000004</v>
      </c>
      <c r="B2705">
        <v>2521.4893999999999</v>
      </c>
      <c r="C2705">
        <v>16</v>
      </c>
      <c r="D2705" t="s">
        <v>659</v>
      </c>
      <c r="F2705">
        <v>1974</v>
      </c>
      <c r="G2705" s="1" t="s">
        <v>301</v>
      </c>
      <c r="H2705" s="1" t="s">
        <v>467</v>
      </c>
      <c r="I2705">
        <v>-0.97850000000000004</v>
      </c>
      <c r="J2705">
        <v>39659.094599999997</v>
      </c>
      <c r="K2705">
        <v>-3.3E-4</v>
      </c>
      <c r="L2705">
        <v>2.9299999999999999E-3</v>
      </c>
      <c r="M2705">
        <v>4.6100000000000002E-2</v>
      </c>
      <c r="N2705">
        <v>0.2082</v>
      </c>
      <c r="O2705">
        <v>3.7000000000000002E-3</v>
      </c>
      <c r="P2705" s="3">
        <f t="shared" si="168"/>
        <v>2521.4894060706843</v>
      </c>
      <c r="Q2705" s="3">
        <f t="shared" si="169"/>
        <v>-3.3061130261557992E-4</v>
      </c>
      <c r="R2705" s="3">
        <f t="shared" si="170"/>
        <v>2.9299999999999999E-3</v>
      </c>
      <c r="S2705">
        <f t="shared" si="171"/>
        <v>63</v>
      </c>
      <c r="T2705">
        <f>INDEX([1]IDEN_level_ids!$B:$B,MATCH(G2705,[1]IDEN_level_ids!$A:$A,0),1)</f>
        <v>1154</v>
      </c>
      <c r="U2705">
        <f>INDEX([1]IDEN_level_ids!$B:$B,MATCH(H2705,[1]IDEN_level_ids!$A:$A,0),1)</f>
        <v>1025</v>
      </c>
    </row>
    <row r="2706" spans="1:21" hidden="1" x14ac:dyDescent="0.25">
      <c r="A2706">
        <v>39658.219499999999</v>
      </c>
      <c r="B2706">
        <v>2521.5454</v>
      </c>
      <c r="C2706">
        <v>16</v>
      </c>
      <c r="D2706" t="s">
        <v>659</v>
      </c>
      <c r="F2706">
        <v>1974</v>
      </c>
      <c r="G2706" s="1" t="s">
        <v>477</v>
      </c>
      <c r="H2706" s="1" t="s">
        <v>333</v>
      </c>
      <c r="I2706">
        <v>-0.32490000000000002</v>
      </c>
      <c r="J2706">
        <v>39658.258199999997</v>
      </c>
      <c r="K2706">
        <v>2.4599999999999999E-3</v>
      </c>
      <c r="L2706">
        <v>2.9299999999999999E-3</v>
      </c>
      <c r="M2706">
        <v>4.6100000000000002E-2</v>
      </c>
      <c r="N2706">
        <v>0.29709999999999998</v>
      </c>
      <c r="O2706">
        <v>4.1700000000000001E-3</v>
      </c>
      <c r="P2706" s="3">
        <f t="shared" si="168"/>
        <v>2521.5453759844163</v>
      </c>
      <c r="Q2706" s="3">
        <f t="shared" si="169"/>
        <v>2.4606175479675585E-3</v>
      </c>
      <c r="R2706" s="3">
        <f t="shared" si="170"/>
        <v>2.9299999999999999E-3</v>
      </c>
      <c r="S2706">
        <f t="shared" si="171"/>
        <v>63</v>
      </c>
      <c r="T2706">
        <f>INDEX([1]IDEN_level_ids!$B:$B,MATCH(G2706,[1]IDEN_level_ids!$A:$A,0),1)</f>
        <v>1045</v>
      </c>
      <c r="U2706">
        <f>INDEX([1]IDEN_level_ids!$B:$B,MATCH(H2706,[1]IDEN_level_ids!$A:$A,0),1)</f>
        <v>848</v>
      </c>
    </row>
    <row r="2707" spans="1:21" hidden="1" x14ac:dyDescent="0.25">
      <c r="A2707">
        <v>39654.539299999997</v>
      </c>
      <c r="B2707">
        <v>2521.7793999999999</v>
      </c>
      <c r="C2707">
        <v>16</v>
      </c>
      <c r="D2707" t="s">
        <v>659</v>
      </c>
      <c r="F2707">
        <v>1974</v>
      </c>
      <c r="G2707" s="1" t="s">
        <v>458</v>
      </c>
      <c r="H2707" s="1" t="s">
        <v>344</v>
      </c>
      <c r="I2707">
        <v>0</v>
      </c>
      <c r="J2707">
        <v>39654.476000000002</v>
      </c>
      <c r="K2707">
        <v>-4.0200000000000001E-3</v>
      </c>
      <c r="L2707">
        <v>2.9299999999999999E-3</v>
      </c>
      <c r="M2707">
        <v>4.6100000000000002E-2</v>
      </c>
      <c r="N2707">
        <v>0.28989999999999999</v>
      </c>
      <c r="O2707">
        <v>4.13E-3</v>
      </c>
      <c r="P2707" s="3">
        <f t="shared" si="168"/>
        <v>2521.7793918488419</v>
      </c>
      <c r="Q2707" s="3">
        <f t="shared" si="169"/>
        <v>-4.0254884593196039E-3</v>
      </c>
      <c r="R2707" s="3">
        <f t="shared" si="170"/>
        <v>2.9299999999999999E-3</v>
      </c>
      <c r="S2707">
        <f t="shared" si="171"/>
        <v>63</v>
      </c>
      <c r="T2707">
        <f>INDEX([1]IDEN_level_ids!$B:$B,MATCH(G2707,[1]IDEN_level_ids!$A:$A,0),1)</f>
        <v>1064</v>
      </c>
      <c r="U2707">
        <f>INDEX([1]IDEN_level_ids!$B:$B,MATCH(H2707,[1]IDEN_level_ids!$A:$A,0),1)</f>
        <v>872</v>
      </c>
    </row>
    <row r="2708" spans="1:21" hidden="1" x14ac:dyDescent="0.25">
      <c r="A2708">
        <v>39644.220699999998</v>
      </c>
      <c r="B2708">
        <v>2522.4358000000002</v>
      </c>
      <c r="C2708">
        <v>16</v>
      </c>
      <c r="D2708" t="s">
        <v>659</v>
      </c>
      <c r="F2708">
        <v>1974</v>
      </c>
      <c r="G2708" s="1" t="s">
        <v>438</v>
      </c>
      <c r="H2708" s="1" t="s">
        <v>336</v>
      </c>
      <c r="I2708">
        <v>0</v>
      </c>
      <c r="J2708">
        <v>39644.234100000001</v>
      </c>
      <c r="K2708">
        <v>8.4999999999999995E-4</v>
      </c>
      <c r="L2708">
        <v>2.9299999999999999E-3</v>
      </c>
      <c r="M2708">
        <v>4.6100000000000002E-2</v>
      </c>
      <c r="N2708">
        <v>0.2505</v>
      </c>
      <c r="O2708">
        <v>3.9100000000000003E-3</v>
      </c>
      <c r="P2708" s="3">
        <f t="shared" si="168"/>
        <v>2522.4357607311981</v>
      </c>
      <c r="Q2708" s="3">
        <f t="shared" si="169"/>
        <v>8.5259912248147884E-4</v>
      </c>
      <c r="R2708" s="3">
        <f t="shared" si="170"/>
        <v>2.9299999999999999E-3</v>
      </c>
      <c r="S2708">
        <f t="shared" si="171"/>
        <v>63</v>
      </c>
      <c r="T2708">
        <f>INDEX([1]IDEN_level_ids!$B:$B,MATCH(G2708,[1]IDEN_level_ids!$A:$A,0),1)</f>
        <v>1051</v>
      </c>
      <c r="U2708">
        <f>INDEX([1]IDEN_level_ids!$B:$B,MATCH(H2708,[1]IDEN_level_ids!$A:$A,0),1)</f>
        <v>861</v>
      </c>
    </row>
    <row r="2709" spans="1:21" hidden="1" x14ac:dyDescent="0.25">
      <c r="A2709">
        <v>39624.861299999997</v>
      </c>
      <c r="B2709">
        <v>2523.6680999999999</v>
      </c>
      <c r="C2709">
        <v>16</v>
      </c>
      <c r="D2709" t="s">
        <v>659</v>
      </c>
      <c r="F2709">
        <v>1974</v>
      </c>
      <c r="G2709" s="1" t="s">
        <v>475</v>
      </c>
      <c r="H2709" s="1" t="s">
        <v>332</v>
      </c>
      <c r="I2709">
        <v>-0.18990000000000001</v>
      </c>
      <c r="J2709">
        <v>39624.814100000003</v>
      </c>
      <c r="K2709">
        <v>-3.0000000000000001E-3</v>
      </c>
      <c r="L2709">
        <v>2.9299999999999999E-3</v>
      </c>
      <c r="M2709">
        <v>4.6100000000000002E-2</v>
      </c>
      <c r="N2709">
        <v>0.30499999999999999</v>
      </c>
      <c r="O2709">
        <v>4.2199999999999998E-3</v>
      </c>
      <c r="P2709" s="3">
        <f t="shared" si="168"/>
        <v>2523.6681396282897</v>
      </c>
      <c r="Q2709" s="3">
        <f t="shared" si="169"/>
        <v>-3.0061247953199199E-3</v>
      </c>
      <c r="R2709" s="3">
        <f t="shared" si="170"/>
        <v>2.9299999999999999E-3</v>
      </c>
      <c r="S2709">
        <f t="shared" si="171"/>
        <v>63</v>
      </c>
      <c r="T2709">
        <f>INDEX([1]IDEN_level_ids!$B:$B,MATCH(G2709,[1]IDEN_level_ids!$A:$A,0),1)</f>
        <v>1030</v>
      </c>
      <c r="U2709">
        <f>INDEX([1]IDEN_level_ids!$B:$B,MATCH(H2709,[1]IDEN_level_ids!$A:$A,0),1)</f>
        <v>828</v>
      </c>
    </row>
    <row r="2710" spans="1:21" hidden="1" x14ac:dyDescent="0.25">
      <c r="A2710">
        <v>39622.130599999997</v>
      </c>
      <c r="B2710">
        <v>2523.8420999999998</v>
      </c>
      <c r="C2710">
        <v>16</v>
      </c>
      <c r="D2710" t="s">
        <v>659</v>
      </c>
      <c r="F2710">
        <v>1974</v>
      </c>
      <c r="G2710" s="1" t="s">
        <v>580</v>
      </c>
      <c r="H2710" s="1" t="s">
        <v>658</v>
      </c>
      <c r="I2710">
        <v>-0.20710000000000001</v>
      </c>
      <c r="J2710">
        <v>39622.0746</v>
      </c>
      <c r="K2710">
        <v>-3.5599999999999998E-3</v>
      </c>
      <c r="L2710">
        <v>2.9299999999999999E-3</v>
      </c>
      <c r="M2710">
        <v>4.6100000000000002E-2</v>
      </c>
      <c r="N2710">
        <v>0.39190000000000003</v>
      </c>
      <c r="O2710">
        <v>4.8300000000000001E-3</v>
      </c>
      <c r="P2710" s="3">
        <f t="shared" si="168"/>
        <v>2523.8420671906019</v>
      </c>
      <c r="Q2710" s="3">
        <f t="shared" si="169"/>
        <v>-3.56708115850779E-3</v>
      </c>
      <c r="R2710" s="3">
        <f t="shared" si="170"/>
        <v>2.9299999999999999E-3</v>
      </c>
      <c r="S2710">
        <f t="shared" si="171"/>
        <v>63</v>
      </c>
      <c r="T2710">
        <f>INDEX([1]IDEN_level_ids!$B:$B,MATCH(G2710,[1]IDEN_level_ids!$A:$A,0),1)</f>
        <v>1001</v>
      </c>
      <c r="U2710">
        <f>INDEX([1]IDEN_level_ids!$B:$B,MATCH(H2710,[1]IDEN_level_ids!$A:$A,0),1)</f>
        <v>799</v>
      </c>
    </row>
    <row r="2711" spans="1:21" hidden="1" x14ac:dyDescent="0.25">
      <c r="A2711">
        <v>39611.110500000003</v>
      </c>
      <c r="B2711">
        <v>2524.5441999999998</v>
      </c>
      <c r="C2711">
        <v>16</v>
      </c>
      <c r="D2711" t="s">
        <v>659</v>
      </c>
      <c r="E2711" t="s">
        <v>427</v>
      </c>
      <c r="F2711">
        <v>1974</v>
      </c>
      <c r="G2711" s="1" t="s">
        <v>141</v>
      </c>
      <c r="H2711" s="1" t="s">
        <v>541</v>
      </c>
      <c r="I2711">
        <v>0</v>
      </c>
      <c r="J2711">
        <v>39611.064100000003</v>
      </c>
      <c r="K2711">
        <v>-2.9499999999999999E-3</v>
      </c>
      <c r="L2711">
        <v>3.1099999999999999E-3</v>
      </c>
      <c r="M2711">
        <v>4.87E-2</v>
      </c>
      <c r="N2711">
        <v>0.1361</v>
      </c>
      <c r="O2711">
        <v>3.5999999999999999E-3</v>
      </c>
      <c r="P2711" s="3">
        <f t="shared" si="168"/>
        <v>2524.5442184712292</v>
      </c>
      <c r="Q2711" s="3">
        <f t="shared" si="169"/>
        <v>-2.9572255730272445E-3</v>
      </c>
      <c r="R2711" s="3">
        <f t="shared" si="170"/>
        <v>3.1099999999999999E-3</v>
      </c>
      <c r="S2711">
        <f t="shared" si="171"/>
        <v>63</v>
      </c>
      <c r="T2711">
        <f>INDEX([1]IDEN_level_ids!$B:$B,MATCH(G2711,[1]IDEN_level_ids!$A:$A,0),1)</f>
        <v>1155</v>
      </c>
      <c r="U2711">
        <f>INDEX([1]IDEN_level_ids!$B:$B,MATCH(H2711,[1]IDEN_level_ids!$A:$A,0),1)</f>
        <v>1028</v>
      </c>
    </row>
    <row r="2712" spans="1:21" hidden="1" x14ac:dyDescent="0.25">
      <c r="A2712">
        <v>39601.210299999999</v>
      </c>
      <c r="B2712">
        <v>2525.1752999999999</v>
      </c>
      <c r="C2712">
        <v>16</v>
      </c>
      <c r="D2712" t="s">
        <v>663</v>
      </c>
      <c r="F2712">
        <v>1974</v>
      </c>
      <c r="G2712" s="1" t="s">
        <v>140</v>
      </c>
      <c r="H2712" s="1" t="s">
        <v>446</v>
      </c>
      <c r="I2712">
        <v>0.31669999999999998</v>
      </c>
      <c r="J2712">
        <v>39601.211799999997</v>
      </c>
      <c r="K2712">
        <v>9.0000000000000006E-5</v>
      </c>
      <c r="L2712">
        <v>2.9399999999999999E-3</v>
      </c>
      <c r="M2712">
        <v>4.6100000000000002E-2</v>
      </c>
      <c r="N2712">
        <v>0.1139</v>
      </c>
      <c r="O2712">
        <v>3.31E-3</v>
      </c>
      <c r="P2712" s="3">
        <f t="shared" si="168"/>
        <v>2525.1753479867762</v>
      </c>
      <c r="Q2712" s="3">
        <f t="shared" si="169"/>
        <v>9.5647654234198853E-5</v>
      </c>
      <c r="R2712" s="3">
        <f t="shared" si="170"/>
        <v>2.9399999999999999E-3</v>
      </c>
      <c r="S2712">
        <f t="shared" si="171"/>
        <v>64</v>
      </c>
      <c r="T2712">
        <f>INDEX([1]IDEN_level_ids!$B:$B,MATCH(G2712,[1]IDEN_level_ids!$A:$A,0),1)</f>
        <v>1198</v>
      </c>
      <c r="U2712">
        <f>INDEX([1]IDEN_level_ids!$B:$B,MATCH(H2712,[1]IDEN_level_ids!$A:$A,0),1)</f>
        <v>1079</v>
      </c>
    </row>
    <row r="2713" spans="1:21" hidden="1" x14ac:dyDescent="0.25">
      <c r="A2713">
        <v>39595.928699999997</v>
      </c>
      <c r="B2713">
        <v>2525.5122000000001</v>
      </c>
      <c r="C2713">
        <v>16</v>
      </c>
      <c r="D2713" t="s">
        <v>663</v>
      </c>
      <c r="F2713">
        <v>1974</v>
      </c>
      <c r="G2713" s="1" t="s">
        <v>285</v>
      </c>
      <c r="H2713" s="1" t="s">
        <v>570</v>
      </c>
      <c r="I2713">
        <v>0</v>
      </c>
      <c r="J2713">
        <v>39595.909299999999</v>
      </c>
      <c r="K2713">
        <v>-1.24E-3</v>
      </c>
      <c r="L2713">
        <v>2.9399999999999999E-3</v>
      </c>
      <c r="M2713">
        <v>4.6100000000000002E-2</v>
      </c>
      <c r="N2713">
        <v>0.1318</v>
      </c>
      <c r="O2713">
        <v>3.3800000000000002E-3</v>
      </c>
      <c r="P2713" s="3">
        <f t="shared" si="168"/>
        <v>2525.5121746898189</v>
      </c>
      <c r="Q2713" s="3">
        <f t="shared" si="169"/>
        <v>-1.2373736844892846E-3</v>
      </c>
      <c r="R2713" s="3">
        <f t="shared" si="170"/>
        <v>2.9399999999999999E-3</v>
      </c>
      <c r="S2713">
        <f t="shared" si="171"/>
        <v>64</v>
      </c>
      <c r="T2713">
        <f>INDEX([1]IDEN_level_ids!$B:$B,MATCH(G2713,[1]IDEN_level_ids!$A:$A,0),1)</f>
        <v>1150</v>
      </c>
      <c r="U2713">
        <f>INDEX([1]IDEN_level_ids!$B:$B,MATCH(H2713,[1]IDEN_level_ids!$A:$A,0),1)</f>
        <v>1015</v>
      </c>
    </row>
    <row r="2714" spans="1:21" hidden="1" x14ac:dyDescent="0.25">
      <c r="A2714">
        <v>39590.121200000001</v>
      </c>
      <c r="B2714">
        <v>2525.8825999999999</v>
      </c>
      <c r="C2714">
        <v>16</v>
      </c>
      <c r="D2714" t="s">
        <v>663</v>
      </c>
      <c r="E2714" t="s">
        <v>427</v>
      </c>
      <c r="F2714">
        <v>1974</v>
      </c>
      <c r="G2714" s="1" t="s">
        <v>446</v>
      </c>
      <c r="H2714" s="1" t="s">
        <v>143</v>
      </c>
      <c r="I2714">
        <v>-0.31669999999999998</v>
      </c>
      <c r="J2714">
        <v>39590.124799999998</v>
      </c>
      <c r="K2714">
        <v>2.3000000000000001E-4</v>
      </c>
      <c r="L2714">
        <v>3.1099999999999999E-3</v>
      </c>
      <c r="M2714">
        <v>4.87E-2</v>
      </c>
      <c r="N2714">
        <v>0.22559999999999999</v>
      </c>
      <c r="O2714">
        <v>4.0099999999999997E-3</v>
      </c>
      <c r="P2714" s="3">
        <f t="shared" si="168"/>
        <v>2525.8826436732402</v>
      </c>
      <c r="Q2714" s="3">
        <f t="shared" si="169"/>
        <v>2.296829716215143E-4</v>
      </c>
      <c r="R2714" s="3">
        <f t="shared" si="170"/>
        <v>3.1099999999999999E-3</v>
      </c>
      <c r="S2714">
        <f t="shared" si="171"/>
        <v>64</v>
      </c>
      <c r="T2714">
        <f>INDEX([1]IDEN_level_ids!$B:$B,MATCH(G2714,[1]IDEN_level_ids!$A:$A,0),1)</f>
        <v>1079</v>
      </c>
      <c r="U2714">
        <f>INDEX([1]IDEN_level_ids!$B:$B,MATCH(H2714,[1]IDEN_level_ids!$A:$A,0),1)</f>
        <v>890</v>
      </c>
    </row>
    <row r="2715" spans="1:21" hidden="1" x14ac:dyDescent="0.25">
      <c r="A2715">
        <v>39566.419500000004</v>
      </c>
      <c r="B2715">
        <v>2527.3957</v>
      </c>
      <c r="C2715">
        <v>16</v>
      </c>
      <c r="D2715" t="s">
        <v>663</v>
      </c>
      <c r="F2715">
        <v>1974</v>
      </c>
      <c r="G2715" s="1" t="s">
        <v>375</v>
      </c>
      <c r="H2715" s="1" t="s">
        <v>315</v>
      </c>
      <c r="I2715">
        <v>-0.28789999999999999</v>
      </c>
      <c r="J2715">
        <v>39566.391499999998</v>
      </c>
      <c r="K2715">
        <v>-1.7899999999999999E-3</v>
      </c>
      <c r="L2715">
        <v>2.9399999999999999E-3</v>
      </c>
      <c r="M2715">
        <v>4.6100000000000002E-2</v>
      </c>
      <c r="N2715">
        <v>0.18190000000000001</v>
      </c>
      <c r="O2715">
        <v>3.5999999999999999E-3</v>
      </c>
      <c r="P2715" s="3">
        <f t="shared" si="168"/>
        <v>2527.3957376911499</v>
      </c>
      <c r="Q2715" s="3">
        <f t="shared" si="169"/>
        <v>-1.7885654460769729E-3</v>
      </c>
      <c r="R2715" s="3">
        <f t="shared" si="170"/>
        <v>2.9399999999999999E-3</v>
      </c>
      <c r="S2715">
        <f t="shared" si="171"/>
        <v>64</v>
      </c>
      <c r="T2715">
        <f>INDEX([1]IDEN_level_ids!$B:$B,MATCH(G2715,[1]IDEN_level_ids!$A:$A,0),1)</f>
        <v>1065</v>
      </c>
      <c r="U2715">
        <f>INDEX([1]IDEN_level_ids!$B:$B,MATCH(H2715,[1]IDEN_level_ids!$A:$A,0),1)</f>
        <v>877</v>
      </c>
    </row>
    <row r="2716" spans="1:21" hidden="1" x14ac:dyDescent="0.25">
      <c r="A2716">
        <v>39545.851000000002</v>
      </c>
      <c r="B2716">
        <v>2528.7103000000002</v>
      </c>
      <c r="C2716">
        <v>16</v>
      </c>
      <c r="D2716" t="s">
        <v>663</v>
      </c>
      <c r="F2716">
        <v>1974</v>
      </c>
      <c r="G2716" s="1" t="s">
        <v>280</v>
      </c>
      <c r="H2716" s="1" t="s">
        <v>577</v>
      </c>
      <c r="I2716">
        <v>3.2599999999999997E-2</v>
      </c>
      <c r="J2716">
        <v>39545.838000000003</v>
      </c>
      <c r="K2716">
        <v>-8.3000000000000001E-4</v>
      </c>
      <c r="L2716">
        <v>2.9499999999999999E-3</v>
      </c>
      <c r="M2716">
        <v>4.6100000000000002E-2</v>
      </c>
      <c r="N2716">
        <v>0.16600000000000001</v>
      </c>
      <c r="O2716">
        <v>3.5300000000000002E-3</v>
      </c>
      <c r="P2716" s="3">
        <f t="shared" si="168"/>
        <v>2528.7102811366985</v>
      </c>
      <c r="Q2716" s="3">
        <f t="shared" si="169"/>
        <v>-8.3126911249564728E-4</v>
      </c>
      <c r="R2716" s="3">
        <f t="shared" si="170"/>
        <v>2.9499999999999999E-3</v>
      </c>
      <c r="S2716">
        <f t="shared" si="171"/>
        <v>64</v>
      </c>
      <c r="T2716">
        <f>INDEX([1]IDEN_level_ids!$B:$B,MATCH(G2716,[1]IDEN_level_ids!$A:$A,0),1)</f>
        <v>1130</v>
      </c>
      <c r="U2716">
        <f>INDEX([1]IDEN_level_ids!$B:$B,MATCH(H2716,[1]IDEN_level_ids!$A:$A,0),1)</f>
        <v>985</v>
      </c>
    </row>
    <row r="2717" spans="1:21" hidden="1" x14ac:dyDescent="0.25">
      <c r="A2717">
        <v>39542.581299999998</v>
      </c>
      <c r="B2717">
        <v>2528.9194000000002</v>
      </c>
      <c r="C2717">
        <v>16</v>
      </c>
      <c r="D2717" t="s">
        <v>663</v>
      </c>
      <c r="F2717">
        <v>1974</v>
      </c>
      <c r="G2717" s="1" t="s">
        <v>117</v>
      </c>
      <c r="H2717" s="1" t="s">
        <v>468</v>
      </c>
      <c r="I2717">
        <v>0.16639999999999999</v>
      </c>
      <c r="J2717">
        <v>39542.593500000003</v>
      </c>
      <c r="K2717">
        <v>7.7999999999999999E-4</v>
      </c>
      <c r="L2717">
        <v>2.9499999999999999E-3</v>
      </c>
      <c r="M2717">
        <v>4.6100000000000002E-2</v>
      </c>
      <c r="N2717">
        <v>0.11310000000000001</v>
      </c>
      <c r="O2717">
        <v>3.32E-3</v>
      </c>
      <c r="P2717" s="3">
        <f t="shared" si="168"/>
        <v>2528.9193753266686</v>
      </c>
      <c r="Q2717" s="3">
        <f t="shared" si="169"/>
        <v>7.802426107446081E-4</v>
      </c>
      <c r="R2717" s="3">
        <f t="shared" si="170"/>
        <v>2.9499999999999999E-3</v>
      </c>
      <c r="S2717">
        <f t="shared" si="171"/>
        <v>64</v>
      </c>
      <c r="T2717">
        <f>INDEX([1]IDEN_level_ids!$B:$B,MATCH(G2717,[1]IDEN_level_ids!$A:$A,0),1)</f>
        <v>1162</v>
      </c>
      <c r="U2717">
        <f>INDEX([1]IDEN_level_ids!$B:$B,MATCH(H2717,[1]IDEN_level_ids!$A:$A,0),1)</f>
        <v>1044</v>
      </c>
    </row>
    <row r="2718" spans="1:21" hidden="1" x14ac:dyDescent="0.25">
      <c r="A2718">
        <v>39539.910100000001</v>
      </c>
      <c r="B2718">
        <v>2529.0902000000001</v>
      </c>
      <c r="C2718">
        <v>16</v>
      </c>
      <c r="D2718" t="s">
        <v>663</v>
      </c>
      <c r="F2718">
        <v>1974</v>
      </c>
      <c r="G2718" s="1" t="s">
        <v>375</v>
      </c>
      <c r="H2718" s="1" t="s">
        <v>340</v>
      </c>
      <c r="I2718">
        <v>-0.28789999999999999</v>
      </c>
      <c r="J2718">
        <v>39539.877500000002</v>
      </c>
      <c r="K2718">
        <v>-2.0799999999999998E-3</v>
      </c>
      <c r="L2718">
        <v>2.9499999999999999E-3</v>
      </c>
      <c r="M2718">
        <v>4.6100000000000002E-2</v>
      </c>
      <c r="N2718">
        <v>0.24840000000000001</v>
      </c>
      <c r="O2718">
        <v>3.9199999999999999E-3</v>
      </c>
      <c r="P2718" s="3">
        <f t="shared" si="168"/>
        <v>2529.0902216795885</v>
      </c>
      <c r="Q2718" s="3">
        <f t="shared" si="169"/>
        <v>-2.0851946551374567E-3</v>
      </c>
      <c r="R2718" s="3">
        <f t="shared" si="170"/>
        <v>2.9499999999999999E-3</v>
      </c>
      <c r="S2718">
        <f t="shared" si="171"/>
        <v>64</v>
      </c>
      <c r="T2718">
        <f>INDEX([1]IDEN_level_ids!$B:$B,MATCH(G2718,[1]IDEN_level_ids!$A:$A,0),1)</f>
        <v>1065</v>
      </c>
      <c r="U2718">
        <f>INDEX([1]IDEN_level_ids!$B:$B,MATCH(H2718,[1]IDEN_level_ids!$A:$A,0),1)</f>
        <v>875</v>
      </c>
    </row>
    <row r="2719" spans="1:21" hidden="1" x14ac:dyDescent="0.25">
      <c r="A2719">
        <v>39533.731299999999</v>
      </c>
      <c r="B2719">
        <v>2529.4854999999998</v>
      </c>
      <c r="C2719">
        <v>16</v>
      </c>
      <c r="D2719" t="s">
        <v>663</v>
      </c>
      <c r="F2719">
        <v>1974</v>
      </c>
      <c r="G2719" s="1" t="s">
        <v>295</v>
      </c>
      <c r="H2719" s="1" t="s">
        <v>536</v>
      </c>
      <c r="I2719">
        <v>0</v>
      </c>
      <c r="J2719">
        <v>39533.813300000002</v>
      </c>
      <c r="K2719">
        <v>5.2500000000000003E-3</v>
      </c>
      <c r="L2719">
        <v>2.9499999999999999E-3</v>
      </c>
      <c r="M2719">
        <v>4.6100000000000002E-2</v>
      </c>
      <c r="N2719">
        <v>9.8400000000000001E-2</v>
      </c>
      <c r="O2719">
        <v>3.2699999999999999E-3</v>
      </c>
      <c r="P2719" s="3">
        <f t="shared" si="168"/>
        <v>2529.4854978690059</v>
      </c>
      <c r="Q2719" s="3">
        <f t="shared" si="169"/>
        <v>5.2465925627984689E-3</v>
      </c>
      <c r="R2719" s="3">
        <f t="shared" si="170"/>
        <v>2.9499999999999999E-3</v>
      </c>
      <c r="S2719">
        <f t="shared" si="171"/>
        <v>64</v>
      </c>
      <c r="T2719">
        <f>INDEX([1]IDEN_level_ids!$B:$B,MATCH(G2719,[1]IDEN_level_ids!$A:$A,0),1)</f>
        <v>1152</v>
      </c>
      <c r="U2719">
        <f>INDEX([1]IDEN_level_ids!$B:$B,MATCH(H2719,[1]IDEN_level_ids!$A:$A,0),1)</f>
        <v>1021</v>
      </c>
    </row>
    <row r="2720" spans="1:21" hidden="1" x14ac:dyDescent="0.25">
      <c r="A2720">
        <v>39533.280299999999</v>
      </c>
      <c r="B2720">
        <v>2529.5144</v>
      </c>
      <c r="C2720">
        <v>16</v>
      </c>
      <c r="D2720" t="s">
        <v>663</v>
      </c>
      <c r="F2720">
        <v>1974</v>
      </c>
      <c r="G2720" s="1" t="s">
        <v>452</v>
      </c>
      <c r="H2720" s="1" t="s">
        <v>634</v>
      </c>
      <c r="I2720">
        <v>-0.25619999999999998</v>
      </c>
      <c r="J2720">
        <v>39533.2255</v>
      </c>
      <c r="K2720">
        <v>-3.5100000000000001E-3</v>
      </c>
      <c r="L2720">
        <v>2.9499999999999999E-3</v>
      </c>
      <c r="M2720">
        <v>4.6100000000000002E-2</v>
      </c>
      <c r="N2720">
        <v>0.27129999999999999</v>
      </c>
      <c r="O2720">
        <v>4.0400000000000002E-3</v>
      </c>
      <c r="P2720" s="3">
        <f t="shared" si="168"/>
        <v>2529.5143545171486</v>
      </c>
      <c r="Q2720" s="3">
        <f t="shared" si="169"/>
        <v>-3.5063515529145661E-3</v>
      </c>
      <c r="R2720" s="3">
        <f t="shared" si="170"/>
        <v>2.9499999999999999E-3</v>
      </c>
      <c r="S2720">
        <f t="shared" si="171"/>
        <v>64</v>
      </c>
      <c r="T2720">
        <f>INDEX([1]IDEN_level_ids!$B:$B,MATCH(G2720,[1]IDEN_level_ids!$A:$A,0),1)</f>
        <v>1033</v>
      </c>
      <c r="U2720">
        <f>INDEX([1]IDEN_level_ids!$B:$B,MATCH(H2720,[1]IDEN_level_ids!$A:$A,0),1)</f>
        <v>838</v>
      </c>
    </row>
    <row r="2721" spans="1:21" hidden="1" x14ac:dyDescent="0.25">
      <c r="A2721">
        <v>39522.7189</v>
      </c>
      <c r="B2721">
        <v>2530.1903000000002</v>
      </c>
      <c r="C2721">
        <v>16</v>
      </c>
      <c r="D2721" t="s">
        <v>663</v>
      </c>
      <c r="F2721">
        <v>1974</v>
      </c>
      <c r="G2721" s="1" t="s">
        <v>541</v>
      </c>
      <c r="H2721" s="1" t="s">
        <v>322</v>
      </c>
      <c r="I2721">
        <v>0</v>
      </c>
      <c r="J2721">
        <v>39522.686000000002</v>
      </c>
      <c r="K2721">
        <v>-2.1099999999999999E-3</v>
      </c>
      <c r="L2721">
        <v>2.9499999999999999E-3</v>
      </c>
      <c r="M2721">
        <v>4.6100000000000002E-2</v>
      </c>
      <c r="N2721">
        <v>0.28460000000000002</v>
      </c>
      <c r="O2721">
        <v>4.1200000000000004E-3</v>
      </c>
      <c r="P2721" s="3">
        <f t="shared" si="168"/>
        <v>2530.1903002427293</v>
      </c>
      <c r="Q2721" s="3">
        <f t="shared" si="169"/>
        <v>-2.1062146656731784E-3</v>
      </c>
      <c r="R2721" s="3">
        <f t="shared" si="170"/>
        <v>2.9499999999999999E-3</v>
      </c>
      <c r="S2721">
        <f t="shared" si="171"/>
        <v>64</v>
      </c>
      <c r="T2721">
        <f>INDEX([1]IDEN_level_ids!$B:$B,MATCH(G2721,[1]IDEN_level_ids!$A:$A,0),1)</f>
        <v>1028</v>
      </c>
      <c r="U2721">
        <f>INDEX([1]IDEN_level_ids!$B:$B,MATCH(H2721,[1]IDEN_level_ids!$A:$A,0),1)</f>
        <v>830</v>
      </c>
    </row>
    <row r="2722" spans="1:21" hidden="1" x14ac:dyDescent="0.25">
      <c r="A2722">
        <v>39518.090600000003</v>
      </c>
      <c r="B2722">
        <v>2530.4866000000002</v>
      </c>
      <c r="C2722">
        <v>16</v>
      </c>
      <c r="D2722" t="s">
        <v>663</v>
      </c>
      <c r="F2722">
        <v>1974</v>
      </c>
      <c r="G2722" s="1" t="s">
        <v>451</v>
      </c>
      <c r="H2722" s="1" t="s">
        <v>315</v>
      </c>
      <c r="I2722">
        <v>-0.38469999999999999</v>
      </c>
      <c r="J2722">
        <v>39518.1662</v>
      </c>
      <c r="K2722">
        <v>4.8399999999999997E-3</v>
      </c>
      <c r="L2722">
        <v>2.9499999999999999E-3</v>
      </c>
      <c r="M2722">
        <v>4.6100000000000002E-2</v>
      </c>
      <c r="N2722">
        <v>0.18129999999999999</v>
      </c>
      <c r="O2722">
        <v>3.5999999999999999E-3</v>
      </c>
      <c r="P2722" s="3">
        <f t="shared" si="168"/>
        <v>2530.4866323678098</v>
      </c>
      <c r="Q2722" s="3">
        <f t="shared" si="169"/>
        <v>4.8409328619527514E-3</v>
      </c>
      <c r="R2722" s="3">
        <f t="shared" si="170"/>
        <v>2.9499999999999999E-3</v>
      </c>
      <c r="S2722">
        <f t="shared" si="171"/>
        <v>64</v>
      </c>
      <c r="T2722">
        <f>INDEX([1]IDEN_level_ids!$B:$B,MATCH(G2722,[1]IDEN_level_ids!$A:$A,0),1)</f>
        <v>1066</v>
      </c>
      <c r="U2722">
        <f>INDEX([1]IDEN_level_ids!$B:$B,MATCH(H2722,[1]IDEN_level_ids!$A:$A,0),1)</f>
        <v>877</v>
      </c>
    </row>
    <row r="2723" spans="1:21" hidden="1" x14ac:dyDescent="0.25">
      <c r="A2723">
        <v>39506.569300000003</v>
      </c>
      <c r="B2723">
        <v>2531.2246</v>
      </c>
      <c r="C2723">
        <v>16</v>
      </c>
      <c r="D2723" t="s">
        <v>663</v>
      </c>
      <c r="E2723" t="s">
        <v>427</v>
      </c>
      <c r="F2723">
        <v>1974</v>
      </c>
      <c r="G2723" s="1" t="s">
        <v>302</v>
      </c>
      <c r="H2723" s="1" t="s">
        <v>503</v>
      </c>
      <c r="I2723">
        <v>5.28E-2</v>
      </c>
      <c r="J2723">
        <v>39506.554300000003</v>
      </c>
      <c r="K2723">
        <v>-9.6000000000000002E-4</v>
      </c>
      <c r="L2723">
        <v>3.1199999999999999E-3</v>
      </c>
      <c r="M2723">
        <v>4.87E-2</v>
      </c>
      <c r="N2723">
        <v>0.21879999999999999</v>
      </c>
      <c r="O2723">
        <v>4.0000000000000001E-3</v>
      </c>
      <c r="P2723" s="3">
        <f t="shared" si="168"/>
        <v>2531.2245981328474</v>
      </c>
      <c r="Q2723" s="3">
        <f t="shared" si="169"/>
        <v>-9.6106505998250213E-4</v>
      </c>
      <c r="R2723" s="3">
        <f t="shared" si="170"/>
        <v>3.1199999999999999E-3</v>
      </c>
      <c r="S2723">
        <f t="shared" si="171"/>
        <v>64</v>
      </c>
      <c r="T2723">
        <f>INDEX([1]IDEN_level_ids!$B:$B,MATCH(G2723,[1]IDEN_level_ids!$A:$A,0),1)</f>
        <v>1100</v>
      </c>
      <c r="U2723">
        <f>INDEX([1]IDEN_level_ids!$B:$B,MATCH(H2723,[1]IDEN_level_ids!$A:$A,0),1)</f>
        <v>943</v>
      </c>
    </row>
    <row r="2724" spans="1:21" hidden="1" x14ac:dyDescent="0.25">
      <c r="A2724">
        <v>39503.588799999998</v>
      </c>
      <c r="B2724">
        <v>2531.4155999999998</v>
      </c>
      <c r="C2724">
        <v>16</v>
      </c>
      <c r="D2724" t="s">
        <v>663</v>
      </c>
      <c r="F2724">
        <v>1974</v>
      </c>
      <c r="G2724" s="1" t="s">
        <v>84</v>
      </c>
      <c r="H2724" s="1" t="s">
        <v>396</v>
      </c>
      <c r="I2724">
        <v>0.42980000000000002</v>
      </c>
      <c r="J2724">
        <v>39503.619299999998</v>
      </c>
      <c r="K2724">
        <v>1.9499999999999999E-3</v>
      </c>
      <c r="L2724">
        <v>2.9499999999999999E-3</v>
      </c>
      <c r="M2724">
        <v>4.6100000000000002E-2</v>
      </c>
      <c r="N2724">
        <v>0.1343</v>
      </c>
      <c r="O2724">
        <v>3.4099999999999998E-3</v>
      </c>
      <c r="P2724" s="3">
        <f t="shared" si="168"/>
        <v>2531.4155760957092</v>
      </c>
      <c r="Q2724" s="3">
        <f t="shared" si="169"/>
        <v>1.9544582605703908E-3</v>
      </c>
      <c r="R2724" s="3">
        <f t="shared" si="170"/>
        <v>2.9499999999999999E-3</v>
      </c>
      <c r="S2724">
        <f t="shared" si="171"/>
        <v>64</v>
      </c>
      <c r="T2724">
        <f>INDEX([1]IDEN_level_ids!$B:$B,MATCH(G2724,[1]IDEN_level_ids!$A:$A,0),1)</f>
        <v>1191</v>
      </c>
      <c r="U2724">
        <f>INDEX([1]IDEN_level_ids!$B:$B,MATCH(H2724,[1]IDEN_level_ids!$A:$A,0),1)</f>
        <v>1072</v>
      </c>
    </row>
    <row r="2725" spans="1:21" hidden="1" x14ac:dyDescent="0.25">
      <c r="A2725">
        <v>39498.700299999997</v>
      </c>
      <c r="B2725">
        <v>2531.7289000000001</v>
      </c>
      <c r="C2725">
        <v>16</v>
      </c>
      <c r="D2725" t="s">
        <v>663</v>
      </c>
      <c r="F2725">
        <v>1974</v>
      </c>
      <c r="G2725" s="1" t="s">
        <v>587</v>
      </c>
      <c r="H2725" s="1" t="s">
        <v>623</v>
      </c>
      <c r="I2725">
        <v>-0.13569999999999999</v>
      </c>
      <c r="J2725">
        <v>39498.636100000003</v>
      </c>
      <c r="K2725">
        <v>-4.1099999999999999E-3</v>
      </c>
      <c r="L2725">
        <v>2.9499999999999999E-3</v>
      </c>
      <c r="M2725">
        <v>4.6100000000000002E-2</v>
      </c>
      <c r="N2725">
        <v>0.21609999999999999</v>
      </c>
      <c r="O2725">
        <v>3.7699999999999999E-3</v>
      </c>
      <c r="P2725" s="3">
        <f t="shared" si="168"/>
        <v>2531.728873114339</v>
      </c>
      <c r="Q2725" s="3">
        <f t="shared" si="169"/>
        <v>-4.115002685921354E-3</v>
      </c>
      <c r="R2725" s="3">
        <f t="shared" si="170"/>
        <v>2.9499999999999999E-3</v>
      </c>
      <c r="S2725">
        <f t="shared" si="171"/>
        <v>64</v>
      </c>
      <c r="T2725">
        <f>INDEX([1]IDEN_level_ids!$B:$B,MATCH(G2725,[1]IDEN_level_ids!$A:$A,0),1)</f>
        <v>1035</v>
      </c>
      <c r="U2725">
        <f>INDEX([1]IDEN_level_ids!$B:$B,MATCH(H2725,[1]IDEN_level_ids!$A:$A,0),1)</f>
        <v>842</v>
      </c>
    </row>
    <row r="2726" spans="1:21" hidden="1" x14ac:dyDescent="0.25">
      <c r="A2726">
        <v>39493.1302</v>
      </c>
      <c r="B2726">
        <v>2532.0859</v>
      </c>
      <c r="C2726">
        <v>16</v>
      </c>
      <c r="D2726" t="s">
        <v>663</v>
      </c>
      <c r="E2726" t="s">
        <v>427</v>
      </c>
      <c r="F2726">
        <v>1974</v>
      </c>
      <c r="G2726" s="1" t="s">
        <v>76</v>
      </c>
      <c r="H2726" s="1" t="s">
        <v>398</v>
      </c>
      <c r="I2726">
        <v>0.31929999999999997</v>
      </c>
      <c r="J2726">
        <v>39493.113299999997</v>
      </c>
      <c r="K2726">
        <v>-1.08E-3</v>
      </c>
      <c r="L2726">
        <v>3.1199999999999999E-3</v>
      </c>
      <c r="M2726">
        <v>4.87E-2</v>
      </c>
      <c r="N2726">
        <v>9.8799999999999999E-2</v>
      </c>
      <c r="O2726">
        <v>3.47E-3</v>
      </c>
      <c r="P2726" s="3">
        <f t="shared" si="168"/>
        <v>2532.0859474440949</v>
      </c>
      <c r="Q2726" s="3">
        <f t="shared" si="169"/>
        <v>-1.0835370762833918E-3</v>
      </c>
      <c r="R2726" s="3">
        <f t="shared" si="170"/>
        <v>3.1199999999999999E-3</v>
      </c>
      <c r="S2726">
        <f t="shared" si="171"/>
        <v>64</v>
      </c>
      <c r="T2726">
        <f>INDEX([1]IDEN_level_ids!$B:$B,MATCH(G2726,[1]IDEN_level_ids!$A:$A,0),1)</f>
        <v>1194</v>
      </c>
      <c r="U2726">
        <f>INDEX([1]IDEN_level_ids!$B:$B,MATCH(H2726,[1]IDEN_level_ids!$A:$A,0),1)</f>
        <v>1075</v>
      </c>
    </row>
    <row r="2727" spans="1:21" hidden="1" x14ac:dyDescent="0.25">
      <c r="A2727">
        <v>39483.770700000001</v>
      </c>
      <c r="B2727">
        <v>2532.6862000000001</v>
      </c>
      <c r="C2727">
        <v>16</v>
      </c>
      <c r="D2727" t="s">
        <v>663</v>
      </c>
      <c r="F2727">
        <v>1974</v>
      </c>
      <c r="G2727" s="1" t="s">
        <v>469</v>
      </c>
      <c r="H2727" s="1" t="s">
        <v>121</v>
      </c>
      <c r="I2727">
        <v>-0.36720000000000003</v>
      </c>
      <c r="J2727">
        <v>39483.761599999998</v>
      </c>
      <c r="K2727">
        <v>-5.9000000000000003E-4</v>
      </c>
      <c r="L2727">
        <v>2.9499999999999999E-3</v>
      </c>
      <c r="M2727">
        <v>4.6100000000000002E-2</v>
      </c>
      <c r="N2727">
        <v>0.1837</v>
      </c>
      <c r="O2727">
        <v>3.62E-3</v>
      </c>
      <c r="P2727" s="3">
        <f t="shared" si="168"/>
        <v>2532.6861702192996</v>
      </c>
      <c r="Q2727" s="3">
        <f t="shared" si="169"/>
        <v>-5.8371956538394443E-4</v>
      </c>
      <c r="R2727" s="3">
        <f t="shared" si="170"/>
        <v>2.9499999999999999E-3</v>
      </c>
      <c r="S2727">
        <f t="shared" si="171"/>
        <v>64</v>
      </c>
      <c r="T2727">
        <f>INDEX([1]IDEN_level_ids!$B:$B,MATCH(G2727,[1]IDEN_level_ids!$A:$A,0),1)</f>
        <v>1048</v>
      </c>
      <c r="U2727">
        <f>INDEX([1]IDEN_level_ids!$B:$B,MATCH(H2727,[1]IDEN_level_ids!$A:$A,0),1)</f>
        <v>860</v>
      </c>
    </row>
    <row r="2728" spans="1:21" hidden="1" x14ac:dyDescent="0.25">
      <c r="A2728">
        <v>39480.760999999999</v>
      </c>
      <c r="B2728">
        <v>2532.8791999999999</v>
      </c>
      <c r="C2728">
        <v>16</v>
      </c>
      <c r="D2728" t="s">
        <v>663</v>
      </c>
      <c r="F2728">
        <v>1974</v>
      </c>
      <c r="G2728" s="1" t="s">
        <v>578</v>
      </c>
      <c r="H2728" s="1" t="s">
        <v>625</v>
      </c>
      <c r="I2728">
        <v>-0.25619999999999998</v>
      </c>
      <c r="J2728">
        <v>39480.786599999999</v>
      </c>
      <c r="K2728">
        <v>1.65E-3</v>
      </c>
      <c r="L2728">
        <v>2.96E-3</v>
      </c>
      <c r="M2728">
        <v>4.6100000000000002E-2</v>
      </c>
      <c r="N2728">
        <v>0.38950000000000001</v>
      </c>
      <c r="O2728">
        <v>4.8399999999999997E-3</v>
      </c>
      <c r="P2728" s="3">
        <f t="shared" si="168"/>
        <v>2532.8792421199787</v>
      </c>
      <c r="Q2728" s="3">
        <f t="shared" si="169"/>
        <v>1.6423611127720505E-3</v>
      </c>
      <c r="R2728" s="3">
        <f t="shared" si="170"/>
        <v>2.96E-3</v>
      </c>
      <c r="S2728">
        <f t="shared" si="171"/>
        <v>64</v>
      </c>
      <c r="T2728">
        <f>INDEX([1]IDEN_level_ids!$B:$B,MATCH(G2728,[1]IDEN_level_ids!$A:$A,0),1)</f>
        <v>1003</v>
      </c>
      <c r="U2728">
        <f>INDEX([1]IDEN_level_ids!$B:$B,MATCH(H2728,[1]IDEN_level_ids!$A:$A,0),1)</f>
        <v>809</v>
      </c>
    </row>
    <row r="2729" spans="1:21" hidden="1" x14ac:dyDescent="0.25">
      <c r="A2729">
        <v>39472.379200000003</v>
      </c>
      <c r="B2729">
        <v>2533.4171000000001</v>
      </c>
      <c r="C2729">
        <v>16</v>
      </c>
      <c r="D2729" t="s">
        <v>663</v>
      </c>
      <c r="F2729">
        <v>1974</v>
      </c>
      <c r="G2729" s="1" t="s">
        <v>108</v>
      </c>
      <c r="H2729" s="1" t="s">
        <v>544</v>
      </c>
      <c r="I2729">
        <v>0</v>
      </c>
      <c r="J2729">
        <v>39472.342400000001</v>
      </c>
      <c r="K2729">
        <v>-2.3600000000000001E-3</v>
      </c>
      <c r="L2729">
        <v>2.96E-3</v>
      </c>
      <c r="M2729">
        <v>4.6100000000000002E-2</v>
      </c>
      <c r="N2729">
        <v>0.1671</v>
      </c>
      <c r="O2729">
        <v>3.5500000000000002E-3</v>
      </c>
      <c r="P2729" s="3">
        <f t="shared" si="168"/>
        <v>2533.417088777866</v>
      </c>
      <c r="Q2729" s="3">
        <f t="shared" si="169"/>
        <v>-2.3619005919499614E-3</v>
      </c>
      <c r="R2729" s="3">
        <f t="shared" si="170"/>
        <v>2.96E-3</v>
      </c>
      <c r="S2729">
        <f t="shared" si="171"/>
        <v>64</v>
      </c>
      <c r="T2729">
        <f>INDEX([1]IDEN_level_ids!$B:$B,MATCH(G2729,[1]IDEN_level_ids!$A:$A,0),1)</f>
        <v>1149</v>
      </c>
      <c r="U2729">
        <f>INDEX([1]IDEN_level_ids!$B:$B,MATCH(H2729,[1]IDEN_level_ids!$A:$A,0),1)</f>
        <v>1011</v>
      </c>
    </row>
    <row r="2730" spans="1:21" hidden="1" x14ac:dyDescent="0.25">
      <c r="A2730">
        <v>39456.8416</v>
      </c>
      <c r="B2730">
        <v>2534.4146999999998</v>
      </c>
      <c r="C2730">
        <v>16</v>
      </c>
      <c r="D2730" t="s">
        <v>663</v>
      </c>
      <c r="E2730" t="s">
        <v>427</v>
      </c>
      <c r="F2730">
        <v>1974</v>
      </c>
      <c r="G2730" s="1" t="s">
        <v>520</v>
      </c>
      <c r="H2730" s="1" t="s">
        <v>664</v>
      </c>
      <c r="I2730">
        <v>-0.3095</v>
      </c>
      <c r="J2730">
        <v>39456.810100000002</v>
      </c>
      <c r="K2730">
        <v>-2.0300000000000001E-3</v>
      </c>
      <c r="L2730">
        <v>3.13E-3</v>
      </c>
      <c r="M2730">
        <v>4.87E-2</v>
      </c>
      <c r="N2730">
        <v>0.53810000000000002</v>
      </c>
      <c r="O2730">
        <v>6.7799999999999996E-3</v>
      </c>
      <c r="P2730" s="3">
        <f t="shared" si="168"/>
        <v>2534.4147160526909</v>
      </c>
      <c r="Q2730" s="3">
        <f t="shared" si="169"/>
        <v>-2.0233278701198287E-3</v>
      </c>
      <c r="R2730" s="3">
        <f t="shared" si="170"/>
        <v>3.13E-3</v>
      </c>
      <c r="S2730">
        <f t="shared" si="171"/>
        <v>64</v>
      </c>
      <c r="T2730">
        <f>INDEX([1]IDEN_level_ids!$B:$B,MATCH(G2730,[1]IDEN_level_ids!$A:$A,0),1)</f>
        <v>1002</v>
      </c>
      <c r="U2730">
        <f>INDEX([1]IDEN_level_ids!$B:$B,MATCH(H2730,[1]IDEN_level_ids!$A:$A,0),1)</f>
        <v>807</v>
      </c>
    </row>
    <row r="2731" spans="1:21" hidden="1" x14ac:dyDescent="0.25">
      <c r="A2731">
        <v>39452.939299999998</v>
      </c>
      <c r="B2731">
        <v>2534.6653999999999</v>
      </c>
      <c r="C2731">
        <v>16</v>
      </c>
      <c r="D2731" t="s">
        <v>663</v>
      </c>
      <c r="E2731" t="s">
        <v>427</v>
      </c>
      <c r="F2731">
        <v>1974</v>
      </c>
      <c r="G2731" s="1" t="s">
        <v>470</v>
      </c>
      <c r="H2731" s="1" t="s">
        <v>646</v>
      </c>
      <c r="I2731">
        <v>-0.2848</v>
      </c>
      <c r="J2731">
        <v>39452.940900000001</v>
      </c>
      <c r="K2731">
        <v>1.1E-4</v>
      </c>
      <c r="L2731">
        <v>3.13E-3</v>
      </c>
      <c r="M2731">
        <v>4.87E-2</v>
      </c>
      <c r="N2731">
        <v>0.24349999999999999</v>
      </c>
      <c r="O2731">
        <v>4.1399999999999996E-3</v>
      </c>
      <c r="P2731" s="3">
        <f t="shared" si="168"/>
        <v>2534.6653956401165</v>
      </c>
      <c r="Q2731" s="3">
        <f t="shared" si="169"/>
        <v>1.0279245452693431E-4</v>
      </c>
      <c r="R2731" s="3">
        <f t="shared" si="170"/>
        <v>3.13E-3</v>
      </c>
      <c r="S2731">
        <f t="shared" si="171"/>
        <v>64</v>
      </c>
      <c r="T2731">
        <f>INDEX([1]IDEN_level_ids!$B:$B,MATCH(G2731,[1]IDEN_level_ids!$A:$A,0),1)</f>
        <v>1026</v>
      </c>
      <c r="U2731">
        <f>INDEX([1]IDEN_level_ids!$B:$B,MATCH(H2731,[1]IDEN_level_ids!$A:$A,0),1)</f>
        <v>829</v>
      </c>
    </row>
    <row r="2732" spans="1:21" hidden="1" x14ac:dyDescent="0.25">
      <c r="A2732">
        <v>39439.630100000002</v>
      </c>
      <c r="B2732">
        <v>2535.5207</v>
      </c>
      <c r="C2732">
        <v>16</v>
      </c>
      <c r="D2732" t="s">
        <v>663</v>
      </c>
      <c r="E2732" t="s">
        <v>427</v>
      </c>
      <c r="F2732">
        <v>1974</v>
      </c>
      <c r="G2732" s="1" t="s">
        <v>398</v>
      </c>
      <c r="H2732" s="1" t="s">
        <v>369</v>
      </c>
      <c r="I2732">
        <v>-0.31929999999999997</v>
      </c>
      <c r="J2732">
        <v>39439.606599999999</v>
      </c>
      <c r="K2732">
        <v>-1.5200000000000001E-3</v>
      </c>
      <c r="L2732">
        <v>3.13E-3</v>
      </c>
      <c r="M2732">
        <v>4.87E-2</v>
      </c>
      <c r="N2732">
        <v>0.16309999999999999</v>
      </c>
      <c r="O2732">
        <v>3.7399999999999998E-3</v>
      </c>
      <c r="P2732" s="3">
        <f t="shared" si="168"/>
        <v>2535.5207375537734</v>
      </c>
      <c r="Q2732" s="3">
        <f t="shared" si="169"/>
        <v>-1.510784271886223E-3</v>
      </c>
      <c r="R2732" s="3">
        <f t="shared" si="170"/>
        <v>3.13E-3</v>
      </c>
      <c r="S2732">
        <f t="shared" si="171"/>
        <v>64</v>
      </c>
      <c r="T2732">
        <f>INDEX([1]IDEN_level_ids!$B:$B,MATCH(G2732,[1]IDEN_level_ids!$A:$A,0),1)</f>
        <v>1075</v>
      </c>
      <c r="U2732">
        <f>INDEX([1]IDEN_level_ids!$B:$B,MATCH(H2732,[1]IDEN_level_ids!$A:$A,0),1)</f>
        <v>884</v>
      </c>
    </row>
    <row r="2733" spans="1:21" hidden="1" x14ac:dyDescent="0.25">
      <c r="A2733">
        <v>39435.831299999998</v>
      </c>
      <c r="B2733">
        <v>2535.7649999999999</v>
      </c>
      <c r="C2733">
        <v>16</v>
      </c>
      <c r="D2733" t="s">
        <v>663</v>
      </c>
      <c r="F2733">
        <v>1974</v>
      </c>
      <c r="G2733" s="1" t="s">
        <v>461</v>
      </c>
      <c r="H2733" s="1" t="s">
        <v>321</v>
      </c>
      <c r="I2733">
        <v>-0.24510000000000001</v>
      </c>
      <c r="J2733">
        <v>39435.751600000003</v>
      </c>
      <c r="K2733">
        <v>-5.13E-3</v>
      </c>
      <c r="L2733">
        <v>2.96E-3</v>
      </c>
      <c r="M2733">
        <v>4.6100000000000002E-2</v>
      </c>
      <c r="N2733">
        <v>0.27379999999999999</v>
      </c>
      <c r="O2733">
        <v>4.0800000000000003E-3</v>
      </c>
      <c r="P2733" s="3">
        <f t="shared" si="168"/>
        <v>2535.7649808183455</v>
      </c>
      <c r="Q2733" s="3">
        <f t="shared" si="169"/>
        <v>-5.1248032750663697E-3</v>
      </c>
      <c r="R2733" s="3">
        <f t="shared" si="170"/>
        <v>2.96E-3</v>
      </c>
      <c r="S2733">
        <f t="shared" si="171"/>
        <v>64</v>
      </c>
      <c r="T2733">
        <f>INDEX([1]IDEN_level_ids!$B:$B,MATCH(G2733,[1]IDEN_level_ids!$A:$A,0),1)</f>
        <v>1017</v>
      </c>
      <c r="U2733">
        <f>INDEX([1]IDEN_level_ids!$B:$B,MATCH(H2733,[1]IDEN_level_ids!$A:$A,0),1)</f>
        <v>823</v>
      </c>
    </row>
    <row r="2734" spans="1:21" hidden="1" x14ac:dyDescent="0.25">
      <c r="A2734">
        <v>39421.188999999998</v>
      </c>
      <c r="B2734">
        <v>2536.7067999999999</v>
      </c>
      <c r="C2734">
        <v>16</v>
      </c>
      <c r="D2734" t="s">
        <v>663</v>
      </c>
      <c r="E2734" t="s">
        <v>427</v>
      </c>
      <c r="F2734">
        <v>1974</v>
      </c>
      <c r="G2734" s="1" t="s">
        <v>461</v>
      </c>
      <c r="H2734" s="1" t="s">
        <v>325</v>
      </c>
      <c r="I2734">
        <v>-0.24510000000000001</v>
      </c>
      <c r="J2734">
        <v>39421.143799999998</v>
      </c>
      <c r="K2734">
        <v>-2.9099999999999998E-3</v>
      </c>
      <c r="L2734">
        <v>3.14E-3</v>
      </c>
      <c r="M2734">
        <v>4.87E-2</v>
      </c>
      <c r="N2734">
        <v>0.18029999999999999</v>
      </c>
      <c r="O2734">
        <v>3.8300000000000001E-3</v>
      </c>
      <c r="P2734" s="3">
        <f t="shared" si="168"/>
        <v>2536.7068456509519</v>
      </c>
      <c r="Q2734" s="3">
        <f t="shared" si="169"/>
        <v>-2.9085698274684546E-3</v>
      </c>
      <c r="R2734" s="3">
        <f t="shared" si="170"/>
        <v>3.14E-3</v>
      </c>
      <c r="S2734">
        <f t="shared" si="171"/>
        <v>64</v>
      </c>
      <c r="T2734">
        <f>INDEX([1]IDEN_level_ids!$B:$B,MATCH(G2734,[1]IDEN_level_ids!$A:$A,0),1)</f>
        <v>1017</v>
      </c>
      <c r="U2734">
        <f>INDEX([1]IDEN_level_ids!$B:$B,MATCH(H2734,[1]IDEN_level_ids!$A:$A,0),1)</f>
        <v>822</v>
      </c>
    </row>
    <row r="2735" spans="1:21" hidden="1" x14ac:dyDescent="0.25">
      <c r="A2735">
        <v>39410.260699999999</v>
      </c>
      <c r="B2735">
        <v>2537.4103</v>
      </c>
      <c r="C2735">
        <v>16</v>
      </c>
      <c r="D2735" t="s">
        <v>663</v>
      </c>
      <c r="F2735">
        <v>1974</v>
      </c>
      <c r="G2735" s="1" t="s">
        <v>272</v>
      </c>
      <c r="H2735" s="1" t="s">
        <v>491</v>
      </c>
      <c r="I2735">
        <v>0</v>
      </c>
      <c r="J2735">
        <v>39410.231599999999</v>
      </c>
      <c r="K2735">
        <v>-1.8699999999999999E-3</v>
      </c>
      <c r="L2735">
        <v>2.97E-3</v>
      </c>
      <c r="M2735">
        <v>4.6100000000000002E-2</v>
      </c>
      <c r="N2735">
        <v>0.26829999999999998</v>
      </c>
      <c r="O2735">
        <v>4.0499999999999998E-3</v>
      </c>
      <c r="P2735" s="3">
        <f t="shared" si="168"/>
        <v>2537.4102638199497</v>
      </c>
      <c r="Q2735" s="3">
        <f t="shared" si="169"/>
        <v>-1.8735905800895125E-3</v>
      </c>
      <c r="R2735" s="3">
        <f t="shared" si="170"/>
        <v>2.97E-3</v>
      </c>
      <c r="S2735">
        <f t="shared" si="171"/>
        <v>64</v>
      </c>
      <c r="T2735">
        <f>INDEX([1]IDEN_level_ids!$B:$B,MATCH(G2735,[1]IDEN_level_ids!$A:$A,0),1)</f>
        <v>1109</v>
      </c>
      <c r="U2735">
        <f>INDEX([1]IDEN_level_ids!$B:$B,MATCH(H2735,[1]IDEN_level_ids!$A:$A,0),1)</f>
        <v>967</v>
      </c>
    </row>
    <row r="2736" spans="1:21" hidden="1" x14ac:dyDescent="0.25">
      <c r="A2736">
        <v>39408.74</v>
      </c>
      <c r="B2736">
        <v>2537.5082000000002</v>
      </c>
      <c r="C2736">
        <v>16</v>
      </c>
      <c r="D2736" t="s">
        <v>663</v>
      </c>
      <c r="F2736">
        <v>1974</v>
      </c>
      <c r="G2736" s="1" t="s">
        <v>295</v>
      </c>
      <c r="H2736" s="1" t="s">
        <v>617</v>
      </c>
      <c r="I2736">
        <v>0</v>
      </c>
      <c r="J2736">
        <v>39408.712200000002</v>
      </c>
      <c r="K2736">
        <v>-1.7899999999999999E-3</v>
      </c>
      <c r="L2736">
        <v>2.97E-3</v>
      </c>
      <c r="M2736">
        <v>4.6100000000000002E-2</v>
      </c>
      <c r="N2736">
        <v>0.16470000000000001</v>
      </c>
      <c r="O2736">
        <v>3.5500000000000002E-3</v>
      </c>
      <c r="P2736" s="3">
        <f t="shared" si="168"/>
        <v>2537.5081771201008</v>
      </c>
      <c r="Q2736" s="3">
        <f t="shared" si="169"/>
        <v>-1.7900287366501288E-3</v>
      </c>
      <c r="R2736" s="3">
        <f t="shared" si="170"/>
        <v>2.97E-3</v>
      </c>
      <c r="S2736">
        <f t="shared" si="171"/>
        <v>64</v>
      </c>
      <c r="T2736">
        <f>INDEX([1]IDEN_level_ids!$B:$B,MATCH(G2736,[1]IDEN_level_ids!$A:$A,0),1)</f>
        <v>1152</v>
      </c>
      <c r="U2736">
        <f>INDEX([1]IDEN_level_ids!$B:$B,MATCH(H2736,[1]IDEN_level_ids!$A:$A,0),1)</f>
        <v>1018</v>
      </c>
    </row>
    <row r="2737" spans="1:21" hidden="1" x14ac:dyDescent="0.25">
      <c r="A2737">
        <v>39395.260300000002</v>
      </c>
      <c r="B2737">
        <v>2538.3764000000001</v>
      </c>
      <c r="C2737">
        <v>16</v>
      </c>
      <c r="D2737" t="s">
        <v>663</v>
      </c>
      <c r="F2737">
        <v>1974</v>
      </c>
      <c r="G2737" s="1" t="s">
        <v>290</v>
      </c>
      <c r="H2737" s="1" t="s">
        <v>614</v>
      </c>
      <c r="I2737">
        <v>0.1457</v>
      </c>
      <c r="J2737">
        <v>39395.256500000003</v>
      </c>
      <c r="K2737">
        <v>-2.4000000000000001E-4</v>
      </c>
      <c r="L2737">
        <v>2.97E-3</v>
      </c>
      <c r="M2737">
        <v>4.6100000000000002E-2</v>
      </c>
      <c r="N2737">
        <v>0.30819999999999997</v>
      </c>
      <c r="O2737">
        <v>4.2900000000000004E-3</v>
      </c>
      <c r="P2737" s="3">
        <f t="shared" si="168"/>
        <v>2538.3764249426727</v>
      </c>
      <c r="Q2737" s="3">
        <f t="shared" si="169"/>
        <v>-2.4484750838382752E-4</v>
      </c>
      <c r="R2737" s="3">
        <f t="shared" si="170"/>
        <v>2.97E-3</v>
      </c>
      <c r="S2737">
        <f t="shared" si="171"/>
        <v>64</v>
      </c>
      <c r="T2737">
        <f>INDEX([1]IDEN_level_ids!$B:$B,MATCH(G2737,[1]IDEN_level_ids!$A:$A,0),1)</f>
        <v>1153</v>
      </c>
      <c r="U2737">
        <f>INDEX([1]IDEN_level_ids!$B:$B,MATCH(H2737,[1]IDEN_level_ids!$A:$A,0),1)</f>
        <v>1031</v>
      </c>
    </row>
    <row r="2738" spans="1:21" hidden="1" x14ac:dyDescent="0.25">
      <c r="A2738">
        <v>39361.990299999998</v>
      </c>
      <c r="B2738">
        <v>2540.5219000000002</v>
      </c>
      <c r="C2738">
        <v>16</v>
      </c>
      <c r="D2738" t="s">
        <v>663</v>
      </c>
      <c r="F2738">
        <v>1974</v>
      </c>
      <c r="G2738" s="1" t="s">
        <v>475</v>
      </c>
      <c r="H2738" s="1" t="s">
        <v>322</v>
      </c>
      <c r="I2738">
        <v>-0.18990000000000001</v>
      </c>
      <c r="J2738">
        <v>39362.0095</v>
      </c>
      <c r="K2738">
        <v>1.24E-3</v>
      </c>
      <c r="L2738">
        <v>2.97E-3</v>
      </c>
      <c r="M2738">
        <v>4.6100000000000002E-2</v>
      </c>
      <c r="N2738">
        <v>0.2452</v>
      </c>
      <c r="O2738">
        <v>3.9399999999999999E-3</v>
      </c>
      <c r="P2738" s="3">
        <f t="shared" si="168"/>
        <v>2540.5219410360965</v>
      </c>
      <c r="Q2738" s="3">
        <f t="shared" si="169"/>
        <v>1.2392157282192784E-3</v>
      </c>
      <c r="R2738" s="3">
        <f t="shared" si="170"/>
        <v>2.97E-3</v>
      </c>
      <c r="S2738">
        <f t="shared" si="171"/>
        <v>64</v>
      </c>
      <c r="T2738">
        <f>INDEX([1]IDEN_level_ids!$B:$B,MATCH(G2738,[1]IDEN_level_ids!$A:$A,0),1)</f>
        <v>1030</v>
      </c>
      <c r="U2738">
        <f>INDEX([1]IDEN_level_ids!$B:$B,MATCH(H2738,[1]IDEN_level_ids!$A:$A,0),1)</f>
        <v>830</v>
      </c>
    </row>
    <row r="2739" spans="1:21" hidden="1" x14ac:dyDescent="0.25">
      <c r="A2739">
        <v>39360.950799999999</v>
      </c>
      <c r="B2739">
        <v>2540.5889999999999</v>
      </c>
      <c r="C2739">
        <v>16</v>
      </c>
      <c r="D2739" t="s">
        <v>663</v>
      </c>
      <c r="E2739" t="s">
        <v>427</v>
      </c>
      <c r="F2739">
        <v>1974</v>
      </c>
      <c r="G2739" s="1" t="s">
        <v>239</v>
      </c>
      <c r="H2739" s="1" t="s">
        <v>416</v>
      </c>
      <c r="I2739">
        <v>0.26750000000000002</v>
      </c>
      <c r="J2739">
        <v>39360.92</v>
      </c>
      <c r="K2739">
        <v>-1.99E-3</v>
      </c>
      <c r="L2739">
        <v>3.15E-3</v>
      </c>
      <c r="M2739">
        <v>4.87E-2</v>
      </c>
      <c r="N2739">
        <v>9.0200000000000002E-2</v>
      </c>
      <c r="O2739">
        <v>3.46E-3</v>
      </c>
      <c r="P2739" s="3">
        <f t="shared" si="168"/>
        <v>2540.5890347547193</v>
      </c>
      <c r="Q2739" s="3">
        <f t="shared" si="169"/>
        <v>-1.9880160898537724E-3</v>
      </c>
      <c r="R2739" s="3">
        <f t="shared" si="170"/>
        <v>3.15E-3</v>
      </c>
      <c r="S2739">
        <f t="shared" si="171"/>
        <v>64</v>
      </c>
      <c r="T2739">
        <f>INDEX([1]IDEN_level_ids!$B:$B,MATCH(G2739,[1]IDEN_level_ids!$A:$A,0),1)</f>
        <v>1167</v>
      </c>
      <c r="U2739">
        <f>INDEX([1]IDEN_level_ids!$B:$B,MATCH(H2739,[1]IDEN_level_ids!$A:$A,0),1)</f>
        <v>1055</v>
      </c>
    </row>
    <row r="2740" spans="1:21" hidden="1" x14ac:dyDescent="0.25">
      <c r="A2740">
        <v>39353.439599999998</v>
      </c>
      <c r="B2740">
        <v>2541.0738999999999</v>
      </c>
      <c r="C2740">
        <v>16</v>
      </c>
      <c r="D2740" t="s">
        <v>663</v>
      </c>
      <c r="F2740">
        <v>1974</v>
      </c>
      <c r="G2740" s="1" t="s">
        <v>453</v>
      </c>
      <c r="H2740" s="1" t="s">
        <v>314</v>
      </c>
      <c r="I2740">
        <v>-0.26840000000000003</v>
      </c>
      <c r="J2740">
        <v>39353.439299999998</v>
      </c>
      <c r="K2740">
        <v>-2.0000000000000002E-5</v>
      </c>
      <c r="L2740">
        <v>2.97E-3</v>
      </c>
      <c r="M2740">
        <v>4.6100000000000002E-2</v>
      </c>
      <c r="N2740">
        <v>0.23649999999999999</v>
      </c>
      <c r="O2740">
        <v>3.8999999999999998E-3</v>
      </c>
      <c r="P2740" s="3">
        <f t="shared" si="168"/>
        <v>2541.0739446520961</v>
      </c>
      <c r="Q2740" s="3">
        <f t="shared" si="169"/>
        <v>-1.9371170310478192E-5</v>
      </c>
      <c r="R2740" s="3">
        <f t="shared" si="170"/>
        <v>2.97E-3</v>
      </c>
      <c r="S2740">
        <f t="shared" si="171"/>
        <v>64</v>
      </c>
      <c r="T2740">
        <f>INDEX([1]IDEN_level_ids!$B:$B,MATCH(G2740,[1]IDEN_level_ids!$A:$A,0),1)</f>
        <v>1078</v>
      </c>
      <c r="U2740">
        <f>INDEX([1]IDEN_level_ids!$B:$B,MATCH(H2740,[1]IDEN_level_ids!$A:$A,0),1)</f>
        <v>889</v>
      </c>
    </row>
    <row r="2741" spans="1:21" hidden="1" x14ac:dyDescent="0.25">
      <c r="A2741">
        <v>39348.650699999998</v>
      </c>
      <c r="B2741">
        <v>2541.3832000000002</v>
      </c>
      <c r="C2741">
        <v>16</v>
      </c>
      <c r="D2741" t="s">
        <v>663</v>
      </c>
      <c r="F2741">
        <v>1974</v>
      </c>
      <c r="G2741" s="1" t="s">
        <v>440</v>
      </c>
      <c r="H2741" s="1" t="s">
        <v>533</v>
      </c>
      <c r="I2741">
        <v>-0.3538</v>
      </c>
      <c r="J2741">
        <v>39348.662900000003</v>
      </c>
      <c r="K2741">
        <v>7.9000000000000001E-4</v>
      </c>
      <c r="L2741">
        <v>2.98E-3</v>
      </c>
      <c r="M2741">
        <v>4.6100000000000002E-2</v>
      </c>
      <c r="N2741">
        <v>0.56689999999999996</v>
      </c>
      <c r="O2741">
        <v>6.8700000000000002E-3</v>
      </c>
      <c r="P2741" s="3">
        <f t="shared" si="168"/>
        <v>2541.3832042784634</v>
      </c>
      <c r="Q2741" s="3">
        <f t="shared" si="169"/>
        <v>7.8795244417051435E-4</v>
      </c>
      <c r="R2741" s="3">
        <f t="shared" si="170"/>
        <v>2.98E-3</v>
      </c>
      <c r="S2741">
        <f t="shared" si="171"/>
        <v>64</v>
      </c>
      <c r="T2741">
        <f>INDEX([1]IDEN_level_ids!$B:$B,MATCH(G2741,[1]IDEN_level_ids!$A:$A,0),1)</f>
        <v>948</v>
      </c>
      <c r="U2741">
        <f>INDEX([1]IDEN_level_ids!$B:$B,MATCH(H2741,[1]IDEN_level_ids!$A:$A,0),1)</f>
        <v>615</v>
      </c>
    </row>
    <row r="2742" spans="1:21" hidden="1" x14ac:dyDescent="0.25">
      <c r="A2742">
        <v>39341.53</v>
      </c>
      <c r="B2742">
        <v>2541.8431999999998</v>
      </c>
      <c r="C2742">
        <v>16</v>
      </c>
      <c r="D2742" t="s">
        <v>663</v>
      </c>
      <c r="E2742" t="s">
        <v>427</v>
      </c>
      <c r="F2742">
        <v>1974</v>
      </c>
      <c r="G2742" s="1" t="s">
        <v>450</v>
      </c>
      <c r="H2742" s="1" t="s">
        <v>143</v>
      </c>
      <c r="I2742">
        <v>-0.2989</v>
      </c>
      <c r="J2742">
        <v>39341.502699999997</v>
      </c>
      <c r="K2742">
        <v>-1.7600000000000001E-3</v>
      </c>
      <c r="L2742">
        <v>3.15E-3</v>
      </c>
      <c r="M2742">
        <v>4.87E-2</v>
      </c>
      <c r="N2742">
        <v>0.22600000000000001</v>
      </c>
      <c r="O2742">
        <v>4.0699999999999998E-3</v>
      </c>
      <c r="P2742" s="3">
        <f t="shared" si="168"/>
        <v>2541.8431870849963</v>
      </c>
      <c r="Q2742" s="3">
        <f t="shared" si="169"/>
        <v>-1.7638451572565828E-3</v>
      </c>
      <c r="R2742" s="3">
        <f t="shared" si="170"/>
        <v>3.15E-3</v>
      </c>
      <c r="S2742">
        <f t="shared" si="171"/>
        <v>64</v>
      </c>
      <c r="T2742">
        <f>INDEX([1]IDEN_level_ids!$B:$B,MATCH(G2742,[1]IDEN_level_ids!$A:$A,0),1)</f>
        <v>1077</v>
      </c>
      <c r="U2742">
        <f>INDEX([1]IDEN_level_ids!$B:$B,MATCH(H2742,[1]IDEN_level_ids!$A:$A,0),1)</f>
        <v>890</v>
      </c>
    </row>
    <row r="2743" spans="1:21" hidden="1" x14ac:dyDescent="0.25">
      <c r="A2743">
        <v>39322.529399999999</v>
      </c>
      <c r="B2743">
        <v>2543.0713999999998</v>
      </c>
      <c r="C2743">
        <v>16</v>
      </c>
      <c r="D2743" t="s">
        <v>663</v>
      </c>
      <c r="F2743">
        <v>1974</v>
      </c>
      <c r="G2743" s="1" t="s">
        <v>540</v>
      </c>
      <c r="H2743" s="1" t="s">
        <v>629</v>
      </c>
      <c r="I2743">
        <v>-0.34399999999999997</v>
      </c>
      <c r="J2743">
        <v>39322.507599999997</v>
      </c>
      <c r="K2743">
        <v>-1.41E-3</v>
      </c>
      <c r="L2743">
        <v>2.98E-3</v>
      </c>
      <c r="M2743">
        <v>4.6100000000000002E-2</v>
      </c>
      <c r="N2743">
        <v>0.21579999999999999</v>
      </c>
      <c r="O2743">
        <v>3.8E-3</v>
      </c>
      <c r="P2743" s="3">
        <f t="shared" si="168"/>
        <v>2543.0714027261938</v>
      </c>
      <c r="Q2743" s="3">
        <f t="shared" si="169"/>
        <v>-1.4098530327828485E-3</v>
      </c>
      <c r="R2743" s="3">
        <f t="shared" si="170"/>
        <v>2.98E-3</v>
      </c>
      <c r="S2743">
        <f t="shared" si="171"/>
        <v>64</v>
      </c>
      <c r="T2743">
        <f>INDEX([1]IDEN_level_ids!$B:$B,MATCH(G2743,[1]IDEN_level_ids!$A:$A,0),1)</f>
        <v>1027</v>
      </c>
      <c r="U2743">
        <f>INDEX([1]IDEN_level_ids!$B:$B,MATCH(H2743,[1]IDEN_level_ids!$A:$A,0),1)</f>
        <v>833</v>
      </c>
    </row>
    <row r="2744" spans="1:21" hidden="1" x14ac:dyDescent="0.25">
      <c r="A2744">
        <v>39315.6607</v>
      </c>
      <c r="B2744">
        <v>2543.5156999999999</v>
      </c>
      <c r="C2744">
        <v>17</v>
      </c>
      <c r="D2744" t="s">
        <v>665</v>
      </c>
      <c r="F2744">
        <v>1974</v>
      </c>
      <c r="G2744" s="1" t="s">
        <v>536</v>
      </c>
      <c r="H2744" s="1" t="s">
        <v>332</v>
      </c>
      <c r="I2744">
        <v>0</v>
      </c>
      <c r="J2744">
        <v>39315.584499999997</v>
      </c>
      <c r="K2744">
        <v>-4.9300000000000004E-3</v>
      </c>
      <c r="L2744">
        <v>2.98E-3</v>
      </c>
      <c r="M2744">
        <v>4.6100000000000002E-2</v>
      </c>
      <c r="N2744">
        <v>0.30230000000000001</v>
      </c>
      <c r="O2744">
        <v>4.2700000000000004E-3</v>
      </c>
      <c r="P2744" s="3">
        <f t="shared" si="168"/>
        <v>2543.515693734736</v>
      </c>
      <c r="Q2744" s="3">
        <f t="shared" si="169"/>
        <v>-4.9297472833131906E-3</v>
      </c>
      <c r="R2744" s="3">
        <f t="shared" si="170"/>
        <v>2.98E-3</v>
      </c>
      <c r="S2744">
        <f t="shared" si="171"/>
        <v>65</v>
      </c>
      <c r="T2744">
        <f>INDEX([1]IDEN_level_ids!$B:$B,MATCH(G2744,[1]IDEN_level_ids!$A:$A,0),1)</f>
        <v>1021</v>
      </c>
      <c r="U2744">
        <f>INDEX([1]IDEN_level_ids!$B:$B,MATCH(H2744,[1]IDEN_level_ids!$A:$A,0),1)</f>
        <v>828</v>
      </c>
    </row>
    <row r="2745" spans="1:21" hidden="1" x14ac:dyDescent="0.25">
      <c r="A2745">
        <v>39301.878799999999</v>
      </c>
      <c r="B2745">
        <v>2544.4076</v>
      </c>
      <c r="C2745">
        <v>17</v>
      </c>
      <c r="D2745" t="s">
        <v>665</v>
      </c>
      <c r="F2745">
        <v>1974</v>
      </c>
      <c r="G2745" s="1" t="s">
        <v>469</v>
      </c>
      <c r="H2745" s="1" t="s">
        <v>306</v>
      </c>
      <c r="I2745">
        <v>-0.36720000000000003</v>
      </c>
      <c r="J2745">
        <v>39301.808199999999</v>
      </c>
      <c r="K2745">
        <v>-4.5700000000000003E-3</v>
      </c>
      <c r="L2745">
        <v>2.98E-3</v>
      </c>
      <c r="M2745">
        <v>4.6100000000000002E-2</v>
      </c>
      <c r="N2745">
        <v>0.25059999999999999</v>
      </c>
      <c r="O2745">
        <v>3.98E-3</v>
      </c>
      <c r="P2745" s="3">
        <f t="shared" si="168"/>
        <v>2544.4076225689241</v>
      </c>
      <c r="Q2745" s="3">
        <f t="shared" si="169"/>
        <v>-4.5706593764407444E-3</v>
      </c>
      <c r="R2745" s="3">
        <f t="shared" si="170"/>
        <v>2.98E-3</v>
      </c>
      <c r="S2745">
        <f t="shared" si="171"/>
        <v>65</v>
      </c>
      <c r="T2745">
        <f>INDEX([1]IDEN_level_ids!$B:$B,MATCH(G2745,[1]IDEN_level_ids!$A:$A,0),1)</f>
        <v>1048</v>
      </c>
      <c r="U2745">
        <f>INDEX([1]IDEN_level_ids!$B:$B,MATCH(H2745,[1]IDEN_level_ids!$A:$A,0),1)</f>
        <v>862</v>
      </c>
    </row>
    <row r="2746" spans="1:21" hidden="1" x14ac:dyDescent="0.25">
      <c r="A2746">
        <v>39268.749499999998</v>
      </c>
      <c r="B2746">
        <v>2546.5542</v>
      </c>
      <c r="C2746">
        <v>17</v>
      </c>
      <c r="D2746" t="s">
        <v>665</v>
      </c>
      <c r="E2746" t="s">
        <v>427</v>
      </c>
      <c r="F2746">
        <v>1974</v>
      </c>
      <c r="G2746" s="1" t="s">
        <v>466</v>
      </c>
      <c r="H2746" s="1" t="s">
        <v>666</v>
      </c>
      <c r="I2746">
        <v>-0.3876</v>
      </c>
      <c r="J2746">
        <v>39268.701399999998</v>
      </c>
      <c r="K2746">
        <v>-3.1199999999999999E-3</v>
      </c>
      <c r="L2746">
        <v>3.16E-3</v>
      </c>
      <c r="M2746">
        <v>4.87E-2</v>
      </c>
      <c r="N2746">
        <v>0.3735</v>
      </c>
      <c r="O2746">
        <v>5.0400000000000002E-3</v>
      </c>
      <c r="P2746" s="3">
        <f t="shared" si="168"/>
        <v>2546.55422628113</v>
      </c>
      <c r="Q2746" s="3">
        <f t="shared" si="169"/>
        <v>-3.1192592041406897E-3</v>
      </c>
      <c r="R2746" s="3">
        <f t="shared" si="170"/>
        <v>3.16E-3</v>
      </c>
      <c r="S2746">
        <f t="shared" si="171"/>
        <v>65</v>
      </c>
      <c r="T2746">
        <f>INDEX([1]IDEN_level_ids!$B:$B,MATCH(G2746,[1]IDEN_level_ids!$A:$A,0),1)</f>
        <v>1061</v>
      </c>
      <c r="U2746">
        <f>INDEX([1]IDEN_level_ids!$B:$B,MATCH(H2746,[1]IDEN_level_ids!$A:$A,0),1)</f>
        <v>874</v>
      </c>
    </row>
    <row r="2747" spans="1:21" hidden="1" x14ac:dyDescent="0.25">
      <c r="A2747">
        <v>39267.159899999999</v>
      </c>
      <c r="B2747">
        <v>2546.6572999999999</v>
      </c>
      <c r="C2747">
        <v>17</v>
      </c>
      <c r="D2747" t="s">
        <v>665</v>
      </c>
      <c r="F2747">
        <v>1974</v>
      </c>
      <c r="G2747" s="1" t="s">
        <v>204</v>
      </c>
      <c r="H2747" s="1" t="s">
        <v>419</v>
      </c>
      <c r="I2747">
        <v>0.2853</v>
      </c>
      <c r="J2747">
        <v>39267.076099999998</v>
      </c>
      <c r="K2747">
        <v>-5.4299999999999999E-3</v>
      </c>
      <c r="L2747">
        <v>2.99E-3</v>
      </c>
      <c r="M2747">
        <v>4.6100000000000002E-2</v>
      </c>
      <c r="N2747">
        <v>0.13719999999999999</v>
      </c>
      <c r="O2747">
        <v>3.46E-3</v>
      </c>
      <c r="P2747" s="3">
        <f t="shared" si="168"/>
        <v>2546.657315035407</v>
      </c>
      <c r="Q2747" s="3">
        <f t="shared" si="169"/>
        <v>-5.4348299950106593E-3</v>
      </c>
      <c r="R2747" s="3">
        <f t="shared" si="170"/>
        <v>2.99E-3</v>
      </c>
      <c r="S2747">
        <f t="shared" si="171"/>
        <v>65</v>
      </c>
      <c r="T2747">
        <f>INDEX([1]IDEN_level_ids!$B:$B,MATCH(G2747,[1]IDEN_level_ids!$A:$A,0),1)</f>
        <v>1176</v>
      </c>
      <c r="U2747">
        <f>INDEX([1]IDEN_level_ids!$B:$B,MATCH(H2747,[1]IDEN_level_ids!$A:$A,0),1)</f>
        <v>1068</v>
      </c>
    </row>
    <row r="2748" spans="1:21" hidden="1" x14ac:dyDescent="0.25">
      <c r="A2748">
        <v>39262.591500000002</v>
      </c>
      <c r="B2748">
        <v>2546.9535999999998</v>
      </c>
      <c r="C2748">
        <v>17</v>
      </c>
      <c r="D2748" t="s">
        <v>665</v>
      </c>
      <c r="F2748">
        <v>1974</v>
      </c>
      <c r="G2748" s="1" t="s">
        <v>288</v>
      </c>
      <c r="H2748" s="1" t="s">
        <v>470</v>
      </c>
      <c r="I2748">
        <v>0.2848</v>
      </c>
      <c r="J2748">
        <v>39262.555800000002</v>
      </c>
      <c r="K2748">
        <v>-2.32E-3</v>
      </c>
      <c r="L2748">
        <v>2.99E-3</v>
      </c>
      <c r="M2748">
        <v>4.6100000000000002E-2</v>
      </c>
      <c r="N2748">
        <v>0.1234</v>
      </c>
      <c r="O2748">
        <v>3.4099999999999998E-3</v>
      </c>
      <c r="P2748" s="3">
        <f t="shared" si="168"/>
        <v>2546.9536314229281</v>
      </c>
      <c r="Q2748" s="3">
        <f t="shared" si="169"/>
        <v>-2.3158513959060656E-3</v>
      </c>
      <c r="R2748" s="3">
        <f t="shared" si="170"/>
        <v>2.99E-3</v>
      </c>
      <c r="S2748">
        <f t="shared" si="171"/>
        <v>65</v>
      </c>
      <c r="T2748">
        <f>INDEX([1]IDEN_level_ids!$B:$B,MATCH(G2748,[1]IDEN_level_ids!$A:$A,0),1)</f>
        <v>1151</v>
      </c>
      <c r="U2748">
        <f>INDEX([1]IDEN_level_ids!$B:$B,MATCH(H2748,[1]IDEN_level_ids!$A:$A,0),1)</f>
        <v>1026</v>
      </c>
    </row>
    <row r="2749" spans="1:21" hidden="1" x14ac:dyDescent="0.25">
      <c r="A2749">
        <v>39253.790800000002</v>
      </c>
      <c r="B2749">
        <v>2547.5246999999999</v>
      </c>
      <c r="C2749">
        <v>17</v>
      </c>
      <c r="D2749" t="s">
        <v>665</v>
      </c>
      <c r="F2749">
        <v>1974</v>
      </c>
      <c r="G2749" s="1" t="s">
        <v>578</v>
      </c>
      <c r="H2749" s="1" t="s">
        <v>626</v>
      </c>
      <c r="I2749">
        <v>-0.25619999999999998</v>
      </c>
      <c r="J2749">
        <v>39253.765399999997</v>
      </c>
      <c r="K2749">
        <v>-1.65E-3</v>
      </c>
      <c r="L2749">
        <v>2.99E-3</v>
      </c>
      <c r="M2749">
        <v>4.6100000000000002E-2</v>
      </c>
      <c r="N2749">
        <v>0.30080000000000001</v>
      </c>
      <c r="O2749">
        <v>4.28E-3</v>
      </c>
      <c r="P2749" s="3">
        <f t="shared" si="168"/>
        <v>2547.5246584337528</v>
      </c>
      <c r="Q2749" s="3">
        <f t="shared" si="169"/>
        <v>-1.6484310658597678E-3</v>
      </c>
      <c r="R2749" s="3">
        <f t="shared" si="170"/>
        <v>2.99E-3</v>
      </c>
      <c r="S2749">
        <f t="shared" si="171"/>
        <v>65</v>
      </c>
      <c r="T2749">
        <f>INDEX([1]IDEN_level_ids!$B:$B,MATCH(G2749,[1]IDEN_level_ids!$A:$A,0),1)</f>
        <v>1003</v>
      </c>
      <c r="U2749">
        <f>INDEX([1]IDEN_level_ids!$B:$B,MATCH(H2749,[1]IDEN_level_ids!$A:$A,0),1)</f>
        <v>813</v>
      </c>
    </row>
    <row r="2750" spans="1:21" hidden="1" x14ac:dyDescent="0.25">
      <c r="A2750">
        <v>39236.479099999997</v>
      </c>
      <c r="B2750">
        <v>2548.6487000000002</v>
      </c>
      <c r="C2750">
        <v>17</v>
      </c>
      <c r="D2750" t="s">
        <v>665</v>
      </c>
      <c r="E2750" t="s">
        <v>427</v>
      </c>
      <c r="F2750">
        <v>1974</v>
      </c>
      <c r="G2750" s="1" t="s">
        <v>194</v>
      </c>
      <c r="H2750" s="1" t="s">
        <v>396</v>
      </c>
      <c r="I2750">
        <v>0.42980000000000002</v>
      </c>
      <c r="J2750">
        <v>39236.427300000003</v>
      </c>
      <c r="K2750">
        <v>-3.3700000000000002E-3</v>
      </c>
      <c r="L2750">
        <v>3.1700000000000001E-3</v>
      </c>
      <c r="M2750">
        <v>4.87E-2</v>
      </c>
      <c r="N2750">
        <v>8.2900000000000001E-2</v>
      </c>
      <c r="O2750">
        <v>3.4499999999999999E-3</v>
      </c>
      <c r="P2750" s="3">
        <f t="shared" si="168"/>
        <v>2548.6486630244049</v>
      </c>
      <c r="Q2750" s="3">
        <f t="shared" si="169"/>
        <v>-3.364730425801099E-3</v>
      </c>
      <c r="R2750" s="3">
        <f t="shared" si="170"/>
        <v>3.1700000000000001E-3</v>
      </c>
      <c r="S2750">
        <f t="shared" si="171"/>
        <v>65</v>
      </c>
      <c r="T2750">
        <f>INDEX([1]IDEN_level_ids!$B:$B,MATCH(G2750,[1]IDEN_level_ids!$A:$A,0),1)</f>
        <v>1187</v>
      </c>
      <c r="U2750">
        <f>INDEX([1]IDEN_level_ids!$B:$B,MATCH(H2750,[1]IDEN_level_ids!$A:$A,0),1)</f>
        <v>1072</v>
      </c>
    </row>
    <row r="2751" spans="1:21" hidden="1" x14ac:dyDescent="0.25">
      <c r="A2751">
        <v>39229.779900000001</v>
      </c>
      <c r="B2751">
        <v>2549.0839000000001</v>
      </c>
      <c r="C2751">
        <v>17</v>
      </c>
      <c r="D2751" t="s">
        <v>665</v>
      </c>
      <c r="F2751">
        <v>1974</v>
      </c>
      <c r="G2751" s="1" t="s">
        <v>470</v>
      </c>
      <c r="H2751" s="1" t="s">
        <v>631</v>
      </c>
      <c r="I2751">
        <v>-0.2848</v>
      </c>
      <c r="J2751">
        <v>39229.704299999998</v>
      </c>
      <c r="K2751">
        <v>-4.9199999999999999E-3</v>
      </c>
      <c r="L2751">
        <v>2.99E-3</v>
      </c>
      <c r="M2751">
        <v>4.6100000000000002E-2</v>
      </c>
      <c r="N2751">
        <v>0.23100000000000001</v>
      </c>
      <c r="O2751">
        <v>3.8899999999999998E-3</v>
      </c>
      <c r="P2751" s="3">
        <f t="shared" si="168"/>
        <v>2549.0838912404911</v>
      </c>
      <c r="Q2751" s="3">
        <f t="shared" si="169"/>
        <v>-4.9123679523290775E-3</v>
      </c>
      <c r="R2751" s="3">
        <f t="shared" si="170"/>
        <v>2.99E-3</v>
      </c>
      <c r="S2751">
        <f t="shared" si="171"/>
        <v>65</v>
      </c>
      <c r="T2751">
        <f>INDEX([1]IDEN_level_ids!$B:$B,MATCH(G2751,[1]IDEN_level_ids!$A:$A,0),1)</f>
        <v>1026</v>
      </c>
      <c r="U2751">
        <f>INDEX([1]IDEN_level_ids!$B:$B,MATCH(H2751,[1]IDEN_level_ids!$A:$A,0),1)</f>
        <v>832</v>
      </c>
    </row>
    <row r="2752" spans="1:21" hidden="1" x14ac:dyDescent="0.25">
      <c r="A2752">
        <v>39225.451399999998</v>
      </c>
      <c r="B2752">
        <v>2549.3652000000002</v>
      </c>
      <c r="C2752">
        <v>17</v>
      </c>
      <c r="D2752" t="s">
        <v>665</v>
      </c>
      <c r="F2752">
        <v>1974</v>
      </c>
      <c r="G2752" s="1" t="s">
        <v>38</v>
      </c>
      <c r="H2752" s="1" t="s">
        <v>545</v>
      </c>
      <c r="I2752">
        <v>0</v>
      </c>
      <c r="J2752">
        <v>39225.425600000002</v>
      </c>
      <c r="K2752">
        <v>-1.6800000000000001E-3</v>
      </c>
      <c r="L2752">
        <v>2.99E-3</v>
      </c>
      <c r="M2752">
        <v>4.6100000000000002E-2</v>
      </c>
      <c r="N2752">
        <v>0.1303</v>
      </c>
      <c r="O2752">
        <v>3.4399999999999999E-3</v>
      </c>
      <c r="P2752" s="3">
        <f t="shared" si="168"/>
        <v>2549.3651807917754</v>
      </c>
      <c r="Q2752" s="3">
        <f t="shared" si="169"/>
        <v>-1.6768109117037966E-3</v>
      </c>
      <c r="R2752" s="3">
        <f t="shared" si="170"/>
        <v>2.99E-3</v>
      </c>
      <c r="S2752">
        <f t="shared" si="171"/>
        <v>65</v>
      </c>
      <c r="T2752">
        <f>INDEX([1]IDEN_level_ids!$B:$B,MATCH(G2752,[1]IDEN_level_ids!$A:$A,0),1)</f>
        <v>1201</v>
      </c>
      <c r="U2752">
        <f>INDEX([1]IDEN_level_ids!$B:$B,MATCH(H2752,[1]IDEN_level_ids!$A:$A,0),1)</f>
        <v>1081</v>
      </c>
    </row>
    <row r="2753" spans="1:21" hidden="1" x14ac:dyDescent="0.25">
      <c r="A2753">
        <v>39224.651299999998</v>
      </c>
      <c r="B2753">
        <v>2549.4171999999999</v>
      </c>
      <c r="C2753">
        <v>17</v>
      </c>
      <c r="D2753" t="s">
        <v>665</v>
      </c>
      <c r="F2753">
        <v>1974</v>
      </c>
      <c r="G2753" s="1" t="s">
        <v>295</v>
      </c>
      <c r="H2753" s="1" t="s">
        <v>475</v>
      </c>
      <c r="I2753">
        <v>0.18990000000000001</v>
      </c>
      <c r="J2753">
        <v>39224.583700000003</v>
      </c>
      <c r="K2753">
        <v>-4.4000000000000003E-3</v>
      </c>
      <c r="L2753">
        <v>2.99E-3</v>
      </c>
      <c r="M2753">
        <v>4.6100000000000002E-2</v>
      </c>
      <c r="N2753">
        <v>0.1048</v>
      </c>
      <c r="O2753">
        <v>3.3400000000000001E-3</v>
      </c>
      <c r="P2753" s="3">
        <f t="shared" si="168"/>
        <v>2549.4171824543409</v>
      </c>
      <c r="Q2753" s="3">
        <f t="shared" si="169"/>
        <v>-4.3936884799222753E-3</v>
      </c>
      <c r="R2753" s="3">
        <f t="shared" si="170"/>
        <v>2.99E-3</v>
      </c>
      <c r="S2753">
        <f t="shared" si="171"/>
        <v>65</v>
      </c>
      <c r="T2753">
        <f>INDEX([1]IDEN_level_ids!$B:$B,MATCH(G2753,[1]IDEN_level_ids!$A:$A,0),1)</f>
        <v>1152</v>
      </c>
      <c r="U2753">
        <f>INDEX([1]IDEN_level_ids!$B:$B,MATCH(H2753,[1]IDEN_level_ids!$A:$A,0),1)</f>
        <v>1030</v>
      </c>
    </row>
    <row r="2754" spans="1:21" hidden="1" x14ac:dyDescent="0.25">
      <c r="A2754">
        <v>39211.130599999997</v>
      </c>
      <c r="B2754">
        <v>2550.2963</v>
      </c>
      <c r="C2754">
        <v>17</v>
      </c>
      <c r="D2754" t="s">
        <v>665</v>
      </c>
      <c r="F2754">
        <v>1974</v>
      </c>
      <c r="G2754" s="1" t="s">
        <v>467</v>
      </c>
      <c r="H2754" s="1" t="s">
        <v>631</v>
      </c>
      <c r="I2754">
        <v>0</v>
      </c>
      <c r="J2754">
        <v>39211.117899999997</v>
      </c>
      <c r="K2754">
        <v>-8.3000000000000001E-4</v>
      </c>
      <c r="L2754">
        <v>3.0000000000000001E-3</v>
      </c>
      <c r="M2754">
        <v>4.6100000000000002E-2</v>
      </c>
      <c r="N2754">
        <v>0.2261</v>
      </c>
      <c r="O2754">
        <v>3.8700000000000002E-3</v>
      </c>
      <c r="P2754" s="3">
        <f t="shared" ref="P2754:P2817" si="172">100000000/$A2754</f>
        <v>2550.2962671522664</v>
      </c>
      <c r="Q2754" s="3">
        <f t="shared" ref="Q2754:Q2817" si="173">100000000/($A2754)-100000000/$J2754</f>
        <v>-8.2600967107282486E-4</v>
      </c>
      <c r="R2754" s="3">
        <f t="shared" si="170"/>
        <v>3.0000000000000001E-3</v>
      </c>
      <c r="S2754">
        <f t="shared" si="171"/>
        <v>65</v>
      </c>
      <c r="T2754">
        <f>INDEX([1]IDEN_level_ids!$B:$B,MATCH(G2754,[1]IDEN_level_ids!$A:$A,0),1)</f>
        <v>1025</v>
      </c>
      <c r="U2754">
        <f>INDEX([1]IDEN_level_ids!$B:$B,MATCH(H2754,[1]IDEN_level_ids!$A:$A,0),1)</f>
        <v>832</v>
      </c>
    </row>
    <row r="2755" spans="1:21" hidden="1" x14ac:dyDescent="0.25">
      <c r="A2755">
        <v>39201.739300000001</v>
      </c>
      <c r="B2755">
        <v>2550.9072000000001</v>
      </c>
      <c r="C2755">
        <v>17</v>
      </c>
      <c r="D2755" t="s">
        <v>665</v>
      </c>
      <c r="E2755" t="s">
        <v>427</v>
      </c>
      <c r="F2755">
        <v>1974</v>
      </c>
      <c r="G2755" s="1" t="s">
        <v>73</v>
      </c>
      <c r="H2755" s="1" t="s">
        <v>431</v>
      </c>
      <c r="I2755">
        <v>0.28649999999999998</v>
      </c>
      <c r="J2755">
        <v>39201.732000000004</v>
      </c>
      <c r="K2755">
        <v>-4.8000000000000001E-4</v>
      </c>
      <c r="L2755">
        <v>3.1700000000000001E-3</v>
      </c>
      <c r="M2755">
        <v>4.87E-2</v>
      </c>
      <c r="N2755">
        <v>8.1100000000000005E-2</v>
      </c>
      <c r="O2755">
        <v>3.4499999999999999E-3</v>
      </c>
      <c r="P2755" s="3">
        <f t="shared" si="172"/>
        <v>2550.9072246700034</v>
      </c>
      <c r="Q2755" s="3">
        <f t="shared" si="173"/>
        <v>-4.7502040797553491E-4</v>
      </c>
      <c r="R2755" s="3">
        <f t="shared" ref="R2755:R2818" si="174">$L2755</f>
        <v>3.1700000000000001E-3</v>
      </c>
      <c r="S2755">
        <f t="shared" si="171"/>
        <v>65</v>
      </c>
      <c r="T2755">
        <f>INDEX([1]IDEN_level_ids!$B:$B,MATCH(G2755,[1]IDEN_level_ids!$A:$A,0),1)</f>
        <v>1173</v>
      </c>
      <c r="U2755">
        <f>INDEX([1]IDEN_level_ids!$B:$B,MATCH(H2755,[1]IDEN_level_ids!$A:$A,0),1)</f>
        <v>1062</v>
      </c>
    </row>
    <row r="2756" spans="1:21" hidden="1" x14ac:dyDescent="0.25">
      <c r="A2756">
        <v>39193.451300000001</v>
      </c>
      <c r="B2756">
        <v>2551.4466000000002</v>
      </c>
      <c r="C2756">
        <v>17</v>
      </c>
      <c r="D2756" t="s">
        <v>665</v>
      </c>
      <c r="F2756">
        <v>1974</v>
      </c>
      <c r="G2756" s="1" t="s">
        <v>458</v>
      </c>
      <c r="H2756" s="1" t="s">
        <v>311</v>
      </c>
      <c r="I2756">
        <v>0</v>
      </c>
      <c r="J2756">
        <v>39193.423000000003</v>
      </c>
      <c r="K2756">
        <v>-1.8400000000000001E-3</v>
      </c>
      <c r="L2756">
        <v>3.0000000000000001E-3</v>
      </c>
      <c r="M2756">
        <v>4.6100000000000002E-2</v>
      </c>
      <c r="N2756">
        <v>0.18379999999999999</v>
      </c>
      <c r="O2756">
        <v>3.6700000000000001E-3</v>
      </c>
      <c r="P2756" s="3">
        <f t="shared" si="172"/>
        <v>2551.4466494559515</v>
      </c>
      <c r="Q2756" s="3">
        <f t="shared" si="173"/>
        <v>-1.84229737124042E-3</v>
      </c>
      <c r="R2756" s="3">
        <f t="shared" si="174"/>
        <v>3.0000000000000001E-3</v>
      </c>
      <c r="S2756">
        <f t="shared" ref="S2756:S2819" si="175">IF(D2756=D2755,S2755,S2755+1)</f>
        <v>65</v>
      </c>
      <c r="T2756">
        <f>INDEX([1]IDEN_level_ids!$B:$B,MATCH(G2756,[1]IDEN_level_ids!$A:$A,0),1)</f>
        <v>1064</v>
      </c>
      <c r="U2756">
        <f>INDEX([1]IDEN_level_ids!$B:$B,MATCH(H2756,[1]IDEN_level_ids!$A:$A,0),1)</f>
        <v>876</v>
      </c>
    </row>
    <row r="2757" spans="1:21" hidden="1" x14ac:dyDescent="0.25">
      <c r="A2757">
        <v>39180.580800000003</v>
      </c>
      <c r="B2757">
        <v>2552.2847999999999</v>
      </c>
      <c r="C2757">
        <v>17</v>
      </c>
      <c r="D2757" t="s">
        <v>665</v>
      </c>
      <c r="E2757" t="s">
        <v>427</v>
      </c>
      <c r="F2757">
        <v>1974</v>
      </c>
      <c r="G2757" s="1" t="s">
        <v>108</v>
      </c>
      <c r="H2757" s="1" t="s">
        <v>472</v>
      </c>
      <c r="I2757">
        <v>0</v>
      </c>
      <c r="J2757">
        <v>39180.550499999998</v>
      </c>
      <c r="K2757">
        <v>-1.98E-3</v>
      </c>
      <c r="L2757">
        <v>3.1700000000000001E-3</v>
      </c>
      <c r="M2757">
        <v>4.87E-2</v>
      </c>
      <c r="N2757">
        <v>9.1499999999999998E-2</v>
      </c>
      <c r="O2757">
        <v>3.49E-3</v>
      </c>
      <c r="P2757" s="3">
        <f t="shared" si="172"/>
        <v>2552.284778790211</v>
      </c>
      <c r="Q2757" s="3">
        <f t="shared" si="173"/>
        <v>-1.9737912771233823E-3</v>
      </c>
      <c r="R2757" s="3">
        <f t="shared" si="174"/>
        <v>3.1700000000000001E-3</v>
      </c>
      <c r="S2757">
        <f t="shared" si="175"/>
        <v>65</v>
      </c>
      <c r="T2757">
        <f>INDEX([1]IDEN_level_ids!$B:$B,MATCH(G2757,[1]IDEN_level_ids!$A:$A,0),1)</f>
        <v>1149</v>
      </c>
      <c r="U2757">
        <f>INDEX([1]IDEN_level_ids!$B:$B,MATCH(H2757,[1]IDEN_level_ids!$A:$A,0),1)</f>
        <v>1012</v>
      </c>
    </row>
    <row r="2758" spans="1:21" hidden="1" x14ac:dyDescent="0.25">
      <c r="A2758">
        <v>39175.040200000003</v>
      </c>
      <c r="B2758">
        <v>2552.6457999999998</v>
      </c>
      <c r="C2758">
        <v>17</v>
      </c>
      <c r="D2758" t="s">
        <v>665</v>
      </c>
      <c r="F2758">
        <v>1974</v>
      </c>
      <c r="G2758" s="1" t="s">
        <v>437</v>
      </c>
      <c r="H2758" s="1" t="s">
        <v>347</v>
      </c>
      <c r="I2758">
        <v>-0.26329999999999998</v>
      </c>
      <c r="J2758">
        <v>39175.011100000003</v>
      </c>
      <c r="K2758">
        <v>-1.89E-3</v>
      </c>
      <c r="L2758">
        <v>3.0000000000000001E-3</v>
      </c>
      <c r="M2758">
        <v>4.6100000000000002E-2</v>
      </c>
      <c r="N2758">
        <v>0.23630000000000001</v>
      </c>
      <c r="O2758">
        <v>3.9300000000000003E-3</v>
      </c>
      <c r="P2758" s="3">
        <f t="shared" si="172"/>
        <v>2552.645753251837</v>
      </c>
      <c r="Q2758" s="3">
        <f t="shared" si="173"/>
        <v>-1.8961575078719761E-3</v>
      </c>
      <c r="R2758" s="3">
        <f t="shared" si="174"/>
        <v>3.0000000000000001E-3</v>
      </c>
      <c r="S2758">
        <f t="shared" si="175"/>
        <v>65</v>
      </c>
      <c r="T2758">
        <f>INDEX([1]IDEN_level_ids!$B:$B,MATCH(G2758,[1]IDEN_level_ids!$A:$A,0),1)</f>
        <v>1039</v>
      </c>
      <c r="U2758">
        <f>INDEX([1]IDEN_level_ids!$B:$B,MATCH(H2758,[1]IDEN_level_ids!$A:$A,0),1)</f>
        <v>851</v>
      </c>
    </row>
    <row r="2759" spans="1:21" hidden="1" x14ac:dyDescent="0.25">
      <c r="A2759">
        <v>39172.6302</v>
      </c>
      <c r="B2759">
        <v>2552.8027999999999</v>
      </c>
      <c r="C2759">
        <v>17</v>
      </c>
      <c r="D2759" t="s">
        <v>665</v>
      </c>
      <c r="F2759">
        <v>1974</v>
      </c>
      <c r="G2759" s="1" t="s">
        <v>345</v>
      </c>
      <c r="H2759" s="1" t="s">
        <v>610</v>
      </c>
      <c r="I2759">
        <v>9.8000000000000004E-2</v>
      </c>
      <c r="J2759">
        <v>39172.660799999998</v>
      </c>
      <c r="K2759">
        <v>1.99E-3</v>
      </c>
      <c r="L2759">
        <v>3.0000000000000001E-3</v>
      </c>
      <c r="M2759">
        <v>4.6100000000000002E-2</v>
      </c>
      <c r="N2759">
        <v>0.19020000000000001</v>
      </c>
      <c r="O2759">
        <v>3.7100000000000002E-3</v>
      </c>
      <c r="P2759" s="3">
        <f t="shared" si="172"/>
        <v>2552.8027985213002</v>
      </c>
      <c r="Q2759" s="3">
        <f t="shared" si="173"/>
        <v>1.994139893213287E-3</v>
      </c>
      <c r="R2759" s="3">
        <f t="shared" si="174"/>
        <v>3.0000000000000001E-3</v>
      </c>
      <c r="S2759">
        <f t="shared" si="175"/>
        <v>65</v>
      </c>
      <c r="T2759">
        <f>INDEX([1]IDEN_level_ids!$B:$B,MATCH(G2759,[1]IDEN_level_ids!$A:$A,0),1)</f>
        <v>1106</v>
      </c>
      <c r="U2759">
        <f>INDEX([1]IDEN_level_ids!$B:$B,MATCH(H2759,[1]IDEN_level_ids!$A:$A,0),1)</f>
        <v>964</v>
      </c>
    </row>
    <row r="2760" spans="1:21" hidden="1" x14ac:dyDescent="0.25">
      <c r="A2760">
        <v>39171.449699999997</v>
      </c>
      <c r="B2760">
        <v>2552.8797</v>
      </c>
      <c r="C2760">
        <v>17</v>
      </c>
      <c r="D2760" t="s">
        <v>665</v>
      </c>
      <c r="F2760">
        <v>1974</v>
      </c>
      <c r="G2760" s="1" t="s">
        <v>470</v>
      </c>
      <c r="H2760" s="1" t="s">
        <v>629</v>
      </c>
      <c r="I2760">
        <v>-0.2848</v>
      </c>
      <c r="J2760">
        <v>39171.464899999999</v>
      </c>
      <c r="K2760">
        <v>9.8999999999999999E-4</v>
      </c>
      <c r="L2760">
        <v>3.0000000000000001E-3</v>
      </c>
      <c r="M2760">
        <v>4.6100000000000002E-2</v>
      </c>
      <c r="N2760">
        <v>0.22140000000000001</v>
      </c>
      <c r="O2760">
        <v>3.8600000000000001E-3</v>
      </c>
      <c r="P2760" s="3">
        <f t="shared" si="172"/>
        <v>2552.8797316888686</v>
      </c>
      <c r="Q2760" s="3">
        <f t="shared" si="173"/>
        <v>9.9061324453941779E-4</v>
      </c>
      <c r="R2760" s="3">
        <f t="shared" si="174"/>
        <v>3.0000000000000001E-3</v>
      </c>
      <c r="S2760">
        <f t="shared" si="175"/>
        <v>65</v>
      </c>
      <c r="T2760">
        <f>INDEX([1]IDEN_level_ids!$B:$B,MATCH(G2760,[1]IDEN_level_ids!$A:$A,0),1)</f>
        <v>1026</v>
      </c>
      <c r="U2760">
        <f>INDEX([1]IDEN_level_ids!$B:$B,MATCH(H2760,[1]IDEN_level_ids!$A:$A,0),1)</f>
        <v>833</v>
      </c>
    </row>
    <row r="2761" spans="1:21" hidden="1" x14ac:dyDescent="0.25">
      <c r="A2761">
        <v>39168.0406</v>
      </c>
      <c r="B2761">
        <v>2553.1019000000001</v>
      </c>
      <c r="C2761">
        <v>17</v>
      </c>
      <c r="D2761" t="s">
        <v>665</v>
      </c>
      <c r="F2761">
        <v>1974</v>
      </c>
      <c r="G2761" s="1" t="s">
        <v>79</v>
      </c>
      <c r="H2761" s="1" t="s">
        <v>381</v>
      </c>
      <c r="I2761">
        <v>0.23219999999999999</v>
      </c>
      <c r="J2761">
        <v>39167.995300000002</v>
      </c>
      <c r="K2761">
        <v>-2.9499999999999999E-3</v>
      </c>
      <c r="L2761">
        <v>3.0000000000000001E-3</v>
      </c>
      <c r="M2761">
        <v>4.6100000000000002E-2</v>
      </c>
      <c r="N2761">
        <v>0.15</v>
      </c>
      <c r="O2761">
        <v>3.5300000000000002E-3</v>
      </c>
      <c r="P2761" s="3">
        <f t="shared" si="172"/>
        <v>2553.1019287188956</v>
      </c>
      <c r="Q2761" s="3">
        <f t="shared" si="173"/>
        <v>-2.9528066593229596E-3</v>
      </c>
      <c r="R2761" s="3">
        <f t="shared" si="174"/>
        <v>3.0000000000000001E-3</v>
      </c>
      <c r="S2761">
        <f t="shared" si="175"/>
        <v>65</v>
      </c>
      <c r="T2761">
        <f>INDEX([1]IDEN_level_ids!$B:$B,MATCH(G2761,[1]IDEN_level_ids!$A:$A,0),1)</f>
        <v>1216</v>
      </c>
      <c r="U2761">
        <f>INDEX([1]IDEN_level_ids!$B:$B,MATCH(H2761,[1]IDEN_level_ids!$A:$A,0),1)</f>
        <v>1084</v>
      </c>
    </row>
    <row r="2762" spans="1:21" hidden="1" x14ac:dyDescent="0.25">
      <c r="A2762">
        <v>39152.9611</v>
      </c>
      <c r="B2762">
        <v>2554.0852</v>
      </c>
      <c r="C2762">
        <v>17</v>
      </c>
      <c r="D2762" t="s">
        <v>665</v>
      </c>
      <c r="F2762">
        <v>1974</v>
      </c>
      <c r="G2762" s="1" t="s">
        <v>467</v>
      </c>
      <c r="H2762" s="1" t="s">
        <v>629</v>
      </c>
      <c r="I2762">
        <v>0</v>
      </c>
      <c r="J2762">
        <v>39152.878499999999</v>
      </c>
      <c r="K2762">
        <v>-5.3899999999999998E-3</v>
      </c>
      <c r="L2762">
        <v>3.0100000000000001E-3</v>
      </c>
      <c r="M2762">
        <v>4.6100000000000002E-2</v>
      </c>
      <c r="N2762">
        <v>0.21859999999999999</v>
      </c>
      <c r="O2762">
        <v>3.8500000000000001E-3</v>
      </c>
      <c r="P2762" s="3">
        <f t="shared" si="172"/>
        <v>2554.085238779041</v>
      </c>
      <c r="Q2762" s="3">
        <f t="shared" si="173"/>
        <v>-5.3882996298852959E-3</v>
      </c>
      <c r="R2762" s="3">
        <f t="shared" si="174"/>
        <v>3.0100000000000001E-3</v>
      </c>
      <c r="S2762">
        <f t="shared" si="175"/>
        <v>65</v>
      </c>
      <c r="T2762">
        <f>INDEX([1]IDEN_level_ids!$B:$B,MATCH(G2762,[1]IDEN_level_ids!$A:$A,0),1)</f>
        <v>1025</v>
      </c>
      <c r="U2762">
        <f>INDEX([1]IDEN_level_ids!$B:$B,MATCH(H2762,[1]IDEN_level_ids!$A:$A,0),1)</f>
        <v>833</v>
      </c>
    </row>
    <row r="2763" spans="1:21" hidden="1" x14ac:dyDescent="0.25">
      <c r="A2763">
        <v>39152.029499999997</v>
      </c>
      <c r="B2763">
        <v>2554.1460000000002</v>
      </c>
      <c r="C2763">
        <v>17</v>
      </c>
      <c r="D2763" t="s">
        <v>665</v>
      </c>
      <c r="F2763">
        <v>1974</v>
      </c>
      <c r="G2763" s="1" t="s">
        <v>285</v>
      </c>
      <c r="H2763" s="1" t="s">
        <v>585</v>
      </c>
      <c r="I2763">
        <v>0</v>
      </c>
      <c r="J2763">
        <v>39151.972199999997</v>
      </c>
      <c r="K2763">
        <v>-3.7399999999999998E-3</v>
      </c>
      <c r="L2763">
        <v>3.0100000000000001E-3</v>
      </c>
      <c r="M2763">
        <v>4.6100000000000002E-2</v>
      </c>
      <c r="N2763">
        <v>0.1205</v>
      </c>
      <c r="O2763">
        <v>3.4199999999999999E-3</v>
      </c>
      <c r="P2763" s="3">
        <f t="shared" si="172"/>
        <v>2554.1460117667721</v>
      </c>
      <c r="Q2763" s="3">
        <f t="shared" si="173"/>
        <v>-3.7380637104433845E-3</v>
      </c>
      <c r="R2763" s="3">
        <f t="shared" si="174"/>
        <v>3.0100000000000001E-3</v>
      </c>
      <c r="S2763">
        <f t="shared" si="175"/>
        <v>65</v>
      </c>
      <c r="T2763">
        <f>INDEX([1]IDEN_level_ids!$B:$B,MATCH(G2763,[1]IDEN_level_ids!$A:$A,0),1)</f>
        <v>1150</v>
      </c>
      <c r="U2763">
        <f>INDEX([1]IDEN_level_ids!$B:$B,MATCH(H2763,[1]IDEN_level_ids!$A:$A,0),1)</f>
        <v>1019</v>
      </c>
    </row>
    <row r="2764" spans="1:21" hidden="1" x14ac:dyDescent="0.25">
      <c r="A2764">
        <v>39138.660900000003</v>
      </c>
      <c r="B2764">
        <v>2555.0183999999999</v>
      </c>
      <c r="C2764">
        <v>17</v>
      </c>
      <c r="D2764" t="s">
        <v>665</v>
      </c>
      <c r="E2764" t="s">
        <v>427</v>
      </c>
      <c r="F2764">
        <v>1974</v>
      </c>
      <c r="G2764" s="1" t="s">
        <v>576</v>
      </c>
      <c r="H2764" s="1" t="s">
        <v>332</v>
      </c>
      <c r="I2764">
        <v>-0.13669999999999999</v>
      </c>
      <c r="J2764">
        <v>39138.6944</v>
      </c>
      <c r="K2764">
        <v>2.1900000000000001E-3</v>
      </c>
      <c r="L2764">
        <v>3.1800000000000001E-3</v>
      </c>
      <c r="M2764">
        <v>4.87E-2</v>
      </c>
      <c r="N2764">
        <v>0.28110000000000002</v>
      </c>
      <c r="O2764">
        <v>4.4200000000000003E-3</v>
      </c>
      <c r="P2764" s="3">
        <f t="shared" si="172"/>
        <v>2555.0184319157429</v>
      </c>
      <c r="Q2764" s="3">
        <f t="shared" si="173"/>
        <v>2.1869180559406232E-3</v>
      </c>
      <c r="R2764" s="3">
        <f t="shared" si="174"/>
        <v>3.1800000000000001E-3</v>
      </c>
      <c r="S2764">
        <f t="shared" si="175"/>
        <v>65</v>
      </c>
      <c r="T2764">
        <f>INDEX([1]IDEN_level_ids!$B:$B,MATCH(G2764,[1]IDEN_level_ids!$A:$A,0),1)</f>
        <v>1024</v>
      </c>
      <c r="U2764">
        <f>INDEX([1]IDEN_level_ids!$B:$B,MATCH(H2764,[1]IDEN_level_ids!$A:$A,0),1)</f>
        <v>828</v>
      </c>
    </row>
    <row r="2765" spans="1:21" hidden="1" x14ac:dyDescent="0.25">
      <c r="A2765">
        <v>39128.980600000003</v>
      </c>
      <c r="B2765">
        <v>2555.6505000000002</v>
      </c>
      <c r="C2765">
        <v>17</v>
      </c>
      <c r="D2765" t="s">
        <v>665</v>
      </c>
      <c r="F2765">
        <v>1974</v>
      </c>
      <c r="G2765" s="1" t="s">
        <v>466</v>
      </c>
      <c r="H2765" s="1" t="s">
        <v>311</v>
      </c>
      <c r="I2765">
        <v>-0.3876</v>
      </c>
      <c r="J2765">
        <v>39128.904199999997</v>
      </c>
      <c r="K2765">
        <v>-4.9899999999999996E-3</v>
      </c>
      <c r="L2765">
        <v>3.0100000000000001E-3</v>
      </c>
      <c r="M2765">
        <v>4.6100000000000002E-2</v>
      </c>
      <c r="N2765">
        <v>0.18559999999999999</v>
      </c>
      <c r="O2765">
        <v>3.6900000000000001E-3</v>
      </c>
      <c r="P2765" s="3">
        <f t="shared" si="172"/>
        <v>2555.6505297763874</v>
      </c>
      <c r="Q2765" s="3">
        <f t="shared" si="173"/>
        <v>-4.9899608611667645E-3</v>
      </c>
      <c r="R2765" s="3">
        <f t="shared" si="174"/>
        <v>3.0100000000000001E-3</v>
      </c>
      <c r="S2765">
        <f t="shared" si="175"/>
        <v>65</v>
      </c>
      <c r="T2765">
        <f>INDEX([1]IDEN_level_ids!$B:$B,MATCH(G2765,[1]IDEN_level_ids!$A:$A,0),1)</f>
        <v>1061</v>
      </c>
      <c r="U2765">
        <f>INDEX([1]IDEN_level_ids!$B:$B,MATCH(H2765,[1]IDEN_level_ids!$A:$A,0),1)</f>
        <v>876</v>
      </c>
    </row>
    <row r="2766" spans="1:21" hidden="1" x14ac:dyDescent="0.25">
      <c r="A2766">
        <v>39127.529199999997</v>
      </c>
      <c r="B2766">
        <v>2555.7453</v>
      </c>
      <c r="C2766">
        <v>17</v>
      </c>
      <c r="D2766" t="s">
        <v>665</v>
      </c>
      <c r="F2766">
        <v>1974</v>
      </c>
      <c r="G2766" s="1" t="s">
        <v>259</v>
      </c>
      <c r="H2766" s="1" t="s">
        <v>525</v>
      </c>
      <c r="I2766">
        <v>0</v>
      </c>
      <c r="J2766">
        <v>39127.480799999998</v>
      </c>
      <c r="K2766">
        <v>-3.16E-3</v>
      </c>
      <c r="L2766">
        <v>3.0100000000000001E-3</v>
      </c>
      <c r="M2766">
        <v>4.6100000000000002E-2</v>
      </c>
      <c r="N2766">
        <v>0.23139999999999999</v>
      </c>
      <c r="O2766">
        <v>3.9100000000000003E-3</v>
      </c>
      <c r="P2766" s="3">
        <f t="shared" si="172"/>
        <v>2555.7453293012941</v>
      </c>
      <c r="Q2766" s="3">
        <f t="shared" si="173"/>
        <v>-3.1614116578566609E-3</v>
      </c>
      <c r="R2766" s="3">
        <f t="shared" si="174"/>
        <v>3.0100000000000001E-3</v>
      </c>
      <c r="S2766">
        <f t="shared" si="175"/>
        <v>65</v>
      </c>
      <c r="T2766">
        <f>INDEX([1]IDEN_level_ids!$B:$B,MATCH(G2766,[1]IDEN_level_ids!$A:$A,0),1)</f>
        <v>1117</v>
      </c>
      <c r="U2766">
        <f>INDEX([1]IDEN_level_ids!$B:$B,MATCH(H2766,[1]IDEN_level_ids!$A:$A,0),1)</f>
        <v>971</v>
      </c>
    </row>
    <row r="2767" spans="1:21" hidden="1" x14ac:dyDescent="0.25">
      <c r="A2767">
        <v>39121.800300000003</v>
      </c>
      <c r="B2767">
        <v>2556.1196</v>
      </c>
      <c r="C2767">
        <v>17</v>
      </c>
      <c r="D2767" t="s">
        <v>665</v>
      </c>
      <c r="E2767" t="s">
        <v>236</v>
      </c>
      <c r="F2767">
        <v>1974</v>
      </c>
      <c r="G2767" s="1" t="s">
        <v>407</v>
      </c>
      <c r="H2767" s="1" t="s">
        <v>369</v>
      </c>
      <c r="I2767">
        <v>-0.27489999999999998</v>
      </c>
      <c r="J2767">
        <v>39121.766900000002</v>
      </c>
      <c r="K2767">
        <v>-2.1800000000000001E-3</v>
      </c>
      <c r="L2767">
        <v>1.5399999999999999E-3</v>
      </c>
      <c r="M2767">
        <v>2.3599999999999999E-2</v>
      </c>
      <c r="N2767">
        <v>0.55389999999999995</v>
      </c>
      <c r="O2767">
        <v>3.46E-3</v>
      </c>
      <c r="P2767" s="3">
        <f t="shared" si="172"/>
        <v>2556.119586347359</v>
      </c>
      <c r="Q2767" s="3">
        <f t="shared" si="173"/>
        <v>-2.1822734747729555E-3</v>
      </c>
      <c r="R2767" s="3">
        <f t="shared" si="174"/>
        <v>1.5399999999999999E-3</v>
      </c>
      <c r="S2767">
        <f t="shared" si="175"/>
        <v>65</v>
      </c>
      <c r="T2767">
        <f>INDEX([1]IDEN_level_ids!$B:$B,MATCH(G2767,[1]IDEN_level_ids!$A:$A,0),1)</f>
        <v>1073</v>
      </c>
      <c r="U2767">
        <f>INDEX([1]IDEN_level_ids!$B:$B,MATCH(H2767,[1]IDEN_level_ids!$A:$A,0),1)</f>
        <v>884</v>
      </c>
    </row>
    <row r="2768" spans="1:21" hidden="1" x14ac:dyDescent="0.25">
      <c r="A2768">
        <v>39116.441099999996</v>
      </c>
      <c r="B2768">
        <v>2556.4697999999999</v>
      </c>
      <c r="C2768">
        <v>17</v>
      </c>
      <c r="D2768" t="s">
        <v>665</v>
      </c>
      <c r="E2768" t="s">
        <v>427</v>
      </c>
      <c r="F2768">
        <v>1974</v>
      </c>
      <c r="G2768" s="1" t="s">
        <v>194</v>
      </c>
      <c r="H2768" s="1" t="s">
        <v>407</v>
      </c>
      <c r="I2768">
        <v>0.27489999999999998</v>
      </c>
      <c r="J2768">
        <v>39116.4179</v>
      </c>
      <c r="K2768">
        <v>-1.5200000000000001E-3</v>
      </c>
      <c r="L2768">
        <v>3.1800000000000001E-3</v>
      </c>
      <c r="M2768">
        <v>4.87E-2</v>
      </c>
      <c r="N2768">
        <v>7.2499999999999995E-2</v>
      </c>
      <c r="O2768">
        <v>3.4299999999999999E-3</v>
      </c>
      <c r="P2768" s="3">
        <f t="shared" si="172"/>
        <v>2556.469790908458</v>
      </c>
      <c r="Q2768" s="3">
        <f t="shared" si="173"/>
        <v>-1.5162456666075741E-3</v>
      </c>
      <c r="R2768" s="3">
        <f t="shared" si="174"/>
        <v>3.1800000000000001E-3</v>
      </c>
      <c r="S2768">
        <f t="shared" si="175"/>
        <v>65</v>
      </c>
      <c r="T2768">
        <f>INDEX([1]IDEN_level_ids!$B:$B,MATCH(G2768,[1]IDEN_level_ids!$A:$A,0),1)</f>
        <v>1187</v>
      </c>
      <c r="U2768">
        <f>INDEX([1]IDEN_level_ids!$B:$B,MATCH(H2768,[1]IDEN_level_ids!$A:$A,0),1)</f>
        <v>1073</v>
      </c>
    </row>
    <row r="2769" spans="1:21" hidden="1" x14ac:dyDescent="0.25">
      <c r="A2769">
        <v>39108.688699999999</v>
      </c>
      <c r="B2769">
        <v>2556.9766</v>
      </c>
      <c r="C2769">
        <v>17</v>
      </c>
      <c r="D2769" t="s">
        <v>665</v>
      </c>
      <c r="F2769">
        <v>1974</v>
      </c>
      <c r="G2769" s="1" t="s">
        <v>431</v>
      </c>
      <c r="H2769" s="1" t="s">
        <v>311</v>
      </c>
      <c r="I2769">
        <v>-0.28649999999999998</v>
      </c>
      <c r="J2769">
        <v>39108.698900000003</v>
      </c>
      <c r="K2769">
        <v>6.7000000000000002E-4</v>
      </c>
      <c r="L2769">
        <v>3.0100000000000001E-3</v>
      </c>
      <c r="M2769">
        <v>4.6100000000000002E-2</v>
      </c>
      <c r="N2769">
        <v>0.17169999999999999</v>
      </c>
      <c r="O2769">
        <v>3.64E-3</v>
      </c>
      <c r="P2769" s="3">
        <f t="shared" si="172"/>
        <v>2556.976552374153</v>
      </c>
      <c r="Q2769" s="3">
        <f t="shared" si="173"/>
        <v>6.6688899323708029E-4</v>
      </c>
      <c r="R2769" s="3">
        <f t="shared" si="174"/>
        <v>3.0100000000000001E-3</v>
      </c>
      <c r="S2769">
        <f t="shared" si="175"/>
        <v>65</v>
      </c>
      <c r="T2769">
        <f>INDEX([1]IDEN_level_ids!$B:$B,MATCH(G2769,[1]IDEN_level_ids!$A:$A,0),1)</f>
        <v>1062</v>
      </c>
      <c r="U2769">
        <f>INDEX([1]IDEN_level_ids!$B:$B,MATCH(H2769,[1]IDEN_level_ids!$A:$A,0),1)</f>
        <v>876</v>
      </c>
    </row>
    <row r="2770" spans="1:21" hidden="1" x14ac:dyDescent="0.25">
      <c r="A2770">
        <v>39104.618999999999</v>
      </c>
      <c r="B2770">
        <v>2557.2426999999998</v>
      </c>
      <c r="C2770">
        <v>17</v>
      </c>
      <c r="D2770" t="s">
        <v>665</v>
      </c>
      <c r="F2770">
        <v>1974</v>
      </c>
      <c r="G2770" s="1" t="s">
        <v>437</v>
      </c>
      <c r="H2770" s="1" t="s">
        <v>366</v>
      </c>
      <c r="I2770">
        <v>-0.26329999999999998</v>
      </c>
      <c r="J2770">
        <v>39104.543100000003</v>
      </c>
      <c r="K2770">
        <v>-4.9699999999999996E-3</v>
      </c>
      <c r="L2770">
        <v>3.0100000000000001E-3</v>
      </c>
      <c r="M2770">
        <v>4.6100000000000002E-2</v>
      </c>
      <c r="N2770">
        <v>0.2029</v>
      </c>
      <c r="O2770">
        <v>3.7799999999999999E-3</v>
      </c>
      <c r="P2770" s="3">
        <f t="shared" si="172"/>
        <v>2557.242662305443</v>
      </c>
      <c r="Q2770" s="3">
        <f t="shared" si="173"/>
        <v>-4.9634825691100559E-3</v>
      </c>
      <c r="R2770" s="3">
        <f t="shared" si="174"/>
        <v>3.0100000000000001E-3</v>
      </c>
      <c r="S2770">
        <f t="shared" si="175"/>
        <v>65</v>
      </c>
      <c r="T2770">
        <f>INDEX([1]IDEN_level_ids!$B:$B,MATCH(G2770,[1]IDEN_level_ids!$A:$A,0),1)</f>
        <v>1039</v>
      </c>
      <c r="U2770">
        <f>INDEX([1]IDEN_level_ids!$B:$B,MATCH(H2770,[1]IDEN_level_ids!$A:$A,0),1)</f>
        <v>853</v>
      </c>
    </row>
    <row r="2771" spans="1:21" hidden="1" x14ac:dyDescent="0.25">
      <c r="A2771">
        <v>39102.641100000001</v>
      </c>
      <c r="B2771">
        <v>2557.3719999999998</v>
      </c>
      <c r="C2771">
        <v>17</v>
      </c>
      <c r="D2771" t="s">
        <v>665</v>
      </c>
      <c r="F2771">
        <v>1974</v>
      </c>
      <c r="G2771" s="1" t="s">
        <v>464</v>
      </c>
      <c r="H2771" s="1" t="s">
        <v>318</v>
      </c>
      <c r="I2771">
        <v>0</v>
      </c>
      <c r="J2771">
        <v>39102.643100000001</v>
      </c>
      <c r="K2771">
        <v>1.2999999999999999E-4</v>
      </c>
      <c r="L2771">
        <v>3.0100000000000001E-3</v>
      </c>
      <c r="M2771">
        <v>4.6100000000000002E-2</v>
      </c>
      <c r="N2771">
        <v>0.14849999999999999</v>
      </c>
      <c r="O2771">
        <v>3.5400000000000002E-3</v>
      </c>
      <c r="P2771" s="3">
        <f t="shared" si="172"/>
        <v>2557.3720134213645</v>
      </c>
      <c r="Q2771" s="3">
        <f t="shared" si="173"/>
        <v>1.3080302551315981E-4</v>
      </c>
      <c r="R2771" s="3">
        <f t="shared" si="174"/>
        <v>3.0100000000000001E-3</v>
      </c>
      <c r="S2771">
        <f t="shared" si="175"/>
        <v>65</v>
      </c>
      <c r="T2771">
        <f>INDEX([1]IDEN_level_ids!$B:$B,MATCH(G2771,[1]IDEN_level_ids!$A:$A,0),1)</f>
        <v>1076</v>
      </c>
      <c r="U2771">
        <f>INDEX([1]IDEN_level_ids!$B:$B,MATCH(H2771,[1]IDEN_level_ids!$A:$A,0),1)</f>
        <v>888</v>
      </c>
    </row>
    <row r="2772" spans="1:21" hidden="1" x14ac:dyDescent="0.25">
      <c r="A2772">
        <v>39099.460899999998</v>
      </c>
      <c r="B2772">
        <v>2557.58</v>
      </c>
      <c r="C2772">
        <v>17</v>
      </c>
      <c r="D2772" t="s">
        <v>665</v>
      </c>
      <c r="F2772">
        <v>1974</v>
      </c>
      <c r="G2772" s="1" t="s">
        <v>431</v>
      </c>
      <c r="H2772" s="1" t="s">
        <v>315</v>
      </c>
      <c r="I2772">
        <v>-0.28649999999999998</v>
      </c>
      <c r="J2772">
        <v>39099.427199999998</v>
      </c>
      <c r="K2772">
        <v>-2.2000000000000001E-3</v>
      </c>
      <c r="L2772">
        <v>3.0100000000000001E-3</v>
      </c>
      <c r="M2772">
        <v>4.6100000000000002E-2</v>
      </c>
      <c r="N2772">
        <v>0.188</v>
      </c>
      <c r="O2772">
        <v>3.7100000000000002E-3</v>
      </c>
      <c r="P2772" s="3">
        <f t="shared" si="172"/>
        <v>2557.5800202401256</v>
      </c>
      <c r="Q2772" s="3">
        <f t="shared" si="173"/>
        <v>-2.2043915437279793E-3</v>
      </c>
      <c r="R2772" s="3">
        <f t="shared" si="174"/>
        <v>3.0100000000000001E-3</v>
      </c>
      <c r="S2772">
        <f t="shared" si="175"/>
        <v>65</v>
      </c>
      <c r="T2772">
        <f>INDEX([1]IDEN_level_ids!$B:$B,MATCH(G2772,[1]IDEN_level_ids!$A:$A,0),1)</f>
        <v>1062</v>
      </c>
      <c r="U2772">
        <f>INDEX([1]IDEN_level_ids!$B:$B,MATCH(H2772,[1]IDEN_level_ids!$A:$A,0),1)</f>
        <v>877</v>
      </c>
    </row>
    <row r="2773" spans="1:21" hidden="1" x14ac:dyDescent="0.25">
      <c r="A2773">
        <v>39093.4211</v>
      </c>
      <c r="B2773">
        <v>2557.9751999999999</v>
      </c>
      <c r="C2773">
        <v>17</v>
      </c>
      <c r="D2773" t="s">
        <v>665</v>
      </c>
      <c r="F2773">
        <v>1974</v>
      </c>
      <c r="G2773" s="1" t="s">
        <v>194</v>
      </c>
      <c r="H2773" s="1" t="s">
        <v>518</v>
      </c>
      <c r="I2773">
        <v>0</v>
      </c>
      <c r="J2773">
        <v>39093.379800000002</v>
      </c>
      <c r="K2773">
        <v>-2.7000000000000001E-3</v>
      </c>
      <c r="L2773">
        <v>3.0100000000000001E-3</v>
      </c>
      <c r="M2773">
        <v>4.6100000000000002E-2</v>
      </c>
      <c r="N2773">
        <v>0.16819999999999999</v>
      </c>
      <c r="O2773">
        <v>3.62E-3</v>
      </c>
      <c r="P2773" s="3">
        <f t="shared" si="172"/>
        <v>2557.9751576154586</v>
      </c>
      <c r="Q2773" s="3">
        <f t="shared" si="173"/>
        <v>-2.702359697650536E-3</v>
      </c>
      <c r="R2773" s="3">
        <f t="shared" si="174"/>
        <v>3.0100000000000001E-3</v>
      </c>
      <c r="S2773">
        <f t="shared" si="175"/>
        <v>65</v>
      </c>
      <c r="T2773">
        <f>INDEX([1]IDEN_level_ids!$B:$B,MATCH(G2773,[1]IDEN_level_ids!$A:$A,0),1)</f>
        <v>1187</v>
      </c>
      <c r="U2773">
        <f>INDEX([1]IDEN_level_ids!$B:$B,MATCH(H2773,[1]IDEN_level_ids!$A:$A,0),1)</f>
        <v>1074</v>
      </c>
    </row>
    <row r="2774" spans="1:21" hidden="1" x14ac:dyDescent="0.25">
      <c r="A2774">
        <v>39091.668799999999</v>
      </c>
      <c r="B2774">
        <v>2558.0898000000002</v>
      </c>
      <c r="C2774">
        <v>17</v>
      </c>
      <c r="D2774" t="s">
        <v>665</v>
      </c>
      <c r="F2774">
        <v>1974</v>
      </c>
      <c r="G2774" s="1" t="s">
        <v>203</v>
      </c>
      <c r="H2774" s="1" t="s">
        <v>538</v>
      </c>
      <c r="I2774">
        <v>0</v>
      </c>
      <c r="J2774">
        <v>39091.642899999999</v>
      </c>
      <c r="K2774">
        <v>-1.6900000000000001E-3</v>
      </c>
      <c r="L2774">
        <v>3.0100000000000001E-3</v>
      </c>
      <c r="M2774">
        <v>4.6100000000000002E-2</v>
      </c>
      <c r="N2774">
        <v>0.24840000000000001</v>
      </c>
      <c r="O2774">
        <v>4.0099999999999997E-3</v>
      </c>
      <c r="P2774" s="3">
        <f t="shared" si="172"/>
        <v>2558.0898198953328</v>
      </c>
      <c r="Q2774" s="3">
        <f t="shared" si="173"/>
        <v>-1.6948514162322681E-3</v>
      </c>
      <c r="R2774" s="3">
        <f t="shared" si="174"/>
        <v>3.0100000000000001E-3</v>
      </c>
      <c r="S2774">
        <f t="shared" si="175"/>
        <v>65</v>
      </c>
      <c r="T2774">
        <f>INDEX([1]IDEN_level_ids!$B:$B,MATCH(G2774,[1]IDEN_level_ids!$A:$A,0),1)</f>
        <v>1127</v>
      </c>
      <c r="U2774">
        <f>INDEX([1]IDEN_level_ids!$B:$B,MATCH(H2774,[1]IDEN_level_ids!$A:$A,0),1)</f>
        <v>978</v>
      </c>
    </row>
    <row r="2775" spans="1:21" hidden="1" x14ac:dyDescent="0.25">
      <c r="A2775">
        <v>39082.601199999997</v>
      </c>
      <c r="B2775">
        <v>2558.6833000000001</v>
      </c>
      <c r="C2775">
        <v>17</v>
      </c>
      <c r="D2775" t="s">
        <v>665</v>
      </c>
      <c r="F2775">
        <v>1974</v>
      </c>
      <c r="G2775" s="1" t="s">
        <v>516</v>
      </c>
      <c r="H2775" s="1" t="s">
        <v>129</v>
      </c>
      <c r="I2775">
        <v>-0.36720000000000003</v>
      </c>
      <c r="J2775">
        <v>39082.589999999997</v>
      </c>
      <c r="K2775">
        <v>-7.2999999999999996E-4</v>
      </c>
      <c r="L2775">
        <v>3.0200000000000001E-3</v>
      </c>
      <c r="M2775">
        <v>4.6100000000000002E-2</v>
      </c>
      <c r="N2775">
        <v>0.25109999999999999</v>
      </c>
      <c r="O2775">
        <v>4.0299999999999997E-3</v>
      </c>
      <c r="P2775" s="3">
        <f t="shared" si="172"/>
        <v>2558.6833253053792</v>
      </c>
      <c r="Q2775" s="3">
        <f t="shared" si="173"/>
        <v>-7.3324857066836557E-4</v>
      </c>
      <c r="R2775" s="3">
        <f t="shared" si="174"/>
        <v>3.0200000000000001E-3</v>
      </c>
      <c r="S2775">
        <f t="shared" si="175"/>
        <v>65</v>
      </c>
      <c r="T2775">
        <f>INDEX([1]IDEN_level_ids!$B:$B,MATCH(G2775,[1]IDEN_level_ids!$A:$A,0),1)</f>
        <v>1050</v>
      </c>
      <c r="U2775">
        <f>INDEX([1]IDEN_level_ids!$B:$B,MATCH(H2775,[1]IDEN_level_ids!$A:$A,0),1)</f>
        <v>866</v>
      </c>
    </row>
    <row r="2776" spans="1:21" hidden="1" x14ac:dyDescent="0.25">
      <c r="A2776">
        <v>39073.119500000001</v>
      </c>
      <c r="B2776">
        <v>2559.3042</v>
      </c>
      <c r="C2776">
        <v>17</v>
      </c>
      <c r="D2776" t="s">
        <v>665</v>
      </c>
      <c r="F2776">
        <v>1974</v>
      </c>
      <c r="G2776" s="1" t="s">
        <v>454</v>
      </c>
      <c r="H2776" s="1" t="s">
        <v>660</v>
      </c>
      <c r="I2776">
        <v>0</v>
      </c>
      <c r="J2776">
        <v>39073.094100000002</v>
      </c>
      <c r="K2776">
        <v>-1.67E-3</v>
      </c>
      <c r="L2776">
        <v>3.0200000000000001E-3</v>
      </c>
      <c r="M2776">
        <v>4.6100000000000002E-2</v>
      </c>
      <c r="N2776">
        <v>0.53120000000000001</v>
      </c>
      <c r="O2776">
        <v>6.4400000000000004E-3</v>
      </c>
      <c r="P2776" s="3">
        <f t="shared" si="172"/>
        <v>2559.3042295995842</v>
      </c>
      <c r="Q2776" s="3">
        <f t="shared" si="173"/>
        <v>-1.6637107692076825E-3</v>
      </c>
      <c r="R2776" s="3">
        <f t="shared" si="174"/>
        <v>3.0200000000000001E-3</v>
      </c>
      <c r="S2776">
        <f t="shared" si="175"/>
        <v>65</v>
      </c>
      <c r="T2776">
        <f>INDEX([1]IDEN_level_ids!$B:$B,MATCH(G2776,[1]IDEN_level_ids!$A:$A,0),1)</f>
        <v>1036</v>
      </c>
      <c r="U2776">
        <f>INDEX([1]IDEN_level_ids!$B:$B,MATCH(H2776,[1]IDEN_level_ids!$A:$A,0),1)</f>
        <v>847</v>
      </c>
    </row>
    <row r="2777" spans="1:21" hidden="1" x14ac:dyDescent="0.25">
      <c r="A2777">
        <v>39071.010399999999</v>
      </c>
      <c r="B2777">
        <v>2559.4423999999999</v>
      </c>
      <c r="C2777">
        <v>17</v>
      </c>
      <c r="D2777" t="s">
        <v>665</v>
      </c>
      <c r="F2777">
        <v>1974</v>
      </c>
      <c r="G2777" s="1" t="s">
        <v>453</v>
      </c>
      <c r="H2777" s="1" t="s">
        <v>126</v>
      </c>
      <c r="I2777">
        <v>-0.26840000000000003</v>
      </c>
      <c r="J2777">
        <v>39070.991600000001</v>
      </c>
      <c r="K2777">
        <v>-1.23E-3</v>
      </c>
      <c r="L2777">
        <v>3.0200000000000001E-3</v>
      </c>
      <c r="M2777">
        <v>4.6100000000000002E-2</v>
      </c>
      <c r="N2777">
        <v>0.2127</v>
      </c>
      <c r="O2777">
        <v>3.8300000000000001E-3</v>
      </c>
      <c r="P2777" s="3">
        <f t="shared" si="172"/>
        <v>2559.4423839113206</v>
      </c>
      <c r="Q2777" s="3">
        <f t="shared" si="173"/>
        <v>-1.2315407120695454E-3</v>
      </c>
      <c r="R2777" s="3">
        <f t="shared" si="174"/>
        <v>3.0200000000000001E-3</v>
      </c>
      <c r="S2777">
        <f t="shared" si="175"/>
        <v>65</v>
      </c>
      <c r="T2777">
        <f>INDEX([1]IDEN_level_ids!$B:$B,MATCH(G2777,[1]IDEN_level_ids!$A:$A,0),1)</f>
        <v>1078</v>
      </c>
      <c r="U2777">
        <f>INDEX([1]IDEN_level_ids!$B:$B,MATCH(H2777,[1]IDEN_level_ids!$A:$A,0),1)</f>
        <v>892</v>
      </c>
    </row>
    <row r="2778" spans="1:21" hidden="1" x14ac:dyDescent="0.25">
      <c r="A2778">
        <v>39066.140299999999</v>
      </c>
      <c r="B2778">
        <v>2559.7615000000001</v>
      </c>
      <c r="C2778">
        <v>17</v>
      </c>
      <c r="D2778" t="s">
        <v>665</v>
      </c>
      <c r="E2778" t="s">
        <v>427</v>
      </c>
      <c r="F2778">
        <v>1974</v>
      </c>
      <c r="G2778" s="1" t="s">
        <v>476</v>
      </c>
      <c r="H2778" s="1" t="s">
        <v>655</v>
      </c>
      <c r="I2778">
        <v>0</v>
      </c>
      <c r="J2778">
        <v>39066.158900000002</v>
      </c>
      <c r="K2778">
        <v>1.2199999999999999E-3</v>
      </c>
      <c r="L2778">
        <v>3.1900000000000001E-3</v>
      </c>
      <c r="M2778">
        <v>4.87E-2</v>
      </c>
      <c r="N2778">
        <v>0.50119999999999998</v>
      </c>
      <c r="O2778">
        <v>6.4000000000000003E-3</v>
      </c>
      <c r="P2778" s="3">
        <f t="shared" si="172"/>
        <v>2559.7614515299329</v>
      </c>
      <c r="Q2778" s="3">
        <f t="shared" si="173"/>
        <v>1.2187418560642982E-3</v>
      </c>
      <c r="R2778" s="3">
        <f t="shared" si="174"/>
        <v>3.1900000000000001E-3</v>
      </c>
      <c r="S2778">
        <f t="shared" si="175"/>
        <v>65</v>
      </c>
      <c r="T2778">
        <f>INDEX([1]IDEN_level_ids!$B:$B,MATCH(G2778,[1]IDEN_level_ids!$A:$A,0),1)</f>
        <v>1037</v>
      </c>
      <c r="U2778">
        <f>INDEX([1]IDEN_level_ids!$B:$B,MATCH(H2778,[1]IDEN_level_ids!$A:$A,0),1)</f>
        <v>850</v>
      </c>
    </row>
    <row r="2779" spans="1:21" hidden="1" x14ac:dyDescent="0.25">
      <c r="A2779">
        <v>39061.820399999997</v>
      </c>
      <c r="B2779">
        <v>2560.0445</v>
      </c>
      <c r="C2779">
        <v>17</v>
      </c>
      <c r="D2779" t="s">
        <v>665</v>
      </c>
      <c r="F2779">
        <v>1974</v>
      </c>
      <c r="G2779" s="1" t="s">
        <v>375</v>
      </c>
      <c r="H2779" s="1" t="s">
        <v>116</v>
      </c>
      <c r="I2779">
        <v>-0.28789999999999999</v>
      </c>
      <c r="J2779">
        <v>39061.768100000001</v>
      </c>
      <c r="K2779">
        <v>-3.4299999999999999E-3</v>
      </c>
      <c r="L2779">
        <v>3.0200000000000001E-3</v>
      </c>
      <c r="M2779">
        <v>4.6100000000000002E-2</v>
      </c>
      <c r="N2779">
        <v>0.19539999999999999</v>
      </c>
      <c r="O2779">
        <v>3.7499999999999999E-3</v>
      </c>
      <c r="P2779" s="3">
        <f t="shared" si="172"/>
        <v>2560.0445390404798</v>
      </c>
      <c r="Q2779" s="3">
        <f t="shared" si="173"/>
        <v>-3.427656654821476E-3</v>
      </c>
      <c r="R2779" s="3">
        <f t="shared" si="174"/>
        <v>3.0200000000000001E-3</v>
      </c>
      <c r="S2779">
        <f t="shared" si="175"/>
        <v>65</v>
      </c>
      <c r="T2779">
        <f>INDEX([1]IDEN_level_ids!$B:$B,MATCH(G2779,[1]IDEN_level_ids!$A:$A,0),1)</f>
        <v>1065</v>
      </c>
      <c r="U2779">
        <f>INDEX([1]IDEN_level_ids!$B:$B,MATCH(H2779,[1]IDEN_level_ids!$A:$A,0),1)</f>
        <v>879</v>
      </c>
    </row>
    <row r="2780" spans="1:21" hidden="1" x14ac:dyDescent="0.25">
      <c r="A2780">
        <v>39052.849900000001</v>
      </c>
      <c r="B2780">
        <v>2560.6325999999999</v>
      </c>
      <c r="C2780">
        <v>17</v>
      </c>
      <c r="D2780" t="s">
        <v>665</v>
      </c>
      <c r="F2780">
        <v>1974</v>
      </c>
      <c r="G2780" s="1" t="s">
        <v>536</v>
      </c>
      <c r="H2780" s="1" t="s">
        <v>322</v>
      </c>
      <c r="I2780">
        <v>0</v>
      </c>
      <c r="J2780">
        <v>39052.779900000001</v>
      </c>
      <c r="K2780">
        <v>-4.5900000000000003E-3</v>
      </c>
      <c r="L2780">
        <v>3.0200000000000001E-3</v>
      </c>
      <c r="M2780">
        <v>4.6100000000000002E-2</v>
      </c>
      <c r="N2780">
        <v>0.2414</v>
      </c>
      <c r="O2780">
        <v>3.98E-3</v>
      </c>
      <c r="P2780" s="3">
        <f t="shared" si="172"/>
        <v>2560.6325852290743</v>
      </c>
      <c r="Q2780" s="3">
        <f t="shared" si="173"/>
        <v>-4.5897956924818573E-3</v>
      </c>
      <c r="R2780" s="3">
        <f t="shared" si="174"/>
        <v>3.0200000000000001E-3</v>
      </c>
      <c r="S2780">
        <f t="shared" si="175"/>
        <v>65</v>
      </c>
      <c r="T2780">
        <f>INDEX([1]IDEN_level_ids!$B:$B,MATCH(G2780,[1]IDEN_level_ids!$A:$A,0),1)</f>
        <v>1021</v>
      </c>
      <c r="U2780">
        <f>INDEX([1]IDEN_level_ids!$B:$B,MATCH(H2780,[1]IDEN_level_ids!$A:$A,0),1)</f>
        <v>830</v>
      </c>
    </row>
    <row r="2781" spans="1:21" hidden="1" x14ac:dyDescent="0.25">
      <c r="A2781">
        <v>39051.991600000001</v>
      </c>
      <c r="B2781">
        <v>2560.6889000000001</v>
      </c>
      <c r="C2781">
        <v>17</v>
      </c>
      <c r="D2781" t="s">
        <v>665</v>
      </c>
      <c r="F2781">
        <v>1974</v>
      </c>
      <c r="G2781" s="1" t="s">
        <v>516</v>
      </c>
      <c r="H2781" s="1" t="s">
        <v>630</v>
      </c>
      <c r="I2781">
        <v>-0.36720000000000003</v>
      </c>
      <c r="J2781">
        <v>39051.941299999999</v>
      </c>
      <c r="K2781">
        <v>-3.3E-3</v>
      </c>
      <c r="L2781">
        <v>3.0200000000000001E-3</v>
      </c>
      <c r="M2781">
        <v>4.6100000000000002E-2</v>
      </c>
      <c r="N2781">
        <v>0.2271</v>
      </c>
      <c r="O2781">
        <v>3.9100000000000003E-3</v>
      </c>
      <c r="P2781" s="3">
        <f t="shared" si="172"/>
        <v>2560.6888638171272</v>
      </c>
      <c r="Q2781" s="3">
        <f t="shared" si="173"/>
        <v>-3.298239359537547E-3</v>
      </c>
      <c r="R2781" s="3">
        <f t="shared" si="174"/>
        <v>3.0200000000000001E-3</v>
      </c>
      <c r="S2781">
        <f t="shared" si="175"/>
        <v>65</v>
      </c>
      <c r="T2781">
        <f>INDEX([1]IDEN_level_ids!$B:$B,MATCH(G2781,[1]IDEN_level_ids!$A:$A,0),1)</f>
        <v>1050</v>
      </c>
      <c r="U2781">
        <f>INDEX([1]IDEN_level_ids!$B:$B,MATCH(H2781,[1]IDEN_level_ids!$A:$A,0),1)</f>
        <v>867</v>
      </c>
    </row>
    <row r="2782" spans="1:21" hidden="1" x14ac:dyDescent="0.25">
      <c r="A2782">
        <v>39030.921600000001</v>
      </c>
      <c r="B2782">
        <v>2562.0711999999999</v>
      </c>
      <c r="C2782">
        <v>17</v>
      </c>
      <c r="D2782" t="s">
        <v>665</v>
      </c>
      <c r="E2782" t="s">
        <v>607</v>
      </c>
      <c r="F2782">
        <v>1974</v>
      </c>
      <c r="G2782" s="1" t="s">
        <v>86</v>
      </c>
      <c r="H2782" s="1" t="s">
        <v>396</v>
      </c>
      <c r="I2782">
        <v>0.42980000000000002</v>
      </c>
      <c r="J2782">
        <v>39030.911500000002</v>
      </c>
      <c r="K2782">
        <v>-6.6E-4</v>
      </c>
      <c r="L2782">
        <v>1.5499999999999999E-3</v>
      </c>
      <c r="M2782">
        <v>2.3599999999999999E-2</v>
      </c>
      <c r="N2782">
        <v>0.35099999999999998</v>
      </c>
      <c r="O2782">
        <v>2.3900000000000002E-3</v>
      </c>
      <c r="P2782" s="3">
        <f t="shared" si="172"/>
        <v>2562.0711963921444</v>
      </c>
      <c r="Q2782" s="3">
        <f t="shared" si="173"/>
        <v>-6.6298526189711993E-4</v>
      </c>
      <c r="R2782" s="3">
        <f t="shared" si="174"/>
        <v>1.5499999999999999E-3</v>
      </c>
      <c r="S2782">
        <f t="shared" si="175"/>
        <v>65</v>
      </c>
      <c r="T2782">
        <f>INDEX([1]IDEN_level_ids!$B:$B,MATCH(G2782,[1]IDEN_level_ids!$A:$A,0),1)</f>
        <v>1183</v>
      </c>
      <c r="U2782">
        <f>INDEX([1]IDEN_level_ids!$B:$B,MATCH(H2782,[1]IDEN_level_ids!$A:$A,0),1)</f>
        <v>1072</v>
      </c>
    </row>
    <row r="2783" spans="1:21" hidden="1" x14ac:dyDescent="0.25">
      <c r="A2783">
        <v>39029.008600000001</v>
      </c>
      <c r="B2783">
        <v>2562.1968000000002</v>
      </c>
      <c r="C2783">
        <v>17</v>
      </c>
      <c r="D2783" t="s">
        <v>665</v>
      </c>
      <c r="F2783">
        <v>1974</v>
      </c>
      <c r="G2783" s="1" t="s">
        <v>290</v>
      </c>
      <c r="H2783" s="1" t="s">
        <v>441</v>
      </c>
      <c r="I2783">
        <v>9.8500000000000004E-2</v>
      </c>
      <c r="J2783">
        <v>39029.012900000002</v>
      </c>
      <c r="K2783">
        <v>2.7999999999999998E-4</v>
      </c>
      <c r="L2783">
        <v>3.0200000000000001E-3</v>
      </c>
      <c r="M2783">
        <v>4.6100000000000002E-2</v>
      </c>
      <c r="N2783">
        <v>0.24890000000000001</v>
      </c>
      <c r="O2783">
        <v>4.0299999999999997E-3</v>
      </c>
      <c r="P2783" s="3">
        <f t="shared" si="172"/>
        <v>2562.1967758617366</v>
      </c>
      <c r="Q2783" s="3">
        <f t="shared" si="173"/>
        <v>2.8228861856405274E-4</v>
      </c>
      <c r="R2783" s="3">
        <f t="shared" si="174"/>
        <v>3.0200000000000001E-3</v>
      </c>
      <c r="S2783">
        <f t="shared" si="175"/>
        <v>65</v>
      </c>
      <c r="T2783">
        <f>INDEX([1]IDEN_level_ids!$B:$B,MATCH(G2783,[1]IDEN_level_ids!$A:$A,0),1)</f>
        <v>1153</v>
      </c>
      <c r="U2783">
        <f>INDEX([1]IDEN_level_ids!$B:$B,MATCH(H2783,[1]IDEN_level_ids!$A:$A,0),1)</f>
        <v>1034</v>
      </c>
    </row>
    <row r="2784" spans="1:21" hidden="1" x14ac:dyDescent="0.25">
      <c r="A2784">
        <v>38997.870699999999</v>
      </c>
      <c r="B2784">
        <v>2564.2426</v>
      </c>
      <c r="C2784">
        <v>17</v>
      </c>
      <c r="D2784" t="s">
        <v>665</v>
      </c>
      <c r="F2784">
        <v>1974</v>
      </c>
      <c r="G2784" s="1" t="s">
        <v>138</v>
      </c>
      <c r="H2784" s="1" t="s">
        <v>554</v>
      </c>
      <c r="I2784">
        <v>0</v>
      </c>
      <c r="J2784">
        <v>38997.864200000004</v>
      </c>
      <c r="K2784">
        <v>-4.2999999999999999E-4</v>
      </c>
      <c r="L2784">
        <v>3.0300000000000001E-3</v>
      </c>
      <c r="M2784">
        <v>4.6100000000000002E-2</v>
      </c>
      <c r="N2784">
        <v>0.2024</v>
      </c>
      <c r="O2784">
        <v>3.8E-3</v>
      </c>
      <c r="P2784" s="3">
        <f t="shared" si="172"/>
        <v>2564.2425651716417</v>
      </c>
      <c r="Q2784" s="3">
        <f t="shared" si="173"/>
        <v>-4.2739716673168004E-4</v>
      </c>
      <c r="R2784" s="3">
        <f t="shared" si="174"/>
        <v>3.0300000000000001E-3</v>
      </c>
      <c r="S2784">
        <f t="shared" si="175"/>
        <v>65</v>
      </c>
      <c r="T2784">
        <f>INDEX([1]IDEN_level_ids!$B:$B,MATCH(G2784,[1]IDEN_level_ids!$A:$A,0),1)</f>
        <v>1126</v>
      </c>
      <c r="U2784">
        <f>INDEX([1]IDEN_level_ids!$B:$B,MATCH(H2784,[1]IDEN_level_ids!$A:$A,0),1)</f>
        <v>982</v>
      </c>
    </row>
    <row r="2785" spans="1:21" hidden="1" x14ac:dyDescent="0.25">
      <c r="A2785">
        <v>38991.330699999999</v>
      </c>
      <c r="B2785">
        <v>2564.6727000000001</v>
      </c>
      <c r="C2785">
        <v>17</v>
      </c>
      <c r="D2785" t="s">
        <v>665</v>
      </c>
      <c r="F2785">
        <v>1974</v>
      </c>
      <c r="G2785" s="1" t="s">
        <v>216</v>
      </c>
      <c r="H2785" s="1" t="s">
        <v>401</v>
      </c>
      <c r="I2785">
        <v>6.8900000000000003E-2</v>
      </c>
      <c r="J2785">
        <v>38991.2955</v>
      </c>
      <c r="K2785">
        <v>-2.31E-3</v>
      </c>
      <c r="L2785">
        <v>3.0300000000000001E-3</v>
      </c>
      <c r="M2785">
        <v>4.6100000000000002E-2</v>
      </c>
      <c r="N2785">
        <v>9.1200000000000003E-2</v>
      </c>
      <c r="O2785">
        <v>3.3300000000000001E-3</v>
      </c>
      <c r="P2785" s="3">
        <f t="shared" si="172"/>
        <v>2564.6726645315543</v>
      </c>
      <c r="Q2785" s="3">
        <f t="shared" si="173"/>
        <v>-2.3152982384999632E-3</v>
      </c>
      <c r="R2785" s="3">
        <f t="shared" si="174"/>
        <v>3.0300000000000001E-3</v>
      </c>
      <c r="S2785">
        <f t="shared" si="175"/>
        <v>65</v>
      </c>
      <c r="T2785">
        <f>INDEX([1]IDEN_level_ids!$B:$B,MATCH(G2785,[1]IDEN_level_ids!$A:$A,0),1)</f>
        <v>1170</v>
      </c>
      <c r="U2785">
        <f>INDEX([1]IDEN_level_ids!$B:$B,MATCH(H2785,[1]IDEN_level_ids!$A:$A,0),1)</f>
        <v>1063</v>
      </c>
    </row>
    <row r="2786" spans="1:21" hidden="1" x14ac:dyDescent="0.25">
      <c r="A2786">
        <v>38989.231200000002</v>
      </c>
      <c r="B2786">
        <v>2564.8108000000002</v>
      </c>
      <c r="C2786">
        <v>17</v>
      </c>
      <c r="D2786" t="s">
        <v>665</v>
      </c>
      <c r="F2786">
        <v>1974</v>
      </c>
      <c r="G2786" s="1" t="s">
        <v>454</v>
      </c>
      <c r="H2786" s="1" t="s">
        <v>662</v>
      </c>
      <c r="I2786">
        <v>0</v>
      </c>
      <c r="J2786">
        <v>38989.230300000003</v>
      </c>
      <c r="K2786">
        <v>-6.0000000000000002E-5</v>
      </c>
      <c r="L2786">
        <v>3.0300000000000001E-3</v>
      </c>
      <c r="M2786">
        <v>4.6100000000000002E-2</v>
      </c>
      <c r="N2786">
        <v>0.53120000000000001</v>
      </c>
      <c r="O2786">
        <v>6.4599999999999996E-3</v>
      </c>
      <c r="P2786" s="3">
        <f t="shared" si="172"/>
        <v>2564.8107675434235</v>
      </c>
      <c r="Q2786" s="3">
        <f t="shared" si="173"/>
        <v>-5.9204289755143691E-5</v>
      </c>
      <c r="R2786" s="3">
        <f t="shared" si="174"/>
        <v>3.0300000000000001E-3</v>
      </c>
      <c r="S2786">
        <f t="shared" si="175"/>
        <v>65</v>
      </c>
      <c r="T2786">
        <f>INDEX([1]IDEN_level_ids!$B:$B,MATCH(G2786,[1]IDEN_level_ids!$A:$A,0),1)</f>
        <v>1036</v>
      </c>
      <c r="U2786">
        <f>INDEX([1]IDEN_level_ids!$B:$B,MATCH(H2786,[1]IDEN_level_ids!$A:$A,0),1)</f>
        <v>849</v>
      </c>
    </row>
    <row r="2787" spans="1:21" hidden="1" x14ac:dyDescent="0.25">
      <c r="A2787">
        <v>38982.131300000001</v>
      </c>
      <c r="B2787">
        <v>2565.2779</v>
      </c>
      <c r="C2787">
        <v>17</v>
      </c>
      <c r="D2787" t="s">
        <v>665</v>
      </c>
      <c r="F2787">
        <v>1974</v>
      </c>
      <c r="G2787" s="1" t="s">
        <v>438</v>
      </c>
      <c r="H2787" s="1" t="s">
        <v>636</v>
      </c>
      <c r="I2787">
        <v>0</v>
      </c>
      <c r="J2787">
        <v>38982.135699999999</v>
      </c>
      <c r="K2787">
        <v>2.9E-4</v>
      </c>
      <c r="L2787">
        <v>3.0300000000000001E-3</v>
      </c>
      <c r="M2787">
        <v>4.6100000000000002E-2</v>
      </c>
      <c r="N2787">
        <v>0.18720000000000001</v>
      </c>
      <c r="O2787">
        <v>3.7299999999999998E-3</v>
      </c>
      <c r="P2787" s="3">
        <f t="shared" si="172"/>
        <v>2565.2779020833063</v>
      </c>
      <c r="Q2787" s="3">
        <f t="shared" si="173"/>
        <v>2.8954859863006277E-4</v>
      </c>
      <c r="R2787" s="3">
        <f t="shared" si="174"/>
        <v>3.0300000000000001E-3</v>
      </c>
      <c r="S2787">
        <f t="shared" si="175"/>
        <v>65</v>
      </c>
      <c r="T2787">
        <f>INDEX([1]IDEN_level_ids!$B:$B,MATCH(G2787,[1]IDEN_level_ids!$A:$A,0),1)</f>
        <v>1051</v>
      </c>
      <c r="U2787">
        <f>INDEX([1]IDEN_level_ids!$B:$B,MATCH(H2787,[1]IDEN_level_ids!$A:$A,0),1)</f>
        <v>868</v>
      </c>
    </row>
    <row r="2788" spans="1:21" hidden="1" x14ac:dyDescent="0.25">
      <c r="A2788">
        <v>38969.418899999997</v>
      </c>
      <c r="B2788">
        <v>2566.1147000000001</v>
      </c>
      <c r="C2788">
        <v>17</v>
      </c>
      <c r="D2788" t="s">
        <v>665</v>
      </c>
      <c r="E2788" t="s">
        <v>427</v>
      </c>
      <c r="F2788">
        <v>1974</v>
      </c>
      <c r="G2788" s="1" t="s">
        <v>203</v>
      </c>
      <c r="H2788" s="1" t="s">
        <v>554</v>
      </c>
      <c r="I2788">
        <v>0</v>
      </c>
      <c r="J2788">
        <v>38969.407399999996</v>
      </c>
      <c r="K2788">
        <v>-7.6000000000000004E-4</v>
      </c>
      <c r="L2788">
        <v>3.2100000000000002E-3</v>
      </c>
      <c r="M2788">
        <v>4.87E-2</v>
      </c>
      <c r="N2788">
        <v>0.1938</v>
      </c>
      <c r="O2788">
        <v>3.98E-3</v>
      </c>
      <c r="P2788" s="3">
        <f t="shared" si="172"/>
        <v>2566.114733622574</v>
      </c>
      <c r="Q2788" s="3">
        <f t="shared" si="173"/>
        <v>-7.5726887871496729E-4</v>
      </c>
      <c r="R2788" s="3">
        <f t="shared" si="174"/>
        <v>3.2100000000000002E-3</v>
      </c>
      <c r="S2788">
        <f t="shared" si="175"/>
        <v>65</v>
      </c>
      <c r="T2788">
        <f>INDEX([1]IDEN_level_ids!$B:$B,MATCH(G2788,[1]IDEN_level_ids!$A:$A,0),1)</f>
        <v>1127</v>
      </c>
      <c r="U2788">
        <f>INDEX([1]IDEN_level_ids!$B:$B,MATCH(H2788,[1]IDEN_level_ids!$A:$A,0),1)</f>
        <v>982</v>
      </c>
    </row>
    <row r="2789" spans="1:21" hidden="1" x14ac:dyDescent="0.25">
      <c r="A2789">
        <v>38966.590400000001</v>
      </c>
      <c r="B2789">
        <v>2566.3009999999999</v>
      </c>
      <c r="C2789">
        <v>17</v>
      </c>
      <c r="D2789" t="s">
        <v>665</v>
      </c>
      <c r="F2789">
        <v>1974</v>
      </c>
      <c r="G2789" s="1" t="s">
        <v>285</v>
      </c>
      <c r="H2789" s="1" t="s">
        <v>536</v>
      </c>
      <c r="I2789">
        <v>0</v>
      </c>
      <c r="J2789">
        <v>38966.564899999998</v>
      </c>
      <c r="K2789">
        <v>-1.6800000000000001E-3</v>
      </c>
      <c r="L2789">
        <v>3.0300000000000001E-3</v>
      </c>
      <c r="M2789">
        <v>4.6100000000000002E-2</v>
      </c>
      <c r="N2789">
        <v>9.64E-2</v>
      </c>
      <c r="O2789">
        <v>3.3600000000000001E-3</v>
      </c>
      <c r="P2789" s="3">
        <f t="shared" si="172"/>
        <v>2566.3010023068377</v>
      </c>
      <c r="Q2789" s="3">
        <f t="shared" si="173"/>
        <v>-1.6794058119558031E-3</v>
      </c>
      <c r="R2789" s="3">
        <f t="shared" si="174"/>
        <v>3.0300000000000001E-3</v>
      </c>
      <c r="S2789">
        <f t="shared" si="175"/>
        <v>65</v>
      </c>
      <c r="T2789">
        <f>INDEX([1]IDEN_level_ids!$B:$B,MATCH(G2789,[1]IDEN_level_ids!$A:$A,0),1)</f>
        <v>1150</v>
      </c>
      <c r="U2789">
        <f>INDEX([1]IDEN_level_ids!$B:$B,MATCH(H2789,[1]IDEN_level_ids!$A:$A,0),1)</f>
        <v>1021</v>
      </c>
    </row>
    <row r="2790" spans="1:21" hidden="1" x14ac:dyDescent="0.25">
      <c r="A2790">
        <v>38964.118699999999</v>
      </c>
      <c r="B2790">
        <v>2566.4638</v>
      </c>
      <c r="C2790">
        <v>17</v>
      </c>
      <c r="D2790" t="s">
        <v>665</v>
      </c>
      <c r="F2790">
        <v>1974</v>
      </c>
      <c r="G2790" s="1" t="s">
        <v>446</v>
      </c>
      <c r="H2790" s="1" t="s">
        <v>642</v>
      </c>
      <c r="I2790">
        <v>-0.31669999999999998</v>
      </c>
      <c r="J2790">
        <v>38964.081899999997</v>
      </c>
      <c r="K2790">
        <v>-2.4299999999999999E-3</v>
      </c>
      <c r="L2790">
        <v>3.0300000000000001E-3</v>
      </c>
      <c r="M2790">
        <v>4.6100000000000002E-2</v>
      </c>
      <c r="N2790">
        <v>0.1171</v>
      </c>
      <c r="O2790">
        <v>3.4399999999999999E-3</v>
      </c>
      <c r="P2790" s="3">
        <f t="shared" si="172"/>
        <v>2566.4637963439936</v>
      </c>
      <c r="Q2790" s="3">
        <f t="shared" si="173"/>
        <v>-2.4239212912107178E-3</v>
      </c>
      <c r="R2790" s="3">
        <f t="shared" si="174"/>
        <v>3.0300000000000001E-3</v>
      </c>
      <c r="S2790">
        <f t="shared" si="175"/>
        <v>65</v>
      </c>
      <c r="T2790">
        <f>INDEX([1]IDEN_level_ids!$B:$B,MATCH(G2790,[1]IDEN_level_ids!$A:$A,0),1)</f>
        <v>1079</v>
      </c>
      <c r="U2790">
        <f>INDEX([1]IDEN_level_ids!$B:$B,MATCH(H2790,[1]IDEN_level_ids!$A:$A,0),1)</f>
        <v>894</v>
      </c>
    </row>
    <row r="2791" spans="1:21" hidden="1" x14ac:dyDescent="0.25">
      <c r="A2791">
        <v>38962.580699999999</v>
      </c>
      <c r="B2791">
        <v>2566.5650999999998</v>
      </c>
      <c r="C2791">
        <v>17</v>
      </c>
      <c r="D2791" t="s">
        <v>665</v>
      </c>
      <c r="F2791">
        <v>1974</v>
      </c>
      <c r="G2791" s="1" t="s">
        <v>334</v>
      </c>
      <c r="H2791" s="1" t="s">
        <v>513</v>
      </c>
      <c r="I2791">
        <v>0.26</v>
      </c>
      <c r="J2791">
        <v>38962.532599999999</v>
      </c>
      <c r="K2791">
        <v>-3.1700000000000001E-3</v>
      </c>
      <c r="L2791">
        <v>3.0300000000000001E-3</v>
      </c>
      <c r="M2791">
        <v>4.6100000000000002E-2</v>
      </c>
      <c r="N2791">
        <v>0.21340000000000001</v>
      </c>
      <c r="O2791">
        <v>3.8600000000000001E-3</v>
      </c>
      <c r="P2791" s="3">
        <f t="shared" si="172"/>
        <v>2566.5651043489529</v>
      </c>
      <c r="Q2791" s="3">
        <f t="shared" si="173"/>
        <v>-3.1684742566540081E-3</v>
      </c>
      <c r="R2791" s="3">
        <f t="shared" si="174"/>
        <v>3.0300000000000001E-3</v>
      </c>
      <c r="S2791">
        <f t="shared" si="175"/>
        <v>65</v>
      </c>
      <c r="T2791">
        <f>INDEX([1]IDEN_level_ids!$B:$B,MATCH(G2791,[1]IDEN_level_ids!$A:$A,0),1)</f>
        <v>1124</v>
      </c>
      <c r="U2791">
        <f>INDEX([1]IDEN_level_ids!$B:$B,MATCH(H2791,[1]IDEN_level_ids!$A:$A,0),1)</f>
        <v>979</v>
      </c>
    </row>
    <row r="2792" spans="1:21" hidden="1" x14ac:dyDescent="0.25">
      <c r="A2792">
        <v>38924.508999999998</v>
      </c>
      <c r="B2792">
        <v>2569.0754000000002</v>
      </c>
      <c r="C2792">
        <v>17</v>
      </c>
      <c r="D2792" t="s">
        <v>665</v>
      </c>
      <c r="E2792" t="s">
        <v>236</v>
      </c>
      <c r="F2792">
        <v>1974</v>
      </c>
      <c r="G2792" s="1" t="s">
        <v>398</v>
      </c>
      <c r="H2792" s="1" t="s">
        <v>318</v>
      </c>
      <c r="I2792">
        <v>-0.31929999999999997</v>
      </c>
      <c r="J2792">
        <v>38924.481599999999</v>
      </c>
      <c r="K2792">
        <v>-1.81E-3</v>
      </c>
      <c r="L2792">
        <v>1.56E-3</v>
      </c>
      <c r="M2792">
        <v>2.3599999999999999E-2</v>
      </c>
      <c r="N2792">
        <v>0.40870000000000001</v>
      </c>
      <c r="O2792">
        <v>2.63E-3</v>
      </c>
      <c r="P2792" s="3">
        <f t="shared" si="172"/>
        <v>2569.0754377916496</v>
      </c>
      <c r="Q2792" s="3">
        <f t="shared" si="173"/>
        <v>-1.8084419907609117E-3</v>
      </c>
      <c r="R2792" s="3">
        <f t="shared" si="174"/>
        <v>1.56E-3</v>
      </c>
      <c r="S2792">
        <f t="shared" si="175"/>
        <v>65</v>
      </c>
      <c r="T2792">
        <f>INDEX([1]IDEN_level_ids!$B:$B,MATCH(G2792,[1]IDEN_level_ids!$A:$A,0),1)</f>
        <v>1075</v>
      </c>
      <c r="U2792">
        <f>INDEX([1]IDEN_level_ids!$B:$B,MATCH(H2792,[1]IDEN_level_ids!$A:$A,0),1)</f>
        <v>888</v>
      </c>
    </row>
    <row r="2793" spans="1:21" hidden="1" x14ac:dyDescent="0.25">
      <c r="A2793">
        <v>38913.418899999997</v>
      </c>
      <c r="B2793">
        <v>2569.8076000000001</v>
      </c>
      <c r="C2793">
        <v>17</v>
      </c>
      <c r="D2793" t="s">
        <v>665</v>
      </c>
      <c r="F2793">
        <v>1974</v>
      </c>
      <c r="G2793" s="1" t="s">
        <v>476</v>
      </c>
      <c r="H2793" s="1" t="s">
        <v>366</v>
      </c>
      <c r="I2793">
        <v>0</v>
      </c>
      <c r="J2793">
        <v>38913.392699999997</v>
      </c>
      <c r="K2793">
        <v>-1.73E-3</v>
      </c>
      <c r="L2793">
        <v>3.0400000000000002E-3</v>
      </c>
      <c r="M2793">
        <v>4.6100000000000002E-2</v>
      </c>
      <c r="N2793">
        <v>0.2167</v>
      </c>
      <c r="O2793">
        <v>3.8800000000000002E-3</v>
      </c>
      <c r="P2793" s="3">
        <f t="shared" si="172"/>
        <v>2569.8076094773573</v>
      </c>
      <c r="Q2793" s="3">
        <f t="shared" si="173"/>
        <v>-1.7302258861491282E-3</v>
      </c>
      <c r="R2793" s="3">
        <f t="shared" si="174"/>
        <v>3.0400000000000002E-3</v>
      </c>
      <c r="S2793">
        <f t="shared" si="175"/>
        <v>65</v>
      </c>
      <c r="T2793">
        <f>INDEX([1]IDEN_level_ids!$B:$B,MATCH(G2793,[1]IDEN_level_ids!$A:$A,0),1)</f>
        <v>1037</v>
      </c>
      <c r="U2793">
        <f>INDEX([1]IDEN_level_ids!$B:$B,MATCH(H2793,[1]IDEN_level_ids!$A:$A,0),1)</f>
        <v>853</v>
      </c>
    </row>
    <row r="2794" spans="1:21" hidden="1" x14ac:dyDescent="0.25">
      <c r="A2794">
        <v>38912.081100000003</v>
      </c>
      <c r="B2794">
        <v>2569.8960000000002</v>
      </c>
      <c r="C2794">
        <v>17</v>
      </c>
      <c r="D2794" t="s">
        <v>665</v>
      </c>
      <c r="F2794">
        <v>1974</v>
      </c>
      <c r="G2794" s="1" t="s">
        <v>204</v>
      </c>
      <c r="H2794" s="1" t="s">
        <v>413</v>
      </c>
      <c r="I2794">
        <v>6.4600000000000005E-2</v>
      </c>
      <c r="J2794">
        <v>38912.088199999998</v>
      </c>
      <c r="K2794">
        <v>4.6999999999999999E-4</v>
      </c>
      <c r="L2794">
        <v>3.0400000000000002E-3</v>
      </c>
      <c r="M2794">
        <v>4.6100000000000002E-2</v>
      </c>
      <c r="N2794">
        <v>0.1363</v>
      </c>
      <c r="O2794">
        <v>3.5200000000000001E-3</v>
      </c>
      <c r="P2794" s="3">
        <f t="shared" si="172"/>
        <v>2569.8959596380978</v>
      </c>
      <c r="Q2794" s="3">
        <f t="shared" si="173"/>
        <v>4.689098464041308E-4</v>
      </c>
      <c r="R2794" s="3">
        <f t="shared" si="174"/>
        <v>3.0400000000000002E-3</v>
      </c>
      <c r="S2794">
        <f t="shared" si="175"/>
        <v>65</v>
      </c>
      <c r="T2794">
        <f>INDEX([1]IDEN_level_ids!$B:$B,MATCH(G2794,[1]IDEN_level_ids!$A:$A,0),1)</f>
        <v>1176</v>
      </c>
      <c r="U2794">
        <f>INDEX([1]IDEN_level_ids!$B:$B,MATCH(H2794,[1]IDEN_level_ids!$A:$A,0),1)</f>
        <v>1071</v>
      </c>
    </row>
    <row r="2795" spans="1:21" hidden="1" x14ac:dyDescent="0.25">
      <c r="A2795">
        <v>38910.919199999997</v>
      </c>
      <c r="B2795">
        <v>2569.9726999999998</v>
      </c>
      <c r="C2795">
        <v>17</v>
      </c>
      <c r="D2795" t="s">
        <v>665</v>
      </c>
      <c r="E2795" t="s">
        <v>427</v>
      </c>
      <c r="F2795">
        <v>1974</v>
      </c>
      <c r="G2795" s="1" t="s">
        <v>86</v>
      </c>
      <c r="H2795" s="1" t="s">
        <v>407</v>
      </c>
      <c r="I2795">
        <v>0.27489999999999998</v>
      </c>
      <c r="J2795">
        <v>38910.902099999999</v>
      </c>
      <c r="K2795">
        <v>-1.1299999999999999E-3</v>
      </c>
      <c r="L2795">
        <v>3.2200000000000002E-3</v>
      </c>
      <c r="M2795">
        <v>4.87E-2</v>
      </c>
      <c r="N2795">
        <v>8.9499999999999996E-2</v>
      </c>
      <c r="O2795">
        <v>3.5300000000000002E-3</v>
      </c>
      <c r="P2795" s="3">
        <f t="shared" si="172"/>
        <v>2569.972698049241</v>
      </c>
      <c r="Q2795" s="3">
        <f t="shared" si="173"/>
        <v>-1.129414399201778E-3</v>
      </c>
      <c r="R2795" s="3">
        <f t="shared" si="174"/>
        <v>3.2200000000000002E-3</v>
      </c>
      <c r="S2795">
        <f t="shared" si="175"/>
        <v>65</v>
      </c>
      <c r="T2795">
        <f>INDEX([1]IDEN_level_ids!$B:$B,MATCH(G2795,[1]IDEN_level_ids!$A:$A,0),1)</f>
        <v>1183</v>
      </c>
      <c r="U2795">
        <f>INDEX([1]IDEN_level_ids!$B:$B,MATCH(H2795,[1]IDEN_level_ids!$A:$A,0),1)</f>
        <v>1073</v>
      </c>
    </row>
    <row r="2796" spans="1:21" hidden="1" x14ac:dyDescent="0.25">
      <c r="A2796">
        <v>38908.509899999997</v>
      </c>
      <c r="B2796">
        <v>2570.1318000000001</v>
      </c>
      <c r="C2796">
        <v>17</v>
      </c>
      <c r="D2796" t="s">
        <v>665</v>
      </c>
      <c r="F2796">
        <v>1974</v>
      </c>
      <c r="G2796" s="1" t="s">
        <v>334</v>
      </c>
      <c r="H2796" s="1" t="s">
        <v>589</v>
      </c>
      <c r="I2796">
        <v>0</v>
      </c>
      <c r="J2796">
        <v>38908.436099999999</v>
      </c>
      <c r="K2796">
        <v>-4.8700000000000002E-3</v>
      </c>
      <c r="L2796">
        <v>3.0400000000000002E-3</v>
      </c>
      <c r="M2796">
        <v>4.6100000000000002E-2</v>
      </c>
      <c r="N2796">
        <v>0.17369999999999999</v>
      </c>
      <c r="O2796">
        <v>3.6800000000000001E-3</v>
      </c>
      <c r="P2796" s="3">
        <f t="shared" si="172"/>
        <v>2570.1318363775222</v>
      </c>
      <c r="Q2796" s="3">
        <f t="shared" si="173"/>
        <v>-4.8749255570328387E-3</v>
      </c>
      <c r="R2796" s="3">
        <f t="shared" si="174"/>
        <v>3.0400000000000002E-3</v>
      </c>
      <c r="S2796">
        <f t="shared" si="175"/>
        <v>65</v>
      </c>
      <c r="T2796">
        <f>INDEX([1]IDEN_level_ids!$B:$B,MATCH(G2796,[1]IDEN_level_ids!$A:$A,0),1)</f>
        <v>1124</v>
      </c>
      <c r="U2796">
        <f>INDEX([1]IDEN_level_ids!$B:$B,MATCH(H2796,[1]IDEN_level_ids!$A:$A,0),1)</f>
        <v>984</v>
      </c>
    </row>
    <row r="2797" spans="1:21" hidden="1" x14ac:dyDescent="0.25">
      <c r="A2797">
        <v>38896.279600000002</v>
      </c>
      <c r="B2797">
        <v>2570.94</v>
      </c>
      <c r="C2797">
        <v>17</v>
      </c>
      <c r="D2797" t="s">
        <v>665</v>
      </c>
      <c r="F2797">
        <v>1974</v>
      </c>
      <c r="G2797" s="1" t="s">
        <v>477</v>
      </c>
      <c r="H2797" s="1" t="s">
        <v>121</v>
      </c>
      <c r="I2797">
        <v>-0.32490000000000002</v>
      </c>
      <c r="J2797">
        <v>38896.265299999999</v>
      </c>
      <c r="K2797">
        <v>-9.3999999999999997E-4</v>
      </c>
      <c r="L2797">
        <v>3.0400000000000002E-3</v>
      </c>
      <c r="M2797">
        <v>4.6100000000000002E-2</v>
      </c>
      <c r="N2797">
        <v>0.1963</v>
      </c>
      <c r="O2797">
        <v>3.79E-3</v>
      </c>
      <c r="P2797" s="3">
        <f t="shared" si="172"/>
        <v>2570.9399723669198</v>
      </c>
      <c r="Q2797" s="3">
        <f t="shared" si="173"/>
        <v>-9.4519207277699024E-4</v>
      </c>
      <c r="R2797" s="3">
        <f t="shared" si="174"/>
        <v>3.0400000000000002E-3</v>
      </c>
      <c r="S2797">
        <f t="shared" si="175"/>
        <v>65</v>
      </c>
      <c r="T2797">
        <f>INDEX([1]IDEN_level_ids!$B:$B,MATCH(G2797,[1]IDEN_level_ids!$A:$A,0),1)</f>
        <v>1045</v>
      </c>
      <c r="U2797">
        <f>INDEX([1]IDEN_level_ids!$B:$B,MATCH(H2797,[1]IDEN_level_ids!$A:$A,0),1)</f>
        <v>860</v>
      </c>
    </row>
    <row r="2798" spans="1:21" hidden="1" x14ac:dyDescent="0.25">
      <c r="A2798">
        <v>38882.559399999998</v>
      </c>
      <c r="B2798">
        <v>2571.8472000000002</v>
      </c>
      <c r="C2798">
        <v>17</v>
      </c>
      <c r="D2798" t="s">
        <v>665</v>
      </c>
      <c r="F2798">
        <v>1974</v>
      </c>
      <c r="G2798" s="1" t="s">
        <v>239</v>
      </c>
      <c r="H2798" s="1" t="s">
        <v>600</v>
      </c>
      <c r="I2798">
        <v>0</v>
      </c>
      <c r="J2798">
        <v>38882.548499999997</v>
      </c>
      <c r="K2798">
        <v>-7.2000000000000005E-4</v>
      </c>
      <c r="L2798">
        <v>3.0500000000000002E-3</v>
      </c>
      <c r="M2798">
        <v>4.6100000000000002E-2</v>
      </c>
      <c r="N2798">
        <v>0.11600000000000001</v>
      </c>
      <c r="O2798">
        <v>3.4499999999999999E-3</v>
      </c>
      <c r="P2798" s="3">
        <f t="shared" si="172"/>
        <v>2571.8471608635928</v>
      </c>
      <c r="Q2798" s="3">
        <f t="shared" si="173"/>
        <v>-7.2096956455425243E-4</v>
      </c>
      <c r="R2798" s="3">
        <f t="shared" si="174"/>
        <v>3.0500000000000002E-3</v>
      </c>
      <c r="S2798">
        <f t="shared" si="175"/>
        <v>65</v>
      </c>
      <c r="T2798">
        <f>INDEX([1]IDEN_level_ids!$B:$B,MATCH(G2798,[1]IDEN_level_ids!$A:$A,0),1)</f>
        <v>1167</v>
      </c>
      <c r="U2798">
        <f>INDEX([1]IDEN_level_ids!$B:$B,MATCH(H2798,[1]IDEN_level_ids!$A:$A,0),1)</f>
        <v>1058</v>
      </c>
    </row>
    <row r="2799" spans="1:21" hidden="1" x14ac:dyDescent="0.25">
      <c r="A2799">
        <v>38873.019500000002</v>
      </c>
      <c r="B2799">
        <v>2572.4783000000002</v>
      </c>
      <c r="C2799">
        <v>17</v>
      </c>
      <c r="D2799" t="s">
        <v>665</v>
      </c>
      <c r="E2799" t="s">
        <v>427</v>
      </c>
      <c r="F2799">
        <v>1974</v>
      </c>
      <c r="G2799" s="1" t="s">
        <v>472</v>
      </c>
      <c r="H2799" s="1" t="s">
        <v>325</v>
      </c>
      <c r="I2799">
        <v>0</v>
      </c>
      <c r="J2799">
        <v>38873.159</v>
      </c>
      <c r="K2799">
        <v>9.2300000000000004E-3</v>
      </c>
      <c r="L2799">
        <v>3.2200000000000002E-3</v>
      </c>
      <c r="M2799">
        <v>4.87E-2</v>
      </c>
      <c r="N2799">
        <v>0.19070000000000001</v>
      </c>
      <c r="O2799">
        <v>3.98E-3</v>
      </c>
      <c r="P2799" s="3">
        <f t="shared" si="172"/>
        <v>2572.4783226576983</v>
      </c>
      <c r="Q2799" s="3">
        <f t="shared" si="173"/>
        <v>9.2315812566994282E-3</v>
      </c>
      <c r="R2799" s="3">
        <f t="shared" si="174"/>
        <v>3.2200000000000002E-3</v>
      </c>
      <c r="S2799">
        <f t="shared" si="175"/>
        <v>65</v>
      </c>
      <c r="T2799">
        <f>INDEX([1]IDEN_level_ids!$B:$B,MATCH(G2799,[1]IDEN_level_ids!$A:$A,0),1)</f>
        <v>1012</v>
      </c>
      <c r="U2799">
        <f>INDEX([1]IDEN_level_ids!$B:$B,MATCH(H2799,[1]IDEN_level_ids!$A:$A,0),1)</f>
        <v>822</v>
      </c>
    </row>
    <row r="2800" spans="1:21" hidden="1" x14ac:dyDescent="0.25">
      <c r="A2800">
        <v>38871.310100000002</v>
      </c>
      <c r="B2800">
        <v>2572.5913999999998</v>
      </c>
      <c r="C2800">
        <v>17</v>
      </c>
      <c r="D2800" t="s">
        <v>665</v>
      </c>
      <c r="F2800">
        <v>1974</v>
      </c>
      <c r="G2800" s="1" t="s">
        <v>38</v>
      </c>
      <c r="H2800" s="1" t="s">
        <v>386</v>
      </c>
      <c r="I2800">
        <v>0.22500000000000001</v>
      </c>
      <c r="J2800">
        <v>38871.2932</v>
      </c>
      <c r="K2800">
        <v>-1.1199999999999999E-3</v>
      </c>
      <c r="L2800">
        <v>3.0500000000000002E-3</v>
      </c>
      <c r="M2800">
        <v>4.6100000000000002E-2</v>
      </c>
      <c r="N2800">
        <v>0.1051</v>
      </c>
      <c r="O2800">
        <v>3.4099999999999998E-3</v>
      </c>
      <c r="P2800" s="3">
        <f t="shared" si="172"/>
        <v>2572.5914496511914</v>
      </c>
      <c r="Q2800" s="3">
        <f t="shared" si="173"/>
        <v>-1.1184808099642396E-3</v>
      </c>
      <c r="R2800" s="3">
        <f t="shared" si="174"/>
        <v>3.0500000000000002E-3</v>
      </c>
      <c r="S2800">
        <f t="shared" si="175"/>
        <v>65</v>
      </c>
      <c r="T2800">
        <f>INDEX([1]IDEN_level_ids!$B:$B,MATCH(G2800,[1]IDEN_level_ids!$A:$A,0),1)</f>
        <v>1201</v>
      </c>
      <c r="U2800">
        <f>INDEX([1]IDEN_level_ids!$B:$B,MATCH(H2800,[1]IDEN_level_ids!$A:$A,0),1)</f>
        <v>1082</v>
      </c>
    </row>
    <row r="2801" spans="1:21" hidden="1" x14ac:dyDescent="0.25">
      <c r="A2801">
        <v>38866.230900000002</v>
      </c>
      <c r="B2801">
        <v>2572.9276</v>
      </c>
      <c r="C2801">
        <v>17</v>
      </c>
      <c r="D2801" t="s">
        <v>665</v>
      </c>
      <c r="E2801" t="s">
        <v>427</v>
      </c>
      <c r="F2801">
        <v>1974</v>
      </c>
      <c r="G2801" s="1" t="s">
        <v>438</v>
      </c>
      <c r="H2801" s="1" t="s">
        <v>643</v>
      </c>
      <c r="I2801">
        <v>0</v>
      </c>
      <c r="J2801">
        <v>38866.2336</v>
      </c>
      <c r="K2801">
        <v>1.8000000000000001E-4</v>
      </c>
      <c r="L2801">
        <v>3.2299999999999998E-3</v>
      </c>
      <c r="M2801">
        <v>4.87E-2</v>
      </c>
      <c r="N2801">
        <v>0.1231</v>
      </c>
      <c r="O2801">
        <v>3.6800000000000001E-3</v>
      </c>
      <c r="P2801" s="3">
        <f t="shared" si="172"/>
        <v>2572.9276465549942</v>
      </c>
      <c r="Q2801" s="3">
        <f t="shared" si="173"/>
        <v>1.787388177945104E-4</v>
      </c>
      <c r="R2801" s="3">
        <f t="shared" si="174"/>
        <v>3.2299999999999998E-3</v>
      </c>
      <c r="S2801">
        <f t="shared" si="175"/>
        <v>65</v>
      </c>
      <c r="T2801">
        <f>INDEX([1]IDEN_level_ids!$B:$B,MATCH(G2801,[1]IDEN_level_ids!$A:$A,0),1)</f>
        <v>1051</v>
      </c>
      <c r="U2801">
        <f>INDEX([1]IDEN_level_ids!$B:$B,MATCH(H2801,[1]IDEN_level_ids!$A:$A,0),1)</f>
        <v>869</v>
      </c>
    </row>
    <row r="2802" spans="1:21" hidden="1" x14ac:dyDescent="0.25">
      <c r="A2802">
        <v>38859.720600000001</v>
      </c>
      <c r="B2802">
        <v>2573.3587000000002</v>
      </c>
      <c r="C2802">
        <v>17</v>
      </c>
      <c r="D2802" t="s">
        <v>665</v>
      </c>
      <c r="F2802">
        <v>1974</v>
      </c>
      <c r="G2802" s="1" t="s">
        <v>467</v>
      </c>
      <c r="H2802" s="1" t="s">
        <v>634</v>
      </c>
      <c r="I2802">
        <v>0</v>
      </c>
      <c r="J2802">
        <v>38859.783600000002</v>
      </c>
      <c r="K2802">
        <v>4.1700000000000001E-3</v>
      </c>
      <c r="L2802">
        <v>3.0500000000000002E-3</v>
      </c>
      <c r="M2802">
        <v>4.6100000000000002E-2</v>
      </c>
      <c r="N2802">
        <v>0.26390000000000002</v>
      </c>
      <c r="O2802">
        <v>4.1399999999999996E-3</v>
      </c>
      <c r="P2802" s="3">
        <f t="shared" si="172"/>
        <v>2573.3586977977398</v>
      </c>
      <c r="Q2802" s="3">
        <f t="shared" si="173"/>
        <v>4.1719634787114046E-3</v>
      </c>
      <c r="R2802" s="3">
        <f t="shared" si="174"/>
        <v>3.0500000000000002E-3</v>
      </c>
      <c r="S2802">
        <f t="shared" si="175"/>
        <v>65</v>
      </c>
      <c r="T2802">
        <f>INDEX([1]IDEN_level_ids!$B:$B,MATCH(G2802,[1]IDEN_level_ids!$A:$A,0),1)</f>
        <v>1025</v>
      </c>
      <c r="U2802">
        <f>INDEX([1]IDEN_level_ids!$B:$B,MATCH(H2802,[1]IDEN_level_ids!$A:$A,0),1)</f>
        <v>838</v>
      </c>
    </row>
    <row r="2803" spans="1:21" hidden="1" x14ac:dyDescent="0.25">
      <c r="A2803">
        <v>38842.359900000003</v>
      </c>
      <c r="B2803">
        <v>2574.5088999999998</v>
      </c>
      <c r="C2803">
        <v>17</v>
      </c>
      <c r="D2803" t="s">
        <v>665</v>
      </c>
      <c r="F2803">
        <v>1974</v>
      </c>
      <c r="G2803" s="1" t="s">
        <v>448</v>
      </c>
      <c r="H2803" s="1" t="s">
        <v>648</v>
      </c>
      <c r="I2803">
        <v>-0.29559999999999997</v>
      </c>
      <c r="J2803">
        <v>38842.2739</v>
      </c>
      <c r="K2803">
        <v>-5.7000000000000002E-3</v>
      </c>
      <c r="L2803">
        <v>3.0500000000000002E-3</v>
      </c>
      <c r="M2803">
        <v>4.6100000000000002E-2</v>
      </c>
      <c r="N2803">
        <v>0.1119</v>
      </c>
      <c r="O2803">
        <v>3.4399999999999999E-3</v>
      </c>
      <c r="P2803" s="3">
        <f t="shared" si="172"/>
        <v>2574.5088675726934</v>
      </c>
      <c r="Q2803" s="3">
        <f t="shared" si="173"/>
        <v>-5.7001751024472469E-3</v>
      </c>
      <c r="R2803" s="3">
        <f t="shared" si="174"/>
        <v>3.0500000000000002E-3</v>
      </c>
      <c r="S2803">
        <f t="shared" si="175"/>
        <v>65</v>
      </c>
      <c r="T2803">
        <f>INDEX([1]IDEN_level_ids!$B:$B,MATCH(G2803,[1]IDEN_level_ids!$A:$A,0),1)</f>
        <v>1067</v>
      </c>
      <c r="U2803">
        <f>INDEX([1]IDEN_level_ids!$B:$B,MATCH(H2803,[1]IDEN_level_ids!$A:$A,0),1)</f>
        <v>883</v>
      </c>
    </row>
    <row r="2804" spans="1:21" hidden="1" x14ac:dyDescent="0.25">
      <c r="A2804">
        <v>38825.750500000002</v>
      </c>
      <c r="B2804">
        <v>2575.6102000000001</v>
      </c>
      <c r="C2804">
        <v>17</v>
      </c>
      <c r="D2804" t="s">
        <v>667</v>
      </c>
      <c r="F2804">
        <v>1974</v>
      </c>
      <c r="G2804" s="1" t="s">
        <v>216</v>
      </c>
      <c r="H2804" s="1" t="s">
        <v>431</v>
      </c>
      <c r="I2804">
        <v>0.28649999999999998</v>
      </c>
      <c r="J2804">
        <v>38825.871700000003</v>
      </c>
      <c r="K2804">
        <v>8.0400000000000003E-3</v>
      </c>
      <c r="L2804">
        <v>3.0599999999999998E-3</v>
      </c>
      <c r="M2804">
        <v>4.6100000000000002E-2</v>
      </c>
      <c r="N2804">
        <v>9.2700000000000005E-2</v>
      </c>
      <c r="O2804">
        <v>3.3700000000000002E-3</v>
      </c>
      <c r="P2804" s="3">
        <f t="shared" si="172"/>
        <v>2575.6102254868197</v>
      </c>
      <c r="Q2804" s="3">
        <f t="shared" si="173"/>
        <v>8.0401017585245427E-3</v>
      </c>
      <c r="R2804" s="3">
        <f t="shared" si="174"/>
        <v>3.0599999999999998E-3</v>
      </c>
      <c r="S2804">
        <f t="shared" si="175"/>
        <v>66</v>
      </c>
      <c r="T2804">
        <f>INDEX([1]IDEN_level_ids!$B:$B,MATCH(G2804,[1]IDEN_level_ids!$A:$A,0),1)</f>
        <v>1170</v>
      </c>
      <c r="U2804">
        <f>INDEX([1]IDEN_level_ids!$B:$B,MATCH(H2804,[1]IDEN_level_ids!$A:$A,0),1)</f>
        <v>1062</v>
      </c>
    </row>
    <row r="2805" spans="1:21" hidden="1" x14ac:dyDescent="0.25">
      <c r="A2805">
        <v>38806.610699999997</v>
      </c>
      <c r="B2805">
        <v>2576.8805000000002</v>
      </c>
      <c r="C2805">
        <v>17</v>
      </c>
      <c r="D2805" t="s">
        <v>667</v>
      </c>
      <c r="F2805">
        <v>1974</v>
      </c>
      <c r="G2805" s="1" t="s">
        <v>475</v>
      </c>
      <c r="H2805" s="1" t="s">
        <v>620</v>
      </c>
      <c r="I2805">
        <v>-0.18990000000000001</v>
      </c>
      <c r="J2805">
        <v>38806.625399999997</v>
      </c>
      <c r="K2805">
        <v>9.7999999999999997E-4</v>
      </c>
      <c r="L2805">
        <v>3.0599999999999998E-3</v>
      </c>
      <c r="M2805">
        <v>4.6100000000000002E-2</v>
      </c>
      <c r="N2805">
        <v>0.21920000000000001</v>
      </c>
      <c r="O2805">
        <v>3.9199999999999999E-3</v>
      </c>
      <c r="P2805" s="3">
        <f t="shared" si="172"/>
        <v>2576.8805416444166</v>
      </c>
      <c r="Q2805" s="3">
        <f t="shared" si="173"/>
        <v>9.7612568924887455E-4</v>
      </c>
      <c r="R2805" s="3">
        <f t="shared" si="174"/>
        <v>3.0599999999999998E-3</v>
      </c>
      <c r="S2805">
        <f t="shared" si="175"/>
        <v>66</v>
      </c>
      <c r="T2805">
        <f>INDEX([1]IDEN_level_ids!$B:$B,MATCH(G2805,[1]IDEN_level_ids!$A:$A,0),1)</f>
        <v>1030</v>
      </c>
      <c r="U2805">
        <f>INDEX([1]IDEN_level_ids!$B:$B,MATCH(H2805,[1]IDEN_level_ids!$A:$A,0),1)</f>
        <v>839</v>
      </c>
    </row>
    <row r="2806" spans="1:21" hidden="1" x14ac:dyDescent="0.25">
      <c r="A2806">
        <v>38798.611599999997</v>
      </c>
      <c r="B2806">
        <v>2577.4117999999999</v>
      </c>
      <c r="C2806">
        <v>17</v>
      </c>
      <c r="D2806" t="s">
        <v>667</v>
      </c>
      <c r="F2806">
        <v>1974</v>
      </c>
      <c r="G2806" s="1" t="s">
        <v>194</v>
      </c>
      <c r="H2806" s="1" t="s">
        <v>398</v>
      </c>
      <c r="I2806">
        <v>0.31929999999999997</v>
      </c>
      <c r="J2806">
        <v>38798.578200000004</v>
      </c>
      <c r="K2806">
        <v>-2.2200000000000002E-3</v>
      </c>
      <c r="L2806">
        <v>3.0599999999999998E-3</v>
      </c>
      <c r="M2806">
        <v>4.6100000000000002E-2</v>
      </c>
      <c r="N2806">
        <v>8.7800000000000003E-2</v>
      </c>
      <c r="O2806">
        <v>3.3500000000000001E-3</v>
      </c>
      <c r="P2806" s="3">
        <f t="shared" si="172"/>
        <v>2577.4118164578858</v>
      </c>
      <c r="Q2806" s="3">
        <f t="shared" si="173"/>
        <v>-2.2187811682670144E-3</v>
      </c>
      <c r="R2806" s="3">
        <f t="shared" si="174"/>
        <v>3.0599999999999998E-3</v>
      </c>
      <c r="S2806">
        <f t="shared" si="175"/>
        <v>66</v>
      </c>
      <c r="T2806">
        <f>INDEX([1]IDEN_level_ids!$B:$B,MATCH(G2806,[1]IDEN_level_ids!$A:$A,0),1)</f>
        <v>1187</v>
      </c>
      <c r="U2806">
        <f>INDEX([1]IDEN_level_ids!$B:$B,MATCH(H2806,[1]IDEN_level_ids!$A:$A,0),1)</f>
        <v>1075</v>
      </c>
    </row>
    <row r="2807" spans="1:21" hidden="1" x14ac:dyDescent="0.25">
      <c r="A2807">
        <v>38794.369899999998</v>
      </c>
      <c r="B2807">
        <v>2577.6936000000001</v>
      </c>
      <c r="C2807">
        <v>17</v>
      </c>
      <c r="D2807" t="s">
        <v>667</v>
      </c>
      <c r="E2807" t="s">
        <v>427</v>
      </c>
      <c r="F2807">
        <v>1974</v>
      </c>
      <c r="G2807" s="1" t="s">
        <v>452</v>
      </c>
      <c r="H2807" s="1" t="s">
        <v>653</v>
      </c>
      <c r="I2807">
        <v>-0.25619999999999998</v>
      </c>
      <c r="J2807">
        <v>38794.345200000003</v>
      </c>
      <c r="K2807">
        <v>-1.65E-3</v>
      </c>
      <c r="L2807">
        <v>3.2399999999999998E-3</v>
      </c>
      <c r="M2807">
        <v>4.87E-2</v>
      </c>
      <c r="N2807">
        <v>0.27310000000000001</v>
      </c>
      <c r="O2807">
        <v>4.45E-3</v>
      </c>
      <c r="P2807" s="3">
        <f t="shared" si="172"/>
        <v>2577.6936255897276</v>
      </c>
      <c r="Q2807" s="3">
        <f t="shared" si="173"/>
        <v>-1.6411936385338777E-3</v>
      </c>
      <c r="R2807" s="3">
        <f t="shared" si="174"/>
        <v>3.2399999999999998E-3</v>
      </c>
      <c r="S2807">
        <f t="shared" si="175"/>
        <v>66</v>
      </c>
      <c r="T2807">
        <f>INDEX([1]IDEN_level_ids!$B:$B,MATCH(G2807,[1]IDEN_level_ids!$A:$A,0),1)</f>
        <v>1033</v>
      </c>
      <c r="U2807">
        <f>INDEX([1]IDEN_level_ids!$B:$B,MATCH(H2807,[1]IDEN_level_ids!$A:$A,0),1)</f>
        <v>846</v>
      </c>
    </row>
    <row r="2808" spans="1:21" hidden="1" x14ac:dyDescent="0.25">
      <c r="A2808">
        <v>38780.1613</v>
      </c>
      <c r="B2808">
        <v>2578.6381000000001</v>
      </c>
      <c r="C2808">
        <v>17</v>
      </c>
      <c r="D2808" t="s">
        <v>667</v>
      </c>
      <c r="E2808" t="s">
        <v>427</v>
      </c>
      <c r="F2808">
        <v>1974</v>
      </c>
      <c r="G2808" s="1" t="s">
        <v>441</v>
      </c>
      <c r="H2808" s="1" t="s">
        <v>668</v>
      </c>
      <c r="I2808">
        <v>-9.8500000000000004E-2</v>
      </c>
      <c r="J2808">
        <v>38780.164900000003</v>
      </c>
      <c r="K2808">
        <v>2.4000000000000001E-4</v>
      </c>
      <c r="L2808">
        <v>3.2399999999999998E-3</v>
      </c>
      <c r="M2808">
        <v>4.87E-2</v>
      </c>
      <c r="N2808">
        <v>0.36070000000000002</v>
      </c>
      <c r="O2808">
        <v>5.0699999999999999E-3</v>
      </c>
      <c r="P2808" s="3">
        <f t="shared" si="172"/>
        <v>2578.6380625497809</v>
      </c>
      <c r="Q2808" s="3">
        <f t="shared" si="173"/>
        <v>2.3937745118018938E-4</v>
      </c>
      <c r="R2808" s="3">
        <f t="shared" si="174"/>
        <v>3.2399999999999998E-3</v>
      </c>
      <c r="S2808">
        <f t="shared" si="175"/>
        <v>66</v>
      </c>
      <c r="T2808">
        <f>INDEX([1]IDEN_level_ids!$B:$B,MATCH(G2808,[1]IDEN_level_ids!$A:$A,0),1)</f>
        <v>1034</v>
      </c>
      <c r="U2808">
        <f>INDEX([1]IDEN_level_ids!$B:$B,MATCH(H2808,[1]IDEN_level_ids!$A:$A,0),1)</f>
        <v>845</v>
      </c>
    </row>
    <row r="2809" spans="1:21" hidden="1" x14ac:dyDescent="0.25">
      <c r="A2809">
        <v>38766.510199999997</v>
      </c>
      <c r="B2809">
        <v>2579.5461</v>
      </c>
      <c r="C2809">
        <v>17</v>
      </c>
      <c r="D2809" t="s">
        <v>667</v>
      </c>
      <c r="E2809" t="s">
        <v>427</v>
      </c>
      <c r="F2809">
        <v>1974</v>
      </c>
      <c r="G2809" s="1" t="s">
        <v>466</v>
      </c>
      <c r="H2809" s="1" t="s">
        <v>633</v>
      </c>
      <c r="I2809">
        <v>-0.3876</v>
      </c>
      <c r="J2809">
        <v>38766.4686</v>
      </c>
      <c r="K2809">
        <v>-2.7699999999999999E-3</v>
      </c>
      <c r="L2809">
        <v>3.2399999999999998E-3</v>
      </c>
      <c r="M2809">
        <v>4.87E-2</v>
      </c>
      <c r="N2809">
        <v>0.159</v>
      </c>
      <c r="O2809">
        <v>3.8600000000000001E-3</v>
      </c>
      <c r="P2809" s="3">
        <f t="shared" si="172"/>
        <v>2579.5460949177727</v>
      </c>
      <c r="Q2809" s="3">
        <f t="shared" si="173"/>
        <v>-2.7680911216521054E-3</v>
      </c>
      <c r="R2809" s="3">
        <f t="shared" si="174"/>
        <v>3.2399999999999998E-3</v>
      </c>
      <c r="S2809">
        <f t="shared" si="175"/>
        <v>66</v>
      </c>
      <c r="T2809">
        <f>INDEX([1]IDEN_level_ids!$B:$B,MATCH(G2809,[1]IDEN_level_ids!$A:$A,0),1)</f>
        <v>1061</v>
      </c>
      <c r="U2809">
        <f>INDEX([1]IDEN_level_ids!$B:$B,MATCH(H2809,[1]IDEN_level_ids!$A:$A,0),1)</f>
        <v>878</v>
      </c>
    </row>
    <row r="2810" spans="1:21" hidden="1" x14ac:dyDescent="0.25">
      <c r="A2810">
        <v>38757.239399999999</v>
      </c>
      <c r="B2810">
        <v>2580.1631000000002</v>
      </c>
      <c r="C2810">
        <v>17</v>
      </c>
      <c r="D2810" t="s">
        <v>667</v>
      </c>
      <c r="F2810">
        <v>1974</v>
      </c>
      <c r="G2810" s="1" t="s">
        <v>334</v>
      </c>
      <c r="H2810" s="1" t="s">
        <v>577</v>
      </c>
      <c r="I2810">
        <v>3.2599999999999997E-2</v>
      </c>
      <c r="J2810">
        <v>38757.282599999999</v>
      </c>
      <c r="K2810">
        <v>2.8800000000000002E-3</v>
      </c>
      <c r="L2810">
        <v>3.0699999999999998E-3</v>
      </c>
      <c r="M2810">
        <v>4.6100000000000002E-2</v>
      </c>
      <c r="N2810">
        <v>0.13139999999999999</v>
      </c>
      <c r="O2810">
        <v>3.5300000000000002E-3</v>
      </c>
      <c r="P2810" s="3">
        <f t="shared" si="172"/>
        <v>2580.16312689185</v>
      </c>
      <c r="Q2810" s="3">
        <f t="shared" si="173"/>
        <v>2.8759252354575437E-3</v>
      </c>
      <c r="R2810" s="3">
        <f t="shared" si="174"/>
        <v>3.0699999999999998E-3</v>
      </c>
      <c r="S2810">
        <f t="shared" si="175"/>
        <v>66</v>
      </c>
      <c r="T2810">
        <f>INDEX([1]IDEN_level_ids!$B:$B,MATCH(G2810,[1]IDEN_level_ids!$A:$A,0),1)</f>
        <v>1124</v>
      </c>
      <c r="U2810">
        <f>INDEX([1]IDEN_level_ids!$B:$B,MATCH(H2810,[1]IDEN_level_ids!$A:$A,0),1)</f>
        <v>985</v>
      </c>
    </row>
    <row r="2811" spans="1:21" hidden="1" x14ac:dyDescent="0.25">
      <c r="A2811">
        <v>38748.360099999998</v>
      </c>
      <c r="B2811">
        <v>2580.7543999999998</v>
      </c>
      <c r="C2811">
        <v>17</v>
      </c>
      <c r="D2811" t="s">
        <v>667</v>
      </c>
      <c r="E2811" t="s">
        <v>427</v>
      </c>
      <c r="F2811">
        <v>1974</v>
      </c>
      <c r="G2811" s="1" t="s">
        <v>462</v>
      </c>
      <c r="H2811" s="1" t="s">
        <v>129</v>
      </c>
      <c r="I2811">
        <v>-0.37159999999999999</v>
      </c>
      <c r="J2811">
        <v>38748.368199999997</v>
      </c>
      <c r="K2811">
        <v>5.4000000000000001E-4</v>
      </c>
      <c r="L2811">
        <v>3.2499999999999999E-3</v>
      </c>
      <c r="M2811">
        <v>4.87E-2</v>
      </c>
      <c r="N2811">
        <v>0.23469999999999999</v>
      </c>
      <c r="O2811">
        <v>4.2399999999999998E-3</v>
      </c>
      <c r="P2811" s="3">
        <f t="shared" si="172"/>
        <v>2580.754378815634</v>
      </c>
      <c r="Q2811" s="3">
        <f t="shared" si="173"/>
        <v>5.3948363347444683E-4</v>
      </c>
      <c r="R2811" s="3">
        <f t="shared" si="174"/>
        <v>3.2499999999999999E-3</v>
      </c>
      <c r="S2811">
        <f t="shared" si="175"/>
        <v>66</v>
      </c>
      <c r="T2811">
        <f>INDEX([1]IDEN_level_ids!$B:$B,MATCH(G2811,[1]IDEN_level_ids!$A:$A,0),1)</f>
        <v>1047</v>
      </c>
      <c r="U2811">
        <f>INDEX([1]IDEN_level_ids!$B:$B,MATCH(H2811,[1]IDEN_level_ids!$A:$A,0),1)</f>
        <v>866</v>
      </c>
    </row>
    <row r="2812" spans="1:21" hidden="1" x14ac:dyDescent="0.25">
      <c r="A2812">
        <v>38746.751100000001</v>
      </c>
      <c r="B2812">
        <v>2580.8615</v>
      </c>
      <c r="C2812">
        <v>17</v>
      </c>
      <c r="D2812" t="s">
        <v>667</v>
      </c>
      <c r="F2812">
        <v>1974</v>
      </c>
      <c r="G2812" s="1" t="s">
        <v>299</v>
      </c>
      <c r="H2812" s="1" t="s">
        <v>505</v>
      </c>
      <c r="I2812">
        <v>0</v>
      </c>
      <c r="J2812">
        <v>38746.659099999997</v>
      </c>
      <c r="K2812">
        <v>-6.13E-3</v>
      </c>
      <c r="L2812">
        <v>3.0699999999999998E-3</v>
      </c>
      <c r="M2812">
        <v>4.6100000000000002E-2</v>
      </c>
      <c r="N2812">
        <v>0.29509999999999997</v>
      </c>
      <c r="O2812">
        <v>4.3499999999999997E-3</v>
      </c>
      <c r="P2812" s="3">
        <f t="shared" si="172"/>
        <v>2580.8615473827431</v>
      </c>
      <c r="Q2812" s="3">
        <f t="shared" si="173"/>
        <v>-6.127993171048729E-3</v>
      </c>
      <c r="R2812" s="3">
        <f t="shared" si="174"/>
        <v>3.0699999999999998E-3</v>
      </c>
      <c r="S2812">
        <f t="shared" si="175"/>
        <v>66</v>
      </c>
      <c r="T2812">
        <f>INDEX([1]IDEN_level_ids!$B:$B,MATCH(G2812,[1]IDEN_level_ids!$A:$A,0),1)</f>
        <v>1101</v>
      </c>
      <c r="U2812">
        <f>INDEX([1]IDEN_level_ids!$B:$B,MATCH(H2812,[1]IDEN_level_ids!$A:$A,0),1)</f>
        <v>950</v>
      </c>
    </row>
    <row r="2813" spans="1:21" hidden="1" x14ac:dyDescent="0.25">
      <c r="A2813">
        <v>38734.789700000001</v>
      </c>
      <c r="B2813">
        <v>2581.6585</v>
      </c>
      <c r="C2813">
        <v>17</v>
      </c>
      <c r="D2813" t="s">
        <v>667</v>
      </c>
      <c r="E2813" t="s">
        <v>427</v>
      </c>
      <c r="F2813">
        <v>1974</v>
      </c>
      <c r="G2813" s="1" t="s">
        <v>73</v>
      </c>
      <c r="H2813" s="1" t="s">
        <v>375</v>
      </c>
      <c r="I2813">
        <v>0.28789999999999999</v>
      </c>
      <c r="J2813">
        <v>38734.767599999999</v>
      </c>
      <c r="K2813">
        <v>-1.47E-3</v>
      </c>
      <c r="L2813">
        <v>3.2499999999999999E-3</v>
      </c>
      <c r="M2813">
        <v>4.87E-2</v>
      </c>
      <c r="N2813">
        <v>7.3300000000000004E-2</v>
      </c>
      <c r="O2813">
        <v>3.5000000000000001E-3</v>
      </c>
      <c r="P2813" s="3">
        <f t="shared" si="172"/>
        <v>2581.658523887636</v>
      </c>
      <c r="Q2813" s="3">
        <f t="shared" si="173"/>
        <v>-1.472957162604871E-3</v>
      </c>
      <c r="R2813" s="3">
        <f t="shared" si="174"/>
        <v>3.2499999999999999E-3</v>
      </c>
      <c r="S2813">
        <f t="shared" si="175"/>
        <v>66</v>
      </c>
      <c r="T2813">
        <f>INDEX([1]IDEN_level_ids!$B:$B,MATCH(G2813,[1]IDEN_level_ids!$A:$A,0),1)</f>
        <v>1173</v>
      </c>
      <c r="U2813">
        <f>INDEX([1]IDEN_level_ids!$B:$B,MATCH(H2813,[1]IDEN_level_ids!$A:$A,0),1)</f>
        <v>1065</v>
      </c>
    </row>
    <row r="2814" spans="1:21" hidden="1" x14ac:dyDescent="0.25">
      <c r="A2814">
        <v>38717.701000000001</v>
      </c>
      <c r="B2814">
        <v>2582.7979999999998</v>
      </c>
      <c r="C2814">
        <v>17</v>
      </c>
      <c r="D2814" t="s">
        <v>667</v>
      </c>
      <c r="F2814">
        <v>1974</v>
      </c>
      <c r="G2814" s="1" t="s">
        <v>462</v>
      </c>
      <c r="H2814" s="1" t="s">
        <v>630</v>
      </c>
      <c r="I2814">
        <v>-0.37159999999999999</v>
      </c>
      <c r="J2814">
        <v>38717.719499999999</v>
      </c>
      <c r="K2814">
        <v>1.23E-3</v>
      </c>
      <c r="L2814">
        <v>3.0699999999999998E-3</v>
      </c>
      <c r="M2814">
        <v>4.6100000000000002E-2</v>
      </c>
      <c r="N2814">
        <v>0.24709999999999999</v>
      </c>
      <c r="O2814">
        <v>4.0800000000000003E-3</v>
      </c>
      <c r="P2814" s="3">
        <f t="shared" si="172"/>
        <v>2582.7979817293385</v>
      </c>
      <c r="Q2814" s="3">
        <f t="shared" si="173"/>
        <v>1.2341058118181536E-3</v>
      </c>
      <c r="R2814" s="3">
        <f t="shared" si="174"/>
        <v>3.0699999999999998E-3</v>
      </c>
      <c r="S2814">
        <f t="shared" si="175"/>
        <v>66</v>
      </c>
      <c r="T2814">
        <f>INDEX([1]IDEN_level_ids!$B:$B,MATCH(G2814,[1]IDEN_level_ids!$A:$A,0),1)</f>
        <v>1047</v>
      </c>
      <c r="U2814">
        <f>INDEX([1]IDEN_level_ids!$B:$B,MATCH(H2814,[1]IDEN_level_ids!$A:$A,0),1)</f>
        <v>867</v>
      </c>
    </row>
    <row r="2815" spans="1:21" hidden="1" x14ac:dyDescent="0.25">
      <c r="A2815">
        <v>38714.131500000003</v>
      </c>
      <c r="B2815">
        <v>2583.0360999999998</v>
      </c>
      <c r="C2815">
        <v>17</v>
      </c>
      <c r="D2815" t="s">
        <v>667</v>
      </c>
      <c r="F2815">
        <v>1974</v>
      </c>
      <c r="G2815" s="1" t="s">
        <v>197</v>
      </c>
      <c r="H2815" s="1" t="s">
        <v>407</v>
      </c>
      <c r="I2815">
        <v>0.27489999999999998</v>
      </c>
      <c r="J2815">
        <v>38714.071300000003</v>
      </c>
      <c r="K2815">
        <v>-4.0200000000000001E-3</v>
      </c>
      <c r="L2815">
        <v>3.0699999999999998E-3</v>
      </c>
      <c r="M2815">
        <v>4.6100000000000002E-2</v>
      </c>
      <c r="N2815">
        <v>7.8700000000000006E-2</v>
      </c>
      <c r="O2815">
        <v>3.3400000000000001E-3</v>
      </c>
      <c r="P2815" s="3">
        <f t="shared" si="172"/>
        <v>2583.0361195110368</v>
      </c>
      <c r="Q2815" s="3">
        <f t="shared" si="173"/>
        <v>-4.0165957539102237E-3</v>
      </c>
      <c r="R2815" s="3">
        <f t="shared" si="174"/>
        <v>3.0699999999999998E-3</v>
      </c>
      <c r="S2815">
        <f t="shared" si="175"/>
        <v>66</v>
      </c>
      <c r="T2815">
        <f>INDEX([1]IDEN_level_ids!$B:$B,MATCH(G2815,[1]IDEN_level_ids!$A:$A,0),1)</f>
        <v>1182</v>
      </c>
      <c r="U2815">
        <f>INDEX([1]IDEN_level_ids!$B:$B,MATCH(H2815,[1]IDEN_level_ids!$A:$A,0),1)</f>
        <v>1073</v>
      </c>
    </row>
    <row r="2816" spans="1:21" hidden="1" x14ac:dyDescent="0.25">
      <c r="A2816">
        <v>38707.4015</v>
      </c>
      <c r="B2816">
        <v>2583.4852000000001</v>
      </c>
      <c r="C2816">
        <v>17</v>
      </c>
      <c r="D2816" t="s">
        <v>667</v>
      </c>
      <c r="F2816">
        <v>1974</v>
      </c>
      <c r="G2816" s="1" t="s">
        <v>540</v>
      </c>
      <c r="H2816" s="1" t="s">
        <v>640</v>
      </c>
      <c r="I2816">
        <v>-0.34399999999999997</v>
      </c>
      <c r="J2816">
        <v>38707.360500000003</v>
      </c>
      <c r="K2816">
        <v>-2.7399999999999998E-3</v>
      </c>
      <c r="L2816">
        <v>3.0699999999999998E-3</v>
      </c>
      <c r="M2816">
        <v>4.6100000000000002E-2</v>
      </c>
      <c r="N2816">
        <v>0.15179999999999999</v>
      </c>
      <c r="O2816">
        <v>3.63E-3</v>
      </c>
      <c r="P2816" s="3">
        <f t="shared" si="172"/>
        <v>2583.4852282708775</v>
      </c>
      <c r="Q2816" s="3">
        <f t="shared" si="173"/>
        <v>-2.7365052274035406E-3</v>
      </c>
      <c r="R2816" s="3">
        <f t="shared" si="174"/>
        <v>3.0699999999999998E-3</v>
      </c>
      <c r="S2816">
        <f t="shared" si="175"/>
        <v>66</v>
      </c>
      <c r="T2816">
        <f>INDEX([1]IDEN_level_ids!$B:$B,MATCH(G2816,[1]IDEN_level_ids!$A:$A,0),1)</f>
        <v>1027</v>
      </c>
      <c r="U2816">
        <f>INDEX([1]IDEN_level_ids!$B:$B,MATCH(H2816,[1]IDEN_level_ids!$A:$A,0),1)</f>
        <v>843</v>
      </c>
    </row>
    <row r="2817" spans="1:21" hidden="1" x14ac:dyDescent="0.25">
      <c r="A2817">
        <v>38701.860200000003</v>
      </c>
      <c r="B2817">
        <v>2583.8551000000002</v>
      </c>
      <c r="C2817">
        <v>17</v>
      </c>
      <c r="D2817" t="s">
        <v>667</v>
      </c>
      <c r="E2817" t="s">
        <v>427</v>
      </c>
      <c r="F2817">
        <v>1974</v>
      </c>
      <c r="G2817" s="1" t="s">
        <v>669</v>
      </c>
      <c r="H2817" s="1" t="s">
        <v>670</v>
      </c>
      <c r="I2817">
        <v>0</v>
      </c>
      <c r="J2817">
        <v>38702.058400000002</v>
      </c>
      <c r="K2817">
        <v>1.323E-2</v>
      </c>
      <c r="L2817">
        <v>3.2499999999999999E-3</v>
      </c>
      <c r="M2817">
        <v>4.87E-2</v>
      </c>
      <c r="N2817">
        <v>0.1772</v>
      </c>
      <c r="O2817">
        <v>3.9500000000000004E-3</v>
      </c>
      <c r="P2817" s="3">
        <f t="shared" si="172"/>
        <v>2583.855129526823</v>
      </c>
      <c r="Q2817" s="3">
        <f t="shared" si="173"/>
        <v>1.3232373363280203E-2</v>
      </c>
      <c r="R2817" s="3">
        <f t="shared" si="174"/>
        <v>3.2499999999999999E-3</v>
      </c>
      <c r="S2817">
        <f t="shared" si="175"/>
        <v>66</v>
      </c>
      <c r="T2817">
        <f>INDEX([1]IDEN_level_ids!$B:$B,MATCH(G2817,[1]IDEN_level_ids!$A:$A,0),1)</f>
        <v>1245</v>
      </c>
      <c r="U2817">
        <f>INDEX([1]IDEN_level_ids!$B:$B,MATCH(H2817,[1]IDEN_level_ids!$A:$A,0),1)</f>
        <v>1093</v>
      </c>
    </row>
    <row r="2818" spans="1:21" hidden="1" x14ac:dyDescent="0.25">
      <c r="A2818">
        <v>38697.668899999997</v>
      </c>
      <c r="B2818">
        <v>2584.1350000000002</v>
      </c>
      <c r="C2818">
        <v>17</v>
      </c>
      <c r="D2818" t="s">
        <v>667</v>
      </c>
      <c r="F2818">
        <v>1974</v>
      </c>
      <c r="G2818" s="1" t="s">
        <v>295</v>
      </c>
      <c r="H2818" s="1" t="s">
        <v>441</v>
      </c>
      <c r="I2818">
        <v>9.8500000000000004E-2</v>
      </c>
      <c r="J2818">
        <v>38697.611799999999</v>
      </c>
      <c r="K2818">
        <v>-3.81E-3</v>
      </c>
      <c r="L2818">
        <v>3.0799999999999998E-3</v>
      </c>
      <c r="M2818">
        <v>4.6100000000000002E-2</v>
      </c>
      <c r="N2818">
        <v>0.13389999999999999</v>
      </c>
      <c r="O2818">
        <v>3.5500000000000002E-3</v>
      </c>
      <c r="P2818" s="3">
        <f t="shared" ref="P2818:P2881" si="176">100000000/$A2818</f>
        <v>2584.1349839033846</v>
      </c>
      <c r="Q2818" s="3">
        <f t="shared" ref="Q2818:Q2881" si="177">100000000/($A2818)-100000000/$J2818</f>
        <v>-3.8130029402054788E-3</v>
      </c>
      <c r="R2818" s="3">
        <f t="shared" si="174"/>
        <v>3.0799999999999998E-3</v>
      </c>
      <c r="S2818">
        <f t="shared" si="175"/>
        <v>66</v>
      </c>
      <c r="T2818">
        <f>INDEX([1]IDEN_level_ids!$B:$B,MATCH(G2818,[1]IDEN_level_ids!$A:$A,0),1)</f>
        <v>1152</v>
      </c>
      <c r="U2818">
        <f>INDEX([1]IDEN_level_ids!$B:$B,MATCH(H2818,[1]IDEN_level_ids!$A:$A,0),1)</f>
        <v>1034</v>
      </c>
    </row>
    <row r="2819" spans="1:21" hidden="1" x14ac:dyDescent="0.25">
      <c r="A2819">
        <v>38683.410600000003</v>
      </c>
      <c r="B2819">
        <v>2585.0875000000001</v>
      </c>
      <c r="C2819">
        <v>17</v>
      </c>
      <c r="D2819" t="s">
        <v>667</v>
      </c>
      <c r="F2819">
        <v>1974</v>
      </c>
      <c r="G2819" s="1" t="s">
        <v>345</v>
      </c>
      <c r="H2819" s="1" t="s">
        <v>487</v>
      </c>
      <c r="I2819">
        <v>0</v>
      </c>
      <c r="J2819">
        <v>38683.3871</v>
      </c>
      <c r="K2819">
        <v>-1.57E-3</v>
      </c>
      <c r="L2819">
        <v>3.0799999999999998E-3</v>
      </c>
      <c r="M2819">
        <v>4.6100000000000002E-2</v>
      </c>
      <c r="N2819">
        <v>0.1799</v>
      </c>
      <c r="O2819">
        <v>3.7499999999999999E-3</v>
      </c>
      <c r="P2819" s="3">
        <f t="shared" si="176"/>
        <v>2585.08746899375</v>
      </c>
      <c r="Q2819" s="3">
        <f t="shared" si="177"/>
        <v>-1.570430101310194E-3</v>
      </c>
      <c r="R2819" s="3">
        <f t="shared" ref="R2819:R2882" si="178">$L2819</f>
        <v>3.0799999999999998E-3</v>
      </c>
      <c r="S2819">
        <f t="shared" si="175"/>
        <v>66</v>
      </c>
      <c r="T2819">
        <f>INDEX([1]IDEN_level_ids!$B:$B,MATCH(G2819,[1]IDEN_level_ids!$A:$A,0),1)</f>
        <v>1106</v>
      </c>
      <c r="U2819">
        <f>INDEX([1]IDEN_level_ids!$B:$B,MATCH(H2819,[1]IDEN_level_ids!$A:$A,0),1)</f>
        <v>968</v>
      </c>
    </row>
    <row r="2820" spans="1:21" hidden="1" x14ac:dyDescent="0.25">
      <c r="A2820">
        <v>38677.470200000003</v>
      </c>
      <c r="B2820">
        <v>2585.4845</v>
      </c>
      <c r="C2820">
        <v>17</v>
      </c>
      <c r="D2820" t="s">
        <v>667</v>
      </c>
      <c r="E2820" t="s">
        <v>427</v>
      </c>
      <c r="F2820">
        <v>1974</v>
      </c>
      <c r="G2820" s="1" t="s">
        <v>416</v>
      </c>
      <c r="H2820" s="1" t="s">
        <v>671</v>
      </c>
      <c r="I2820">
        <v>-0.26750000000000002</v>
      </c>
      <c r="J2820">
        <v>38677.455199999997</v>
      </c>
      <c r="K2820">
        <v>-1E-3</v>
      </c>
      <c r="L2820">
        <v>3.2599999999999999E-3</v>
      </c>
      <c r="M2820">
        <v>4.87E-2</v>
      </c>
      <c r="N2820">
        <v>0.52629999999999999</v>
      </c>
      <c r="O2820">
        <v>6.8799999999999998E-3</v>
      </c>
      <c r="P2820" s="3">
        <f t="shared" si="176"/>
        <v>2585.4845077225345</v>
      </c>
      <c r="Q2820" s="3">
        <f t="shared" si="177"/>
        <v>-1.0027099101534986E-3</v>
      </c>
      <c r="R2820" s="3">
        <f t="shared" si="178"/>
        <v>3.2599999999999999E-3</v>
      </c>
      <c r="S2820">
        <f t="shared" ref="S2820:S2883" si="179">IF(D2820=D2819,S2819,S2819+1)</f>
        <v>66</v>
      </c>
      <c r="T2820">
        <f>INDEX([1]IDEN_level_ids!$B:$B,MATCH(G2820,[1]IDEN_level_ids!$A:$A,0),1)</f>
        <v>1055</v>
      </c>
      <c r="U2820">
        <f>INDEX([1]IDEN_level_ids!$B:$B,MATCH(H2820,[1]IDEN_level_ids!$A:$A,0),1)</f>
        <v>871</v>
      </c>
    </row>
    <row r="2821" spans="1:21" hidden="1" x14ac:dyDescent="0.25">
      <c r="A2821">
        <v>38676.649299999997</v>
      </c>
      <c r="B2821">
        <v>2585.5394000000001</v>
      </c>
      <c r="C2821">
        <v>17</v>
      </c>
      <c r="D2821" t="s">
        <v>667</v>
      </c>
      <c r="F2821">
        <v>1974</v>
      </c>
      <c r="G2821" s="1" t="s">
        <v>438</v>
      </c>
      <c r="H2821" s="1" t="s">
        <v>650</v>
      </c>
      <c r="I2821">
        <v>0</v>
      </c>
      <c r="J2821">
        <v>38676.521000000001</v>
      </c>
      <c r="K2821">
        <v>-8.5800000000000008E-3</v>
      </c>
      <c r="L2821">
        <v>3.0799999999999998E-3</v>
      </c>
      <c r="M2821">
        <v>4.6100000000000002E-2</v>
      </c>
      <c r="N2821">
        <v>0.13880000000000001</v>
      </c>
      <c r="O2821">
        <v>3.5799999999999998E-3</v>
      </c>
      <c r="P2821" s="3">
        <f t="shared" si="176"/>
        <v>2585.539383836955</v>
      </c>
      <c r="Q2821" s="3">
        <f t="shared" si="177"/>
        <v>-8.5769012921446119E-3</v>
      </c>
      <c r="R2821" s="3">
        <f t="shared" si="178"/>
        <v>3.0799999999999998E-3</v>
      </c>
      <c r="S2821">
        <f t="shared" si="179"/>
        <v>66</v>
      </c>
      <c r="T2821">
        <f>INDEX([1]IDEN_level_ids!$B:$B,MATCH(G2821,[1]IDEN_level_ids!$A:$A,0),1)</f>
        <v>1051</v>
      </c>
      <c r="U2821">
        <f>INDEX([1]IDEN_level_ids!$B:$B,MATCH(H2821,[1]IDEN_level_ids!$A:$A,0),1)</f>
        <v>870</v>
      </c>
    </row>
    <row r="2822" spans="1:21" hidden="1" x14ac:dyDescent="0.25">
      <c r="A2822">
        <v>38667.749100000001</v>
      </c>
      <c r="B2822">
        <v>2586.1345000000001</v>
      </c>
      <c r="C2822">
        <v>17</v>
      </c>
      <c r="D2822" t="s">
        <v>667</v>
      </c>
      <c r="E2822" t="s">
        <v>427</v>
      </c>
      <c r="F2822">
        <v>1974</v>
      </c>
      <c r="G2822" s="1" t="s">
        <v>451</v>
      </c>
      <c r="H2822" s="1" t="s">
        <v>637</v>
      </c>
      <c r="I2822">
        <v>-0.38469999999999999</v>
      </c>
      <c r="J2822">
        <v>38667.748599999999</v>
      </c>
      <c r="K2822">
        <v>-4.0000000000000003E-5</v>
      </c>
      <c r="L2822">
        <v>3.2599999999999999E-3</v>
      </c>
      <c r="M2822">
        <v>4.87E-2</v>
      </c>
      <c r="N2822">
        <v>0.1328</v>
      </c>
      <c r="O2822">
        <v>3.7599999999999999E-3</v>
      </c>
      <c r="P2822" s="3">
        <f t="shared" si="176"/>
        <v>2586.1345003916972</v>
      </c>
      <c r="Q2822" s="3">
        <f t="shared" si="177"/>
        <v>-3.3440458992117783E-5</v>
      </c>
      <c r="R2822" s="3">
        <f t="shared" si="178"/>
        <v>3.2599999999999999E-3</v>
      </c>
      <c r="S2822">
        <f t="shared" si="179"/>
        <v>66</v>
      </c>
      <c r="T2822">
        <f>INDEX([1]IDEN_level_ids!$B:$B,MATCH(G2822,[1]IDEN_level_ids!$A:$A,0),1)</f>
        <v>1066</v>
      </c>
      <c r="U2822">
        <f>INDEX([1]IDEN_level_ids!$B:$B,MATCH(H2822,[1]IDEN_level_ids!$A:$A,0),1)</f>
        <v>882</v>
      </c>
    </row>
    <row r="2823" spans="1:21" hidden="1" x14ac:dyDescent="0.25">
      <c r="A2823">
        <v>38663.859700000001</v>
      </c>
      <c r="B2823">
        <v>2586.3946999999998</v>
      </c>
      <c r="C2823">
        <v>17</v>
      </c>
      <c r="D2823" t="s">
        <v>667</v>
      </c>
      <c r="E2823" t="s">
        <v>427</v>
      </c>
      <c r="F2823">
        <v>1974</v>
      </c>
      <c r="G2823" s="1" t="s">
        <v>140</v>
      </c>
      <c r="H2823" s="1" t="s">
        <v>384</v>
      </c>
      <c r="I2823">
        <v>0.45490000000000003</v>
      </c>
      <c r="J2823">
        <v>38663.895100000002</v>
      </c>
      <c r="K2823">
        <v>2.3700000000000001E-3</v>
      </c>
      <c r="L2823">
        <v>3.2599999999999999E-3</v>
      </c>
      <c r="M2823">
        <v>4.87E-2</v>
      </c>
      <c r="N2823">
        <v>9.4E-2</v>
      </c>
      <c r="O2823">
        <v>3.5999999999999999E-3</v>
      </c>
      <c r="P2823" s="3">
        <f t="shared" si="176"/>
        <v>2586.3946531959923</v>
      </c>
      <c r="Q2823" s="3">
        <f t="shared" si="177"/>
        <v>2.368058636875503E-3</v>
      </c>
      <c r="R2823" s="3">
        <f t="shared" si="178"/>
        <v>3.2599999999999999E-3</v>
      </c>
      <c r="S2823">
        <f t="shared" si="179"/>
        <v>66</v>
      </c>
      <c r="T2823">
        <f>INDEX([1]IDEN_level_ids!$B:$B,MATCH(G2823,[1]IDEN_level_ids!$A:$A,0),1)</f>
        <v>1198</v>
      </c>
      <c r="U2823">
        <f>INDEX([1]IDEN_level_ids!$B:$B,MATCH(H2823,[1]IDEN_level_ids!$A:$A,0),1)</f>
        <v>1080</v>
      </c>
    </row>
    <row r="2824" spans="1:21" hidden="1" x14ac:dyDescent="0.25">
      <c r="A2824">
        <v>38653.739699999998</v>
      </c>
      <c r="B2824">
        <v>2587.0718000000002</v>
      </c>
      <c r="C2824">
        <v>17</v>
      </c>
      <c r="D2824" t="s">
        <v>667</v>
      </c>
      <c r="F2824">
        <v>1974</v>
      </c>
      <c r="G2824" s="1" t="s">
        <v>212</v>
      </c>
      <c r="H2824" s="1" t="s">
        <v>542</v>
      </c>
      <c r="I2824">
        <v>0</v>
      </c>
      <c r="J2824">
        <v>38653.702100000002</v>
      </c>
      <c r="K2824">
        <v>-2.5100000000000001E-3</v>
      </c>
      <c r="L2824">
        <v>3.0799999999999998E-3</v>
      </c>
      <c r="M2824">
        <v>4.6100000000000002E-2</v>
      </c>
      <c r="N2824">
        <v>0.68630000000000002</v>
      </c>
      <c r="O2824">
        <v>9.8300000000000002E-3</v>
      </c>
      <c r="P2824" s="3">
        <f t="shared" si="176"/>
        <v>2587.071801489883</v>
      </c>
      <c r="Q2824" s="3">
        <f t="shared" si="177"/>
        <v>-2.5165480778923666E-3</v>
      </c>
      <c r="R2824" s="3">
        <f t="shared" si="178"/>
        <v>3.0799999999999998E-3</v>
      </c>
      <c r="S2824">
        <f t="shared" si="179"/>
        <v>66</v>
      </c>
      <c r="T2824">
        <f>INDEX([1]IDEN_level_ids!$B:$B,MATCH(G2824,[1]IDEN_level_ids!$A:$A,0),1)</f>
        <v>1123</v>
      </c>
      <c r="U2824">
        <f>INDEX([1]IDEN_level_ids!$B:$B,MATCH(H2824,[1]IDEN_level_ids!$A:$A,0),1)</f>
        <v>981</v>
      </c>
    </row>
    <row r="2825" spans="1:21" hidden="1" x14ac:dyDescent="0.25">
      <c r="A2825">
        <v>38652.361299999997</v>
      </c>
      <c r="B2825">
        <v>2587.1641</v>
      </c>
      <c r="C2825">
        <v>17</v>
      </c>
      <c r="D2825" t="s">
        <v>667</v>
      </c>
      <c r="F2825">
        <v>1974</v>
      </c>
      <c r="G2825" s="1" t="s">
        <v>470</v>
      </c>
      <c r="H2825" s="1" t="s">
        <v>623</v>
      </c>
      <c r="I2825">
        <v>-0.2848</v>
      </c>
      <c r="J2825">
        <v>38652.263400000003</v>
      </c>
      <c r="K2825">
        <v>-6.5500000000000003E-3</v>
      </c>
      <c r="L2825">
        <v>3.0799999999999998E-3</v>
      </c>
      <c r="M2825">
        <v>4.6100000000000002E-2</v>
      </c>
      <c r="N2825">
        <v>0.2268</v>
      </c>
      <c r="O2825">
        <v>3.9899999999999996E-3</v>
      </c>
      <c r="P2825" s="3">
        <f t="shared" si="176"/>
        <v>2587.1640602717848</v>
      </c>
      <c r="Q2825" s="3">
        <f t="shared" si="177"/>
        <v>-6.552872696374834E-3</v>
      </c>
      <c r="R2825" s="3">
        <f t="shared" si="178"/>
        <v>3.0799999999999998E-3</v>
      </c>
      <c r="S2825">
        <f t="shared" si="179"/>
        <v>66</v>
      </c>
      <c r="T2825">
        <f>INDEX([1]IDEN_level_ids!$B:$B,MATCH(G2825,[1]IDEN_level_ids!$A:$A,0),1)</f>
        <v>1026</v>
      </c>
      <c r="U2825">
        <f>INDEX([1]IDEN_level_ids!$B:$B,MATCH(H2825,[1]IDEN_level_ids!$A:$A,0),1)</f>
        <v>842</v>
      </c>
    </row>
    <row r="2826" spans="1:21" hidden="1" x14ac:dyDescent="0.25">
      <c r="A2826">
        <v>38647.311199999996</v>
      </c>
      <c r="B2826">
        <v>2587.5021000000002</v>
      </c>
      <c r="C2826">
        <v>17</v>
      </c>
      <c r="D2826" t="s">
        <v>667</v>
      </c>
      <c r="E2826" t="s">
        <v>427</v>
      </c>
      <c r="F2826">
        <v>1974</v>
      </c>
      <c r="G2826" s="1" t="s">
        <v>621</v>
      </c>
      <c r="H2826" s="1" t="s">
        <v>652</v>
      </c>
      <c r="I2826">
        <v>0</v>
      </c>
      <c r="J2826">
        <v>38647.278100000003</v>
      </c>
      <c r="K2826">
        <v>-2.2200000000000002E-3</v>
      </c>
      <c r="L2826">
        <v>3.2599999999999999E-3</v>
      </c>
      <c r="M2826">
        <v>4.87E-2</v>
      </c>
      <c r="N2826">
        <v>0.4541</v>
      </c>
      <c r="O2826">
        <v>5.9800000000000001E-3</v>
      </c>
      <c r="P2826" s="3">
        <f t="shared" si="176"/>
        <v>2587.5021287380014</v>
      </c>
      <c r="Q2826" s="3">
        <f t="shared" si="177"/>
        <v>-2.216102262991626E-3</v>
      </c>
      <c r="R2826" s="3">
        <f t="shared" si="178"/>
        <v>3.2599999999999999E-3</v>
      </c>
      <c r="S2826">
        <f t="shared" si="179"/>
        <v>66</v>
      </c>
      <c r="T2826">
        <f>INDEX([1]IDEN_level_ids!$B:$B,MATCH(G2826,[1]IDEN_level_ids!$A:$A,0),1)</f>
        <v>1046</v>
      </c>
      <c r="U2826">
        <f>INDEX([1]IDEN_level_ids!$B:$B,MATCH(H2826,[1]IDEN_level_ids!$A:$A,0),1)</f>
        <v>865</v>
      </c>
    </row>
    <row r="2827" spans="1:21" hidden="1" x14ac:dyDescent="0.25">
      <c r="A2827">
        <v>38640.321000000004</v>
      </c>
      <c r="B2827">
        <v>2587.9702000000002</v>
      </c>
      <c r="C2827">
        <v>17</v>
      </c>
      <c r="D2827" t="s">
        <v>667</v>
      </c>
      <c r="F2827">
        <v>1974</v>
      </c>
      <c r="G2827" s="1" t="s">
        <v>469</v>
      </c>
      <c r="H2827" s="1" t="s">
        <v>643</v>
      </c>
      <c r="I2827">
        <v>-0.36720000000000003</v>
      </c>
      <c r="J2827">
        <v>38640.279399999999</v>
      </c>
      <c r="K2827">
        <v>-2.7899999999999999E-3</v>
      </c>
      <c r="L2827">
        <v>3.0899999999999999E-3</v>
      </c>
      <c r="M2827">
        <v>4.6100000000000002E-2</v>
      </c>
      <c r="N2827">
        <v>0.1522</v>
      </c>
      <c r="O2827">
        <v>3.64E-3</v>
      </c>
      <c r="P2827" s="3">
        <f t="shared" si="176"/>
        <v>2587.9702189844643</v>
      </c>
      <c r="Q2827" s="3">
        <f t="shared" si="177"/>
        <v>-2.7862003794325574E-3</v>
      </c>
      <c r="R2827" s="3">
        <f t="shared" si="178"/>
        <v>3.0899999999999999E-3</v>
      </c>
      <c r="S2827">
        <f t="shared" si="179"/>
        <v>66</v>
      </c>
      <c r="T2827">
        <f>INDEX([1]IDEN_level_ids!$B:$B,MATCH(G2827,[1]IDEN_level_ids!$A:$A,0),1)</f>
        <v>1048</v>
      </c>
      <c r="U2827">
        <f>INDEX([1]IDEN_level_ids!$B:$B,MATCH(H2827,[1]IDEN_level_ids!$A:$A,0),1)</f>
        <v>869</v>
      </c>
    </row>
    <row r="2828" spans="1:21" hidden="1" x14ac:dyDescent="0.25">
      <c r="A2828">
        <v>38632.661099999998</v>
      </c>
      <c r="B2828">
        <v>2588.4832999999999</v>
      </c>
      <c r="C2828">
        <v>17</v>
      </c>
      <c r="D2828" t="s">
        <v>667</v>
      </c>
      <c r="E2828" t="s">
        <v>427</v>
      </c>
      <c r="F2828">
        <v>1974</v>
      </c>
      <c r="G2828" s="1" t="s">
        <v>108</v>
      </c>
      <c r="H2828" s="1" t="s">
        <v>461</v>
      </c>
      <c r="I2828">
        <v>0.24510000000000001</v>
      </c>
      <c r="J2828">
        <v>38632.565699999999</v>
      </c>
      <c r="K2828">
        <v>-6.3899999999999998E-3</v>
      </c>
      <c r="L2828">
        <v>3.2599999999999999E-3</v>
      </c>
      <c r="M2828">
        <v>4.87E-2</v>
      </c>
      <c r="N2828">
        <v>7.8399999999999997E-2</v>
      </c>
      <c r="O2828">
        <v>3.5400000000000002E-3</v>
      </c>
      <c r="P2828" s="3">
        <f t="shared" si="176"/>
        <v>2588.4833493906017</v>
      </c>
      <c r="Q2828" s="3">
        <f t="shared" si="177"/>
        <v>-6.3920505162968766E-3</v>
      </c>
      <c r="R2828" s="3">
        <f t="shared" si="178"/>
        <v>3.2599999999999999E-3</v>
      </c>
      <c r="S2828">
        <f t="shared" si="179"/>
        <v>66</v>
      </c>
      <c r="T2828">
        <f>INDEX([1]IDEN_level_ids!$B:$B,MATCH(G2828,[1]IDEN_level_ids!$A:$A,0),1)</f>
        <v>1149</v>
      </c>
      <c r="U2828">
        <f>INDEX([1]IDEN_level_ids!$B:$B,MATCH(H2828,[1]IDEN_level_ids!$A:$A,0),1)</f>
        <v>1017</v>
      </c>
    </row>
    <row r="2829" spans="1:21" hidden="1" x14ac:dyDescent="0.25">
      <c r="A2829">
        <v>38631.068899999998</v>
      </c>
      <c r="B2829">
        <v>2588.59</v>
      </c>
      <c r="C2829">
        <v>17</v>
      </c>
      <c r="D2829" t="s">
        <v>667</v>
      </c>
      <c r="F2829">
        <v>1974</v>
      </c>
      <c r="G2829" s="1" t="s">
        <v>40</v>
      </c>
      <c r="H2829" s="1" t="s">
        <v>386</v>
      </c>
      <c r="I2829">
        <v>0.22500000000000001</v>
      </c>
      <c r="J2829">
        <v>38631.0311</v>
      </c>
      <c r="K2829">
        <v>-2.5300000000000001E-3</v>
      </c>
      <c r="L2829">
        <v>3.0899999999999999E-3</v>
      </c>
      <c r="M2829">
        <v>4.6100000000000002E-2</v>
      </c>
      <c r="N2829">
        <v>8.1299999999999997E-2</v>
      </c>
      <c r="O2829">
        <v>3.3600000000000001E-3</v>
      </c>
      <c r="P2829" s="3">
        <f t="shared" si="176"/>
        <v>2588.5900351051378</v>
      </c>
      <c r="Q2829" s="3">
        <f t="shared" si="177"/>
        <v>-2.5329042623525311E-3</v>
      </c>
      <c r="R2829" s="3">
        <f t="shared" si="178"/>
        <v>3.0899999999999999E-3</v>
      </c>
      <c r="S2829">
        <f t="shared" si="179"/>
        <v>66</v>
      </c>
      <c r="T2829">
        <f>INDEX([1]IDEN_level_ids!$B:$B,MATCH(G2829,[1]IDEN_level_ids!$A:$A,0),1)</f>
        <v>1199</v>
      </c>
      <c r="U2829">
        <f>INDEX([1]IDEN_level_ids!$B:$B,MATCH(H2829,[1]IDEN_level_ids!$A:$A,0),1)</f>
        <v>1082</v>
      </c>
    </row>
    <row r="2830" spans="1:21" hidden="1" x14ac:dyDescent="0.25">
      <c r="A2830">
        <v>38618.751700000001</v>
      </c>
      <c r="B2830">
        <v>2589.4157</v>
      </c>
      <c r="C2830">
        <v>17</v>
      </c>
      <c r="D2830" t="s">
        <v>667</v>
      </c>
      <c r="F2830">
        <v>1974</v>
      </c>
      <c r="G2830" s="1" t="s">
        <v>451</v>
      </c>
      <c r="H2830" s="1" t="s">
        <v>648</v>
      </c>
      <c r="I2830">
        <v>-0.38469999999999999</v>
      </c>
      <c r="J2830">
        <v>38618.716099999998</v>
      </c>
      <c r="K2830">
        <v>-2.3800000000000002E-3</v>
      </c>
      <c r="L2830">
        <v>3.0899999999999999E-3</v>
      </c>
      <c r="M2830">
        <v>4.6100000000000002E-2</v>
      </c>
      <c r="N2830">
        <v>0.1075</v>
      </c>
      <c r="O2830">
        <v>3.46E-3</v>
      </c>
      <c r="P2830" s="3">
        <f t="shared" si="176"/>
        <v>2589.4156490822047</v>
      </c>
      <c r="Q2830" s="3">
        <f t="shared" si="177"/>
        <v>-2.387008332334517E-3</v>
      </c>
      <c r="R2830" s="3">
        <f t="shared" si="178"/>
        <v>3.0899999999999999E-3</v>
      </c>
      <c r="S2830">
        <f t="shared" si="179"/>
        <v>66</v>
      </c>
      <c r="T2830">
        <f>INDEX([1]IDEN_level_ids!$B:$B,MATCH(G2830,[1]IDEN_level_ids!$A:$A,0),1)</f>
        <v>1066</v>
      </c>
      <c r="U2830">
        <f>INDEX([1]IDEN_level_ids!$B:$B,MATCH(H2830,[1]IDEN_level_ids!$A:$A,0),1)</f>
        <v>883</v>
      </c>
    </row>
    <row r="2831" spans="1:21" hidden="1" x14ac:dyDescent="0.25">
      <c r="A2831">
        <v>38617.069900000002</v>
      </c>
      <c r="B2831">
        <v>2589.5284000000001</v>
      </c>
      <c r="C2831">
        <v>17</v>
      </c>
      <c r="D2831" t="s">
        <v>667</v>
      </c>
      <c r="F2831">
        <v>1974</v>
      </c>
      <c r="G2831" s="1" t="s">
        <v>461</v>
      </c>
      <c r="H2831" s="1" t="s">
        <v>631</v>
      </c>
      <c r="I2831">
        <v>-0.24510000000000001</v>
      </c>
      <c r="J2831">
        <v>38617.036399999997</v>
      </c>
      <c r="K2831">
        <v>-2.2499999999999998E-3</v>
      </c>
      <c r="L2831">
        <v>3.0899999999999999E-3</v>
      </c>
      <c r="M2831">
        <v>4.6100000000000002E-2</v>
      </c>
      <c r="N2831">
        <v>0.22</v>
      </c>
      <c r="O2831">
        <v>3.96E-3</v>
      </c>
      <c r="P2831" s="3">
        <f t="shared" si="176"/>
        <v>2589.5284199177418</v>
      </c>
      <c r="Q2831" s="3">
        <f t="shared" si="177"/>
        <v>-2.2463971909019165E-3</v>
      </c>
      <c r="R2831" s="3">
        <f t="shared" si="178"/>
        <v>3.0899999999999999E-3</v>
      </c>
      <c r="S2831">
        <f t="shared" si="179"/>
        <v>66</v>
      </c>
      <c r="T2831">
        <f>INDEX([1]IDEN_level_ids!$B:$B,MATCH(G2831,[1]IDEN_level_ids!$A:$A,0),1)</f>
        <v>1017</v>
      </c>
      <c r="U2831">
        <f>INDEX([1]IDEN_level_ids!$B:$B,MATCH(H2831,[1]IDEN_level_ids!$A:$A,0),1)</f>
        <v>832</v>
      </c>
    </row>
    <row r="2832" spans="1:21" hidden="1" x14ac:dyDescent="0.25">
      <c r="A2832">
        <v>38609.389799999997</v>
      </c>
      <c r="B2832">
        <v>2590.0435000000002</v>
      </c>
      <c r="C2832">
        <v>17</v>
      </c>
      <c r="D2832" t="s">
        <v>667</v>
      </c>
      <c r="F2832">
        <v>1974</v>
      </c>
      <c r="G2832" s="1" t="s">
        <v>450</v>
      </c>
      <c r="H2832" s="1" t="s">
        <v>645</v>
      </c>
      <c r="I2832">
        <v>-0.2989</v>
      </c>
      <c r="J2832">
        <v>38609.345800000003</v>
      </c>
      <c r="K2832">
        <v>-2.9499999999999999E-3</v>
      </c>
      <c r="L2832">
        <v>3.0899999999999999E-3</v>
      </c>
      <c r="M2832">
        <v>4.6100000000000002E-2</v>
      </c>
      <c r="N2832">
        <v>0.13320000000000001</v>
      </c>
      <c r="O2832">
        <v>3.5599999999999998E-3</v>
      </c>
      <c r="P2832" s="3">
        <f t="shared" si="176"/>
        <v>2590.0435235575778</v>
      </c>
      <c r="Q2832" s="3">
        <f t="shared" si="177"/>
        <v>-2.9516665631490469E-3</v>
      </c>
      <c r="R2832" s="3">
        <f t="shared" si="178"/>
        <v>3.0899999999999999E-3</v>
      </c>
      <c r="S2832">
        <f t="shared" si="179"/>
        <v>66</v>
      </c>
      <c r="T2832">
        <f>INDEX([1]IDEN_level_ids!$B:$B,MATCH(G2832,[1]IDEN_level_ids!$A:$A,0),1)</f>
        <v>1077</v>
      </c>
      <c r="U2832">
        <f>INDEX([1]IDEN_level_ids!$B:$B,MATCH(H2832,[1]IDEN_level_ids!$A:$A,0),1)</f>
        <v>895</v>
      </c>
    </row>
    <row r="2833" spans="1:21" hidden="1" x14ac:dyDescent="0.25">
      <c r="A2833">
        <v>38606.678699999997</v>
      </c>
      <c r="B2833">
        <v>2590.2253999999998</v>
      </c>
      <c r="C2833">
        <v>17</v>
      </c>
      <c r="D2833" t="s">
        <v>667</v>
      </c>
      <c r="F2833">
        <v>1974</v>
      </c>
      <c r="G2833" s="1" t="s">
        <v>407</v>
      </c>
      <c r="H2833" s="1" t="s">
        <v>318</v>
      </c>
      <c r="I2833">
        <v>-0.27489999999999998</v>
      </c>
      <c r="J2833">
        <v>38606.641900000002</v>
      </c>
      <c r="K2833">
        <v>-2.47E-3</v>
      </c>
      <c r="L2833">
        <v>3.0899999999999999E-3</v>
      </c>
      <c r="M2833">
        <v>4.6100000000000002E-2</v>
      </c>
      <c r="N2833">
        <v>0.1196</v>
      </c>
      <c r="O2833">
        <v>3.5100000000000001E-3</v>
      </c>
      <c r="P2833" s="3">
        <f t="shared" si="176"/>
        <v>2590.2254057404843</v>
      </c>
      <c r="Q2833" s="3">
        <f t="shared" si="177"/>
        <v>-2.4690128489055496E-3</v>
      </c>
      <c r="R2833" s="3">
        <f t="shared" si="178"/>
        <v>3.0899999999999999E-3</v>
      </c>
      <c r="S2833">
        <f t="shared" si="179"/>
        <v>66</v>
      </c>
      <c r="T2833">
        <f>INDEX([1]IDEN_level_ids!$B:$B,MATCH(G2833,[1]IDEN_level_ids!$A:$A,0),1)</f>
        <v>1073</v>
      </c>
      <c r="U2833">
        <f>INDEX([1]IDEN_level_ids!$B:$B,MATCH(H2833,[1]IDEN_level_ids!$A:$A,0),1)</f>
        <v>888</v>
      </c>
    </row>
    <row r="2834" spans="1:21" hidden="1" x14ac:dyDescent="0.25">
      <c r="A2834">
        <v>38604.690999999999</v>
      </c>
      <c r="B2834">
        <v>2590.3588</v>
      </c>
      <c r="C2834">
        <v>17</v>
      </c>
      <c r="D2834" t="s">
        <v>667</v>
      </c>
      <c r="F2834">
        <v>1974</v>
      </c>
      <c r="G2834" s="1" t="s">
        <v>297</v>
      </c>
      <c r="H2834" s="1" t="s">
        <v>389</v>
      </c>
      <c r="I2834">
        <v>0.31669999999999998</v>
      </c>
      <c r="J2834">
        <v>38604.693099999997</v>
      </c>
      <c r="K2834">
        <v>1.3999999999999999E-4</v>
      </c>
      <c r="L2834">
        <v>3.0899999999999999E-3</v>
      </c>
      <c r="M2834">
        <v>4.6100000000000002E-2</v>
      </c>
      <c r="N2834">
        <v>0.25240000000000001</v>
      </c>
      <c r="O2834">
        <v>4.13E-3</v>
      </c>
      <c r="P2834" s="3">
        <f t="shared" si="176"/>
        <v>2590.3587727201339</v>
      </c>
      <c r="Q2834" s="3">
        <f t="shared" si="177"/>
        <v>1.4090912191022653E-4</v>
      </c>
      <c r="R2834" s="3">
        <f t="shared" si="178"/>
        <v>3.0899999999999999E-3</v>
      </c>
      <c r="S2834">
        <f t="shared" si="179"/>
        <v>66</v>
      </c>
      <c r="T2834">
        <f>INDEX([1]IDEN_level_ids!$B:$B,MATCH(G2834,[1]IDEN_level_ids!$A:$A,0),1)</f>
        <v>1099</v>
      </c>
      <c r="U2834">
        <f>INDEX([1]IDEN_level_ids!$B:$B,MATCH(H2834,[1]IDEN_level_ids!$A:$A,0),1)</f>
        <v>942</v>
      </c>
    </row>
    <row r="2835" spans="1:21" hidden="1" x14ac:dyDescent="0.25">
      <c r="A2835">
        <v>38594.799299999999</v>
      </c>
      <c r="B2835">
        <v>2591.0227</v>
      </c>
      <c r="C2835">
        <v>17</v>
      </c>
      <c r="D2835" t="s">
        <v>667</v>
      </c>
      <c r="F2835">
        <v>1974</v>
      </c>
      <c r="G2835" s="1" t="s">
        <v>431</v>
      </c>
      <c r="H2835" s="1" t="s">
        <v>116</v>
      </c>
      <c r="I2835">
        <v>-0.28649999999999998</v>
      </c>
      <c r="J2835">
        <v>38594.803699999997</v>
      </c>
      <c r="K2835">
        <v>2.9999999999999997E-4</v>
      </c>
      <c r="L2835">
        <v>3.0899999999999999E-3</v>
      </c>
      <c r="M2835">
        <v>4.6100000000000002E-2</v>
      </c>
      <c r="N2835">
        <v>0.19539999999999999</v>
      </c>
      <c r="O2835">
        <v>3.8400000000000001E-3</v>
      </c>
      <c r="P2835" s="3">
        <f t="shared" si="176"/>
        <v>2591.0226718033487</v>
      </c>
      <c r="Q2835" s="3">
        <f t="shared" si="177"/>
        <v>2.9538949956986471E-4</v>
      </c>
      <c r="R2835" s="3">
        <f t="shared" si="178"/>
        <v>3.0899999999999999E-3</v>
      </c>
      <c r="S2835">
        <f t="shared" si="179"/>
        <v>66</v>
      </c>
      <c r="T2835">
        <f>INDEX([1]IDEN_level_ids!$B:$B,MATCH(G2835,[1]IDEN_level_ids!$A:$A,0),1)</f>
        <v>1062</v>
      </c>
      <c r="U2835">
        <f>INDEX([1]IDEN_level_ids!$B:$B,MATCH(H2835,[1]IDEN_level_ids!$A:$A,0),1)</f>
        <v>879</v>
      </c>
    </row>
    <row r="2836" spans="1:21" hidden="1" x14ac:dyDescent="0.25">
      <c r="A2836">
        <v>38593.159599999999</v>
      </c>
      <c r="B2836">
        <v>2591.1327999999999</v>
      </c>
      <c r="C2836">
        <v>17</v>
      </c>
      <c r="D2836" t="s">
        <v>667</v>
      </c>
      <c r="E2836" t="s">
        <v>427</v>
      </c>
      <c r="F2836">
        <v>1974</v>
      </c>
      <c r="G2836" s="1" t="s">
        <v>86</v>
      </c>
      <c r="H2836" s="1" t="s">
        <v>398</v>
      </c>
      <c r="I2836">
        <v>0.31929999999999997</v>
      </c>
      <c r="J2836">
        <v>38593.062400000003</v>
      </c>
      <c r="K2836">
        <v>-6.5300000000000002E-3</v>
      </c>
      <c r="L2836">
        <v>3.2699999999999999E-3</v>
      </c>
      <c r="M2836">
        <v>4.87E-2</v>
      </c>
      <c r="N2836">
        <v>9.5699999999999993E-2</v>
      </c>
      <c r="O2836">
        <v>3.62E-3</v>
      </c>
      <c r="P2836" s="3">
        <f t="shared" si="176"/>
        <v>2591.1327560752502</v>
      </c>
      <c r="Q2836" s="3">
        <f t="shared" si="177"/>
        <v>-6.5259942648481228E-3</v>
      </c>
      <c r="R2836" s="3">
        <f t="shared" si="178"/>
        <v>3.2699999999999999E-3</v>
      </c>
      <c r="S2836">
        <f t="shared" si="179"/>
        <v>66</v>
      </c>
      <c r="T2836">
        <f>INDEX([1]IDEN_level_ids!$B:$B,MATCH(G2836,[1]IDEN_level_ids!$A:$A,0),1)</f>
        <v>1183</v>
      </c>
      <c r="U2836">
        <f>INDEX([1]IDEN_level_ids!$B:$B,MATCH(H2836,[1]IDEN_level_ids!$A:$A,0),1)</f>
        <v>1075</v>
      </c>
    </row>
    <row r="2837" spans="1:21" hidden="1" x14ac:dyDescent="0.25">
      <c r="A2837">
        <v>38570.0504</v>
      </c>
      <c r="B2837">
        <v>2592.6851999999999</v>
      </c>
      <c r="C2837">
        <v>17</v>
      </c>
      <c r="D2837" t="s">
        <v>667</v>
      </c>
      <c r="F2837">
        <v>1974</v>
      </c>
      <c r="G2837" s="1" t="s">
        <v>481</v>
      </c>
      <c r="H2837" s="1" t="s">
        <v>646</v>
      </c>
      <c r="I2837">
        <v>0</v>
      </c>
      <c r="J2837">
        <v>38570.008900000001</v>
      </c>
      <c r="K2837">
        <v>-2.7899999999999999E-3</v>
      </c>
      <c r="L2837">
        <v>3.0999999999999999E-3</v>
      </c>
      <c r="M2837">
        <v>4.6100000000000002E-2</v>
      </c>
      <c r="N2837">
        <v>0.3024</v>
      </c>
      <c r="O2837">
        <v>4.4400000000000004E-3</v>
      </c>
      <c r="P2837" s="3">
        <f t="shared" si="176"/>
        <v>2592.6852301961212</v>
      </c>
      <c r="Q2837" s="3">
        <f t="shared" si="177"/>
        <v>-2.7896399333258159E-3</v>
      </c>
      <c r="R2837" s="3">
        <f t="shared" si="178"/>
        <v>3.0999999999999999E-3</v>
      </c>
      <c r="S2837">
        <f t="shared" si="179"/>
        <v>66</v>
      </c>
      <c r="T2837">
        <f>INDEX([1]IDEN_level_ids!$B:$B,MATCH(G2837,[1]IDEN_level_ids!$A:$A,0),1)</f>
        <v>1016</v>
      </c>
      <c r="U2837">
        <f>INDEX([1]IDEN_level_ids!$B:$B,MATCH(H2837,[1]IDEN_level_ids!$A:$A,0),1)</f>
        <v>829</v>
      </c>
    </row>
    <row r="2838" spans="1:21" hidden="1" x14ac:dyDescent="0.25">
      <c r="A2838">
        <v>38562.401400000002</v>
      </c>
      <c r="B2838">
        <v>2593.1995000000002</v>
      </c>
      <c r="C2838">
        <v>17</v>
      </c>
      <c r="D2838" t="s">
        <v>667</v>
      </c>
      <c r="F2838">
        <v>1974</v>
      </c>
      <c r="G2838" s="1" t="s">
        <v>464</v>
      </c>
      <c r="H2838" s="1" t="s">
        <v>672</v>
      </c>
      <c r="I2838">
        <v>0</v>
      </c>
      <c r="J2838">
        <v>38562.363899999997</v>
      </c>
      <c r="K2838">
        <v>-2.5200000000000001E-3</v>
      </c>
      <c r="L2838">
        <v>3.0999999999999999E-3</v>
      </c>
      <c r="M2838">
        <v>4.6100000000000002E-2</v>
      </c>
      <c r="N2838">
        <v>0.26090000000000002</v>
      </c>
      <c r="O2838">
        <v>4.1900000000000001E-3</v>
      </c>
      <c r="P2838" s="3">
        <f t="shared" si="176"/>
        <v>2593.199499240729</v>
      </c>
      <c r="Q2838" s="3">
        <f t="shared" si="177"/>
        <v>-2.5217588190571405E-3</v>
      </c>
      <c r="R2838" s="3">
        <f t="shared" si="178"/>
        <v>3.0999999999999999E-3</v>
      </c>
      <c r="S2838">
        <f t="shared" si="179"/>
        <v>66</v>
      </c>
      <c r="T2838">
        <f>INDEX([1]IDEN_level_ids!$B:$B,MATCH(G2838,[1]IDEN_level_ids!$A:$A,0),1)</f>
        <v>1076</v>
      </c>
      <c r="U2838">
        <f>INDEX([1]IDEN_level_ids!$B:$B,MATCH(H2838,[1]IDEN_level_ids!$A:$A,0),1)</f>
        <v>891</v>
      </c>
    </row>
    <row r="2839" spans="1:21" hidden="1" x14ac:dyDescent="0.25">
      <c r="A2839">
        <v>38556.339</v>
      </c>
      <c r="B2839">
        <v>2593.6071999999999</v>
      </c>
      <c r="C2839">
        <v>17</v>
      </c>
      <c r="D2839" t="s">
        <v>667</v>
      </c>
      <c r="F2839">
        <v>1974</v>
      </c>
      <c r="G2839" s="1" t="s">
        <v>470</v>
      </c>
      <c r="H2839" s="1" t="s">
        <v>640</v>
      </c>
      <c r="I2839">
        <v>-0.2848</v>
      </c>
      <c r="J2839">
        <v>38556.3177</v>
      </c>
      <c r="K2839">
        <v>-1.4300000000000001E-3</v>
      </c>
      <c r="L2839">
        <v>3.0999999999999999E-3</v>
      </c>
      <c r="M2839">
        <v>4.6100000000000002E-2</v>
      </c>
      <c r="N2839">
        <v>0.16109999999999999</v>
      </c>
      <c r="O2839">
        <v>3.6900000000000001E-3</v>
      </c>
      <c r="P2839" s="3">
        <f t="shared" si="176"/>
        <v>2593.6072405629589</v>
      </c>
      <c r="Q2839" s="3">
        <f t="shared" si="177"/>
        <v>-1.4328088759612001E-3</v>
      </c>
      <c r="R2839" s="3">
        <f t="shared" si="178"/>
        <v>3.0999999999999999E-3</v>
      </c>
      <c r="S2839">
        <f t="shared" si="179"/>
        <v>66</v>
      </c>
      <c r="T2839">
        <f>INDEX([1]IDEN_level_ids!$B:$B,MATCH(G2839,[1]IDEN_level_ids!$A:$A,0),1)</f>
        <v>1026</v>
      </c>
      <c r="U2839">
        <f>INDEX([1]IDEN_level_ids!$B:$B,MATCH(H2839,[1]IDEN_level_ids!$A:$A,0),1)</f>
        <v>843</v>
      </c>
    </row>
    <row r="2840" spans="1:21" hidden="1" x14ac:dyDescent="0.25">
      <c r="A2840">
        <v>38546.659699999997</v>
      </c>
      <c r="B2840">
        <v>2594.2584999999999</v>
      </c>
      <c r="C2840">
        <v>17</v>
      </c>
      <c r="D2840" t="s">
        <v>667</v>
      </c>
      <c r="F2840">
        <v>1974</v>
      </c>
      <c r="G2840" s="1" t="s">
        <v>617</v>
      </c>
      <c r="H2840" s="1" t="s">
        <v>635</v>
      </c>
      <c r="I2840">
        <v>0</v>
      </c>
      <c r="J2840">
        <v>38546.639499999997</v>
      </c>
      <c r="K2840">
        <v>-1.3600000000000001E-3</v>
      </c>
      <c r="L2840">
        <v>3.0999999999999999E-3</v>
      </c>
      <c r="M2840">
        <v>4.6100000000000002E-2</v>
      </c>
      <c r="N2840">
        <v>0.24640000000000001</v>
      </c>
      <c r="O2840">
        <v>4.1099999999999999E-3</v>
      </c>
      <c r="P2840" s="3">
        <f t="shared" si="176"/>
        <v>2594.2585110688597</v>
      </c>
      <c r="Q2840" s="3">
        <f t="shared" si="177"/>
        <v>-1.359496511213365E-3</v>
      </c>
      <c r="R2840" s="3">
        <f t="shared" si="178"/>
        <v>3.0999999999999999E-3</v>
      </c>
      <c r="S2840">
        <f t="shared" si="179"/>
        <v>66</v>
      </c>
      <c r="T2840">
        <f>INDEX([1]IDEN_level_ids!$B:$B,MATCH(G2840,[1]IDEN_level_ids!$A:$A,0),1)</f>
        <v>1018</v>
      </c>
      <c r="U2840">
        <f>INDEX([1]IDEN_level_ids!$B:$B,MATCH(H2840,[1]IDEN_level_ids!$A:$A,0),1)</f>
        <v>840</v>
      </c>
    </row>
    <row r="2841" spans="1:21" hidden="1" x14ac:dyDescent="0.25">
      <c r="A2841">
        <v>38545.368799999997</v>
      </c>
      <c r="B2841">
        <v>2594.3454000000002</v>
      </c>
      <c r="C2841">
        <v>17</v>
      </c>
      <c r="D2841" t="s">
        <v>667</v>
      </c>
      <c r="F2841">
        <v>1974</v>
      </c>
      <c r="G2841" s="1" t="s">
        <v>389</v>
      </c>
      <c r="H2841" s="1" t="s">
        <v>533</v>
      </c>
      <c r="I2841">
        <v>-0.31669999999999998</v>
      </c>
      <c r="J2841">
        <v>38545.3367</v>
      </c>
      <c r="K2841">
        <v>-2.16E-3</v>
      </c>
      <c r="L2841">
        <v>3.0999999999999999E-3</v>
      </c>
      <c r="M2841">
        <v>4.6100000000000002E-2</v>
      </c>
      <c r="N2841">
        <v>0.5655</v>
      </c>
      <c r="O2841">
        <v>7.1399999999999996E-3</v>
      </c>
      <c r="P2841" s="3">
        <f t="shared" si="176"/>
        <v>2594.3453938362632</v>
      </c>
      <c r="Q2841" s="3">
        <f t="shared" si="177"/>
        <v>-2.1605333940897253E-3</v>
      </c>
      <c r="R2841" s="3">
        <f t="shared" si="178"/>
        <v>3.0999999999999999E-3</v>
      </c>
      <c r="S2841">
        <f t="shared" si="179"/>
        <v>66</v>
      </c>
      <c r="T2841">
        <f>INDEX([1]IDEN_level_ids!$B:$B,MATCH(G2841,[1]IDEN_level_ids!$A:$A,0),1)</f>
        <v>942</v>
      </c>
      <c r="U2841">
        <f>INDEX([1]IDEN_level_ids!$B:$B,MATCH(H2841,[1]IDEN_level_ids!$A:$A,0),1)</f>
        <v>615</v>
      </c>
    </row>
    <row r="2842" spans="1:21" hidden="1" x14ac:dyDescent="0.25">
      <c r="A2842">
        <v>38539.450700000001</v>
      </c>
      <c r="B2842">
        <v>2594.7438000000002</v>
      </c>
      <c r="C2842">
        <v>17</v>
      </c>
      <c r="D2842" t="s">
        <v>667</v>
      </c>
      <c r="F2842">
        <v>1974</v>
      </c>
      <c r="G2842" s="1" t="s">
        <v>285</v>
      </c>
      <c r="H2842" s="1" t="s">
        <v>540</v>
      </c>
      <c r="I2842">
        <v>0.34399999999999997</v>
      </c>
      <c r="J2842">
        <v>38539.458700000003</v>
      </c>
      <c r="K2842">
        <v>5.4000000000000001E-4</v>
      </c>
      <c r="L2842">
        <v>3.0999999999999999E-3</v>
      </c>
      <c r="M2842">
        <v>4.6100000000000002E-2</v>
      </c>
      <c r="N2842">
        <v>9.2999999999999999E-2</v>
      </c>
      <c r="O2842">
        <v>3.4199999999999999E-3</v>
      </c>
      <c r="P2842" s="3">
        <f t="shared" si="176"/>
        <v>2594.7437802999098</v>
      </c>
      <c r="Q2842" s="3">
        <f t="shared" si="177"/>
        <v>5.386155112319102E-4</v>
      </c>
      <c r="R2842" s="3">
        <f t="shared" si="178"/>
        <v>3.0999999999999999E-3</v>
      </c>
      <c r="S2842">
        <f t="shared" si="179"/>
        <v>66</v>
      </c>
      <c r="T2842">
        <f>INDEX([1]IDEN_level_ids!$B:$B,MATCH(G2842,[1]IDEN_level_ids!$A:$A,0),1)</f>
        <v>1150</v>
      </c>
      <c r="U2842">
        <f>INDEX([1]IDEN_level_ids!$B:$B,MATCH(H2842,[1]IDEN_level_ids!$A:$A,0),1)</f>
        <v>1027</v>
      </c>
    </row>
    <row r="2843" spans="1:21" hidden="1" x14ac:dyDescent="0.25">
      <c r="A2843">
        <v>38536.9107</v>
      </c>
      <c r="B2843">
        <v>2594.9148</v>
      </c>
      <c r="C2843">
        <v>17</v>
      </c>
      <c r="D2843" t="s">
        <v>667</v>
      </c>
      <c r="F2843">
        <v>1974</v>
      </c>
      <c r="G2843" s="1" t="s">
        <v>307</v>
      </c>
      <c r="H2843" s="1" t="s">
        <v>647</v>
      </c>
      <c r="I2843">
        <v>0</v>
      </c>
      <c r="J2843">
        <v>38536.883500000004</v>
      </c>
      <c r="K2843">
        <v>-1.83E-3</v>
      </c>
      <c r="L2843">
        <v>3.0999999999999999E-3</v>
      </c>
      <c r="M2843">
        <v>4.6100000000000002E-2</v>
      </c>
      <c r="N2843">
        <v>0.36880000000000002</v>
      </c>
      <c r="O2843">
        <v>4.9100000000000003E-3</v>
      </c>
      <c r="P2843" s="3">
        <f t="shared" si="176"/>
        <v>2594.9148020316015</v>
      </c>
      <c r="Q2843" s="3">
        <f t="shared" si="177"/>
        <v>-1.831535822020669E-3</v>
      </c>
      <c r="R2843" s="3">
        <f t="shared" si="178"/>
        <v>3.0999999999999999E-3</v>
      </c>
      <c r="S2843">
        <f t="shared" si="179"/>
        <v>66</v>
      </c>
      <c r="T2843">
        <f>INDEX([1]IDEN_level_ids!$B:$B,MATCH(G2843,[1]IDEN_level_ids!$A:$A,0),1)</f>
        <v>1095</v>
      </c>
      <c r="U2843">
        <f>INDEX([1]IDEN_level_ids!$B:$B,MATCH(H2843,[1]IDEN_level_ids!$A:$A,0),1)</f>
        <v>929</v>
      </c>
    </row>
    <row r="2844" spans="1:21" hidden="1" x14ac:dyDescent="0.25">
      <c r="A2844">
        <v>38532.601499999997</v>
      </c>
      <c r="B2844">
        <v>2595.2049999999999</v>
      </c>
      <c r="C2844">
        <v>17</v>
      </c>
      <c r="D2844" t="s">
        <v>667</v>
      </c>
      <c r="F2844">
        <v>1974</v>
      </c>
      <c r="G2844" s="1" t="s">
        <v>238</v>
      </c>
      <c r="H2844" s="1" t="s">
        <v>410</v>
      </c>
      <c r="I2844">
        <v>0.1043</v>
      </c>
      <c r="J2844">
        <v>38532.551200000002</v>
      </c>
      <c r="K2844">
        <v>-3.3899999999999998E-3</v>
      </c>
      <c r="L2844">
        <v>3.0999999999999999E-3</v>
      </c>
      <c r="M2844">
        <v>4.6100000000000002E-2</v>
      </c>
      <c r="N2844">
        <v>0.1065</v>
      </c>
      <c r="O2844">
        <v>3.47E-3</v>
      </c>
      <c r="P2844" s="3">
        <f t="shared" si="176"/>
        <v>2595.2049980326401</v>
      </c>
      <c r="Q2844" s="3">
        <f t="shared" si="177"/>
        <v>-3.3877541800393374E-3</v>
      </c>
      <c r="R2844" s="3">
        <f t="shared" si="178"/>
        <v>3.0999999999999999E-3</v>
      </c>
      <c r="S2844">
        <f t="shared" si="179"/>
        <v>66</v>
      </c>
      <c r="T2844">
        <f>INDEX([1]IDEN_level_ids!$B:$B,MATCH(G2844,[1]IDEN_level_ids!$A:$A,0),1)</f>
        <v>1165</v>
      </c>
      <c r="U2844">
        <f>INDEX([1]IDEN_level_ids!$B:$B,MATCH(H2844,[1]IDEN_level_ids!$A:$A,0),1)</f>
        <v>1056</v>
      </c>
    </row>
    <row r="2845" spans="1:21" hidden="1" x14ac:dyDescent="0.25">
      <c r="A2845">
        <v>38519.689599999998</v>
      </c>
      <c r="B2845">
        <v>2596.0749000000001</v>
      </c>
      <c r="C2845">
        <v>17</v>
      </c>
      <c r="D2845" t="s">
        <v>667</v>
      </c>
      <c r="E2845" t="s">
        <v>427</v>
      </c>
      <c r="F2845">
        <v>1974</v>
      </c>
      <c r="G2845" s="1" t="s">
        <v>141</v>
      </c>
      <c r="H2845" s="1" t="s">
        <v>476</v>
      </c>
      <c r="I2845">
        <v>0</v>
      </c>
      <c r="J2845">
        <v>38519.640899999999</v>
      </c>
      <c r="K2845">
        <v>-3.2799999999999999E-3</v>
      </c>
      <c r="L2845">
        <v>3.2799999999999999E-3</v>
      </c>
      <c r="M2845">
        <v>4.87E-2</v>
      </c>
      <c r="N2845">
        <v>7.9600000000000004E-2</v>
      </c>
      <c r="O2845">
        <v>3.5699999999999998E-3</v>
      </c>
      <c r="P2845" s="3">
        <f t="shared" si="176"/>
        <v>2596.0749174884318</v>
      </c>
      <c r="Q2845" s="3">
        <f t="shared" si="177"/>
        <v>-3.2821917734509043E-3</v>
      </c>
      <c r="R2845" s="3">
        <f t="shared" si="178"/>
        <v>3.2799999999999999E-3</v>
      </c>
      <c r="S2845">
        <f t="shared" si="179"/>
        <v>66</v>
      </c>
      <c r="T2845">
        <f>INDEX([1]IDEN_level_ids!$B:$B,MATCH(G2845,[1]IDEN_level_ids!$A:$A,0),1)</f>
        <v>1155</v>
      </c>
      <c r="U2845">
        <f>INDEX([1]IDEN_level_ids!$B:$B,MATCH(H2845,[1]IDEN_level_ids!$A:$A,0),1)</f>
        <v>1037</v>
      </c>
    </row>
    <row r="2846" spans="1:21" hidden="1" x14ac:dyDescent="0.25">
      <c r="A2846">
        <v>38517.479200000002</v>
      </c>
      <c r="B2846">
        <v>2596.2239</v>
      </c>
      <c r="C2846">
        <v>17</v>
      </c>
      <c r="D2846" t="s">
        <v>667</v>
      </c>
      <c r="E2846" t="s">
        <v>427</v>
      </c>
      <c r="F2846">
        <v>1974</v>
      </c>
      <c r="G2846" s="1" t="s">
        <v>437</v>
      </c>
      <c r="H2846" s="1" t="s">
        <v>336</v>
      </c>
      <c r="I2846">
        <v>-0.26329999999999998</v>
      </c>
      <c r="J2846">
        <v>38517.450799999999</v>
      </c>
      <c r="K2846">
        <v>-1.91E-3</v>
      </c>
      <c r="L2846">
        <v>3.2799999999999999E-3</v>
      </c>
      <c r="M2846">
        <v>4.87E-2</v>
      </c>
      <c r="N2846">
        <v>0.22059999999999999</v>
      </c>
      <c r="O2846">
        <v>4.2100000000000002E-3</v>
      </c>
      <c r="P2846" s="3">
        <f t="shared" si="176"/>
        <v>2596.2238982659073</v>
      </c>
      <c r="Q2846" s="3">
        <f t="shared" si="177"/>
        <v>-1.9142689138789137E-3</v>
      </c>
      <c r="R2846" s="3">
        <f t="shared" si="178"/>
        <v>3.2799999999999999E-3</v>
      </c>
      <c r="S2846">
        <f t="shared" si="179"/>
        <v>66</v>
      </c>
      <c r="T2846">
        <f>INDEX([1]IDEN_level_ids!$B:$B,MATCH(G2846,[1]IDEN_level_ids!$A:$A,0),1)</f>
        <v>1039</v>
      </c>
      <c r="U2846">
        <f>INDEX([1]IDEN_level_ids!$B:$B,MATCH(H2846,[1]IDEN_level_ids!$A:$A,0),1)</f>
        <v>861</v>
      </c>
    </row>
    <row r="2847" spans="1:21" hidden="1" x14ac:dyDescent="0.25">
      <c r="A2847">
        <v>38509.910300000003</v>
      </c>
      <c r="B2847">
        <v>2596.7341999999999</v>
      </c>
      <c r="C2847">
        <v>17</v>
      </c>
      <c r="D2847" t="s">
        <v>667</v>
      </c>
      <c r="F2847">
        <v>1974</v>
      </c>
      <c r="G2847" s="1" t="s">
        <v>468</v>
      </c>
      <c r="H2847" s="1" t="s">
        <v>652</v>
      </c>
      <c r="I2847">
        <v>-0.16639999999999999</v>
      </c>
      <c r="J2847">
        <v>38509.870999999999</v>
      </c>
      <c r="K2847">
        <v>-2.65E-3</v>
      </c>
      <c r="L2847">
        <v>3.1099999999999999E-3</v>
      </c>
      <c r="M2847">
        <v>4.6100000000000002E-2</v>
      </c>
      <c r="N2847">
        <v>0.27210000000000001</v>
      </c>
      <c r="O2847">
        <v>4.2700000000000004E-3</v>
      </c>
      <c r="P2847" s="3">
        <f t="shared" si="176"/>
        <v>2596.7341710479132</v>
      </c>
      <c r="Q2847" s="3">
        <f t="shared" si="177"/>
        <v>-2.6500128483348817E-3</v>
      </c>
      <c r="R2847" s="3">
        <f t="shared" si="178"/>
        <v>3.1099999999999999E-3</v>
      </c>
      <c r="S2847">
        <f t="shared" si="179"/>
        <v>66</v>
      </c>
      <c r="T2847">
        <f>INDEX([1]IDEN_level_ids!$B:$B,MATCH(G2847,[1]IDEN_level_ids!$A:$A,0),1)</f>
        <v>1044</v>
      </c>
      <c r="U2847">
        <f>INDEX([1]IDEN_level_ids!$B:$B,MATCH(H2847,[1]IDEN_level_ids!$A:$A,0),1)</f>
        <v>865</v>
      </c>
    </row>
    <row r="2848" spans="1:21" hidden="1" x14ac:dyDescent="0.25">
      <c r="A2848">
        <v>38482.7814</v>
      </c>
      <c r="B2848">
        <v>2598.5648000000001</v>
      </c>
      <c r="C2848">
        <v>17</v>
      </c>
      <c r="D2848" t="s">
        <v>667</v>
      </c>
      <c r="F2848">
        <v>1974</v>
      </c>
      <c r="G2848" s="1" t="s">
        <v>265</v>
      </c>
      <c r="H2848" s="1" t="s">
        <v>569</v>
      </c>
      <c r="I2848">
        <v>0</v>
      </c>
      <c r="J2848">
        <v>38482.777300000002</v>
      </c>
      <c r="K2848">
        <v>-2.7E-4</v>
      </c>
      <c r="L2848">
        <v>3.1099999999999999E-3</v>
      </c>
      <c r="M2848">
        <v>4.6100000000000002E-2</v>
      </c>
      <c r="N2848">
        <v>0.1298</v>
      </c>
      <c r="O2848">
        <v>3.5699999999999998E-3</v>
      </c>
      <c r="P2848" s="3">
        <f t="shared" si="176"/>
        <v>2598.564770061033</v>
      </c>
      <c r="Q2848" s="3">
        <f t="shared" si="177"/>
        <v>-2.7685412305800128E-4</v>
      </c>
      <c r="R2848" s="3">
        <f t="shared" si="178"/>
        <v>3.1099999999999999E-3</v>
      </c>
      <c r="S2848">
        <f t="shared" si="179"/>
        <v>66</v>
      </c>
      <c r="T2848">
        <f>INDEX([1]IDEN_level_ids!$B:$B,MATCH(G2848,[1]IDEN_level_ids!$A:$A,0),1)</f>
        <v>1161</v>
      </c>
      <c r="U2848">
        <f>INDEX([1]IDEN_level_ids!$B:$B,MATCH(H2848,[1]IDEN_level_ids!$A:$A,0),1)</f>
        <v>1049</v>
      </c>
    </row>
    <row r="2849" spans="1:21" hidden="1" x14ac:dyDescent="0.25">
      <c r="A2849">
        <v>38479.158600000002</v>
      </c>
      <c r="B2849">
        <v>2598.8094000000001</v>
      </c>
      <c r="C2849">
        <v>17</v>
      </c>
      <c r="D2849" t="s">
        <v>667</v>
      </c>
      <c r="F2849">
        <v>1974</v>
      </c>
      <c r="G2849" s="1" t="s">
        <v>428</v>
      </c>
      <c r="H2849" s="1" t="s">
        <v>311</v>
      </c>
      <c r="I2849">
        <v>-0.39950000000000002</v>
      </c>
      <c r="J2849">
        <v>38479.187400000003</v>
      </c>
      <c r="K2849">
        <v>1.9499999999999999E-3</v>
      </c>
      <c r="L2849">
        <v>3.1099999999999999E-3</v>
      </c>
      <c r="M2849">
        <v>4.6100000000000002E-2</v>
      </c>
      <c r="N2849">
        <v>0.17960000000000001</v>
      </c>
      <c r="O2849">
        <v>3.79E-3</v>
      </c>
      <c r="P2849" s="3">
        <f t="shared" si="176"/>
        <v>2598.8094240709306</v>
      </c>
      <c r="Q2849" s="3">
        <f t="shared" si="177"/>
        <v>1.9450959462119499E-3</v>
      </c>
      <c r="R2849" s="3">
        <f t="shared" si="178"/>
        <v>3.1099999999999999E-3</v>
      </c>
      <c r="S2849">
        <f t="shared" si="179"/>
        <v>66</v>
      </c>
      <c r="T2849">
        <f>INDEX([1]IDEN_level_ids!$B:$B,MATCH(G2849,[1]IDEN_level_ids!$A:$A,0),1)</f>
        <v>1060</v>
      </c>
      <c r="U2849">
        <f>INDEX([1]IDEN_level_ids!$B:$B,MATCH(H2849,[1]IDEN_level_ids!$A:$A,0),1)</f>
        <v>876</v>
      </c>
    </row>
    <row r="2850" spans="1:21" hidden="1" x14ac:dyDescent="0.25">
      <c r="A2850">
        <v>38469.960200000001</v>
      </c>
      <c r="B2850">
        <v>2599.4308000000001</v>
      </c>
      <c r="C2850">
        <v>17</v>
      </c>
      <c r="D2850" t="s">
        <v>667</v>
      </c>
      <c r="F2850">
        <v>1974</v>
      </c>
      <c r="G2850" s="1" t="s">
        <v>428</v>
      </c>
      <c r="H2850" s="1" t="s">
        <v>315</v>
      </c>
      <c r="I2850">
        <v>-0.39950000000000002</v>
      </c>
      <c r="J2850">
        <v>38469.915699999998</v>
      </c>
      <c r="K2850">
        <v>-3.0100000000000001E-3</v>
      </c>
      <c r="L2850">
        <v>3.1099999999999999E-3</v>
      </c>
      <c r="M2850">
        <v>4.6100000000000002E-2</v>
      </c>
      <c r="N2850">
        <v>0.19700000000000001</v>
      </c>
      <c r="O2850">
        <v>3.8800000000000002E-3</v>
      </c>
      <c r="P2850" s="3">
        <f t="shared" si="176"/>
        <v>2599.4308151116829</v>
      </c>
      <c r="Q2850" s="3">
        <f t="shared" si="177"/>
        <v>-3.006886528510222E-3</v>
      </c>
      <c r="R2850" s="3">
        <f t="shared" si="178"/>
        <v>3.1099999999999999E-3</v>
      </c>
      <c r="S2850">
        <f t="shared" si="179"/>
        <v>66</v>
      </c>
      <c r="T2850">
        <f>INDEX([1]IDEN_level_ids!$B:$B,MATCH(G2850,[1]IDEN_level_ids!$A:$A,0),1)</f>
        <v>1060</v>
      </c>
      <c r="U2850">
        <f>INDEX([1]IDEN_level_ids!$B:$B,MATCH(H2850,[1]IDEN_level_ids!$A:$A,0),1)</f>
        <v>877</v>
      </c>
    </row>
    <row r="2851" spans="1:21" hidden="1" x14ac:dyDescent="0.25">
      <c r="A2851">
        <v>38466.080900000001</v>
      </c>
      <c r="B2851">
        <v>2599.6930000000002</v>
      </c>
      <c r="C2851">
        <v>17</v>
      </c>
      <c r="D2851" t="s">
        <v>667</v>
      </c>
      <c r="F2851">
        <v>1974</v>
      </c>
      <c r="G2851" s="1" t="s">
        <v>239</v>
      </c>
      <c r="H2851" s="1" t="s">
        <v>401</v>
      </c>
      <c r="I2851">
        <v>6.8900000000000003E-2</v>
      </c>
      <c r="J2851">
        <v>38466.071000000004</v>
      </c>
      <c r="K2851">
        <v>-6.7000000000000002E-4</v>
      </c>
      <c r="L2851">
        <v>3.1099999999999999E-3</v>
      </c>
      <c r="M2851">
        <v>4.6100000000000002E-2</v>
      </c>
      <c r="N2851">
        <v>9.4399999999999998E-2</v>
      </c>
      <c r="O2851">
        <v>3.4399999999999999E-3</v>
      </c>
      <c r="P2851" s="3">
        <f t="shared" si="176"/>
        <v>2599.6929674215912</v>
      </c>
      <c r="Q2851" s="3">
        <f t="shared" si="177"/>
        <v>-6.6908212102134712E-4</v>
      </c>
      <c r="R2851" s="3">
        <f t="shared" si="178"/>
        <v>3.1099999999999999E-3</v>
      </c>
      <c r="S2851">
        <f t="shared" si="179"/>
        <v>66</v>
      </c>
      <c r="T2851">
        <f>INDEX([1]IDEN_level_ids!$B:$B,MATCH(G2851,[1]IDEN_level_ids!$A:$A,0),1)</f>
        <v>1167</v>
      </c>
      <c r="U2851">
        <f>INDEX([1]IDEN_level_ids!$B:$B,MATCH(H2851,[1]IDEN_level_ids!$A:$A,0),1)</f>
        <v>1063</v>
      </c>
    </row>
    <row r="2852" spans="1:21" hidden="1" x14ac:dyDescent="0.25">
      <c r="A2852">
        <v>38450.639300000003</v>
      </c>
      <c r="B2852">
        <v>2600.7370000000001</v>
      </c>
      <c r="C2852">
        <v>17</v>
      </c>
      <c r="D2852" t="s">
        <v>673</v>
      </c>
      <c r="E2852" t="s">
        <v>427</v>
      </c>
      <c r="F2852">
        <v>1974</v>
      </c>
      <c r="G2852" s="1" t="s">
        <v>469</v>
      </c>
      <c r="H2852" s="1" t="s">
        <v>650</v>
      </c>
      <c r="I2852">
        <v>-0.36720000000000003</v>
      </c>
      <c r="J2852">
        <v>38450.566800000001</v>
      </c>
      <c r="K2852">
        <v>-4.9100000000000003E-3</v>
      </c>
      <c r="L2852">
        <v>3.3E-3</v>
      </c>
      <c r="M2852">
        <v>4.87E-2</v>
      </c>
      <c r="N2852">
        <v>0.13519999999999999</v>
      </c>
      <c r="O2852">
        <v>3.81E-3</v>
      </c>
      <c r="P2852" s="3">
        <f t="shared" si="176"/>
        <v>2600.7369921675136</v>
      </c>
      <c r="Q2852" s="3">
        <f t="shared" si="177"/>
        <v>-4.9037881008189288E-3</v>
      </c>
      <c r="R2852" s="3">
        <f t="shared" si="178"/>
        <v>3.3E-3</v>
      </c>
      <c r="S2852">
        <f t="shared" si="179"/>
        <v>67</v>
      </c>
      <c r="T2852">
        <f>INDEX([1]IDEN_level_ids!$B:$B,MATCH(G2852,[1]IDEN_level_ids!$A:$A,0),1)</f>
        <v>1048</v>
      </c>
      <c r="U2852">
        <f>INDEX([1]IDEN_level_ids!$B:$B,MATCH(H2852,[1]IDEN_level_ids!$A:$A,0),1)</f>
        <v>870</v>
      </c>
    </row>
    <row r="2853" spans="1:21" hidden="1" x14ac:dyDescent="0.25">
      <c r="A2853">
        <v>38425.768700000001</v>
      </c>
      <c r="B2853">
        <v>2602.4203000000002</v>
      </c>
      <c r="C2853">
        <v>17</v>
      </c>
      <c r="D2853" t="s">
        <v>673</v>
      </c>
      <c r="E2853" t="s">
        <v>427</v>
      </c>
      <c r="F2853">
        <v>1974</v>
      </c>
      <c r="G2853" s="1" t="s">
        <v>383</v>
      </c>
      <c r="H2853" s="1" t="s">
        <v>489</v>
      </c>
      <c r="I2853">
        <v>0.31840000000000002</v>
      </c>
      <c r="J2853">
        <v>38425.877699999997</v>
      </c>
      <c r="K2853">
        <v>7.3800000000000003E-3</v>
      </c>
      <c r="L2853">
        <v>3.3E-3</v>
      </c>
      <c r="M2853">
        <v>4.87E-2</v>
      </c>
      <c r="N2853">
        <v>0.41789999999999999</v>
      </c>
      <c r="O2853">
        <v>5.6699999999999997E-3</v>
      </c>
      <c r="P2853" s="3">
        <f t="shared" si="176"/>
        <v>2602.4202867801055</v>
      </c>
      <c r="Q2853" s="3">
        <f t="shared" si="177"/>
        <v>7.3821036298795661E-3</v>
      </c>
      <c r="R2853" s="3">
        <f t="shared" si="178"/>
        <v>3.3E-3</v>
      </c>
      <c r="S2853">
        <f t="shared" si="179"/>
        <v>67</v>
      </c>
      <c r="T2853">
        <f>INDEX([1]IDEN_level_ids!$B:$B,MATCH(G2853,[1]IDEN_level_ids!$A:$A,0),1)</f>
        <v>1097</v>
      </c>
      <c r="U2853">
        <f>INDEX([1]IDEN_level_ids!$B:$B,MATCH(H2853,[1]IDEN_level_ids!$A:$A,0),1)</f>
        <v>945</v>
      </c>
    </row>
    <row r="2854" spans="1:21" hidden="1" x14ac:dyDescent="0.25">
      <c r="A2854">
        <v>38421.540699999998</v>
      </c>
      <c r="B2854">
        <v>2602.7067000000002</v>
      </c>
      <c r="C2854">
        <v>17</v>
      </c>
      <c r="D2854" t="s">
        <v>673</v>
      </c>
      <c r="E2854" t="s">
        <v>427</v>
      </c>
      <c r="F2854">
        <v>1974</v>
      </c>
      <c r="G2854" s="1" t="s">
        <v>536</v>
      </c>
      <c r="H2854" s="1" t="s">
        <v>635</v>
      </c>
      <c r="I2854">
        <v>0</v>
      </c>
      <c r="J2854">
        <v>38421.538399999998</v>
      </c>
      <c r="K2854">
        <v>-1.6000000000000001E-4</v>
      </c>
      <c r="L2854">
        <v>3.3E-3</v>
      </c>
      <c r="M2854">
        <v>4.87E-2</v>
      </c>
      <c r="N2854">
        <v>0.1706</v>
      </c>
      <c r="O2854">
        <v>3.98E-3</v>
      </c>
      <c r="P2854" s="3">
        <f t="shared" si="176"/>
        <v>2602.7066634524631</v>
      </c>
      <c r="Q2854" s="3">
        <f t="shared" si="177"/>
        <v>-1.5580389481328893E-4</v>
      </c>
      <c r="R2854" s="3">
        <f t="shared" si="178"/>
        <v>3.3E-3</v>
      </c>
      <c r="S2854">
        <f t="shared" si="179"/>
        <v>67</v>
      </c>
      <c r="T2854">
        <f>INDEX([1]IDEN_level_ids!$B:$B,MATCH(G2854,[1]IDEN_level_ids!$A:$A,0),1)</f>
        <v>1021</v>
      </c>
      <c r="U2854">
        <f>INDEX([1]IDEN_level_ids!$B:$B,MATCH(H2854,[1]IDEN_level_ids!$A:$A,0),1)</f>
        <v>840</v>
      </c>
    </row>
    <row r="2855" spans="1:21" hidden="1" x14ac:dyDescent="0.25">
      <c r="A2855">
        <v>38417.188999999998</v>
      </c>
      <c r="B2855">
        <v>2603.0014999999999</v>
      </c>
      <c r="C2855">
        <v>17</v>
      </c>
      <c r="D2855" t="s">
        <v>673</v>
      </c>
      <c r="F2855">
        <v>1974</v>
      </c>
      <c r="G2855" s="1" t="s">
        <v>293</v>
      </c>
      <c r="H2855" s="1" t="s">
        <v>513</v>
      </c>
      <c r="I2855">
        <v>0.26</v>
      </c>
      <c r="J2855">
        <v>38417.186999999998</v>
      </c>
      <c r="K2855">
        <v>-1.3999999999999999E-4</v>
      </c>
      <c r="L2855">
        <v>3.1199999999999999E-3</v>
      </c>
      <c r="M2855">
        <v>4.6100000000000002E-2</v>
      </c>
      <c r="N2855">
        <v>0.222</v>
      </c>
      <c r="O2855">
        <v>4.0099999999999997E-3</v>
      </c>
      <c r="P2855" s="3">
        <f t="shared" si="176"/>
        <v>2603.001484569837</v>
      </c>
      <c r="Q2855" s="3">
        <f t="shared" si="177"/>
        <v>-1.3551234133046819E-4</v>
      </c>
      <c r="R2855" s="3">
        <f t="shared" si="178"/>
        <v>3.1199999999999999E-3</v>
      </c>
      <c r="S2855">
        <f t="shared" si="179"/>
        <v>67</v>
      </c>
      <c r="T2855">
        <f>INDEX([1]IDEN_level_ids!$B:$B,MATCH(G2855,[1]IDEN_level_ids!$A:$A,0),1)</f>
        <v>1121</v>
      </c>
      <c r="U2855">
        <f>INDEX([1]IDEN_level_ids!$B:$B,MATCH(H2855,[1]IDEN_level_ids!$A:$A,0),1)</f>
        <v>979</v>
      </c>
    </row>
    <row r="2856" spans="1:21" hidden="1" x14ac:dyDescent="0.25">
      <c r="A2856">
        <v>38401.851600000002</v>
      </c>
      <c r="B2856">
        <v>2604.0410999999999</v>
      </c>
      <c r="C2856">
        <v>17</v>
      </c>
      <c r="D2856" t="s">
        <v>673</v>
      </c>
      <c r="F2856">
        <v>1974</v>
      </c>
      <c r="G2856" s="1" t="s">
        <v>466</v>
      </c>
      <c r="H2856" s="1" t="s">
        <v>641</v>
      </c>
      <c r="I2856">
        <v>-0.3876</v>
      </c>
      <c r="J2856">
        <v>38401.861199999999</v>
      </c>
      <c r="K2856">
        <v>6.4999999999999997E-4</v>
      </c>
      <c r="L2856">
        <v>3.1199999999999999E-3</v>
      </c>
      <c r="M2856">
        <v>4.6100000000000002E-2</v>
      </c>
      <c r="N2856">
        <v>0.2616</v>
      </c>
      <c r="O2856">
        <v>4.2300000000000003E-3</v>
      </c>
      <c r="P2856" s="3">
        <f t="shared" si="176"/>
        <v>2604.0411030597284</v>
      </c>
      <c r="Q2856" s="3">
        <f t="shared" si="177"/>
        <v>6.5097872357000597E-4</v>
      </c>
      <c r="R2856" s="3">
        <f t="shared" si="178"/>
        <v>3.1199999999999999E-3</v>
      </c>
      <c r="S2856">
        <f t="shared" si="179"/>
        <v>67</v>
      </c>
      <c r="T2856">
        <f>INDEX([1]IDEN_level_ids!$B:$B,MATCH(G2856,[1]IDEN_level_ids!$A:$A,0),1)</f>
        <v>1061</v>
      </c>
      <c r="U2856">
        <f>INDEX([1]IDEN_level_ids!$B:$B,MATCH(H2856,[1]IDEN_level_ids!$A:$A,0),1)</f>
        <v>880</v>
      </c>
    </row>
    <row r="2857" spans="1:21" hidden="1" x14ac:dyDescent="0.25">
      <c r="A2857">
        <v>38401.011299999998</v>
      </c>
      <c r="B2857">
        <v>2604.0981000000002</v>
      </c>
      <c r="C2857">
        <v>17</v>
      </c>
      <c r="D2857" t="s">
        <v>673</v>
      </c>
      <c r="F2857">
        <v>1974</v>
      </c>
      <c r="G2857" s="1" t="s">
        <v>437</v>
      </c>
      <c r="H2857" s="1" t="s">
        <v>306</v>
      </c>
      <c r="I2857">
        <v>-0.26329999999999998</v>
      </c>
      <c r="J2857">
        <v>38400.979200000002</v>
      </c>
      <c r="K2857">
        <v>-2.1800000000000001E-3</v>
      </c>
      <c r="L2857">
        <v>3.1199999999999999E-3</v>
      </c>
      <c r="M2857">
        <v>4.6100000000000002E-2</v>
      </c>
      <c r="N2857">
        <v>0.23899999999999999</v>
      </c>
      <c r="O2857">
        <v>4.1000000000000003E-3</v>
      </c>
      <c r="P2857" s="3">
        <f t="shared" si="176"/>
        <v>2604.0980853022484</v>
      </c>
      <c r="Q2857" s="3">
        <f t="shared" si="177"/>
        <v>-2.1768077344859194E-3</v>
      </c>
      <c r="R2857" s="3">
        <f t="shared" si="178"/>
        <v>3.1199999999999999E-3</v>
      </c>
      <c r="S2857">
        <f t="shared" si="179"/>
        <v>67</v>
      </c>
      <c r="T2857">
        <f>INDEX([1]IDEN_level_ids!$B:$B,MATCH(G2857,[1]IDEN_level_ids!$A:$A,0),1)</f>
        <v>1039</v>
      </c>
      <c r="U2857">
        <f>INDEX([1]IDEN_level_ids!$B:$B,MATCH(H2857,[1]IDEN_level_ids!$A:$A,0),1)</f>
        <v>862</v>
      </c>
    </row>
    <row r="2858" spans="1:21" hidden="1" x14ac:dyDescent="0.25">
      <c r="A2858">
        <v>38397.639000000003</v>
      </c>
      <c r="B2858">
        <v>2604.3267999999998</v>
      </c>
      <c r="C2858">
        <v>17</v>
      </c>
      <c r="D2858" t="s">
        <v>673</v>
      </c>
      <c r="F2858">
        <v>1974</v>
      </c>
      <c r="G2858" s="1" t="s">
        <v>289</v>
      </c>
      <c r="H2858" s="1" t="s">
        <v>577</v>
      </c>
      <c r="I2858">
        <v>3.2599999999999997E-2</v>
      </c>
      <c r="J2858">
        <v>38397.6535</v>
      </c>
      <c r="K2858">
        <v>9.8999999999999999E-4</v>
      </c>
      <c r="L2858">
        <v>3.1199999999999999E-3</v>
      </c>
      <c r="M2858">
        <v>4.6100000000000002E-2</v>
      </c>
      <c r="N2858">
        <v>0.14080000000000001</v>
      </c>
      <c r="O2858">
        <v>3.64E-3</v>
      </c>
      <c r="P2858" s="3">
        <f t="shared" si="176"/>
        <v>2604.3267920717726</v>
      </c>
      <c r="Q2858" s="3">
        <f t="shared" si="177"/>
        <v>9.8346474396748818E-4</v>
      </c>
      <c r="R2858" s="3">
        <f t="shared" si="178"/>
        <v>3.1199999999999999E-3</v>
      </c>
      <c r="S2858">
        <f t="shared" si="179"/>
        <v>67</v>
      </c>
      <c r="T2858">
        <f>INDEX([1]IDEN_level_ids!$B:$B,MATCH(G2858,[1]IDEN_level_ids!$A:$A,0),1)</f>
        <v>1122</v>
      </c>
      <c r="U2858">
        <f>INDEX([1]IDEN_level_ids!$B:$B,MATCH(H2858,[1]IDEN_level_ids!$A:$A,0),1)</f>
        <v>985</v>
      </c>
    </row>
    <row r="2859" spans="1:21" hidden="1" x14ac:dyDescent="0.25">
      <c r="A2859">
        <v>38396.208899999998</v>
      </c>
      <c r="B2859">
        <v>2604.4238</v>
      </c>
      <c r="C2859">
        <v>17</v>
      </c>
      <c r="D2859" t="s">
        <v>673</v>
      </c>
      <c r="F2859">
        <v>1974</v>
      </c>
      <c r="G2859" s="1" t="s">
        <v>197</v>
      </c>
      <c r="H2859" s="1" t="s">
        <v>398</v>
      </c>
      <c r="I2859">
        <v>0.31929999999999997</v>
      </c>
      <c r="J2859">
        <v>38396.231599999999</v>
      </c>
      <c r="K2859">
        <v>1.5399999999999999E-3</v>
      </c>
      <c r="L2859">
        <v>3.1199999999999999E-3</v>
      </c>
      <c r="M2859">
        <v>4.6100000000000002E-2</v>
      </c>
      <c r="N2859">
        <v>8.5599999999999996E-2</v>
      </c>
      <c r="O2859">
        <v>3.4199999999999999E-3</v>
      </c>
      <c r="P2859" s="3">
        <f t="shared" si="176"/>
        <v>2604.4237924749909</v>
      </c>
      <c r="Q2859" s="3">
        <f t="shared" si="177"/>
        <v>1.5397453767036495E-3</v>
      </c>
      <c r="R2859" s="3">
        <f t="shared" si="178"/>
        <v>3.1199999999999999E-3</v>
      </c>
      <c r="S2859">
        <f t="shared" si="179"/>
        <v>67</v>
      </c>
      <c r="T2859">
        <f>INDEX([1]IDEN_level_ids!$B:$B,MATCH(G2859,[1]IDEN_level_ids!$A:$A,0),1)</f>
        <v>1182</v>
      </c>
      <c r="U2859">
        <f>INDEX([1]IDEN_level_ids!$B:$B,MATCH(H2859,[1]IDEN_level_ids!$A:$A,0),1)</f>
        <v>1075</v>
      </c>
    </row>
    <row r="2860" spans="1:21" hidden="1" x14ac:dyDescent="0.25">
      <c r="A2860">
        <v>38384.2503</v>
      </c>
      <c r="B2860">
        <v>2605.2352000000001</v>
      </c>
      <c r="C2860">
        <v>17</v>
      </c>
      <c r="D2860" t="s">
        <v>673</v>
      </c>
      <c r="F2860">
        <v>1974</v>
      </c>
      <c r="G2860" s="1" t="s">
        <v>398</v>
      </c>
      <c r="H2860" s="1" t="s">
        <v>672</v>
      </c>
      <c r="I2860">
        <v>-0.31929999999999997</v>
      </c>
      <c r="J2860">
        <v>38384.202400000002</v>
      </c>
      <c r="K2860">
        <v>-3.2499999999999999E-3</v>
      </c>
      <c r="L2860">
        <v>3.13E-3</v>
      </c>
      <c r="M2860">
        <v>4.6100000000000002E-2</v>
      </c>
      <c r="N2860">
        <v>0.24299999999999999</v>
      </c>
      <c r="O2860">
        <v>4.13E-3</v>
      </c>
      <c r="P2860" s="3">
        <f t="shared" si="176"/>
        <v>2605.2351998131899</v>
      </c>
      <c r="Q2860" s="3">
        <f t="shared" si="177"/>
        <v>-3.2510970208932122E-3</v>
      </c>
      <c r="R2860" s="3">
        <f t="shared" si="178"/>
        <v>3.13E-3</v>
      </c>
      <c r="S2860">
        <f t="shared" si="179"/>
        <v>67</v>
      </c>
      <c r="T2860">
        <f>INDEX([1]IDEN_level_ids!$B:$B,MATCH(G2860,[1]IDEN_level_ids!$A:$A,0),1)</f>
        <v>1075</v>
      </c>
      <c r="U2860">
        <f>INDEX([1]IDEN_level_ids!$B:$B,MATCH(H2860,[1]IDEN_level_ids!$A:$A,0),1)</f>
        <v>891</v>
      </c>
    </row>
    <row r="2861" spans="1:21" hidden="1" x14ac:dyDescent="0.25">
      <c r="A2861">
        <v>38355.859700000001</v>
      </c>
      <c r="B2861">
        <v>2607.1635999999999</v>
      </c>
      <c r="C2861">
        <v>17</v>
      </c>
      <c r="D2861" t="s">
        <v>673</v>
      </c>
      <c r="E2861" t="s">
        <v>638</v>
      </c>
      <c r="F2861">
        <v>1974</v>
      </c>
      <c r="G2861" s="1" t="s">
        <v>301</v>
      </c>
      <c r="H2861" s="1" t="s">
        <v>476</v>
      </c>
      <c r="I2861">
        <v>-0.19320000000000001</v>
      </c>
      <c r="J2861">
        <v>38356.027600000001</v>
      </c>
      <c r="K2861">
        <v>1.142E-2</v>
      </c>
      <c r="L2861">
        <v>1.175E-2</v>
      </c>
      <c r="M2861">
        <v>0.17280000000000001</v>
      </c>
      <c r="N2861">
        <v>9.2499999999999999E-2</v>
      </c>
      <c r="O2861">
        <v>1.294E-2</v>
      </c>
      <c r="P2861" s="3">
        <f t="shared" si="176"/>
        <v>2607.1635672397665</v>
      </c>
      <c r="Q2861" s="3">
        <f t="shared" si="177"/>
        <v>1.1412619875954988E-2</v>
      </c>
      <c r="R2861" s="3">
        <f t="shared" si="178"/>
        <v>1.175E-2</v>
      </c>
      <c r="S2861">
        <f t="shared" si="179"/>
        <v>67</v>
      </c>
      <c r="T2861">
        <f>INDEX([1]IDEN_level_ids!$B:$B,MATCH(G2861,[1]IDEN_level_ids!$A:$A,0),1)</f>
        <v>1154</v>
      </c>
      <c r="U2861">
        <f>INDEX([1]IDEN_level_ids!$B:$B,MATCH(H2861,[1]IDEN_level_ids!$A:$A,0),1)</f>
        <v>1037</v>
      </c>
    </row>
    <row r="2862" spans="1:21" hidden="1" x14ac:dyDescent="0.25">
      <c r="A2862">
        <v>38353.948799999998</v>
      </c>
      <c r="B2862">
        <v>2607.2935000000002</v>
      </c>
      <c r="C2862">
        <v>17</v>
      </c>
      <c r="D2862" t="s">
        <v>673</v>
      </c>
      <c r="F2862">
        <v>1974</v>
      </c>
      <c r="G2862" s="1" t="s">
        <v>275</v>
      </c>
      <c r="H2862" s="1" t="s">
        <v>584</v>
      </c>
      <c r="I2862">
        <v>0</v>
      </c>
      <c r="J2862">
        <v>38353.920100000003</v>
      </c>
      <c r="K2862">
        <v>-1.9499999999999999E-3</v>
      </c>
      <c r="L2862">
        <v>3.13E-3</v>
      </c>
      <c r="M2862">
        <v>4.6100000000000002E-2</v>
      </c>
      <c r="N2862">
        <v>0.22689999999999999</v>
      </c>
      <c r="O2862">
        <v>4.0499999999999998E-3</v>
      </c>
      <c r="P2862" s="3">
        <f t="shared" si="176"/>
        <v>2607.2934633525924</v>
      </c>
      <c r="Q2862" s="3">
        <f t="shared" si="177"/>
        <v>-1.9510214910951618E-3</v>
      </c>
      <c r="R2862" s="3">
        <f t="shared" si="178"/>
        <v>3.13E-3</v>
      </c>
      <c r="S2862">
        <f t="shared" si="179"/>
        <v>67</v>
      </c>
      <c r="T2862">
        <f>INDEX([1]IDEN_level_ids!$B:$B,MATCH(G2862,[1]IDEN_level_ids!$A:$A,0),1)</f>
        <v>1134</v>
      </c>
      <c r="U2862">
        <f>INDEX([1]IDEN_level_ids!$B:$B,MATCH(H2862,[1]IDEN_level_ids!$A:$A,0),1)</f>
        <v>992</v>
      </c>
    </row>
    <row r="2863" spans="1:21" hidden="1" x14ac:dyDescent="0.25">
      <c r="A2863">
        <v>38350.269399999997</v>
      </c>
      <c r="B2863">
        <v>2607.5436</v>
      </c>
      <c r="C2863">
        <v>17</v>
      </c>
      <c r="D2863" t="s">
        <v>673</v>
      </c>
      <c r="F2863">
        <v>1974</v>
      </c>
      <c r="G2863" s="1" t="s">
        <v>284</v>
      </c>
      <c r="H2863" s="1" t="s">
        <v>490</v>
      </c>
      <c r="I2863">
        <v>0</v>
      </c>
      <c r="J2863">
        <v>38350.271399999998</v>
      </c>
      <c r="K2863">
        <v>1.3999999999999999E-4</v>
      </c>
      <c r="L2863">
        <v>3.13E-3</v>
      </c>
      <c r="M2863">
        <v>4.6100000000000002E-2</v>
      </c>
      <c r="N2863">
        <v>0.72940000000000005</v>
      </c>
      <c r="O2863">
        <v>1.158E-2</v>
      </c>
      <c r="P2863" s="3">
        <f t="shared" si="176"/>
        <v>2607.5436121968937</v>
      </c>
      <c r="Q2863" s="3">
        <f t="shared" si="177"/>
        <v>1.3598566647488042E-4</v>
      </c>
      <c r="R2863" s="3">
        <f t="shared" si="178"/>
        <v>3.13E-3</v>
      </c>
      <c r="S2863">
        <f t="shared" si="179"/>
        <v>67</v>
      </c>
      <c r="T2863">
        <f>INDEX([1]IDEN_level_ids!$B:$B,MATCH(G2863,[1]IDEN_level_ids!$A:$A,0),1)</f>
        <v>1103</v>
      </c>
      <c r="U2863">
        <f>INDEX([1]IDEN_level_ids!$B:$B,MATCH(H2863,[1]IDEN_level_ids!$A:$A,0),1)</f>
        <v>965</v>
      </c>
    </row>
    <row r="2864" spans="1:21" hidden="1" x14ac:dyDescent="0.25">
      <c r="A2864">
        <v>38328.5095</v>
      </c>
      <c r="B2864">
        <v>2609.0239999999999</v>
      </c>
      <c r="C2864">
        <v>17</v>
      </c>
      <c r="D2864" t="s">
        <v>673</v>
      </c>
      <c r="F2864">
        <v>1974</v>
      </c>
      <c r="G2864" s="1" t="s">
        <v>141</v>
      </c>
      <c r="H2864" s="1" t="s">
        <v>437</v>
      </c>
      <c r="I2864">
        <v>0.26329999999999998</v>
      </c>
      <c r="J2864">
        <v>38328.490599999997</v>
      </c>
      <c r="K2864">
        <v>-1.2899999999999999E-3</v>
      </c>
      <c r="L2864">
        <v>3.14E-3</v>
      </c>
      <c r="M2864">
        <v>4.6100000000000002E-2</v>
      </c>
      <c r="N2864">
        <v>7.2999999999999995E-2</v>
      </c>
      <c r="O2864">
        <v>3.3800000000000002E-3</v>
      </c>
      <c r="P2864" s="3">
        <f t="shared" si="176"/>
        <v>2609.0239694815159</v>
      </c>
      <c r="Q2864" s="3">
        <f t="shared" si="177"/>
        <v>-1.2865247826994164E-3</v>
      </c>
      <c r="R2864" s="3">
        <f t="shared" si="178"/>
        <v>3.14E-3</v>
      </c>
      <c r="S2864">
        <f t="shared" si="179"/>
        <v>67</v>
      </c>
      <c r="T2864">
        <f>INDEX([1]IDEN_level_ids!$B:$B,MATCH(G2864,[1]IDEN_level_ids!$A:$A,0),1)</f>
        <v>1155</v>
      </c>
      <c r="U2864">
        <f>INDEX([1]IDEN_level_ids!$B:$B,MATCH(H2864,[1]IDEN_level_ids!$A:$A,0),1)</f>
        <v>1039</v>
      </c>
    </row>
    <row r="2865" spans="1:21" hidden="1" x14ac:dyDescent="0.25">
      <c r="A2865">
        <v>38323.939700000003</v>
      </c>
      <c r="B2865">
        <v>2609.3350999999998</v>
      </c>
      <c r="C2865">
        <v>17</v>
      </c>
      <c r="D2865" t="s">
        <v>673</v>
      </c>
      <c r="E2865" t="s">
        <v>427</v>
      </c>
      <c r="F2865">
        <v>1974</v>
      </c>
      <c r="G2865" s="1" t="s">
        <v>583</v>
      </c>
      <c r="H2865" s="1" t="s">
        <v>652</v>
      </c>
      <c r="I2865">
        <v>-0.1106</v>
      </c>
      <c r="J2865">
        <v>38323.910499999998</v>
      </c>
      <c r="K2865">
        <v>-1.98E-3</v>
      </c>
      <c r="L2865">
        <v>3.32E-3</v>
      </c>
      <c r="M2865">
        <v>4.87E-2</v>
      </c>
      <c r="N2865">
        <v>0.27089999999999997</v>
      </c>
      <c r="O2865">
        <v>4.5500000000000002E-3</v>
      </c>
      <c r="P2865" s="3">
        <f t="shared" si="176"/>
        <v>2609.3350731370656</v>
      </c>
      <c r="Q2865" s="3">
        <f t="shared" si="177"/>
        <v>-1.9881213361259142E-3</v>
      </c>
      <c r="R2865" s="3">
        <f t="shared" si="178"/>
        <v>3.32E-3</v>
      </c>
      <c r="S2865">
        <f t="shared" si="179"/>
        <v>67</v>
      </c>
      <c r="T2865">
        <f>INDEX([1]IDEN_level_ids!$B:$B,MATCH(G2865,[1]IDEN_level_ids!$A:$A,0),1)</f>
        <v>1043</v>
      </c>
      <c r="U2865">
        <f>INDEX([1]IDEN_level_ids!$B:$B,MATCH(H2865,[1]IDEN_level_ids!$A:$A,0),1)</f>
        <v>865</v>
      </c>
    </row>
    <row r="2866" spans="1:21" hidden="1" x14ac:dyDescent="0.25">
      <c r="A2866">
        <v>38318.150500000003</v>
      </c>
      <c r="B2866">
        <v>2609.7293</v>
      </c>
      <c r="C2866">
        <v>17</v>
      </c>
      <c r="D2866" t="s">
        <v>673</v>
      </c>
      <c r="E2866" t="s">
        <v>236</v>
      </c>
      <c r="F2866">
        <v>1974</v>
      </c>
      <c r="G2866" s="1" t="s">
        <v>271</v>
      </c>
      <c r="H2866" s="1" t="s">
        <v>438</v>
      </c>
      <c r="I2866">
        <v>0</v>
      </c>
      <c r="J2866">
        <v>38318.137699999999</v>
      </c>
      <c r="K2866">
        <v>-8.8000000000000003E-4</v>
      </c>
      <c r="L2866">
        <v>1.6100000000000001E-3</v>
      </c>
      <c r="M2866">
        <v>2.3599999999999999E-2</v>
      </c>
      <c r="N2866">
        <v>0.27850000000000003</v>
      </c>
      <c r="O2866">
        <v>2.2300000000000002E-3</v>
      </c>
      <c r="P2866" s="3">
        <f t="shared" si="176"/>
        <v>2609.7292978689038</v>
      </c>
      <c r="Q2866" s="3">
        <f t="shared" si="177"/>
        <v>-8.7176822853507474E-4</v>
      </c>
      <c r="R2866" s="3">
        <f t="shared" si="178"/>
        <v>1.6100000000000001E-3</v>
      </c>
      <c r="S2866">
        <f t="shared" si="179"/>
        <v>67</v>
      </c>
      <c r="T2866">
        <f>INDEX([1]IDEN_level_ids!$B:$B,MATCH(G2866,[1]IDEN_level_ids!$A:$A,0),1)</f>
        <v>1158</v>
      </c>
      <c r="U2866">
        <f>INDEX([1]IDEN_level_ids!$B:$B,MATCH(H2866,[1]IDEN_level_ids!$A:$A,0),1)</f>
        <v>1051</v>
      </c>
    </row>
    <row r="2867" spans="1:21" hidden="1" x14ac:dyDescent="0.25">
      <c r="A2867">
        <v>38313.891000000003</v>
      </c>
      <c r="B2867">
        <v>2610.0194000000001</v>
      </c>
      <c r="C2867">
        <v>17</v>
      </c>
      <c r="D2867" t="s">
        <v>673</v>
      </c>
      <c r="F2867">
        <v>1974</v>
      </c>
      <c r="G2867" s="1" t="s">
        <v>477</v>
      </c>
      <c r="H2867" s="1" t="s">
        <v>129</v>
      </c>
      <c r="I2867">
        <v>-0.32490000000000002</v>
      </c>
      <c r="J2867">
        <v>38313.850400000003</v>
      </c>
      <c r="K2867">
        <v>-2.7599999999999999E-3</v>
      </c>
      <c r="L2867">
        <v>3.14E-3</v>
      </c>
      <c r="M2867">
        <v>4.6100000000000002E-2</v>
      </c>
      <c r="N2867">
        <v>0.2077</v>
      </c>
      <c r="O2867">
        <v>3.96E-3</v>
      </c>
      <c r="P2867" s="3">
        <f t="shared" si="176"/>
        <v>2610.0194313336642</v>
      </c>
      <c r="Q2867" s="3">
        <f t="shared" si="177"/>
        <v>-2.7657567120513704E-3</v>
      </c>
      <c r="R2867" s="3">
        <f t="shared" si="178"/>
        <v>3.14E-3</v>
      </c>
      <c r="S2867">
        <f t="shared" si="179"/>
        <v>67</v>
      </c>
      <c r="T2867">
        <f>INDEX([1]IDEN_level_ids!$B:$B,MATCH(G2867,[1]IDEN_level_ids!$A:$A,0),1)</f>
        <v>1045</v>
      </c>
      <c r="U2867">
        <f>INDEX([1]IDEN_level_ids!$B:$B,MATCH(H2867,[1]IDEN_level_ids!$A:$A,0),1)</f>
        <v>866</v>
      </c>
    </row>
    <row r="2868" spans="1:21" hidden="1" x14ac:dyDescent="0.25">
      <c r="A2868">
        <v>38301.739800000003</v>
      </c>
      <c r="B2868">
        <v>2610.8474999999999</v>
      </c>
      <c r="C2868">
        <v>17</v>
      </c>
      <c r="D2868" t="s">
        <v>673</v>
      </c>
      <c r="F2868">
        <v>1974</v>
      </c>
      <c r="G2868" s="1" t="s">
        <v>94</v>
      </c>
      <c r="H2868" s="1" t="s">
        <v>379</v>
      </c>
      <c r="I2868">
        <v>0.47110000000000002</v>
      </c>
      <c r="J2868">
        <v>38301.707199999997</v>
      </c>
      <c r="K2868">
        <v>-2.2200000000000002E-3</v>
      </c>
      <c r="L2868">
        <v>3.14E-3</v>
      </c>
      <c r="M2868">
        <v>4.6100000000000002E-2</v>
      </c>
      <c r="N2868">
        <v>0.1258</v>
      </c>
      <c r="O2868">
        <v>3.5899999999999999E-3</v>
      </c>
      <c r="P2868" s="3">
        <f t="shared" si="176"/>
        <v>2610.8474581616783</v>
      </c>
      <c r="Q2868" s="3">
        <f t="shared" si="177"/>
        <v>-2.2221888625608699E-3</v>
      </c>
      <c r="R2868" s="3">
        <f t="shared" si="178"/>
        <v>3.14E-3</v>
      </c>
      <c r="S2868">
        <f t="shared" si="179"/>
        <v>67</v>
      </c>
      <c r="T2868">
        <f>INDEX([1]IDEN_level_ids!$B:$B,MATCH(G2868,[1]IDEN_level_ids!$A:$A,0),1)</f>
        <v>1207</v>
      </c>
      <c r="U2868">
        <f>INDEX([1]IDEN_level_ids!$B:$B,MATCH(H2868,[1]IDEN_level_ids!$A:$A,0),1)</f>
        <v>1083</v>
      </c>
    </row>
    <row r="2869" spans="1:21" hidden="1" x14ac:dyDescent="0.25">
      <c r="A2869">
        <v>38297.589099999997</v>
      </c>
      <c r="B2869">
        <v>2611.1304</v>
      </c>
      <c r="C2869">
        <v>17</v>
      </c>
      <c r="D2869" t="s">
        <v>673</v>
      </c>
      <c r="E2869" t="s">
        <v>427</v>
      </c>
      <c r="F2869">
        <v>1974</v>
      </c>
      <c r="G2869" s="1" t="s">
        <v>462</v>
      </c>
      <c r="H2869" s="1" t="s">
        <v>650</v>
      </c>
      <c r="I2869">
        <v>-0.37159999999999999</v>
      </c>
      <c r="J2869">
        <v>38297.588199999998</v>
      </c>
      <c r="K2869">
        <v>-6.0000000000000002E-5</v>
      </c>
      <c r="L2869">
        <v>3.32E-3</v>
      </c>
      <c r="M2869">
        <v>4.87E-2</v>
      </c>
      <c r="N2869">
        <v>0.20680000000000001</v>
      </c>
      <c r="O2869">
        <v>4.1900000000000001E-3</v>
      </c>
      <c r="P2869" s="3">
        <f t="shared" si="176"/>
        <v>2611.1304223064008</v>
      </c>
      <c r="Q2869" s="3">
        <f t="shared" si="177"/>
        <v>-6.1362020005617524E-5</v>
      </c>
      <c r="R2869" s="3">
        <f t="shared" si="178"/>
        <v>3.32E-3</v>
      </c>
      <c r="S2869">
        <f t="shared" si="179"/>
        <v>67</v>
      </c>
      <c r="T2869">
        <f>INDEX([1]IDEN_level_ids!$B:$B,MATCH(G2869,[1]IDEN_level_ids!$A:$A,0),1)</f>
        <v>1047</v>
      </c>
      <c r="U2869">
        <f>INDEX([1]IDEN_level_ids!$B:$B,MATCH(H2869,[1]IDEN_level_ids!$A:$A,0),1)</f>
        <v>870</v>
      </c>
    </row>
    <row r="2870" spans="1:21" hidden="1" x14ac:dyDescent="0.25">
      <c r="A2870">
        <v>38288.520900000003</v>
      </c>
      <c r="B2870">
        <v>2611.7487999999998</v>
      </c>
      <c r="C2870">
        <v>17</v>
      </c>
      <c r="D2870" t="s">
        <v>673</v>
      </c>
      <c r="F2870">
        <v>1974</v>
      </c>
      <c r="G2870" s="1" t="s">
        <v>481</v>
      </c>
      <c r="H2870" s="1" t="s">
        <v>629</v>
      </c>
      <c r="I2870">
        <v>0</v>
      </c>
      <c r="J2870">
        <v>38288.532899999998</v>
      </c>
      <c r="K2870">
        <v>8.1999999999999998E-4</v>
      </c>
      <c r="L2870">
        <v>3.14E-3</v>
      </c>
      <c r="M2870">
        <v>4.6100000000000002E-2</v>
      </c>
      <c r="N2870">
        <v>0.27260000000000001</v>
      </c>
      <c r="O2870">
        <v>4.3200000000000001E-3</v>
      </c>
      <c r="P2870" s="3">
        <f t="shared" si="176"/>
        <v>2611.7488388014485</v>
      </c>
      <c r="Q2870" s="3">
        <f t="shared" si="177"/>
        <v>8.185475826394395E-4</v>
      </c>
      <c r="R2870" s="3">
        <f t="shared" si="178"/>
        <v>3.14E-3</v>
      </c>
      <c r="S2870">
        <f t="shared" si="179"/>
        <v>67</v>
      </c>
      <c r="T2870">
        <f>INDEX([1]IDEN_level_ids!$B:$B,MATCH(G2870,[1]IDEN_level_ids!$A:$A,0),1)</f>
        <v>1016</v>
      </c>
      <c r="U2870">
        <f>INDEX([1]IDEN_level_ids!$B:$B,MATCH(H2870,[1]IDEN_level_ids!$A:$A,0),1)</f>
        <v>833</v>
      </c>
    </row>
    <row r="2871" spans="1:21" hidden="1" x14ac:dyDescent="0.25">
      <c r="A2871">
        <v>38285.619899999998</v>
      </c>
      <c r="B2871">
        <v>2611.9467</v>
      </c>
      <c r="C2871">
        <v>17</v>
      </c>
      <c r="D2871" t="s">
        <v>673</v>
      </c>
      <c r="F2871">
        <v>1974</v>
      </c>
      <c r="G2871" s="1" t="s">
        <v>94</v>
      </c>
      <c r="H2871" s="1" t="s">
        <v>381</v>
      </c>
      <c r="I2871">
        <v>0.23219999999999999</v>
      </c>
      <c r="J2871">
        <v>38285.616300000002</v>
      </c>
      <c r="K2871">
        <v>-2.5000000000000001E-4</v>
      </c>
      <c r="L2871">
        <v>3.14E-3</v>
      </c>
      <c r="M2871">
        <v>4.6100000000000002E-2</v>
      </c>
      <c r="N2871">
        <v>0.10489999999999999</v>
      </c>
      <c r="O2871">
        <v>3.5100000000000001E-3</v>
      </c>
      <c r="P2871" s="3">
        <f t="shared" si="176"/>
        <v>2611.9467377358569</v>
      </c>
      <c r="Q2871" s="3">
        <f t="shared" si="177"/>
        <v>-2.4560159044995089E-4</v>
      </c>
      <c r="R2871" s="3">
        <f t="shared" si="178"/>
        <v>3.14E-3</v>
      </c>
      <c r="S2871">
        <f t="shared" si="179"/>
        <v>67</v>
      </c>
      <c r="T2871">
        <f>INDEX([1]IDEN_level_ids!$B:$B,MATCH(G2871,[1]IDEN_level_ids!$A:$A,0),1)</f>
        <v>1207</v>
      </c>
      <c r="U2871">
        <f>INDEX([1]IDEN_level_ids!$B:$B,MATCH(H2871,[1]IDEN_level_ids!$A:$A,0),1)</f>
        <v>1084</v>
      </c>
    </row>
    <row r="2872" spans="1:21" hidden="1" x14ac:dyDescent="0.25">
      <c r="A2872">
        <v>38283.230000000003</v>
      </c>
      <c r="B2872">
        <v>2612.1098000000002</v>
      </c>
      <c r="C2872">
        <v>17</v>
      </c>
      <c r="D2872" t="s">
        <v>673</v>
      </c>
      <c r="F2872">
        <v>1974</v>
      </c>
      <c r="G2872" s="1" t="s">
        <v>477</v>
      </c>
      <c r="H2872" s="1" t="s">
        <v>630</v>
      </c>
      <c r="I2872">
        <v>-0.32490000000000002</v>
      </c>
      <c r="J2872">
        <v>38283.201699999998</v>
      </c>
      <c r="K2872">
        <v>-1.9300000000000001E-3</v>
      </c>
      <c r="L2872">
        <v>3.14E-3</v>
      </c>
      <c r="M2872">
        <v>4.6100000000000002E-2</v>
      </c>
      <c r="N2872">
        <v>0.18129999999999999</v>
      </c>
      <c r="O2872">
        <v>3.8400000000000001E-3</v>
      </c>
      <c r="P2872" s="3">
        <f t="shared" si="176"/>
        <v>2612.1097932436733</v>
      </c>
      <c r="Q2872" s="3">
        <f t="shared" si="177"/>
        <v>-1.9309437006995722E-3</v>
      </c>
      <c r="R2872" s="3">
        <f t="shared" si="178"/>
        <v>3.14E-3</v>
      </c>
      <c r="S2872">
        <f t="shared" si="179"/>
        <v>67</v>
      </c>
      <c r="T2872">
        <f>INDEX([1]IDEN_level_ids!$B:$B,MATCH(G2872,[1]IDEN_level_ids!$A:$A,0),1)</f>
        <v>1045</v>
      </c>
      <c r="U2872">
        <f>INDEX([1]IDEN_level_ids!$B:$B,MATCH(H2872,[1]IDEN_level_ids!$A:$A,0),1)</f>
        <v>867</v>
      </c>
    </row>
    <row r="2873" spans="1:21" hidden="1" x14ac:dyDescent="0.25">
      <c r="A2873">
        <v>38280.340799999998</v>
      </c>
      <c r="B2873">
        <v>2612.3069</v>
      </c>
      <c r="C2873">
        <v>17</v>
      </c>
      <c r="D2873" t="s">
        <v>673</v>
      </c>
      <c r="F2873">
        <v>1974</v>
      </c>
      <c r="G2873" s="1" t="s">
        <v>536</v>
      </c>
      <c r="H2873" s="1" t="s">
        <v>640</v>
      </c>
      <c r="I2873">
        <v>0</v>
      </c>
      <c r="J2873">
        <v>38280.254300000001</v>
      </c>
      <c r="K2873">
        <v>-5.8999999999999999E-3</v>
      </c>
      <c r="L2873">
        <v>3.14E-3</v>
      </c>
      <c r="M2873">
        <v>4.6100000000000002E-2</v>
      </c>
      <c r="N2873">
        <v>0.15</v>
      </c>
      <c r="O2873">
        <v>3.7000000000000002E-3</v>
      </c>
      <c r="P2873" s="3">
        <f t="shared" si="176"/>
        <v>2612.3069416351696</v>
      </c>
      <c r="Q2873" s="3">
        <f t="shared" si="177"/>
        <v>-5.9029009753430728E-3</v>
      </c>
      <c r="R2873" s="3">
        <f t="shared" si="178"/>
        <v>3.14E-3</v>
      </c>
      <c r="S2873">
        <f t="shared" si="179"/>
        <v>67</v>
      </c>
      <c r="T2873">
        <f>INDEX([1]IDEN_level_ids!$B:$B,MATCH(G2873,[1]IDEN_level_ids!$A:$A,0),1)</f>
        <v>1021</v>
      </c>
      <c r="U2873">
        <f>INDEX([1]IDEN_level_ids!$B:$B,MATCH(H2873,[1]IDEN_level_ids!$A:$A,0),1)</f>
        <v>843</v>
      </c>
    </row>
    <row r="2874" spans="1:21" hidden="1" x14ac:dyDescent="0.25">
      <c r="A2874">
        <v>38253.241800000003</v>
      </c>
      <c r="B2874">
        <v>2614.1574999999998</v>
      </c>
      <c r="C2874">
        <v>17</v>
      </c>
      <c r="D2874" t="s">
        <v>673</v>
      </c>
      <c r="F2874">
        <v>1974</v>
      </c>
      <c r="G2874" s="1" t="s">
        <v>475</v>
      </c>
      <c r="H2874" s="1" t="s">
        <v>668</v>
      </c>
      <c r="I2874">
        <v>-0.18990000000000001</v>
      </c>
      <c r="J2874">
        <v>38253.193099999997</v>
      </c>
      <c r="K2874">
        <v>-3.3300000000000001E-3</v>
      </c>
      <c r="L2874">
        <v>3.15E-3</v>
      </c>
      <c r="M2874">
        <v>4.6100000000000002E-2</v>
      </c>
      <c r="N2874">
        <v>0.38640000000000002</v>
      </c>
      <c r="O2874">
        <v>5.13E-3</v>
      </c>
      <c r="P2874" s="3">
        <f t="shared" si="176"/>
        <v>2614.1575274281718</v>
      </c>
      <c r="Q2874" s="3">
        <f t="shared" si="177"/>
        <v>-3.3280743718933081E-3</v>
      </c>
      <c r="R2874" s="3">
        <f t="shared" si="178"/>
        <v>3.15E-3</v>
      </c>
      <c r="S2874">
        <f t="shared" si="179"/>
        <v>67</v>
      </c>
      <c r="T2874">
        <f>INDEX([1]IDEN_level_ids!$B:$B,MATCH(G2874,[1]IDEN_level_ids!$A:$A,0),1)</f>
        <v>1030</v>
      </c>
      <c r="U2874">
        <f>INDEX([1]IDEN_level_ids!$B:$B,MATCH(H2874,[1]IDEN_level_ids!$A:$A,0),1)</f>
        <v>845</v>
      </c>
    </row>
    <row r="2875" spans="1:21" hidden="1" x14ac:dyDescent="0.25">
      <c r="A2875">
        <v>38249.018700000001</v>
      </c>
      <c r="B2875">
        <v>2614.4461999999999</v>
      </c>
      <c r="C2875">
        <v>17</v>
      </c>
      <c r="D2875" t="s">
        <v>673</v>
      </c>
      <c r="E2875" t="s">
        <v>427</v>
      </c>
      <c r="F2875">
        <v>1974</v>
      </c>
      <c r="G2875" s="1" t="s">
        <v>431</v>
      </c>
      <c r="H2875" s="1" t="s">
        <v>637</v>
      </c>
      <c r="I2875">
        <v>-0.28649999999999998</v>
      </c>
      <c r="J2875">
        <v>38249.009599999998</v>
      </c>
      <c r="K2875">
        <v>-6.3000000000000003E-4</v>
      </c>
      <c r="L2875">
        <v>3.3300000000000001E-3</v>
      </c>
      <c r="M2875">
        <v>4.87E-2</v>
      </c>
      <c r="N2875">
        <v>0.1356</v>
      </c>
      <c r="O2875">
        <v>3.8500000000000001E-3</v>
      </c>
      <c r="P2875" s="3">
        <f t="shared" si="176"/>
        <v>2614.4461583271936</v>
      </c>
      <c r="Q2875" s="3">
        <f t="shared" si="177"/>
        <v>-6.2201506125347805E-4</v>
      </c>
      <c r="R2875" s="3">
        <f t="shared" si="178"/>
        <v>3.3300000000000001E-3</v>
      </c>
      <c r="S2875">
        <f t="shared" si="179"/>
        <v>67</v>
      </c>
      <c r="T2875">
        <f>INDEX([1]IDEN_level_ids!$B:$B,MATCH(G2875,[1]IDEN_level_ids!$A:$A,0),1)</f>
        <v>1062</v>
      </c>
      <c r="U2875">
        <f>INDEX([1]IDEN_level_ids!$B:$B,MATCH(H2875,[1]IDEN_level_ids!$A:$A,0),1)</f>
        <v>882</v>
      </c>
    </row>
    <row r="2876" spans="1:21" hidden="1" x14ac:dyDescent="0.25">
      <c r="A2876">
        <v>38244.670100000003</v>
      </c>
      <c r="B2876">
        <v>2614.7433999999998</v>
      </c>
      <c r="C2876">
        <v>17</v>
      </c>
      <c r="D2876" t="s">
        <v>673</v>
      </c>
      <c r="E2876" t="s">
        <v>427</v>
      </c>
      <c r="F2876">
        <v>1974</v>
      </c>
      <c r="G2876" s="1" t="s">
        <v>576</v>
      </c>
      <c r="H2876" s="1" t="s">
        <v>635</v>
      </c>
      <c r="I2876">
        <v>-0.13669999999999999</v>
      </c>
      <c r="J2876">
        <v>38244.648300000001</v>
      </c>
      <c r="K2876">
        <v>-1.49E-3</v>
      </c>
      <c r="L2876">
        <v>3.3300000000000001E-3</v>
      </c>
      <c r="M2876">
        <v>4.87E-2</v>
      </c>
      <c r="N2876">
        <v>0.19070000000000001</v>
      </c>
      <c r="O2876">
        <v>4.1200000000000004E-3</v>
      </c>
      <c r="P2876" s="3">
        <f t="shared" si="176"/>
        <v>2614.7434332294056</v>
      </c>
      <c r="Q2876" s="3">
        <f t="shared" si="177"/>
        <v>-1.4904413919794024E-3</v>
      </c>
      <c r="R2876" s="3">
        <f t="shared" si="178"/>
        <v>3.3300000000000001E-3</v>
      </c>
      <c r="S2876">
        <f t="shared" si="179"/>
        <v>67</v>
      </c>
      <c r="T2876">
        <f>INDEX([1]IDEN_level_ids!$B:$B,MATCH(G2876,[1]IDEN_level_ids!$A:$A,0),1)</f>
        <v>1024</v>
      </c>
      <c r="U2876">
        <f>INDEX([1]IDEN_level_ids!$B:$B,MATCH(H2876,[1]IDEN_level_ids!$A:$A,0),1)</f>
        <v>840</v>
      </c>
    </row>
    <row r="2877" spans="1:21" hidden="1" x14ac:dyDescent="0.25">
      <c r="A2877">
        <v>38236.141000000003</v>
      </c>
      <c r="B2877">
        <v>2615.3267000000001</v>
      </c>
      <c r="C2877">
        <v>17</v>
      </c>
      <c r="D2877" t="s">
        <v>673</v>
      </c>
      <c r="E2877" t="s">
        <v>427</v>
      </c>
      <c r="F2877">
        <v>1974</v>
      </c>
      <c r="G2877" s="1" t="s">
        <v>85</v>
      </c>
      <c r="H2877" s="1" t="s">
        <v>466</v>
      </c>
      <c r="I2877">
        <v>0.3876</v>
      </c>
      <c r="J2877">
        <v>38236.1489</v>
      </c>
      <c r="K2877">
        <v>5.4000000000000001E-4</v>
      </c>
      <c r="L2877">
        <v>3.3300000000000001E-3</v>
      </c>
      <c r="M2877">
        <v>4.87E-2</v>
      </c>
      <c r="N2877">
        <v>0.21</v>
      </c>
      <c r="O2877">
        <v>4.2199999999999998E-3</v>
      </c>
      <c r="P2877" s="3">
        <f t="shared" si="176"/>
        <v>2615.3266879102675</v>
      </c>
      <c r="Q2877" s="3">
        <f t="shared" si="177"/>
        <v>5.4035464927437715E-4</v>
      </c>
      <c r="R2877" s="3">
        <f t="shared" si="178"/>
        <v>3.3300000000000001E-3</v>
      </c>
      <c r="S2877">
        <f t="shared" si="179"/>
        <v>67</v>
      </c>
      <c r="T2877">
        <f>INDEX([1]IDEN_level_ids!$B:$B,MATCH(G2877,[1]IDEN_level_ids!$A:$A,0),1)</f>
        <v>1168</v>
      </c>
      <c r="U2877">
        <f>INDEX([1]IDEN_level_ids!$B:$B,MATCH(H2877,[1]IDEN_level_ids!$A:$A,0),1)</f>
        <v>1061</v>
      </c>
    </row>
    <row r="2878" spans="1:21" hidden="1" x14ac:dyDescent="0.25">
      <c r="A2878">
        <v>38220.2215</v>
      </c>
      <c r="B2878">
        <v>2616.4160000000002</v>
      </c>
      <c r="C2878">
        <v>17</v>
      </c>
      <c r="D2878" t="s">
        <v>673</v>
      </c>
      <c r="E2878" t="s">
        <v>427</v>
      </c>
      <c r="F2878">
        <v>1974</v>
      </c>
      <c r="G2878" s="1" t="s">
        <v>466</v>
      </c>
      <c r="H2878" s="1" t="s">
        <v>648</v>
      </c>
      <c r="I2878">
        <v>-0.3876</v>
      </c>
      <c r="J2878">
        <v>38220.182399999998</v>
      </c>
      <c r="K2878">
        <v>-2.6800000000000001E-3</v>
      </c>
      <c r="L2878">
        <v>3.3400000000000001E-3</v>
      </c>
      <c r="M2878">
        <v>4.87E-2</v>
      </c>
      <c r="N2878">
        <v>0.1149</v>
      </c>
      <c r="O2878">
        <v>3.7699999999999999E-3</v>
      </c>
      <c r="P2878" s="3">
        <f t="shared" si="176"/>
        <v>2616.4160246951997</v>
      </c>
      <c r="Q2878" s="3">
        <f t="shared" si="177"/>
        <v>-2.6766451687763038E-3</v>
      </c>
      <c r="R2878" s="3">
        <f t="shared" si="178"/>
        <v>3.3400000000000001E-3</v>
      </c>
      <c r="S2878">
        <f t="shared" si="179"/>
        <v>67</v>
      </c>
      <c r="T2878">
        <f>INDEX([1]IDEN_level_ids!$B:$B,MATCH(G2878,[1]IDEN_level_ids!$A:$A,0),1)</f>
        <v>1061</v>
      </c>
      <c r="U2878">
        <f>INDEX([1]IDEN_level_ids!$B:$B,MATCH(H2878,[1]IDEN_level_ids!$A:$A,0),1)</f>
        <v>883</v>
      </c>
    </row>
    <row r="2879" spans="1:21" hidden="1" x14ac:dyDescent="0.25">
      <c r="A2879">
        <v>38214.208599999998</v>
      </c>
      <c r="B2879">
        <v>2616.8276999999998</v>
      </c>
      <c r="C2879">
        <v>17</v>
      </c>
      <c r="D2879" t="s">
        <v>673</v>
      </c>
      <c r="F2879">
        <v>1974</v>
      </c>
      <c r="G2879" s="1" t="s">
        <v>557</v>
      </c>
      <c r="H2879" s="1" t="s">
        <v>624</v>
      </c>
      <c r="I2879">
        <v>0</v>
      </c>
      <c r="J2879">
        <v>38214.124499999998</v>
      </c>
      <c r="K2879">
        <v>-5.7600000000000004E-3</v>
      </c>
      <c r="L2879">
        <v>3.15E-3</v>
      </c>
      <c r="M2879">
        <v>4.6100000000000002E-2</v>
      </c>
      <c r="N2879">
        <v>0.1769</v>
      </c>
      <c r="O2879">
        <v>3.8300000000000001E-3</v>
      </c>
      <c r="P2879" s="3">
        <f t="shared" si="176"/>
        <v>2616.8277105181241</v>
      </c>
      <c r="Q2879" s="3">
        <f t="shared" si="177"/>
        <v>-5.7590017649999936E-3</v>
      </c>
      <c r="R2879" s="3">
        <f t="shared" si="178"/>
        <v>3.15E-3</v>
      </c>
      <c r="S2879">
        <f t="shared" si="179"/>
        <v>67</v>
      </c>
      <c r="T2879">
        <f>INDEX([1]IDEN_level_ids!$B:$B,MATCH(G2879,[1]IDEN_level_ids!$A:$A,0),1)</f>
        <v>1069</v>
      </c>
      <c r="U2879">
        <f>INDEX([1]IDEN_level_ids!$B:$B,MATCH(H2879,[1]IDEN_level_ids!$A:$A,0),1)</f>
        <v>887</v>
      </c>
    </row>
    <row r="2880" spans="1:21" hidden="1" x14ac:dyDescent="0.25">
      <c r="A2880">
        <v>38211.988599999997</v>
      </c>
      <c r="B2880">
        <v>2616.9796999999999</v>
      </c>
      <c r="C2880">
        <v>17</v>
      </c>
      <c r="D2880" t="s">
        <v>673</v>
      </c>
      <c r="F2880">
        <v>1974</v>
      </c>
      <c r="G2880" s="1" t="s">
        <v>293</v>
      </c>
      <c r="H2880" s="1" t="s">
        <v>577</v>
      </c>
      <c r="I2880">
        <v>3.2599999999999997E-2</v>
      </c>
      <c r="J2880">
        <v>38211.937100000003</v>
      </c>
      <c r="K2880">
        <v>-3.5300000000000002E-3</v>
      </c>
      <c r="L2880">
        <v>3.15E-3</v>
      </c>
      <c r="M2880">
        <v>4.6100000000000002E-2</v>
      </c>
      <c r="N2880">
        <v>0.13639999999999999</v>
      </c>
      <c r="O2880">
        <v>3.65E-3</v>
      </c>
      <c r="P2880" s="3">
        <f t="shared" si="176"/>
        <v>2616.9797402273907</v>
      </c>
      <c r="Q2880" s="3">
        <f t="shared" si="177"/>
        <v>-3.5270249777568097E-3</v>
      </c>
      <c r="R2880" s="3">
        <f t="shared" si="178"/>
        <v>3.15E-3</v>
      </c>
      <c r="S2880">
        <f t="shared" si="179"/>
        <v>67</v>
      </c>
      <c r="T2880">
        <f>INDEX([1]IDEN_level_ids!$B:$B,MATCH(G2880,[1]IDEN_level_ids!$A:$A,0),1)</f>
        <v>1121</v>
      </c>
      <c r="U2880">
        <f>INDEX([1]IDEN_level_ids!$B:$B,MATCH(H2880,[1]IDEN_level_ids!$A:$A,0),1)</f>
        <v>985</v>
      </c>
    </row>
    <row r="2881" spans="1:21" hidden="1" x14ac:dyDescent="0.25">
      <c r="A2881">
        <v>38201.720300000001</v>
      </c>
      <c r="B2881">
        <v>2617.6831999999999</v>
      </c>
      <c r="C2881">
        <v>17</v>
      </c>
      <c r="D2881" t="s">
        <v>673</v>
      </c>
      <c r="F2881">
        <v>1974</v>
      </c>
      <c r="G2881" s="1" t="s">
        <v>419</v>
      </c>
      <c r="H2881" s="1" t="s">
        <v>356</v>
      </c>
      <c r="I2881">
        <v>-0.2853</v>
      </c>
      <c r="J2881">
        <v>38201.696300000003</v>
      </c>
      <c r="K2881">
        <v>-1.64E-3</v>
      </c>
      <c r="L2881">
        <v>3.16E-3</v>
      </c>
      <c r="M2881">
        <v>4.6100000000000002E-2</v>
      </c>
      <c r="N2881">
        <v>0.96689999999999998</v>
      </c>
      <c r="O2881">
        <v>9.5269999999999994E-2</v>
      </c>
      <c r="P2881" s="3">
        <f t="shared" si="176"/>
        <v>2617.683162294657</v>
      </c>
      <c r="Q2881" s="3">
        <f t="shared" si="177"/>
        <v>-1.6445446663055918E-3</v>
      </c>
      <c r="R2881" s="3">
        <f t="shared" si="178"/>
        <v>3.16E-3</v>
      </c>
      <c r="S2881">
        <f t="shared" si="179"/>
        <v>67</v>
      </c>
      <c r="T2881">
        <f>INDEX([1]IDEN_level_ids!$B:$B,MATCH(G2881,[1]IDEN_level_ids!$A:$A,0),1)</f>
        <v>1068</v>
      </c>
      <c r="U2881">
        <f>INDEX([1]IDEN_level_ids!$B:$B,MATCH(H2881,[1]IDEN_level_ids!$A:$A,0),1)</f>
        <v>885</v>
      </c>
    </row>
    <row r="2882" spans="1:21" hidden="1" x14ac:dyDescent="0.25">
      <c r="A2882">
        <v>38193.069000000003</v>
      </c>
      <c r="B2882">
        <v>2618.2761</v>
      </c>
      <c r="C2882">
        <v>17</v>
      </c>
      <c r="D2882" t="s">
        <v>673</v>
      </c>
      <c r="F2882">
        <v>1974</v>
      </c>
      <c r="G2882" s="1" t="s">
        <v>309</v>
      </c>
      <c r="H2882" s="1" t="s">
        <v>647</v>
      </c>
      <c r="I2882">
        <v>0</v>
      </c>
      <c r="J2882">
        <v>38193.020900000003</v>
      </c>
      <c r="K2882">
        <v>-3.3E-3</v>
      </c>
      <c r="L2882">
        <v>3.16E-3</v>
      </c>
      <c r="M2882">
        <v>4.6100000000000002E-2</v>
      </c>
      <c r="N2882">
        <v>0.3589</v>
      </c>
      <c r="O2882">
        <v>4.9300000000000004E-3</v>
      </c>
      <c r="P2882" s="3">
        <f t="shared" ref="P2882:P2945" si="180">100000000/$A2882</f>
        <v>2618.2761065888681</v>
      </c>
      <c r="Q2882" s="3">
        <f t="shared" ref="Q2882:Q2945" si="181">100000000/($A2882)-100000000/$J2882</f>
        <v>-3.2974370124065899E-3</v>
      </c>
      <c r="R2882" s="3">
        <f t="shared" si="178"/>
        <v>3.16E-3</v>
      </c>
      <c r="S2882">
        <f t="shared" si="179"/>
        <v>67</v>
      </c>
      <c r="T2882">
        <f>INDEX([1]IDEN_level_ids!$B:$B,MATCH(G2882,[1]IDEN_level_ids!$A:$A,0),1)</f>
        <v>1094</v>
      </c>
      <c r="U2882">
        <f>INDEX([1]IDEN_level_ids!$B:$B,MATCH(H2882,[1]IDEN_level_ids!$A:$A,0),1)</f>
        <v>929</v>
      </c>
    </row>
    <row r="2883" spans="1:21" hidden="1" x14ac:dyDescent="0.25">
      <c r="A2883">
        <v>38189.4908</v>
      </c>
      <c r="B2883">
        <v>2618.5214000000001</v>
      </c>
      <c r="C2883">
        <v>17</v>
      </c>
      <c r="D2883" t="s">
        <v>673</v>
      </c>
      <c r="F2883">
        <v>1974</v>
      </c>
      <c r="G2883" s="1" t="s">
        <v>398</v>
      </c>
      <c r="H2883" s="1" t="s">
        <v>639</v>
      </c>
      <c r="I2883">
        <v>-0.31929999999999997</v>
      </c>
      <c r="J2883">
        <v>38189.520799999998</v>
      </c>
      <c r="K2883">
        <v>2.0500000000000002E-3</v>
      </c>
      <c r="L2883">
        <v>3.16E-3</v>
      </c>
      <c r="M2883">
        <v>4.6100000000000002E-2</v>
      </c>
      <c r="N2883">
        <v>0.1149</v>
      </c>
      <c r="O2883">
        <v>3.5699999999999998E-3</v>
      </c>
      <c r="P2883" s="3">
        <f t="shared" si="180"/>
        <v>2618.5214284134945</v>
      </c>
      <c r="Q2883" s="3">
        <f t="shared" si="181"/>
        <v>2.0569947255353327E-3</v>
      </c>
      <c r="R2883" s="3">
        <f t="shared" ref="R2883:R2946" si="182">$L2883</f>
        <v>3.16E-3</v>
      </c>
      <c r="S2883">
        <f t="shared" si="179"/>
        <v>67</v>
      </c>
      <c r="T2883">
        <f>INDEX([1]IDEN_level_ids!$B:$B,MATCH(G2883,[1]IDEN_level_ids!$A:$A,0),1)</f>
        <v>1075</v>
      </c>
      <c r="U2883">
        <f>INDEX([1]IDEN_level_ids!$B:$B,MATCH(H2883,[1]IDEN_level_ids!$A:$A,0),1)</f>
        <v>893</v>
      </c>
    </row>
    <row r="2884" spans="1:21" hidden="1" x14ac:dyDescent="0.25">
      <c r="A2884">
        <v>38183.611499999999</v>
      </c>
      <c r="B2884">
        <v>2618.9245999999998</v>
      </c>
      <c r="C2884">
        <v>17</v>
      </c>
      <c r="D2884" t="s">
        <v>673</v>
      </c>
      <c r="F2884">
        <v>1974</v>
      </c>
      <c r="G2884" s="1" t="s">
        <v>216</v>
      </c>
      <c r="H2884" s="1" t="s">
        <v>448</v>
      </c>
      <c r="I2884">
        <v>0.29559999999999997</v>
      </c>
      <c r="J2884">
        <v>38183.5749</v>
      </c>
      <c r="K2884">
        <v>-2.5100000000000001E-3</v>
      </c>
      <c r="L2884">
        <v>3.16E-3</v>
      </c>
      <c r="M2884">
        <v>4.6100000000000002E-2</v>
      </c>
      <c r="N2884">
        <v>8.6599999999999996E-2</v>
      </c>
      <c r="O2884">
        <v>3.46E-3</v>
      </c>
      <c r="P2884" s="3">
        <f t="shared" si="180"/>
        <v>2618.9246137704918</v>
      </c>
      <c r="Q2884" s="3">
        <f t="shared" si="181"/>
        <v>-2.5103108105213323E-3</v>
      </c>
      <c r="R2884" s="3">
        <f t="shared" si="182"/>
        <v>3.16E-3</v>
      </c>
      <c r="S2884">
        <f t="shared" ref="S2884:S2947" si="183">IF(D2884=D2883,S2883,S2883+1)</f>
        <v>67</v>
      </c>
      <c r="T2884">
        <f>INDEX([1]IDEN_level_ids!$B:$B,MATCH(G2884,[1]IDEN_level_ids!$A:$A,0),1)</f>
        <v>1170</v>
      </c>
      <c r="U2884">
        <f>INDEX([1]IDEN_level_ids!$B:$B,MATCH(H2884,[1]IDEN_level_ids!$A:$A,0),1)</f>
        <v>1067</v>
      </c>
    </row>
    <row r="2885" spans="1:21" hidden="1" x14ac:dyDescent="0.25">
      <c r="A2885">
        <v>38172.709799999997</v>
      </c>
      <c r="B2885">
        <v>2619.6725999999999</v>
      </c>
      <c r="C2885">
        <v>17</v>
      </c>
      <c r="D2885" t="s">
        <v>673</v>
      </c>
      <c r="F2885">
        <v>1974</v>
      </c>
      <c r="G2885" s="1" t="s">
        <v>475</v>
      </c>
      <c r="H2885" s="1" t="s">
        <v>653</v>
      </c>
      <c r="I2885">
        <v>-0.18990000000000001</v>
      </c>
      <c r="J2885">
        <v>38172.655899999998</v>
      </c>
      <c r="K2885">
        <v>-3.7000000000000002E-3</v>
      </c>
      <c r="L2885">
        <v>3.16E-3</v>
      </c>
      <c r="M2885">
        <v>4.6100000000000002E-2</v>
      </c>
      <c r="N2885">
        <v>0.2979</v>
      </c>
      <c r="O2885">
        <v>4.4999999999999997E-3</v>
      </c>
      <c r="P2885" s="3">
        <f t="shared" si="180"/>
        <v>2619.6725494190619</v>
      </c>
      <c r="Q2885" s="3">
        <f t="shared" si="181"/>
        <v>-3.6989920422456635E-3</v>
      </c>
      <c r="R2885" s="3">
        <f t="shared" si="182"/>
        <v>3.16E-3</v>
      </c>
      <c r="S2885">
        <f t="shared" si="183"/>
        <v>67</v>
      </c>
      <c r="T2885">
        <f>INDEX([1]IDEN_level_ids!$B:$B,MATCH(G2885,[1]IDEN_level_ids!$A:$A,0),1)</f>
        <v>1030</v>
      </c>
      <c r="U2885">
        <f>INDEX([1]IDEN_level_ids!$B:$B,MATCH(H2885,[1]IDEN_level_ids!$A:$A,0),1)</f>
        <v>846</v>
      </c>
    </row>
    <row r="2886" spans="1:21" hidden="1" x14ac:dyDescent="0.25">
      <c r="A2886">
        <v>38168.76</v>
      </c>
      <c r="B2886">
        <v>2619.9436000000001</v>
      </c>
      <c r="C2886">
        <v>17</v>
      </c>
      <c r="D2886" t="s">
        <v>673</v>
      </c>
      <c r="F2886">
        <v>1974</v>
      </c>
      <c r="G2886" s="1" t="s">
        <v>477</v>
      </c>
      <c r="H2886" s="1" t="s">
        <v>636</v>
      </c>
      <c r="I2886">
        <v>-0.32490000000000002</v>
      </c>
      <c r="J2886">
        <v>38168.6852</v>
      </c>
      <c r="K2886">
        <v>-5.13E-3</v>
      </c>
      <c r="L2886">
        <v>3.16E-3</v>
      </c>
      <c r="M2886">
        <v>4.6100000000000002E-2</v>
      </c>
      <c r="N2886">
        <v>0.2155</v>
      </c>
      <c r="O2886">
        <v>4.0299999999999997E-3</v>
      </c>
      <c r="P2886" s="3">
        <f t="shared" si="180"/>
        <v>2619.9436397724212</v>
      </c>
      <c r="Q2886" s="3">
        <f t="shared" si="181"/>
        <v>-5.1343603590794373E-3</v>
      </c>
      <c r="R2886" s="3">
        <f t="shared" si="182"/>
        <v>3.16E-3</v>
      </c>
      <c r="S2886">
        <f t="shared" si="183"/>
        <v>67</v>
      </c>
      <c r="T2886">
        <f>INDEX([1]IDEN_level_ids!$B:$B,MATCH(G2886,[1]IDEN_level_ids!$A:$A,0),1)</f>
        <v>1045</v>
      </c>
      <c r="U2886">
        <f>INDEX([1]IDEN_level_ids!$B:$B,MATCH(H2886,[1]IDEN_level_ids!$A:$A,0),1)</f>
        <v>868</v>
      </c>
    </row>
    <row r="2887" spans="1:21" hidden="1" x14ac:dyDescent="0.25">
      <c r="A2887">
        <v>38164.609100000001</v>
      </c>
      <c r="B2887">
        <v>2620.2285999999999</v>
      </c>
      <c r="C2887">
        <v>17</v>
      </c>
      <c r="D2887" t="s">
        <v>673</v>
      </c>
      <c r="E2887" t="s">
        <v>638</v>
      </c>
      <c r="F2887">
        <v>1974</v>
      </c>
      <c r="G2887" s="1" t="s">
        <v>301</v>
      </c>
      <c r="H2887" s="1" t="s">
        <v>437</v>
      </c>
      <c r="I2887">
        <v>-0.14119999999999999</v>
      </c>
      <c r="J2887">
        <v>38164.665999999997</v>
      </c>
      <c r="K2887">
        <v>3.8999999999999998E-3</v>
      </c>
      <c r="L2887">
        <v>1.187E-2</v>
      </c>
      <c r="M2887">
        <v>0.17280000000000001</v>
      </c>
      <c r="N2887">
        <v>5.2400000000000002E-2</v>
      </c>
      <c r="O2887">
        <v>1.252E-2</v>
      </c>
      <c r="P2887" s="3">
        <f t="shared" si="180"/>
        <v>2620.228592882404</v>
      </c>
      <c r="Q2887" s="3">
        <f t="shared" si="181"/>
        <v>3.9065193682290555E-3</v>
      </c>
      <c r="R2887" s="3">
        <f t="shared" si="182"/>
        <v>1.187E-2</v>
      </c>
      <c r="S2887">
        <f t="shared" si="183"/>
        <v>67</v>
      </c>
      <c r="T2887">
        <f>INDEX([1]IDEN_level_ids!$B:$B,MATCH(G2887,[1]IDEN_level_ids!$A:$A,0),1)</f>
        <v>1154</v>
      </c>
      <c r="U2887">
        <f>INDEX([1]IDEN_level_ids!$B:$B,MATCH(H2887,[1]IDEN_level_ids!$A:$A,0),1)</f>
        <v>1039</v>
      </c>
    </row>
    <row r="2888" spans="1:21" hidden="1" x14ac:dyDescent="0.25">
      <c r="A2888">
        <v>38160.831400000003</v>
      </c>
      <c r="B2888">
        <v>2620.4879999999998</v>
      </c>
      <c r="C2888">
        <v>17</v>
      </c>
      <c r="D2888" t="s">
        <v>673</v>
      </c>
      <c r="F2888">
        <v>1974</v>
      </c>
      <c r="G2888" s="1" t="s">
        <v>461</v>
      </c>
      <c r="H2888" s="1" t="s">
        <v>620</v>
      </c>
      <c r="I2888">
        <v>-0.24510000000000001</v>
      </c>
      <c r="J2888">
        <v>38160.791299999997</v>
      </c>
      <c r="K2888">
        <v>-2.7499999999999998E-3</v>
      </c>
      <c r="L2888">
        <v>3.16E-3</v>
      </c>
      <c r="M2888">
        <v>4.6100000000000002E-2</v>
      </c>
      <c r="N2888">
        <v>0.21110000000000001</v>
      </c>
      <c r="O2888">
        <v>4.0099999999999997E-3</v>
      </c>
      <c r="P2888" s="3">
        <f t="shared" si="180"/>
        <v>2620.487980248774</v>
      </c>
      <c r="Q2888" s="3">
        <f t="shared" si="181"/>
        <v>-2.753652753199276E-3</v>
      </c>
      <c r="R2888" s="3">
        <f t="shared" si="182"/>
        <v>3.16E-3</v>
      </c>
      <c r="S2888">
        <f t="shared" si="183"/>
        <v>67</v>
      </c>
      <c r="T2888">
        <f>INDEX([1]IDEN_level_ids!$B:$B,MATCH(G2888,[1]IDEN_level_ids!$A:$A,0),1)</f>
        <v>1017</v>
      </c>
      <c r="U2888">
        <f>INDEX([1]IDEN_level_ids!$B:$B,MATCH(H2888,[1]IDEN_level_ids!$A:$A,0),1)</f>
        <v>839</v>
      </c>
    </row>
    <row r="2889" spans="1:21" hidden="1" x14ac:dyDescent="0.25">
      <c r="A2889">
        <v>38157.3511</v>
      </c>
      <c r="B2889">
        <v>2620.7269999999999</v>
      </c>
      <c r="C2889">
        <v>17</v>
      </c>
      <c r="D2889" t="s">
        <v>673</v>
      </c>
      <c r="F2889">
        <v>1974</v>
      </c>
      <c r="G2889" s="1" t="s">
        <v>117</v>
      </c>
      <c r="H2889" s="1" t="s">
        <v>416</v>
      </c>
      <c r="I2889">
        <v>0.26750000000000002</v>
      </c>
      <c r="J2889">
        <v>38157.355799999998</v>
      </c>
      <c r="K2889">
        <v>3.2000000000000003E-4</v>
      </c>
      <c r="L2889">
        <v>3.16E-3</v>
      </c>
      <c r="M2889">
        <v>4.6100000000000002E-2</v>
      </c>
      <c r="N2889">
        <v>9.0999999999999998E-2</v>
      </c>
      <c r="O2889">
        <v>3.48E-3</v>
      </c>
      <c r="P2889" s="3">
        <f t="shared" si="180"/>
        <v>2620.7269927602497</v>
      </c>
      <c r="Q2889" s="3">
        <f t="shared" si="181"/>
        <v>3.2280582900057198E-4</v>
      </c>
      <c r="R2889" s="3">
        <f t="shared" si="182"/>
        <v>3.16E-3</v>
      </c>
      <c r="S2889">
        <f t="shared" si="183"/>
        <v>67</v>
      </c>
      <c r="T2889">
        <f>INDEX([1]IDEN_level_ids!$B:$B,MATCH(G2889,[1]IDEN_level_ids!$A:$A,0),1)</f>
        <v>1162</v>
      </c>
      <c r="U2889">
        <f>INDEX([1]IDEN_level_ids!$B:$B,MATCH(H2889,[1]IDEN_level_ids!$A:$A,0),1)</f>
        <v>1055</v>
      </c>
    </row>
    <row r="2890" spans="1:21" hidden="1" x14ac:dyDescent="0.25">
      <c r="A2890">
        <v>38152.371099999997</v>
      </c>
      <c r="B2890">
        <v>2621.0691000000002</v>
      </c>
      <c r="C2890">
        <v>17</v>
      </c>
      <c r="D2890" t="s">
        <v>673</v>
      </c>
      <c r="E2890" t="s">
        <v>427</v>
      </c>
      <c r="F2890">
        <v>1974</v>
      </c>
      <c r="G2890" s="1" t="s">
        <v>464</v>
      </c>
      <c r="H2890" s="1" t="s">
        <v>645</v>
      </c>
      <c r="I2890">
        <v>0</v>
      </c>
      <c r="J2890">
        <v>38152.343699999998</v>
      </c>
      <c r="K2890">
        <v>-1.8799999999999999E-3</v>
      </c>
      <c r="L2890">
        <v>3.3500000000000001E-3</v>
      </c>
      <c r="M2890">
        <v>4.87E-2</v>
      </c>
      <c r="N2890">
        <v>0.13489999999999999</v>
      </c>
      <c r="O2890">
        <v>3.8700000000000002E-3</v>
      </c>
      <c r="P2890" s="3">
        <f t="shared" si="180"/>
        <v>2621.0690742625957</v>
      </c>
      <c r="Q2890" s="3">
        <f t="shared" si="181"/>
        <v>-1.8823821988007694E-3</v>
      </c>
      <c r="R2890" s="3">
        <f t="shared" si="182"/>
        <v>3.3500000000000001E-3</v>
      </c>
      <c r="S2890">
        <f t="shared" si="183"/>
        <v>67</v>
      </c>
      <c r="T2890">
        <f>INDEX([1]IDEN_level_ids!$B:$B,MATCH(G2890,[1]IDEN_level_ids!$A:$A,0),1)</f>
        <v>1076</v>
      </c>
      <c r="U2890">
        <f>INDEX([1]IDEN_level_ids!$B:$B,MATCH(H2890,[1]IDEN_level_ids!$A:$A,0),1)</f>
        <v>895</v>
      </c>
    </row>
    <row r="2891" spans="1:21" hidden="1" x14ac:dyDescent="0.25">
      <c r="A2891">
        <v>38139.360500000003</v>
      </c>
      <c r="B2891">
        <v>2621.9632000000001</v>
      </c>
      <c r="C2891">
        <v>17</v>
      </c>
      <c r="D2891" t="s">
        <v>673</v>
      </c>
      <c r="F2891">
        <v>1974</v>
      </c>
      <c r="G2891" s="1" t="s">
        <v>454</v>
      </c>
      <c r="H2891" s="1" t="s">
        <v>649</v>
      </c>
      <c r="I2891">
        <v>0</v>
      </c>
      <c r="J2891">
        <v>38139.3586</v>
      </c>
      <c r="K2891">
        <v>-1.2999999999999999E-4</v>
      </c>
      <c r="L2891">
        <v>3.1700000000000001E-3</v>
      </c>
      <c r="M2891">
        <v>4.6100000000000002E-2</v>
      </c>
      <c r="N2891">
        <v>0.53139999999999998</v>
      </c>
      <c r="O2891">
        <v>6.7600000000000004E-3</v>
      </c>
      <c r="P2891" s="3">
        <f t="shared" si="180"/>
        <v>2621.9632077994593</v>
      </c>
      <c r="Q2891" s="3">
        <f t="shared" si="181"/>
        <v>-1.306191370531451E-4</v>
      </c>
      <c r="R2891" s="3">
        <f t="shared" si="182"/>
        <v>3.1700000000000001E-3</v>
      </c>
      <c r="S2891">
        <f t="shared" si="183"/>
        <v>67</v>
      </c>
      <c r="T2891">
        <f>INDEX([1]IDEN_level_ids!$B:$B,MATCH(G2891,[1]IDEN_level_ids!$A:$A,0),1)</f>
        <v>1036</v>
      </c>
      <c r="U2891">
        <f>INDEX([1]IDEN_level_ids!$B:$B,MATCH(H2891,[1]IDEN_level_ids!$A:$A,0),1)</f>
        <v>858</v>
      </c>
    </row>
    <row r="2892" spans="1:21" hidden="1" x14ac:dyDescent="0.25">
      <c r="A2892">
        <v>38132.231200000002</v>
      </c>
      <c r="B2892">
        <v>2622.4533999999999</v>
      </c>
      <c r="C2892">
        <v>17</v>
      </c>
      <c r="D2892" t="s">
        <v>673</v>
      </c>
      <c r="F2892">
        <v>1974</v>
      </c>
      <c r="G2892" s="1" t="s">
        <v>141</v>
      </c>
      <c r="H2892" s="1" t="s">
        <v>445</v>
      </c>
      <c r="I2892">
        <v>0</v>
      </c>
      <c r="J2892">
        <v>38132.176200000002</v>
      </c>
      <c r="K2892">
        <v>-3.7799999999999999E-3</v>
      </c>
      <c r="L2892">
        <v>3.1700000000000001E-3</v>
      </c>
      <c r="M2892">
        <v>4.6100000000000002E-2</v>
      </c>
      <c r="N2892">
        <v>9.9400000000000002E-2</v>
      </c>
      <c r="O2892">
        <v>3.5200000000000001E-3</v>
      </c>
      <c r="P2892" s="3">
        <f t="shared" si="180"/>
        <v>2622.4534167830179</v>
      </c>
      <c r="Q2892" s="3">
        <f t="shared" si="181"/>
        <v>-3.782499513363291E-3</v>
      </c>
      <c r="R2892" s="3">
        <f t="shared" si="182"/>
        <v>3.1700000000000001E-3</v>
      </c>
      <c r="S2892">
        <f t="shared" si="183"/>
        <v>67</v>
      </c>
      <c r="T2892">
        <f>INDEX([1]IDEN_level_ids!$B:$B,MATCH(G2892,[1]IDEN_level_ids!$A:$A,0),1)</f>
        <v>1155</v>
      </c>
      <c r="U2892">
        <f>INDEX([1]IDEN_level_ids!$B:$B,MATCH(H2892,[1]IDEN_level_ids!$A:$A,0),1)</f>
        <v>1041</v>
      </c>
    </row>
    <row r="2893" spans="1:21" hidden="1" x14ac:dyDescent="0.25">
      <c r="A2893">
        <v>38127.461199999998</v>
      </c>
      <c r="B2893">
        <v>2622.7815000000001</v>
      </c>
      <c r="C2893">
        <v>17</v>
      </c>
      <c r="D2893" t="s">
        <v>673</v>
      </c>
      <c r="F2893">
        <v>1974</v>
      </c>
      <c r="G2893" s="1" t="s">
        <v>295</v>
      </c>
      <c r="H2893" s="1" t="s">
        <v>454</v>
      </c>
      <c r="I2893">
        <v>0</v>
      </c>
      <c r="J2893">
        <v>38127.461900000002</v>
      </c>
      <c r="K2893">
        <v>5.0000000000000002E-5</v>
      </c>
      <c r="L2893">
        <v>3.1700000000000001E-3</v>
      </c>
      <c r="M2893">
        <v>4.6100000000000002E-2</v>
      </c>
      <c r="N2893">
        <v>0.1002</v>
      </c>
      <c r="O2893">
        <v>3.5200000000000001E-3</v>
      </c>
      <c r="P2893" s="3">
        <f t="shared" si="180"/>
        <v>2622.781503217424</v>
      </c>
      <c r="Q2893" s="3">
        <f t="shared" si="181"/>
        <v>4.8152879116969416E-5</v>
      </c>
      <c r="R2893" s="3">
        <f t="shared" si="182"/>
        <v>3.1700000000000001E-3</v>
      </c>
      <c r="S2893">
        <f t="shared" si="183"/>
        <v>67</v>
      </c>
      <c r="T2893">
        <f>INDEX([1]IDEN_level_ids!$B:$B,MATCH(G2893,[1]IDEN_level_ids!$A:$A,0),1)</f>
        <v>1152</v>
      </c>
      <c r="U2893">
        <f>INDEX([1]IDEN_level_ids!$B:$B,MATCH(H2893,[1]IDEN_level_ids!$A:$A,0),1)</f>
        <v>1036</v>
      </c>
    </row>
    <row r="2894" spans="1:21" hidden="1" x14ac:dyDescent="0.25">
      <c r="A2894">
        <v>38120.938800000004</v>
      </c>
      <c r="B2894">
        <v>2623.2303000000002</v>
      </c>
      <c r="C2894">
        <v>17</v>
      </c>
      <c r="D2894" t="s">
        <v>673</v>
      </c>
      <c r="F2894">
        <v>1974</v>
      </c>
      <c r="G2894" s="1" t="s">
        <v>467</v>
      </c>
      <c r="H2894" s="1" t="s">
        <v>653</v>
      </c>
      <c r="I2894">
        <v>0</v>
      </c>
      <c r="J2894">
        <v>38120.903299999998</v>
      </c>
      <c r="K2894">
        <v>-2.4399999999999999E-3</v>
      </c>
      <c r="L2894">
        <v>3.1700000000000001E-3</v>
      </c>
      <c r="M2894">
        <v>4.6100000000000002E-2</v>
      </c>
      <c r="N2894">
        <v>0.29649999999999999</v>
      </c>
      <c r="O2894">
        <v>4.5100000000000001E-3</v>
      </c>
      <c r="P2894" s="3">
        <f t="shared" si="180"/>
        <v>2623.2302547596228</v>
      </c>
      <c r="Q2894" s="3">
        <f t="shared" si="181"/>
        <v>-2.4428768997495354E-3</v>
      </c>
      <c r="R2894" s="3">
        <f t="shared" si="182"/>
        <v>3.1700000000000001E-3</v>
      </c>
      <c r="S2894">
        <f t="shared" si="183"/>
        <v>67</v>
      </c>
      <c r="T2894">
        <f>INDEX([1]IDEN_level_ids!$B:$B,MATCH(G2894,[1]IDEN_level_ids!$A:$A,0),1)</f>
        <v>1025</v>
      </c>
      <c r="U2894">
        <f>INDEX([1]IDEN_level_ids!$B:$B,MATCH(H2894,[1]IDEN_level_ids!$A:$A,0),1)</f>
        <v>846</v>
      </c>
    </row>
    <row r="2895" spans="1:21" hidden="1" x14ac:dyDescent="0.25">
      <c r="A2895">
        <v>38116.779900000001</v>
      </c>
      <c r="B2895">
        <v>2623.5165000000002</v>
      </c>
      <c r="C2895">
        <v>17</v>
      </c>
      <c r="D2895" t="s">
        <v>673</v>
      </c>
      <c r="E2895" t="s">
        <v>427</v>
      </c>
      <c r="F2895">
        <v>1974</v>
      </c>
      <c r="G2895" s="1" t="s">
        <v>428</v>
      </c>
      <c r="H2895" s="1" t="s">
        <v>633</v>
      </c>
      <c r="I2895">
        <v>-0.39950000000000002</v>
      </c>
      <c r="J2895">
        <v>38116.751799999998</v>
      </c>
      <c r="K2895">
        <v>-1.9300000000000001E-3</v>
      </c>
      <c r="L2895">
        <v>3.3500000000000001E-3</v>
      </c>
      <c r="M2895">
        <v>4.87E-2</v>
      </c>
      <c r="N2895">
        <v>0.15859999999999999</v>
      </c>
      <c r="O2895">
        <v>3.9899999999999996E-3</v>
      </c>
      <c r="P2895" s="3">
        <f t="shared" si="180"/>
        <v>2623.5164739086472</v>
      </c>
      <c r="Q2895" s="3">
        <f t="shared" si="181"/>
        <v>-1.9340790977366851E-3</v>
      </c>
      <c r="R2895" s="3">
        <f t="shared" si="182"/>
        <v>3.3500000000000001E-3</v>
      </c>
      <c r="S2895">
        <f t="shared" si="183"/>
        <v>67</v>
      </c>
      <c r="T2895">
        <f>INDEX([1]IDEN_level_ids!$B:$B,MATCH(G2895,[1]IDEN_level_ids!$A:$A,0),1)</f>
        <v>1060</v>
      </c>
      <c r="U2895">
        <f>INDEX([1]IDEN_level_ids!$B:$B,MATCH(H2895,[1]IDEN_level_ids!$A:$A,0),1)</f>
        <v>878</v>
      </c>
    </row>
    <row r="2896" spans="1:21" hidden="1" x14ac:dyDescent="0.25">
      <c r="A2896">
        <v>38098.159399999997</v>
      </c>
      <c r="B2896">
        <v>2624.7986999999998</v>
      </c>
      <c r="C2896">
        <v>17</v>
      </c>
      <c r="D2896" t="s">
        <v>673</v>
      </c>
      <c r="F2896">
        <v>1974</v>
      </c>
      <c r="G2896" s="1" t="s">
        <v>476</v>
      </c>
      <c r="H2896" s="1" t="s">
        <v>674</v>
      </c>
      <c r="I2896">
        <v>0</v>
      </c>
      <c r="J2896">
        <v>38098.135999999999</v>
      </c>
      <c r="K2896">
        <v>-1.6100000000000001E-3</v>
      </c>
      <c r="L2896">
        <v>3.1700000000000001E-3</v>
      </c>
      <c r="M2896">
        <v>4.6100000000000002E-2</v>
      </c>
      <c r="N2896">
        <v>1</v>
      </c>
      <c r="P2896" s="3">
        <f t="shared" si="180"/>
        <v>2624.7987192788114</v>
      </c>
      <c r="Q2896" s="3">
        <f t="shared" si="181"/>
        <v>-1.6121599760481331E-3</v>
      </c>
      <c r="R2896" s="3">
        <f t="shared" si="182"/>
        <v>3.1700000000000001E-3</v>
      </c>
      <c r="S2896">
        <f t="shared" si="183"/>
        <v>67</v>
      </c>
      <c r="T2896">
        <f>INDEX([1]IDEN_level_ids!$B:$B,MATCH(G2896,[1]IDEN_level_ids!$A:$A,0),1)</f>
        <v>1037</v>
      </c>
      <c r="U2896">
        <f>INDEX([1]IDEN_level_ids!$B:$B,MATCH(H2896,[1]IDEN_level_ids!$A:$A,0),1)</f>
        <v>863</v>
      </c>
    </row>
    <row r="2897" spans="1:21" hidden="1" x14ac:dyDescent="0.25">
      <c r="A2897">
        <v>38089.330999999998</v>
      </c>
      <c r="B2897">
        <v>2625.4070999999999</v>
      </c>
      <c r="C2897">
        <v>17</v>
      </c>
      <c r="D2897" t="s">
        <v>673</v>
      </c>
      <c r="E2897" t="s">
        <v>427</v>
      </c>
      <c r="F2897">
        <v>1974</v>
      </c>
      <c r="G2897" s="1" t="s">
        <v>419</v>
      </c>
      <c r="H2897" s="1" t="s">
        <v>349</v>
      </c>
      <c r="I2897">
        <v>-0.2853</v>
      </c>
      <c r="J2897">
        <v>38089.294199999997</v>
      </c>
      <c r="K2897">
        <v>-2.5400000000000002E-3</v>
      </c>
      <c r="L2897">
        <v>3.3600000000000001E-3</v>
      </c>
      <c r="M2897">
        <v>4.87E-2</v>
      </c>
      <c r="N2897">
        <v>0.4088</v>
      </c>
      <c r="O2897">
        <v>5.6800000000000002E-3</v>
      </c>
      <c r="P2897" s="3">
        <f t="shared" si="180"/>
        <v>2625.4070989065153</v>
      </c>
      <c r="Q2897" s="3">
        <f t="shared" si="181"/>
        <v>-2.5365390270053467E-3</v>
      </c>
      <c r="R2897" s="3">
        <f t="shared" si="182"/>
        <v>3.3600000000000001E-3</v>
      </c>
      <c r="S2897">
        <f t="shared" si="183"/>
        <v>67</v>
      </c>
      <c r="T2897">
        <f>INDEX([1]IDEN_level_ids!$B:$B,MATCH(G2897,[1]IDEN_level_ids!$A:$A,0),1)</f>
        <v>1068</v>
      </c>
      <c r="U2897">
        <f>INDEX([1]IDEN_level_ids!$B:$B,MATCH(H2897,[1]IDEN_level_ids!$A:$A,0),1)</f>
        <v>886</v>
      </c>
    </row>
    <row r="2898" spans="1:21" hidden="1" x14ac:dyDescent="0.25">
      <c r="A2898">
        <v>38085.281600000002</v>
      </c>
      <c r="B2898">
        <v>2625.6862000000001</v>
      </c>
      <c r="C2898">
        <v>17</v>
      </c>
      <c r="D2898" t="s">
        <v>673</v>
      </c>
      <c r="E2898" t="s">
        <v>427</v>
      </c>
      <c r="F2898">
        <v>1974</v>
      </c>
      <c r="G2898" s="1" t="s">
        <v>81</v>
      </c>
      <c r="H2898" s="1" t="s">
        <v>386</v>
      </c>
      <c r="I2898">
        <v>0.22500000000000001</v>
      </c>
      <c r="J2898">
        <v>38085.233999999997</v>
      </c>
      <c r="K2898">
        <v>-3.2799999999999999E-3</v>
      </c>
      <c r="L2898">
        <v>3.3600000000000001E-3</v>
      </c>
      <c r="M2898">
        <v>4.87E-2</v>
      </c>
      <c r="N2898">
        <v>8.1799999999999998E-2</v>
      </c>
      <c r="O2898">
        <v>3.6600000000000001E-3</v>
      </c>
      <c r="P2898" s="3">
        <f t="shared" si="180"/>
        <v>2625.6862441053868</v>
      </c>
      <c r="Q2898" s="3">
        <f t="shared" si="181"/>
        <v>-3.2816567500049132E-3</v>
      </c>
      <c r="R2898" s="3">
        <f t="shared" si="182"/>
        <v>3.3600000000000001E-3</v>
      </c>
      <c r="S2898">
        <f t="shared" si="183"/>
        <v>67</v>
      </c>
      <c r="T2898">
        <f>INDEX([1]IDEN_level_ids!$B:$B,MATCH(G2898,[1]IDEN_level_ids!$A:$A,0),1)</f>
        <v>1196</v>
      </c>
      <c r="U2898">
        <f>INDEX([1]IDEN_level_ids!$B:$B,MATCH(H2898,[1]IDEN_level_ids!$A:$A,0),1)</f>
        <v>1082</v>
      </c>
    </row>
    <row r="2899" spans="1:21" hidden="1" x14ac:dyDescent="0.25">
      <c r="A2899">
        <v>38080.321199999998</v>
      </c>
      <c r="B2899">
        <v>2626.0282999999999</v>
      </c>
      <c r="C2899">
        <v>17</v>
      </c>
      <c r="D2899" t="s">
        <v>673</v>
      </c>
      <c r="F2899">
        <v>1974</v>
      </c>
      <c r="G2899" s="1" t="s">
        <v>398</v>
      </c>
      <c r="H2899" s="1" t="s">
        <v>642</v>
      </c>
      <c r="I2899">
        <v>-0.31929999999999997</v>
      </c>
      <c r="J2899">
        <v>38080.2961</v>
      </c>
      <c r="K2899">
        <v>-1.73E-3</v>
      </c>
      <c r="L2899">
        <v>3.1800000000000001E-3</v>
      </c>
      <c r="M2899">
        <v>4.6100000000000002E-2</v>
      </c>
      <c r="N2899">
        <v>0.1128</v>
      </c>
      <c r="O2899">
        <v>3.5799999999999998E-3</v>
      </c>
      <c r="P2899" s="3">
        <f t="shared" si="180"/>
        <v>2626.0282699506224</v>
      </c>
      <c r="Q2899" s="3">
        <f t="shared" si="181"/>
        <v>-1.7309032837147242E-3</v>
      </c>
      <c r="R2899" s="3">
        <f t="shared" si="182"/>
        <v>3.1800000000000001E-3</v>
      </c>
      <c r="S2899">
        <f t="shared" si="183"/>
        <v>67</v>
      </c>
      <c r="T2899">
        <f>INDEX([1]IDEN_level_ids!$B:$B,MATCH(G2899,[1]IDEN_level_ids!$A:$A,0),1)</f>
        <v>1075</v>
      </c>
      <c r="U2899">
        <f>INDEX([1]IDEN_level_ids!$B:$B,MATCH(H2899,[1]IDEN_level_ids!$A:$A,0),1)</f>
        <v>894</v>
      </c>
    </row>
    <row r="2900" spans="1:21" hidden="1" x14ac:dyDescent="0.25">
      <c r="A2900">
        <v>38072.840300000003</v>
      </c>
      <c r="B2900">
        <v>2626.5443</v>
      </c>
      <c r="C2900">
        <v>17</v>
      </c>
      <c r="D2900" t="s">
        <v>673</v>
      </c>
      <c r="F2900">
        <v>1974</v>
      </c>
      <c r="G2900" s="1" t="s">
        <v>180</v>
      </c>
      <c r="H2900" s="1" t="s">
        <v>450</v>
      </c>
      <c r="I2900">
        <v>0.2989</v>
      </c>
      <c r="J2900">
        <v>38072.804100000001</v>
      </c>
      <c r="K2900">
        <v>-2.5000000000000001E-3</v>
      </c>
      <c r="L2900">
        <v>3.1800000000000001E-3</v>
      </c>
      <c r="M2900">
        <v>4.6100000000000002E-2</v>
      </c>
      <c r="N2900">
        <v>0.1091</v>
      </c>
      <c r="O2900">
        <v>3.5699999999999998E-3</v>
      </c>
      <c r="P2900" s="3">
        <f t="shared" si="180"/>
        <v>2626.5442560112856</v>
      </c>
      <c r="Q2900" s="3">
        <f t="shared" si="181"/>
        <v>-2.4973443464659795E-3</v>
      </c>
      <c r="R2900" s="3">
        <f t="shared" si="182"/>
        <v>3.1800000000000001E-3</v>
      </c>
      <c r="S2900">
        <f t="shared" si="183"/>
        <v>67</v>
      </c>
      <c r="T2900">
        <f>INDEX([1]IDEN_level_ids!$B:$B,MATCH(G2900,[1]IDEN_level_ids!$A:$A,0),1)</f>
        <v>1184</v>
      </c>
      <c r="U2900">
        <f>INDEX([1]IDEN_level_ids!$B:$B,MATCH(H2900,[1]IDEN_level_ids!$A:$A,0),1)</f>
        <v>1077</v>
      </c>
    </row>
    <row r="2901" spans="1:21" hidden="1" x14ac:dyDescent="0.25">
      <c r="A2901">
        <v>38066.330600000001</v>
      </c>
      <c r="B2901">
        <v>2626.9933999999998</v>
      </c>
      <c r="C2901">
        <v>17</v>
      </c>
      <c r="D2901" t="s">
        <v>673</v>
      </c>
      <c r="F2901">
        <v>1974</v>
      </c>
      <c r="G2901" s="1" t="s">
        <v>407</v>
      </c>
      <c r="H2901" s="1" t="s">
        <v>672</v>
      </c>
      <c r="I2901">
        <v>-0.27489999999999998</v>
      </c>
      <c r="J2901">
        <v>38066.362800000003</v>
      </c>
      <c r="K2901">
        <v>2.2200000000000002E-3</v>
      </c>
      <c r="L2901">
        <v>3.1800000000000001E-3</v>
      </c>
      <c r="M2901">
        <v>4.6100000000000002E-2</v>
      </c>
      <c r="N2901">
        <v>0.23960000000000001</v>
      </c>
      <c r="O2901">
        <v>4.1799999999999997E-3</v>
      </c>
      <c r="P2901" s="3">
        <f t="shared" si="180"/>
        <v>2626.9934197440084</v>
      </c>
      <c r="Q2901" s="3">
        <f t="shared" si="181"/>
        <v>2.2221505259949481E-3</v>
      </c>
      <c r="R2901" s="3">
        <f t="shared" si="182"/>
        <v>3.1800000000000001E-3</v>
      </c>
      <c r="S2901">
        <f t="shared" si="183"/>
        <v>67</v>
      </c>
      <c r="T2901">
        <f>INDEX([1]IDEN_level_ids!$B:$B,MATCH(G2901,[1]IDEN_level_ids!$A:$A,0),1)</f>
        <v>1073</v>
      </c>
      <c r="U2901">
        <f>INDEX([1]IDEN_level_ids!$B:$B,MATCH(H2901,[1]IDEN_level_ids!$A:$A,0),1)</f>
        <v>891</v>
      </c>
    </row>
    <row r="2902" spans="1:21" hidden="1" x14ac:dyDescent="0.25">
      <c r="A2902">
        <v>38025.72</v>
      </c>
      <c r="B2902">
        <v>2629.799</v>
      </c>
      <c r="C2902">
        <v>17</v>
      </c>
      <c r="D2902" t="s">
        <v>673</v>
      </c>
      <c r="F2902">
        <v>1974</v>
      </c>
      <c r="G2902" s="1" t="s">
        <v>203</v>
      </c>
      <c r="H2902" s="1" t="s">
        <v>526</v>
      </c>
      <c r="I2902">
        <v>0</v>
      </c>
      <c r="J2902">
        <v>38025.6708</v>
      </c>
      <c r="K2902">
        <v>-3.3999999999999998E-3</v>
      </c>
      <c r="L2902">
        <v>3.1900000000000001E-3</v>
      </c>
      <c r="M2902">
        <v>4.6100000000000002E-2</v>
      </c>
      <c r="N2902">
        <v>0.29020000000000001</v>
      </c>
      <c r="O2902">
        <v>4.4900000000000001E-3</v>
      </c>
      <c r="P2902" s="3">
        <f t="shared" si="180"/>
        <v>2629.7989886845007</v>
      </c>
      <c r="Q2902" s="3">
        <f t="shared" si="181"/>
        <v>-3.4025990212285251E-3</v>
      </c>
      <c r="R2902" s="3">
        <f t="shared" si="182"/>
        <v>3.1900000000000001E-3</v>
      </c>
      <c r="S2902">
        <f t="shared" si="183"/>
        <v>67</v>
      </c>
      <c r="T2902">
        <f>INDEX([1]IDEN_level_ids!$B:$B,MATCH(G2902,[1]IDEN_level_ids!$A:$A,0),1)</f>
        <v>1127</v>
      </c>
      <c r="U2902">
        <f>INDEX([1]IDEN_level_ids!$B:$B,MATCH(H2902,[1]IDEN_level_ids!$A:$A,0),1)</f>
        <v>989</v>
      </c>
    </row>
    <row r="2903" spans="1:21" hidden="1" x14ac:dyDescent="0.25">
      <c r="A2903">
        <v>38019.961499999998</v>
      </c>
      <c r="B2903">
        <v>2630.1972999999998</v>
      </c>
      <c r="C2903">
        <v>17</v>
      </c>
      <c r="D2903" t="s">
        <v>673</v>
      </c>
      <c r="F2903">
        <v>1974</v>
      </c>
      <c r="G2903" s="1" t="s">
        <v>108</v>
      </c>
      <c r="H2903" s="1" t="s">
        <v>470</v>
      </c>
      <c r="I2903">
        <v>0.2848</v>
      </c>
      <c r="J2903">
        <v>38019.897799999999</v>
      </c>
      <c r="K2903">
        <v>-4.4000000000000003E-3</v>
      </c>
      <c r="L2903">
        <v>3.1900000000000001E-3</v>
      </c>
      <c r="M2903">
        <v>4.6100000000000002E-2</v>
      </c>
      <c r="N2903">
        <v>0.1002</v>
      </c>
      <c r="O2903">
        <v>3.5400000000000002E-3</v>
      </c>
      <c r="P2903" s="3">
        <f t="shared" si="180"/>
        <v>2630.1972978063118</v>
      </c>
      <c r="Q2903" s="3">
        <f t="shared" si="181"/>
        <v>-4.4067337776141358E-3</v>
      </c>
      <c r="R2903" s="3">
        <f t="shared" si="182"/>
        <v>3.1900000000000001E-3</v>
      </c>
      <c r="S2903">
        <f t="shared" si="183"/>
        <v>67</v>
      </c>
      <c r="T2903">
        <f>INDEX([1]IDEN_level_ids!$B:$B,MATCH(G2903,[1]IDEN_level_ids!$A:$A,0),1)</f>
        <v>1149</v>
      </c>
      <c r="U2903">
        <f>INDEX([1]IDEN_level_ids!$B:$B,MATCH(H2903,[1]IDEN_level_ids!$A:$A,0),1)</f>
        <v>1026</v>
      </c>
    </row>
    <row r="2904" spans="1:21" hidden="1" x14ac:dyDescent="0.25">
      <c r="A2904">
        <v>38012.661399999997</v>
      </c>
      <c r="B2904">
        <v>2630.7024000000001</v>
      </c>
      <c r="C2904">
        <v>17</v>
      </c>
      <c r="D2904" t="s">
        <v>673</v>
      </c>
      <c r="E2904" t="s">
        <v>427</v>
      </c>
      <c r="F2904">
        <v>1974</v>
      </c>
      <c r="G2904" s="1" t="s">
        <v>416</v>
      </c>
      <c r="H2904" s="1" t="s">
        <v>340</v>
      </c>
      <c r="I2904">
        <v>-0.26750000000000002</v>
      </c>
      <c r="J2904">
        <v>38012.640299999999</v>
      </c>
      <c r="K2904">
        <v>-1.4599999999999999E-3</v>
      </c>
      <c r="L2904">
        <v>3.3700000000000002E-3</v>
      </c>
      <c r="M2904">
        <v>4.87E-2</v>
      </c>
      <c r="N2904">
        <v>0.22509999999999999</v>
      </c>
      <c r="O2904">
        <v>4.3499999999999997E-3</v>
      </c>
      <c r="P2904" s="3">
        <f t="shared" si="180"/>
        <v>2630.7024111708215</v>
      </c>
      <c r="Q2904" s="3">
        <f t="shared" si="181"/>
        <v>-1.4602463925257325E-3</v>
      </c>
      <c r="R2904" s="3">
        <f t="shared" si="182"/>
        <v>3.3700000000000002E-3</v>
      </c>
      <c r="S2904">
        <f t="shared" si="183"/>
        <v>67</v>
      </c>
      <c r="T2904">
        <f>INDEX([1]IDEN_level_ids!$B:$B,MATCH(G2904,[1]IDEN_level_ids!$A:$A,0),1)</f>
        <v>1055</v>
      </c>
      <c r="U2904">
        <f>INDEX([1]IDEN_level_ids!$B:$B,MATCH(H2904,[1]IDEN_level_ids!$A:$A,0),1)</f>
        <v>875</v>
      </c>
    </row>
    <row r="2905" spans="1:21" hidden="1" x14ac:dyDescent="0.25">
      <c r="A2905">
        <v>38000.570299999999</v>
      </c>
      <c r="B2905">
        <v>2631.5394999999999</v>
      </c>
      <c r="C2905">
        <v>17</v>
      </c>
      <c r="D2905" t="s">
        <v>673</v>
      </c>
      <c r="F2905">
        <v>1974</v>
      </c>
      <c r="G2905" s="1" t="s">
        <v>544</v>
      </c>
      <c r="H2905" s="1" t="s">
        <v>646</v>
      </c>
      <c r="I2905">
        <v>0</v>
      </c>
      <c r="J2905">
        <v>38000.496299999999</v>
      </c>
      <c r="K2905">
        <v>-5.1200000000000004E-3</v>
      </c>
      <c r="L2905">
        <v>3.1900000000000001E-3</v>
      </c>
      <c r="M2905">
        <v>4.6100000000000002E-2</v>
      </c>
      <c r="N2905">
        <v>0.30299999999999999</v>
      </c>
      <c r="O2905">
        <v>4.5799999999999999E-3</v>
      </c>
      <c r="P2905" s="3">
        <f t="shared" si="180"/>
        <v>2631.539453501307</v>
      </c>
      <c r="Q2905" s="3">
        <f t="shared" si="181"/>
        <v>-5.1245099016341555E-3</v>
      </c>
      <c r="R2905" s="3">
        <f t="shared" si="182"/>
        <v>3.1900000000000001E-3</v>
      </c>
      <c r="S2905">
        <f t="shared" si="183"/>
        <v>67</v>
      </c>
      <c r="T2905">
        <f>INDEX([1]IDEN_level_ids!$B:$B,MATCH(G2905,[1]IDEN_level_ids!$A:$A,0),1)</f>
        <v>1011</v>
      </c>
      <c r="U2905">
        <f>INDEX([1]IDEN_level_ids!$B:$B,MATCH(H2905,[1]IDEN_level_ids!$A:$A,0),1)</f>
        <v>829</v>
      </c>
    </row>
    <row r="2906" spans="1:21" hidden="1" x14ac:dyDescent="0.25">
      <c r="A2906">
        <v>37993.959000000003</v>
      </c>
      <c r="B2906">
        <v>2631.9974000000002</v>
      </c>
      <c r="C2906">
        <v>18</v>
      </c>
      <c r="D2906" t="s">
        <v>675</v>
      </c>
      <c r="E2906" t="s">
        <v>638</v>
      </c>
      <c r="F2906">
        <v>1974</v>
      </c>
      <c r="G2906" s="1" t="s">
        <v>492</v>
      </c>
      <c r="H2906" s="1" t="s">
        <v>584</v>
      </c>
      <c r="I2906">
        <v>4.7300000000000002E-2</v>
      </c>
      <c r="J2906">
        <v>37994.0141</v>
      </c>
      <c r="K2906">
        <v>3.82E-3</v>
      </c>
      <c r="L2906">
        <v>1.197E-2</v>
      </c>
      <c r="M2906">
        <v>0.17280000000000001</v>
      </c>
      <c r="N2906">
        <v>3.3000000000000002E-2</v>
      </c>
      <c r="O2906">
        <v>1.238E-2</v>
      </c>
      <c r="P2906" s="3">
        <f t="shared" si="180"/>
        <v>2631.9973656864763</v>
      </c>
      <c r="Q2906" s="3">
        <f t="shared" si="181"/>
        <v>3.8169974473021284E-3</v>
      </c>
      <c r="R2906" s="3">
        <f t="shared" si="182"/>
        <v>1.197E-2</v>
      </c>
      <c r="S2906">
        <f t="shared" si="183"/>
        <v>68</v>
      </c>
      <c r="T2906">
        <f>INDEX([1]IDEN_level_ids!$B:$B,MATCH(G2906,[1]IDEN_level_ids!$A:$A,0),1)</f>
        <v>1132</v>
      </c>
      <c r="U2906">
        <f>INDEX([1]IDEN_level_ids!$B:$B,MATCH(H2906,[1]IDEN_level_ids!$A:$A,0),1)</f>
        <v>992</v>
      </c>
    </row>
    <row r="2907" spans="1:21" hidden="1" x14ac:dyDescent="0.25">
      <c r="A2907">
        <v>37968.419099999999</v>
      </c>
      <c r="B2907">
        <v>2633.7678000000001</v>
      </c>
      <c r="C2907">
        <v>18</v>
      </c>
      <c r="D2907" t="s">
        <v>675</v>
      </c>
      <c r="E2907" t="s">
        <v>638</v>
      </c>
      <c r="F2907">
        <v>1974</v>
      </c>
      <c r="G2907" s="1" t="s">
        <v>301</v>
      </c>
      <c r="H2907" s="1" t="s">
        <v>445</v>
      </c>
      <c r="I2907">
        <v>-0.19320000000000001</v>
      </c>
      <c r="J2907">
        <v>37968.562899999997</v>
      </c>
      <c r="K2907">
        <v>9.9699999999999997E-3</v>
      </c>
      <c r="L2907">
        <v>1.1990000000000001E-2</v>
      </c>
      <c r="M2907">
        <v>0.17280000000000001</v>
      </c>
      <c r="N2907">
        <v>9.3200000000000005E-2</v>
      </c>
      <c r="O2907">
        <v>1.3220000000000001E-2</v>
      </c>
      <c r="P2907" s="3">
        <f t="shared" si="180"/>
        <v>2633.7678094161156</v>
      </c>
      <c r="Q2907" s="3">
        <f t="shared" si="181"/>
        <v>9.9749840937874978E-3</v>
      </c>
      <c r="R2907" s="3">
        <f t="shared" si="182"/>
        <v>1.1990000000000001E-2</v>
      </c>
      <c r="S2907">
        <f t="shared" si="183"/>
        <v>68</v>
      </c>
      <c r="T2907">
        <f>INDEX([1]IDEN_level_ids!$B:$B,MATCH(G2907,[1]IDEN_level_ids!$A:$A,0),1)</f>
        <v>1154</v>
      </c>
      <c r="U2907">
        <f>INDEX([1]IDEN_level_ids!$B:$B,MATCH(H2907,[1]IDEN_level_ids!$A:$A,0),1)</f>
        <v>1041</v>
      </c>
    </row>
    <row r="2908" spans="1:21" hidden="1" x14ac:dyDescent="0.25">
      <c r="A2908">
        <v>37943.571400000001</v>
      </c>
      <c r="B2908">
        <v>2635.4926</v>
      </c>
      <c r="C2908">
        <v>18</v>
      </c>
      <c r="D2908" t="s">
        <v>675</v>
      </c>
      <c r="E2908" t="s">
        <v>427</v>
      </c>
      <c r="F2908">
        <v>1974</v>
      </c>
      <c r="G2908" s="1" t="s">
        <v>461</v>
      </c>
      <c r="H2908" s="1" t="s">
        <v>640</v>
      </c>
      <c r="I2908">
        <v>-0.24510000000000001</v>
      </c>
      <c r="J2908">
        <v>37943.649799999999</v>
      </c>
      <c r="K2908">
        <v>5.45E-3</v>
      </c>
      <c r="L2908">
        <v>3.3800000000000002E-3</v>
      </c>
      <c r="M2908">
        <v>4.87E-2</v>
      </c>
      <c r="N2908">
        <v>0.14000000000000001</v>
      </c>
      <c r="O2908">
        <v>3.9399999999999999E-3</v>
      </c>
      <c r="P2908" s="3">
        <f t="shared" si="180"/>
        <v>2635.492556718053</v>
      </c>
      <c r="Q2908" s="3">
        <f t="shared" si="181"/>
        <v>5.4455124250125664E-3</v>
      </c>
      <c r="R2908" s="3">
        <f t="shared" si="182"/>
        <v>3.3800000000000002E-3</v>
      </c>
      <c r="S2908">
        <f t="shared" si="183"/>
        <v>68</v>
      </c>
      <c r="T2908">
        <f>INDEX([1]IDEN_level_ids!$B:$B,MATCH(G2908,[1]IDEN_level_ids!$A:$A,0),1)</f>
        <v>1017</v>
      </c>
      <c r="U2908">
        <f>INDEX([1]IDEN_level_ids!$B:$B,MATCH(H2908,[1]IDEN_level_ids!$A:$A,0),1)</f>
        <v>843</v>
      </c>
    </row>
    <row r="2909" spans="1:21" hidden="1" x14ac:dyDescent="0.25">
      <c r="A2909">
        <v>37914.821199999998</v>
      </c>
      <c r="B2909">
        <v>2637.491</v>
      </c>
      <c r="C2909">
        <v>18</v>
      </c>
      <c r="D2909" t="s">
        <v>675</v>
      </c>
      <c r="F2909">
        <v>1974</v>
      </c>
      <c r="G2909" s="1" t="s">
        <v>194</v>
      </c>
      <c r="H2909" s="1" t="s">
        <v>446</v>
      </c>
      <c r="I2909">
        <v>0.31669999999999998</v>
      </c>
      <c r="J2909">
        <v>37914.792500000003</v>
      </c>
      <c r="K2909">
        <v>-2E-3</v>
      </c>
      <c r="L2909">
        <v>3.2000000000000002E-3</v>
      </c>
      <c r="M2909">
        <v>4.6100000000000002E-2</v>
      </c>
      <c r="N2909">
        <v>9.0800000000000006E-2</v>
      </c>
      <c r="O2909">
        <v>3.5200000000000001E-3</v>
      </c>
      <c r="P2909" s="3">
        <f t="shared" si="180"/>
        <v>2637.4910083975287</v>
      </c>
      <c r="Q2909" s="3">
        <f t="shared" si="181"/>
        <v>-1.9964764919677691E-3</v>
      </c>
      <c r="R2909" s="3">
        <f t="shared" si="182"/>
        <v>3.2000000000000002E-3</v>
      </c>
      <c r="S2909">
        <f t="shared" si="183"/>
        <v>68</v>
      </c>
      <c r="T2909">
        <f>INDEX([1]IDEN_level_ids!$B:$B,MATCH(G2909,[1]IDEN_level_ids!$A:$A,0),1)</f>
        <v>1187</v>
      </c>
      <c r="U2909">
        <f>INDEX([1]IDEN_level_ids!$B:$B,MATCH(H2909,[1]IDEN_level_ids!$A:$A,0),1)</f>
        <v>1079</v>
      </c>
    </row>
    <row r="2910" spans="1:21" hidden="1" x14ac:dyDescent="0.25">
      <c r="A2910">
        <v>37906.559300000001</v>
      </c>
      <c r="B2910">
        <v>2638.0659000000001</v>
      </c>
      <c r="C2910">
        <v>18</v>
      </c>
      <c r="D2910" t="s">
        <v>675</v>
      </c>
      <c r="E2910" t="s">
        <v>661</v>
      </c>
      <c r="F2910">
        <v>1974</v>
      </c>
      <c r="G2910" s="1" t="s">
        <v>304</v>
      </c>
      <c r="H2910" s="1" t="s">
        <v>393</v>
      </c>
      <c r="I2910">
        <v>0</v>
      </c>
      <c r="J2910">
        <v>37906.5101</v>
      </c>
      <c r="K2910">
        <v>-3.4199999999999999E-3</v>
      </c>
      <c r="L2910">
        <v>3.5300000000000002E-3</v>
      </c>
      <c r="M2910">
        <v>5.0700000000000002E-2</v>
      </c>
      <c r="N2910">
        <v>0.81920000000000004</v>
      </c>
      <c r="O2910">
        <v>1.95E-2</v>
      </c>
      <c r="P2910" s="3">
        <f t="shared" si="180"/>
        <v>2638.0658610711735</v>
      </c>
      <c r="Q2910" s="3">
        <f t="shared" si="181"/>
        <v>-3.4240250561197172E-3</v>
      </c>
      <c r="R2910" s="3">
        <f t="shared" si="182"/>
        <v>3.5300000000000002E-3</v>
      </c>
      <c r="S2910">
        <f t="shared" si="183"/>
        <v>68</v>
      </c>
      <c r="T2910">
        <f>INDEX([1]IDEN_level_ids!$B:$B,MATCH(G2910,[1]IDEN_level_ids!$A:$A,0),1)</f>
        <v>1096</v>
      </c>
      <c r="U2910">
        <f>INDEX([1]IDEN_level_ids!$B:$B,MATCH(H2910,[1]IDEN_level_ids!$A:$A,0),1)</f>
        <v>938</v>
      </c>
    </row>
    <row r="2911" spans="1:21" hidden="1" x14ac:dyDescent="0.25">
      <c r="A2911">
        <v>37883.548999999999</v>
      </c>
      <c r="B2911">
        <v>2639.6682000000001</v>
      </c>
      <c r="C2911">
        <v>18</v>
      </c>
      <c r="D2911" t="s">
        <v>675</v>
      </c>
      <c r="F2911">
        <v>1974</v>
      </c>
      <c r="G2911" s="1" t="s">
        <v>100</v>
      </c>
      <c r="H2911" s="1" t="s">
        <v>461</v>
      </c>
      <c r="I2911">
        <v>0.24510000000000001</v>
      </c>
      <c r="J2911">
        <v>37883.555099999998</v>
      </c>
      <c r="K2911">
        <v>4.2000000000000002E-4</v>
      </c>
      <c r="L2911">
        <v>3.2100000000000002E-3</v>
      </c>
      <c r="M2911">
        <v>4.6100000000000002E-2</v>
      </c>
      <c r="N2911">
        <v>9.6299999999999997E-2</v>
      </c>
      <c r="O2911">
        <v>3.5500000000000002E-3</v>
      </c>
      <c r="P2911" s="3">
        <f t="shared" si="180"/>
        <v>2639.6682105998043</v>
      </c>
      <c r="Q2911" s="3">
        <f t="shared" si="181"/>
        <v>4.2503867553023156E-4</v>
      </c>
      <c r="R2911" s="3">
        <f t="shared" si="182"/>
        <v>3.2100000000000002E-3</v>
      </c>
      <c r="S2911">
        <f t="shared" si="183"/>
        <v>68</v>
      </c>
      <c r="T2911">
        <f>INDEX([1]IDEN_level_ids!$B:$B,MATCH(G2911,[1]IDEN_level_ids!$A:$A,0),1)</f>
        <v>1146</v>
      </c>
      <c r="U2911">
        <f>INDEX([1]IDEN_level_ids!$B:$B,MATCH(H2911,[1]IDEN_level_ids!$A:$A,0),1)</f>
        <v>1017</v>
      </c>
    </row>
    <row r="2912" spans="1:21" hidden="1" x14ac:dyDescent="0.25">
      <c r="A2912">
        <v>37871.761700000003</v>
      </c>
      <c r="B2912">
        <v>2640.4897999999998</v>
      </c>
      <c r="C2912">
        <v>18</v>
      </c>
      <c r="D2912" t="s">
        <v>675</v>
      </c>
      <c r="F2912">
        <v>1974</v>
      </c>
      <c r="G2912" s="1" t="s">
        <v>407</v>
      </c>
      <c r="H2912" s="1" t="s">
        <v>639</v>
      </c>
      <c r="I2912">
        <v>-0.27489999999999998</v>
      </c>
      <c r="J2912">
        <v>37871.681100000002</v>
      </c>
      <c r="K2912">
        <v>-5.62E-3</v>
      </c>
      <c r="L2912">
        <v>3.2100000000000002E-3</v>
      </c>
      <c r="M2912">
        <v>4.6100000000000002E-2</v>
      </c>
      <c r="N2912">
        <v>0.11</v>
      </c>
      <c r="O2912">
        <v>3.6099999999999999E-3</v>
      </c>
      <c r="P2912" s="3">
        <f t="shared" si="180"/>
        <v>2640.4897874080148</v>
      </c>
      <c r="Q2912" s="3">
        <f t="shared" si="181"/>
        <v>-5.6195941315309028E-3</v>
      </c>
      <c r="R2912" s="3">
        <f t="shared" si="182"/>
        <v>3.2100000000000002E-3</v>
      </c>
      <c r="S2912">
        <f t="shared" si="183"/>
        <v>68</v>
      </c>
      <c r="T2912">
        <f>INDEX([1]IDEN_level_ids!$B:$B,MATCH(G2912,[1]IDEN_level_ids!$A:$A,0),1)</f>
        <v>1073</v>
      </c>
      <c r="U2912">
        <f>INDEX([1]IDEN_level_ids!$B:$B,MATCH(H2912,[1]IDEN_level_ids!$A:$A,0),1)</f>
        <v>893</v>
      </c>
    </row>
    <row r="2913" spans="1:21" hidden="1" x14ac:dyDescent="0.25">
      <c r="A2913">
        <v>37870.330199999997</v>
      </c>
      <c r="B2913">
        <v>2640.5895999999998</v>
      </c>
      <c r="C2913">
        <v>18</v>
      </c>
      <c r="D2913" t="s">
        <v>675</v>
      </c>
      <c r="F2913">
        <v>1974</v>
      </c>
      <c r="G2913" s="1" t="s">
        <v>255</v>
      </c>
      <c r="H2913" s="1" t="s">
        <v>556</v>
      </c>
      <c r="I2913">
        <v>0</v>
      </c>
      <c r="J2913">
        <v>37870.316299999999</v>
      </c>
      <c r="K2913">
        <v>-9.7000000000000005E-4</v>
      </c>
      <c r="L2913">
        <v>3.2100000000000002E-3</v>
      </c>
      <c r="M2913">
        <v>4.6100000000000002E-2</v>
      </c>
      <c r="N2913">
        <v>0.50619999999999998</v>
      </c>
      <c r="O2913">
        <v>6.5100000000000002E-3</v>
      </c>
      <c r="P2913" s="3">
        <f t="shared" si="180"/>
        <v>2640.5895980278515</v>
      </c>
      <c r="Q2913" s="3">
        <f t="shared" si="181"/>
        <v>-9.6920752184814773E-4</v>
      </c>
      <c r="R2913" s="3">
        <f t="shared" si="182"/>
        <v>3.2100000000000002E-3</v>
      </c>
      <c r="S2913">
        <f t="shared" si="183"/>
        <v>68</v>
      </c>
      <c r="T2913">
        <f>INDEX([1]IDEN_level_ids!$B:$B,MATCH(G2913,[1]IDEN_level_ids!$A:$A,0),1)</f>
        <v>1111</v>
      </c>
      <c r="U2913">
        <f>INDEX([1]IDEN_level_ids!$B:$B,MATCH(H2913,[1]IDEN_level_ids!$A:$A,0),1)</f>
        <v>973</v>
      </c>
    </row>
    <row r="2914" spans="1:21" hidden="1" x14ac:dyDescent="0.25">
      <c r="A2914">
        <v>37868.880599999997</v>
      </c>
      <c r="B2914">
        <v>2640.6907000000001</v>
      </c>
      <c r="C2914">
        <v>18</v>
      </c>
      <c r="D2914" t="s">
        <v>675</v>
      </c>
      <c r="F2914">
        <v>1974</v>
      </c>
      <c r="G2914" s="1" t="s">
        <v>108</v>
      </c>
      <c r="H2914" s="1" t="s">
        <v>540</v>
      </c>
      <c r="I2914">
        <v>0.34399999999999997</v>
      </c>
      <c r="J2914">
        <v>37868.855100000001</v>
      </c>
      <c r="K2914">
        <v>-1.7799999999999999E-3</v>
      </c>
      <c r="L2914">
        <v>3.2100000000000002E-3</v>
      </c>
      <c r="M2914">
        <v>4.6100000000000002E-2</v>
      </c>
      <c r="N2914">
        <v>8.6900000000000005E-2</v>
      </c>
      <c r="O2914">
        <v>3.5200000000000001E-3</v>
      </c>
      <c r="P2914" s="3">
        <f t="shared" si="180"/>
        <v>2640.6906783508148</v>
      </c>
      <c r="Q2914" s="3">
        <f t="shared" si="181"/>
        <v>-1.7781792480491276E-3</v>
      </c>
      <c r="R2914" s="3">
        <f t="shared" si="182"/>
        <v>3.2100000000000002E-3</v>
      </c>
      <c r="S2914">
        <f t="shared" si="183"/>
        <v>68</v>
      </c>
      <c r="T2914">
        <f>INDEX([1]IDEN_level_ids!$B:$B,MATCH(G2914,[1]IDEN_level_ids!$A:$A,0),1)</f>
        <v>1149</v>
      </c>
      <c r="U2914">
        <f>INDEX([1]IDEN_level_ids!$B:$B,MATCH(H2914,[1]IDEN_level_ids!$A:$A,0),1)</f>
        <v>1027</v>
      </c>
    </row>
    <row r="2915" spans="1:21" hidden="1" x14ac:dyDescent="0.25">
      <c r="A2915">
        <v>37833.688600000001</v>
      </c>
      <c r="B2915">
        <v>2643.1469999999999</v>
      </c>
      <c r="C2915">
        <v>18</v>
      </c>
      <c r="D2915" t="s">
        <v>675</v>
      </c>
      <c r="F2915">
        <v>1974</v>
      </c>
      <c r="G2915" s="1" t="s">
        <v>239</v>
      </c>
      <c r="H2915" s="1" t="s">
        <v>375</v>
      </c>
      <c r="I2915">
        <v>0.28789999999999999</v>
      </c>
      <c r="J2915">
        <v>37833.682699999998</v>
      </c>
      <c r="K2915">
        <v>-4.0999999999999999E-4</v>
      </c>
      <c r="L2915">
        <v>3.2200000000000002E-3</v>
      </c>
      <c r="M2915">
        <v>4.6100000000000002E-2</v>
      </c>
      <c r="N2915">
        <v>8.6900000000000005E-2</v>
      </c>
      <c r="O2915">
        <v>3.5200000000000001E-3</v>
      </c>
      <c r="P2915" s="3">
        <f t="shared" si="180"/>
        <v>2643.1469862021331</v>
      </c>
      <c r="Q2915" s="3">
        <f t="shared" si="181"/>
        <v>-4.1218739806936355E-4</v>
      </c>
      <c r="R2915" s="3">
        <f t="shared" si="182"/>
        <v>3.2200000000000002E-3</v>
      </c>
      <c r="S2915">
        <f t="shared" si="183"/>
        <v>68</v>
      </c>
      <c r="T2915">
        <f>INDEX([1]IDEN_level_ids!$B:$B,MATCH(G2915,[1]IDEN_level_ids!$A:$A,0),1)</f>
        <v>1167</v>
      </c>
      <c r="U2915">
        <f>INDEX([1]IDEN_level_ids!$B:$B,MATCH(H2915,[1]IDEN_level_ids!$A:$A,0),1)</f>
        <v>1065</v>
      </c>
    </row>
    <row r="2916" spans="1:21" hidden="1" x14ac:dyDescent="0.25">
      <c r="A2916">
        <v>37801.429300000003</v>
      </c>
      <c r="B2916">
        <v>2645.4025999999999</v>
      </c>
      <c r="C2916">
        <v>18</v>
      </c>
      <c r="D2916" t="s">
        <v>675</v>
      </c>
      <c r="E2916" t="s">
        <v>427</v>
      </c>
      <c r="F2916">
        <v>1974</v>
      </c>
      <c r="G2916" s="1" t="s">
        <v>297</v>
      </c>
      <c r="H2916" s="1" t="s">
        <v>440</v>
      </c>
      <c r="I2916">
        <v>0.3538</v>
      </c>
      <c r="J2916">
        <v>37801.366900000001</v>
      </c>
      <c r="K2916">
        <v>-4.3699999999999998E-3</v>
      </c>
      <c r="L2916">
        <v>3.4099999999999998E-3</v>
      </c>
      <c r="M2916">
        <v>4.87E-2</v>
      </c>
      <c r="N2916">
        <v>0.23960000000000001</v>
      </c>
      <c r="O2916">
        <v>4.4799999999999996E-3</v>
      </c>
      <c r="P2916" s="3">
        <f t="shared" si="180"/>
        <v>2645.4026170909888</v>
      </c>
      <c r="Q2916" s="3">
        <f t="shared" si="181"/>
        <v>-4.3668559328580159E-3</v>
      </c>
      <c r="R2916" s="3">
        <f t="shared" si="182"/>
        <v>3.4099999999999998E-3</v>
      </c>
      <c r="S2916">
        <f t="shared" si="183"/>
        <v>68</v>
      </c>
      <c r="T2916">
        <f>INDEX([1]IDEN_level_ids!$B:$B,MATCH(G2916,[1]IDEN_level_ids!$A:$A,0),1)</f>
        <v>1099</v>
      </c>
      <c r="U2916">
        <f>INDEX([1]IDEN_level_ids!$B:$B,MATCH(H2916,[1]IDEN_level_ids!$A:$A,0),1)</f>
        <v>948</v>
      </c>
    </row>
    <row r="2917" spans="1:21" hidden="1" x14ac:dyDescent="0.25">
      <c r="A2917">
        <v>37795.710500000001</v>
      </c>
      <c r="B2917">
        <v>2645.8029000000001</v>
      </c>
      <c r="C2917">
        <v>18</v>
      </c>
      <c r="D2917" t="s">
        <v>675</v>
      </c>
      <c r="F2917">
        <v>1974</v>
      </c>
      <c r="G2917" s="1" t="s">
        <v>454</v>
      </c>
      <c r="H2917" s="1" t="s">
        <v>652</v>
      </c>
      <c r="I2917">
        <v>0</v>
      </c>
      <c r="J2917">
        <v>37795.701800000003</v>
      </c>
      <c r="K2917">
        <v>-6.0999999999999997E-4</v>
      </c>
      <c r="L2917">
        <v>3.2200000000000002E-3</v>
      </c>
      <c r="M2917">
        <v>4.6100000000000002E-2</v>
      </c>
      <c r="N2917">
        <v>0.2697</v>
      </c>
      <c r="O2917">
        <v>4.4200000000000003E-3</v>
      </c>
      <c r="P2917" s="3">
        <f t="shared" si="180"/>
        <v>2645.8028881346204</v>
      </c>
      <c r="Q2917" s="3">
        <f t="shared" si="181"/>
        <v>-6.0902388440808863E-4</v>
      </c>
      <c r="R2917" s="3">
        <f t="shared" si="182"/>
        <v>3.2200000000000002E-3</v>
      </c>
      <c r="S2917">
        <f t="shared" si="183"/>
        <v>68</v>
      </c>
      <c r="T2917">
        <f>INDEX([1]IDEN_level_ids!$B:$B,MATCH(G2917,[1]IDEN_level_ids!$A:$A,0),1)</f>
        <v>1036</v>
      </c>
      <c r="U2917">
        <f>INDEX([1]IDEN_level_ids!$B:$B,MATCH(H2917,[1]IDEN_level_ids!$A:$A,0),1)</f>
        <v>865</v>
      </c>
    </row>
    <row r="2918" spans="1:21" hidden="1" x14ac:dyDescent="0.25">
      <c r="A2918">
        <v>37770.691500000001</v>
      </c>
      <c r="B2918">
        <v>2647.5554000000002</v>
      </c>
      <c r="C2918">
        <v>18</v>
      </c>
      <c r="D2918" t="s">
        <v>675</v>
      </c>
      <c r="E2918" t="s">
        <v>427</v>
      </c>
      <c r="F2918">
        <v>1974</v>
      </c>
      <c r="G2918" s="1" t="s">
        <v>83</v>
      </c>
      <c r="H2918" s="1" t="s">
        <v>407</v>
      </c>
      <c r="I2918">
        <v>0.27489999999999998</v>
      </c>
      <c r="J2918">
        <v>37770.656300000002</v>
      </c>
      <c r="K2918">
        <v>-2.47E-3</v>
      </c>
      <c r="L2918">
        <v>3.4199999999999999E-3</v>
      </c>
      <c r="M2918">
        <v>4.87E-2</v>
      </c>
      <c r="N2918">
        <v>7.9699999999999993E-2</v>
      </c>
      <c r="O2918">
        <v>3.7100000000000002E-3</v>
      </c>
      <c r="P2918" s="3">
        <f t="shared" si="180"/>
        <v>2647.5554465292221</v>
      </c>
      <c r="Q2918" s="3">
        <f t="shared" si="181"/>
        <v>-2.4673638440617651E-3</v>
      </c>
      <c r="R2918" s="3">
        <f t="shared" si="182"/>
        <v>3.4199999999999999E-3</v>
      </c>
      <c r="S2918">
        <f t="shared" si="183"/>
        <v>68</v>
      </c>
      <c r="T2918">
        <f>INDEX([1]IDEN_level_ids!$B:$B,MATCH(G2918,[1]IDEN_level_ids!$A:$A,0),1)</f>
        <v>1175</v>
      </c>
      <c r="U2918">
        <f>INDEX([1]IDEN_level_ids!$B:$B,MATCH(H2918,[1]IDEN_level_ids!$A:$A,0),1)</f>
        <v>1073</v>
      </c>
    </row>
    <row r="2919" spans="1:21" hidden="1" x14ac:dyDescent="0.25">
      <c r="A2919">
        <v>37767.099699999999</v>
      </c>
      <c r="B2919">
        <v>2647.8072000000002</v>
      </c>
      <c r="C2919">
        <v>18</v>
      </c>
      <c r="D2919" t="s">
        <v>675</v>
      </c>
      <c r="F2919">
        <v>1974</v>
      </c>
      <c r="G2919" s="1" t="s">
        <v>576</v>
      </c>
      <c r="H2919" s="1" t="s">
        <v>668</v>
      </c>
      <c r="I2919">
        <v>-0.13669999999999999</v>
      </c>
      <c r="J2919">
        <v>37767.073299999996</v>
      </c>
      <c r="K2919">
        <v>-1.8500000000000001E-3</v>
      </c>
      <c r="L2919">
        <v>3.2299999999999998E-3</v>
      </c>
      <c r="M2919">
        <v>4.6100000000000002E-2</v>
      </c>
      <c r="N2919">
        <v>0.39460000000000001</v>
      </c>
      <c r="O2919">
        <v>5.3400000000000001E-3</v>
      </c>
      <c r="P2919" s="3">
        <f t="shared" si="180"/>
        <v>2647.8072394846886</v>
      </c>
      <c r="Q2919" s="3">
        <f t="shared" si="181"/>
        <v>-1.8508744524297072E-3</v>
      </c>
      <c r="R2919" s="3">
        <f t="shared" si="182"/>
        <v>3.2299999999999998E-3</v>
      </c>
      <c r="S2919">
        <f t="shared" si="183"/>
        <v>68</v>
      </c>
      <c r="T2919">
        <f>INDEX([1]IDEN_level_ids!$B:$B,MATCH(G2919,[1]IDEN_level_ids!$A:$A,0),1)</f>
        <v>1024</v>
      </c>
      <c r="U2919">
        <f>INDEX([1]IDEN_level_ids!$B:$B,MATCH(H2919,[1]IDEN_level_ids!$A:$A,0),1)</f>
        <v>845</v>
      </c>
    </row>
    <row r="2920" spans="1:21" hidden="1" x14ac:dyDescent="0.25">
      <c r="A2920">
        <v>37762.478999999999</v>
      </c>
      <c r="B2920">
        <v>2648.1311999999998</v>
      </c>
      <c r="C2920">
        <v>18</v>
      </c>
      <c r="D2920" t="s">
        <v>675</v>
      </c>
      <c r="F2920">
        <v>1974</v>
      </c>
      <c r="G2920" s="1" t="s">
        <v>407</v>
      </c>
      <c r="H2920" s="1" t="s">
        <v>642</v>
      </c>
      <c r="I2920">
        <v>-0.27489999999999998</v>
      </c>
      <c r="J2920">
        <v>37762.4565</v>
      </c>
      <c r="K2920">
        <v>-1.58E-3</v>
      </c>
      <c r="L2920">
        <v>3.2299999999999998E-3</v>
      </c>
      <c r="M2920">
        <v>4.6100000000000002E-2</v>
      </c>
      <c r="N2920">
        <v>0.109</v>
      </c>
      <c r="O2920">
        <v>3.63E-3</v>
      </c>
      <c r="P2920" s="3">
        <f t="shared" si="180"/>
        <v>2648.131231003134</v>
      </c>
      <c r="Q2920" s="3">
        <f t="shared" si="181"/>
        <v>-1.5778357187627989E-3</v>
      </c>
      <c r="R2920" s="3">
        <f t="shared" si="182"/>
        <v>3.2299999999999998E-3</v>
      </c>
      <c r="S2920">
        <f t="shared" si="183"/>
        <v>68</v>
      </c>
      <c r="T2920">
        <f>INDEX([1]IDEN_level_ids!$B:$B,MATCH(G2920,[1]IDEN_level_ids!$A:$A,0),1)</f>
        <v>1073</v>
      </c>
      <c r="U2920">
        <f>INDEX([1]IDEN_level_ids!$B:$B,MATCH(H2920,[1]IDEN_level_ids!$A:$A,0),1)</f>
        <v>894</v>
      </c>
    </row>
    <row r="2921" spans="1:21" hidden="1" x14ac:dyDescent="0.25">
      <c r="A2921">
        <v>37752.198600000003</v>
      </c>
      <c r="B2921">
        <v>2648.8523</v>
      </c>
      <c r="C2921">
        <v>18</v>
      </c>
      <c r="D2921" t="s">
        <v>675</v>
      </c>
      <c r="F2921">
        <v>1974</v>
      </c>
      <c r="G2921" s="1" t="s">
        <v>428</v>
      </c>
      <c r="H2921" s="1" t="s">
        <v>641</v>
      </c>
      <c r="I2921">
        <v>-0.39950000000000002</v>
      </c>
      <c r="J2921">
        <v>37752.144399999997</v>
      </c>
      <c r="K2921">
        <v>-3.8E-3</v>
      </c>
      <c r="L2921">
        <v>3.2299999999999998E-3</v>
      </c>
      <c r="M2921">
        <v>4.6100000000000002E-2</v>
      </c>
      <c r="N2921">
        <v>0.25919999999999999</v>
      </c>
      <c r="O2921">
        <v>4.3600000000000002E-3</v>
      </c>
      <c r="P2921" s="3">
        <f t="shared" si="180"/>
        <v>2648.8523505489293</v>
      </c>
      <c r="Q2921" s="3">
        <f t="shared" si="181"/>
        <v>-3.8029044362701825E-3</v>
      </c>
      <c r="R2921" s="3">
        <f t="shared" si="182"/>
        <v>3.2299999999999998E-3</v>
      </c>
      <c r="S2921">
        <f t="shared" si="183"/>
        <v>68</v>
      </c>
      <c r="T2921">
        <f>INDEX([1]IDEN_level_ids!$B:$B,MATCH(G2921,[1]IDEN_level_ids!$A:$A,0),1)</f>
        <v>1060</v>
      </c>
      <c r="U2921">
        <f>INDEX([1]IDEN_level_ids!$B:$B,MATCH(H2921,[1]IDEN_level_ids!$A:$A,0),1)</f>
        <v>880</v>
      </c>
    </row>
    <row r="2922" spans="1:21" hidden="1" x14ac:dyDescent="0.25">
      <c r="A2922">
        <v>37739.469899999996</v>
      </c>
      <c r="B2922">
        <v>2649.7456999999999</v>
      </c>
      <c r="C2922">
        <v>18</v>
      </c>
      <c r="D2922" t="s">
        <v>675</v>
      </c>
      <c r="E2922" t="s">
        <v>427</v>
      </c>
      <c r="F2922">
        <v>1974</v>
      </c>
      <c r="G2922" s="1" t="s">
        <v>437</v>
      </c>
      <c r="H2922" s="1" t="s">
        <v>643</v>
      </c>
      <c r="I2922">
        <v>-0.26329999999999998</v>
      </c>
      <c r="J2922">
        <v>37739.450400000002</v>
      </c>
      <c r="K2922">
        <v>-1.3699999999999999E-3</v>
      </c>
      <c r="L2922">
        <v>3.4199999999999999E-3</v>
      </c>
      <c r="M2922">
        <v>4.87E-2</v>
      </c>
      <c r="N2922">
        <v>0.1263</v>
      </c>
      <c r="O2922">
        <v>3.9199999999999999E-3</v>
      </c>
      <c r="P2922" s="3">
        <f t="shared" si="180"/>
        <v>2649.7457506683213</v>
      </c>
      <c r="Q2922" s="3">
        <f t="shared" si="181"/>
        <v>-1.3691254525838303E-3</v>
      </c>
      <c r="R2922" s="3">
        <f t="shared" si="182"/>
        <v>3.4199999999999999E-3</v>
      </c>
      <c r="S2922">
        <f t="shared" si="183"/>
        <v>68</v>
      </c>
      <c r="T2922">
        <f>INDEX([1]IDEN_level_ids!$B:$B,MATCH(G2922,[1]IDEN_level_ids!$A:$A,0),1)</f>
        <v>1039</v>
      </c>
      <c r="U2922">
        <f>INDEX([1]IDEN_level_ids!$B:$B,MATCH(H2922,[1]IDEN_level_ids!$A:$A,0),1)</f>
        <v>869</v>
      </c>
    </row>
    <row r="2923" spans="1:21" hidden="1" x14ac:dyDescent="0.25">
      <c r="A2923">
        <v>37732.4493</v>
      </c>
      <c r="B2923">
        <v>2650.2388000000001</v>
      </c>
      <c r="C2923">
        <v>18</v>
      </c>
      <c r="D2923" t="s">
        <v>676</v>
      </c>
      <c r="F2923">
        <v>1974</v>
      </c>
      <c r="G2923" s="1" t="s">
        <v>108</v>
      </c>
      <c r="H2923" s="1" t="s">
        <v>563</v>
      </c>
      <c r="I2923">
        <v>0</v>
      </c>
      <c r="J2923">
        <v>37732.413800000002</v>
      </c>
      <c r="K2923">
        <v>-2.49E-3</v>
      </c>
      <c r="L2923">
        <v>3.2399999999999998E-3</v>
      </c>
      <c r="M2923">
        <v>4.6100000000000002E-2</v>
      </c>
      <c r="N2923">
        <v>0.2084</v>
      </c>
      <c r="O2923">
        <v>4.0899999999999999E-3</v>
      </c>
      <c r="P2923" s="3">
        <f t="shared" si="180"/>
        <v>2650.2387694190847</v>
      </c>
      <c r="Q2923" s="3">
        <f t="shared" si="181"/>
        <v>-2.493439110367035E-3</v>
      </c>
      <c r="R2923" s="3">
        <f t="shared" si="182"/>
        <v>3.2399999999999998E-3</v>
      </c>
      <c r="S2923">
        <f t="shared" si="183"/>
        <v>69</v>
      </c>
      <c r="T2923">
        <f>INDEX([1]IDEN_level_ids!$B:$B,MATCH(G2923,[1]IDEN_level_ids!$A:$A,0),1)</f>
        <v>1149</v>
      </c>
      <c r="U2923">
        <f>INDEX([1]IDEN_level_ids!$B:$B,MATCH(H2923,[1]IDEN_level_ids!$A:$A,0),1)</f>
        <v>1032</v>
      </c>
    </row>
    <row r="2924" spans="1:21" hidden="1" x14ac:dyDescent="0.25">
      <c r="A2924">
        <v>37723.82</v>
      </c>
      <c r="B2924">
        <v>2650.8449999999998</v>
      </c>
      <c r="C2924">
        <v>18</v>
      </c>
      <c r="D2924" t="s">
        <v>676</v>
      </c>
      <c r="F2924">
        <v>1974</v>
      </c>
      <c r="G2924" s="1" t="s">
        <v>100</v>
      </c>
      <c r="H2924" s="1" t="s">
        <v>576</v>
      </c>
      <c r="I2924">
        <v>0.13669999999999999</v>
      </c>
      <c r="J2924">
        <v>37723.840799999998</v>
      </c>
      <c r="K2924">
        <v>1.4599999999999999E-3</v>
      </c>
      <c r="L2924">
        <v>3.2399999999999998E-3</v>
      </c>
      <c r="M2924">
        <v>4.6100000000000002E-2</v>
      </c>
      <c r="N2924">
        <v>0.11840000000000001</v>
      </c>
      <c r="O2924">
        <v>3.6700000000000001E-3</v>
      </c>
      <c r="P2924" s="3">
        <f t="shared" si="180"/>
        <v>2650.8450098637941</v>
      </c>
      <c r="Q2924" s="3">
        <f t="shared" si="181"/>
        <v>1.4616108810514561E-3</v>
      </c>
      <c r="R2924" s="3">
        <f t="shared" si="182"/>
        <v>3.2399999999999998E-3</v>
      </c>
      <c r="S2924">
        <f t="shared" si="183"/>
        <v>69</v>
      </c>
      <c r="T2924">
        <f>INDEX([1]IDEN_level_ids!$B:$B,MATCH(G2924,[1]IDEN_level_ids!$A:$A,0),1)</f>
        <v>1146</v>
      </c>
      <c r="U2924">
        <f>INDEX([1]IDEN_level_ids!$B:$B,MATCH(H2924,[1]IDEN_level_ids!$A:$A,0),1)</f>
        <v>1024</v>
      </c>
    </row>
    <row r="2925" spans="1:21" hidden="1" x14ac:dyDescent="0.25">
      <c r="A2925">
        <v>37721.699699999997</v>
      </c>
      <c r="B2925">
        <v>2650.9940000000001</v>
      </c>
      <c r="C2925">
        <v>18</v>
      </c>
      <c r="D2925" t="s">
        <v>676</v>
      </c>
      <c r="F2925">
        <v>1974</v>
      </c>
      <c r="G2925" s="1" t="s">
        <v>245</v>
      </c>
      <c r="H2925" s="1" t="s">
        <v>451</v>
      </c>
      <c r="I2925">
        <v>0.38469999999999999</v>
      </c>
      <c r="J2925">
        <v>37721.668100000003</v>
      </c>
      <c r="K2925">
        <v>-2.2200000000000002E-3</v>
      </c>
      <c r="L2925">
        <v>3.2399999999999998E-3</v>
      </c>
      <c r="M2925">
        <v>4.6100000000000002E-2</v>
      </c>
      <c r="N2925">
        <v>8.8099999999999998E-2</v>
      </c>
      <c r="O2925">
        <v>3.5500000000000002E-3</v>
      </c>
      <c r="P2925" s="3">
        <f t="shared" si="180"/>
        <v>2650.9940112799318</v>
      </c>
      <c r="Q2925" s="3">
        <f t="shared" si="181"/>
        <v>-2.2207769425222068E-3</v>
      </c>
      <c r="R2925" s="3">
        <f t="shared" si="182"/>
        <v>3.2399999999999998E-3</v>
      </c>
      <c r="S2925">
        <f t="shared" si="183"/>
        <v>69</v>
      </c>
      <c r="T2925">
        <f>INDEX([1]IDEN_level_ids!$B:$B,MATCH(G2925,[1]IDEN_level_ids!$A:$A,0),1)</f>
        <v>1169</v>
      </c>
      <c r="U2925">
        <f>INDEX([1]IDEN_level_ids!$B:$B,MATCH(H2925,[1]IDEN_level_ids!$A:$A,0),1)</f>
        <v>1066</v>
      </c>
    </row>
    <row r="2926" spans="1:21" hidden="1" x14ac:dyDescent="0.25">
      <c r="A2926">
        <v>37718.6512</v>
      </c>
      <c r="B2926">
        <v>2651.2082999999998</v>
      </c>
      <c r="C2926">
        <v>18</v>
      </c>
      <c r="D2926" t="s">
        <v>676</v>
      </c>
      <c r="F2926">
        <v>1974</v>
      </c>
      <c r="G2926" s="1" t="s">
        <v>117</v>
      </c>
      <c r="H2926" s="1" t="s">
        <v>377</v>
      </c>
      <c r="I2926">
        <v>0.33889999999999998</v>
      </c>
      <c r="J2926">
        <v>37718.605199999998</v>
      </c>
      <c r="K2926">
        <v>-3.2299999999999998E-3</v>
      </c>
      <c r="L2926">
        <v>3.2399999999999998E-3</v>
      </c>
      <c r="M2926">
        <v>4.6100000000000002E-2</v>
      </c>
      <c r="N2926">
        <v>7.5700000000000003E-2</v>
      </c>
      <c r="O2926">
        <v>3.5000000000000001E-3</v>
      </c>
      <c r="P2926" s="3">
        <f t="shared" si="180"/>
        <v>2651.2082701409004</v>
      </c>
      <c r="Q2926" s="3">
        <f t="shared" si="181"/>
        <v>-3.233300377814885E-3</v>
      </c>
      <c r="R2926" s="3">
        <f t="shared" si="182"/>
        <v>3.2399999999999998E-3</v>
      </c>
      <c r="S2926">
        <f t="shared" si="183"/>
        <v>69</v>
      </c>
      <c r="T2926">
        <f>INDEX([1]IDEN_level_ids!$B:$B,MATCH(G2926,[1]IDEN_level_ids!$A:$A,0),1)</f>
        <v>1162</v>
      </c>
      <c r="U2926">
        <f>INDEX([1]IDEN_level_ids!$B:$B,MATCH(H2926,[1]IDEN_level_ids!$A:$A,0),1)</f>
        <v>1057</v>
      </c>
    </row>
    <row r="2927" spans="1:21" hidden="1" x14ac:dyDescent="0.25">
      <c r="A2927">
        <v>37715.010300000002</v>
      </c>
      <c r="B2927">
        <v>2651.4641999999999</v>
      </c>
      <c r="C2927">
        <v>18</v>
      </c>
      <c r="D2927" t="s">
        <v>676</v>
      </c>
      <c r="F2927">
        <v>1974</v>
      </c>
      <c r="G2927" s="1" t="s">
        <v>557</v>
      </c>
      <c r="H2927" s="1" t="s">
        <v>143</v>
      </c>
      <c r="I2927">
        <v>0</v>
      </c>
      <c r="J2927">
        <v>37714.973700000002</v>
      </c>
      <c r="K2927">
        <v>-2.5699999999999998E-3</v>
      </c>
      <c r="L2927">
        <v>3.2399999999999998E-3</v>
      </c>
      <c r="M2927">
        <v>4.6100000000000002E-2</v>
      </c>
      <c r="N2927">
        <v>0.2666</v>
      </c>
      <c r="O2927">
        <v>4.4200000000000003E-3</v>
      </c>
      <c r="P2927" s="3">
        <f t="shared" si="180"/>
        <v>2651.4642102590119</v>
      </c>
      <c r="Q2927" s="3">
        <f t="shared" si="181"/>
        <v>-2.5730785564519465E-3</v>
      </c>
      <c r="R2927" s="3">
        <f t="shared" si="182"/>
        <v>3.2399999999999998E-3</v>
      </c>
      <c r="S2927">
        <f t="shared" si="183"/>
        <v>69</v>
      </c>
      <c r="T2927">
        <f>INDEX([1]IDEN_level_ids!$B:$B,MATCH(G2927,[1]IDEN_level_ids!$A:$A,0),1)</f>
        <v>1069</v>
      </c>
      <c r="U2927">
        <f>INDEX([1]IDEN_level_ids!$B:$B,MATCH(H2927,[1]IDEN_level_ids!$A:$A,0),1)</f>
        <v>890</v>
      </c>
    </row>
    <row r="2928" spans="1:21" hidden="1" x14ac:dyDescent="0.25">
      <c r="A2928">
        <v>37675.259400000003</v>
      </c>
      <c r="B2928">
        <v>2654.2618000000002</v>
      </c>
      <c r="C2928">
        <v>18</v>
      </c>
      <c r="D2928" t="s">
        <v>676</v>
      </c>
      <c r="F2928">
        <v>1974</v>
      </c>
      <c r="G2928" s="1" t="s">
        <v>295</v>
      </c>
      <c r="H2928" s="1" t="s">
        <v>582</v>
      </c>
      <c r="I2928">
        <v>-0.25890000000000002</v>
      </c>
      <c r="J2928">
        <v>37675.193599999999</v>
      </c>
      <c r="K2928">
        <v>-4.64E-3</v>
      </c>
      <c r="L2928">
        <v>3.2499999999999999E-3</v>
      </c>
      <c r="M2928">
        <v>4.6100000000000002E-2</v>
      </c>
      <c r="N2928">
        <v>0.14419999999999999</v>
      </c>
      <c r="O2928">
        <v>3.79E-3</v>
      </c>
      <c r="P2928" s="3">
        <f t="shared" si="180"/>
        <v>2654.2617514134486</v>
      </c>
      <c r="Q2928" s="3">
        <f t="shared" si="181"/>
        <v>-4.6356874795492331E-3</v>
      </c>
      <c r="R2928" s="3">
        <f t="shared" si="182"/>
        <v>3.2499999999999999E-3</v>
      </c>
      <c r="S2928">
        <f t="shared" si="183"/>
        <v>69</v>
      </c>
      <c r="T2928">
        <f>INDEX([1]IDEN_level_ids!$B:$B,MATCH(G2928,[1]IDEN_level_ids!$A:$A,0),1)</f>
        <v>1152</v>
      </c>
      <c r="U2928">
        <f>INDEX([1]IDEN_level_ids!$B:$B,MATCH(H2928,[1]IDEN_level_ids!$A:$A,0),1)</f>
        <v>1042</v>
      </c>
    </row>
    <row r="2929" spans="1:21" hidden="1" x14ac:dyDescent="0.25">
      <c r="A2929">
        <v>37673.469799999999</v>
      </c>
      <c r="B2929">
        <v>2654.3878</v>
      </c>
      <c r="C2929">
        <v>18</v>
      </c>
      <c r="D2929" t="s">
        <v>676</v>
      </c>
      <c r="F2929">
        <v>1974</v>
      </c>
      <c r="G2929" s="1" t="s">
        <v>481</v>
      </c>
      <c r="H2929" s="1" t="s">
        <v>640</v>
      </c>
      <c r="I2929">
        <v>0</v>
      </c>
      <c r="J2929">
        <v>37673.385699999999</v>
      </c>
      <c r="K2929">
        <v>-5.9199999999999999E-3</v>
      </c>
      <c r="L2929">
        <v>3.2499999999999999E-3</v>
      </c>
      <c r="M2929">
        <v>4.6100000000000002E-2</v>
      </c>
      <c r="N2929">
        <v>0.22459999999999999</v>
      </c>
      <c r="O2929">
        <v>4.1900000000000001E-3</v>
      </c>
      <c r="P2929" s="3">
        <f t="shared" si="180"/>
        <v>2654.3878366096242</v>
      </c>
      <c r="Q2929" s="3">
        <f t="shared" si="181"/>
        <v>-5.9255098235553305E-3</v>
      </c>
      <c r="R2929" s="3">
        <f t="shared" si="182"/>
        <v>3.2499999999999999E-3</v>
      </c>
      <c r="S2929">
        <f t="shared" si="183"/>
        <v>69</v>
      </c>
      <c r="T2929">
        <f>INDEX([1]IDEN_level_ids!$B:$B,MATCH(G2929,[1]IDEN_level_ids!$A:$A,0),1)</f>
        <v>1016</v>
      </c>
      <c r="U2929">
        <f>INDEX([1]IDEN_level_ids!$B:$B,MATCH(H2929,[1]IDEN_level_ids!$A:$A,0),1)</f>
        <v>843</v>
      </c>
    </row>
    <row r="2930" spans="1:21" hidden="1" x14ac:dyDescent="0.25">
      <c r="A2930">
        <v>37641.311300000001</v>
      </c>
      <c r="B2930">
        <v>2656.6556</v>
      </c>
      <c r="C2930">
        <v>18</v>
      </c>
      <c r="D2930" t="s">
        <v>676</v>
      </c>
      <c r="F2930">
        <v>1974</v>
      </c>
      <c r="G2930" s="1" t="s">
        <v>239</v>
      </c>
      <c r="H2930" s="1" t="s">
        <v>419</v>
      </c>
      <c r="I2930">
        <v>0.2853</v>
      </c>
      <c r="J2930">
        <v>37641.2932</v>
      </c>
      <c r="K2930">
        <v>-1.2800000000000001E-3</v>
      </c>
      <c r="L2930">
        <v>3.2499999999999999E-3</v>
      </c>
      <c r="M2930">
        <v>4.6100000000000002E-2</v>
      </c>
      <c r="N2930">
        <v>0.1081</v>
      </c>
      <c r="O2930">
        <v>3.65E-3</v>
      </c>
      <c r="P2930" s="3">
        <f t="shared" si="180"/>
        <v>2656.6555878726786</v>
      </c>
      <c r="Q2930" s="3">
        <f t="shared" si="181"/>
        <v>-1.2774658375747094E-3</v>
      </c>
      <c r="R2930" s="3">
        <f t="shared" si="182"/>
        <v>3.2499999999999999E-3</v>
      </c>
      <c r="S2930">
        <f t="shared" si="183"/>
        <v>69</v>
      </c>
      <c r="T2930">
        <f>INDEX([1]IDEN_level_ids!$B:$B,MATCH(G2930,[1]IDEN_level_ids!$A:$A,0),1)</f>
        <v>1167</v>
      </c>
      <c r="U2930">
        <f>INDEX([1]IDEN_level_ids!$B:$B,MATCH(H2930,[1]IDEN_level_ids!$A:$A,0),1)</f>
        <v>1068</v>
      </c>
    </row>
    <row r="2931" spans="1:21" hidden="1" x14ac:dyDescent="0.25">
      <c r="A2931">
        <v>37638.509299999998</v>
      </c>
      <c r="B2931">
        <v>2656.8534</v>
      </c>
      <c r="C2931">
        <v>18</v>
      </c>
      <c r="D2931" t="s">
        <v>676</v>
      </c>
      <c r="F2931">
        <v>1974</v>
      </c>
      <c r="G2931" s="1" t="s">
        <v>82</v>
      </c>
      <c r="H2931" s="1" t="s">
        <v>386</v>
      </c>
      <c r="I2931">
        <v>0.22500000000000001</v>
      </c>
      <c r="J2931">
        <v>37638.463000000003</v>
      </c>
      <c r="K2931">
        <v>-3.2699999999999999E-3</v>
      </c>
      <c r="L2931">
        <v>3.2499999999999999E-3</v>
      </c>
      <c r="M2931">
        <v>4.6100000000000002E-2</v>
      </c>
      <c r="N2931">
        <v>9.2100000000000001E-2</v>
      </c>
      <c r="O2931">
        <v>3.5799999999999998E-3</v>
      </c>
      <c r="P2931" s="3">
        <f t="shared" si="180"/>
        <v>2656.8533626808648</v>
      </c>
      <c r="Q2931" s="3">
        <f t="shared" si="181"/>
        <v>-3.268260732966155E-3</v>
      </c>
      <c r="R2931" s="3">
        <f t="shared" si="182"/>
        <v>3.2499999999999999E-3</v>
      </c>
      <c r="S2931">
        <f t="shared" si="183"/>
        <v>69</v>
      </c>
      <c r="T2931">
        <f>INDEX([1]IDEN_level_ids!$B:$B,MATCH(G2931,[1]IDEN_level_ids!$A:$A,0),1)</f>
        <v>1193</v>
      </c>
      <c r="U2931">
        <f>INDEX([1]IDEN_level_ids!$B:$B,MATCH(H2931,[1]IDEN_level_ids!$A:$A,0),1)</f>
        <v>1082</v>
      </c>
    </row>
    <row r="2932" spans="1:21" hidden="1" x14ac:dyDescent="0.25">
      <c r="A2932">
        <v>37628.080600000001</v>
      </c>
      <c r="B2932">
        <v>2657.5897</v>
      </c>
      <c r="C2932">
        <v>18</v>
      </c>
      <c r="D2932" t="s">
        <v>676</v>
      </c>
      <c r="F2932">
        <v>1974</v>
      </c>
      <c r="G2932" s="1" t="s">
        <v>470</v>
      </c>
      <c r="H2932" s="1" t="s">
        <v>366</v>
      </c>
      <c r="I2932">
        <v>-0.2848</v>
      </c>
      <c r="J2932">
        <v>37628.126799999998</v>
      </c>
      <c r="K2932">
        <v>3.2699999999999999E-3</v>
      </c>
      <c r="L2932">
        <v>3.2499999999999999E-3</v>
      </c>
      <c r="M2932">
        <v>4.6100000000000002E-2</v>
      </c>
      <c r="N2932">
        <v>0.22059999999999999</v>
      </c>
      <c r="O2932">
        <v>4.1700000000000001E-3</v>
      </c>
      <c r="P2932" s="3">
        <f t="shared" si="180"/>
        <v>2657.5897150597684</v>
      </c>
      <c r="Q2932" s="3">
        <f t="shared" si="181"/>
        <v>3.2630017826704716E-3</v>
      </c>
      <c r="R2932" s="3">
        <f t="shared" si="182"/>
        <v>3.2499999999999999E-3</v>
      </c>
      <c r="S2932">
        <f t="shared" si="183"/>
        <v>69</v>
      </c>
      <c r="T2932">
        <f>INDEX([1]IDEN_level_ids!$B:$B,MATCH(G2932,[1]IDEN_level_ids!$A:$A,0),1)</f>
        <v>1026</v>
      </c>
      <c r="U2932">
        <f>INDEX([1]IDEN_level_ids!$B:$B,MATCH(H2932,[1]IDEN_level_ids!$A:$A,0),1)</f>
        <v>853</v>
      </c>
    </row>
    <row r="2933" spans="1:21" hidden="1" x14ac:dyDescent="0.25">
      <c r="A2933">
        <v>37626.990400000002</v>
      </c>
      <c r="B2933">
        <v>2657.6667000000002</v>
      </c>
      <c r="C2933">
        <v>18</v>
      </c>
      <c r="D2933" t="s">
        <v>676</v>
      </c>
      <c r="E2933" t="s">
        <v>427</v>
      </c>
      <c r="F2933">
        <v>1974</v>
      </c>
      <c r="G2933" s="1" t="s">
        <v>304</v>
      </c>
      <c r="H2933" s="1" t="s">
        <v>389</v>
      </c>
      <c r="I2933">
        <v>0.31669999999999998</v>
      </c>
      <c r="J2933">
        <v>37626.9156</v>
      </c>
      <c r="K2933">
        <v>-5.2900000000000004E-3</v>
      </c>
      <c r="L2933">
        <v>3.4399999999999999E-3</v>
      </c>
      <c r="M2933">
        <v>4.87E-2</v>
      </c>
      <c r="N2933">
        <v>0.35110000000000002</v>
      </c>
      <c r="O2933">
        <v>5.3E-3</v>
      </c>
      <c r="P2933" s="3">
        <f t="shared" si="180"/>
        <v>2657.6667157519992</v>
      </c>
      <c r="Q2933" s="3">
        <f t="shared" si="181"/>
        <v>-5.2832783972007746E-3</v>
      </c>
      <c r="R2933" s="3">
        <f t="shared" si="182"/>
        <v>3.4399999999999999E-3</v>
      </c>
      <c r="S2933">
        <f t="shared" si="183"/>
        <v>69</v>
      </c>
      <c r="T2933">
        <f>INDEX([1]IDEN_level_ids!$B:$B,MATCH(G2933,[1]IDEN_level_ids!$A:$A,0),1)</f>
        <v>1096</v>
      </c>
      <c r="U2933">
        <f>INDEX([1]IDEN_level_ids!$B:$B,MATCH(H2933,[1]IDEN_level_ids!$A:$A,0),1)</f>
        <v>942</v>
      </c>
    </row>
    <row r="2934" spans="1:21" hidden="1" x14ac:dyDescent="0.25">
      <c r="A2934">
        <v>37622.249300000003</v>
      </c>
      <c r="B2934">
        <v>2658.0016000000001</v>
      </c>
      <c r="C2934">
        <v>18</v>
      </c>
      <c r="D2934" t="s">
        <v>676</v>
      </c>
      <c r="E2934" t="s">
        <v>638</v>
      </c>
      <c r="F2934">
        <v>1974</v>
      </c>
      <c r="G2934" s="1" t="s">
        <v>319</v>
      </c>
      <c r="H2934" s="1" t="s">
        <v>528</v>
      </c>
      <c r="I2934">
        <v>-0.20130000000000001</v>
      </c>
      <c r="J2934">
        <v>37622.189700000003</v>
      </c>
      <c r="K2934">
        <v>-4.2100000000000002E-3</v>
      </c>
      <c r="L2934">
        <v>1.221E-2</v>
      </c>
      <c r="M2934">
        <v>0.17280000000000001</v>
      </c>
      <c r="N2934">
        <v>0.11840000000000001</v>
      </c>
      <c r="O2934">
        <v>1.3849999999999999E-2</v>
      </c>
      <c r="P2934" s="3">
        <f t="shared" si="180"/>
        <v>2658.0016309657485</v>
      </c>
      <c r="Q2934" s="3">
        <f t="shared" si="181"/>
        <v>-4.2107303820557718E-3</v>
      </c>
      <c r="R2934" s="3">
        <f t="shared" si="182"/>
        <v>1.221E-2</v>
      </c>
      <c r="S2934">
        <f t="shared" si="183"/>
        <v>69</v>
      </c>
      <c r="T2934">
        <f>INDEX([1]IDEN_level_ids!$B:$B,MATCH(G2934,[1]IDEN_level_ids!$A:$A,0),1)</f>
        <v>1141</v>
      </c>
      <c r="U2934">
        <f>INDEX([1]IDEN_level_ids!$B:$B,MATCH(H2934,[1]IDEN_level_ids!$A:$A,0),1)</f>
        <v>1009</v>
      </c>
    </row>
    <row r="2935" spans="1:21" hidden="1" x14ac:dyDescent="0.25">
      <c r="A2935">
        <v>37607.810799999999</v>
      </c>
      <c r="B2935">
        <v>2659.0221000000001</v>
      </c>
      <c r="C2935">
        <v>18</v>
      </c>
      <c r="D2935" t="s">
        <v>676</v>
      </c>
      <c r="F2935">
        <v>1974</v>
      </c>
      <c r="G2935" s="1" t="s">
        <v>289</v>
      </c>
      <c r="H2935" s="1" t="s">
        <v>568</v>
      </c>
      <c r="I2935">
        <v>0</v>
      </c>
      <c r="J2935">
        <v>37607.7768</v>
      </c>
      <c r="K2935">
        <v>-2.3999999999999998E-3</v>
      </c>
      <c r="L2935">
        <v>3.2599999999999999E-3</v>
      </c>
      <c r="M2935">
        <v>4.6100000000000002E-2</v>
      </c>
      <c r="N2935">
        <v>0.25519999999999998</v>
      </c>
      <c r="O2935">
        <v>4.3699999999999998E-3</v>
      </c>
      <c r="P2935" s="3">
        <f t="shared" si="180"/>
        <v>2659.0220986753102</v>
      </c>
      <c r="Q2935" s="3">
        <f t="shared" si="181"/>
        <v>-2.4039376708060445E-3</v>
      </c>
      <c r="R2935" s="3">
        <f t="shared" si="182"/>
        <v>3.2599999999999999E-3</v>
      </c>
      <c r="S2935">
        <f t="shared" si="183"/>
        <v>69</v>
      </c>
      <c r="T2935">
        <f>INDEX([1]IDEN_level_ids!$B:$B,MATCH(G2935,[1]IDEN_level_ids!$A:$A,0),1)</f>
        <v>1122</v>
      </c>
      <c r="U2935">
        <f>INDEX([1]IDEN_level_ids!$B:$B,MATCH(H2935,[1]IDEN_level_ids!$A:$A,0),1)</f>
        <v>988</v>
      </c>
    </row>
    <row r="2936" spans="1:21" hidden="1" x14ac:dyDescent="0.25">
      <c r="A2936">
        <v>37589.178699999997</v>
      </c>
      <c r="B2936">
        <v>2660.3400999999999</v>
      </c>
      <c r="C2936">
        <v>18</v>
      </c>
      <c r="D2936" t="s">
        <v>676</v>
      </c>
      <c r="F2936">
        <v>1974</v>
      </c>
      <c r="G2936" s="1" t="s">
        <v>302</v>
      </c>
      <c r="H2936" s="1" t="s">
        <v>498</v>
      </c>
      <c r="I2936">
        <v>0</v>
      </c>
      <c r="J2936">
        <v>37589.148699999998</v>
      </c>
      <c r="K2936">
        <v>-2.1299999999999999E-3</v>
      </c>
      <c r="L2936">
        <v>3.2599999999999999E-3</v>
      </c>
      <c r="M2936">
        <v>4.6100000000000002E-2</v>
      </c>
      <c r="N2936">
        <v>0.27160000000000001</v>
      </c>
      <c r="O2936">
        <v>4.4799999999999996E-3</v>
      </c>
      <c r="P2936" s="3">
        <f t="shared" si="180"/>
        <v>2660.3401153853893</v>
      </c>
      <c r="Q2936" s="3">
        <f t="shared" si="181"/>
        <v>-2.123224553088221E-3</v>
      </c>
      <c r="R2936" s="3">
        <f t="shared" si="182"/>
        <v>3.2599999999999999E-3</v>
      </c>
      <c r="S2936">
        <f t="shared" si="183"/>
        <v>69</v>
      </c>
      <c r="T2936">
        <f>INDEX([1]IDEN_level_ids!$B:$B,MATCH(G2936,[1]IDEN_level_ids!$A:$A,0),1)</f>
        <v>1100</v>
      </c>
      <c r="U2936">
        <f>INDEX([1]IDEN_level_ids!$B:$B,MATCH(H2936,[1]IDEN_level_ids!$A:$A,0),1)</f>
        <v>953</v>
      </c>
    </row>
    <row r="2937" spans="1:21" hidden="1" x14ac:dyDescent="0.25">
      <c r="A2937">
        <v>37585.0092</v>
      </c>
      <c r="B2937">
        <v>2660.6352000000002</v>
      </c>
      <c r="C2937">
        <v>18</v>
      </c>
      <c r="D2937" t="s">
        <v>676</v>
      </c>
      <c r="F2937">
        <v>1974</v>
      </c>
      <c r="G2937" s="1" t="s">
        <v>295</v>
      </c>
      <c r="H2937" s="1" t="s">
        <v>445</v>
      </c>
      <c r="I2937">
        <v>0</v>
      </c>
      <c r="J2937">
        <v>37585.019200000002</v>
      </c>
      <c r="K2937">
        <v>7.1000000000000002E-4</v>
      </c>
      <c r="L2937">
        <v>3.2599999999999999E-3</v>
      </c>
      <c r="M2937">
        <v>4.6100000000000002E-2</v>
      </c>
      <c r="N2937">
        <v>0.11070000000000001</v>
      </c>
      <c r="O2937">
        <v>3.6700000000000001E-3</v>
      </c>
      <c r="P2937" s="3">
        <f t="shared" si="180"/>
        <v>2660.6352407118738</v>
      </c>
      <c r="Q2937" s="3">
        <f t="shared" si="181"/>
        <v>7.0789780011182302E-4</v>
      </c>
      <c r="R2937" s="3">
        <f t="shared" si="182"/>
        <v>3.2599999999999999E-3</v>
      </c>
      <c r="S2937">
        <f t="shared" si="183"/>
        <v>69</v>
      </c>
      <c r="T2937">
        <f>INDEX([1]IDEN_level_ids!$B:$B,MATCH(G2937,[1]IDEN_level_ids!$A:$A,0),1)</f>
        <v>1152</v>
      </c>
      <c r="U2937">
        <f>INDEX([1]IDEN_level_ids!$B:$B,MATCH(H2937,[1]IDEN_level_ids!$A:$A,0),1)</f>
        <v>1041</v>
      </c>
    </row>
    <row r="2938" spans="1:21" hidden="1" x14ac:dyDescent="0.25">
      <c r="A2938">
        <v>37570.500599999999</v>
      </c>
      <c r="B2938">
        <v>2661.6626999999999</v>
      </c>
      <c r="C2938">
        <v>18</v>
      </c>
      <c r="D2938" t="s">
        <v>676</v>
      </c>
      <c r="F2938">
        <v>1974</v>
      </c>
      <c r="G2938" s="1" t="s">
        <v>428</v>
      </c>
      <c r="H2938" s="1" t="s">
        <v>648</v>
      </c>
      <c r="I2938">
        <v>-0.39950000000000002</v>
      </c>
      <c r="J2938">
        <v>37570.465600000003</v>
      </c>
      <c r="K2938">
        <v>-2.48E-3</v>
      </c>
      <c r="L2938">
        <v>3.2599999999999999E-3</v>
      </c>
      <c r="M2938">
        <v>4.6100000000000002E-2</v>
      </c>
      <c r="N2938">
        <v>0.1278</v>
      </c>
      <c r="O2938">
        <v>3.7399999999999998E-3</v>
      </c>
      <c r="P2938" s="3">
        <f t="shared" si="180"/>
        <v>2661.6626982074336</v>
      </c>
      <c r="Q2938" s="3">
        <f t="shared" si="181"/>
        <v>-2.4795592212285555E-3</v>
      </c>
      <c r="R2938" s="3">
        <f t="shared" si="182"/>
        <v>3.2599999999999999E-3</v>
      </c>
      <c r="S2938">
        <f t="shared" si="183"/>
        <v>69</v>
      </c>
      <c r="T2938">
        <f>INDEX([1]IDEN_level_ids!$B:$B,MATCH(G2938,[1]IDEN_level_ids!$A:$A,0),1)</f>
        <v>1060</v>
      </c>
      <c r="U2938">
        <f>INDEX([1]IDEN_level_ids!$B:$B,MATCH(H2938,[1]IDEN_level_ids!$A:$A,0),1)</f>
        <v>883</v>
      </c>
    </row>
    <row r="2939" spans="1:21" hidden="1" x14ac:dyDescent="0.25">
      <c r="A2939">
        <v>37568.680200000003</v>
      </c>
      <c r="B2939">
        <v>2661.7917000000002</v>
      </c>
      <c r="C2939">
        <v>18</v>
      </c>
      <c r="D2939" t="s">
        <v>676</v>
      </c>
      <c r="F2939">
        <v>1974</v>
      </c>
      <c r="G2939" s="1" t="s">
        <v>269</v>
      </c>
      <c r="H2939" s="1" t="s">
        <v>524</v>
      </c>
      <c r="I2939">
        <v>0</v>
      </c>
      <c r="J2939">
        <v>37568.636400000003</v>
      </c>
      <c r="K2939">
        <v>-3.0999999999999999E-3</v>
      </c>
      <c r="L2939">
        <v>3.2599999999999999E-3</v>
      </c>
      <c r="M2939">
        <v>4.6100000000000002E-2</v>
      </c>
      <c r="N2939">
        <v>0.5716</v>
      </c>
      <c r="O2939">
        <v>7.62E-3</v>
      </c>
      <c r="P2939" s="3">
        <f t="shared" si="180"/>
        <v>2661.7916697536793</v>
      </c>
      <c r="Q2939" s="3">
        <f t="shared" si="181"/>
        <v>-3.1032927013256995E-3</v>
      </c>
      <c r="R2939" s="3">
        <f t="shared" si="182"/>
        <v>3.2599999999999999E-3</v>
      </c>
      <c r="S2939">
        <f t="shared" si="183"/>
        <v>69</v>
      </c>
      <c r="T2939">
        <f>INDEX([1]IDEN_level_ids!$B:$B,MATCH(G2939,[1]IDEN_level_ids!$A:$A,0),1)</f>
        <v>1137</v>
      </c>
      <c r="U2939">
        <f>INDEX([1]IDEN_level_ids!$B:$B,MATCH(H2939,[1]IDEN_level_ids!$A:$A,0),1)</f>
        <v>998</v>
      </c>
    </row>
    <row r="2940" spans="1:21" hidden="1" x14ac:dyDescent="0.25">
      <c r="A2940">
        <v>37563.7808</v>
      </c>
      <c r="B2940">
        <v>2662.1388000000002</v>
      </c>
      <c r="C2940">
        <v>18</v>
      </c>
      <c r="D2940" t="s">
        <v>676</v>
      </c>
      <c r="F2940">
        <v>1974</v>
      </c>
      <c r="G2940" s="1" t="s">
        <v>285</v>
      </c>
      <c r="H2940" s="1" t="s">
        <v>552</v>
      </c>
      <c r="I2940">
        <v>0</v>
      </c>
      <c r="J2940">
        <v>37563.717900000003</v>
      </c>
      <c r="K2940">
        <v>-4.4600000000000004E-3</v>
      </c>
      <c r="L2940">
        <v>3.2599999999999999E-3</v>
      </c>
      <c r="M2940">
        <v>4.6100000000000002E-2</v>
      </c>
      <c r="N2940">
        <v>0.1265</v>
      </c>
      <c r="O2940">
        <v>3.7399999999999998E-3</v>
      </c>
      <c r="P2940" s="3">
        <f t="shared" si="180"/>
        <v>2662.1388441282779</v>
      </c>
      <c r="Q2940" s="3">
        <f t="shared" si="181"/>
        <v>-4.4577199128070788E-3</v>
      </c>
      <c r="R2940" s="3">
        <f t="shared" si="182"/>
        <v>3.2599999999999999E-3</v>
      </c>
      <c r="S2940">
        <f t="shared" si="183"/>
        <v>69</v>
      </c>
      <c r="T2940">
        <f>INDEX([1]IDEN_level_ids!$B:$B,MATCH(G2940,[1]IDEN_level_ids!$A:$A,0),1)</f>
        <v>1150</v>
      </c>
      <c r="U2940">
        <f>INDEX([1]IDEN_level_ids!$B:$B,MATCH(H2940,[1]IDEN_level_ids!$A:$A,0),1)</f>
        <v>1040</v>
      </c>
    </row>
    <row r="2941" spans="1:21" hidden="1" x14ac:dyDescent="0.25">
      <c r="A2941">
        <v>37547.038999999997</v>
      </c>
      <c r="B2941">
        <v>2663.3258999999998</v>
      </c>
      <c r="C2941">
        <v>18</v>
      </c>
      <c r="D2941" t="s">
        <v>676</v>
      </c>
      <c r="F2941">
        <v>1974</v>
      </c>
      <c r="G2941" s="1" t="s">
        <v>100</v>
      </c>
      <c r="H2941" s="1" t="s">
        <v>536</v>
      </c>
      <c r="I2941">
        <v>0</v>
      </c>
      <c r="J2941">
        <v>37546.950599999996</v>
      </c>
      <c r="K2941">
        <v>-6.2700000000000004E-3</v>
      </c>
      <c r="L2941">
        <v>3.2699999999999999E-3</v>
      </c>
      <c r="M2941">
        <v>4.6100000000000002E-2</v>
      </c>
      <c r="N2941">
        <v>9.6100000000000005E-2</v>
      </c>
      <c r="O2941">
        <v>3.62E-3</v>
      </c>
      <c r="P2941" s="3">
        <f t="shared" si="180"/>
        <v>2663.3258617277384</v>
      </c>
      <c r="Q2941" s="3">
        <f t="shared" si="181"/>
        <v>-6.2704960701012169E-3</v>
      </c>
      <c r="R2941" s="3">
        <f t="shared" si="182"/>
        <v>3.2699999999999999E-3</v>
      </c>
      <c r="S2941">
        <f t="shared" si="183"/>
        <v>69</v>
      </c>
      <c r="T2941">
        <f>INDEX([1]IDEN_level_ids!$B:$B,MATCH(G2941,[1]IDEN_level_ids!$A:$A,0),1)</f>
        <v>1146</v>
      </c>
      <c r="U2941">
        <f>INDEX([1]IDEN_level_ids!$B:$B,MATCH(H2941,[1]IDEN_level_ids!$A:$A,0),1)</f>
        <v>1021</v>
      </c>
    </row>
    <row r="2942" spans="1:21" hidden="1" x14ac:dyDescent="0.25">
      <c r="A2942">
        <v>37524.799500000001</v>
      </c>
      <c r="B2942">
        <v>2664.9043000000001</v>
      </c>
      <c r="C2942">
        <v>18</v>
      </c>
      <c r="D2942" t="s">
        <v>676</v>
      </c>
      <c r="E2942" t="s">
        <v>427</v>
      </c>
      <c r="F2942">
        <v>1974</v>
      </c>
      <c r="G2942" s="1" t="s">
        <v>73</v>
      </c>
      <c r="H2942" s="1" t="s">
        <v>407</v>
      </c>
      <c r="I2942">
        <v>0.27489999999999998</v>
      </c>
      <c r="J2942">
        <v>37524.762699999999</v>
      </c>
      <c r="K2942">
        <v>-2.6199999999999999E-3</v>
      </c>
      <c r="L2942">
        <v>3.46E-3</v>
      </c>
      <c r="M2942">
        <v>4.87E-2</v>
      </c>
      <c r="N2942">
        <v>6.6699999999999995E-2</v>
      </c>
      <c r="O2942">
        <v>3.7100000000000002E-3</v>
      </c>
      <c r="P2942" s="3">
        <f t="shared" si="180"/>
        <v>2664.9043121469576</v>
      </c>
      <c r="Q2942" s="3">
        <f t="shared" si="181"/>
        <v>-2.6134336803806946E-3</v>
      </c>
      <c r="R2942" s="3">
        <f t="shared" si="182"/>
        <v>3.46E-3</v>
      </c>
      <c r="S2942">
        <f t="shared" si="183"/>
        <v>69</v>
      </c>
      <c r="T2942">
        <f>INDEX([1]IDEN_level_ids!$B:$B,MATCH(G2942,[1]IDEN_level_ids!$A:$A,0),1)</f>
        <v>1173</v>
      </c>
      <c r="U2942">
        <f>INDEX([1]IDEN_level_ids!$B:$B,MATCH(H2942,[1]IDEN_level_ids!$A:$A,0),1)</f>
        <v>1073</v>
      </c>
    </row>
    <row r="2943" spans="1:21" hidden="1" x14ac:dyDescent="0.25">
      <c r="A2943">
        <v>37512.461499999998</v>
      </c>
      <c r="B2943">
        <v>2665.7808</v>
      </c>
      <c r="C2943">
        <v>18</v>
      </c>
      <c r="D2943" t="s">
        <v>676</v>
      </c>
      <c r="F2943">
        <v>1974</v>
      </c>
      <c r="G2943" s="1" t="s">
        <v>197</v>
      </c>
      <c r="H2943" s="1" t="s">
        <v>446</v>
      </c>
      <c r="I2943">
        <v>0.31669999999999998</v>
      </c>
      <c r="J2943">
        <v>37512.445899999999</v>
      </c>
      <c r="K2943">
        <v>-1.1100000000000001E-3</v>
      </c>
      <c r="L2943">
        <v>3.2699999999999999E-3</v>
      </c>
      <c r="M2943">
        <v>4.6100000000000002E-2</v>
      </c>
      <c r="N2943">
        <v>8.5599999999999996E-2</v>
      </c>
      <c r="O2943">
        <v>3.5799999999999998E-3</v>
      </c>
      <c r="P2943" s="3">
        <f t="shared" si="180"/>
        <v>2665.7808099316544</v>
      </c>
      <c r="Q2943" s="3">
        <f t="shared" si="181"/>
        <v>-1.1085968840234273E-3</v>
      </c>
      <c r="R2943" s="3">
        <f t="shared" si="182"/>
        <v>3.2699999999999999E-3</v>
      </c>
      <c r="S2943">
        <f t="shared" si="183"/>
        <v>69</v>
      </c>
      <c r="T2943">
        <f>INDEX([1]IDEN_level_ids!$B:$B,MATCH(G2943,[1]IDEN_level_ids!$A:$A,0),1)</f>
        <v>1182</v>
      </c>
      <c r="U2943">
        <f>INDEX([1]IDEN_level_ids!$B:$B,MATCH(H2943,[1]IDEN_level_ids!$A:$A,0),1)</f>
        <v>1079</v>
      </c>
    </row>
    <row r="2944" spans="1:21" hidden="1" x14ac:dyDescent="0.25">
      <c r="A2944">
        <v>37501.729399999997</v>
      </c>
      <c r="B2944">
        <v>2666.5437000000002</v>
      </c>
      <c r="C2944">
        <v>18</v>
      </c>
      <c r="D2944" t="s">
        <v>676</v>
      </c>
      <c r="F2944">
        <v>1974</v>
      </c>
      <c r="G2944" s="1" t="s">
        <v>73</v>
      </c>
      <c r="H2944" s="1" t="s">
        <v>518</v>
      </c>
      <c r="I2944">
        <v>0</v>
      </c>
      <c r="J2944">
        <v>37501.724600000001</v>
      </c>
      <c r="K2944">
        <v>-3.4000000000000002E-4</v>
      </c>
      <c r="L2944">
        <v>3.2799999999999999E-3</v>
      </c>
      <c r="M2944">
        <v>4.6100000000000002E-2</v>
      </c>
      <c r="N2944">
        <v>0.1578</v>
      </c>
      <c r="O2944">
        <v>3.8899999999999998E-3</v>
      </c>
      <c r="P2944" s="3">
        <f t="shared" si="180"/>
        <v>2666.5436927823389</v>
      </c>
      <c r="Q2944" s="3">
        <f t="shared" si="181"/>
        <v>-3.4130189624193008E-4</v>
      </c>
      <c r="R2944" s="3">
        <f t="shared" si="182"/>
        <v>3.2799999999999999E-3</v>
      </c>
      <c r="S2944">
        <f t="shared" si="183"/>
        <v>69</v>
      </c>
      <c r="T2944">
        <f>INDEX([1]IDEN_level_ids!$B:$B,MATCH(G2944,[1]IDEN_level_ids!$A:$A,0),1)</f>
        <v>1173</v>
      </c>
      <c r="U2944">
        <f>INDEX([1]IDEN_level_ids!$B:$B,MATCH(H2944,[1]IDEN_level_ids!$A:$A,0),1)</f>
        <v>1074</v>
      </c>
    </row>
    <row r="2945" spans="1:21" hidden="1" x14ac:dyDescent="0.25">
      <c r="A2945">
        <v>37498.111100000002</v>
      </c>
      <c r="B2945">
        <v>2666.8009999999999</v>
      </c>
      <c r="C2945">
        <v>18</v>
      </c>
      <c r="D2945" t="s">
        <v>676</v>
      </c>
      <c r="F2945">
        <v>1974</v>
      </c>
      <c r="G2945" s="1" t="s">
        <v>245</v>
      </c>
      <c r="H2945" s="1" t="s">
        <v>448</v>
      </c>
      <c r="I2945">
        <v>0.29559999999999997</v>
      </c>
      <c r="J2945">
        <v>37498.1103</v>
      </c>
      <c r="K2945">
        <v>-5.0000000000000002E-5</v>
      </c>
      <c r="L2945">
        <v>3.2799999999999999E-3</v>
      </c>
      <c r="M2945">
        <v>4.6100000000000002E-2</v>
      </c>
      <c r="N2945">
        <v>8.8900000000000007E-2</v>
      </c>
      <c r="O2945">
        <v>3.5999999999999999E-3</v>
      </c>
      <c r="P2945" s="3">
        <f t="shared" si="180"/>
        <v>2666.8009952106627</v>
      </c>
      <c r="Q2945" s="3">
        <f t="shared" si="181"/>
        <v>-5.6894621593528427E-5</v>
      </c>
      <c r="R2945" s="3">
        <f t="shared" si="182"/>
        <v>3.2799999999999999E-3</v>
      </c>
      <c r="S2945">
        <f t="shared" si="183"/>
        <v>69</v>
      </c>
      <c r="T2945">
        <f>INDEX([1]IDEN_level_ids!$B:$B,MATCH(G2945,[1]IDEN_level_ids!$A:$A,0),1)</f>
        <v>1169</v>
      </c>
      <c r="U2945">
        <f>INDEX([1]IDEN_level_ids!$B:$B,MATCH(H2945,[1]IDEN_level_ids!$A:$A,0),1)</f>
        <v>1067</v>
      </c>
    </row>
    <row r="2946" spans="1:21" hidden="1" x14ac:dyDescent="0.25">
      <c r="A2946">
        <v>37495.160000000003</v>
      </c>
      <c r="B2946">
        <v>2667.0109000000002</v>
      </c>
      <c r="C2946">
        <v>18</v>
      </c>
      <c r="D2946" t="s">
        <v>676</v>
      </c>
      <c r="F2946">
        <v>1974</v>
      </c>
      <c r="G2946" s="1" t="s">
        <v>419</v>
      </c>
      <c r="H2946" s="1" t="s">
        <v>314</v>
      </c>
      <c r="I2946">
        <v>-0.2853</v>
      </c>
      <c r="J2946">
        <v>37495.137300000002</v>
      </c>
      <c r="K2946">
        <v>-1.6100000000000001E-3</v>
      </c>
      <c r="L2946">
        <v>3.2799999999999999E-3</v>
      </c>
      <c r="M2946">
        <v>4.6100000000000002E-2</v>
      </c>
      <c r="N2946">
        <v>0.23469999999999999</v>
      </c>
      <c r="O2946">
        <v>4.28E-3</v>
      </c>
      <c r="P2946" s="3">
        <f t="shared" ref="P2946:P3009" si="184">100000000/$A2946</f>
        <v>2667.010888872057</v>
      </c>
      <c r="Q2946" s="3">
        <f t="shared" ref="Q2946:Q3009" si="185">100000000/($A2946)-100000000/$J2946</f>
        <v>-1.614639964827802E-3</v>
      </c>
      <c r="R2946" s="3">
        <f t="shared" si="182"/>
        <v>3.2799999999999999E-3</v>
      </c>
      <c r="S2946">
        <f t="shared" si="183"/>
        <v>69</v>
      </c>
      <c r="T2946">
        <f>INDEX([1]IDEN_level_ids!$B:$B,MATCH(G2946,[1]IDEN_level_ids!$A:$A,0),1)</f>
        <v>1068</v>
      </c>
      <c r="U2946">
        <f>INDEX([1]IDEN_level_ids!$B:$B,MATCH(H2946,[1]IDEN_level_ids!$A:$A,0),1)</f>
        <v>889</v>
      </c>
    </row>
    <row r="2947" spans="1:21" hidden="1" x14ac:dyDescent="0.25">
      <c r="A2947">
        <v>37476.941400000003</v>
      </c>
      <c r="B2947">
        <v>2668.3074000000001</v>
      </c>
      <c r="C2947">
        <v>18</v>
      </c>
      <c r="D2947" t="s">
        <v>676</v>
      </c>
      <c r="E2947" t="s">
        <v>427</v>
      </c>
      <c r="F2947">
        <v>1974</v>
      </c>
      <c r="G2947" s="1" t="s">
        <v>268</v>
      </c>
      <c r="H2947" s="1" t="s">
        <v>377</v>
      </c>
      <c r="I2947">
        <v>0.33889999999999998</v>
      </c>
      <c r="J2947">
        <v>37476.8514</v>
      </c>
      <c r="K2947">
        <v>-6.4099999999999999E-3</v>
      </c>
      <c r="L2947">
        <v>3.47E-3</v>
      </c>
      <c r="M2947">
        <v>4.87E-2</v>
      </c>
      <c r="N2947">
        <v>6.8699999999999997E-2</v>
      </c>
      <c r="O2947">
        <v>3.7299999999999998E-3</v>
      </c>
      <c r="P2947" s="3">
        <f t="shared" si="184"/>
        <v>2668.3073982125979</v>
      </c>
      <c r="Q2947" s="3">
        <f t="shared" si="185"/>
        <v>-6.4078933228302049E-3</v>
      </c>
      <c r="R2947" s="3">
        <f t="shared" ref="R2947:R3010" si="186">$L2947</f>
        <v>3.47E-3</v>
      </c>
      <c r="S2947">
        <f t="shared" si="183"/>
        <v>69</v>
      </c>
      <c r="T2947">
        <f>INDEX([1]IDEN_level_ids!$B:$B,MATCH(G2947,[1]IDEN_level_ids!$A:$A,0),1)</f>
        <v>1160</v>
      </c>
      <c r="U2947">
        <f>INDEX([1]IDEN_level_ids!$B:$B,MATCH(H2947,[1]IDEN_level_ids!$A:$A,0),1)</f>
        <v>1057</v>
      </c>
    </row>
    <row r="2948" spans="1:21" hidden="1" x14ac:dyDescent="0.25">
      <c r="A2948">
        <v>37472.8295</v>
      </c>
      <c r="B2948">
        <v>2668.6001999999999</v>
      </c>
      <c r="C2948">
        <v>18</v>
      </c>
      <c r="D2948" t="s">
        <v>676</v>
      </c>
      <c r="F2948">
        <v>1974</v>
      </c>
      <c r="G2948" s="1" t="s">
        <v>288</v>
      </c>
      <c r="H2948" s="1" t="s">
        <v>477</v>
      </c>
      <c r="I2948">
        <v>0.32490000000000002</v>
      </c>
      <c r="J2948">
        <v>37472.806799999998</v>
      </c>
      <c r="K2948">
        <v>-1.6199999999999999E-3</v>
      </c>
      <c r="L2948">
        <v>3.2799999999999999E-3</v>
      </c>
      <c r="M2948">
        <v>4.6100000000000002E-2</v>
      </c>
      <c r="N2948">
        <v>0.14050000000000001</v>
      </c>
      <c r="O2948">
        <v>3.82E-3</v>
      </c>
      <c r="P2948" s="3">
        <f t="shared" si="184"/>
        <v>2668.6001920404756</v>
      </c>
      <c r="Q2948" s="3">
        <f t="shared" si="185"/>
        <v>-1.6165649049071362E-3</v>
      </c>
      <c r="R2948" s="3">
        <f t="shared" si="186"/>
        <v>3.2799999999999999E-3</v>
      </c>
      <c r="S2948">
        <f t="shared" ref="S2948:S3011" si="187">IF(D2948=D2947,S2947,S2947+1)</f>
        <v>69</v>
      </c>
      <c r="T2948">
        <f>INDEX([1]IDEN_level_ids!$B:$B,MATCH(G2948,[1]IDEN_level_ids!$A:$A,0),1)</f>
        <v>1151</v>
      </c>
      <c r="U2948">
        <f>INDEX([1]IDEN_level_ids!$B:$B,MATCH(H2948,[1]IDEN_level_ids!$A:$A,0),1)</f>
        <v>1045</v>
      </c>
    </row>
    <row r="2949" spans="1:21" hidden="1" x14ac:dyDescent="0.25">
      <c r="A2949">
        <v>37467.379800000002</v>
      </c>
      <c r="B2949">
        <v>2668.9883</v>
      </c>
      <c r="C2949">
        <v>18</v>
      </c>
      <c r="D2949" t="s">
        <v>676</v>
      </c>
      <c r="F2949">
        <v>1974</v>
      </c>
      <c r="G2949" s="1" t="s">
        <v>283</v>
      </c>
      <c r="H2949" s="1" t="s">
        <v>453</v>
      </c>
      <c r="I2949">
        <v>0.26840000000000003</v>
      </c>
      <c r="J2949">
        <v>37467.375800000002</v>
      </c>
      <c r="K2949">
        <v>-2.9E-4</v>
      </c>
      <c r="L2949">
        <v>3.2799999999999999E-3</v>
      </c>
      <c r="M2949">
        <v>4.6100000000000002E-2</v>
      </c>
      <c r="N2949">
        <v>0.1623</v>
      </c>
      <c r="O2949">
        <v>3.9199999999999999E-3</v>
      </c>
      <c r="P2949" s="3">
        <f t="shared" si="184"/>
        <v>2668.9883448962182</v>
      </c>
      <c r="Q2949" s="3">
        <f t="shared" si="185"/>
        <v>-2.8493998161138734E-4</v>
      </c>
      <c r="R2949" s="3">
        <f t="shared" si="186"/>
        <v>3.2799999999999999E-3</v>
      </c>
      <c r="S2949">
        <f t="shared" si="187"/>
        <v>69</v>
      </c>
      <c r="T2949">
        <f>INDEX([1]IDEN_level_ids!$B:$B,MATCH(G2949,[1]IDEN_level_ids!$A:$A,0),1)</f>
        <v>1178</v>
      </c>
      <c r="U2949">
        <f>INDEX([1]IDEN_level_ids!$B:$B,MATCH(H2949,[1]IDEN_level_ids!$A:$A,0),1)</f>
        <v>1078</v>
      </c>
    </row>
    <row r="2950" spans="1:21" hidden="1" x14ac:dyDescent="0.25">
      <c r="A2950">
        <v>37428.889799999997</v>
      </c>
      <c r="B2950">
        <v>2671.7330000000002</v>
      </c>
      <c r="C2950">
        <v>18</v>
      </c>
      <c r="D2950" t="s">
        <v>676</v>
      </c>
      <c r="F2950">
        <v>1974</v>
      </c>
      <c r="G2950" s="1" t="s">
        <v>262</v>
      </c>
      <c r="H2950" s="1" t="s">
        <v>527</v>
      </c>
      <c r="I2950">
        <v>0</v>
      </c>
      <c r="J2950">
        <v>37428.904300000002</v>
      </c>
      <c r="K2950">
        <v>1.0300000000000001E-3</v>
      </c>
      <c r="L2950">
        <v>3.29E-3</v>
      </c>
      <c r="M2950">
        <v>4.6100000000000002E-2</v>
      </c>
      <c r="N2950">
        <v>0.51219999999999999</v>
      </c>
      <c r="O2950">
        <v>6.7400000000000003E-3</v>
      </c>
      <c r="P2950" s="3">
        <f t="shared" si="184"/>
        <v>2671.7329991444203</v>
      </c>
      <c r="Q2950" s="3">
        <f t="shared" si="185"/>
        <v>1.0350323959755769E-3</v>
      </c>
      <c r="R2950" s="3">
        <f t="shared" si="186"/>
        <v>3.29E-3</v>
      </c>
      <c r="S2950">
        <f t="shared" si="187"/>
        <v>69</v>
      </c>
      <c r="T2950">
        <f>INDEX([1]IDEN_level_ids!$B:$B,MATCH(G2950,[1]IDEN_level_ids!$A:$A,0),1)</f>
        <v>1115</v>
      </c>
      <c r="U2950">
        <f>INDEX([1]IDEN_level_ids!$B:$B,MATCH(H2950,[1]IDEN_level_ids!$A:$A,0),1)</f>
        <v>980</v>
      </c>
    </row>
    <row r="2951" spans="1:21" hidden="1" x14ac:dyDescent="0.25">
      <c r="A2951">
        <v>37422.558900000004</v>
      </c>
      <c r="B2951">
        <v>2672.1849999999999</v>
      </c>
      <c r="C2951">
        <v>18</v>
      </c>
      <c r="D2951" t="s">
        <v>676</v>
      </c>
      <c r="F2951">
        <v>1974</v>
      </c>
      <c r="G2951" s="1" t="s">
        <v>536</v>
      </c>
      <c r="H2951" s="1" t="s">
        <v>347</v>
      </c>
      <c r="I2951">
        <v>0</v>
      </c>
      <c r="J2951">
        <v>37422.531499999997</v>
      </c>
      <c r="K2951">
        <v>-1.9599999999999999E-3</v>
      </c>
      <c r="L2951">
        <v>3.29E-3</v>
      </c>
      <c r="M2951">
        <v>4.6100000000000002E-2</v>
      </c>
      <c r="N2951">
        <v>0.24049999999999999</v>
      </c>
      <c r="O2951">
        <v>4.3299999999999996E-3</v>
      </c>
      <c r="P2951" s="3">
        <f t="shared" si="184"/>
        <v>2672.1849851908441</v>
      </c>
      <c r="Q2951" s="3">
        <f t="shared" si="185"/>
        <v>-1.9565183238228201E-3</v>
      </c>
      <c r="R2951" s="3">
        <f t="shared" si="186"/>
        <v>3.29E-3</v>
      </c>
      <c r="S2951">
        <f t="shared" si="187"/>
        <v>69</v>
      </c>
      <c r="T2951">
        <f>INDEX([1]IDEN_level_ids!$B:$B,MATCH(G2951,[1]IDEN_level_ids!$A:$A,0),1)</f>
        <v>1021</v>
      </c>
      <c r="U2951">
        <f>INDEX([1]IDEN_level_ids!$B:$B,MATCH(H2951,[1]IDEN_level_ids!$A:$A,0),1)</f>
        <v>851</v>
      </c>
    </row>
    <row r="2952" spans="1:21" hidden="1" x14ac:dyDescent="0.25">
      <c r="A2952">
        <v>37418.491699999999</v>
      </c>
      <c r="B2952">
        <v>2672.4753999999998</v>
      </c>
      <c r="C2952">
        <v>18</v>
      </c>
      <c r="D2952" t="s">
        <v>676</v>
      </c>
      <c r="F2952">
        <v>1974</v>
      </c>
      <c r="G2952" s="1" t="s">
        <v>76</v>
      </c>
      <c r="H2952" s="1" t="s">
        <v>386</v>
      </c>
      <c r="I2952">
        <v>0.22500000000000001</v>
      </c>
      <c r="J2952">
        <v>37418.474099999999</v>
      </c>
      <c r="K2952">
        <v>-1.2600000000000001E-3</v>
      </c>
      <c r="L2952">
        <v>3.29E-3</v>
      </c>
      <c r="M2952">
        <v>4.6100000000000002E-2</v>
      </c>
      <c r="N2952">
        <v>0.1031</v>
      </c>
      <c r="O2952">
        <v>3.6700000000000001E-3</v>
      </c>
      <c r="P2952" s="3">
        <f t="shared" si="184"/>
        <v>2672.4754381267594</v>
      </c>
      <c r="Q2952" s="3">
        <f t="shared" si="185"/>
        <v>-1.257014585462457E-3</v>
      </c>
      <c r="R2952" s="3">
        <f t="shared" si="186"/>
        <v>3.29E-3</v>
      </c>
      <c r="S2952">
        <f t="shared" si="187"/>
        <v>69</v>
      </c>
      <c r="T2952">
        <f>INDEX([1]IDEN_level_ids!$B:$B,MATCH(G2952,[1]IDEN_level_ids!$A:$A,0),1)</f>
        <v>1194</v>
      </c>
      <c r="U2952">
        <f>INDEX([1]IDEN_level_ids!$B:$B,MATCH(H2952,[1]IDEN_level_ids!$A:$A,0),1)</f>
        <v>1082</v>
      </c>
    </row>
    <row r="2953" spans="1:21" hidden="1" x14ac:dyDescent="0.25">
      <c r="A2953">
        <v>37413.329299999998</v>
      </c>
      <c r="B2953">
        <v>2672.8442</v>
      </c>
      <c r="C2953">
        <v>18</v>
      </c>
      <c r="D2953" t="s">
        <v>676</v>
      </c>
      <c r="F2953">
        <v>1974</v>
      </c>
      <c r="G2953" s="1" t="s">
        <v>295</v>
      </c>
      <c r="H2953" s="1" t="s">
        <v>468</v>
      </c>
      <c r="I2953">
        <v>0.16639999999999999</v>
      </c>
      <c r="J2953">
        <v>37413.292699999998</v>
      </c>
      <c r="K2953">
        <v>-2.6199999999999999E-3</v>
      </c>
      <c r="L2953">
        <v>3.29E-3</v>
      </c>
      <c r="M2953">
        <v>4.6100000000000002E-2</v>
      </c>
      <c r="N2953">
        <v>0.1111</v>
      </c>
      <c r="O2953">
        <v>3.7000000000000002E-3</v>
      </c>
      <c r="P2953" s="3">
        <f t="shared" si="184"/>
        <v>2672.8441940610724</v>
      </c>
      <c r="Q2953" s="3">
        <f t="shared" si="185"/>
        <v>-2.6147417252104788E-3</v>
      </c>
      <c r="R2953" s="3">
        <f t="shared" si="186"/>
        <v>3.29E-3</v>
      </c>
      <c r="S2953">
        <f t="shared" si="187"/>
        <v>69</v>
      </c>
      <c r="T2953">
        <f>INDEX([1]IDEN_level_ids!$B:$B,MATCH(G2953,[1]IDEN_level_ids!$A:$A,0),1)</f>
        <v>1152</v>
      </c>
      <c r="U2953">
        <f>INDEX([1]IDEN_level_ids!$B:$B,MATCH(H2953,[1]IDEN_level_ids!$A:$A,0),1)</f>
        <v>1044</v>
      </c>
    </row>
    <row r="2954" spans="1:21" hidden="1" x14ac:dyDescent="0.25">
      <c r="A2954">
        <v>37408.808700000001</v>
      </c>
      <c r="B2954">
        <v>2673.1671999999999</v>
      </c>
      <c r="C2954">
        <v>18</v>
      </c>
      <c r="D2954" t="s">
        <v>676</v>
      </c>
      <c r="F2954">
        <v>1974</v>
      </c>
      <c r="G2954" s="1" t="s">
        <v>204</v>
      </c>
      <c r="H2954" s="1" t="s">
        <v>453</v>
      </c>
      <c r="I2954">
        <v>0.26840000000000003</v>
      </c>
      <c r="J2954">
        <v>37408.774100000002</v>
      </c>
      <c r="K2954">
        <v>-2.47E-3</v>
      </c>
      <c r="L2954">
        <v>3.29E-3</v>
      </c>
      <c r="M2954">
        <v>4.6100000000000002E-2</v>
      </c>
      <c r="N2954">
        <v>0.1396</v>
      </c>
      <c r="O2954">
        <v>3.8300000000000001E-3</v>
      </c>
      <c r="P2954" s="3">
        <f t="shared" si="184"/>
        <v>2673.1671890957596</v>
      </c>
      <c r="Q2954" s="3">
        <f t="shared" si="185"/>
        <v>-2.472456982559379E-3</v>
      </c>
      <c r="R2954" s="3">
        <f t="shared" si="186"/>
        <v>3.29E-3</v>
      </c>
      <c r="S2954">
        <f t="shared" si="187"/>
        <v>69</v>
      </c>
      <c r="T2954">
        <f>INDEX([1]IDEN_level_ids!$B:$B,MATCH(G2954,[1]IDEN_level_ids!$A:$A,0),1)</f>
        <v>1176</v>
      </c>
      <c r="U2954">
        <f>INDEX([1]IDEN_level_ids!$B:$B,MATCH(H2954,[1]IDEN_level_ids!$A:$A,0),1)</f>
        <v>1078</v>
      </c>
    </row>
    <row r="2955" spans="1:21" hidden="1" x14ac:dyDescent="0.25">
      <c r="A2955">
        <v>37405.2618</v>
      </c>
      <c r="B2955">
        <v>2673.4207000000001</v>
      </c>
      <c r="C2955">
        <v>18</v>
      </c>
      <c r="D2955" t="s">
        <v>676</v>
      </c>
      <c r="E2955" t="s">
        <v>427</v>
      </c>
      <c r="F2955">
        <v>1974</v>
      </c>
      <c r="G2955" s="1" t="s">
        <v>285</v>
      </c>
      <c r="H2955" s="1" t="s">
        <v>476</v>
      </c>
      <c r="I2955">
        <v>0</v>
      </c>
      <c r="J2955">
        <v>37405.2356</v>
      </c>
      <c r="K2955">
        <v>-1.8699999999999999E-3</v>
      </c>
      <c r="L2955">
        <v>3.48E-3</v>
      </c>
      <c r="M2955">
        <v>4.87E-2</v>
      </c>
      <c r="N2955">
        <v>9.11E-2</v>
      </c>
      <c r="O2955">
        <v>3.8300000000000001E-3</v>
      </c>
      <c r="P2955" s="3">
        <f t="shared" si="184"/>
        <v>2673.4206683189154</v>
      </c>
      <c r="Q2955" s="3">
        <f t="shared" si="185"/>
        <v>-1.8725619661381643E-3</v>
      </c>
      <c r="R2955" s="3">
        <f t="shared" si="186"/>
        <v>3.48E-3</v>
      </c>
      <c r="S2955">
        <f t="shared" si="187"/>
        <v>69</v>
      </c>
      <c r="T2955">
        <f>INDEX([1]IDEN_level_ids!$B:$B,MATCH(G2955,[1]IDEN_level_ids!$A:$A,0),1)</f>
        <v>1150</v>
      </c>
      <c r="U2955">
        <f>INDEX([1]IDEN_level_ids!$B:$B,MATCH(H2955,[1]IDEN_level_ids!$A:$A,0),1)</f>
        <v>1037</v>
      </c>
    </row>
    <row r="2956" spans="1:21" hidden="1" x14ac:dyDescent="0.25">
      <c r="A2956">
        <v>37404.189200000001</v>
      </c>
      <c r="B2956">
        <v>2673.4973</v>
      </c>
      <c r="C2956">
        <v>18</v>
      </c>
      <c r="D2956" t="s">
        <v>676</v>
      </c>
      <c r="F2956">
        <v>1974</v>
      </c>
      <c r="G2956" s="1" t="s">
        <v>299</v>
      </c>
      <c r="H2956" s="1" t="s">
        <v>471</v>
      </c>
      <c r="I2956">
        <v>0</v>
      </c>
      <c r="J2956">
        <v>37404.161</v>
      </c>
      <c r="K2956">
        <v>-2.0200000000000001E-3</v>
      </c>
      <c r="L2956">
        <v>3.29E-3</v>
      </c>
      <c r="M2956">
        <v>4.6100000000000002E-2</v>
      </c>
      <c r="N2956">
        <v>0.49890000000000001</v>
      </c>
      <c r="O2956">
        <v>6.5700000000000003E-3</v>
      </c>
      <c r="P2956" s="3">
        <f t="shared" si="184"/>
        <v>2673.4973311492072</v>
      </c>
      <c r="Q2956" s="3">
        <f t="shared" si="185"/>
        <v>-2.0156213299742376E-3</v>
      </c>
      <c r="R2956" s="3">
        <f t="shared" si="186"/>
        <v>3.29E-3</v>
      </c>
      <c r="S2956">
        <f t="shared" si="187"/>
        <v>69</v>
      </c>
      <c r="T2956">
        <f>INDEX([1]IDEN_level_ids!$B:$B,MATCH(G2956,[1]IDEN_level_ids!$A:$A,0),1)</f>
        <v>1101</v>
      </c>
      <c r="U2956">
        <f>INDEX([1]IDEN_level_ids!$B:$B,MATCH(H2956,[1]IDEN_level_ids!$A:$A,0),1)</f>
        <v>955</v>
      </c>
    </row>
    <row r="2957" spans="1:21" hidden="1" x14ac:dyDescent="0.25">
      <c r="A2957">
        <v>37375.310700000002</v>
      </c>
      <c r="B2957">
        <v>2675.5630000000001</v>
      </c>
      <c r="C2957">
        <v>18</v>
      </c>
      <c r="D2957" t="s">
        <v>677</v>
      </c>
      <c r="F2957">
        <v>1974</v>
      </c>
      <c r="G2957" s="1" t="s">
        <v>271</v>
      </c>
      <c r="H2957" s="1" t="s">
        <v>410</v>
      </c>
      <c r="I2957">
        <v>0.1043</v>
      </c>
      <c r="J2957">
        <v>37375.2592</v>
      </c>
      <c r="K2957">
        <v>-3.6900000000000001E-3</v>
      </c>
      <c r="L2957">
        <v>3.3E-3</v>
      </c>
      <c r="M2957">
        <v>4.6100000000000002E-2</v>
      </c>
      <c r="N2957">
        <v>0.1036</v>
      </c>
      <c r="O2957">
        <v>3.6800000000000001E-3</v>
      </c>
      <c r="P2957" s="3">
        <f t="shared" si="184"/>
        <v>2675.5630422090376</v>
      </c>
      <c r="Q2957" s="3">
        <f t="shared" si="185"/>
        <v>-3.6867034405076993E-3</v>
      </c>
      <c r="R2957" s="3">
        <f t="shared" si="186"/>
        <v>3.3E-3</v>
      </c>
      <c r="S2957">
        <f t="shared" si="187"/>
        <v>70</v>
      </c>
      <c r="T2957">
        <f>INDEX([1]IDEN_level_ids!$B:$B,MATCH(G2957,[1]IDEN_level_ids!$A:$A,0),1)</f>
        <v>1158</v>
      </c>
      <c r="U2957">
        <f>INDEX([1]IDEN_level_ids!$B:$B,MATCH(H2957,[1]IDEN_level_ids!$A:$A,0),1)</f>
        <v>1056</v>
      </c>
    </row>
    <row r="2958" spans="1:21" hidden="1" x14ac:dyDescent="0.25">
      <c r="A2958">
        <v>37365.100299999998</v>
      </c>
      <c r="B2958">
        <v>2676.2941999999998</v>
      </c>
      <c r="C2958">
        <v>18</v>
      </c>
      <c r="D2958" t="s">
        <v>677</v>
      </c>
      <c r="E2958" t="s">
        <v>236</v>
      </c>
      <c r="F2958">
        <v>1974</v>
      </c>
      <c r="G2958" s="1" t="s">
        <v>265</v>
      </c>
      <c r="H2958" s="1" t="s">
        <v>600</v>
      </c>
      <c r="I2958">
        <v>0</v>
      </c>
      <c r="J2958">
        <v>37365.0861</v>
      </c>
      <c r="K2958">
        <v>-1.0200000000000001E-3</v>
      </c>
      <c r="L2958">
        <v>1.6900000000000001E-3</v>
      </c>
      <c r="M2958">
        <v>2.3599999999999999E-2</v>
      </c>
      <c r="N2958">
        <v>0.37840000000000001</v>
      </c>
      <c r="O2958">
        <v>2.7200000000000002E-3</v>
      </c>
      <c r="P2958" s="3">
        <f t="shared" si="184"/>
        <v>2676.2941674747763</v>
      </c>
      <c r="Q2958" s="3">
        <f t="shared" si="185"/>
        <v>-1.0170825530622096E-3</v>
      </c>
      <c r="R2958" s="3">
        <f t="shared" si="186"/>
        <v>1.6900000000000001E-3</v>
      </c>
      <c r="S2958">
        <f t="shared" si="187"/>
        <v>70</v>
      </c>
      <c r="T2958">
        <f>INDEX([1]IDEN_level_ids!$B:$B,MATCH(G2958,[1]IDEN_level_ids!$A:$A,0),1)</f>
        <v>1161</v>
      </c>
      <c r="U2958">
        <f>INDEX([1]IDEN_level_ids!$B:$B,MATCH(H2958,[1]IDEN_level_ids!$A:$A,0),1)</f>
        <v>1058</v>
      </c>
    </row>
    <row r="2959" spans="1:21" hidden="1" x14ac:dyDescent="0.25">
      <c r="A2959">
        <v>37348.449399999998</v>
      </c>
      <c r="B2959">
        <v>2677.4872999999998</v>
      </c>
      <c r="C2959">
        <v>18</v>
      </c>
      <c r="D2959" t="s">
        <v>677</v>
      </c>
      <c r="F2959">
        <v>1974</v>
      </c>
      <c r="G2959" s="1" t="s">
        <v>451</v>
      </c>
      <c r="H2959" s="1" t="s">
        <v>318</v>
      </c>
      <c r="I2959">
        <v>-0.38469999999999999</v>
      </c>
      <c r="J2959">
        <v>37348.411599999999</v>
      </c>
      <c r="K2959">
        <v>-2.7100000000000002E-3</v>
      </c>
      <c r="L2959">
        <v>3.3E-3</v>
      </c>
      <c r="M2959">
        <v>4.6100000000000002E-2</v>
      </c>
      <c r="N2959">
        <v>0.13159999999999999</v>
      </c>
      <c r="O2959">
        <v>3.8E-3</v>
      </c>
      <c r="P2959" s="3">
        <f t="shared" si="184"/>
        <v>2677.4873282958838</v>
      </c>
      <c r="Q2959" s="3">
        <f t="shared" si="185"/>
        <v>-2.7098614550595812E-3</v>
      </c>
      <c r="R2959" s="3">
        <f t="shared" si="186"/>
        <v>3.3E-3</v>
      </c>
      <c r="S2959">
        <f t="shared" si="187"/>
        <v>70</v>
      </c>
      <c r="T2959">
        <f>INDEX([1]IDEN_level_ids!$B:$B,MATCH(G2959,[1]IDEN_level_ids!$A:$A,0),1)</f>
        <v>1066</v>
      </c>
      <c r="U2959">
        <f>INDEX([1]IDEN_level_ids!$B:$B,MATCH(H2959,[1]IDEN_level_ids!$A:$A,0),1)</f>
        <v>888</v>
      </c>
    </row>
    <row r="2960" spans="1:21" hidden="1" x14ac:dyDescent="0.25">
      <c r="A2960">
        <v>37321.708899999998</v>
      </c>
      <c r="B2960">
        <v>2679.4056999999998</v>
      </c>
      <c r="C2960">
        <v>18</v>
      </c>
      <c r="D2960" t="s">
        <v>677</v>
      </c>
      <c r="F2960">
        <v>1974</v>
      </c>
      <c r="G2960" s="1" t="s">
        <v>238</v>
      </c>
      <c r="H2960" s="1" t="s">
        <v>375</v>
      </c>
      <c r="I2960">
        <v>0.28789999999999999</v>
      </c>
      <c r="J2960">
        <v>37321.697</v>
      </c>
      <c r="K2960">
        <v>-8.5999999999999998E-4</v>
      </c>
      <c r="L2960">
        <v>3.31E-3</v>
      </c>
      <c r="M2960">
        <v>4.6100000000000002E-2</v>
      </c>
      <c r="N2960">
        <v>8.2100000000000006E-2</v>
      </c>
      <c r="O2960">
        <v>3.5999999999999999E-3</v>
      </c>
      <c r="P2960" s="3">
        <f t="shared" si="184"/>
        <v>2679.4057117786483</v>
      </c>
      <c r="Q2960" s="3">
        <f t="shared" si="185"/>
        <v>-8.543268531866488E-4</v>
      </c>
      <c r="R2960" s="3">
        <f t="shared" si="186"/>
        <v>3.31E-3</v>
      </c>
      <c r="S2960">
        <f t="shared" si="187"/>
        <v>70</v>
      </c>
      <c r="T2960">
        <f>INDEX([1]IDEN_level_ids!$B:$B,MATCH(G2960,[1]IDEN_level_ids!$A:$A,0),1)</f>
        <v>1165</v>
      </c>
      <c r="U2960">
        <f>INDEX([1]IDEN_level_ids!$B:$B,MATCH(H2960,[1]IDEN_level_ids!$A:$A,0),1)</f>
        <v>1065</v>
      </c>
    </row>
    <row r="2961" spans="1:21" hidden="1" x14ac:dyDescent="0.25">
      <c r="A2961">
        <v>37309.758800000003</v>
      </c>
      <c r="B2961">
        <v>2680.2638999999999</v>
      </c>
      <c r="C2961">
        <v>18</v>
      </c>
      <c r="D2961" t="s">
        <v>677</v>
      </c>
      <c r="E2961" t="s">
        <v>427</v>
      </c>
      <c r="F2961">
        <v>1974</v>
      </c>
      <c r="G2961" s="1" t="s">
        <v>243</v>
      </c>
      <c r="H2961" s="1" t="s">
        <v>381</v>
      </c>
      <c r="I2961">
        <v>0.23219999999999999</v>
      </c>
      <c r="J2961">
        <v>37309.673900000002</v>
      </c>
      <c r="K2961">
        <v>-6.11E-3</v>
      </c>
      <c r="L2961">
        <v>3.5000000000000001E-3</v>
      </c>
      <c r="M2961">
        <v>4.87E-2</v>
      </c>
      <c r="N2961">
        <v>0.10349999999999999</v>
      </c>
      <c r="O2961">
        <v>3.8999999999999998E-3</v>
      </c>
      <c r="P2961" s="3">
        <f t="shared" si="184"/>
        <v>2680.2639099344697</v>
      </c>
      <c r="Q2961" s="3">
        <f t="shared" si="185"/>
        <v>-6.0990724973635224E-3</v>
      </c>
      <c r="R2961" s="3">
        <f t="shared" si="186"/>
        <v>3.5000000000000001E-3</v>
      </c>
      <c r="S2961">
        <f t="shared" si="187"/>
        <v>70</v>
      </c>
      <c r="T2961">
        <f>INDEX([1]IDEN_level_ids!$B:$B,MATCH(G2961,[1]IDEN_level_ids!$A:$A,0),1)</f>
        <v>1205</v>
      </c>
      <c r="U2961">
        <f>INDEX([1]IDEN_level_ids!$B:$B,MATCH(H2961,[1]IDEN_level_ids!$A:$A,0),1)</f>
        <v>1084</v>
      </c>
    </row>
    <row r="2962" spans="1:21" hidden="1" x14ac:dyDescent="0.25">
      <c r="A2962">
        <v>37297.229899999998</v>
      </c>
      <c r="B2962">
        <v>2681.1642999999999</v>
      </c>
      <c r="C2962">
        <v>18</v>
      </c>
      <c r="D2962" t="s">
        <v>677</v>
      </c>
      <c r="F2962">
        <v>1974</v>
      </c>
      <c r="G2962" s="1" t="s">
        <v>239</v>
      </c>
      <c r="H2962" s="1" t="s">
        <v>557</v>
      </c>
      <c r="I2962">
        <v>0</v>
      </c>
      <c r="J2962">
        <v>37297.203500000003</v>
      </c>
      <c r="K2962">
        <v>-1.9E-3</v>
      </c>
      <c r="L2962">
        <v>3.31E-3</v>
      </c>
      <c r="M2962">
        <v>4.6100000000000002E-2</v>
      </c>
      <c r="N2962">
        <v>0.122</v>
      </c>
      <c r="O2962">
        <v>3.7699999999999999E-3</v>
      </c>
      <c r="P2962" s="3">
        <f t="shared" si="184"/>
        <v>2681.1642652313972</v>
      </c>
      <c r="Q2962" s="3">
        <f t="shared" si="185"/>
        <v>-1.8978027828779886E-3</v>
      </c>
      <c r="R2962" s="3">
        <f t="shared" si="186"/>
        <v>3.31E-3</v>
      </c>
      <c r="S2962">
        <f t="shared" si="187"/>
        <v>70</v>
      </c>
      <c r="T2962">
        <f>INDEX([1]IDEN_level_ids!$B:$B,MATCH(G2962,[1]IDEN_level_ids!$A:$A,0),1)</f>
        <v>1167</v>
      </c>
      <c r="U2962">
        <f>INDEX([1]IDEN_level_ids!$B:$B,MATCH(H2962,[1]IDEN_level_ids!$A:$A,0),1)</f>
        <v>1069</v>
      </c>
    </row>
    <row r="2963" spans="1:21" hidden="1" x14ac:dyDescent="0.25">
      <c r="A2963">
        <v>37290.539400000001</v>
      </c>
      <c r="B2963">
        <v>2681.6453000000001</v>
      </c>
      <c r="C2963">
        <v>18</v>
      </c>
      <c r="D2963" t="s">
        <v>677</v>
      </c>
      <c r="F2963">
        <v>1974</v>
      </c>
      <c r="G2963" s="1" t="s">
        <v>350</v>
      </c>
      <c r="H2963" s="1" t="s">
        <v>590</v>
      </c>
      <c r="I2963">
        <v>0</v>
      </c>
      <c r="J2963">
        <v>37290.536099999998</v>
      </c>
      <c r="K2963">
        <v>-2.3000000000000001E-4</v>
      </c>
      <c r="L2963">
        <v>3.31E-3</v>
      </c>
      <c r="M2963">
        <v>4.6100000000000002E-2</v>
      </c>
      <c r="N2963">
        <v>0.45329999999999998</v>
      </c>
      <c r="O2963">
        <v>6.0600000000000003E-3</v>
      </c>
      <c r="P2963" s="3">
        <f t="shared" si="184"/>
        <v>2681.6453076031394</v>
      </c>
      <c r="Q2963" s="3">
        <f t="shared" si="185"/>
        <v>-2.3731033297735848E-4</v>
      </c>
      <c r="R2963" s="3">
        <f t="shared" si="186"/>
        <v>3.31E-3</v>
      </c>
      <c r="S2963">
        <f t="shared" si="187"/>
        <v>70</v>
      </c>
      <c r="T2963">
        <f>INDEX([1]IDEN_level_ids!$B:$B,MATCH(G2963,[1]IDEN_level_ids!$A:$A,0),1)</f>
        <v>1112</v>
      </c>
      <c r="U2963">
        <f>INDEX([1]IDEN_level_ids!$B:$B,MATCH(H2963,[1]IDEN_level_ids!$A:$A,0),1)</f>
        <v>974</v>
      </c>
    </row>
    <row r="2964" spans="1:21" hidden="1" x14ac:dyDescent="0.25">
      <c r="A2964">
        <v>37288.421399999999</v>
      </c>
      <c r="B2964">
        <v>2681.7975999999999</v>
      </c>
      <c r="C2964">
        <v>18</v>
      </c>
      <c r="D2964" t="s">
        <v>677</v>
      </c>
      <c r="F2964">
        <v>1974</v>
      </c>
      <c r="G2964" s="1" t="s">
        <v>259</v>
      </c>
      <c r="H2964" s="1" t="s">
        <v>553</v>
      </c>
      <c r="I2964">
        <v>0</v>
      </c>
      <c r="J2964">
        <v>37288.3891</v>
      </c>
      <c r="K2964">
        <v>-2.32E-3</v>
      </c>
      <c r="L2964">
        <v>3.31E-3</v>
      </c>
      <c r="M2964">
        <v>4.6100000000000002E-2</v>
      </c>
      <c r="N2964">
        <v>0.49940000000000001</v>
      </c>
      <c r="O2964">
        <v>6.62E-3</v>
      </c>
      <c r="P2964" s="3">
        <f t="shared" si="184"/>
        <v>2681.7976263269757</v>
      </c>
      <c r="Q2964" s="3">
        <f t="shared" si="185"/>
        <v>-2.3230304504977539E-3</v>
      </c>
      <c r="R2964" s="3">
        <f t="shared" si="186"/>
        <v>3.31E-3</v>
      </c>
      <c r="S2964">
        <f t="shared" si="187"/>
        <v>70</v>
      </c>
      <c r="T2964">
        <f>INDEX([1]IDEN_level_ids!$B:$B,MATCH(G2964,[1]IDEN_level_ids!$A:$A,0),1)</f>
        <v>1117</v>
      </c>
      <c r="U2964">
        <f>INDEX([1]IDEN_level_ids!$B:$B,MATCH(H2964,[1]IDEN_level_ids!$A:$A,0),1)</f>
        <v>976</v>
      </c>
    </row>
    <row r="2965" spans="1:21" hidden="1" x14ac:dyDescent="0.25">
      <c r="A2965">
        <v>37286.350599999998</v>
      </c>
      <c r="B2965">
        <v>2681.9466000000002</v>
      </c>
      <c r="C2965">
        <v>18</v>
      </c>
      <c r="D2965" t="s">
        <v>677</v>
      </c>
      <c r="F2965">
        <v>1974</v>
      </c>
      <c r="G2965" s="1" t="s">
        <v>239</v>
      </c>
      <c r="H2965" s="1" t="s">
        <v>413</v>
      </c>
      <c r="I2965">
        <v>6.4600000000000005E-2</v>
      </c>
      <c r="J2965">
        <v>37286.305200000003</v>
      </c>
      <c r="K2965">
        <v>-3.2699999999999999E-3</v>
      </c>
      <c r="L2965">
        <v>3.31E-3</v>
      </c>
      <c r="M2965">
        <v>4.6100000000000002E-2</v>
      </c>
      <c r="N2965">
        <v>0.1087</v>
      </c>
      <c r="O2965">
        <v>3.7200000000000002E-3</v>
      </c>
      <c r="P2965" s="3">
        <f t="shared" si="184"/>
        <v>2681.9465673318</v>
      </c>
      <c r="Q2965" s="3">
        <f t="shared" si="185"/>
        <v>-3.2655521508786478E-3</v>
      </c>
      <c r="R2965" s="3">
        <f t="shared" si="186"/>
        <v>3.31E-3</v>
      </c>
      <c r="S2965">
        <f t="shared" si="187"/>
        <v>70</v>
      </c>
      <c r="T2965">
        <f>INDEX([1]IDEN_level_ids!$B:$B,MATCH(G2965,[1]IDEN_level_ids!$A:$A,0),1)</f>
        <v>1167</v>
      </c>
      <c r="U2965">
        <f>INDEX([1]IDEN_level_ids!$B:$B,MATCH(H2965,[1]IDEN_level_ids!$A:$A,0),1)</f>
        <v>1071</v>
      </c>
    </row>
    <row r="2966" spans="1:21" hidden="1" x14ac:dyDescent="0.25">
      <c r="A2966">
        <v>37262.530700000003</v>
      </c>
      <c r="B2966">
        <v>2683.6610000000001</v>
      </c>
      <c r="C2966">
        <v>18</v>
      </c>
      <c r="D2966" t="s">
        <v>677</v>
      </c>
      <c r="F2966">
        <v>1974</v>
      </c>
      <c r="G2966" s="1" t="s">
        <v>117</v>
      </c>
      <c r="H2966" s="1" t="s">
        <v>401</v>
      </c>
      <c r="I2966">
        <v>6.8900000000000003E-2</v>
      </c>
      <c r="J2966">
        <v>37262.506699999998</v>
      </c>
      <c r="K2966">
        <v>-1.73E-3</v>
      </c>
      <c r="L2966">
        <v>3.32E-3</v>
      </c>
      <c r="M2966">
        <v>4.6100000000000002E-2</v>
      </c>
      <c r="N2966">
        <v>8.9399999999999993E-2</v>
      </c>
      <c r="O2966">
        <v>3.64E-3</v>
      </c>
      <c r="P2966" s="3">
        <f t="shared" si="184"/>
        <v>2683.660989241399</v>
      </c>
      <c r="Q2966" s="3">
        <f t="shared" si="185"/>
        <v>-1.7284898267462268E-3</v>
      </c>
      <c r="R2966" s="3">
        <f t="shared" si="186"/>
        <v>3.32E-3</v>
      </c>
      <c r="S2966">
        <f t="shared" si="187"/>
        <v>70</v>
      </c>
      <c r="T2966">
        <f>INDEX([1]IDEN_level_ids!$B:$B,MATCH(G2966,[1]IDEN_level_ids!$A:$A,0),1)</f>
        <v>1162</v>
      </c>
      <c r="U2966">
        <f>INDEX([1]IDEN_level_ids!$B:$B,MATCH(H2966,[1]IDEN_level_ids!$A:$A,0),1)</f>
        <v>1063</v>
      </c>
    </row>
    <row r="2967" spans="1:21" hidden="1" x14ac:dyDescent="0.25">
      <c r="A2967">
        <v>37260.868499999997</v>
      </c>
      <c r="B2967">
        <v>2683.7806999999998</v>
      </c>
      <c r="C2967">
        <v>18</v>
      </c>
      <c r="D2967" t="s">
        <v>677</v>
      </c>
      <c r="F2967">
        <v>1974</v>
      </c>
      <c r="G2967" s="1" t="s">
        <v>271</v>
      </c>
      <c r="H2967" s="1" t="s">
        <v>428</v>
      </c>
      <c r="I2967">
        <v>0.39950000000000002</v>
      </c>
      <c r="J2967">
        <v>37260.880899999996</v>
      </c>
      <c r="K2967">
        <v>8.8999999999999995E-4</v>
      </c>
      <c r="L2967">
        <v>3.32E-3</v>
      </c>
      <c r="M2967">
        <v>4.6100000000000002E-2</v>
      </c>
      <c r="N2967">
        <v>0.1016</v>
      </c>
      <c r="O2967">
        <v>3.6900000000000001E-3</v>
      </c>
      <c r="P2967" s="3">
        <f t="shared" si="184"/>
        <v>2683.7807068292036</v>
      </c>
      <c r="Q2967" s="3">
        <f t="shared" si="185"/>
        <v>8.9313188391315634E-4</v>
      </c>
      <c r="R2967" s="3">
        <f t="shared" si="186"/>
        <v>3.32E-3</v>
      </c>
      <c r="S2967">
        <f t="shared" si="187"/>
        <v>70</v>
      </c>
      <c r="T2967">
        <f>INDEX([1]IDEN_level_ids!$B:$B,MATCH(G2967,[1]IDEN_level_ids!$A:$A,0),1)</f>
        <v>1158</v>
      </c>
      <c r="U2967">
        <f>INDEX([1]IDEN_level_ids!$B:$B,MATCH(H2967,[1]IDEN_level_ids!$A:$A,0),1)</f>
        <v>1060</v>
      </c>
    </row>
    <row r="2968" spans="1:21" hidden="1" x14ac:dyDescent="0.25">
      <c r="A2968">
        <v>37256.740599999997</v>
      </c>
      <c r="B2968">
        <v>2684.0781000000002</v>
      </c>
      <c r="C2968">
        <v>18</v>
      </c>
      <c r="D2968" t="s">
        <v>677</v>
      </c>
      <c r="F2968">
        <v>1974</v>
      </c>
      <c r="G2968" s="1" t="s">
        <v>207</v>
      </c>
      <c r="H2968" s="1" t="s">
        <v>453</v>
      </c>
      <c r="I2968">
        <v>0.26840000000000003</v>
      </c>
      <c r="J2968">
        <v>37256.737699999998</v>
      </c>
      <c r="K2968">
        <v>-2.0000000000000001E-4</v>
      </c>
      <c r="L2968">
        <v>3.32E-3</v>
      </c>
      <c r="M2968">
        <v>4.6100000000000002E-2</v>
      </c>
      <c r="N2968">
        <v>0.1138</v>
      </c>
      <c r="O2968">
        <v>3.7399999999999998E-3</v>
      </c>
      <c r="P2968" s="3">
        <f t="shared" si="184"/>
        <v>2684.0780591526036</v>
      </c>
      <c r="Q2968" s="3">
        <f t="shared" si="185"/>
        <v>-2.0892399197691702E-4</v>
      </c>
      <c r="R2968" s="3">
        <f t="shared" si="186"/>
        <v>3.32E-3</v>
      </c>
      <c r="S2968">
        <f t="shared" si="187"/>
        <v>70</v>
      </c>
      <c r="T2968">
        <f>INDEX([1]IDEN_level_ids!$B:$B,MATCH(G2968,[1]IDEN_level_ids!$A:$A,0),1)</f>
        <v>1177</v>
      </c>
      <c r="U2968">
        <f>INDEX([1]IDEN_level_ids!$B:$B,MATCH(H2968,[1]IDEN_level_ids!$A:$A,0),1)</f>
        <v>1078</v>
      </c>
    </row>
    <row r="2969" spans="1:21" hidden="1" x14ac:dyDescent="0.25">
      <c r="A2969">
        <v>37252.869500000001</v>
      </c>
      <c r="B2969">
        <v>2684.357</v>
      </c>
      <c r="C2969">
        <v>18</v>
      </c>
      <c r="D2969" t="s">
        <v>677</v>
      </c>
      <c r="F2969">
        <v>1974</v>
      </c>
      <c r="G2969" s="1" t="s">
        <v>271</v>
      </c>
      <c r="H2969" s="1" t="s">
        <v>377</v>
      </c>
      <c r="I2969">
        <v>0.33889999999999998</v>
      </c>
      <c r="J2969">
        <v>37252.8917</v>
      </c>
      <c r="K2969">
        <v>1.6000000000000001E-3</v>
      </c>
      <c r="L2969">
        <v>3.32E-3</v>
      </c>
      <c r="M2969">
        <v>4.6100000000000002E-2</v>
      </c>
      <c r="N2969">
        <v>7.2099999999999997E-2</v>
      </c>
      <c r="O2969">
        <v>3.5799999999999998E-3</v>
      </c>
      <c r="P2969" s="3">
        <f t="shared" si="184"/>
        <v>2684.3569728232615</v>
      </c>
      <c r="Q2969" s="3">
        <f t="shared" si="185"/>
        <v>1.5996805100257916E-3</v>
      </c>
      <c r="R2969" s="3">
        <f t="shared" si="186"/>
        <v>3.32E-3</v>
      </c>
      <c r="S2969">
        <f t="shared" si="187"/>
        <v>70</v>
      </c>
      <c r="T2969">
        <f>INDEX([1]IDEN_level_ids!$B:$B,MATCH(G2969,[1]IDEN_level_ids!$A:$A,0),1)</f>
        <v>1158</v>
      </c>
      <c r="U2969">
        <f>INDEX([1]IDEN_level_ids!$B:$B,MATCH(H2969,[1]IDEN_level_ids!$A:$A,0),1)</f>
        <v>1057</v>
      </c>
    </row>
    <row r="2970" spans="1:21" hidden="1" x14ac:dyDescent="0.25">
      <c r="A2970">
        <v>37244.668799999999</v>
      </c>
      <c r="B2970">
        <v>2684.9479999999999</v>
      </c>
      <c r="C2970">
        <v>18</v>
      </c>
      <c r="D2970" t="s">
        <v>677</v>
      </c>
      <c r="E2970" t="s">
        <v>427</v>
      </c>
      <c r="F2970">
        <v>1974</v>
      </c>
      <c r="G2970" s="1" t="s">
        <v>84</v>
      </c>
      <c r="H2970" s="1" t="s">
        <v>384</v>
      </c>
      <c r="I2970">
        <v>0.45490000000000003</v>
      </c>
      <c r="J2970">
        <v>37244.6679</v>
      </c>
      <c r="K2970">
        <v>-6.9999999999999994E-5</v>
      </c>
      <c r="L2970">
        <v>3.5100000000000001E-3</v>
      </c>
      <c r="M2970">
        <v>4.87E-2</v>
      </c>
      <c r="N2970">
        <v>0.11360000000000001</v>
      </c>
      <c r="O2970">
        <v>3.96E-3</v>
      </c>
      <c r="P2970" s="3">
        <f t="shared" si="184"/>
        <v>2684.9480267092617</v>
      </c>
      <c r="Q2970" s="3">
        <f t="shared" si="185"/>
        <v>-6.4880514401011169E-5</v>
      </c>
      <c r="R2970" s="3">
        <f t="shared" si="186"/>
        <v>3.5100000000000001E-3</v>
      </c>
      <c r="S2970">
        <f t="shared" si="187"/>
        <v>70</v>
      </c>
      <c r="T2970">
        <f>INDEX([1]IDEN_level_ids!$B:$B,MATCH(G2970,[1]IDEN_level_ids!$A:$A,0),1)</f>
        <v>1191</v>
      </c>
      <c r="U2970">
        <f>INDEX([1]IDEN_level_ids!$B:$B,MATCH(H2970,[1]IDEN_level_ids!$A:$A,0),1)</f>
        <v>1080</v>
      </c>
    </row>
    <row r="2971" spans="1:21" hidden="1" x14ac:dyDescent="0.25">
      <c r="A2971">
        <v>37243.180699999997</v>
      </c>
      <c r="B2971">
        <v>2685.0553</v>
      </c>
      <c r="C2971">
        <v>18</v>
      </c>
      <c r="D2971" t="s">
        <v>677</v>
      </c>
      <c r="E2971" t="s">
        <v>638</v>
      </c>
      <c r="F2971">
        <v>1974</v>
      </c>
      <c r="G2971" s="1" t="s">
        <v>443</v>
      </c>
      <c r="H2971" s="1" t="s">
        <v>563</v>
      </c>
      <c r="I2971">
        <v>4.1000000000000002E-2</v>
      </c>
      <c r="J2971">
        <v>37243.344700000001</v>
      </c>
      <c r="K2971">
        <v>1.183E-2</v>
      </c>
      <c r="L2971">
        <v>1.2460000000000001E-2</v>
      </c>
      <c r="M2971">
        <v>0.17280000000000001</v>
      </c>
      <c r="N2971">
        <v>2.87E-2</v>
      </c>
      <c r="O2971">
        <v>1.2829999999999999E-2</v>
      </c>
      <c r="P2971" s="3">
        <f t="shared" si="184"/>
        <v>2685.0553073196565</v>
      </c>
      <c r="Q2971" s="3">
        <f t="shared" si="185"/>
        <v>1.1823564020687627E-2</v>
      </c>
      <c r="R2971" s="3">
        <f t="shared" si="186"/>
        <v>1.2460000000000001E-2</v>
      </c>
      <c r="S2971">
        <f t="shared" si="187"/>
        <v>70</v>
      </c>
      <c r="T2971">
        <f>INDEX([1]IDEN_level_ids!$B:$B,MATCH(G2971,[1]IDEN_level_ids!$A:$A,0),1)</f>
        <v>1145</v>
      </c>
      <c r="U2971">
        <f>INDEX([1]IDEN_level_ids!$B:$B,MATCH(H2971,[1]IDEN_level_ids!$A:$A,0),1)</f>
        <v>1032</v>
      </c>
    </row>
    <row r="2972" spans="1:21" hidden="1" x14ac:dyDescent="0.25">
      <c r="A2972">
        <v>37237.700900000003</v>
      </c>
      <c r="B2972">
        <v>2685.4504000000002</v>
      </c>
      <c r="C2972">
        <v>18</v>
      </c>
      <c r="D2972" t="s">
        <v>677</v>
      </c>
      <c r="F2972">
        <v>1974</v>
      </c>
      <c r="G2972" s="1" t="s">
        <v>100</v>
      </c>
      <c r="H2972" s="1" t="s">
        <v>475</v>
      </c>
      <c r="I2972">
        <v>0.18990000000000001</v>
      </c>
      <c r="J2972">
        <v>37237.720999999998</v>
      </c>
      <c r="K2972">
        <v>1.4499999999999999E-3</v>
      </c>
      <c r="L2972">
        <v>3.32E-3</v>
      </c>
      <c r="M2972">
        <v>4.6100000000000002E-2</v>
      </c>
      <c r="N2972">
        <v>0.1046</v>
      </c>
      <c r="O2972">
        <v>3.7100000000000002E-3</v>
      </c>
      <c r="P2972" s="3">
        <f t="shared" si="184"/>
        <v>2685.4504328434518</v>
      </c>
      <c r="Q2972" s="3">
        <f t="shared" si="185"/>
        <v>1.4495396667371097E-3</v>
      </c>
      <c r="R2972" s="3">
        <f t="shared" si="186"/>
        <v>3.32E-3</v>
      </c>
      <c r="S2972">
        <f t="shared" si="187"/>
        <v>70</v>
      </c>
      <c r="T2972">
        <f>INDEX([1]IDEN_level_ids!$B:$B,MATCH(G2972,[1]IDEN_level_ids!$A:$A,0),1)</f>
        <v>1146</v>
      </c>
      <c r="U2972">
        <f>INDEX([1]IDEN_level_ids!$B:$B,MATCH(H2972,[1]IDEN_level_ids!$A:$A,0),1)</f>
        <v>1030</v>
      </c>
    </row>
    <row r="2973" spans="1:21" hidden="1" x14ac:dyDescent="0.25">
      <c r="A2973">
        <v>37228.561600000001</v>
      </c>
      <c r="B2973">
        <v>2686.1097</v>
      </c>
      <c r="C2973">
        <v>18</v>
      </c>
      <c r="D2973" t="s">
        <v>677</v>
      </c>
      <c r="E2973" t="s">
        <v>638</v>
      </c>
      <c r="F2973">
        <v>1974</v>
      </c>
      <c r="G2973" s="1" t="s">
        <v>279</v>
      </c>
      <c r="H2973" s="1" t="s">
        <v>550</v>
      </c>
      <c r="I2973">
        <v>5.0999999999999997E-2</v>
      </c>
      <c r="J2973">
        <v>37228.674800000001</v>
      </c>
      <c r="K2973">
        <v>8.1700000000000002E-3</v>
      </c>
      <c r="L2973">
        <v>1.247E-2</v>
      </c>
      <c r="M2973">
        <v>0.17280000000000001</v>
      </c>
      <c r="N2973">
        <v>3.1300000000000001E-2</v>
      </c>
      <c r="O2973">
        <v>1.2869999999999999E-2</v>
      </c>
      <c r="P2973" s="3">
        <f t="shared" si="184"/>
        <v>2686.1096884280373</v>
      </c>
      <c r="Q2973" s="3">
        <f t="shared" si="185"/>
        <v>8.1675648771124543E-3</v>
      </c>
      <c r="R2973" s="3">
        <f t="shared" si="186"/>
        <v>1.247E-2</v>
      </c>
      <c r="S2973">
        <f t="shared" si="187"/>
        <v>70</v>
      </c>
      <c r="T2973">
        <f>INDEX([1]IDEN_level_ids!$B:$B,MATCH(G2973,[1]IDEN_level_ids!$A:$A,0),1)</f>
        <v>1129</v>
      </c>
      <c r="U2973">
        <f>INDEX([1]IDEN_level_ids!$B:$B,MATCH(H2973,[1]IDEN_level_ids!$A:$A,0),1)</f>
        <v>997</v>
      </c>
    </row>
    <row r="2974" spans="1:21" hidden="1" x14ac:dyDescent="0.25">
      <c r="A2974">
        <v>37214.099099999999</v>
      </c>
      <c r="B2974">
        <v>2687.1536000000001</v>
      </c>
      <c r="C2974">
        <v>18</v>
      </c>
      <c r="D2974" t="s">
        <v>677</v>
      </c>
      <c r="E2974" t="s">
        <v>427</v>
      </c>
      <c r="F2974">
        <v>1974</v>
      </c>
      <c r="G2974" s="1" t="s">
        <v>285</v>
      </c>
      <c r="H2974" s="1" t="s">
        <v>437</v>
      </c>
      <c r="I2974">
        <v>0.26329999999999998</v>
      </c>
      <c r="J2974">
        <v>37214.085200000001</v>
      </c>
      <c r="K2974">
        <v>-1E-3</v>
      </c>
      <c r="L2974">
        <v>3.5200000000000001E-3</v>
      </c>
      <c r="M2974">
        <v>4.87E-2</v>
      </c>
      <c r="N2974">
        <v>7.6700000000000004E-2</v>
      </c>
      <c r="O2974">
        <v>3.81E-3</v>
      </c>
      <c r="P2974" s="3">
        <f t="shared" si="184"/>
        <v>2687.1535901295001</v>
      </c>
      <c r="Q2974" s="3">
        <f t="shared" si="185"/>
        <v>-1.0036907988251187E-3</v>
      </c>
      <c r="R2974" s="3">
        <f t="shared" si="186"/>
        <v>3.5200000000000001E-3</v>
      </c>
      <c r="S2974">
        <f t="shared" si="187"/>
        <v>70</v>
      </c>
      <c r="T2974">
        <f>INDEX([1]IDEN_level_ids!$B:$B,MATCH(G2974,[1]IDEN_level_ids!$A:$A,0),1)</f>
        <v>1150</v>
      </c>
      <c r="U2974">
        <f>INDEX([1]IDEN_level_ids!$B:$B,MATCH(H2974,[1]IDEN_level_ids!$A:$A,0),1)</f>
        <v>1039</v>
      </c>
    </row>
    <row r="2975" spans="1:21" hidden="1" x14ac:dyDescent="0.25">
      <c r="A2975">
        <v>37212.728600000002</v>
      </c>
      <c r="B2975">
        <v>2687.2525999999998</v>
      </c>
      <c r="C2975">
        <v>18</v>
      </c>
      <c r="D2975" t="s">
        <v>677</v>
      </c>
      <c r="F2975">
        <v>1974</v>
      </c>
      <c r="G2975" s="1" t="s">
        <v>419</v>
      </c>
      <c r="H2975" s="1" t="s">
        <v>126</v>
      </c>
      <c r="I2975">
        <v>-0.2853</v>
      </c>
      <c r="J2975">
        <v>37212.689599999998</v>
      </c>
      <c r="K2975">
        <v>-2.82E-3</v>
      </c>
      <c r="L2975">
        <v>3.3300000000000001E-3</v>
      </c>
      <c r="M2975">
        <v>4.6100000000000002E-2</v>
      </c>
      <c r="N2975">
        <v>0.2099</v>
      </c>
      <c r="O2975">
        <v>4.2100000000000002E-3</v>
      </c>
      <c r="P2975" s="3">
        <f t="shared" si="184"/>
        <v>2687.2525547615983</v>
      </c>
      <c r="Q2975" s="3">
        <f t="shared" si="185"/>
        <v>-2.8163202059658943E-3</v>
      </c>
      <c r="R2975" s="3">
        <f t="shared" si="186"/>
        <v>3.3300000000000001E-3</v>
      </c>
      <c r="S2975">
        <f t="shared" si="187"/>
        <v>70</v>
      </c>
      <c r="T2975">
        <f>INDEX([1]IDEN_level_ids!$B:$B,MATCH(G2975,[1]IDEN_level_ids!$A:$A,0),1)</f>
        <v>1068</v>
      </c>
      <c r="U2975">
        <f>INDEX([1]IDEN_level_ids!$B:$B,MATCH(H2975,[1]IDEN_level_ids!$A:$A,0),1)</f>
        <v>892</v>
      </c>
    </row>
    <row r="2976" spans="1:21" hidden="1" x14ac:dyDescent="0.25">
      <c r="A2976">
        <v>37206.891900000002</v>
      </c>
      <c r="B2976">
        <v>2687.6741000000002</v>
      </c>
      <c r="C2976">
        <v>18</v>
      </c>
      <c r="D2976" t="s">
        <v>677</v>
      </c>
      <c r="F2976">
        <v>1974</v>
      </c>
      <c r="G2976" s="1" t="s">
        <v>73</v>
      </c>
      <c r="H2976" s="1" t="s">
        <v>398</v>
      </c>
      <c r="I2976">
        <v>0.31929999999999997</v>
      </c>
      <c r="J2976">
        <v>37206.923000000003</v>
      </c>
      <c r="K2976">
        <v>2.2499999999999998E-3</v>
      </c>
      <c r="L2976">
        <v>3.3300000000000001E-3</v>
      </c>
      <c r="M2976">
        <v>4.6100000000000002E-2</v>
      </c>
      <c r="N2976">
        <v>7.9600000000000004E-2</v>
      </c>
      <c r="O2976">
        <v>3.62E-3</v>
      </c>
      <c r="P2976" s="3">
        <f t="shared" si="184"/>
        <v>2687.6741080326569</v>
      </c>
      <c r="Q2976" s="3">
        <f t="shared" si="185"/>
        <v>2.2465352685685502E-3</v>
      </c>
      <c r="R2976" s="3">
        <f t="shared" si="186"/>
        <v>3.3300000000000001E-3</v>
      </c>
      <c r="S2976">
        <f t="shared" si="187"/>
        <v>70</v>
      </c>
      <c r="T2976">
        <f>INDEX([1]IDEN_level_ids!$B:$B,MATCH(G2976,[1]IDEN_level_ids!$A:$A,0),1)</f>
        <v>1173</v>
      </c>
      <c r="U2976">
        <f>INDEX([1]IDEN_level_ids!$B:$B,MATCH(H2976,[1]IDEN_level_ids!$A:$A,0),1)</f>
        <v>1075</v>
      </c>
    </row>
    <row r="2977" spans="1:21" hidden="1" x14ac:dyDescent="0.25">
      <c r="A2977">
        <v>37198.171399999999</v>
      </c>
      <c r="B2977">
        <v>2688.3042</v>
      </c>
      <c r="C2977">
        <v>18</v>
      </c>
      <c r="D2977" t="s">
        <v>677</v>
      </c>
      <c r="E2977" t="s">
        <v>427</v>
      </c>
      <c r="F2977">
        <v>1974</v>
      </c>
      <c r="G2977" s="1" t="s">
        <v>557</v>
      </c>
      <c r="H2977" s="1" t="s">
        <v>639</v>
      </c>
      <c r="I2977">
        <v>0</v>
      </c>
      <c r="J2977">
        <v>37198.155400000003</v>
      </c>
      <c r="K2977">
        <v>-1.15E-3</v>
      </c>
      <c r="L2977">
        <v>3.5200000000000001E-3</v>
      </c>
      <c r="M2977">
        <v>4.87E-2</v>
      </c>
      <c r="N2977">
        <v>0.13109999999999999</v>
      </c>
      <c r="O2977">
        <v>4.0499999999999998E-3</v>
      </c>
      <c r="P2977" s="3">
        <f t="shared" si="184"/>
        <v>2688.3041890602181</v>
      </c>
      <c r="Q2977" s="3">
        <f t="shared" si="185"/>
        <v>-1.1563172033675073E-3</v>
      </c>
      <c r="R2977" s="3">
        <f t="shared" si="186"/>
        <v>3.5200000000000001E-3</v>
      </c>
      <c r="S2977">
        <f t="shared" si="187"/>
        <v>70</v>
      </c>
      <c r="T2977">
        <f>INDEX([1]IDEN_level_ids!$B:$B,MATCH(G2977,[1]IDEN_level_ids!$A:$A,0),1)</f>
        <v>1069</v>
      </c>
      <c r="U2977">
        <f>INDEX([1]IDEN_level_ids!$B:$B,MATCH(H2977,[1]IDEN_level_ids!$A:$A,0),1)</f>
        <v>893</v>
      </c>
    </row>
    <row r="2978" spans="1:21" hidden="1" x14ac:dyDescent="0.25">
      <c r="A2978">
        <v>37191.600299999998</v>
      </c>
      <c r="B2978">
        <v>2688.7791999999999</v>
      </c>
      <c r="C2978">
        <v>18</v>
      </c>
      <c r="D2978" t="s">
        <v>677</v>
      </c>
      <c r="E2978" t="s">
        <v>678</v>
      </c>
      <c r="F2978">
        <v>1974</v>
      </c>
      <c r="G2978" s="1" t="s">
        <v>504</v>
      </c>
      <c r="H2978" s="1" t="s">
        <v>554</v>
      </c>
      <c r="I2978">
        <v>-1.0155000000000001</v>
      </c>
      <c r="J2978">
        <v>37191.575599999996</v>
      </c>
      <c r="K2978">
        <v>-1.7899999999999999E-3</v>
      </c>
      <c r="L2978">
        <v>5.2700000000000004E-3</v>
      </c>
      <c r="M2978">
        <v>7.2800000000000004E-2</v>
      </c>
      <c r="N2978">
        <v>0.11310000000000001</v>
      </c>
      <c r="O2978">
        <v>5.94E-3</v>
      </c>
      <c r="P2978" s="3">
        <f t="shared" si="184"/>
        <v>2688.7791650094714</v>
      </c>
      <c r="Q2978" s="3">
        <f t="shared" si="185"/>
        <v>-1.7856959352684498E-3</v>
      </c>
      <c r="R2978" s="3">
        <f t="shared" si="186"/>
        <v>5.2700000000000004E-3</v>
      </c>
      <c r="S2978">
        <f t="shared" si="187"/>
        <v>70</v>
      </c>
      <c r="T2978">
        <f>INDEX([1]IDEN_level_ids!$B:$B,MATCH(G2978,[1]IDEN_level_ids!$A:$A,0),1)</f>
        <v>1118</v>
      </c>
      <c r="U2978">
        <f>INDEX([1]IDEN_level_ids!$B:$B,MATCH(H2978,[1]IDEN_level_ids!$A:$A,0),1)</f>
        <v>982</v>
      </c>
    </row>
    <row r="2979" spans="1:21" hidden="1" x14ac:dyDescent="0.25">
      <c r="A2979">
        <v>37188.761700000003</v>
      </c>
      <c r="B2979">
        <v>2688.9843999999998</v>
      </c>
      <c r="C2979">
        <v>18</v>
      </c>
      <c r="D2979" t="s">
        <v>677</v>
      </c>
      <c r="F2979">
        <v>1974</v>
      </c>
      <c r="G2979" s="1" t="s">
        <v>416</v>
      </c>
      <c r="H2979" s="1" t="s">
        <v>637</v>
      </c>
      <c r="I2979">
        <v>-0.26750000000000002</v>
      </c>
      <c r="J2979">
        <v>37188.736700000001</v>
      </c>
      <c r="K2979">
        <v>-1.8E-3</v>
      </c>
      <c r="L2979">
        <v>3.3300000000000001E-3</v>
      </c>
      <c r="M2979">
        <v>4.6100000000000002E-2</v>
      </c>
      <c r="N2979">
        <v>0.15679999999999999</v>
      </c>
      <c r="O2979">
        <v>3.9500000000000004E-3</v>
      </c>
      <c r="P2979" s="3">
        <f t="shared" si="184"/>
        <v>2688.9843982086663</v>
      </c>
      <c r="Q2979" s="3">
        <f t="shared" si="185"/>
        <v>-1.8076604887937719E-3</v>
      </c>
      <c r="R2979" s="3">
        <f t="shared" si="186"/>
        <v>3.3300000000000001E-3</v>
      </c>
      <c r="S2979">
        <f t="shared" si="187"/>
        <v>70</v>
      </c>
      <c r="T2979">
        <f>INDEX([1]IDEN_level_ids!$B:$B,MATCH(G2979,[1]IDEN_level_ids!$A:$A,0),1)</f>
        <v>1055</v>
      </c>
      <c r="U2979">
        <f>INDEX([1]IDEN_level_ids!$B:$B,MATCH(H2979,[1]IDEN_level_ids!$A:$A,0),1)</f>
        <v>882</v>
      </c>
    </row>
    <row r="2980" spans="1:21" hidden="1" x14ac:dyDescent="0.25">
      <c r="A2980">
        <v>37179.998800000001</v>
      </c>
      <c r="B2980">
        <v>2689.6181999999999</v>
      </c>
      <c r="C2980">
        <v>18</v>
      </c>
      <c r="D2980" t="s">
        <v>677</v>
      </c>
      <c r="F2980">
        <v>1974</v>
      </c>
      <c r="G2980" s="1" t="s">
        <v>522</v>
      </c>
      <c r="H2980" s="1" t="s">
        <v>679</v>
      </c>
      <c r="I2980">
        <v>0</v>
      </c>
      <c r="J2980">
        <v>37180.005599999997</v>
      </c>
      <c r="K2980">
        <v>4.8999999999999998E-4</v>
      </c>
      <c r="L2980">
        <v>3.3300000000000001E-3</v>
      </c>
      <c r="M2980">
        <v>4.6100000000000002E-2</v>
      </c>
      <c r="N2980">
        <v>0.64959999999999996</v>
      </c>
      <c r="O2980">
        <v>9.5099999999999994E-3</v>
      </c>
      <c r="P2980" s="3">
        <f t="shared" si="184"/>
        <v>2689.6181610420062</v>
      </c>
      <c r="Q2980" s="3">
        <f t="shared" si="185"/>
        <v>4.9191502785106422E-4</v>
      </c>
      <c r="R2980" s="3">
        <f t="shared" si="186"/>
        <v>3.3300000000000001E-3</v>
      </c>
      <c r="S2980">
        <f t="shared" si="187"/>
        <v>70</v>
      </c>
      <c r="T2980">
        <f>INDEX([1]IDEN_level_ids!$B:$B,MATCH(G2980,[1]IDEN_level_ids!$A:$A,0),1)</f>
        <v>1029</v>
      </c>
      <c r="U2980">
        <f>INDEX([1]IDEN_level_ids!$B:$B,MATCH(H2980,[1]IDEN_level_ids!$A:$A,0),1)</f>
        <v>859</v>
      </c>
    </row>
    <row r="2981" spans="1:21" hidden="1" x14ac:dyDescent="0.25">
      <c r="A2981">
        <v>37179.3894</v>
      </c>
      <c r="B2981">
        <v>2689.6622000000002</v>
      </c>
      <c r="C2981">
        <v>18</v>
      </c>
      <c r="D2981" t="s">
        <v>677</v>
      </c>
      <c r="F2981">
        <v>1974</v>
      </c>
      <c r="G2981" s="1" t="s">
        <v>302</v>
      </c>
      <c r="H2981" s="1" t="s">
        <v>432</v>
      </c>
      <c r="I2981">
        <v>0</v>
      </c>
      <c r="J2981">
        <v>37179.353999999999</v>
      </c>
      <c r="K2981">
        <v>-2.5600000000000002E-3</v>
      </c>
      <c r="L2981">
        <v>3.3300000000000001E-3</v>
      </c>
      <c r="M2981">
        <v>4.6100000000000002E-2</v>
      </c>
      <c r="N2981">
        <v>0.4914</v>
      </c>
      <c r="O2981">
        <v>6.5500000000000003E-3</v>
      </c>
      <c r="P2981" s="3">
        <f t="shared" si="184"/>
        <v>2689.6622460400063</v>
      </c>
      <c r="Q2981" s="3">
        <f t="shared" si="185"/>
        <v>-2.5609386198084394E-3</v>
      </c>
      <c r="R2981" s="3">
        <f t="shared" si="186"/>
        <v>3.3300000000000001E-3</v>
      </c>
      <c r="S2981">
        <f t="shared" si="187"/>
        <v>70</v>
      </c>
      <c r="T2981">
        <f>INDEX([1]IDEN_level_ids!$B:$B,MATCH(G2981,[1]IDEN_level_ids!$A:$A,0),1)</f>
        <v>1100</v>
      </c>
      <c r="U2981">
        <f>INDEX([1]IDEN_level_ids!$B:$B,MATCH(H2981,[1]IDEN_level_ids!$A:$A,0),1)</f>
        <v>954</v>
      </c>
    </row>
    <row r="2982" spans="1:21" hidden="1" x14ac:dyDescent="0.25">
      <c r="A2982">
        <v>37146.341699999997</v>
      </c>
      <c r="B2982">
        <v>2692.0551</v>
      </c>
      <c r="C2982">
        <v>18</v>
      </c>
      <c r="D2982" t="s">
        <v>677</v>
      </c>
      <c r="F2982">
        <v>1974</v>
      </c>
      <c r="G2982" s="1" t="s">
        <v>238</v>
      </c>
      <c r="H2982" s="1" t="s">
        <v>448</v>
      </c>
      <c r="I2982">
        <v>0.29559999999999997</v>
      </c>
      <c r="J2982">
        <v>37146.364500000003</v>
      </c>
      <c r="K2982">
        <v>1.65E-3</v>
      </c>
      <c r="L2982">
        <v>3.3400000000000001E-3</v>
      </c>
      <c r="M2982">
        <v>4.6100000000000002E-2</v>
      </c>
      <c r="N2982">
        <v>8.3599999999999994E-2</v>
      </c>
      <c r="O2982">
        <v>3.64E-3</v>
      </c>
      <c r="P2982" s="3">
        <f t="shared" si="184"/>
        <v>2692.0551371550005</v>
      </c>
      <c r="Q2982" s="3">
        <f t="shared" si="185"/>
        <v>1.6523516628694779E-3</v>
      </c>
      <c r="R2982" s="3">
        <f t="shared" si="186"/>
        <v>3.3400000000000001E-3</v>
      </c>
      <c r="S2982">
        <f t="shared" si="187"/>
        <v>70</v>
      </c>
      <c r="T2982">
        <f>INDEX([1]IDEN_level_ids!$B:$B,MATCH(G2982,[1]IDEN_level_ids!$A:$A,0),1)</f>
        <v>1165</v>
      </c>
      <c r="U2982">
        <f>INDEX([1]IDEN_level_ids!$B:$B,MATCH(H2982,[1]IDEN_level_ids!$A:$A,0),1)</f>
        <v>1067</v>
      </c>
    </row>
    <row r="2983" spans="1:21" hidden="1" x14ac:dyDescent="0.25">
      <c r="A2983">
        <v>37144.428800000002</v>
      </c>
      <c r="B2983">
        <v>2692.1938</v>
      </c>
      <c r="C2983">
        <v>18</v>
      </c>
      <c r="D2983" t="s">
        <v>677</v>
      </c>
      <c r="F2983">
        <v>1974</v>
      </c>
      <c r="G2983" s="1" t="s">
        <v>207</v>
      </c>
      <c r="H2983" s="1" t="s">
        <v>450</v>
      </c>
      <c r="I2983">
        <v>0.2989</v>
      </c>
      <c r="J2983">
        <v>37144.421000000002</v>
      </c>
      <c r="K2983">
        <v>-5.5999999999999995E-4</v>
      </c>
      <c r="L2983">
        <v>3.3400000000000001E-3</v>
      </c>
      <c r="M2983">
        <v>4.6100000000000002E-2</v>
      </c>
      <c r="N2983">
        <v>9.98E-2</v>
      </c>
      <c r="O2983">
        <v>3.7100000000000002E-3</v>
      </c>
      <c r="P2983" s="3">
        <f t="shared" si="184"/>
        <v>2692.1937752344706</v>
      </c>
      <c r="Q2983" s="3">
        <f t="shared" si="185"/>
        <v>-5.6533688984927721E-4</v>
      </c>
      <c r="R2983" s="3">
        <f t="shared" si="186"/>
        <v>3.3400000000000001E-3</v>
      </c>
      <c r="S2983">
        <f t="shared" si="187"/>
        <v>70</v>
      </c>
      <c r="T2983">
        <f>INDEX([1]IDEN_level_ids!$B:$B,MATCH(G2983,[1]IDEN_level_ids!$A:$A,0),1)</f>
        <v>1177</v>
      </c>
      <c r="U2983">
        <f>INDEX([1]IDEN_level_ids!$B:$B,MATCH(H2983,[1]IDEN_level_ids!$A:$A,0),1)</f>
        <v>1077</v>
      </c>
    </row>
    <row r="2984" spans="1:21" hidden="1" x14ac:dyDescent="0.25">
      <c r="A2984">
        <v>37125.860200000003</v>
      </c>
      <c r="B2984">
        <v>2693.5403000000001</v>
      </c>
      <c r="C2984">
        <v>18</v>
      </c>
      <c r="D2984" t="s">
        <v>677</v>
      </c>
      <c r="F2984">
        <v>1974</v>
      </c>
      <c r="G2984" s="1" t="s">
        <v>216</v>
      </c>
      <c r="H2984" s="1" t="s">
        <v>518</v>
      </c>
      <c r="I2984">
        <v>0</v>
      </c>
      <c r="J2984">
        <v>37125.864300000001</v>
      </c>
      <c r="K2984">
        <v>2.9999999999999997E-4</v>
      </c>
      <c r="L2984">
        <v>3.3400000000000001E-3</v>
      </c>
      <c r="M2984">
        <v>4.6100000000000002E-2</v>
      </c>
      <c r="N2984">
        <v>0.16139999999999999</v>
      </c>
      <c r="O2984">
        <v>3.9899999999999996E-3</v>
      </c>
      <c r="P2984" s="3">
        <f t="shared" si="184"/>
        <v>2693.5402832767222</v>
      </c>
      <c r="Q2984" s="3">
        <f t="shared" si="185"/>
        <v>2.9746149630227592E-4</v>
      </c>
      <c r="R2984" s="3">
        <f t="shared" si="186"/>
        <v>3.3400000000000001E-3</v>
      </c>
      <c r="S2984">
        <f t="shared" si="187"/>
        <v>70</v>
      </c>
      <c r="T2984">
        <f>INDEX([1]IDEN_level_ids!$B:$B,MATCH(G2984,[1]IDEN_level_ids!$A:$A,0),1)</f>
        <v>1170</v>
      </c>
      <c r="U2984">
        <f>INDEX([1]IDEN_level_ids!$B:$B,MATCH(H2984,[1]IDEN_level_ids!$A:$A,0),1)</f>
        <v>1074</v>
      </c>
    </row>
    <row r="2985" spans="1:21" hidden="1" x14ac:dyDescent="0.25">
      <c r="A2985">
        <v>37093.4205</v>
      </c>
      <c r="B2985">
        <v>2695.8959</v>
      </c>
      <c r="C2985">
        <v>18</v>
      </c>
      <c r="D2985" t="s">
        <v>677</v>
      </c>
      <c r="F2985">
        <v>1974</v>
      </c>
      <c r="G2985" s="1" t="s">
        <v>289</v>
      </c>
      <c r="H2985" s="1" t="s">
        <v>537</v>
      </c>
      <c r="I2985">
        <v>0</v>
      </c>
      <c r="J2985">
        <v>37093.368900000001</v>
      </c>
      <c r="K2985">
        <v>-3.7499999999999999E-3</v>
      </c>
      <c r="L2985">
        <v>3.3500000000000001E-3</v>
      </c>
      <c r="M2985">
        <v>4.6100000000000002E-2</v>
      </c>
      <c r="N2985">
        <v>0.34470000000000001</v>
      </c>
      <c r="O2985">
        <v>5.11E-3</v>
      </c>
      <c r="P2985" s="3">
        <f t="shared" si="184"/>
        <v>2695.8958934509692</v>
      </c>
      <c r="Q2985" s="3">
        <f t="shared" si="185"/>
        <v>-3.7502182258322136E-3</v>
      </c>
      <c r="R2985" s="3">
        <f t="shared" si="186"/>
        <v>3.3500000000000001E-3</v>
      </c>
      <c r="S2985">
        <f t="shared" si="187"/>
        <v>70</v>
      </c>
      <c r="T2985">
        <f>INDEX([1]IDEN_level_ids!$B:$B,MATCH(G2985,[1]IDEN_level_ids!$A:$A,0),1)</f>
        <v>1122</v>
      </c>
      <c r="U2985">
        <f>INDEX([1]IDEN_level_ids!$B:$B,MATCH(H2985,[1]IDEN_level_ids!$A:$A,0),1)</f>
        <v>991</v>
      </c>
    </row>
    <row r="2986" spans="1:21" hidden="1" x14ac:dyDescent="0.25">
      <c r="A2986">
        <v>37086.5</v>
      </c>
      <c r="B2986">
        <v>2696.3989999999999</v>
      </c>
      <c r="C2986">
        <v>18</v>
      </c>
      <c r="D2986" t="s">
        <v>677</v>
      </c>
      <c r="F2986">
        <v>1974</v>
      </c>
      <c r="G2986" s="1" t="s">
        <v>223</v>
      </c>
      <c r="H2986" s="1" t="s">
        <v>599</v>
      </c>
      <c r="I2986">
        <v>0</v>
      </c>
      <c r="J2986">
        <v>37086.507599999997</v>
      </c>
      <c r="K2986">
        <v>5.5000000000000003E-4</v>
      </c>
      <c r="L2986">
        <v>3.3500000000000001E-3</v>
      </c>
      <c r="M2986">
        <v>4.6100000000000002E-2</v>
      </c>
      <c r="N2986">
        <v>0.4083</v>
      </c>
      <c r="O2986">
        <v>5.6600000000000001E-3</v>
      </c>
      <c r="P2986" s="3">
        <f t="shared" si="184"/>
        <v>2696.3989591900017</v>
      </c>
      <c r="Q2986" s="3">
        <f t="shared" si="185"/>
        <v>5.5256300493056187E-4</v>
      </c>
      <c r="R2986" s="3">
        <f t="shared" si="186"/>
        <v>3.3500000000000001E-3</v>
      </c>
      <c r="S2986">
        <f t="shared" si="187"/>
        <v>70</v>
      </c>
      <c r="T2986">
        <f>INDEX([1]IDEN_level_ids!$B:$B,MATCH(G2986,[1]IDEN_level_ids!$A:$A,0),1)</f>
        <v>1144</v>
      </c>
      <c r="U2986">
        <f>INDEX([1]IDEN_level_ids!$B:$B,MATCH(H2986,[1]IDEN_level_ids!$A:$A,0),1)</f>
        <v>1014</v>
      </c>
    </row>
    <row r="2987" spans="1:21" hidden="1" x14ac:dyDescent="0.25">
      <c r="A2987">
        <v>37085.909500000002</v>
      </c>
      <c r="B2987">
        <v>2696.4418999999998</v>
      </c>
      <c r="C2987">
        <v>18</v>
      </c>
      <c r="D2987" t="s">
        <v>677</v>
      </c>
      <c r="F2987">
        <v>1974</v>
      </c>
      <c r="G2987" s="1" t="s">
        <v>461</v>
      </c>
      <c r="H2987" s="1" t="s">
        <v>347</v>
      </c>
      <c r="I2987">
        <v>-0.24510000000000001</v>
      </c>
      <c r="J2987">
        <v>37085.927000000003</v>
      </c>
      <c r="K2987">
        <v>1.2700000000000001E-3</v>
      </c>
      <c r="L2987">
        <v>3.3500000000000001E-3</v>
      </c>
      <c r="M2987">
        <v>4.6100000000000002E-2</v>
      </c>
      <c r="N2987">
        <v>0.23910000000000001</v>
      </c>
      <c r="O2987">
        <v>4.4000000000000003E-3</v>
      </c>
      <c r="P2987" s="3">
        <f t="shared" si="184"/>
        <v>2696.4418925737818</v>
      </c>
      <c r="Q2987" s="3">
        <f t="shared" si="185"/>
        <v>1.2723892036774487E-3</v>
      </c>
      <c r="R2987" s="3">
        <f t="shared" si="186"/>
        <v>3.3500000000000001E-3</v>
      </c>
      <c r="S2987">
        <f t="shared" si="187"/>
        <v>70</v>
      </c>
      <c r="T2987">
        <f>INDEX([1]IDEN_level_ids!$B:$B,MATCH(G2987,[1]IDEN_level_ids!$A:$A,0),1)</f>
        <v>1017</v>
      </c>
      <c r="U2987">
        <f>INDEX([1]IDEN_level_ids!$B:$B,MATCH(H2987,[1]IDEN_level_ids!$A:$A,0),1)</f>
        <v>851</v>
      </c>
    </row>
    <row r="2988" spans="1:21" hidden="1" x14ac:dyDescent="0.25">
      <c r="A2988">
        <v>37068.210599999999</v>
      </c>
      <c r="B2988">
        <v>2697.7294000000002</v>
      </c>
      <c r="C2988">
        <v>18</v>
      </c>
      <c r="D2988" t="s">
        <v>677</v>
      </c>
      <c r="F2988">
        <v>1974</v>
      </c>
      <c r="G2988" s="1" t="s">
        <v>597</v>
      </c>
      <c r="H2988" s="1" t="s">
        <v>417</v>
      </c>
      <c r="I2988">
        <v>-1.1045</v>
      </c>
      <c r="J2988">
        <v>37068.146999999997</v>
      </c>
      <c r="K2988">
        <v>-4.6299999999999996E-3</v>
      </c>
      <c r="L2988">
        <v>3.3500000000000001E-3</v>
      </c>
      <c r="M2988">
        <v>4.6100000000000002E-2</v>
      </c>
      <c r="N2988">
        <v>0.89529999999999998</v>
      </c>
      <c r="O2988">
        <v>3.202E-2</v>
      </c>
      <c r="P2988" s="3">
        <f t="shared" si="184"/>
        <v>2697.7293584276767</v>
      </c>
      <c r="Q2988" s="3">
        <f t="shared" si="185"/>
        <v>-4.6286529295684886E-3</v>
      </c>
      <c r="R2988" s="3">
        <f t="shared" si="186"/>
        <v>3.3500000000000001E-3</v>
      </c>
      <c r="S2988">
        <f t="shared" si="187"/>
        <v>70</v>
      </c>
      <c r="T2988">
        <f>INDEX([1]IDEN_level_ids!$B:$B,MATCH(G2988,[1]IDEN_level_ids!$A:$A,0),1)</f>
        <v>1090</v>
      </c>
      <c r="U2988">
        <f>INDEX([1]IDEN_level_ids!$B:$B,MATCH(H2988,[1]IDEN_level_ids!$A:$A,0),1)</f>
        <v>926</v>
      </c>
    </row>
    <row r="2989" spans="1:21" hidden="1" x14ac:dyDescent="0.25">
      <c r="A2989">
        <v>37035.651299999998</v>
      </c>
      <c r="B2989">
        <v>2700.1010000000001</v>
      </c>
      <c r="C2989">
        <v>18</v>
      </c>
      <c r="D2989" t="s">
        <v>680</v>
      </c>
      <c r="E2989" t="s">
        <v>681</v>
      </c>
      <c r="F2989">
        <v>1974</v>
      </c>
      <c r="G2989" s="1" t="s">
        <v>534</v>
      </c>
      <c r="H2989" s="1" t="s">
        <v>538</v>
      </c>
      <c r="I2989">
        <v>0.32779999999999998</v>
      </c>
      <c r="J2989">
        <v>37035.667300000001</v>
      </c>
      <c r="K2989">
        <v>1.17E-3</v>
      </c>
      <c r="L2989">
        <v>5.8599999999999998E-3</v>
      </c>
      <c r="M2989">
        <v>8.0299999999999996E-2</v>
      </c>
      <c r="N2989">
        <v>0.1147</v>
      </c>
      <c r="O2989">
        <v>6.6100000000000004E-3</v>
      </c>
      <c r="P2989" s="3">
        <f t="shared" si="184"/>
        <v>2700.1010240098035</v>
      </c>
      <c r="Q2989" s="3">
        <f t="shared" si="185"/>
        <v>1.1664867829495051E-3</v>
      </c>
      <c r="R2989" s="3">
        <f t="shared" si="186"/>
        <v>5.8599999999999998E-3</v>
      </c>
      <c r="S2989">
        <f t="shared" si="187"/>
        <v>71</v>
      </c>
      <c r="T2989">
        <f>INDEX([1]IDEN_level_ids!$B:$B,MATCH(G2989,[1]IDEN_level_ids!$A:$A,0),1)</f>
        <v>1116</v>
      </c>
      <c r="U2989">
        <f>INDEX([1]IDEN_level_ids!$B:$B,MATCH(H2989,[1]IDEN_level_ids!$A:$A,0),1)</f>
        <v>978</v>
      </c>
    </row>
    <row r="2990" spans="1:21" hidden="1" x14ac:dyDescent="0.25">
      <c r="A2990">
        <v>37017.811099999999</v>
      </c>
      <c r="B2990">
        <v>2701.4023000000002</v>
      </c>
      <c r="C2990">
        <v>18</v>
      </c>
      <c r="D2990" t="s">
        <v>680</v>
      </c>
      <c r="F2990">
        <v>1974</v>
      </c>
      <c r="G2990" s="1" t="s">
        <v>285</v>
      </c>
      <c r="H2990" s="1" t="s">
        <v>445</v>
      </c>
      <c r="I2990">
        <v>0</v>
      </c>
      <c r="J2990">
        <v>37017.770799999998</v>
      </c>
      <c r="K2990">
        <v>-2.9399999999999999E-3</v>
      </c>
      <c r="L2990">
        <v>3.3600000000000001E-3</v>
      </c>
      <c r="M2990">
        <v>4.6100000000000002E-2</v>
      </c>
      <c r="N2990">
        <v>0.11169999999999999</v>
      </c>
      <c r="O2990">
        <v>3.7799999999999999E-3</v>
      </c>
      <c r="P2990" s="3">
        <f t="shared" si="184"/>
        <v>2701.4022987436988</v>
      </c>
      <c r="Q2990" s="3">
        <f t="shared" si="185"/>
        <v>-2.9409256767394254E-3</v>
      </c>
      <c r="R2990" s="3">
        <f t="shared" si="186"/>
        <v>3.3600000000000001E-3</v>
      </c>
      <c r="S2990">
        <f t="shared" si="187"/>
        <v>71</v>
      </c>
      <c r="T2990">
        <f>INDEX([1]IDEN_level_ids!$B:$B,MATCH(G2990,[1]IDEN_level_ids!$A:$A,0),1)</f>
        <v>1150</v>
      </c>
      <c r="U2990">
        <f>INDEX([1]IDEN_level_ids!$B:$B,MATCH(H2990,[1]IDEN_level_ids!$A:$A,0),1)</f>
        <v>1041</v>
      </c>
    </row>
    <row r="2991" spans="1:21" hidden="1" x14ac:dyDescent="0.25">
      <c r="A2991">
        <v>37014.781499999997</v>
      </c>
      <c r="B2991">
        <v>2701.6233999999999</v>
      </c>
      <c r="C2991">
        <v>18</v>
      </c>
      <c r="D2991" t="s">
        <v>680</v>
      </c>
      <c r="E2991" t="s">
        <v>427</v>
      </c>
      <c r="F2991">
        <v>1974</v>
      </c>
      <c r="G2991" s="1" t="s">
        <v>516</v>
      </c>
      <c r="H2991" s="1" t="s">
        <v>633</v>
      </c>
      <c r="I2991">
        <v>-0.36720000000000003</v>
      </c>
      <c r="J2991">
        <v>37014.784</v>
      </c>
      <c r="K2991">
        <v>1.9000000000000001E-4</v>
      </c>
      <c r="L2991">
        <v>3.5599999999999998E-3</v>
      </c>
      <c r="M2991">
        <v>4.87E-2</v>
      </c>
      <c r="N2991">
        <v>0.21060000000000001</v>
      </c>
      <c r="O2991">
        <v>4.5100000000000001E-3</v>
      </c>
      <c r="P2991" s="3">
        <f t="shared" si="184"/>
        <v>2701.6234041527437</v>
      </c>
      <c r="Q2991" s="3">
        <f t="shared" si="185"/>
        <v>1.8246921308673336E-4</v>
      </c>
      <c r="R2991" s="3">
        <f t="shared" si="186"/>
        <v>3.5599999999999998E-3</v>
      </c>
      <c r="S2991">
        <f t="shared" si="187"/>
        <v>71</v>
      </c>
      <c r="T2991">
        <f>INDEX([1]IDEN_level_ids!$B:$B,MATCH(G2991,[1]IDEN_level_ids!$A:$A,0),1)</f>
        <v>1050</v>
      </c>
      <c r="U2991">
        <f>INDEX([1]IDEN_level_ids!$B:$B,MATCH(H2991,[1]IDEN_level_ids!$A:$A,0),1)</f>
        <v>878</v>
      </c>
    </row>
    <row r="2992" spans="1:21" hidden="1" x14ac:dyDescent="0.25">
      <c r="A2992">
        <v>36987.450199999999</v>
      </c>
      <c r="B2992">
        <v>2703.6197000000002</v>
      </c>
      <c r="C2992">
        <v>18</v>
      </c>
      <c r="D2992" t="s">
        <v>680</v>
      </c>
      <c r="F2992">
        <v>1974</v>
      </c>
      <c r="G2992" s="1" t="s">
        <v>180</v>
      </c>
      <c r="H2992" s="1" t="s">
        <v>545</v>
      </c>
      <c r="I2992">
        <v>0</v>
      </c>
      <c r="J2992">
        <v>36987.460800000001</v>
      </c>
      <c r="K2992">
        <v>7.6999999999999996E-4</v>
      </c>
      <c r="L2992">
        <v>3.3700000000000002E-3</v>
      </c>
      <c r="M2992">
        <v>4.6100000000000002E-2</v>
      </c>
      <c r="N2992">
        <v>0.1215</v>
      </c>
      <c r="O2992">
        <v>3.8300000000000001E-3</v>
      </c>
      <c r="P2992" s="3">
        <f t="shared" si="184"/>
        <v>2703.6197266715076</v>
      </c>
      <c r="Q2992" s="3">
        <f t="shared" si="185"/>
        <v>7.7481309836002765E-4</v>
      </c>
      <c r="R2992" s="3">
        <f t="shared" si="186"/>
        <v>3.3700000000000002E-3</v>
      </c>
      <c r="S2992">
        <f t="shared" si="187"/>
        <v>71</v>
      </c>
      <c r="T2992">
        <f>INDEX([1]IDEN_level_ids!$B:$B,MATCH(G2992,[1]IDEN_level_ids!$A:$A,0),1)</f>
        <v>1184</v>
      </c>
      <c r="U2992">
        <f>INDEX([1]IDEN_level_ids!$B:$B,MATCH(H2992,[1]IDEN_level_ids!$A:$A,0),1)</f>
        <v>1081</v>
      </c>
    </row>
    <row r="2993" spans="1:21" hidden="1" x14ac:dyDescent="0.25">
      <c r="A2993">
        <v>36982.828600000001</v>
      </c>
      <c r="B2993">
        <v>2703.9576000000002</v>
      </c>
      <c r="C2993">
        <v>18</v>
      </c>
      <c r="D2993" t="s">
        <v>680</v>
      </c>
      <c r="F2993">
        <v>1974</v>
      </c>
      <c r="G2993" s="1" t="s">
        <v>557</v>
      </c>
      <c r="H2993" s="1" t="s">
        <v>645</v>
      </c>
      <c r="I2993">
        <v>0</v>
      </c>
      <c r="J2993">
        <v>36982.816899999998</v>
      </c>
      <c r="K2993">
        <v>-8.5999999999999998E-4</v>
      </c>
      <c r="L2993">
        <v>3.3700000000000002E-3</v>
      </c>
      <c r="M2993">
        <v>4.6100000000000002E-2</v>
      </c>
      <c r="N2993">
        <v>0.15290000000000001</v>
      </c>
      <c r="O2993">
        <v>3.98E-3</v>
      </c>
      <c r="P2993" s="3">
        <f t="shared" si="184"/>
        <v>2703.9575874950788</v>
      </c>
      <c r="Q2993" s="3">
        <f t="shared" si="185"/>
        <v>-8.5543250725095277E-4</v>
      </c>
      <c r="R2993" s="3">
        <f t="shared" si="186"/>
        <v>3.3700000000000002E-3</v>
      </c>
      <c r="S2993">
        <f t="shared" si="187"/>
        <v>71</v>
      </c>
      <c r="T2993">
        <f>INDEX([1]IDEN_level_ids!$B:$B,MATCH(G2993,[1]IDEN_level_ids!$A:$A,0),1)</f>
        <v>1069</v>
      </c>
      <c r="U2993">
        <f>INDEX([1]IDEN_level_ids!$B:$B,MATCH(H2993,[1]IDEN_level_ids!$A:$A,0),1)</f>
        <v>895</v>
      </c>
    </row>
    <row r="2994" spans="1:21" hidden="1" x14ac:dyDescent="0.25">
      <c r="A2994">
        <v>36977.5196</v>
      </c>
      <c r="B2994">
        <v>2704.3458000000001</v>
      </c>
      <c r="C2994">
        <v>18</v>
      </c>
      <c r="D2994" t="s">
        <v>680</v>
      </c>
      <c r="F2994">
        <v>1974</v>
      </c>
      <c r="G2994" s="1" t="s">
        <v>194</v>
      </c>
      <c r="H2994" s="1" t="s">
        <v>384</v>
      </c>
      <c r="I2994">
        <v>0.45490000000000003</v>
      </c>
      <c r="J2994">
        <v>36977.4758</v>
      </c>
      <c r="K2994">
        <v>-3.2000000000000002E-3</v>
      </c>
      <c r="L2994">
        <v>3.3700000000000002E-3</v>
      </c>
      <c r="M2994">
        <v>4.6100000000000002E-2</v>
      </c>
      <c r="N2994">
        <v>8.5900000000000004E-2</v>
      </c>
      <c r="O2994">
        <v>3.6900000000000001E-3</v>
      </c>
      <c r="P2994" s="3">
        <f t="shared" si="184"/>
        <v>2704.3458047413219</v>
      </c>
      <c r="Q2994" s="3">
        <f t="shared" si="185"/>
        <v>-3.2033107636380009E-3</v>
      </c>
      <c r="R2994" s="3">
        <f t="shared" si="186"/>
        <v>3.3700000000000002E-3</v>
      </c>
      <c r="S2994">
        <f t="shared" si="187"/>
        <v>71</v>
      </c>
      <c r="T2994">
        <f>INDEX([1]IDEN_level_ids!$B:$B,MATCH(G2994,[1]IDEN_level_ids!$A:$A,0),1)</f>
        <v>1187</v>
      </c>
      <c r="U2994">
        <f>INDEX([1]IDEN_level_ids!$B:$B,MATCH(H2994,[1]IDEN_level_ids!$A:$A,0),1)</f>
        <v>1080</v>
      </c>
    </row>
    <row r="2995" spans="1:21" hidden="1" x14ac:dyDescent="0.25">
      <c r="A2995">
        <v>36972.188499999997</v>
      </c>
      <c r="B2995">
        <v>2704.7357999999999</v>
      </c>
      <c r="C2995">
        <v>18</v>
      </c>
      <c r="D2995" t="s">
        <v>680</v>
      </c>
      <c r="E2995" t="s">
        <v>427</v>
      </c>
      <c r="F2995">
        <v>1974</v>
      </c>
      <c r="G2995" s="1" t="s">
        <v>433</v>
      </c>
      <c r="H2995" s="1" t="s">
        <v>561</v>
      </c>
      <c r="I2995">
        <v>0</v>
      </c>
      <c r="J2995">
        <v>36972.176899999999</v>
      </c>
      <c r="K2995">
        <v>-8.4999999999999995E-4</v>
      </c>
      <c r="L2995">
        <v>3.5599999999999998E-3</v>
      </c>
      <c r="M2995">
        <v>4.87E-2</v>
      </c>
      <c r="N2995">
        <v>0.83389999999999997</v>
      </c>
      <c r="O2995">
        <v>2.146E-2</v>
      </c>
      <c r="P2995" s="3">
        <f t="shared" si="184"/>
        <v>2704.7357502247942</v>
      </c>
      <c r="Q2995" s="3">
        <f t="shared" si="185"/>
        <v>-8.4860934157404699E-4</v>
      </c>
      <c r="R2995" s="3">
        <f t="shared" si="186"/>
        <v>3.5599999999999998E-3</v>
      </c>
      <c r="S2995">
        <f t="shared" si="187"/>
        <v>71</v>
      </c>
      <c r="T2995">
        <f>INDEX([1]IDEN_level_ids!$B:$B,MATCH(G2995,[1]IDEN_level_ids!$A:$A,0),1)</f>
        <v>918</v>
      </c>
      <c r="U2995">
        <f>INDEX([1]IDEN_level_ids!$B:$B,MATCH(H2995,[1]IDEN_level_ids!$A:$A,0),1)</f>
        <v>545</v>
      </c>
    </row>
    <row r="2996" spans="1:21" hidden="1" x14ac:dyDescent="0.25">
      <c r="A2996">
        <v>36965.771500000003</v>
      </c>
      <c r="B2996">
        <v>2705.2053000000001</v>
      </c>
      <c r="C2996">
        <v>18</v>
      </c>
      <c r="D2996" t="s">
        <v>680</v>
      </c>
      <c r="F2996">
        <v>1974</v>
      </c>
      <c r="G2996" s="1" t="s">
        <v>212</v>
      </c>
      <c r="H2996" s="1" t="s">
        <v>555</v>
      </c>
      <c r="I2996">
        <v>0</v>
      </c>
      <c r="J2996">
        <v>36965.731299999999</v>
      </c>
      <c r="K2996">
        <v>-2.9399999999999999E-3</v>
      </c>
      <c r="L2996">
        <v>3.3700000000000002E-3</v>
      </c>
      <c r="M2996">
        <v>4.6100000000000002E-2</v>
      </c>
      <c r="N2996">
        <v>0.24299999999999999</v>
      </c>
      <c r="O2996">
        <v>4.45E-3</v>
      </c>
      <c r="P2996" s="3">
        <f t="shared" si="184"/>
        <v>2705.2052734784661</v>
      </c>
      <c r="Q2996" s="3">
        <f t="shared" si="185"/>
        <v>-2.9418936992442468E-3</v>
      </c>
      <c r="R2996" s="3">
        <f t="shared" si="186"/>
        <v>3.3700000000000002E-3</v>
      </c>
      <c r="S2996">
        <f t="shared" si="187"/>
        <v>71</v>
      </c>
      <c r="T2996">
        <f>INDEX([1]IDEN_level_ids!$B:$B,MATCH(G2996,[1]IDEN_level_ids!$A:$A,0),1)</f>
        <v>1123</v>
      </c>
      <c r="U2996">
        <f>INDEX([1]IDEN_level_ids!$B:$B,MATCH(H2996,[1]IDEN_level_ids!$A:$A,0),1)</f>
        <v>995</v>
      </c>
    </row>
    <row r="2997" spans="1:21" hidden="1" x14ac:dyDescent="0.25">
      <c r="A2997">
        <v>36954.038999999997</v>
      </c>
      <c r="B2997">
        <v>2706.0641000000001</v>
      </c>
      <c r="C2997">
        <v>18</v>
      </c>
      <c r="D2997" t="s">
        <v>680</v>
      </c>
      <c r="E2997" t="s">
        <v>661</v>
      </c>
      <c r="F2997">
        <v>1974</v>
      </c>
      <c r="G2997" s="1" t="s">
        <v>275</v>
      </c>
      <c r="H2997" s="1" t="s">
        <v>580</v>
      </c>
      <c r="I2997">
        <v>0.20710000000000001</v>
      </c>
      <c r="J2997">
        <v>36954.018300000003</v>
      </c>
      <c r="K2997">
        <v>-1.5200000000000001E-3</v>
      </c>
      <c r="L2997">
        <v>3.7100000000000002E-3</v>
      </c>
      <c r="M2997">
        <v>5.0700000000000002E-2</v>
      </c>
      <c r="N2997">
        <v>8.2600000000000007E-2</v>
      </c>
      <c r="O2997">
        <v>4.0400000000000002E-3</v>
      </c>
      <c r="P2997" s="3">
        <f t="shared" si="184"/>
        <v>2706.0641463305274</v>
      </c>
      <c r="Q2997" s="3">
        <f t="shared" si="185"/>
        <v>-1.5158169635469676E-3</v>
      </c>
      <c r="R2997" s="3">
        <f t="shared" si="186"/>
        <v>3.7100000000000002E-3</v>
      </c>
      <c r="S2997">
        <f t="shared" si="187"/>
        <v>71</v>
      </c>
      <c r="T2997">
        <f>INDEX([1]IDEN_level_ids!$B:$B,MATCH(G2997,[1]IDEN_level_ids!$A:$A,0),1)</f>
        <v>1134</v>
      </c>
      <c r="U2997">
        <f>INDEX([1]IDEN_level_ids!$B:$B,MATCH(H2997,[1]IDEN_level_ids!$A:$A,0),1)</f>
        <v>1001</v>
      </c>
    </row>
    <row r="2998" spans="1:21" hidden="1" x14ac:dyDescent="0.25">
      <c r="A2998">
        <v>36948.6296</v>
      </c>
      <c r="B2998">
        <v>2706.4603000000002</v>
      </c>
      <c r="C2998">
        <v>18</v>
      </c>
      <c r="D2998" t="s">
        <v>680</v>
      </c>
      <c r="F2998">
        <v>1974</v>
      </c>
      <c r="G2998" s="1" t="s">
        <v>265</v>
      </c>
      <c r="H2998" s="1" t="s">
        <v>401</v>
      </c>
      <c r="I2998">
        <v>6.8900000000000003E-2</v>
      </c>
      <c r="J2998">
        <v>36948.6086</v>
      </c>
      <c r="K2998">
        <v>-1.5399999999999999E-3</v>
      </c>
      <c r="L2998">
        <v>3.3700000000000002E-3</v>
      </c>
      <c r="M2998">
        <v>4.6100000000000002E-2</v>
      </c>
      <c r="N2998">
        <v>9.9099999999999994E-2</v>
      </c>
      <c r="O2998">
        <v>3.7499999999999999E-3</v>
      </c>
      <c r="P2998" s="3">
        <f t="shared" si="184"/>
        <v>2706.4603229560644</v>
      </c>
      <c r="Q2998" s="3">
        <f t="shared" si="185"/>
        <v>-1.5382356450572843E-3</v>
      </c>
      <c r="R2998" s="3">
        <f t="shared" si="186"/>
        <v>3.3700000000000002E-3</v>
      </c>
      <c r="S2998">
        <f t="shared" si="187"/>
        <v>71</v>
      </c>
      <c r="T2998">
        <f>INDEX([1]IDEN_level_ids!$B:$B,MATCH(G2998,[1]IDEN_level_ids!$A:$A,0),1)</f>
        <v>1161</v>
      </c>
      <c r="U2998">
        <f>INDEX([1]IDEN_level_ids!$B:$B,MATCH(H2998,[1]IDEN_level_ids!$A:$A,0),1)</f>
        <v>1063</v>
      </c>
    </row>
    <row r="2999" spans="1:21" hidden="1" x14ac:dyDescent="0.25">
      <c r="A2999">
        <v>36935.620000000003</v>
      </c>
      <c r="B2999">
        <v>2707.4135999999999</v>
      </c>
      <c r="C2999">
        <v>18</v>
      </c>
      <c r="D2999" t="s">
        <v>680</v>
      </c>
      <c r="F2999">
        <v>1974</v>
      </c>
      <c r="G2999" s="1" t="s">
        <v>203</v>
      </c>
      <c r="H2999" s="1" t="s">
        <v>555</v>
      </c>
      <c r="I2999">
        <v>0</v>
      </c>
      <c r="J2999">
        <v>36935.570500000002</v>
      </c>
      <c r="K2999">
        <v>-3.63E-3</v>
      </c>
      <c r="L2999">
        <v>3.3800000000000002E-3</v>
      </c>
      <c r="M2999">
        <v>4.6100000000000002E-2</v>
      </c>
      <c r="N2999">
        <v>0.2636</v>
      </c>
      <c r="O2999">
        <v>4.5900000000000003E-3</v>
      </c>
      <c r="P2999" s="3">
        <f t="shared" si="184"/>
        <v>2707.4136023708279</v>
      </c>
      <c r="Q2999" s="3">
        <f t="shared" si="185"/>
        <v>-3.6283986278249358E-3</v>
      </c>
      <c r="R2999" s="3">
        <f t="shared" si="186"/>
        <v>3.3800000000000002E-3</v>
      </c>
      <c r="S2999">
        <f t="shared" si="187"/>
        <v>71</v>
      </c>
      <c r="T2999">
        <f>INDEX([1]IDEN_level_ids!$B:$B,MATCH(G2999,[1]IDEN_level_ids!$A:$A,0),1)</f>
        <v>1127</v>
      </c>
      <c r="U2999">
        <f>INDEX([1]IDEN_level_ids!$B:$B,MATCH(H2999,[1]IDEN_level_ids!$A:$A,0),1)</f>
        <v>995</v>
      </c>
    </row>
    <row r="3000" spans="1:21" hidden="1" x14ac:dyDescent="0.25">
      <c r="A3000">
        <v>36931.419199999997</v>
      </c>
      <c r="B3000">
        <v>2707.7215999999999</v>
      </c>
      <c r="C3000">
        <v>18</v>
      </c>
      <c r="D3000" t="s">
        <v>680</v>
      </c>
      <c r="F3000">
        <v>1974</v>
      </c>
      <c r="G3000" s="1" t="s">
        <v>342</v>
      </c>
      <c r="H3000" s="1" t="s">
        <v>567</v>
      </c>
      <c r="I3000">
        <v>0</v>
      </c>
      <c r="J3000">
        <v>36931.349600000001</v>
      </c>
      <c r="K3000">
        <v>-5.1000000000000004E-3</v>
      </c>
      <c r="L3000">
        <v>3.3800000000000002E-3</v>
      </c>
      <c r="M3000">
        <v>4.6100000000000002E-2</v>
      </c>
      <c r="N3000">
        <v>0.5363</v>
      </c>
      <c r="O3000">
        <v>7.28E-3</v>
      </c>
      <c r="P3000" s="3">
        <f t="shared" si="184"/>
        <v>2707.7215597498621</v>
      </c>
      <c r="Q3000" s="3">
        <f t="shared" si="185"/>
        <v>-5.102911823996692E-3</v>
      </c>
      <c r="R3000" s="3">
        <f t="shared" si="186"/>
        <v>3.3800000000000002E-3</v>
      </c>
      <c r="S3000">
        <f t="shared" si="187"/>
        <v>71</v>
      </c>
      <c r="T3000">
        <f>INDEX([1]IDEN_level_ids!$B:$B,MATCH(G3000,[1]IDEN_level_ids!$A:$A,0),1)</f>
        <v>1119</v>
      </c>
      <c r="U3000">
        <f>INDEX([1]IDEN_level_ids!$B:$B,MATCH(H3000,[1]IDEN_level_ids!$A:$A,0),1)</f>
        <v>983</v>
      </c>
    </row>
    <row r="3001" spans="1:21" hidden="1" x14ac:dyDescent="0.25">
      <c r="A3001">
        <v>36929.728600000002</v>
      </c>
      <c r="B3001">
        <v>2707.8454999999999</v>
      </c>
      <c r="C3001">
        <v>18</v>
      </c>
      <c r="D3001" t="s">
        <v>680</v>
      </c>
      <c r="F3001">
        <v>1974</v>
      </c>
      <c r="G3001" s="1" t="s">
        <v>431</v>
      </c>
      <c r="H3001" s="1" t="s">
        <v>318</v>
      </c>
      <c r="I3001">
        <v>-0.28649999999999998</v>
      </c>
      <c r="J3001">
        <v>36929.672599999998</v>
      </c>
      <c r="K3001">
        <v>-4.1000000000000003E-3</v>
      </c>
      <c r="L3001">
        <v>3.3800000000000002E-3</v>
      </c>
      <c r="M3001">
        <v>4.6100000000000002E-2</v>
      </c>
      <c r="N3001">
        <v>0.13800000000000001</v>
      </c>
      <c r="O3001">
        <v>3.9199999999999999E-3</v>
      </c>
      <c r="P3001" s="3">
        <f t="shared" si="184"/>
        <v>2707.8455160918784</v>
      </c>
      <c r="Q3001" s="3">
        <f t="shared" si="185"/>
        <v>-4.1061655365410843E-3</v>
      </c>
      <c r="R3001" s="3">
        <f t="shared" si="186"/>
        <v>3.3800000000000002E-3</v>
      </c>
      <c r="S3001">
        <f t="shared" si="187"/>
        <v>71</v>
      </c>
      <c r="T3001">
        <f>INDEX([1]IDEN_level_ids!$B:$B,MATCH(G3001,[1]IDEN_level_ids!$A:$A,0),1)</f>
        <v>1062</v>
      </c>
      <c r="U3001">
        <f>INDEX([1]IDEN_level_ids!$B:$B,MATCH(H3001,[1]IDEN_level_ids!$A:$A,0),1)</f>
        <v>888</v>
      </c>
    </row>
    <row r="3002" spans="1:21" hidden="1" x14ac:dyDescent="0.25">
      <c r="A3002">
        <v>36924.558799999999</v>
      </c>
      <c r="B3002">
        <v>2708.2246</v>
      </c>
      <c r="C3002">
        <v>18</v>
      </c>
      <c r="D3002" t="s">
        <v>680</v>
      </c>
      <c r="F3002">
        <v>1974</v>
      </c>
      <c r="G3002" s="1" t="s">
        <v>470</v>
      </c>
      <c r="H3002" s="1" t="s">
        <v>306</v>
      </c>
      <c r="I3002">
        <v>-0.2848</v>
      </c>
      <c r="J3002">
        <v>36924.562899999997</v>
      </c>
      <c r="K3002">
        <v>2.9999999999999997E-4</v>
      </c>
      <c r="L3002">
        <v>3.3800000000000002E-3</v>
      </c>
      <c r="M3002">
        <v>4.6100000000000002E-2</v>
      </c>
      <c r="N3002">
        <v>0.25469999999999998</v>
      </c>
      <c r="O3002">
        <v>4.5300000000000002E-3</v>
      </c>
      <c r="P3002" s="3">
        <f t="shared" si="184"/>
        <v>2708.2246409942209</v>
      </c>
      <c r="Q3002" s="3">
        <f t="shared" si="185"/>
        <v>3.0071367518758052E-4</v>
      </c>
      <c r="R3002" s="3">
        <f t="shared" si="186"/>
        <v>3.3800000000000002E-3</v>
      </c>
      <c r="S3002">
        <f t="shared" si="187"/>
        <v>71</v>
      </c>
      <c r="T3002">
        <f>INDEX([1]IDEN_level_ids!$B:$B,MATCH(G3002,[1]IDEN_level_ids!$A:$A,0),1)</f>
        <v>1026</v>
      </c>
      <c r="U3002">
        <f>INDEX([1]IDEN_level_ids!$B:$B,MATCH(H3002,[1]IDEN_level_ids!$A:$A,0),1)</f>
        <v>862</v>
      </c>
    </row>
    <row r="3003" spans="1:21" hidden="1" x14ac:dyDescent="0.25">
      <c r="A3003">
        <v>36914.561099999999</v>
      </c>
      <c r="B3003">
        <v>2708.9580999999998</v>
      </c>
      <c r="C3003">
        <v>18</v>
      </c>
      <c r="D3003" t="s">
        <v>680</v>
      </c>
      <c r="E3003" t="s">
        <v>638</v>
      </c>
      <c r="F3003">
        <v>1974</v>
      </c>
      <c r="G3003" s="1" t="s">
        <v>329</v>
      </c>
      <c r="H3003" s="1" t="s">
        <v>528</v>
      </c>
      <c r="I3003">
        <v>5.3999999999999999E-2</v>
      </c>
      <c r="J3003">
        <v>36914.7952</v>
      </c>
      <c r="K3003">
        <v>1.7180000000000001E-2</v>
      </c>
      <c r="L3003">
        <v>1.268E-2</v>
      </c>
      <c r="M3003">
        <v>0.17280000000000001</v>
      </c>
      <c r="N3003">
        <v>2.9700000000000001E-2</v>
      </c>
      <c r="O3003">
        <v>1.307E-2</v>
      </c>
      <c r="P3003" s="3">
        <f t="shared" si="184"/>
        <v>2708.9581189683981</v>
      </c>
      <c r="Q3003" s="3">
        <f t="shared" si="185"/>
        <v>1.7179212080463913E-2</v>
      </c>
      <c r="R3003" s="3">
        <f t="shared" si="186"/>
        <v>1.268E-2</v>
      </c>
      <c r="S3003">
        <f t="shared" si="187"/>
        <v>71</v>
      </c>
      <c r="T3003">
        <f>INDEX([1]IDEN_level_ids!$B:$B,MATCH(G3003,[1]IDEN_level_ids!$A:$A,0),1)</f>
        <v>1138</v>
      </c>
      <c r="U3003">
        <f>INDEX([1]IDEN_level_ids!$B:$B,MATCH(H3003,[1]IDEN_level_ids!$A:$A,0),1)</f>
        <v>1009</v>
      </c>
    </row>
    <row r="3004" spans="1:21" hidden="1" x14ac:dyDescent="0.25">
      <c r="A3004">
        <v>36907.680399999997</v>
      </c>
      <c r="B3004">
        <v>2709.4632000000001</v>
      </c>
      <c r="C3004">
        <v>18</v>
      </c>
      <c r="D3004" t="s">
        <v>680</v>
      </c>
      <c r="F3004">
        <v>1974</v>
      </c>
      <c r="G3004" s="1" t="s">
        <v>293</v>
      </c>
      <c r="H3004" s="1" t="s">
        <v>537</v>
      </c>
      <c r="I3004">
        <v>0</v>
      </c>
      <c r="J3004">
        <v>36907.652399999999</v>
      </c>
      <c r="K3004">
        <v>-2.0600000000000002E-3</v>
      </c>
      <c r="L3004">
        <v>3.3800000000000002E-3</v>
      </c>
      <c r="M3004">
        <v>4.6100000000000002E-2</v>
      </c>
      <c r="N3004">
        <v>0.34250000000000003</v>
      </c>
      <c r="O3004">
        <v>5.1399999999999996E-3</v>
      </c>
      <c r="P3004" s="3">
        <f t="shared" si="184"/>
        <v>2709.4631501144136</v>
      </c>
      <c r="Q3004" s="3">
        <f t="shared" si="185"/>
        <v>-2.0555349169626425E-3</v>
      </c>
      <c r="R3004" s="3">
        <f t="shared" si="186"/>
        <v>3.3800000000000002E-3</v>
      </c>
      <c r="S3004">
        <f t="shared" si="187"/>
        <v>71</v>
      </c>
      <c r="T3004">
        <f>INDEX([1]IDEN_level_ids!$B:$B,MATCH(G3004,[1]IDEN_level_ids!$A:$A,0),1)</f>
        <v>1121</v>
      </c>
      <c r="U3004">
        <f>INDEX([1]IDEN_level_ids!$B:$B,MATCH(H3004,[1]IDEN_level_ids!$A:$A,0),1)</f>
        <v>991</v>
      </c>
    </row>
    <row r="3005" spans="1:21" hidden="1" x14ac:dyDescent="0.25">
      <c r="A3005">
        <v>36893.1319</v>
      </c>
      <c r="B3005">
        <v>2710.5315999999998</v>
      </c>
      <c r="C3005">
        <v>18</v>
      </c>
      <c r="D3005" t="s">
        <v>680</v>
      </c>
      <c r="F3005">
        <v>1974</v>
      </c>
      <c r="G3005" s="1" t="s">
        <v>108</v>
      </c>
      <c r="H3005" s="1" t="s">
        <v>552</v>
      </c>
      <c r="I3005">
        <v>0</v>
      </c>
      <c r="J3005">
        <v>36893.114200000004</v>
      </c>
      <c r="K3005">
        <v>-1.2999999999999999E-3</v>
      </c>
      <c r="L3005">
        <v>3.3800000000000002E-3</v>
      </c>
      <c r="M3005">
        <v>4.6100000000000002E-2</v>
      </c>
      <c r="N3005">
        <v>0.11990000000000001</v>
      </c>
      <c r="O3005">
        <v>3.8500000000000001E-3</v>
      </c>
      <c r="P3005" s="3">
        <f t="shared" si="184"/>
        <v>2710.5316043932826</v>
      </c>
      <c r="Q3005" s="3">
        <f t="shared" si="185"/>
        <v>-1.3004163633922872E-3</v>
      </c>
      <c r="R3005" s="3">
        <f t="shared" si="186"/>
        <v>3.3800000000000002E-3</v>
      </c>
      <c r="S3005">
        <f t="shared" si="187"/>
        <v>71</v>
      </c>
      <c r="T3005">
        <f>INDEX([1]IDEN_level_ids!$B:$B,MATCH(G3005,[1]IDEN_level_ids!$A:$A,0),1)</f>
        <v>1149</v>
      </c>
      <c r="U3005">
        <f>INDEX([1]IDEN_level_ids!$B:$B,MATCH(H3005,[1]IDEN_level_ids!$A:$A,0),1)</f>
        <v>1040</v>
      </c>
    </row>
    <row r="3006" spans="1:21" hidden="1" x14ac:dyDescent="0.25">
      <c r="A3006">
        <v>36887.620799999997</v>
      </c>
      <c r="B3006">
        <v>2710.9366</v>
      </c>
      <c r="C3006">
        <v>18</v>
      </c>
      <c r="D3006" t="s">
        <v>680</v>
      </c>
      <c r="E3006" t="s">
        <v>638</v>
      </c>
      <c r="F3006">
        <v>1974</v>
      </c>
      <c r="G3006" s="1" t="s">
        <v>534</v>
      </c>
      <c r="H3006" s="1" t="s">
        <v>513</v>
      </c>
      <c r="I3006">
        <v>0.1119</v>
      </c>
      <c r="J3006">
        <v>36887.809200000003</v>
      </c>
      <c r="K3006">
        <v>1.3849999999999999E-2</v>
      </c>
      <c r="L3006">
        <v>1.2699999999999999E-2</v>
      </c>
      <c r="M3006">
        <v>0.17280000000000001</v>
      </c>
      <c r="N3006">
        <v>5.2600000000000001E-2</v>
      </c>
      <c r="O3006">
        <v>1.341E-2</v>
      </c>
      <c r="P3006" s="3">
        <f t="shared" si="184"/>
        <v>2710.9365643880183</v>
      </c>
      <c r="Q3006" s="3">
        <f t="shared" si="185"/>
        <v>1.3845778858012636E-2</v>
      </c>
      <c r="R3006" s="3">
        <f t="shared" si="186"/>
        <v>1.2699999999999999E-2</v>
      </c>
      <c r="S3006">
        <f t="shared" si="187"/>
        <v>71</v>
      </c>
      <c r="T3006">
        <f>INDEX([1]IDEN_level_ids!$B:$B,MATCH(G3006,[1]IDEN_level_ids!$A:$A,0),1)</f>
        <v>1116</v>
      </c>
      <c r="U3006">
        <f>INDEX([1]IDEN_level_ids!$B:$B,MATCH(H3006,[1]IDEN_level_ids!$A:$A,0),1)</f>
        <v>979</v>
      </c>
    </row>
    <row r="3007" spans="1:21" hidden="1" x14ac:dyDescent="0.25">
      <c r="A3007">
        <v>36885.349800000004</v>
      </c>
      <c r="B3007">
        <v>2711.1035000000002</v>
      </c>
      <c r="C3007">
        <v>18</v>
      </c>
      <c r="D3007" t="s">
        <v>680</v>
      </c>
      <c r="E3007" t="s">
        <v>427</v>
      </c>
      <c r="F3007">
        <v>1974</v>
      </c>
      <c r="G3007" s="1" t="s">
        <v>288</v>
      </c>
      <c r="H3007" s="1" t="s">
        <v>469</v>
      </c>
      <c r="I3007">
        <v>0.36720000000000003</v>
      </c>
      <c r="J3007">
        <v>36885.3105</v>
      </c>
      <c r="K3007">
        <v>-2.8900000000000002E-3</v>
      </c>
      <c r="L3007">
        <v>3.5799999999999998E-3</v>
      </c>
      <c r="M3007">
        <v>4.87E-2</v>
      </c>
      <c r="N3007">
        <v>0.1104</v>
      </c>
      <c r="O3007">
        <v>4.0299999999999997E-3</v>
      </c>
      <c r="P3007" s="3">
        <f t="shared" si="184"/>
        <v>2711.103474474844</v>
      </c>
      <c r="Q3007" s="3">
        <f t="shared" si="185"/>
        <v>-2.8885853234896786E-3</v>
      </c>
      <c r="R3007" s="3">
        <f t="shared" si="186"/>
        <v>3.5799999999999998E-3</v>
      </c>
      <c r="S3007">
        <f t="shared" si="187"/>
        <v>71</v>
      </c>
      <c r="T3007">
        <f>INDEX([1]IDEN_level_ids!$B:$B,MATCH(G3007,[1]IDEN_level_ids!$A:$A,0),1)</f>
        <v>1151</v>
      </c>
      <c r="U3007">
        <f>INDEX([1]IDEN_level_ids!$B:$B,MATCH(H3007,[1]IDEN_level_ids!$A:$A,0),1)</f>
        <v>1048</v>
      </c>
    </row>
    <row r="3008" spans="1:21" hidden="1" x14ac:dyDescent="0.25">
      <c r="A3008">
        <v>36879.291700000002</v>
      </c>
      <c r="B3008">
        <v>2711.5488</v>
      </c>
      <c r="C3008">
        <v>18</v>
      </c>
      <c r="D3008" t="s">
        <v>680</v>
      </c>
      <c r="E3008" t="s">
        <v>427</v>
      </c>
      <c r="F3008">
        <v>1974</v>
      </c>
      <c r="G3008" s="1" t="s">
        <v>38</v>
      </c>
      <c r="H3008" s="1" t="s">
        <v>379</v>
      </c>
      <c r="I3008">
        <v>0.47110000000000002</v>
      </c>
      <c r="J3008">
        <v>36879.267399999997</v>
      </c>
      <c r="K3008">
        <v>-1.7799999999999999E-3</v>
      </c>
      <c r="L3008">
        <v>3.5799999999999998E-3</v>
      </c>
      <c r="M3008">
        <v>4.87E-2</v>
      </c>
      <c r="N3008">
        <v>0.1177</v>
      </c>
      <c r="O3008">
        <v>4.0600000000000002E-3</v>
      </c>
      <c r="P3008" s="3">
        <f t="shared" si="184"/>
        <v>2711.5488229401108</v>
      </c>
      <c r="Q3008" s="3">
        <f t="shared" si="185"/>
        <v>-1.7866579532892501E-3</v>
      </c>
      <c r="R3008" s="3">
        <f t="shared" si="186"/>
        <v>3.5799999999999998E-3</v>
      </c>
      <c r="S3008">
        <f t="shared" si="187"/>
        <v>71</v>
      </c>
      <c r="T3008">
        <f>INDEX([1]IDEN_level_ids!$B:$B,MATCH(G3008,[1]IDEN_level_ids!$A:$A,0),1)</f>
        <v>1201</v>
      </c>
      <c r="U3008">
        <f>INDEX([1]IDEN_level_ids!$B:$B,MATCH(H3008,[1]IDEN_level_ids!$A:$A,0),1)</f>
        <v>1083</v>
      </c>
    </row>
    <row r="3009" spans="1:21" hidden="1" x14ac:dyDescent="0.25">
      <c r="A3009">
        <v>36875.759299999998</v>
      </c>
      <c r="B3009">
        <v>2711.8085999999998</v>
      </c>
      <c r="C3009">
        <v>18</v>
      </c>
      <c r="D3009" t="s">
        <v>680</v>
      </c>
      <c r="E3009" t="s">
        <v>638</v>
      </c>
      <c r="F3009">
        <v>1974</v>
      </c>
      <c r="G3009" s="1" t="s">
        <v>443</v>
      </c>
      <c r="H3009" s="1" t="s">
        <v>452</v>
      </c>
      <c r="I3009">
        <v>9.1600000000000001E-2</v>
      </c>
      <c r="J3009">
        <v>36875.767599999999</v>
      </c>
      <c r="K3009">
        <v>6.0999999999999997E-4</v>
      </c>
      <c r="L3009">
        <v>1.2710000000000001E-2</v>
      </c>
      <c r="M3009">
        <v>0.17280000000000001</v>
      </c>
      <c r="N3009">
        <v>3.5299999999999998E-2</v>
      </c>
      <c r="O3009">
        <v>1.3169999999999999E-2</v>
      </c>
      <c r="P3009" s="3">
        <f t="shared" si="184"/>
        <v>2711.8085674238578</v>
      </c>
      <c r="Q3009" s="3">
        <f t="shared" si="185"/>
        <v>6.1037403611408081E-4</v>
      </c>
      <c r="R3009" s="3">
        <f t="shared" si="186"/>
        <v>1.2710000000000001E-2</v>
      </c>
      <c r="S3009">
        <f t="shared" si="187"/>
        <v>71</v>
      </c>
      <c r="T3009">
        <f>INDEX([1]IDEN_level_ids!$B:$B,MATCH(G3009,[1]IDEN_level_ids!$A:$A,0),1)</f>
        <v>1145</v>
      </c>
      <c r="U3009">
        <f>INDEX([1]IDEN_level_ids!$B:$B,MATCH(H3009,[1]IDEN_level_ids!$A:$A,0),1)</f>
        <v>1033</v>
      </c>
    </row>
    <row r="3010" spans="1:21" hidden="1" x14ac:dyDescent="0.25">
      <c r="A3010">
        <v>36868.400399999999</v>
      </c>
      <c r="B3010">
        <v>2712.3498</v>
      </c>
      <c r="C3010">
        <v>18</v>
      </c>
      <c r="D3010" t="s">
        <v>680</v>
      </c>
      <c r="F3010">
        <v>1974</v>
      </c>
      <c r="G3010" s="1" t="s">
        <v>166</v>
      </c>
      <c r="H3010" s="1" t="s">
        <v>545</v>
      </c>
      <c r="I3010">
        <v>0</v>
      </c>
      <c r="J3010">
        <v>36868.425600000002</v>
      </c>
      <c r="K3010">
        <v>1.8600000000000001E-3</v>
      </c>
      <c r="L3010">
        <v>3.3899999999999998E-3</v>
      </c>
      <c r="M3010">
        <v>4.6100000000000002E-2</v>
      </c>
      <c r="N3010">
        <v>0.1051</v>
      </c>
      <c r="O3010">
        <v>3.79E-3</v>
      </c>
      <c r="P3010" s="3">
        <f t="shared" ref="P3010:P3073" si="188">100000000/$A3010</f>
        <v>2712.3498420072492</v>
      </c>
      <c r="Q3010" s="3">
        <f t="shared" ref="Q3010:Q3073" si="189">100000000/($A3010)-100000000/$J3010</f>
        <v>1.8539228326517332E-3</v>
      </c>
      <c r="R3010" s="3">
        <f t="shared" si="186"/>
        <v>3.3899999999999998E-3</v>
      </c>
      <c r="S3010">
        <f t="shared" si="187"/>
        <v>71</v>
      </c>
      <c r="T3010">
        <f>INDEX([1]IDEN_level_ids!$B:$B,MATCH(G3010,[1]IDEN_level_ids!$A:$A,0),1)</f>
        <v>1186</v>
      </c>
      <c r="U3010">
        <f>INDEX([1]IDEN_level_ids!$B:$B,MATCH(H3010,[1]IDEN_level_ids!$A:$A,0),1)</f>
        <v>1081</v>
      </c>
    </row>
    <row r="3011" spans="1:21" hidden="1" x14ac:dyDescent="0.25">
      <c r="A3011">
        <v>36866.250999999997</v>
      </c>
      <c r="B3011">
        <v>2712.5079999999998</v>
      </c>
      <c r="C3011">
        <v>18</v>
      </c>
      <c r="D3011" t="s">
        <v>680</v>
      </c>
      <c r="F3011">
        <v>1974</v>
      </c>
      <c r="G3011" s="1" t="s">
        <v>259</v>
      </c>
      <c r="H3011" s="1" t="s">
        <v>589</v>
      </c>
      <c r="I3011">
        <v>0</v>
      </c>
      <c r="J3011">
        <v>36866.227700000003</v>
      </c>
      <c r="K3011">
        <v>-1.72E-3</v>
      </c>
      <c r="L3011">
        <v>3.3899999999999998E-3</v>
      </c>
      <c r="M3011">
        <v>4.6100000000000002E-2</v>
      </c>
      <c r="N3011">
        <v>0.1988</v>
      </c>
      <c r="O3011">
        <v>4.2300000000000003E-3</v>
      </c>
      <c r="P3011" s="3">
        <f t="shared" si="188"/>
        <v>2712.5079791812846</v>
      </c>
      <c r="Q3011" s="3">
        <f t="shared" si="189"/>
        <v>-1.7143450750154443E-3</v>
      </c>
      <c r="R3011" s="3">
        <f t="shared" ref="R3011:R3074" si="190">$L3011</f>
        <v>3.3899999999999998E-3</v>
      </c>
      <c r="S3011">
        <f t="shared" si="187"/>
        <v>71</v>
      </c>
      <c r="T3011">
        <f>INDEX([1]IDEN_level_ids!$B:$B,MATCH(G3011,[1]IDEN_level_ids!$A:$A,0),1)</f>
        <v>1117</v>
      </c>
      <c r="U3011">
        <f>INDEX([1]IDEN_level_ids!$B:$B,MATCH(H3011,[1]IDEN_level_ids!$A:$A,0),1)</f>
        <v>984</v>
      </c>
    </row>
    <row r="3012" spans="1:21" hidden="1" x14ac:dyDescent="0.25">
      <c r="A3012">
        <v>36863.209300000002</v>
      </c>
      <c r="B3012">
        <v>2712.7318</v>
      </c>
      <c r="C3012">
        <v>18</v>
      </c>
      <c r="D3012" t="s">
        <v>680</v>
      </c>
      <c r="E3012" t="s">
        <v>427</v>
      </c>
      <c r="F3012">
        <v>1974</v>
      </c>
      <c r="G3012" s="1" t="s">
        <v>38</v>
      </c>
      <c r="H3012" s="1" t="s">
        <v>381</v>
      </c>
      <c r="I3012">
        <v>0.23219999999999999</v>
      </c>
      <c r="J3012">
        <v>36863.176500000001</v>
      </c>
      <c r="K3012">
        <v>-2.4199999999999998E-3</v>
      </c>
      <c r="L3012">
        <v>3.5899999999999999E-3</v>
      </c>
      <c r="M3012">
        <v>4.87E-2</v>
      </c>
      <c r="N3012">
        <v>9.6500000000000002E-2</v>
      </c>
      <c r="O3012">
        <v>3.9699999999999996E-3</v>
      </c>
      <c r="P3012" s="3">
        <f t="shared" si="188"/>
        <v>2712.73179679448</v>
      </c>
      <c r="Q3012" s="3">
        <f t="shared" si="189"/>
        <v>-2.413725874703232E-3</v>
      </c>
      <c r="R3012" s="3">
        <f t="shared" si="190"/>
        <v>3.5899999999999999E-3</v>
      </c>
      <c r="S3012">
        <f t="shared" ref="S3012:S3075" si="191">IF(D3012=D3011,S3011,S3011+1)</f>
        <v>71</v>
      </c>
      <c r="T3012">
        <f>INDEX([1]IDEN_level_ids!$B:$B,MATCH(G3012,[1]IDEN_level_ids!$A:$A,0),1)</f>
        <v>1201</v>
      </c>
      <c r="U3012">
        <f>INDEX([1]IDEN_level_ids!$B:$B,MATCH(H3012,[1]IDEN_level_ids!$A:$A,0),1)</f>
        <v>1084</v>
      </c>
    </row>
    <row r="3013" spans="1:21" hidden="1" x14ac:dyDescent="0.25">
      <c r="A3013">
        <v>36859.7811</v>
      </c>
      <c r="B3013">
        <v>2712.9841000000001</v>
      </c>
      <c r="C3013">
        <v>18</v>
      </c>
      <c r="D3013" t="s">
        <v>680</v>
      </c>
      <c r="F3013">
        <v>1974</v>
      </c>
      <c r="G3013" s="1" t="s">
        <v>342</v>
      </c>
      <c r="H3013" s="1" t="s">
        <v>577</v>
      </c>
      <c r="I3013">
        <v>3.2599999999999997E-2</v>
      </c>
      <c r="J3013">
        <v>36859.694100000001</v>
      </c>
      <c r="K3013">
        <v>-6.4000000000000003E-3</v>
      </c>
      <c r="L3013">
        <v>3.3899999999999998E-3</v>
      </c>
      <c r="M3013">
        <v>4.6100000000000002E-2</v>
      </c>
      <c r="N3013">
        <v>0.16489999999999999</v>
      </c>
      <c r="O3013">
        <v>4.0600000000000002E-3</v>
      </c>
      <c r="P3013" s="3">
        <f t="shared" si="188"/>
        <v>2712.9840985409433</v>
      </c>
      <c r="Q3013" s="3">
        <f t="shared" si="189"/>
        <v>-6.4034610795715707E-3</v>
      </c>
      <c r="R3013" s="3">
        <f t="shared" si="190"/>
        <v>3.3899999999999998E-3</v>
      </c>
      <c r="S3013">
        <f t="shared" si="191"/>
        <v>71</v>
      </c>
      <c r="T3013">
        <f>INDEX([1]IDEN_level_ids!$B:$B,MATCH(G3013,[1]IDEN_level_ids!$A:$A,0),1)</f>
        <v>1119</v>
      </c>
      <c r="U3013">
        <f>INDEX([1]IDEN_level_ids!$B:$B,MATCH(H3013,[1]IDEN_level_ids!$A:$A,0),1)</f>
        <v>985</v>
      </c>
    </row>
    <row r="3014" spans="1:21" hidden="1" x14ac:dyDescent="0.25">
      <c r="A3014">
        <v>36857.010399999999</v>
      </c>
      <c r="B3014">
        <v>2713.1880000000001</v>
      </c>
      <c r="C3014">
        <v>18</v>
      </c>
      <c r="D3014" t="s">
        <v>680</v>
      </c>
      <c r="F3014">
        <v>1974</v>
      </c>
      <c r="G3014" s="1" t="s">
        <v>361</v>
      </c>
      <c r="H3014" s="1" t="s">
        <v>562</v>
      </c>
      <c r="I3014">
        <v>0</v>
      </c>
      <c r="J3014">
        <v>36856.979399999997</v>
      </c>
      <c r="K3014">
        <v>-2.2799999999999999E-3</v>
      </c>
      <c r="L3014">
        <v>3.3899999999999998E-3</v>
      </c>
      <c r="M3014">
        <v>4.6100000000000002E-2</v>
      </c>
      <c r="N3014">
        <v>0.2165</v>
      </c>
      <c r="O3014">
        <v>4.3299999999999996E-3</v>
      </c>
      <c r="P3014" s="3">
        <f t="shared" si="188"/>
        <v>2713.1880452246337</v>
      </c>
      <c r="Q3014" s="3">
        <f t="shared" si="189"/>
        <v>-2.2820326239525457E-3</v>
      </c>
      <c r="R3014" s="3">
        <f t="shared" si="190"/>
        <v>3.3899999999999998E-3</v>
      </c>
      <c r="S3014">
        <f t="shared" si="191"/>
        <v>71</v>
      </c>
      <c r="T3014">
        <f>INDEX([1]IDEN_level_ids!$B:$B,MATCH(G3014,[1]IDEN_level_ids!$A:$A,0),1)</f>
        <v>1133</v>
      </c>
      <c r="U3014">
        <f>INDEX([1]IDEN_level_ids!$B:$B,MATCH(H3014,[1]IDEN_level_ids!$A:$A,0),1)</f>
        <v>999</v>
      </c>
    </row>
    <row r="3015" spans="1:21" hidden="1" x14ac:dyDescent="0.25">
      <c r="A3015">
        <v>36855.3802</v>
      </c>
      <c r="B3015">
        <v>2713.3081000000002</v>
      </c>
      <c r="C3015">
        <v>18</v>
      </c>
      <c r="D3015" t="s">
        <v>680</v>
      </c>
      <c r="F3015">
        <v>1974</v>
      </c>
      <c r="G3015" s="1" t="s">
        <v>268</v>
      </c>
      <c r="H3015" s="1" t="s">
        <v>431</v>
      </c>
      <c r="I3015">
        <v>0.28649999999999998</v>
      </c>
      <c r="J3015">
        <v>36855.329100000003</v>
      </c>
      <c r="K3015">
        <v>-3.7599999999999999E-3</v>
      </c>
      <c r="L3015">
        <v>3.3899999999999998E-3</v>
      </c>
      <c r="M3015">
        <v>4.6100000000000002E-2</v>
      </c>
      <c r="N3015">
        <v>8.9599999999999999E-2</v>
      </c>
      <c r="O3015">
        <v>3.7299999999999998E-3</v>
      </c>
      <c r="P3015" s="3">
        <f t="shared" si="188"/>
        <v>2713.3080559022424</v>
      </c>
      <c r="Q3015" s="3">
        <f t="shared" si="189"/>
        <v>-3.7620079656335292E-3</v>
      </c>
      <c r="R3015" s="3">
        <f t="shared" si="190"/>
        <v>3.3899999999999998E-3</v>
      </c>
      <c r="S3015">
        <f t="shared" si="191"/>
        <v>71</v>
      </c>
      <c r="T3015">
        <f>INDEX([1]IDEN_level_ids!$B:$B,MATCH(G3015,[1]IDEN_level_ids!$A:$A,0),1)</f>
        <v>1160</v>
      </c>
      <c r="U3015">
        <f>INDEX([1]IDEN_level_ids!$B:$B,MATCH(H3015,[1]IDEN_level_ids!$A:$A,0),1)</f>
        <v>1062</v>
      </c>
    </row>
    <row r="3016" spans="1:21" hidden="1" x14ac:dyDescent="0.25">
      <c r="A3016">
        <v>36833.56</v>
      </c>
      <c r="B3016">
        <v>2714.9153999999999</v>
      </c>
      <c r="C3016">
        <v>18</v>
      </c>
      <c r="D3016" t="s">
        <v>680</v>
      </c>
      <c r="E3016" t="s">
        <v>236</v>
      </c>
      <c r="F3016">
        <v>1974</v>
      </c>
      <c r="G3016" s="1" t="s">
        <v>469</v>
      </c>
      <c r="H3016" s="1" t="s">
        <v>633</v>
      </c>
      <c r="I3016">
        <v>-0.36720000000000003</v>
      </c>
      <c r="J3016">
        <v>36833.540800000002</v>
      </c>
      <c r="K3016">
        <v>-1.42E-3</v>
      </c>
      <c r="L3016">
        <v>1.74E-3</v>
      </c>
      <c r="M3016">
        <v>2.3599999999999999E-2</v>
      </c>
      <c r="N3016">
        <v>0.51200000000000001</v>
      </c>
      <c r="O3016">
        <v>3.5599999999999998E-3</v>
      </c>
      <c r="P3016" s="3">
        <f t="shared" si="188"/>
        <v>2714.9154195250203</v>
      </c>
      <c r="Q3016" s="3">
        <f t="shared" si="189"/>
        <v>-1.4151877585391048E-3</v>
      </c>
      <c r="R3016" s="3">
        <f t="shared" si="190"/>
        <v>1.74E-3</v>
      </c>
      <c r="S3016">
        <f t="shared" si="191"/>
        <v>71</v>
      </c>
      <c r="T3016">
        <f>INDEX([1]IDEN_level_ids!$B:$B,MATCH(G3016,[1]IDEN_level_ids!$A:$A,0),1)</f>
        <v>1048</v>
      </c>
      <c r="U3016">
        <f>INDEX([1]IDEN_level_ids!$B:$B,MATCH(H3016,[1]IDEN_level_ids!$A:$A,0),1)</f>
        <v>878</v>
      </c>
    </row>
    <row r="3017" spans="1:21" hidden="1" x14ac:dyDescent="0.25">
      <c r="A3017">
        <v>36815.278700000003</v>
      </c>
      <c r="B3017">
        <v>2716.2636000000002</v>
      </c>
      <c r="C3017">
        <v>18</v>
      </c>
      <c r="D3017" t="s">
        <v>680</v>
      </c>
      <c r="F3017">
        <v>1974</v>
      </c>
      <c r="G3017" s="1" t="s">
        <v>428</v>
      </c>
      <c r="H3017" s="1" t="s">
        <v>369</v>
      </c>
      <c r="I3017">
        <v>-0.39950000000000002</v>
      </c>
      <c r="J3017">
        <v>36815.286099999998</v>
      </c>
      <c r="K3017">
        <v>5.5000000000000003E-4</v>
      </c>
      <c r="L3017">
        <v>3.3999999999999998E-3</v>
      </c>
      <c r="M3017">
        <v>4.6100000000000002E-2</v>
      </c>
      <c r="N3017">
        <v>0.19620000000000001</v>
      </c>
      <c r="O3017">
        <v>4.2300000000000003E-3</v>
      </c>
      <c r="P3017" s="3">
        <f t="shared" si="188"/>
        <v>2716.2635604331304</v>
      </c>
      <c r="Q3017" s="3">
        <f t="shared" si="189"/>
        <v>5.459783815240371E-4</v>
      </c>
      <c r="R3017" s="3">
        <f t="shared" si="190"/>
        <v>3.3999999999999998E-3</v>
      </c>
      <c r="S3017">
        <f t="shared" si="191"/>
        <v>71</v>
      </c>
      <c r="T3017">
        <f>INDEX([1]IDEN_level_ids!$B:$B,MATCH(G3017,[1]IDEN_level_ids!$A:$A,0),1)</f>
        <v>1060</v>
      </c>
      <c r="U3017">
        <f>INDEX([1]IDEN_level_ids!$B:$B,MATCH(H3017,[1]IDEN_level_ids!$A:$A,0),1)</f>
        <v>884</v>
      </c>
    </row>
    <row r="3018" spans="1:21" hidden="1" x14ac:dyDescent="0.25">
      <c r="A3018">
        <v>36808.700799999999</v>
      </c>
      <c r="B3018">
        <v>2716.7489999999998</v>
      </c>
      <c r="C3018">
        <v>18</v>
      </c>
      <c r="D3018" t="s">
        <v>680</v>
      </c>
      <c r="F3018">
        <v>1974</v>
      </c>
      <c r="G3018" s="1" t="s">
        <v>272</v>
      </c>
      <c r="H3018" s="1" t="s">
        <v>571</v>
      </c>
      <c r="I3018">
        <v>0.443</v>
      </c>
      <c r="J3018">
        <v>36808.705099999999</v>
      </c>
      <c r="K3018">
        <v>3.1E-4</v>
      </c>
      <c r="L3018">
        <v>3.3999999999999998E-3</v>
      </c>
      <c r="M3018">
        <v>4.6100000000000002E-2</v>
      </c>
      <c r="N3018">
        <v>0.41839999999999999</v>
      </c>
      <c r="O3018">
        <v>5.8500000000000002E-3</v>
      </c>
      <c r="P3018" s="3">
        <f t="shared" si="188"/>
        <v>2716.7489703956085</v>
      </c>
      <c r="Q3018" s="3">
        <f t="shared" si="189"/>
        <v>3.1737113658891758E-4</v>
      </c>
      <c r="R3018" s="3">
        <f t="shared" si="190"/>
        <v>3.3999999999999998E-3</v>
      </c>
      <c r="S3018">
        <f t="shared" si="191"/>
        <v>71</v>
      </c>
      <c r="T3018">
        <f>INDEX([1]IDEN_level_ids!$B:$B,MATCH(G3018,[1]IDEN_level_ids!$A:$A,0),1)</f>
        <v>1109</v>
      </c>
      <c r="U3018">
        <f>INDEX([1]IDEN_level_ids!$B:$B,MATCH(H3018,[1]IDEN_level_ids!$A:$A,0),1)</f>
        <v>975</v>
      </c>
    </row>
    <row r="3019" spans="1:21" hidden="1" x14ac:dyDescent="0.25">
      <c r="A3019">
        <v>36773.879800000002</v>
      </c>
      <c r="B3019">
        <v>2719.3213999999998</v>
      </c>
      <c r="C3019">
        <v>18</v>
      </c>
      <c r="D3019" t="s">
        <v>680</v>
      </c>
      <c r="E3019" t="s">
        <v>638</v>
      </c>
      <c r="F3019">
        <v>1974</v>
      </c>
      <c r="G3019" s="1" t="s">
        <v>422</v>
      </c>
      <c r="H3019" s="1" t="s">
        <v>93</v>
      </c>
      <c r="I3019">
        <v>0</v>
      </c>
      <c r="J3019">
        <v>36773.765899999999</v>
      </c>
      <c r="K3019">
        <v>-8.4200000000000004E-3</v>
      </c>
      <c r="L3019">
        <v>1.278E-2</v>
      </c>
      <c r="M3019">
        <v>0.17280000000000001</v>
      </c>
      <c r="N3019">
        <v>0.65590000000000004</v>
      </c>
      <c r="O3019">
        <v>3.7130000000000003E-2</v>
      </c>
      <c r="P3019" s="3">
        <f t="shared" si="188"/>
        <v>2719.3214461967104</v>
      </c>
      <c r="Q3019" s="3">
        <f t="shared" si="189"/>
        <v>-8.4225997838984767E-3</v>
      </c>
      <c r="R3019" s="3">
        <f t="shared" si="190"/>
        <v>1.278E-2</v>
      </c>
      <c r="S3019">
        <f t="shared" si="191"/>
        <v>71</v>
      </c>
      <c r="T3019">
        <f>INDEX([1]IDEN_level_ids!$B:$B,MATCH(G3019,[1]IDEN_level_ids!$A:$A,0),1)</f>
        <v>920</v>
      </c>
      <c r="U3019">
        <f>INDEX([1]IDEN_level_ids!$B:$B,MATCH(H3019,[1]IDEN_level_ids!$A:$A,0),1)</f>
        <v>554</v>
      </c>
    </row>
    <row r="3020" spans="1:21" hidden="1" x14ac:dyDescent="0.25">
      <c r="A3020">
        <v>36772.010999999999</v>
      </c>
      <c r="B3020">
        <v>2719.4596000000001</v>
      </c>
      <c r="C3020">
        <v>18</v>
      </c>
      <c r="D3020" t="s">
        <v>680</v>
      </c>
      <c r="E3020" t="s">
        <v>427</v>
      </c>
      <c r="F3020">
        <v>1974</v>
      </c>
      <c r="G3020" s="1" t="s">
        <v>86</v>
      </c>
      <c r="H3020" s="1" t="s">
        <v>384</v>
      </c>
      <c r="I3020">
        <v>0.45490000000000003</v>
      </c>
      <c r="J3020">
        <v>36771.96</v>
      </c>
      <c r="K3020">
        <v>-3.7699999999999999E-3</v>
      </c>
      <c r="L3020">
        <v>3.5999999999999999E-3</v>
      </c>
      <c r="M3020">
        <v>4.87E-2</v>
      </c>
      <c r="N3020">
        <v>9.7000000000000003E-2</v>
      </c>
      <c r="O3020">
        <v>3.9899999999999996E-3</v>
      </c>
      <c r="P3020" s="3">
        <f t="shared" si="188"/>
        <v>2719.4596455439982</v>
      </c>
      <c r="Q3020" s="3">
        <f t="shared" si="189"/>
        <v>-3.7716902206739178E-3</v>
      </c>
      <c r="R3020" s="3">
        <f t="shared" si="190"/>
        <v>3.5999999999999999E-3</v>
      </c>
      <c r="S3020">
        <f t="shared" si="191"/>
        <v>71</v>
      </c>
      <c r="T3020">
        <f>INDEX([1]IDEN_level_ids!$B:$B,MATCH(G3020,[1]IDEN_level_ids!$A:$A,0),1)</f>
        <v>1183</v>
      </c>
      <c r="U3020">
        <f>INDEX([1]IDEN_level_ids!$B:$B,MATCH(H3020,[1]IDEN_level_ids!$A:$A,0),1)</f>
        <v>1080</v>
      </c>
    </row>
    <row r="3021" spans="1:21" hidden="1" x14ac:dyDescent="0.25">
      <c r="A3021">
        <v>36770.6489</v>
      </c>
      <c r="B3021">
        <v>2719.5603999999998</v>
      </c>
      <c r="C3021">
        <v>18</v>
      </c>
      <c r="D3021" t="s">
        <v>680</v>
      </c>
      <c r="E3021" t="s">
        <v>427</v>
      </c>
      <c r="F3021">
        <v>1974</v>
      </c>
      <c r="G3021" s="1" t="s">
        <v>268</v>
      </c>
      <c r="H3021" s="1" t="s">
        <v>458</v>
      </c>
      <c r="I3021">
        <v>0</v>
      </c>
      <c r="J3021">
        <v>36770.604899999998</v>
      </c>
      <c r="K3021">
        <v>-3.2499999999999999E-3</v>
      </c>
      <c r="L3021">
        <v>3.5999999999999999E-3</v>
      </c>
      <c r="M3021">
        <v>4.87E-2</v>
      </c>
      <c r="N3021">
        <v>9.4600000000000004E-2</v>
      </c>
      <c r="O3021">
        <v>3.98E-3</v>
      </c>
      <c r="P3021" s="3">
        <f t="shared" si="188"/>
        <v>2719.5603828465482</v>
      </c>
      <c r="Q3021" s="3">
        <f t="shared" si="189"/>
        <v>-3.2542477115384827E-3</v>
      </c>
      <c r="R3021" s="3">
        <f t="shared" si="190"/>
        <v>3.5999999999999999E-3</v>
      </c>
      <c r="S3021">
        <f t="shared" si="191"/>
        <v>71</v>
      </c>
      <c r="T3021">
        <f>INDEX([1]IDEN_level_ids!$B:$B,MATCH(G3021,[1]IDEN_level_ids!$A:$A,0),1)</f>
        <v>1160</v>
      </c>
      <c r="U3021">
        <f>INDEX([1]IDEN_level_ids!$B:$B,MATCH(H3021,[1]IDEN_level_ids!$A:$A,0),1)</f>
        <v>1064</v>
      </c>
    </row>
    <row r="3022" spans="1:21" hidden="1" x14ac:dyDescent="0.25">
      <c r="A3022">
        <v>36768.820399999997</v>
      </c>
      <c r="B3022">
        <v>2719.6956</v>
      </c>
      <c r="C3022">
        <v>18</v>
      </c>
      <c r="D3022" t="s">
        <v>680</v>
      </c>
      <c r="E3022" t="s">
        <v>427</v>
      </c>
      <c r="F3022">
        <v>1974</v>
      </c>
      <c r="G3022" s="1" t="s">
        <v>252</v>
      </c>
      <c r="H3022" s="1" t="s">
        <v>545</v>
      </c>
      <c r="I3022">
        <v>0</v>
      </c>
      <c r="J3022">
        <v>36768.776899999997</v>
      </c>
      <c r="K3022">
        <v>-3.2200000000000002E-3</v>
      </c>
      <c r="L3022">
        <v>3.5999999999999999E-3</v>
      </c>
      <c r="M3022">
        <v>4.87E-2</v>
      </c>
      <c r="N3022">
        <v>0.1095</v>
      </c>
      <c r="O3022">
        <v>4.0499999999999998E-3</v>
      </c>
      <c r="P3022" s="3">
        <f t="shared" si="188"/>
        <v>2719.6956255904256</v>
      </c>
      <c r="Q3022" s="3">
        <f t="shared" si="189"/>
        <v>-3.2175875753637229E-3</v>
      </c>
      <c r="R3022" s="3">
        <f t="shared" si="190"/>
        <v>3.5999999999999999E-3</v>
      </c>
      <c r="S3022">
        <f t="shared" si="191"/>
        <v>71</v>
      </c>
      <c r="T3022">
        <f>INDEX([1]IDEN_level_ids!$B:$B,MATCH(G3022,[1]IDEN_level_ids!$A:$A,0),1)</f>
        <v>1188</v>
      </c>
      <c r="U3022">
        <f>INDEX([1]IDEN_level_ids!$B:$B,MATCH(H3022,[1]IDEN_level_ids!$A:$A,0),1)</f>
        <v>1081</v>
      </c>
    </row>
    <row r="3023" spans="1:21" hidden="1" x14ac:dyDescent="0.25">
      <c r="A3023">
        <v>36752.640599999999</v>
      </c>
      <c r="B3023">
        <v>2720.8928999999998</v>
      </c>
      <c r="C3023">
        <v>18</v>
      </c>
      <c r="D3023" t="s">
        <v>680</v>
      </c>
      <c r="F3023">
        <v>1974</v>
      </c>
      <c r="G3023" s="1" t="s">
        <v>223</v>
      </c>
      <c r="H3023" s="1" t="s">
        <v>613</v>
      </c>
      <c r="I3023">
        <v>0</v>
      </c>
      <c r="J3023">
        <v>36752.6126</v>
      </c>
      <c r="K3023">
        <v>-2.0699999999999998E-3</v>
      </c>
      <c r="L3023">
        <v>3.4099999999999998E-3</v>
      </c>
      <c r="M3023">
        <v>4.6100000000000002E-2</v>
      </c>
      <c r="N3023">
        <v>0.38300000000000001</v>
      </c>
      <c r="O3023">
        <v>5.5300000000000002E-3</v>
      </c>
      <c r="P3023" s="3">
        <f t="shared" si="188"/>
        <v>2720.8929308878014</v>
      </c>
      <c r="Q3023" s="3">
        <f t="shared" si="189"/>
        <v>-2.0729139146169473E-3</v>
      </c>
      <c r="R3023" s="3">
        <f t="shared" si="190"/>
        <v>3.4099999999999998E-3</v>
      </c>
      <c r="S3023">
        <f t="shared" si="191"/>
        <v>71</v>
      </c>
      <c r="T3023">
        <f>INDEX([1]IDEN_level_ids!$B:$B,MATCH(G3023,[1]IDEN_level_ids!$A:$A,0),1)</f>
        <v>1144</v>
      </c>
      <c r="U3023">
        <f>INDEX([1]IDEN_level_ids!$B:$B,MATCH(H3023,[1]IDEN_level_ids!$A:$A,0),1)</f>
        <v>1020</v>
      </c>
    </row>
    <row r="3024" spans="1:21" hidden="1" x14ac:dyDescent="0.25">
      <c r="A3024">
        <v>36748.2906</v>
      </c>
      <c r="B3024">
        <v>2721.2150000000001</v>
      </c>
      <c r="C3024">
        <v>18</v>
      </c>
      <c r="D3024" t="s">
        <v>680</v>
      </c>
      <c r="E3024" t="s">
        <v>427</v>
      </c>
      <c r="F3024">
        <v>1974</v>
      </c>
      <c r="G3024" s="1" t="s">
        <v>477</v>
      </c>
      <c r="H3024" s="1" t="s">
        <v>666</v>
      </c>
      <c r="I3024">
        <v>-0.32490000000000002</v>
      </c>
      <c r="J3024">
        <v>36748.277399999999</v>
      </c>
      <c r="K3024">
        <v>-9.7999999999999997E-4</v>
      </c>
      <c r="L3024">
        <v>3.6099999999999999E-3</v>
      </c>
      <c r="M3024">
        <v>4.87E-2</v>
      </c>
      <c r="N3024">
        <v>0.38269999999999998</v>
      </c>
      <c r="O3024">
        <v>5.8500000000000002E-3</v>
      </c>
      <c r="P3024" s="3">
        <f t="shared" si="188"/>
        <v>2721.2150107466496</v>
      </c>
      <c r="Q3024" s="3">
        <f t="shared" si="189"/>
        <v>-9.774618210940389E-4</v>
      </c>
      <c r="R3024" s="3">
        <f t="shared" si="190"/>
        <v>3.6099999999999999E-3</v>
      </c>
      <c r="S3024">
        <f t="shared" si="191"/>
        <v>71</v>
      </c>
      <c r="T3024">
        <f>INDEX([1]IDEN_level_ids!$B:$B,MATCH(G3024,[1]IDEN_level_ids!$A:$A,0),1)</f>
        <v>1045</v>
      </c>
      <c r="U3024">
        <f>INDEX([1]IDEN_level_ids!$B:$B,MATCH(H3024,[1]IDEN_level_ids!$A:$A,0),1)</f>
        <v>874</v>
      </c>
    </row>
    <row r="3025" spans="1:21" hidden="1" x14ac:dyDescent="0.25">
      <c r="A3025">
        <v>36744.51</v>
      </c>
      <c r="B3025">
        <v>2721.4949999999999</v>
      </c>
      <c r="C3025">
        <v>18</v>
      </c>
      <c r="D3025" t="s">
        <v>680</v>
      </c>
      <c r="F3025">
        <v>1974</v>
      </c>
      <c r="G3025" s="1" t="s">
        <v>522</v>
      </c>
      <c r="H3025" s="1" t="s">
        <v>129</v>
      </c>
      <c r="I3025">
        <v>0</v>
      </c>
      <c r="J3025">
        <v>36744.486900000004</v>
      </c>
      <c r="K3025">
        <v>-1.6999999999999999E-3</v>
      </c>
      <c r="L3025">
        <v>3.4099999999999998E-3</v>
      </c>
      <c r="M3025">
        <v>4.6100000000000002E-2</v>
      </c>
      <c r="N3025">
        <v>0.53669999999999995</v>
      </c>
      <c r="O3025">
        <v>7.3600000000000002E-3</v>
      </c>
      <c r="P3025" s="3">
        <f t="shared" si="188"/>
        <v>2721.4949934017354</v>
      </c>
      <c r="Q3025" s="3">
        <f t="shared" si="189"/>
        <v>-1.7109106602219981E-3</v>
      </c>
      <c r="R3025" s="3">
        <f t="shared" si="190"/>
        <v>3.4099999999999998E-3</v>
      </c>
      <c r="S3025">
        <f t="shared" si="191"/>
        <v>71</v>
      </c>
      <c r="T3025">
        <f>INDEX([1]IDEN_level_ids!$B:$B,MATCH(G3025,[1]IDEN_level_ids!$A:$A,0),1)</f>
        <v>1029</v>
      </c>
      <c r="U3025">
        <f>INDEX([1]IDEN_level_ids!$B:$B,MATCH(H3025,[1]IDEN_level_ids!$A:$A,0),1)</f>
        <v>866</v>
      </c>
    </row>
    <row r="3026" spans="1:21" hidden="1" x14ac:dyDescent="0.25">
      <c r="A3026">
        <v>36739.270299999996</v>
      </c>
      <c r="B3026">
        <v>2721.8831</v>
      </c>
      <c r="C3026">
        <v>18</v>
      </c>
      <c r="D3026" t="s">
        <v>680</v>
      </c>
      <c r="E3026" t="s">
        <v>427</v>
      </c>
      <c r="F3026">
        <v>1974</v>
      </c>
      <c r="G3026" s="1" t="s">
        <v>193</v>
      </c>
      <c r="H3026" s="1" t="s">
        <v>381</v>
      </c>
      <c r="I3026">
        <v>0.23219999999999999</v>
      </c>
      <c r="J3026">
        <v>36739.247600000002</v>
      </c>
      <c r="K3026">
        <v>-1.6800000000000001E-3</v>
      </c>
      <c r="L3026">
        <v>3.6099999999999999E-3</v>
      </c>
      <c r="M3026">
        <v>4.87E-2</v>
      </c>
      <c r="N3026">
        <v>0.12039999999999999</v>
      </c>
      <c r="O3026">
        <v>4.1000000000000003E-3</v>
      </c>
      <c r="P3026" s="3">
        <f t="shared" si="188"/>
        <v>2721.8831289635059</v>
      </c>
      <c r="Q3026" s="3">
        <f t="shared" si="189"/>
        <v>-1.681764082150039E-3</v>
      </c>
      <c r="R3026" s="3">
        <f t="shared" si="190"/>
        <v>3.6099999999999999E-3</v>
      </c>
      <c r="S3026">
        <f t="shared" si="191"/>
        <v>71</v>
      </c>
      <c r="T3026">
        <f>INDEX([1]IDEN_level_ids!$B:$B,MATCH(G3026,[1]IDEN_level_ids!$A:$A,0),1)</f>
        <v>1202</v>
      </c>
      <c r="U3026">
        <f>INDEX([1]IDEN_level_ids!$B:$B,MATCH(H3026,[1]IDEN_level_ids!$A:$A,0),1)</f>
        <v>1084</v>
      </c>
    </row>
    <row r="3027" spans="1:21" hidden="1" x14ac:dyDescent="0.25">
      <c r="A3027">
        <v>36724.640500000001</v>
      </c>
      <c r="B3027">
        <v>2722.9674</v>
      </c>
      <c r="C3027">
        <v>18</v>
      </c>
      <c r="D3027" t="s">
        <v>680</v>
      </c>
      <c r="E3027" t="s">
        <v>427</v>
      </c>
      <c r="F3027">
        <v>1974</v>
      </c>
      <c r="G3027" s="1" t="s">
        <v>299</v>
      </c>
      <c r="H3027" s="1" t="s">
        <v>509</v>
      </c>
      <c r="I3027">
        <v>0.21629999999999999</v>
      </c>
      <c r="J3027">
        <v>36724.591500000002</v>
      </c>
      <c r="K3027">
        <v>-3.63E-3</v>
      </c>
      <c r="L3027">
        <v>3.6099999999999999E-3</v>
      </c>
      <c r="M3027">
        <v>4.87E-2</v>
      </c>
      <c r="N3027">
        <v>0.16439999999999999</v>
      </c>
      <c r="O3027">
        <v>4.3200000000000001E-3</v>
      </c>
      <c r="P3027" s="3">
        <f t="shared" si="188"/>
        <v>2722.9674310903056</v>
      </c>
      <c r="Q3027" s="3">
        <f t="shared" si="189"/>
        <v>-3.6331351466287742E-3</v>
      </c>
      <c r="R3027" s="3">
        <f t="shared" si="190"/>
        <v>3.6099999999999999E-3</v>
      </c>
      <c r="S3027">
        <f t="shared" si="191"/>
        <v>71</v>
      </c>
      <c r="T3027">
        <f>INDEX([1]IDEN_level_ids!$B:$B,MATCH(G3027,[1]IDEN_level_ids!$A:$A,0),1)</f>
        <v>1101</v>
      </c>
      <c r="U3027">
        <f>INDEX([1]IDEN_level_ids!$B:$B,MATCH(H3027,[1]IDEN_level_ids!$A:$A,0),1)</f>
        <v>956</v>
      </c>
    </row>
    <row r="3028" spans="1:21" hidden="1" x14ac:dyDescent="0.25">
      <c r="A3028">
        <v>36699.448400000001</v>
      </c>
      <c r="B3028">
        <v>2724.8366000000001</v>
      </c>
      <c r="C3028">
        <v>18</v>
      </c>
      <c r="D3028" t="s">
        <v>680</v>
      </c>
      <c r="E3028" t="s">
        <v>427</v>
      </c>
      <c r="F3028">
        <v>1974</v>
      </c>
      <c r="G3028" s="1" t="s">
        <v>85</v>
      </c>
      <c r="H3028" s="1" t="s">
        <v>396</v>
      </c>
      <c r="I3028">
        <v>0.42980000000000002</v>
      </c>
      <c r="J3028">
        <v>36699.394200000002</v>
      </c>
      <c r="K3028">
        <v>-4.0200000000000001E-3</v>
      </c>
      <c r="L3028">
        <v>3.62E-3</v>
      </c>
      <c r="M3028">
        <v>4.87E-2</v>
      </c>
      <c r="N3028">
        <v>0.19170000000000001</v>
      </c>
      <c r="O3028">
        <v>4.4799999999999996E-3</v>
      </c>
      <c r="P3028" s="3">
        <f t="shared" si="188"/>
        <v>2724.8365945467453</v>
      </c>
      <c r="Q3028" s="3">
        <f t="shared" si="189"/>
        <v>-4.0242120239781798E-3</v>
      </c>
      <c r="R3028" s="3">
        <f t="shared" si="190"/>
        <v>3.62E-3</v>
      </c>
      <c r="S3028">
        <f t="shared" si="191"/>
        <v>71</v>
      </c>
      <c r="T3028">
        <f>INDEX([1]IDEN_level_ids!$B:$B,MATCH(G3028,[1]IDEN_level_ids!$A:$A,0),1)</f>
        <v>1168</v>
      </c>
      <c r="U3028">
        <f>INDEX([1]IDEN_level_ids!$B:$B,MATCH(H3028,[1]IDEN_level_ids!$A:$A,0),1)</f>
        <v>1072</v>
      </c>
    </row>
    <row r="3029" spans="1:21" hidden="1" x14ac:dyDescent="0.25">
      <c r="A3029">
        <v>36667.318800000001</v>
      </c>
      <c r="B3029">
        <v>2727.2242000000001</v>
      </c>
      <c r="C3029">
        <v>18</v>
      </c>
      <c r="D3029" t="s">
        <v>682</v>
      </c>
      <c r="E3029" t="s">
        <v>681</v>
      </c>
      <c r="F3029">
        <v>1974</v>
      </c>
      <c r="G3029" s="1" t="s">
        <v>295</v>
      </c>
      <c r="H3029" s="1" t="s">
        <v>569</v>
      </c>
      <c r="I3029">
        <v>0</v>
      </c>
      <c r="J3029">
        <v>36667.3747</v>
      </c>
      <c r="K3029">
        <v>4.1599999999999996E-3</v>
      </c>
      <c r="L3029">
        <v>5.9699999999999996E-3</v>
      </c>
      <c r="M3029">
        <v>8.0299999999999996E-2</v>
      </c>
      <c r="N3029">
        <v>4.1200000000000001E-2</v>
      </c>
      <c r="O3029">
        <v>6.2300000000000003E-3</v>
      </c>
      <c r="P3029" s="3">
        <f t="shared" si="188"/>
        <v>2727.2242223502853</v>
      </c>
      <c r="Q3029" s="3">
        <f t="shared" si="189"/>
        <v>4.1576970065761998E-3</v>
      </c>
      <c r="R3029" s="3">
        <f t="shared" si="190"/>
        <v>5.9699999999999996E-3</v>
      </c>
      <c r="S3029">
        <f t="shared" si="191"/>
        <v>72</v>
      </c>
      <c r="T3029">
        <f>INDEX([1]IDEN_level_ids!$B:$B,MATCH(G3029,[1]IDEN_level_ids!$A:$A,0),1)</f>
        <v>1152</v>
      </c>
      <c r="U3029">
        <f>INDEX([1]IDEN_level_ids!$B:$B,MATCH(H3029,[1]IDEN_level_ids!$A:$A,0),1)</f>
        <v>1049</v>
      </c>
    </row>
    <row r="3030" spans="1:21" hidden="1" x14ac:dyDescent="0.25">
      <c r="A3030">
        <v>36659.421499999997</v>
      </c>
      <c r="B3030">
        <v>2727.8117000000002</v>
      </c>
      <c r="C3030">
        <v>18</v>
      </c>
      <c r="D3030" t="s">
        <v>682</v>
      </c>
      <c r="E3030" t="s">
        <v>427</v>
      </c>
      <c r="F3030">
        <v>1974</v>
      </c>
      <c r="G3030" s="1" t="s">
        <v>288</v>
      </c>
      <c r="H3030" s="1" t="s">
        <v>438</v>
      </c>
      <c r="I3030">
        <v>0</v>
      </c>
      <c r="J3030">
        <v>36659.356299999999</v>
      </c>
      <c r="K3030">
        <v>-4.8500000000000001E-3</v>
      </c>
      <c r="L3030">
        <v>3.63E-3</v>
      </c>
      <c r="M3030">
        <v>4.87E-2</v>
      </c>
      <c r="N3030">
        <v>9.1499999999999998E-2</v>
      </c>
      <c r="O3030">
        <v>3.9899999999999996E-3</v>
      </c>
      <c r="P3030" s="3">
        <f t="shared" si="188"/>
        <v>2727.8117304715242</v>
      </c>
      <c r="Q3030" s="3">
        <f t="shared" si="189"/>
        <v>-4.8515124863115489E-3</v>
      </c>
      <c r="R3030" s="3">
        <f t="shared" si="190"/>
        <v>3.63E-3</v>
      </c>
      <c r="S3030">
        <f t="shared" si="191"/>
        <v>72</v>
      </c>
      <c r="T3030">
        <f>INDEX([1]IDEN_level_ids!$B:$B,MATCH(G3030,[1]IDEN_level_ids!$A:$A,0),1)</f>
        <v>1151</v>
      </c>
      <c r="U3030">
        <f>INDEX([1]IDEN_level_ids!$B:$B,MATCH(H3030,[1]IDEN_level_ids!$A:$A,0),1)</f>
        <v>1051</v>
      </c>
    </row>
    <row r="3031" spans="1:21" hidden="1" x14ac:dyDescent="0.25">
      <c r="A3031">
        <v>36641.620600000002</v>
      </c>
      <c r="B3031">
        <v>2729.1369</v>
      </c>
      <c r="C3031">
        <v>18</v>
      </c>
      <c r="D3031" t="s">
        <v>682</v>
      </c>
      <c r="F3031">
        <v>1974</v>
      </c>
      <c r="G3031" s="1" t="s">
        <v>295</v>
      </c>
      <c r="H3031" s="1" t="s">
        <v>595</v>
      </c>
      <c r="I3031">
        <v>0</v>
      </c>
      <c r="J3031">
        <v>36641.589800000002</v>
      </c>
      <c r="K3031">
        <v>-2.3E-3</v>
      </c>
      <c r="L3031">
        <v>3.4299999999999999E-3</v>
      </c>
      <c r="M3031">
        <v>4.6100000000000002E-2</v>
      </c>
      <c r="N3031">
        <v>0.13769999999999999</v>
      </c>
      <c r="O3031">
        <v>3.98E-3</v>
      </c>
      <c r="P3031" s="3">
        <f t="shared" si="188"/>
        <v>2729.1369312415181</v>
      </c>
      <c r="Q3031" s="3">
        <f t="shared" si="189"/>
        <v>-2.2940439521335065E-3</v>
      </c>
      <c r="R3031" s="3">
        <f t="shared" si="190"/>
        <v>3.4299999999999999E-3</v>
      </c>
      <c r="S3031">
        <f t="shared" si="191"/>
        <v>72</v>
      </c>
      <c r="T3031">
        <f>INDEX([1]IDEN_level_ids!$B:$B,MATCH(G3031,[1]IDEN_level_ids!$A:$A,0),1)</f>
        <v>1152</v>
      </c>
      <c r="U3031">
        <f>INDEX([1]IDEN_level_ids!$B:$B,MATCH(H3031,[1]IDEN_level_ids!$A:$A,0),1)</f>
        <v>1052</v>
      </c>
    </row>
    <row r="3032" spans="1:21" hidden="1" x14ac:dyDescent="0.25">
      <c r="A3032">
        <v>36630.1299</v>
      </c>
      <c r="B3032">
        <v>2729.9929999999999</v>
      </c>
      <c r="C3032">
        <v>18</v>
      </c>
      <c r="D3032" t="s">
        <v>682</v>
      </c>
      <c r="E3032" t="s">
        <v>427</v>
      </c>
      <c r="F3032">
        <v>1974</v>
      </c>
      <c r="G3032" s="1" t="s">
        <v>117</v>
      </c>
      <c r="H3032" s="1" t="s">
        <v>375</v>
      </c>
      <c r="I3032">
        <v>0.28789999999999999</v>
      </c>
      <c r="J3032">
        <v>36630.118499999997</v>
      </c>
      <c r="K3032">
        <v>-8.4999999999999995E-4</v>
      </c>
      <c r="L3032">
        <v>3.63E-3</v>
      </c>
      <c r="M3032">
        <v>4.87E-2</v>
      </c>
      <c r="N3032">
        <v>7.0900000000000005E-2</v>
      </c>
      <c r="O3032">
        <v>3.9100000000000003E-3</v>
      </c>
      <c r="P3032" s="3">
        <f t="shared" si="188"/>
        <v>2729.9930487006</v>
      </c>
      <c r="Q3032" s="3">
        <f t="shared" si="189"/>
        <v>-8.4962653772890917E-4</v>
      </c>
      <c r="R3032" s="3">
        <f t="shared" si="190"/>
        <v>3.63E-3</v>
      </c>
      <c r="S3032">
        <f t="shared" si="191"/>
        <v>72</v>
      </c>
      <c r="T3032">
        <f>INDEX([1]IDEN_level_ids!$B:$B,MATCH(G3032,[1]IDEN_level_ids!$A:$A,0),1)</f>
        <v>1162</v>
      </c>
      <c r="U3032">
        <f>INDEX([1]IDEN_level_ids!$B:$B,MATCH(H3032,[1]IDEN_level_ids!$A:$A,0),1)</f>
        <v>1065</v>
      </c>
    </row>
    <row r="3033" spans="1:21" hidden="1" x14ac:dyDescent="0.25">
      <c r="A3033">
        <v>36622.961600000002</v>
      </c>
      <c r="B3033">
        <v>2730.5273999999999</v>
      </c>
      <c r="C3033">
        <v>18</v>
      </c>
      <c r="D3033" t="s">
        <v>682</v>
      </c>
      <c r="F3033">
        <v>1974</v>
      </c>
      <c r="G3033" s="1" t="s">
        <v>40</v>
      </c>
      <c r="H3033" s="1" t="s">
        <v>381</v>
      </c>
      <c r="I3033">
        <v>0.23219999999999999</v>
      </c>
      <c r="J3033">
        <v>36622.914400000001</v>
      </c>
      <c r="K3033">
        <v>-3.5200000000000001E-3</v>
      </c>
      <c r="L3033">
        <v>3.4299999999999999E-3</v>
      </c>
      <c r="M3033">
        <v>4.6100000000000002E-2</v>
      </c>
      <c r="N3033">
        <v>8.6300000000000002E-2</v>
      </c>
      <c r="O3033">
        <v>3.7599999999999999E-3</v>
      </c>
      <c r="P3033" s="3">
        <f t="shared" si="188"/>
        <v>2730.5273967794019</v>
      </c>
      <c r="Q3033" s="3">
        <f t="shared" si="189"/>
        <v>-3.5191326314816251E-3</v>
      </c>
      <c r="R3033" s="3">
        <f t="shared" si="190"/>
        <v>3.4299999999999999E-3</v>
      </c>
      <c r="S3033">
        <f t="shared" si="191"/>
        <v>72</v>
      </c>
      <c r="T3033">
        <f>INDEX([1]IDEN_level_ids!$B:$B,MATCH(G3033,[1]IDEN_level_ids!$A:$A,0),1)</f>
        <v>1199</v>
      </c>
      <c r="U3033">
        <f>INDEX([1]IDEN_level_ids!$B:$B,MATCH(H3033,[1]IDEN_level_ids!$A:$A,0),1)</f>
        <v>1084</v>
      </c>
    </row>
    <row r="3034" spans="1:21" hidden="1" x14ac:dyDescent="0.25">
      <c r="A3034">
        <v>36615.720500000003</v>
      </c>
      <c r="B3034">
        <v>2731.0673999999999</v>
      </c>
      <c r="C3034">
        <v>18</v>
      </c>
      <c r="D3034" t="s">
        <v>682</v>
      </c>
      <c r="F3034">
        <v>1974</v>
      </c>
      <c r="G3034" s="1" t="s">
        <v>255</v>
      </c>
      <c r="H3034" s="1" t="s">
        <v>554</v>
      </c>
      <c r="I3034">
        <v>0</v>
      </c>
      <c r="J3034">
        <v>36615.688000000002</v>
      </c>
      <c r="K3034">
        <v>-2.4199999999999998E-3</v>
      </c>
      <c r="L3034">
        <v>3.4399999999999999E-3</v>
      </c>
      <c r="M3034">
        <v>4.6100000000000002E-2</v>
      </c>
      <c r="N3034">
        <v>0.20780000000000001</v>
      </c>
      <c r="O3034">
        <v>4.3400000000000001E-3</v>
      </c>
      <c r="P3034" s="3">
        <f t="shared" si="188"/>
        <v>2731.0673840215704</v>
      </c>
      <c r="Q3034" s="3">
        <f t="shared" si="189"/>
        <v>-2.4240890948021843E-3</v>
      </c>
      <c r="R3034" s="3">
        <f t="shared" si="190"/>
        <v>3.4399999999999999E-3</v>
      </c>
      <c r="S3034">
        <f t="shared" si="191"/>
        <v>72</v>
      </c>
      <c r="T3034">
        <f>INDEX([1]IDEN_level_ids!$B:$B,MATCH(G3034,[1]IDEN_level_ids!$A:$A,0),1)</f>
        <v>1111</v>
      </c>
      <c r="U3034">
        <f>INDEX([1]IDEN_level_ids!$B:$B,MATCH(H3034,[1]IDEN_level_ids!$A:$A,0),1)</f>
        <v>982</v>
      </c>
    </row>
    <row r="3035" spans="1:21" hidden="1" x14ac:dyDescent="0.25">
      <c r="A3035">
        <v>36613.538399999998</v>
      </c>
      <c r="B3035">
        <v>2731.2301000000002</v>
      </c>
      <c r="C3035">
        <v>18</v>
      </c>
      <c r="D3035" t="s">
        <v>682</v>
      </c>
      <c r="F3035">
        <v>1974</v>
      </c>
      <c r="G3035" s="1" t="s">
        <v>451</v>
      </c>
      <c r="H3035" s="1" t="s">
        <v>639</v>
      </c>
      <c r="I3035">
        <v>-0.38469999999999999</v>
      </c>
      <c r="J3035">
        <v>36613.450799999999</v>
      </c>
      <c r="K3035">
        <v>-6.5399999999999998E-3</v>
      </c>
      <c r="L3035">
        <v>3.4399999999999999E-3</v>
      </c>
      <c r="M3035">
        <v>4.6100000000000002E-2</v>
      </c>
      <c r="N3035">
        <v>0.1181</v>
      </c>
      <c r="O3035">
        <v>3.8999999999999998E-3</v>
      </c>
      <c r="P3035" s="3">
        <f t="shared" si="188"/>
        <v>2731.2301506483186</v>
      </c>
      <c r="Q3035" s="3">
        <f t="shared" si="189"/>
        <v>-6.5346411215614353E-3</v>
      </c>
      <c r="R3035" s="3">
        <f t="shared" si="190"/>
        <v>3.4399999999999999E-3</v>
      </c>
      <c r="S3035">
        <f t="shared" si="191"/>
        <v>72</v>
      </c>
      <c r="T3035">
        <f>INDEX([1]IDEN_level_ids!$B:$B,MATCH(G3035,[1]IDEN_level_ids!$A:$A,0),1)</f>
        <v>1066</v>
      </c>
      <c r="U3035">
        <f>INDEX([1]IDEN_level_ids!$B:$B,MATCH(H3035,[1]IDEN_level_ids!$A:$A,0),1)</f>
        <v>893</v>
      </c>
    </row>
    <row r="3036" spans="1:21" hidden="1" x14ac:dyDescent="0.25">
      <c r="A3036">
        <v>36601.310299999997</v>
      </c>
      <c r="B3036">
        <v>2732.1426000000001</v>
      </c>
      <c r="C3036">
        <v>18</v>
      </c>
      <c r="D3036" t="s">
        <v>682</v>
      </c>
      <c r="F3036">
        <v>1974</v>
      </c>
      <c r="G3036" s="1" t="s">
        <v>220</v>
      </c>
      <c r="H3036" s="1" t="s">
        <v>599</v>
      </c>
      <c r="I3036">
        <v>0</v>
      </c>
      <c r="J3036">
        <v>36601.294399999999</v>
      </c>
      <c r="K3036">
        <v>-1.1900000000000001E-3</v>
      </c>
      <c r="L3036">
        <v>3.4399999999999999E-3</v>
      </c>
      <c r="M3036">
        <v>4.6100000000000002E-2</v>
      </c>
      <c r="N3036">
        <v>0.3619</v>
      </c>
      <c r="O3036">
        <v>5.3899999999999998E-3</v>
      </c>
      <c r="P3036" s="3">
        <f t="shared" si="188"/>
        <v>2732.1426249595224</v>
      </c>
      <c r="Q3036" s="3">
        <f t="shared" si="189"/>
        <v>-1.1868724441228551E-3</v>
      </c>
      <c r="R3036" s="3">
        <f t="shared" si="190"/>
        <v>3.4399999999999999E-3</v>
      </c>
      <c r="S3036">
        <f t="shared" si="191"/>
        <v>72</v>
      </c>
      <c r="T3036">
        <f>INDEX([1]IDEN_level_ids!$B:$B,MATCH(G3036,[1]IDEN_level_ids!$A:$A,0),1)</f>
        <v>1142</v>
      </c>
      <c r="U3036">
        <f>INDEX([1]IDEN_level_ids!$B:$B,MATCH(H3036,[1]IDEN_level_ids!$A:$A,0),1)</f>
        <v>1014</v>
      </c>
    </row>
    <row r="3037" spans="1:21" hidden="1" x14ac:dyDescent="0.25">
      <c r="A3037">
        <v>36583.481599999999</v>
      </c>
      <c r="B3037">
        <v>2733.4740999999999</v>
      </c>
      <c r="C3037">
        <v>18</v>
      </c>
      <c r="D3037" t="s">
        <v>682</v>
      </c>
      <c r="F3037">
        <v>1974</v>
      </c>
      <c r="G3037" s="1" t="s">
        <v>245</v>
      </c>
      <c r="H3037" s="1" t="s">
        <v>396</v>
      </c>
      <c r="I3037">
        <v>0.42980000000000002</v>
      </c>
      <c r="J3037">
        <v>36583.4473</v>
      </c>
      <c r="K3037">
        <v>-2.5699999999999998E-3</v>
      </c>
      <c r="L3037">
        <v>3.4399999999999999E-3</v>
      </c>
      <c r="M3037">
        <v>4.6100000000000002E-2</v>
      </c>
      <c r="N3037">
        <v>9.0800000000000006E-2</v>
      </c>
      <c r="O3037">
        <v>3.79E-3</v>
      </c>
      <c r="P3037" s="3">
        <f t="shared" si="188"/>
        <v>2733.4741152684605</v>
      </c>
      <c r="Q3037" s="3">
        <f t="shared" si="189"/>
        <v>-2.5628574962865969E-3</v>
      </c>
      <c r="R3037" s="3">
        <f t="shared" si="190"/>
        <v>3.4399999999999999E-3</v>
      </c>
      <c r="S3037">
        <f t="shared" si="191"/>
        <v>72</v>
      </c>
      <c r="T3037">
        <f>INDEX([1]IDEN_level_ids!$B:$B,MATCH(G3037,[1]IDEN_level_ids!$A:$A,0),1)</f>
        <v>1169</v>
      </c>
      <c r="U3037">
        <f>INDEX([1]IDEN_level_ids!$B:$B,MATCH(H3037,[1]IDEN_level_ids!$A:$A,0),1)</f>
        <v>1072</v>
      </c>
    </row>
    <row r="3038" spans="1:21" hidden="1" x14ac:dyDescent="0.25">
      <c r="A3038">
        <v>36579.641000000003</v>
      </c>
      <c r="B3038">
        <v>2733.7611000000002</v>
      </c>
      <c r="C3038">
        <v>18</v>
      </c>
      <c r="D3038" t="s">
        <v>682</v>
      </c>
      <c r="E3038" t="s">
        <v>427</v>
      </c>
      <c r="F3038">
        <v>1974</v>
      </c>
      <c r="G3038" s="1" t="s">
        <v>585</v>
      </c>
      <c r="H3038" s="1" t="s">
        <v>336</v>
      </c>
      <c r="I3038">
        <v>0</v>
      </c>
      <c r="J3038">
        <v>36579.563800000004</v>
      </c>
      <c r="K3038">
        <v>-5.77E-3</v>
      </c>
      <c r="L3038">
        <v>3.64E-3</v>
      </c>
      <c r="M3038">
        <v>4.87E-2</v>
      </c>
      <c r="N3038">
        <v>0.2429</v>
      </c>
      <c r="O3038">
        <v>4.81E-3</v>
      </c>
      <c r="P3038" s="3">
        <f t="shared" si="188"/>
        <v>2733.761110449389</v>
      </c>
      <c r="Q3038" s="3">
        <f t="shared" si="189"/>
        <v>-5.7695154287102923E-3</v>
      </c>
      <c r="R3038" s="3">
        <f t="shared" si="190"/>
        <v>3.64E-3</v>
      </c>
      <c r="S3038">
        <f t="shared" si="191"/>
        <v>72</v>
      </c>
      <c r="T3038">
        <f>INDEX([1]IDEN_level_ids!$B:$B,MATCH(G3038,[1]IDEN_level_ids!$A:$A,0),1)</f>
        <v>1019</v>
      </c>
      <c r="U3038">
        <f>INDEX([1]IDEN_level_ids!$B:$B,MATCH(H3038,[1]IDEN_level_ids!$A:$A,0),1)</f>
        <v>861</v>
      </c>
    </row>
    <row r="3039" spans="1:21" hidden="1" x14ac:dyDescent="0.25">
      <c r="A3039">
        <v>36569.019699999997</v>
      </c>
      <c r="B3039">
        <v>2734.5551</v>
      </c>
      <c r="C3039">
        <v>18</v>
      </c>
      <c r="D3039" t="s">
        <v>682</v>
      </c>
      <c r="F3039">
        <v>1974</v>
      </c>
      <c r="G3039" s="1" t="s">
        <v>83</v>
      </c>
      <c r="H3039" s="1" t="s">
        <v>446</v>
      </c>
      <c r="I3039">
        <v>0.31669999999999998</v>
      </c>
      <c r="J3039">
        <v>36569.030899999998</v>
      </c>
      <c r="K3039">
        <v>8.4000000000000003E-4</v>
      </c>
      <c r="L3039">
        <v>3.4399999999999999E-3</v>
      </c>
      <c r="M3039">
        <v>4.6100000000000002E-2</v>
      </c>
      <c r="N3039">
        <v>9.4399999999999998E-2</v>
      </c>
      <c r="O3039">
        <v>3.8E-3</v>
      </c>
      <c r="P3039" s="3">
        <f t="shared" si="188"/>
        <v>2734.5551185229065</v>
      </c>
      <c r="Q3039" s="3">
        <f t="shared" si="189"/>
        <v>8.3751241345453309E-4</v>
      </c>
      <c r="R3039" s="3">
        <f t="shared" si="190"/>
        <v>3.4399999999999999E-3</v>
      </c>
      <c r="S3039">
        <f t="shared" si="191"/>
        <v>72</v>
      </c>
      <c r="T3039">
        <f>INDEX([1]IDEN_level_ids!$B:$B,MATCH(G3039,[1]IDEN_level_ids!$A:$A,0),1)</f>
        <v>1175</v>
      </c>
      <c r="U3039">
        <f>INDEX([1]IDEN_level_ids!$B:$B,MATCH(H3039,[1]IDEN_level_ids!$A:$A,0),1)</f>
        <v>1079</v>
      </c>
    </row>
    <row r="3040" spans="1:21" hidden="1" x14ac:dyDescent="0.25">
      <c r="A3040">
        <v>36567.938499999997</v>
      </c>
      <c r="B3040">
        <v>2734.636</v>
      </c>
      <c r="C3040">
        <v>18</v>
      </c>
      <c r="D3040" t="s">
        <v>682</v>
      </c>
      <c r="E3040" t="s">
        <v>427</v>
      </c>
      <c r="F3040">
        <v>1974</v>
      </c>
      <c r="G3040" s="1" t="s">
        <v>275</v>
      </c>
      <c r="H3040" s="1" t="s">
        <v>578</v>
      </c>
      <c r="I3040">
        <v>0.25619999999999998</v>
      </c>
      <c r="J3040">
        <v>36567.878599999996</v>
      </c>
      <c r="K3040">
        <v>-4.47E-3</v>
      </c>
      <c r="L3040">
        <v>3.64E-3</v>
      </c>
      <c r="M3040">
        <v>4.87E-2</v>
      </c>
      <c r="N3040">
        <v>0.1027</v>
      </c>
      <c r="O3040">
        <v>4.0600000000000002E-3</v>
      </c>
      <c r="P3040" s="3">
        <f t="shared" si="188"/>
        <v>2734.6359707972056</v>
      </c>
      <c r="Q3040" s="3">
        <f t="shared" si="189"/>
        <v>-4.4794694395022816E-3</v>
      </c>
      <c r="R3040" s="3">
        <f t="shared" si="190"/>
        <v>3.64E-3</v>
      </c>
      <c r="S3040">
        <f t="shared" si="191"/>
        <v>72</v>
      </c>
      <c r="T3040">
        <f>INDEX([1]IDEN_level_ids!$B:$B,MATCH(G3040,[1]IDEN_level_ids!$A:$A,0),1)</f>
        <v>1134</v>
      </c>
      <c r="U3040">
        <f>INDEX([1]IDEN_level_ids!$B:$B,MATCH(H3040,[1]IDEN_level_ids!$A:$A,0),1)</f>
        <v>1003</v>
      </c>
    </row>
    <row r="3041" spans="1:21" hidden="1" x14ac:dyDescent="0.25">
      <c r="A3041">
        <v>36560.700400000002</v>
      </c>
      <c r="B3041">
        <v>2735.1774</v>
      </c>
      <c r="C3041">
        <v>18</v>
      </c>
      <c r="D3041" t="s">
        <v>682</v>
      </c>
      <c r="F3041">
        <v>1974</v>
      </c>
      <c r="G3041" s="1" t="s">
        <v>309</v>
      </c>
      <c r="H3041" s="1" t="s">
        <v>473</v>
      </c>
      <c r="I3041">
        <v>0.1031</v>
      </c>
      <c r="J3041">
        <v>36560.699699999997</v>
      </c>
      <c r="K3041">
        <v>-5.0000000000000002E-5</v>
      </c>
      <c r="L3041">
        <v>3.4499999999999999E-3</v>
      </c>
      <c r="M3041">
        <v>4.6100000000000002E-2</v>
      </c>
      <c r="N3041">
        <v>0.2505</v>
      </c>
      <c r="O3041">
        <v>4.5999999999999999E-3</v>
      </c>
      <c r="P3041" s="3">
        <f t="shared" si="188"/>
        <v>2735.1773600048427</v>
      </c>
      <c r="Q3041" s="3">
        <f t="shared" si="189"/>
        <v>-5.236836750555085E-5</v>
      </c>
      <c r="R3041" s="3">
        <f t="shared" si="190"/>
        <v>3.4499999999999999E-3</v>
      </c>
      <c r="S3041">
        <f t="shared" si="191"/>
        <v>72</v>
      </c>
      <c r="T3041">
        <f>INDEX([1]IDEN_level_ids!$B:$B,MATCH(G3041,[1]IDEN_level_ids!$A:$A,0),1)</f>
        <v>1094</v>
      </c>
      <c r="U3041">
        <f>INDEX([1]IDEN_level_ids!$B:$B,MATCH(H3041,[1]IDEN_level_ids!$A:$A,0),1)</f>
        <v>934</v>
      </c>
    </row>
    <row r="3042" spans="1:21" hidden="1" x14ac:dyDescent="0.25">
      <c r="A3042">
        <v>36546.880599999997</v>
      </c>
      <c r="B3042">
        <v>2736.2116000000001</v>
      </c>
      <c r="C3042">
        <v>18</v>
      </c>
      <c r="D3042" t="s">
        <v>682</v>
      </c>
      <c r="F3042">
        <v>1974</v>
      </c>
      <c r="G3042" s="1" t="s">
        <v>77</v>
      </c>
      <c r="H3042" s="1" t="s">
        <v>381</v>
      </c>
      <c r="I3042">
        <v>0.23219999999999999</v>
      </c>
      <c r="J3042">
        <v>36546.889799999997</v>
      </c>
      <c r="K3042">
        <v>6.8999999999999997E-4</v>
      </c>
      <c r="L3042">
        <v>3.4499999999999999E-3</v>
      </c>
      <c r="M3042">
        <v>4.6100000000000002E-2</v>
      </c>
      <c r="N3042">
        <v>0.11899999999999999</v>
      </c>
      <c r="O3042">
        <v>3.9100000000000003E-3</v>
      </c>
      <c r="P3042" s="3">
        <f t="shared" si="188"/>
        <v>2736.2116371704788</v>
      </c>
      <c r="Q3042" s="3">
        <f t="shared" si="189"/>
        <v>6.8879040600222652E-4</v>
      </c>
      <c r="R3042" s="3">
        <f t="shared" si="190"/>
        <v>3.4499999999999999E-3</v>
      </c>
      <c r="S3042">
        <f t="shared" si="191"/>
        <v>72</v>
      </c>
      <c r="T3042">
        <f>INDEX([1]IDEN_level_ids!$B:$B,MATCH(G3042,[1]IDEN_level_ids!$A:$A,0),1)</f>
        <v>1197</v>
      </c>
      <c r="U3042">
        <f>INDEX([1]IDEN_level_ids!$B:$B,MATCH(H3042,[1]IDEN_level_ids!$A:$A,0),1)</f>
        <v>1084</v>
      </c>
    </row>
    <row r="3043" spans="1:21" hidden="1" x14ac:dyDescent="0.25">
      <c r="A3043">
        <v>36543.540699999998</v>
      </c>
      <c r="B3043">
        <v>2736.4616999999998</v>
      </c>
      <c r="C3043">
        <v>18</v>
      </c>
      <c r="D3043" t="s">
        <v>682</v>
      </c>
      <c r="F3043">
        <v>1974</v>
      </c>
      <c r="G3043" s="1" t="s">
        <v>108</v>
      </c>
      <c r="H3043" s="1" t="s">
        <v>437</v>
      </c>
      <c r="I3043">
        <v>0.26329999999999998</v>
      </c>
      <c r="J3043">
        <v>36543.481599999999</v>
      </c>
      <c r="K3043">
        <v>-4.4299999999999999E-3</v>
      </c>
      <c r="L3043">
        <v>3.4499999999999999E-3</v>
      </c>
      <c r="M3043">
        <v>4.6100000000000002E-2</v>
      </c>
      <c r="N3043">
        <v>7.8600000000000003E-2</v>
      </c>
      <c r="O3043">
        <v>3.7399999999999998E-3</v>
      </c>
      <c r="P3043" s="3">
        <f t="shared" si="188"/>
        <v>2736.4617134650011</v>
      </c>
      <c r="Q3043" s="3">
        <f t="shared" si="189"/>
        <v>-4.4255467782932101E-3</v>
      </c>
      <c r="R3043" s="3">
        <f t="shared" si="190"/>
        <v>3.4499999999999999E-3</v>
      </c>
      <c r="S3043">
        <f t="shared" si="191"/>
        <v>72</v>
      </c>
      <c r="T3043">
        <f>INDEX([1]IDEN_level_ids!$B:$B,MATCH(G3043,[1]IDEN_level_ids!$A:$A,0),1)</f>
        <v>1149</v>
      </c>
      <c r="U3043">
        <f>INDEX([1]IDEN_level_ids!$B:$B,MATCH(H3043,[1]IDEN_level_ids!$A:$A,0),1)</f>
        <v>1039</v>
      </c>
    </row>
    <row r="3044" spans="1:21" hidden="1" x14ac:dyDescent="0.25">
      <c r="A3044">
        <v>36504.2598</v>
      </c>
      <c r="B3044">
        <v>2739.4063000000001</v>
      </c>
      <c r="C3044">
        <v>18</v>
      </c>
      <c r="D3044" t="s">
        <v>682</v>
      </c>
      <c r="F3044">
        <v>1974</v>
      </c>
      <c r="G3044" s="1" t="s">
        <v>451</v>
      </c>
      <c r="H3044" s="1" t="s">
        <v>642</v>
      </c>
      <c r="I3044">
        <v>-0.38469999999999999</v>
      </c>
      <c r="J3044">
        <v>36504.226199999997</v>
      </c>
      <c r="K3044">
        <v>-2.5300000000000001E-3</v>
      </c>
      <c r="L3044">
        <v>3.46E-3</v>
      </c>
      <c r="M3044">
        <v>4.6100000000000002E-2</v>
      </c>
      <c r="N3044">
        <v>0.11600000000000001</v>
      </c>
      <c r="O3044">
        <v>3.9100000000000003E-3</v>
      </c>
      <c r="P3044" s="3">
        <f t="shared" si="188"/>
        <v>2739.406319916669</v>
      </c>
      <c r="Q3044" s="3">
        <f t="shared" si="189"/>
        <v>-2.5214629081347084E-3</v>
      </c>
      <c r="R3044" s="3">
        <f t="shared" si="190"/>
        <v>3.46E-3</v>
      </c>
      <c r="S3044">
        <f t="shared" si="191"/>
        <v>72</v>
      </c>
      <c r="T3044">
        <f>INDEX([1]IDEN_level_ids!$B:$B,MATCH(G3044,[1]IDEN_level_ids!$A:$A,0),1)</f>
        <v>1066</v>
      </c>
      <c r="U3044">
        <f>INDEX([1]IDEN_level_ids!$B:$B,MATCH(H3044,[1]IDEN_level_ids!$A:$A,0),1)</f>
        <v>894</v>
      </c>
    </row>
    <row r="3045" spans="1:21" hidden="1" x14ac:dyDescent="0.25">
      <c r="A3045">
        <v>36463.439700000003</v>
      </c>
      <c r="B3045">
        <v>2742.473</v>
      </c>
      <c r="C3045">
        <v>18</v>
      </c>
      <c r="D3045" t="s">
        <v>682</v>
      </c>
      <c r="F3045">
        <v>1974</v>
      </c>
      <c r="G3045" s="1" t="s">
        <v>245</v>
      </c>
      <c r="H3045" s="1" t="s">
        <v>407</v>
      </c>
      <c r="I3045">
        <v>0.27489999999999998</v>
      </c>
      <c r="J3045">
        <v>36463.437899999997</v>
      </c>
      <c r="K3045">
        <v>-1.3999999999999999E-4</v>
      </c>
      <c r="L3045">
        <v>3.46E-3</v>
      </c>
      <c r="M3045">
        <v>4.6100000000000002E-2</v>
      </c>
      <c r="N3045">
        <v>7.9100000000000004E-2</v>
      </c>
      <c r="O3045">
        <v>3.7599999999999999E-3</v>
      </c>
      <c r="P3045" s="3">
        <f t="shared" si="188"/>
        <v>2742.473031144124</v>
      </c>
      <c r="Q3045" s="3">
        <f t="shared" si="189"/>
        <v>-1.3538085704567493E-4</v>
      </c>
      <c r="R3045" s="3">
        <f t="shared" si="190"/>
        <v>3.46E-3</v>
      </c>
      <c r="S3045">
        <f t="shared" si="191"/>
        <v>72</v>
      </c>
      <c r="T3045">
        <f>INDEX([1]IDEN_level_ids!$B:$B,MATCH(G3045,[1]IDEN_level_ids!$A:$A,0),1)</f>
        <v>1169</v>
      </c>
      <c r="U3045">
        <f>INDEX([1]IDEN_level_ids!$B:$B,MATCH(H3045,[1]IDEN_level_ids!$A:$A,0),1)</f>
        <v>1073</v>
      </c>
    </row>
    <row r="3046" spans="1:21" hidden="1" x14ac:dyDescent="0.25">
      <c r="A3046">
        <v>36454.798799999997</v>
      </c>
      <c r="B3046">
        <v>2743.1230999999998</v>
      </c>
      <c r="C3046">
        <v>18</v>
      </c>
      <c r="D3046" t="s">
        <v>682</v>
      </c>
      <c r="F3046">
        <v>1974</v>
      </c>
      <c r="G3046" s="1" t="s">
        <v>117</v>
      </c>
      <c r="H3046" s="1" t="s">
        <v>448</v>
      </c>
      <c r="I3046">
        <v>0.29559999999999997</v>
      </c>
      <c r="J3046">
        <v>36454.786099999998</v>
      </c>
      <c r="K3046">
        <v>-9.6000000000000002E-4</v>
      </c>
      <c r="L3046">
        <v>3.47E-3</v>
      </c>
      <c r="M3046">
        <v>4.6100000000000002E-2</v>
      </c>
      <c r="N3046">
        <v>8.0699999999999994E-2</v>
      </c>
      <c r="O3046">
        <v>3.7699999999999999E-3</v>
      </c>
      <c r="P3046" s="3">
        <f t="shared" si="188"/>
        <v>2743.1230809590975</v>
      </c>
      <c r="Q3046" s="3">
        <f t="shared" si="189"/>
        <v>-9.5564031107642222E-4</v>
      </c>
      <c r="R3046" s="3">
        <f t="shared" si="190"/>
        <v>3.47E-3</v>
      </c>
      <c r="S3046">
        <f t="shared" si="191"/>
        <v>72</v>
      </c>
      <c r="T3046">
        <f>INDEX([1]IDEN_level_ids!$B:$B,MATCH(G3046,[1]IDEN_level_ids!$A:$A,0),1)</f>
        <v>1162</v>
      </c>
      <c r="U3046">
        <f>INDEX([1]IDEN_level_ids!$B:$B,MATCH(H3046,[1]IDEN_level_ids!$A:$A,0),1)</f>
        <v>1067</v>
      </c>
    </row>
    <row r="3047" spans="1:21" hidden="1" x14ac:dyDescent="0.25">
      <c r="A3047">
        <v>36440.2601</v>
      </c>
      <c r="B3047">
        <v>2744.2175000000002</v>
      </c>
      <c r="C3047">
        <v>18</v>
      </c>
      <c r="D3047" t="s">
        <v>682</v>
      </c>
      <c r="F3047">
        <v>1974</v>
      </c>
      <c r="G3047" s="1" t="s">
        <v>350</v>
      </c>
      <c r="H3047" s="1" t="s">
        <v>589</v>
      </c>
      <c r="I3047">
        <v>0</v>
      </c>
      <c r="J3047">
        <v>36440.229200000002</v>
      </c>
      <c r="K3047">
        <v>-2.33E-3</v>
      </c>
      <c r="L3047">
        <v>3.47E-3</v>
      </c>
      <c r="M3047">
        <v>4.6100000000000002E-2</v>
      </c>
      <c r="N3047">
        <v>0.19800000000000001</v>
      </c>
      <c r="O3047">
        <v>4.3299999999999996E-3</v>
      </c>
      <c r="P3047" s="3">
        <f t="shared" si="188"/>
        <v>2744.2175145176861</v>
      </c>
      <c r="Q3047" s="3">
        <f t="shared" si="189"/>
        <v>-2.3269974708455265E-3</v>
      </c>
      <c r="R3047" s="3">
        <f t="shared" si="190"/>
        <v>3.47E-3</v>
      </c>
      <c r="S3047">
        <f t="shared" si="191"/>
        <v>72</v>
      </c>
      <c r="T3047">
        <f>INDEX([1]IDEN_level_ids!$B:$B,MATCH(G3047,[1]IDEN_level_ids!$A:$A,0),1)</f>
        <v>1112</v>
      </c>
      <c r="U3047">
        <f>INDEX([1]IDEN_level_ids!$B:$B,MATCH(H3047,[1]IDEN_level_ids!$A:$A,0),1)</f>
        <v>984</v>
      </c>
    </row>
    <row r="3048" spans="1:21" hidden="1" x14ac:dyDescent="0.25">
      <c r="A3048">
        <v>36437.75</v>
      </c>
      <c r="B3048">
        <v>2744.4065999999998</v>
      </c>
      <c r="C3048">
        <v>18</v>
      </c>
      <c r="D3048" t="s">
        <v>682</v>
      </c>
      <c r="E3048" t="s">
        <v>427</v>
      </c>
      <c r="F3048">
        <v>1974</v>
      </c>
      <c r="G3048" s="1" t="s">
        <v>117</v>
      </c>
      <c r="H3048" s="1" t="s">
        <v>419</v>
      </c>
      <c r="I3048">
        <v>0.2853</v>
      </c>
      <c r="J3048">
        <v>36437.728999999999</v>
      </c>
      <c r="K3048">
        <v>-1.5900000000000001E-3</v>
      </c>
      <c r="L3048">
        <v>3.6700000000000001E-3</v>
      </c>
      <c r="M3048">
        <v>4.87E-2</v>
      </c>
      <c r="N3048">
        <v>9.2499999999999999E-2</v>
      </c>
      <c r="O3048">
        <v>4.0400000000000002E-3</v>
      </c>
      <c r="P3048" s="3">
        <f t="shared" si="188"/>
        <v>2744.4065563872632</v>
      </c>
      <c r="Q3048" s="3">
        <f t="shared" si="189"/>
        <v>-1.5816720542716212E-3</v>
      </c>
      <c r="R3048" s="3">
        <f t="shared" si="190"/>
        <v>3.6700000000000001E-3</v>
      </c>
      <c r="S3048">
        <f t="shared" si="191"/>
        <v>72</v>
      </c>
      <c r="T3048">
        <f>INDEX([1]IDEN_level_ids!$B:$B,MATCH(G3048,[1]IDEN_level_ids!$A:$A,0),1)</f>
        <v>1162</v>
      </c>
      <c r="U3048">
        <f>INDEX([1]IDEN_level_ids!$B:$B,MATCH(H3048,[1]IDEN_level_ids!$A:$A,0),1)</f>
        <v>1068</v>
      </c>
    </row>
    <row r="3049" spans="1:21" hidden="1" x14ac:dyDescent="0.25">
      <c r="A3049">
        <v>36436.620499999997</v>
      </c>
      <c r="B3049">
        <v>2744.4915999999998</v>
      </c>
      <c r="C3049">
        <v>18</v>
      </c>
      <c r="D3049" t="s">
        <v>682</v>
      </c>
      <c r="F3049">
        <v>1974</v>
      </c>
      <c r="G3049" s="1" t="s">
        <v>268</v>
      </c>
      <c r="H3049" s="1" t="s">
        <v>451</v>
      </c>
      <c r="I3049">
        <v>0.38469999999999999</v>
      </c>
      <c r="J3049">
        <v>36436.590100000001</v>
      </c>
      <c r="K3049">
        <v>-2.2899999999999999E-3</v>
      </c>
      <c r="L3049">
        <v>3.47E-3</v>
      </c>
      <c r="M3049">
        <v>4.6100000000000002E-2</v>
      </c>
      <c r="N3049">
        <v>8.2699999999999996E-2</v>
      </c>
      <c r="O3049">
        <v>3.7799999999999999E-3</v>
      </c>
      <c r="P3049" s="3">
        <f t="shared" si="188"/>
        <v>2744.4916303365731</v>
      </c>
      <c r="Q3049" s="3">
        <f t="shared" si="189"/>
        <v>-2.2898011402503471E-3</v>
      </c>
      <c r="R3049" s="3">
        <f t="shared" si="190"/>
        <v>3.47E-3</v>
      </c>
      <c r="S3049">
        <f t="shared" si="191"/>
        <v>72</v>
      </c>
      <c r="T3049">
        <f>INDEX([1]IDEN_level_ids!$B:$B,MATCH(G3049,[1]IDEN_level_ids!$A:$A,0),1)</f>
        <v>1160</v>
      </c>
      <c r="U3049">
        <f>INDEX([1]IDEN_level_ids!$B:$B,MATCH(H3049,[1]IDEN_level_ids!$A:$A,0),1)</f>
        <v>1066</v>
      </c>
    </row>
    <row r="3050" spans="1:21" hidden="1" x14ac:dyDescent="0.25">
      <c r="A3050">
        <v>36424.540399999998</v>
      </c>
      <c r="B3050">
        <v>2745.4018000000001</v>
      </c>
      <c r="C3050">
        <v>18</v>
      </c>
      <c r="D3050" t="s">
        <v>682</v>
      </c>
      <c r="F3050">
        <v>1974</v>
      </c>
      <c r="G3050" s="1" t="s">
        <v>100</v>
      </c>
      <c r="H3050" s="1" t="s">
        <v>587</v>
      </c>
      <c r="I3050">
        <v>0.13569999999999999</v>
      </c>
      <c r="J3050">
        <v>36424.514499999997</v>
      </c>
      <c r="K3050">
        <v>-1.9499999999999999E-3</v>
      </c>
      <c r="L3050">
        <v>3.47E-3</v>
      </c>
      <c r="M3050">
        <v>4.6100000000000002E-2</v>
      </c>
      <c r="N3050">
        <v>0.1008</v>
      </c>
      <c r="O3050">
        <v>3.8600000000000001E-3</v>
      </c>
      <c r="P3050" s="3">
        <f t="shared" si="188"/>
        <v>2745.4018335396759</v>
      </c>
      <c r="Q3050" s="3">
        <f t="shared" si="189"/>
        <v>-1.9521442764016683E-3</v>
      </c>
      <c r="R3050" s="3">
        <f t="shared" si="190"/>
        <v>3.47E-3</v>
      </c>
      <c r="S3050">
        <f t="shared" si="191"/>
        <v>72</v>
      </c>
      <c r="T3050">
        <f>INDEX([1]IDEN_level_ids!$B:$B,MATCH(G3050,[1]IDEN_level_ids!$A:$A,0),1)</f>
        <v>1146</v>
      </c>
      <c r="U3050">
        <f>INDEX([1]IDEN_level_ids!$B:$B,MATCH(H3050,[1]IDEN_level_ids!$A:$A,0),1)</f>
        <v>1035</v>
      </c>
    </row>
    <row r="3051" spans="1:21" hidden="1" x14ac:dyDescent="0.25">
      <c r="A3051">
        <v>36411.220800000003</v>
      </c>
      <c r="B3051">
        <v>2746.4061000000002</v>
      </c>
      <c r="C3051">
        <v>18</v>
      </c>
      <c r="D3051" t="s">
        <v>682</v>
      </c>
      <c r="E3051" t="s">
        <v>638</v>
      </c>
      <c r="F3051">
        <v>1974</v>
      </c>
      <c r="G3051" s="1" t="s">
        <v>301</v>
      </c>
      <c r="H3051" s="1" t="s">
        <v>416</v>
      </c>
      <c r="I3051">
        <v>-0.14030000000000001</v>
      </c>
      <c r="J3051">
        <v>36411.383900000001</v>
      </c>
      <c r="K3051">
        <v>1.23E-2</v>
      </c>
      <c r="L3051">
        <v>1.304E-2</v>
      </c>
      <c r="M3051">
        <v>0.17280000000000001</v>
      </c>
      <c r="N3051">
        <v>5.2600000000000001E-2</v>
      </c>
      <c r="O3051">
        <v>1.376E-2</v>
      </c>
      <c r="P3051" s="3">
        <f t="shared" si="188"/>
        <v>2746.4061298378656</v>
      </c>
      <c r="Q3051" s="3">
        <f t="shared" si="189"/>
        <v>1.2302164647280733E-2</v>
      </c>
      <c r="R3051" s="3">
        <f t="shared" si="190"/>
        <v>1.304E-2</v>
      </c>
      <c r="S3051">
        <f t="shared" si="191"/>
        <v>72</v>
      </c>
      <c r="T3051">
        <f>INDEX([1]IDEN_level_ids!$B:$B,MATCH(G3051,[1]IDEN_level_ids!$A:$A,0),1)</f>
        <v>1154</v>
      </c>
      <c r="U3051">
        <f>INDEX([1]IDEN_level_ids!$B:$B,MATCH(H3051,[1]IDEN_level_ids!$A:$A,0),1)</f>
        <v>1055</v>
      </c>
    </row>
    <row r="3052" spans="1:21" hidden="1" x14ac:dyDescent="0.25">
      <c r="A3052">
        <v>36402.539400000001</v>
      </c>
      <c r="B3052">
        <v>2747.0610999999999</v>
      </c>
      <c r="C3052">
        <v>18</v>
      </c>
      <c r="D3052" t="s">
        <v>682</v>
      </c>
      <c r="F3052">
        <v>1974</v>
      </c>
      <c r="G3052" s="1" t="s">
        <v>307</v>
      </c>
      <c r="H3052" s="1" t="s">
        <v>479</v>
      </c>
      <c r="I3052">
        <v>0</v>
      </c>
      <c r="J3052">
        <v>36402.4882</v>
      </c>
      <c r="K3052">
        <v>-3.8600000000000001E-3</v>
      </c>
      <c r="L3052">
        <v>3.48E-3</v>
      </c>
      <c r="M3052">
        <v>4.6100000000000002E-2</v>
      </c>
      <c r="N3052">
        <v>0.35549999999999998</v>
      </c>
      <c r="O3052">
        <v>5.3899999999999998E-3</v>
      </c>
      <c r="P3052" s="3">
        <f t="shared" si="188"/>
        <v>2747.0611020065262</v>
      </c>
      <c r="Q3052" s="3">
        <f t="shared" si="189"/>
        <v>-3.8637339202978183E-3</v>
      </c>
      <c r="R3052" s="3">
        <f t="shared" si="190"/>
        <v>3.48E-3</v>
      </c>
      <c r="S3052">
        <f t="shared" si="191"/>
        <v>72</v>
      </c>
      <c r="T3052">
        <f>INDEX([1]IDEN_level_ids!$B:$B,MATCH(G3052,[1]IDEN_level_ids!$A:$A,0),1)</f>
        <v>1095</v>
      </c>
      <c r="U3052">
        <f>INDEX([1]IDEN_level_ids!$B:$B,MATCH(H3052,[1]IDEN_level_ids!$A:$A,0),1)</f>
        <v>939</v>
      </c>
    </row>
    <row r="3053" spans="1:21" hidden="1" x14ac:dyDescent="0.25">
      <c r="A3053">
        <v>36323.159</v>
      </c>
      <c r="B3053">
        <v>2753.0645</v>
      </c>
      <c r="C3053">
        <v>18</v>
      </c>
      <c r="D3053" t="s">
        <v>683</v>
      </c>
      <c r="F3053">
        <v>1974</v>
      </c>
      <c r="G3053" s="1" t="s">
        <v>73</v>
      </c>
      <c r="H3053" s="1" t="s">
        <v>446</v>
      </c>
      <c r="I3053">
        <v>0.31669999999999998</v>
      </c>
      <c r="J3053">
        <v>36323.137300000002</v>
      </c>
      <c r="K3053">
        <v>-1.65E-3</v>
      </c>
      <c r="L3053">
        <v>3.49E-3</v>
      </c>
      <c r="M3053">
        <v>4.6100000000000002E-2</v>
      </c>
      <c r="N3053">
        <v>8.1100000000000005E-2</v>
      </c>
      <c r="O3053">
        <v>3.8E-3</v>
      </c>
      <c r="P3053" s="3">
        <f t="shared" si="188"/>
        <v>2753.0645118173779</v>
      </c>
      <c r="Q3053" s="3">
        <f t="shared" si="189"/>
        <v>-1.644723015033378E-3</v>
      </c>
      <c r="R3053" s="3">
        <f t="shared" si="190"/>
        <v>3.49E-3</v>
      </c>
      <c r="S3053">
        <f t="shared" si="191"/>
        <v>73</v>
      </c>
      <c r="T3053">
        <f>INDEX([1]IDEN_level_ids!$B:$B,MATCH(G3053,[1]IDEN_level_ids!$A:$A,0),1)</f>
        <v>1173</v>
      </c>
      <c r="U3053">
        <f>INDEX([1]IDEN_level_ids!$B:$B,MATCH(H3053,[1]IDEN_level_ids!$A:$A,0),1)</f>
        <v>1079</v>
      </c>
    </row>
    <row r="3054" spans="1:21" hidden="1" x14ac:dyDescent="0.25">
      <c r="A3054">
        <v>36321.611199999999</v>
      </c>
      <c r="B3054">
        <v>2753.1817999999998</v>
      </c>
      <c r="C3054">
        <v>18</v>
      </c>
      <c r="D3054" t="s">
        <v>683</v>
      </c>
      <c r="F3054">
        <v>1974</v>
      </c>
      <c r="G3054" s="1" t="s">
        <v>197</v>
      </c>
      <c r="H3054" s="1" t="s">
        <v>386</v>
      </c>
      <c r="I3054">
        <v>0.22500000000000001</v>
      </c>
      <c r="J3054">
        <v>36321.592400000001</v>
      </c>
      <c r="K3054">
        <v>-1.4300000000000001E-3</v>
      </c>
      <c r="L3054">
        <v>3.49E-3</v>
      </c>
      <c r="M3054">
        <v>4.6100000000000002E-2</v>
      </c>
      <c r="N3054">
        <v>8.1299999999999997E-2</v>
      </c>
      <c r="O3054">
        <v>3.8E-3</v>
      </c>
      <c r="P3054" s="3">
        <f t="shared" si="188"/>
        <v>2753.1818302157258</v>
      </c>
      <c r="Q3054" s="3">
        <f t="shared" si="189"/>
        <v>-1.4250426529542892E-3</v>
      </c>
      <c r="R3054" s="3">
        <f t="shared" si="190"/>
        <v>3.49E-3</v>
      </c>
      <c r="S3054">
        <f t="shared" si="191"/>
        <v>73</v>
      </c>
      <c r="T3054">
        <f>INDEX([1]IDEN_level_ids!$B:$B,MATCH(G3054,[1]IDEN_level_ids!$A:$A,0),1)</f>
        <v>1182</v>
      </c>
      <c r="U3054">
        <f>INDEX([1]IDEN_level_ids!$B:$B,MATCH(H3054,[1]IDEN_level_ids!$A:$A,0),1)</f>
        <v>1082</v>
      </c>
    </row>
    <row r="3055" spans="1:21" hidden="1" x14ac:dyDescent="0.25">
      <c r="A3055">
        <v>36316.371899999998</v>
      </c>
      <c r="B3055">
        <v>2753.5790000000002</v>
      </c>
      <c r="C3055">
        <v>18</v>
      </c>
      <c r="D3055" t="s">
        <v>683</v>
      </c>
      <c r="E3055" t="s">
        <v>661</v>
      </c>
      <c r="F3055">
        <v>1974</v>
      </c>
      <c r="G3055" s="1" t="s">
        <v>265</v>
      </c>
      <c r="H3055" s="1" t="s">
        <v>375</v>
      </c>
      <c r="I3055">
        <v>0.28789999999999999</v>
      </c>
      <c r="J3055">
        <v>36316.220399999998</v>
      </c>
      <c r="K3055">
        <v>-1.149E-2</v>
      </c>
      <c r="L3055">
        <v>3.8400000000000001E-3</v>
      </c>
      <c r="M3055">
        <v>5.0700000000000002E-2</v>
      </c>
      <c r="N3055">
        <v>7.6700000000000004E-2</v>
      </c>
      <c r="O3055">
        <v>4.1599999999999996E-3</v>
      </c>
      <c r="P3055" s="3">
        <f t="shared" si="188"/>
        <v>2753.579026984246</v>
      </c>
      <c r="Q3055" s="3">
        <f t="shared" si="189"/>
        <v>-1.1487077068977669E-2</v>
      </c>
      <c r="R3055" s="3">
        <f t="shared" si="190"/>
        <v>3.8400000000000001E-3</v>
      </c>
      <c r="S3055">
        <f t="shared" si="191"/>
        <v>73</v>
      </c>
      <c r="T3055">
        <f>INDEX([1]IDEN_level_ids!$B:$B,MATCH(G3055,[1]IDEN_level_ids!$A:$A,0),1)</f>
        <v>1161</v>
      </c>
      <c r="U3055">
        <f>INDEX([1]IDEN_level_ids!$B:$B,MATCH(H3055,[1]IDEN_level_ids!$A:$A,0),1)</f>
        <v>1065</v>
      </c>
    </row>
    <row r="3056" spans="1:21" hidden="1" x14ac:dyDescent="0.25">
      <c r="A3056">
        <v>36287.310100000002</v>
      </c>
      <c r="B3056">
        <v>2755.7842999999998</v>
      </c>
      <c r="C3056">
        <v>18</v>
      </c>
      <c r="D3056" t="s">
        <v>683</v>
      </c>
      <c r="E3056" t="s">
        <v>427</v>
      </c>
      <c r="F3056">
        <v>1974</v>
      </c>
      <c r="G3056" s="1" t="s">
        <v>469</v>
      </c>
      <c r="H3056" s="1" t="s">
        <v>648</v>
      </c>
      <c r="I3056">
        <v>-0.36720000000000003</v>
      </c>
      <c r="J3056">
        <v>36287.2546</v>
      </c>
      <c r="K3056">
        <v>-4.2100000000000002E-3</v>
      </c>
      <c r="L3056">
        <v>3.7000000000000002E-3</v>
      </c>
      <c r="M3056">
        <v>4.87E-2</v>
      </c>
      <c r="N3056">
        <v>0.1133</v>
      </c>
      <c r="O3056">
        <v>4.1700000000000001E-3</v>
      </c>
      <c r="P3056" s="3">
        <f t="shared" si="188"/>
        <v>2755.7843148037582</v>
      </c>
      <c r="Q3056" s="3">
        <f t="shared" si="189"/>
        <v>-4.214869136831112E-3</v>
      </c>
      <c r="R3056" s="3">
        <f t="shared" si="190"/>
        <v>3.7000000000000002E-3</v>
      </c>
      <c r="S3056">
        <f t="shared" si="191"/>
        <v>73</v>
      </c>
      <c r="T3056">
        <f>INDEX([1]IDEN_level_ids!$B:$B,MATCH(G3056,[1]IDEN_level_ids!$A:$A,0),1)</f>
        <v>1048</v>
      </c>
      <c r="U3056">
        <f>INDEX([1]IDEN_level_ids!$B:$B,MATCH(H3056,[1]IDEN_level_ids!$A:$A,0),1)</f>
        <v>883</v>
      </c>
    </row>
    <row r="3057" spans="1:21" hidden="1" x14ac:dyDescent="0.25">
      <c r="A3057">
        <v>36258.898699999998</v>
      </c>
      <c r="B3057">
        <v>2757.9436999999998</v>
      </c>
      <c r="C3057">
        <v>18</v>
      </c>
      <c r="D3057" t="s">
        <v>683</v>
      </c>
      <c r="E3057" t="s">
        <v>638</v>
      </c>
      <c r="F3057">
        <v>1974</v>
      </c>
      <c r="G3057" s="1" t="s">
        <v>141</v>
      </c>
      <c r="H3057" s="1" t="s">
        <v>410</v>
      </c>
      <c r="I3057">
        <v>2.06E-2</v>
      </c>
      <c r="J3057">
        <v>36258.7451</v>
      </c>
      <c r="K3057">
        <v>-1.1679999999999999E-2</v>
      </c>
      <c r="L3057">
        <v>1.315E-2</v>
      </c>
      <c r="M3057">
        <v>0.17280000000000001</v>
      </c>
      <c r="N3057">
        <v>8.2000000000000007E-3</v>
      </c>
      <c r="O3057">
        <v>1.325E-2</v>
      </c>
      <c r="P3057" s="3">
        <f t="shared" si="188"/>
        <v>2757.9436658400218</v>
      </c>
      <c r="Q3057" s="3">
        <f t="shared" si="189"/>
        <v>-1.1683254505896912E-2</v>
      </c>
      <c r="R3057" s="3">
        <f t="shared" si="190"/>
        <v>1.315E-2</v>
      </c>
      <c r="S3057">
        <f t="shared" si="191"/>
        <v>73</v>
      </c>
      <c r="T3057">
        <f>INDEX([1]IDEN_level_ids!$B:$B,MATCH(G3057,[1]IDEN_level_ids!$A:$A,0),1)</f>
        <v>1155</v>
      </c>
      <c r="U3057">
        <f>INDEX([1]IDEN_level_ids!$B:$B,MATCH(H3057,[1]IDEN_level_ids!$A:$A,0),1)</f>
        <v>1056</v>
      </c>
    </row>
    <row r="3058" spans="1:21" hidden="1" x14ac:dyDescent="0.25">
      <c r="A3058">
        <v>36245.3413</v>
      </c>
      <c r="B3058">
        <v>2758.9753000000001</v>
      </c>
      <c r="C3058">
        <v>18</v>
      </c>
      <c r="D3058" t="s">
        <v>683</v>
      </c>
      <c r="E3058" t="s">
        <v>638</v>
      </c>
      <c r="F3058">
        <v>1974</v>
      </c>
      <c r="G3058" s="1" t="s">
        <v>443</v>
      </c>
      <c r="H3058" s="1" t="s">
        <v>476</v>
      </c>
      <c r="I3058">
        <v>4.1000000000000002E-2</v>
      </c>
      <c r="J3058">
        <v>36245.5628</v>
      </c>
      <c r="K3058">
        <v>1.686E-2</v>
      </c>
      <c r="L3058">
        <v>1.315E-2</v>
      </c>
      <c r="M3058">
        <v>0.17280000000000001</v>
      </c>
      <c r="N3058">
        <v>1.9199999999999998E-2</v>
      </c>
      <c r="O3058">
        <v>1.341E-2</v>
      </c>
      <c r="P3058" s="3">
        <f t="shared" si="188"/>
        <v>2758.9752617393619</v>
      </c>
      <c r="Q3058" s="3">
        <f t="shared" si="189"/>
        <v>1.6860354020536761E-2</v>
      </c>
      <c r="R3058" s="3">
        <f t="shared" si="190"/>
        <v>1.315E-2</v>
      </c>
      <c r="S3058">
        <f t="shared" si="191"/>
        <v>73</v>
      </c>
      <c r="T3058">
        <f>INDEX([1]IDEN_level_ids!$B:$B,MATCH(G3058,[1]IDEN_level_ids!$A:$A,0),1)</f>
        <v>1145</v>
      </c>
      <c r="U3058">
        <f>INDEX([1]IDEN_level_ids!$B:$B,MATCH(H3058,[1]IDEN_level_ids!$A:$A,0),1)</f>
        <v>1037</v>
      </c>
    </row>
    <row r="3059" spans="1:21" hidden="1" x14ac:dyDescent="0.25">
      <c r="A3059">
        <v>36230.188499999997</v>
      </c>
      <c r="B3059">
        <v>2760.1291999999999</v>
      </c>
      <c r="C3059">
        <v>18</v>
      </c>
      <c r="D3059" t="s">
        <v>683</v>
      </c>
      <c r="F3059">
        <v>1974</v>
      </c>
      <c r="G3059" s="1" t="s">
        <v>108</v>
      </c>
      <c r="H3059" s="1" t="s">
        <v>477</v>
      </c>
      <c r="I3059">
        <v>0.32490000000000002</v>
      </c>
      <c r="J3059">
        <v>36230.148800000003</v>
      </c>
      <c r="K3059">
        <v>-3.0200000000000001E-3</v>
      </c>
      <c r="L3059">
        <v>3.5100000000000001E-3</v>
      </c>
      <c r="M3059">
        <v>4.6100000000000002E-2</v>
      </c>
      <c r="N3059">
        <v>0.12470000000000001</v>
      </c>
      <c r="O3059">
        <v>4.0099999999999997E-3</v>
      </c>
      <c r="P3059" s="3">
        <f t="shared" si="188"/>
        <v>2760.129166868674</v>
      </c>
      <c r="Q3059" s="3">
        <f t="shared" si="189"/>
        <v>-3.024473581717757E-3</v>
      </c>
      <c r="R3059" s="3">
        <f t="shared" si="190"/>
        <v>3.5100000000000001E-3</v>
      </c>
      <c r="S3059">
        <f t="shared" si="191"/>
        <v>73</v>
      </c>
      <c r="T3059">
        <f>INDEX([1]IDEN_level_ids!$B:$B,MATCH(G3059,[1]IDEN_level_ids!$A:$A,0),1)</f>
        <v>1149</v>
      </c>
      <c r="U3059">
        <f>INDEX([1]IDEN_level_ids!$B:$B,MATCH(H3059,[1]IDEN_level_ids!$A:$A,0),1)</f>
        <v>1045</v>
      </c>
    </row>
    <row r="3060" spans="1:21" hidden="1" x14ac:dyDescent="0.25">
      <c r="A3060">
        <v>36219.301800000001</v>
      </c>
      <c r="B3060">
        <v>2760.9587999999999</v>
      </c>
      <c r="C3060">
        <v>18</v>
      </c>
      <c r="D3060" t="s">
        <v>683</v>
      </c>
      <c r="E3060" t="s">
        <v>638</v>
      </c>
      <c r="F3060">
        <v>1974</v>
      </c>
      <c r="G3060" s="1" t="s">
        <v>329</v>
      </c>
      <c r="H3060" s="1" t="s">
        <v>472</v>
      </c>
      <c r="I3060">
        <v>5.3999999999999999E-2</v>
      </c>
      <c r="J3060">
        <v>36219.583100000003</v>
      </c>
      <c r="K3060">
        <v>2.1440000000000001E-2</v>
      </c>
      <c r="L3060">
        <v>1.3169999999999999E-2</v>
      </c>
      <c r="M3060">
        <v>0.17280000000000001</v>
      </c>
      <c r="N3060">
        <v>2.24E-2</v>
      </c>
      <c r="O3060">
        <v>1.3480000000000001E-2</v>
      </c>
      <c r="P3060" s="3">
        <f t="shared" si="188"/>
        <v>2760.9587990456512</v>
      </c>
      <c r="Q3060" s="3">
        <f t="shared" si="189"/>
        <v>2.1443032848310395E-2</v>
      </c>
      <c r="R3060" s="3">
        <f t="shared" si="190"/>
        <v>1.3169999999999999E-2</v>
      </c>
      <c r="S3060">
        <f t="shared" si="191"/>
        <v>73</v>
      </c>
      <c r="T3060">
        <f>INDEX([1]IDEN_level_ids!$B:$B,MATCH(G3060,[1]IDEN_level_ids!$A:$A,0),1)</f>
        <v>1138</v>
      </c>
      <c r="U3060">
        <f>INDEX([1]IDEN_level_ids!$B:$B,MATCH(H3060,[1]IDEN_level_ids!$A:$A,0),1)</f>
        <v>1012</v>
      </c>
    </row>
    <row r="3061" spans="1:21" hidden="1" x14ac:dyDescent="0.25">
      <c r="A3061">
        <v>36213.088600000003</v>
      </c>
      <c r="B3061">
        <v>2761.4324999999999</v>
      </c>
      <c r="C3061">
        <v>18</v>
      </c>
      <c r="D3061" t="s">
        <v>683</v>
      </c>
      <c r="E3061" t="s">
        <v>427</v>
      </c>
      <c r="F3061">
        <v>1974</v>
      </c>
      <c r="G3061" s="1" t="s">
        <v>268</v>
      </c>
      <c r="H3061" s="1" t="s">
        <v>448</v>
      </c>
      <c r="I3061">
        <v>0.29559999999999997</v>
      </c>
      <c r="J3061">
        <v>36213.032299999999</v>
      </c>
      <c r="K3061">
        <v>-4.3E-3</v>
      </c>
      <c r="L3061">
        <v>3.7200000000000002E-3</v>
      </c>
      <c r="M3061">
        <v>4.87E-2</v>
      </c>
      <c r="N3061">
        <v>7.3499999999999996E-2</v>
      </c>
      <c r="O3061">
        <v>4.0099999999999997E-3</v>
      </c>
      <c r="P3061" s="3">
        <f t="shared" si="188"/>
        <v>2761.4325059254957</v>
      </c>
      <c r="Q3061" s="3">
        <f t="shared" si="189"/>
        <v>-4.2931685147777898E-3</v>
      </c>
      <c r="R3061" s="3">
        <f t="shared" si="190"/>
        <v>3.7200000000000002E-3</v>
      </c>
      <c r="S3061">
        <f t="shared" si="191"/>
        <v>73</v>
      </c>
      <c r="T3061">
        <f>INDEX([1]IDEN_level_ids!$B:$B,MATCH(G3061,[1]IDEN_level_ids!$A:$A,0),1)</f>
        <v>1160</v>
      </c>
      <c r="U3061">
        <f>INDEX([1]IDEN_level_ids!$B:$B,MATCH(H3061,[1]IDEN_level_ids!$A:$A,0),1)</f>
        <v>1067</v>
      </c>
    </row>
    <row r="3062" spans="1:21" hidden="1" x14ac:dyDescent="0.25">
      <c r="A3062">
        <v>36205.321000000004</v>
      </c>
      <c r="B3062">
        <v>2762.0250000000001</v>
      </c>
      <c r="C3062">
        <v>18</v>
      </c>
      <c r="D3062" t="s">
        <v>683</v>
      </c>
      <c r="F3062">
        <v>1974</v>
      </c>
      <c r="G3062" s="1" t="s">
        <v>345</v>
      </c>
      <c r="H3062" s="1" t="s">
        <v>590</v>
      </c>
      <c r="I3062">
        <v>0</v>
      </c>
      <c r="J3062">
        <v>36205.281799999997</v>
      </c>
      <c r="K3062">
        <v>-2.99E-3</v>
      </c>
      <c r="L3062">
        <v>3.5100000000000001E-3</v>
      </c>
      <c r="M3062">
        <v>4.6100000000000002E-2</v>
      </c>
      <c r="N3062">
        <v>0.45019999999999999</v>
      </c>
      <c r="O3062">
        <v>6.3899999999999998E-3</v>
      </c>
      <c r="P3062" s="3">
        <f t="shared" si="188"/>
        <v>2762.0249520781763</v>
      </c>
      <c r="Q3062" s="3">
        <f t="shared" si="189"/>
        <v>-2.9904857178735256E-3</v>
      </c>
      <c r="R3062" s="3">
        <f t="shared" si="190"/>
        <v>3.5100000000000001E-3</v>
      </c>
      <c r="S3062">
        <f t="shared" si="191"/>
        <v>73</v>
      </c>
      <c r="T3062">
        <f>INDEX([1]IDEN_level_ids!$B:$B,MATCH(G3062,[1]IDEN_level_ids!$A:$A,0),1)</f>
        <v>1106</v>
      </c>
      <c r="U3062">
        <f>INDEX([1]IDEN_level_ids!$B:$B,MATCH(H3062,[1]IDEN_level_ids!$A:$A,0),1)</f>
        <v>974</v>
      </c>
    </row>
    <row r="3063" spans="1:21" hidden="1" x14ac:dyDescent="0.25">
      <c r="A3063">
        <v>36190.449000000001</v>
      </c>
      <c r="B3063">
        <v>2763.16</v>
      </c>
      <c r="C3063">
        <v>18</v>
      </c>
      <c r="D3063" t="s">
        <v>683</v>
      </c>
      <c r="F3063">
        <v>1974</v>
      </c>
      <c r="G3063" s="1" t="s">
        <v>307</v>
      </c>
      <c r="H3063" s="1" t="s">
        <v>485</v>
      </c>
      <c r="I3063">
        <v>0</v>
      </c>
      <c r="J3063">
        <v>36190.410300000003</v>
      </c>
      <c r="K3063">
        <v>-2.96E-3</v>
      </c>
      <c r="L3063">
        <v>3.5200000000000001E-3</v>
      </c>
      <c r="M3063">
        <v>4.6100000000000002E-2</v>
      </c>
      <c r="N3063">
        <v>0.47739999999999999</v>
      </c>
      <c r="O3063">
        <v>6.7299999999999999E-3</v>
      </c>
      <c r="P3063" s="3">
        <f t="shared" si="188"/>
        <v>2763.1599707425571</v>
      </c>
      <c r="Q3063" s="3">
        <f t="shared" si="189"/>
        <v>-2.9547686795012851E-3</v>
      </c>
      <c r="R3063" s="3">
        <f t="shared" si="190"/>
        <v>3.5200000000000001E-3</v>
      </c>
      <c r="S3063">
        <f t="shared" si="191"/>
        <v>73</v>
      </c>
      <c r="T3063">
        <f>INDEX([1]IDEN_level_ids!$B:$B,MATCH(G3063,[1]IDEN_level_ids!$A:$A,0),1)</f>
        <v>1095</v>
      </c>
      <c r="U3063">
        <f>INDEX([1]IDEN_level_ids!$B:$B,MATCH(H3063,[1]IDEN_level_ids!$A:$A,0),1)</f>
        <v>940</v>
      </c>
    </row>
    <row r="3064" spans="1:21" hidden="1" x14ac:dyDescent="0.25">
      <c r="A3064">
        <v>36150.118499999997</v>
      </c>
      <c r="B3064">
        <v>2766.2426999999998</v>
      </c>
      <c r="C3064">
        <v>18</v>
      </c>
      <c r="D3064" t="s">
        <v>683</v>
      </c>
      <c r="F3064">
        <v>1974</v>
      </c>
      <c r="G3064" s="1" t="s">
        <v>282</v>
      </c>
      <c r="H3064" s="1" t="s">
        <v>580</v>
      </c>
      <c r="I3064">
        <v>0.20710000000000001</v>
      </c>
      <c r="J3064">
        <v>36150.065300000002</v>
      </c>
      <c r="K3064">
        <v>-4.0699999999999998E-3</v>
      </c>
      <c r="L3064">
        <v>3.5300000000000002E-3</v>
      </c>
      <c r="M3064">
        <v>4.6100000000000002E-2</v>
      </c>
      <c r="N3064">
        <v>0.1137</v>
      </c>
      <c r="O3064">
        <v>3.98E-3</v>
      </c>
      <c r="P3064" s="3">
        <f t="shared" si="188"/>
        <v>2766.2426611409314</v>
      </c>
      <c r="Q3064" s="3">
        <f t="shared" si="189"/>
        <v>-4.0709223712838138E-3</v>
      </c>
      <c r="R3064" s="3">
        <f t="shared" si="190"/>
        <v>3.5300000000000002E-3</v>
      </c>
      <c r="S3064">
        <f t="shared" si="191"/>
        <v>73</v>
      </c>
      <c r="T3064">
        <f>INDEX([1]IDEN_level_ids!$B:$B,MATCH(G3064,[1]IDEN_level_ids!$A:$A,0),1)</f>
        <v>1128</v>
      </c>
      <c r="U3064">
        <f>INDEX([1]IDEN_level_ids!$B:$B,MATCH(H3064,[1]IDEN_level_ids!$A:$A,0),1)</f>
        <v>1001</v>
      </c>
    </row>
    <row r="3065" spans="1:21" hidden="1" x14ac:dyDescent="0.25">
      <c r="A3065">
        <v>36145.608899999999</v>
      </c>
      <c r="B3065">
        <v>2766.5877999999998</v>
      </c>
      <c r="C3065">
        <v>18</v>
      </c>
      <c r="D3065" t="s">
        <v>683</v>
      </c>
      <c r="F3065">
        <v>1974</v>
      </c>
      <c r="G3065" s="1" t="s">
        <v>245</v>
      </c>
      <c r="H3065" s="1" t="s">
        <v>398</v>
      </c>
      <c r="I3065">
        <v>0.31929999999999997</v>
      </c>
      <c r="J3065">
        <v>36145.5982</v>
      </c>
      <c r="K3065">
        <v>-8.1999999999999998E-4</v>
      </c>
      <c r="L3065">
        <v>3.5300000000000002E-3</v>
      </c>
      <c r="M3065">
        <v>4.6100000000000002E-2</v>
      </c>
      <c r="N3065">
        <v>8.5000000000000006E-2</v>
      </c>
      <c r="O3065">
        <v>3.8500000000000001E-3</v>
      </c>
      <c r="P3065" s="3">
        <f t="shared" si="188"/>
        <v>2766.5877832258625</v>
      </c>
      <c r="Q3065" s="3">
        <f t="shared" si="189"/>
        <v>-8.1897909421968507E-4</v>
      </c>
      <c r="R3065" s="3">
        <f t="shared" si="190"/>
        <v>3.5300000000000002E-3</v>
      </c>
      <c r="S3065">
        <f t="shared" si="191"/>
        <v>73</v>
      </c>
      <c r="T3065">
        <f>INDEX([1]IDEN_level_ids!$B:$B,MATCH(G3065,[1]IDEN_level_ids!$A:$A,0),1)</f>
        <v>1169</v>
      </c>
      <c r="U3065">
        <f>INDEX([1]IDEN_level_ids!$B:$B,MATCH(H3065,[1]IDEN_level_ids!$A:$A,0),1)</f>
        <v>1075</v>
      </c>
    </row>
    <row r="3066" spans="1:21" hidden="1" x14ac:dyDescent="0.25">
      <c r="A3066">
        <v>36144.47</v>
      </c>
      <c r="B3066">
        <v>2766.6750000000002</v>
      </c>
      <c r="C3066">
        <v>18</v>
      </c>
      <c r="D3066" t="s">
        <v>683</v>
      </c>
      <c r="F3066">
        <v>1974</v>
      </c>
      <c r="G3066" s="1" t="s">
        <v>141</v>
      </c>
      <c r="H3066" s="1" t="s">
        <v>428</v>
      </c>
      <c r="I3066">
        <v>0.39950000000000002</v>
      </c>
      <c r="J3066">
        <v>36144.450499999999</v>
      </c>
      <c r="K3066">
        <v>-1.49E-3</v>
      </c>
      <c r="L3066">
        <v>3.5300000000000002E-3</v>
      </c>
      <c r="M3066">
        <v>4.6100000000000002E-2</v>
      </c>
      <c r="N3066">
        <v>9.7699999999999995E-2</v>
      </c>
      <c r="O3066">
        <v>3.9100000000000003E-3</v>
      </c>
      <c r="P3066" s="3">
        <f t="shared" si="188"/>
        <v>2766.674957469289</v>
      </c>
      <c r="Q3066" s="3">
        <f t="shared" si="189"/>
        <v>-1.4926264179848658E-3</v>
      </c>
      <c r="R3066" s="3">
        <f t="shared" si="190"/>
        <v>3.5300000000000002E-3</v>
      </c>
      <c r="S3066">
        <f t="shared" si="191"/>
        <v>73</v>
      </c>
      <c r="T3066">
        <f>INDEX([1]IDEN_level_ids!$B:$B,MATCH(G3066,[1]IDEN_level_ids!$A:$A,0),1)</f>
        <v>1155</v>
      </c>
      <c r="U3066">
        <f>INDEX([1]IDEN_level_ids!$B:$B,MATCH(H3066,[1]IDEN_level_ids!$A:$A,0),1)</f>
        <v>1060</v>
      </c>
    </row>
    <row r="3067" spans="1:21" hidden="1" x14ac:dyDescent="0.25">
      <c r="A3067">
        <v>36136.471700000002</v>
      </c>
      <c r="B3067">
        <v>2767.2873</v>
      </c>
      <c r="C3067">
        <v>18</v>
      </c>
      <c r="D3067" t="s">
        <v>683</v>
      </c>
      <c r="E3067" t="s">
        <v>427</v>
      </c>
      <c r="F3067">
        <v>1974</v>
      </c>
      <c r="G3067" s="1" t="s">
        <v>141</v>
      </c>
      <c r="H3067" s="1" t="s">
        <v>377</v>
      </c>
      <c r="I3067">
        <v>0.33889999999999998</v>
      </c>
      <c r="J3067">
        <v>36136.461300000003</v>
      </c>
      <c r="K3067">
        <v>-7.9000000000000001E-4</v>
      </c>
      <c r="L3067">
        <v>3.7299999999999998E-3</v>
      </c>
      <c r="M3067">
        <v>4.87E-2</v>
      </c>
      <c r="N3067">
        <v>5.9900000000000002E-2</v>
      </c>
      <c r="O3067">
        <v>3.9699999999999996E-3</v>
      </c>
      <c r="P3067" s="3">
        <f t="shared" si="188"/>
        <v>2767.2873220768811</v>
      </c>
      <c r="Q3067" s="3">
        <f t="shared" si="189"/>
        <v>-7.9641965794507996E-4</v>
      </c>
      <c r="R3067" s="3">
        <f t="shared" si="190"/>
        <v>3.7299999999999998E-3</v>
      </c>
      <c r="S3067">
        <f t="shared" si="191"/>
        <v>73</v>
      </c>
      <c r="T3067">
        <f>INDEX([1]IDEN_level_ids!$B:$B,MATCH(G3067,[1]IDEN_level_ids!$A:$A,0),1)</f>
        <v>1155</v>
      </c>
      <c r="U3067">
        <f>INDEX([1]IDEN_level_ids!$B:$B,MATCH(H3067,[1]IDEN_level_ids!$A:$A,0),1)</f>
        <v>1057</v>
      </c>
    </row>
    <row r="3068" spans="1:21" hidden="1" x14ac:dyDescent="0.25">
      <c r="A3068">
        <v>36131.120000000003</v>
      </c>
      <c r="B3068">
        <v>2767.6972000000001</v>
      </c>
      <c r="C3068">
        <v>18</v>
      </c>
      <c r="D3068" t="s">
        <v>683</v>
      </c>
      <c r="F3068">
        <v>1974</v>
      </c>
      <c r="G3068" s="1" t="s">
        <v>280</v>
      </c>
      <c r="H3068" s="1" t="s">
        <v>562</v>
      </c>
      <c r="I3068">
        <v>0</v>
      </c>
      <c r="J3068">
        <v>36131.087</v>
      </c>
      <c r="K3068">
        <v>-2.5300000000000001E-3</v>
      </c>
      <c r="L3068">
        <v>3.5300000000000002E-3</v>
      </c>
      <c r="M3068">
        <v>4.6100000000000002E-2</v>
      </c>
      <c r="N3068">
        <v>0.2273</v>
      </c>
      <c r="O3068">
        <v>4.5700000000000003E-3</v>
      </c>
      <c r="P3068" s="3">
        <f t="shared" si="188"/>
        <v>2767.6972094969651</v>
      </c>
      <c r="Q3068" s="3">
        <f t="shared" si="189"/>
        <v>-2.5278510975113022E-3</v>
      </c>
      <c r="R3068" s="3">
        <f t="shared" si="190"/>
        <v>3.5300000000000002E-3</v>
      </c>
      <c r="S3068">
        <f t="shared" si="191"/>
        <v>73</v>
      </c>
      <c r="T3068">
        <f>INDEX([1]IDEN_level_ids!$B:$B,MATCH(G3068,[1]IDEN_level_ids!$A:$A,0),1)</f>
        <v>1130</v>
      </c>
      <c r="U3068">
        <f>INDEX([1]IDEN_level_ids!$B:$B,MATCH(H3068,[1]IDEN_level_ids!$A:$A,0),1)</f>
        <v>999</v>
      </c>
    </row>
    <row r="3069" spans="1:21" hidden="1" x14ac:dyDescent="0.25">
      <c r="A3069">
        <v>36087.310799999999</v>
      </c>
      <c r="B3069">
        <v>2771.0571</v>
      </c>
      <c r="C3069">
        <v>18</v>
      </c>
      <c r="D3069" t="s">
        <v>683</v>
      </c>
      <c r="F3069">
        <v>1974</v>
      </c>
      <c r="G3069" s="1" t="s">
        <v>285</v>
      </c>
      <c r="H3069" s="1" t="s">
        <v>438</v>
      </c>
      <c r="I3069">
        <v>0</v>
      </c>
      <c r="J3069">
        <v>36087.302000000003</v>
      </c>
      <c r="K3069">
        <v>-6.8000000000000005E-4</v>
      </c>
      <c r="L3069">
        <v>3.5400000000000002E-3</v>
      </c>
      <c r="M3069">
        <v>4.6100000000000002E-2</v>
      </c>
      <c r="N3069">
        <v>8.9899999999999994E-2</v>
      </c>
      <c r="O3069">
        <v>3.8899999999999998E-3</v>
      </c>
      <c r="P3069" s="3">
        <f t="shared" si="188"/>
        <v>2771.0571329133231</v>
      </c>
      <c r="Q3069" s="3">
        <f t="shared" si="189"/>
        <v>-6.7573083606475848E-4</v>
      </c>
      <c r="R3069" s="3">
        <f t="shared" si="190"/>
        <v>3.5400000000000002E-3</v>
      </c>
      <c r="S3069">
        <f t="shared" si="191"/>
        <v>73</v>
      </c>
      <c r="T3069">
        <f>INDEX([1]IDEN_level_ids!$B:$B,MATCH(G3069,[1]IDEN_level_ids!$A:$A,0),1)</f>
        <v>1150</v>
      </c>
      <c r="U3069">
        <f>INDEX([1]IDEN_level_ids!$B:$B,MATCH(H3069,[1]IDEN_level_ids!$A:$A,0),1)</f>
        <v>1051</v>
      </c>
    </row>
    <row r="3070" spans="1:21" hidden="1" x14ac:dyDescent="0.25">
      <c r="A3070">
        <v>36058.679100000001</v>
      </c>
      <c r="B3070">
        <v>2773.2574</v>
      </c>
      <c r="C3070">
        <v>18</v>
      </c>
      <c r="D3070" t="s">
        <v>683</v>
      </c>
      <c r="F3070">
        <v>1974</v>
      </c>
      <c r="G3070" s="1" t="s">
        <v>309</v>
      </c>
      <c r="H3070" s="1" t="s">
        <v>479</v>
      </c>
      <c r="I3070">
        <v>0</v>
      </c>
      <c r="J3070">
        <v>36058.625599999999</v>
      </c>
      <c r="K3070">
        <v>-4.1200000000000004E-3</v>
      </c>
      <c r="L3070">
        <v>3.5400000000000002E-3</v>
      </c>
      <c r="M3070">
        <v>4.6100000000000002E-2</v>
      </c>
      <c r="N3070">
        <v>0.34770000000000001</v>
      </c>
      <c r="O3070">
        <v>5.4299999999999999E-3</v>
      </c>
      <c r="P3070" s="3">
        <f t="shared" si="188"/>
        <v>2773.2574374861115</v>
      </c>
      <c r="Q3070" s="3">
        <f t="shared" si="189"/>
        <v>-4.1146680005113012E-3</v>
      </c>
      <c r="R3070" s="3">
        <f t="shared" si="190"/>
        <v>3.5400000000000002E-3</v>
      </c>
      <c r="S3070">
        <f t="shared" si="191"/>
        <v>73</v>
      </c>
      <c r="T3070">
        <f>INDEX([1]IDEN_level_ids!$B:$B,MATCH(G3070,[1]IDEN_level_ids!$A:$A,0),1)</f>
        <v>1094</v>
      </c>
      <c r="U3070">
        <f>INDEX([1]IDEN_level_ids!$B:$B,MATCH(H3070,[1]IDEN_level_ids!$A:$A,0),1)</f>
        <v>939</v>
      </c>
    </row>
    <row r="3071" spans="1:21" hidden="1" x14ac:dyDescent="0.25">
      <c r="A3071">
        <v>36029.190900000001</v>
      </c>
      <c r="B3071">
        <v>2775.5272</v>
      </c>
      <c r="C3071">
        <v>18</v>
      </c>
      <c r="D3071" t="s">
        <v>683</v>
      </c>
      <c r="F3071">
        <v>1974</v>
      </c>
      <c r="G3071" s="1" t="s">
        <v>250</v>
      </c>
      <c r="H3071" s="1" t="s">
        <v>538</v>
      </c>
      <c r="I3071">
        <v>0</v>
      </c>
      <c r="J3071">
        <v>36029.172599999998</v>
      </c>
      <c r="K3071">
        <v>-1.41E-3</v>
      </c>
      <c r="L3071">
        <v>3.5500000000000002E-3</v>
      </c>
      <c r="M3071">
        <v>4.6100000000000002E-2</v>
      </c>
      <c r="N3071">
        <v>0.23180000000000001</v>
      </c>
      <c r="O3071">
        <v>4.62E-3</v>
      </c>
      <c r="P3071" s="3">
        <f t="shared" si="188"/>
        <v>2775.527218403342</v>
      </c>
      <c r="Q3071" s="3">
        <f t="shared" si="189"/>
        <v>-1.4097506114012504E-3</v>
      </c>
      <c r="R3071" s="3">
        <f t="shared" si="190"/>
        <v>3.5500000000000002E-3</v>
      </c>
      <c r="S3071">
        <f t="shared" si="191"/>
        <v>73</v>
      </c>
      <c r="T3071">
        <f>INDEX([1]IDEN_level_ids!$B:$B,MATCH(G3071,[1]IDEN_level_ids!$A:$A,0),1)</f>
        <v>1107</v>
      </c>
      <c r="U3071">
        <f>INDEX([1]IDEN_level_ids!$B:$B,MATCH(H3071,[1]IDEN_level_ids!$A:$A,0),1)</f>
        <v>978</v>
      </c>
    </row>
    <row r="3072" spans="1:21" hidden="1" x14ac:dyDescent="0.25">
      <c r="A3072">
        <v>36028.078399999999</v>
      </c>
      <c r="B3072">
        <v>2775.6129000000001</v>
      </c>
      <c r="C3072">
        <v>18</v>
      </c>
      <c r="D3072" t="s">
        <v>683</v>
      </c>
      <c r="F3072">
        <v>1974</v>
      </c>
      <c r="G3072" s="1" t="s">
        <v>295</v>
      </c>
      <c r="H3072" s="1" t="s">
        <v>416</v>
      </c>
      <c r="I3072">
        <v>0.26750000000000002</v>
      </c>
      <c r="J3072">
        <v>36028.055</v>
      </c>
      <c r="K3072">
        <v>-1.81E-3</v>
      </c>
      <c r="L3072">
        <v>3.5500000000000002E-3</v>
      </c>
      <c r="M3072">
        <v>4.6100000000000002E-2</v>
      </c>
      <c r="N3072">
        <v>9.6699999999999994E-2</v>
      </c>
      <c r="O3072">
        <v>3.9300000000000003E-3</v>
      </c>
      <c r="P3072" s="3">
        <f t="shared" si="188"/>
        <v>2775.6129230583665</v>
      </c>
      <c r="Q3072" s="3">
        <f t="shared" si="189"/>
        <v>-1.8027435121439339E-3</v>
      </c>
      <c r="R3072" s="3">
        <f t="shared" si="190"/>
        <v>3.5500000000000002E-3</v>
      </c>
      <c r="S3072">
        <f t="shared" si="191"/>
        <v>73</v>
      </c>
      <c r="T3072">
        <f>INDEX([1]IDEN_level_ids!$B:$B,MATCH(G3072,[1]IDEN_level_ids!$A:$A,0),1)</f>
        <v>1152</v>
      </c>
      <c r="U3072">
        <f>INDEX([1]IDEN_level_ids!$B:$B,MATCH(H3072,[1]IDEN_level_ids!$A:$A,0),1)</f>
        <v>1055</v>
      </c>
    </row>
    <row r="3073" spans="1:21" hidden="1" x14ac:dyDescent="0.25">
      <c r="A3073">
        <v>36022.6783</v>
      </c>
      <c r="B3073">
        <v>2776.029</v>
      </c>
      <c r="C3073">
        <v>18</v>
      </c>
      <c r="D3073" t="s">
        <v>683</v>
      </c>
      <c r="F3073">
        <v>1974</v>
      </c>
      <c r="G3073" s="1" t="s">
        <v>602</v>
      </c>
      <c r="H3073" s="1" t="s">
        <v>574</v>
      </c>
      <c r="I3073">
        <v>0</v>
      </c>
      <c r="J3073">
        <v>36022.635900000001</v>
      </c>
      <c r="K3073">
        <v>-3.2699999999999999E-3</v>
      </c>
      <c r="L3073">
        <v>3.5500000000000002E-3</v>
      </c>
      <c r="M3073">
        <v>4.6100000000000002E-2</v>
      </c>
      <c r="N3073">
        <v>0.86109999999999998</v>
      </c>
      <c r="O3073">
        <v>2.5559999999999999E-2</v>
      </c>
      <c r="P3073" s="3">
        <f t="shared" si="188"/>
        <v>2776.0290105913641</v>
      </c>
      <c r="Q3073" s="3">
        <f t="shared" si="189"/>
        <v>-3.2674907624823391E-3</v>
      </c>
      <c r="R3073" s="3">
        <f t="shared" si="190"/>
        <v>3.5500000000000002E-3</v>
      </c>
      <c r="S3073">
        <f t="shared" si="191"/>
        <v>73</v>
      </c>
      <c r="T3073">
        <f>INDEX([1]IDEN_level_ids!$B:$B,MATCH(G3073,[1]IDEN_level_ids!$A:$A,0),1)</f>
        <v>1125</v>
      </c>
      <c r="U3073">
        <f>INDEX([1]IDEN_level_ids!$B:$B,MATCH(H3073,[1]IDEN_level_ids!$A:$A,0),1)</f>
        <v>996</v>
      </c>
    </row>
    <row r="3074" spans="1:21" hidden="1" x14ac:dyDescent="0.25">
      <c r="A3074">
        <v>36012.698900000003</v>
      </c>
      <c r="B3074">
        <v>2776.7982999999999</v>
      </c>
      <c r="C3074">
        <v>18</v>
      </c>
      <c r="D3074" t="s">
        <v>683</v>
      </c>
      <c r="F3074">
        <v>1974</v>
      </c>
      <c r="G3074" s="1" t="s">
        <v>528</v>
      </c>
      <c r="H3074" s="1" t="s">
        <v>333</v>
      </c>
      <c r="I3074">
        <v>0</v>
      </c>
      <c r="J3074">
        <v>36012.644399999997</v>
      </c>
      <c r="K3074">
        <v>-4.1999999999999997E-3</v>
      </c>
      <c r="L3074">
        <v>3.5500000000000002E-3</v>
      </c>
      <c r="M3074">
        <v>4.6100000000000002E-2</v>
      </c>
      <c r="N3074">
        <v>0.33200000000000002</v>
      </c>
      <c r="O3074">
        <v>5.3200000000000001E-3</v>
      </c>
      <c r="P3074" s="3">
        <f t="shared" ref="P3074:P3137" si="192">100000000/$A3074</f>
        <v>2776.7982699013983</v>
      </c>
      <c r="Q3074" s="3">
        <f t="shared" ref="Q3074:Q3137" si="193">100000000/($A3074)-100000000/$J3074</f>
        <v>-4.2022880643344251E-3</v>
      </c>
      <c r="R3074" s="3">
        <f t="shared" si="190"/>
        <v>3.5500000000000002E-3</v>
      </c>
      <c r="S3074">
        <f t="shared" si="191"/>
        <v>73</v>
      </c>
      <c r="T3074">
        <f>INDEX([1]IDEN_level_ids!$B:$B,MATCH(G3074,[1]IDEN_level_ids!$A:$A,0),1)</f>
        <v>1009</v>
      </c>
      <c r="U3074">
        <f>INDEX([1]IDEN_level_ids!$B:$B,MATCH(H3074,[1]IDEN_level_ids!$A:$A,0),1)</f>
        <v>848</v>
      </c>
    </row>
    <row r="3075" spans="1:21" hidden="1" x14ac:dyDescent="0.25">
      <c r="A3075">
        <v>36008.300000000003</v>
      </c>
      <c r="B3075">
        <v>2777.1374999999998</v>
      </c>
      <c r="C3075">
        <v>18</v>
      </c>
      <c r="D3075" t="s">
        <v>683</v>
      </c>
      <c r="F3075">
        <v>1974</v>
      </c>
      <c r="G3075" s="1" t="s">
        <v>307</v>
      </c>
      <c r="H3075" s="1" t="s">
        <v>503</v>
      </c>
      <c r="I3075">
        <v>5.28E-2</v>
      </c>
      <c r="J3075">
        <v>36008.277699999999</v>
      </c>
      <c r="K3075">
        <v>-1.72E-3</v>
      </c>
      <c r="L3075">
        <v>3.5500000000000002E-3</v>
      </c>
      <c r="M3075">
        <v>4.6100000000000002E-2</v>
      </c>
      <c r="N3075">
        <v>0.26939999999999997</v>
      </c>
      <c r="O3075">
        <v>4.8599999999999997E-3</v>
      </c>
      <c r="P3075" s="3">
        <f t="shared" si="192"/>
        <v>2777.1374933001557</v>
      </c>
      <c r="Q3075" s="3">
        <f t="shared" si="193"/>
        <v>-1.7198869277308404E-3</v>
      </c>
      <c r="R3075" s="3">
        <f t="shared" ref="R3075:R3138" si="194">$L3075</f>
        <v>3.5500000000000002E-3</v>
      </c>
      <c r="S3075">
        <f t="shared" si="191"/>
        <v>73</v>
      </c>
      <c r="T3075">
        <f>INDEX([1]IDEN_level_ids!$B:$B,MATCH(G3075,[1]IDEN_level_ids!$A:$A,0),1)</f>
        <v>1095</v>
      </c>
      <c r="U3075">
        <f>INDEX([1]IDEN_level_ids!$B:$B,MATCH(H3075,[1]IDEN_level_ids!$A:$A,0),1)</f>
        <v>943</v>
      </c>
    </row>
    <row r="3076" spans="1:21" hidden="1" x14ac:dyDescent="0.25">
      <c r="A3076">
        <v>36002.970200000003</v>
      </c>
      <c r="B3076">
        <v>2777.5486000000001</v>
      </c>
      <c r="C3076">
        <v>18</v>
      </c>
      <c r="D3076" t="s">
        <v>683</v>
      </c>
      <c r="E3076" t="s">
        <v>638</v>
      </c>
      <c r="F3076">
        <v>1974</v>
      </c>
      <c r="G3076" s="1" t="s">
        <v>326</v>
      </c>
      <c r="H3076" s="1" t="s">
        <v>477</v>
      </c>
      <c r="I3076">
        <v>-0.13450000000000001</v>
      </c>
      <c r="J3076">
        <v>36002.916499999999</v>
      </c>
      <c r="K3076">
        <v>-4.1399999999999996E-3</v>
      </c>
      <c r="L3076">
        <v>1.333E-2</v>
      </c>
      <c r="M3076">
        <v>0.17280000000000001</v>
      </c>
      <c r="N3076">
        <v>6.0900000000000003E-2</v>
      </c>
      <c r="O3076">
        <v>1.4200000000000001E-2</v>
      </c>
      <c r="P3076" s="3">
        <f t="shared" si="192"/>
        <v>2777.5486145862487</v>
      </c>
      <c r="Q3076" s="3">
        <f t="shared" si="193"/>
        <v>-4.1428410559092299E-3</v>
      </c>
      <c r="R3076" s="3">
        <f t="shared" si="194"/>
        <v>1.333E-2</v>
      </c>
      <c r="S3076">
        <f t="shared" ref="S3076:S3139" si="195">IF(D3076=D3075,S3075,S3075+1)</f>
        <v>73</v>
      </c>
      <c r="T3076">
        <f>INDEX([1]IDEN_level_ids!$B:$B,MATCH(G3076,[1]IDEN_level_ids!$A:$A,0),1)</f>
        <v>1148</v>
      </c>
      <c r="U3076">
        <f>INDEX([1]IDEN_level_ids!$B:$B,MATCH(H3076,[1]IDEN_level_ids!$A:$A,0),1)</f>
        <v>1045</v>
      </c>
    </row>
    <row r="3077" spans="1:21" hidden="1" x14ac:dyDescent="0.25">
      <c r="A3077">
        <v>36001.169399999999</v>
      </c>
      <c r="B3077">
        <v>2777.6876000000002</v>
      </c>
      <c r="C3077">
        <v>18</v>
      </c>
      <c r="D3077" t="s">
        <v>683</v>
      </c>
      <c r="E3077" t="s">
        <v>638</v>
      </c>
      <c r="F3077">
        <v>1974</v>
      </c>
      <c r="G3077" s="1" t="s">
        <v>480</v>
      </c>
      <c r="H3077" s="1" t="s">
        <v>401</v>
      </c>
      <c r="I3077">
        <v>5.62E-2</v>
      </c>
      <c r="J3077">
        <v>36001.382100000003</v>
      </c>
      <c r="K3077">
        <v>1.6410000000000001E-2</v>
      </c>
      <c r="L3077">
        <v>1.333E-2</v>
      </c>
      <c r="M3077">
        <v>0.17280000000000001</v>
      </c>
      <c r="N3077">
        <v>3.7699999999999997E-2</v>
      </c>
      <c r="O3077">
        <v>1.3860000000000001E-2</v>
      </c>
      <c r="P3077" s="3">
        <f t="shared" si="192"/>
        <v>2777.6875492272206</v>
      </c>
      <c r="Q3077" s="3">
        <f t="shared" si="193"/>
        <v>1.6410873896347766E-2</v>
      </c>
      <c r="R3077" s="3">
        <f t="shared" si="194"/>
        <v>1.333E-2</v>
      </c>
      <c r="S3077">
        <f t="shared" si="195"/>
        <v>73</v>
      </c>
      <c r="T3077">
        <f>INDEX([1]IDEN_level_ids!$B:$B,MATCH(G3077,[1]IDEN_level_ids!$A:$A,0),1)</f>
        <v>1156</v>
      </c>
      <c r="U3077">
        <f>INDEX([1]IDEN_level_ids!$B:$B,MATCH(H3077,[1]IDEN_level_ids!$A:$A,0),1)</f>
        <v>1063</v>
      </c>
    </row>
    <row r="3078" spans="1:21" hidden="1" x14ac:dyDescent="0.25">
      <c r="A3078">
        <v>35995.710500000001</v>
      </c>
      <c r="B3078">
        <v>2778.1088</v>
      </c>
      <c r="C3078">
        <v>18</v>
      </c>
      <c r="D3078" t="s">
        <v>683</v>
      </c>
      <c r="F3078">
        <v>1974</v>
      </c>
      <c r="G3078" s="1" t="s">
        <v>611</v>
      </c>
      <c r="H3078" s="1" t="s">
        <v>567</v>
      </c>
      <c r="I3078">
        <v>0</v>
      </c>
      <c r="J3078">
        <v>35995.722399999999</v>
      </c>
      <c r="K3078">
        <v>9.2000000000000003E-4</v>
      </c>
      <c r="L3078">
        <v>3.5599999999999998E-3</v>
      </c>
      <c r="M3078">
        <v>4.6100000000000002E-2</v>
      </c>
      <c r="N3078">
        <v>0.54369999999999996</v>
      </c>
      <c r="O3078">
        <v>7.79E-3</v>
      </c>
      <c r="P3078" s="3">
        <f t="shared" si="192"/>
        <v>2778.1087971579282</v>
      </c>
      <c r="Q3078" s="3">
        <f t="shared" si="193"/>
        <v>9.1842842675760039E-4</v>
      </c>
      <c r="R3078" s="3">
        <f t="shared" si="194"/>
        <v>3.5599999999999998E-3</v>
      </c>
      <c r="S3078">
        <f t="shared" si="195"/>
        <v>73</v>
      </c>
      <c r="T3078">
        <f>INDEX([1]IDEN_level_ids!$B:$B,MATCH(G3078,[1]IDEN_level_ids!$A:$A,0),1)</f>
        <v>1110</v>
      </c>
      <c r="U3078">
        <f>INDEX([1]IDEN_level_ids!$B:$B,MATCH(H3078,[1]IDEN_level_ids!$A:$A,0),1)</f>
        <v>983</v>
      </c>
    </row>
    <row r="3079" spans="1:21" hidden="1" x14ac:dyDescent="0.25">
      <c r="A3079">
        <v>35989.061500000003</v>
      </c>
      <c r="B3079">
        <v>2778.6221</v>
      </c>
      <c r="C3079">
        <v>18</v>
      </c>
      <c r="D3079" t="s">
        <v>683</v>
      </c>
      <c r="F3079">
        <v>1974</v>
      </c>
      <c r="G3079" s="1" t="s">
        <v>271</v>
      </c>
      <c r="H3079" s="1" t="s">
        <v>448</v>
      </c>
      <c r="I3079">
        <v>0.29559999999999997</v>
      </c>
      <c r="J3079">
        <v>35989.0726</v>
      </c>
      <c r="K3079">
        <v>8.5999999999999998E-4</v>
      </c>
      <c r="L3079">
        <v>3.5599999999999998E-3</v>
      </c>
      <c r="M3079">
        <v>4.6100000000000002E-2</v>
      </c>
      <c r="N3079">
        <v>7.7799999999999994E-2</v>
      </c>
      <c r="O3079">
        <v>3.8600000000000001E-3</v>
      </c>
      <c r="P3079" s="3">
        <f t="shared" si="192"/>
        <v>2778.6220543706036</v>
      </c>
      <c r="Q3079" s="3">
        <f t="shared" si="193"/>
        <v>8.5700193312732154E-4</v>
      </c>
      <c r="R3079" s="3">
        <f t="shared" si="194"/>
        <v>3.5599999999999998E-3</v>
      </c>
      <c r="S3079">
        <f t="shared" si="195"/>
        <v>73</v>
      </c>
      <c r="T3079">
        <f>INDEX([1]IDEN_level_ids!$B:$B,MATCH(G3079,[1]IDEN_level_ids!$A:$A,0),1)</f>
        <v>1158</v>
      </c>
      <c r="U3079">
        <f>INDEX([1]IDEN_level_ids!$B:$B,MATCH(H3079,[1]IDEN_level_ids!$A:$A,0),1)</f>
        <v>1067</v>
      </c>
    </row>
    <row r="3080" spans="1:21" hidden="1" x14ac:dyDescent="0.25">
      <c r="A3080">
        <v>35980.630799999999</v>
      </c>
      <c r="B3080">
        <v>2779.2730999999999</v>
      </c>
      <c r="C3080">
        <v>18</v>
      </c>
      <c r="D3080" t="s">
        <v>683</v>
      </c>
      <c r="E3080" t="s">
        <v>638</v>
      </c>
      <c r="F3080">
        <v>1974</v>
      </c>
      <c r="G3080" s="1" t="s">
        <v>301</v>
      </c>
      <c r="H3080" s="1" t="s">
        <v>428</v>
      </c>
      <c r="I3080">
        <v>-0.1143</v>
      </c>
      <c r="J3080">
        <v>35980.516600000003</v>
      </c>
      <c r="K3080">
        <v>-8.8199999999999997E-3</v>
      </c>
      <c r="L3080">
        <v>1.3350000000000001E-2</v>
      </c>
      <c r="M3080">
        <v>0.17280000000000001</v>
      </c>
      <c r="N3080">
        <v>3.9300000000000002E-2</v>
      </c>
      <c r="O3080">
        <v>1.3899999999999999E-2</v>
      </c>
      <c r="P3080" s="3">
        <f t="shared" si="192"/>
        <v>2779.27311935843</v>
      </c>
      <c r="Q3080" s="3">
        <f t="shared" si="193"/>
        <v>-8.8212460577778984E-3</v>
      </c>
      <c r="R3080" s="3">
        <f t="shared" si="194"/>
        <v>1.3350000000000001E-2</v>
      </c>
      <c r="S3080">
        <f t="shared" si="195"/>
        <v>73</v>
      </c>
      <c r="T3080">
        <f>INDEX([1]IDEN_level_ids!$B:$B,MATCH(G3080,[1]IDEN_level_ids!$A:$A,0),1)</f>
        <v>1154</v>
      </c>
      <c r="U3080">
        <f>INDEX([1]IDEN_level_ids!$B:$B,MATCH(H3080,[1]IDEN_level_ids!$A:$A,0),1)</f>
        <v>1060</v>
      </c>
    </row>
    <row r="3081" spans="1:21" hidden="1" x14ac:dyDescent="0.25">
      <c r="A3081">
        <v>35969.770400000001</v>
      </c>
      <c r="B3081">
        <v>2780.1122999999998</v>
      </c>
      <c r="C3081">
        <v>18</v>
      </c>
      <c r="D3081" t="s">
        <v>683</v>
      </c>
      <c r="E3081" t="s">
        <v>681</v>
      </c>
      <c r="F3081">
        <v>1974</v>
      </c>
      <c r="G3081" s="1" t="s">
        <v>534</v>
      </c>
      <c r="H3081" s="1" t="s">
        <v>526</v>
      </c>
      <c r="I3081">
        <v>0.32779999999999998</v>
      </c>
      <c r="J3081">
        <v>35969.695299999999</v>
      </c>
      <c r="K3081">
        <v>-5.7999999999999996E-3</v>
      </c>
      <c r="L3081">
        <v>6.2100000000000002E-3</v>
      </c>
      <c r="M3081">
        <v>8.0299999999999996E-2</v>
      </c>
      <c r="N3081">
        <v>0.1295</v>
      </c>
      <c r="O3081">
        <v>7.1300000000000001E-3</v>
      </c>
      <c r="P3081" s="3">
        <f t="shared" si="192"/>
        <v>2780.1122689401432</v>
      </c>
      <c r="Q3081" s="3">
        <f t="shared" si="193"/>
        <v>-5.8045093142027326E-3</v>
      </c>
      <c r="R3081" s="3">
        <f t="shared" si="194"/>
        <v>6.2100000000000002E-3</v>
      </c>
      <c r="S3081">
        <f t="shared" si="195"/>
        <v>73</v>
      </c>
      <c r="T3081">
        <f>INDEX([1]IDEN_level_ids!$B:$B,MATCH(G3081,[1]IDEN_level_ids!$A:$A,0),1)</f>
        <v>1116</v>
      </c>
      <c r="U3081">
        <f>INDEX([1]IDEN_level_ids!$B:$B,MATCH(H3081,[1]IDEN_level_ids!$A:$A,0),1)</f>
        <v>989</v>
      </c>
    </row>
    <row r="3082" spans="1:21" hidden="1" x14ac:dyDescent="0.25">
      <c r="A3082">
        <v>35925.179499999998</v>
      </c>
      <c r="B3082">
        <v>2783.5630000000001</v>
      </c>
      <c r="C3082">
        <v>19</v>
      </c>
      <c r="D3082" t="s">
        <v>684</v>
      </c>
      <c r="F3082">
        <v>1974</v>
      </c>
      <c r="G3082" s="1" t="s">
        <v>259</v>
      </c>
      <c r="H3082" s="1" t="s">
        <v>568</v>
      </c>
      <c r="I3082">
        <v>0</v>
      </c>
      <c r="J3082">
        <v>35925.197500000002</v>
      </c>
      <c r="K3082">
        <v>1.4E-3</v>
      </c>
      <c r="L3082">
        <v>3.5699999999999998E-3</v>
      </c>
      <c r="M3082">
        <v>4.6100000000000002E-2</v>
      </c>
      <c r="N3082">
        <v>0.29949999999999999</v>
      </c>
      <c r="O3082">
        <v>5.1000000000000004E-3</v>
      </c>
      <c r="P3082" s="3">
        <f t="shared" si="192"/>
        <v>2783.5629881821469</v>
      </c>
      <c r="Q3082" s="3">
        <f t="shared" si="193"/>
        <v>1.3946794251751271E-3</v>
      </c>
      <c r="R3082" s="3">
        <f t="shared" si="194"/>
        <v>3.5699999999999998E-3</v>
      </c>
      <c r="S3082">
        <f t="shared" si="195"/>
        <v>74</v>
      </c>
      <c r="T3082">
        <f>INDEX([1]IDEN_level_ids!$B:$B,MATCH(G3082,[1]IDEN_level_ids!$A:$A,0),1)</f>
        <v>1117</v>
      </c>
      <c r="U3082">
        <f>INDEX([1]IDEN_level_ids!$B:$B,MATCH(H3082,[1]IDEN_level_ids!$A:$A,0),1)</f>
        <v>988</v>
      </c>
    </row>
    <row r="3083" spans="1:21" hidden="1" x14ac:dyDescent="0.25">
      <c r="A3083">
        <v>35924.0916</v>
      </c>
      <c r="B3083">
        <v>2783.6473000000001</v>
      </c>
      <c r="C3083">
        <v>19</v>
      </c>
      <c r="D3083" t="s">
        <v>684</v>
      </c>
      <c r="F3083">
        <v>1974</v>
      </c>
      <c r="G3083" s="1" t="s">
        <v>611</v>
      </c>
      <c r="H3083" s="1" t="s">
        <v>577</v>
      </c>
      <c r="I3083">
        <v>3.2599999999999997E-2</v>
      </c>
      <c r="J3083">
        <v>35924.066899999998</v>
      </c>
      <c r="K3083">
        <v>-1.91E-3</v>
      </c>
      <c r="L3083">
        <v>3.5699999999999998E-3</v>
      </c>
      <c r="M3083">
        <v>4.6100000000000002E-2</v>
      </c>
      <c r="N3083">
        <v>0.29220000000000002</v>
      </c>
      <c r="O3083">
        <v>5.0400000000000002E-3</v>
      </c>
      <c r="P3083" s="3">
        <f t="shared" si="192"/>
        <v>2783.6472836518433</v>
      </c>
      <c r="Q3083" s="3">
        <f t="shared" si="193"/>
        <v>-1.9139282894684584E-3</v>
      </c>
      <c r="R3083" s="3">
        <f t="shared" si="194"/>
        <v>3.5699999999999998E-3</v>
      </c>
      <c r="S3083">
        <f t="shared" si="195"/>
        <v>74</v>
      </c>
      <c r="T3083">
        <f>INDEX([1]IDEN_level_ids!$B:$B,MATCH(G3083,[1]IDEN_level_ids!$A:$A,0),1)</f>
        <v>1110</v>
      </c>
      <c r="U3083">
        <f>INDEX([1]IDEN_level_ids!$B:$B,MATCH(H3083,[1]IDEN_level_ids!$A:$A,0),1)</f>
        <v>985</v>
      </c>
    </row>
    <row r="3084" spans="1:21" hidden="1" x14ac:dyDescent="0.25">
      <c r="A3084">
        <v>35906.959900000002</v>
      </c>
      <c r="B3084">
        <v>2784.9753999999998</v>
      </c>
      <c r="C3084">
        <v>19</v>
      </c>
      <c r="D3084" t="s">
        <v>684</v>
      </c>
      <c r="F3084">
        <v>1974</v>
      </c>
      <c r="G3084" s="1" t="s">
        <v>250</v>
      </c>
      <c r="H3084" s="1" t="s">
        <v>554</v>
      </c>
      <c r="I3084">
        <v>0</v>
      </c>
      <c r="J3084">
        <v>35906.937100000003</v>
      </c>
      <c r="K3084">
        <v>-1.7700000000000001E-3</v>
      </c>
      <c r="L3084">
        <v>3.5699999999999998E-3</v>
      </c>
      <c r="M3084">
        <v>4.6100000000000002E-2</v>
      </c>
      <c r="N3084">
        <v>0.2379</v>
      </c>
      <c r="O3084">
        <v>4.6899999999999997E-3</v>
      </c>
      <c r="P3084" s="3">
        <f t="shared" si="192"/>
        <v>2784.9753997135244</v>
      </c>
      <c r="Q3084" s="3">
        <f t="shared" si="193"/>
        <v>-1.7683891815067909E-3</v>
      </c>
      <c r="R3084" s="3">
        <f t="shared" si="194"/>
        <v>3.5699999999999998E-3</v>
      </c>
      <c r="S3084">
        <f t="shared" si="195"/>
        <v>74</v>
      </c>
      <c r="T3084">
        <f>INDEX([1]IDEN_level_ids!$B:$B,MATCH(G3084,[1]IDEN_level_ids!$A:$A,0),1)</f>
        <v>1107</v>
      </c>
      <c r="U3084">
        <f>INDEX([1]IDEN_level_ids!$B:$B,MATCH(H3084,[1]IDEN_level_ids!$A:$A,0),1)</f>
        <v>982</v>
      </c>
    </row>
    <row r="3085" spans="1:21" hidden="1" x14ac:dyDescent="0.25">
      <c r="A3085">
        <v>35870.629699999998</v>
      </c>
      <c r="B3085">
        <v>2787.7961</v>
      </c>
      <c r="C3085">
        <v>19</v>
      </c>
      <c r="D3085" t="s">
        <v>684</v>
      </c>
      <c r="F3085">
        <v>1974</v>
      </c>
      <c r="G3085" s="1" t="s">
        <v>278</v>
      </c>
      <c r="H3085" s="1" t="s">
        <v>556</v>
      </c>
      <c r="I3085">
        <v>0</v>
      </c>
      <c r="J3085">
        <v>35870.613700000002</v>
      </c>
      <c r="K3085">
        <v>-1.24E-3</v>
      </c>
      <c r="L3085">
        <v>3.5799999999999998E-3</v>
      </c>
      <c r="M3085">
        <v>4.6100000000000002E-2</v>
      </c>
      <c r="N3085">
        <v>0.5131</v>
      </c>
      <c r="O3085">
        <v>7.3499999999999998E-3</v>
      </c>
      <c r="P3085" s="3">
        <f t="shared" si="192"/>
        <v>2787.7960558913746</v>
      </c>
      <c r="Q3085" s="3">
        <f t="shared" si="193"/>
        <v>-1.2434896502782067E-3</v>
      </c>
      <c r="R3085" s="3">
        <f t="shared" si="194"/>
        <v>3.5799999999999998E-3</v>
      </c>
      <c r="S3085">
        <f t="shared" si="195"/>
        <v>74</v>
      </c>
      <c r="T3085">
        <f>INDEX([1]IDEN_level_ids!$B:$B,MATCH(G3085,[1]IDEN_level_ids!$A:$A,0),1)</f>
        <v>1102</v>
      </c>
      <c r="U3085">
        <f>INDEX([1]IDEN_level_ids!$B:$B,MATCH(H3085,[1]IDEN_level_ids!$A:$A,0),1)</f>
        <v>973</v>
      </c>
    </row>
    <row r="3086" spans="1:21" hidden="1" x14ac:dyDescent="0.25">
      <c r="A3086">
        <v>35794.498800000001</v>
      </c>
      <c r="B3086">
        <v>2793.7253999999998</v>
      </c>
      <c r="C3086">
        <v>19</v>
      </c>
      <c r="D3086" t="s">
        <v>684</v>
      </c>
      <c r="E3086" t="s">
        <v>427</v>
      </c>
      <c r="F3086">
        <v>1974</v>
      </c>
      <c r="G3086" s="1" t="s">
        <v>100</v>
      </c>
      <c r="H3086" s="1" t="s">
        <v>437</v>
      </c>
      <c r="I3086">
        <v>0.26329999999999998</v>
      </c>
      <c r="J3086">
        <v>35794.470999999998</v>
      </c>
      <c r="K3086">
        <v>-2.1700000000000001E-3</v>
      </c>
      <c r="L3086">
        <v>3.8E-3</v>
      </c>
      <c r="M3086">
        <v>4.87E-2</v>
      </c>
      <c r="N3086">
        <v>0.1305</v>
      </c>
      <c r="O3086">
        <v>4.3699999999999998E-3</v>
      </c>
      <c r="P3086" s="3">
        <f t="shared" si="192"/>
        <v>2793.7253866507554</v>
      </c>
      <c r="Q3086" s="3">
        <f t="shared" si="193"/>
        <v>-2.1697643123843591E-3</v>
      </c>
      <c r="R3086" s="3">
        <f t="shared" si="194"/>
        <v>3.8E-3</v>
      </c>
      <c r="S3086">
        <f t="shared" si="195"/>
        <v>74</v>
      </c>
      <c r="T3086">
        <f>INDEX([1]IDEN_level_ids!$B:$B,MATCH(G3086,[1]IDEN_level_ids!$A:$A,0),1)</f>
        <v>1146</v>
      </c>
      <c r="U3086">
        <f>INDEX([1]IDEN_level_ids!$B:$B,MATCH(H3086,[1]IDEN_level_ids!$A:$A,0),1)</f>
        <v>1039</v>
      </c>
    </row>
    <row r="3087" spans="1:21" hidden="1" x14ac:dyDescent="0.25">
      <c r="A3087">
        <v>35765.379200000003</v>
      </c>
      <c r="B3087">
        <v>2796</v>
      </c>
      <c r="C3087">
        <v>19</v>
      </c>
      <c r="D3087" t="s">
        <v>684</v>
      </c>
      <c r="E3087" t="s">
        <v>678</v>
      </c>
      <c r="F3087">
        <v>1974</v>
      </c>
      <c r="G3087" s="1" t="s">
        <v>319</v>
      </c>
      <c r="H3087" s="1" t="s">
        <v>470</v>
      </c>
      <c r="I3087">
        <v>-0.78559999999999997</v>
      </c>
      <c r="J3087">
        <v>35765.455900000001</v>
      </c>
      <c r="K3087">
        <v>6.0000000000000001E-3</v>
      </c>
      <c r="L3087">
        <v>5.6899999999999997E-3</v>
      </c>
      <c r="M3087">
        <v>7.2800000000000004E-2</v>
      </c>
      <c r="N3087">
        <v>0.12540000000000001</v>
      </c>
      <c r="O3087">
        <v>6.5100000000000002E-3</v>
      </c>
      <c r="P3087" s="3">
        <f t="shared" si="192"/>
        <v>2795.9999932001278</v>
      </c>
      <c r="Q3087" s="3">
        <f t="shared" si="193"/>
        <v>5.9960985840916692E-3</v>
      </c>
      <c r="R3087" s="3">
        <f t="shared" si="194"/>
        <v>5.6899999999999997E-3</v>
      </c>
      <c r="S3087">
        <f t="shared" si="195"/>
        <v>74</v>
      </c>
      <c r="T3087">
        <f>INDEX([1]IDEN_level_ids!$B:$B,MATCH(G3087,[1]IDEN_level_ids!$A:$A,0),1)</f>
        <v>1141</v>
      </c>
      <c r="U3087">
        <f>INDEX([1]IDEN_level_ids!$B:$B,MATCH(H3087,[1]IDEN_level_ids!$A:$A,0),1)</f>
        <v>1026</v>
      </c>
    </row>
    <row r="3088" spans="1:21" hidden="1" x14ac:dyDescent="0.25">
      <c r="A3088">
        <v>35671.788800000002</v>
      </c>
      <c r="B3088">
        <v>2803.3357000000001</v>
      </c>
      <c r="C3088">
        <v>19</v>
      </c>
      <c r="D3088" t="s">
        <v>684</v>
      </c>
      <c r="E3088" t="s">
        <v>681</v>
      </c>
      <c r="F3088">
        <v>1974</v>
      </c>
      <c r="G3088" s="1" t="s">
        <v>329</v>
      </c>
      <c r="H3088" s="1" t="s">
        <v>461</v>
      </c>
      <c r="I3088">
        <v>0.5544</v>
      </c>
      <c r="J3088">
        <v>35671.853600000002</v>
      </c>
      <c r="K3088">
        <v>5.1000000000000004E-3</v>
      </c>
      <c r="L3088">
        <v>6.3099999999999996E-3</v>
      </c>
      <c r="M3088">
        <v>8.0299999999999996E-2</v>
      </c>
      <c r="N3088">
        <v>8.4400000000000003E-2</v>
      </c>
      <c r="O3088">
        <v>6.8900000000000003E-3</v>
      </c>
      <c r="P3088" s="3">
        <f t="shared" si="192"/>
        <v>2803.3357273072888</v>
      </c>
      <c r="Q3088" s="3">
        <f t="shared" si="193"/>
        <v>5.0924226470669964E-3</v>
      </c>
      <c r="R3088" s="3">
        <f t="shared" si="194"/>
        <v>6.3099999999999996E-3</v>
      </c>
      <c r="S3088">
        <f t="shared" si="195"/>
        <v>74</v>
      </c>
      <c r="T3088">
        <f>INDEX([1]IDEN_level_ids!$B:$B,MATCH(G3088,[1]IDEN_level_ids!$A:$A,0),1)</f>
        <v>1138</v>
      </c>
      <c r="U3088">
        <f>INDEX([1]IDEN_level_ids!$B:$B,MATCH(H3088,[1]IDEN_level_ids!$A:$A,0),1)</f>
        <v>1017</v>
      </c>
    </row>
    <row r="3089" spans="1:21" hidden="1" x14ac:dyDescent="0.25">
      <c r="A3089">
        <v>35664.408499999998</v>
      </c>
      <c r="B3089">
        <v>2803.9158000000002</v>
      </c>
      <c r="C3089">
        <v>19</v>
      </c>
      <c r="D3089" t="s">
        <v>684</v>
      </c>
      <c r="F3089">
        <v>1974</v>
      </c>
      <c r="G3089" s="1" t="s">
        <v>309</v>
      </c>
      <c r="H3089" s="1" t="s">
        <v>503</v>
      </c>
      <c r="I3089">
        <v>5.28E-2</v>
      </c>
      <c r="J3089">
        <v>35664.415099999998</v>
      </c>
      <c r="K3089">
        <v>5.1999999999999995E-4</v>
      </c>
      <c r="L3089">
        <v>3.62E-3</v>
      </c>
      <c r="M3089">
        <v>4.6100000000000002E-2</v>
      </c>
      <c r="N3089">
        <v>0.29089999999999999</v>
      </c>
      <c r="O3089">
        <v>5.11E-3</v>
      </c>
      <c r="P3089" s="3">
        <f t="shared" si="192"/>
        <v>2803.9158423165777</v>
      </c>
      <c r="Q3089" s="3">
        <f t="shared" si="193"/>
        <v>5.1888821144530084E-4</v>
      </c>
      <c r="R3089" s="3">
        <f t="shared" si="194"/>
        <v>3.62E-3</v>
      </c>
      <c r="S3089">
        <f t="shared" si="195"/>
        <v>74</v>
      </c>
      <c r="T3089">
        <f>INDEX([1]IDEN_level_ids!$B:$B,MATCH(G3089,[1]IDEN_level_ids!$A:$A,0),1)</f>
        <v>1094</v>
      </c>
      <c r="U3089">
        <f>INDEX([1]IDEN_level_ids!$B:$B,MATCH(H3089,[1]IDEN_level_ids!$A:$A,0),1)</f>
        <v>943</v>
      </c>
    </row>
    <row r="3090" spans="1:21" hidden="1" x14ac:dyDescent="0.25">
      <c r="A3090">
        <v>35646.450299999997</v>
      </c>
      <c r="B3090">
        <v>2805.3283999999999</v>
      </c>
      <c r="C3090">
        <v>19</v>
      </c>
      <c r="D3090" t="s">
        <v>684</v>
      </c>
      <c r="F3090">
        <v>1974</v>
      </c>
      <c r="G3090" s="1" t="s">
        <v>82</v>
      </c>
      <c r="H3090" s="1" t="s">
        <v>379</v>
      </c>
      <c r="I3090">
        <v>0.47110000000000002</v>
      </c>
      <c r="J3090">
        <v>35646.4372</v>
      </c>
      <c r="K3090">
        <v>-1.0300000000000001E-3</v>
      </c>
      <c r="L3090">
        <v>3.63E-3</v>
      </c>
      <c r="M3090">
        <v>4.6100000000000002E-2</v>
      </c>
      <c r="N3090">
        <v>0.16120000000000001</v>
      </c>
      <c r="O3090">
        <v>4.3200000000000001E-3</v>
      </c>
      <c r="P3090" s="3">
        <f t="shared" si="192"/>
        <v>2805.32841723093</v>
      </c>
      <c r="Q3090" s="3">
        <f t="shared" si="193"/>
        <v>-1.0309530248377996E-3</v>
      </c>
      <c r="R3090" s="3">
        <f t="shared" si="194"/>
        <v>3.63E-3</v>
      </c>
      <c r="S3090">
        <f t="shared" si="195"/>
        <v>74</v>
      </c>
      <c r="T3090">
        <f>INDEX([1]IDEN_level_ids!$B:$B,MATCH(G3090,[1]IDEN_level_ids!$A:$A,0),1)</f>
        <v>1193</v>
      </c>
      <c r="U3090">
        <f>INDEX([1]IDEN_level_ids!$B:$B,MATCH(H3090,[1]IDEN_level_ids!$A:$A,0),1)</f>
        <v>1083</v>
      </c>
    </row>
    <row r="3091" spans="1:21" hidden="1" x14ac:dyDescent="0.25">
      <c r="A3091">
        <v>35631.7114</v>
      </c>
      <c r="B3091">
        <v>2806.4888000000001</v>
      </c>
      <c r="C3091">
        <v>19</v>
      </c>
      <c r="D3091" t="s">
        <v>684</v>
      </c>
      <c r="E3091" t="s">
        <v>236</v>
      </c>
      <c r="F3091">
        <v>1974</v>
      </c>
      <c r="G3091" s="1" t="s">
        <v>83</v>
      </c>
      <c r="H3091" s="1" t="s">
        <v>384</v>
      </c>
      <c r="I3091">
        <v>0.45490000000000003</v>
      </c>
      <c r="J3091">
        <v>35631.714200000002</v>
      </c>
      <c r="K3091">
        <v>2.2000000000000001E-4</v>
      </c>
      <c r="L3091">
        <v>1.8600000000000001E-3</v>
      </c>
      <c r="M3091">
        <v>2.3599999999999999E-2</v>
      </c>
      <c r="N3091">
        <v>0.4264</v>
      </c>
      <c r="O3091">
        <v>3.2399999999999998E-3</v>
      </c>
      <c r="P3091" s="3">
        <f t="shared" si="192"/>
        <v>2806.4888289367991</v>
      </c>
      <c r="Q3091" s="3">
        <f t="shared" si="193"/>
        <v>2.2053860993764829E-4</v>
      </c>
      <c r="R3091" s="3">
        <f t="shared" si="194"/>
        <v>1.8600000000000001E-3</v>
      </c>
      <c r="S3091">
        <f t="shared" si="195"/>
        <v>74</v>
      </c>
      <c r="T3091">
        <f>INDEX([1]IDEN_level_ids!$B:$B,MATCH(G3091,[1]IDEN_level_ids!$A:$A,0),1)</f>
        <v>1175</v>
      </c>
      <c r="U3091">
        <f>INDEX([1]IDEN_level_ids!$B:$B,MATCH(H3091,[1]IDEN_level_ids!$A:$A,0),1)</f>
        <v>1080</v>
      </c>
    </row>
    <row r="3092" spans="1:21" hidden="1" x14ac:dyDescent="0.25">
      <c r="A3092">
        <v>35602.1103</v>
      </c>
      <c r="B3092">
        <v>2808.8222999999998</v>
      </c>
      <c r="C3092">
        <v>20</v>
      </c>
      <c r="D3092" t="s">
        <v>685</v>
      </c>
      <c r="F3092">
        <v>1974</v>
      </c>
      <c r="G3092" s="1" t="s">
        <v>288</v>
      </c>
      <c r="H3092" s="1" t="s">
        <v>428</v>
      </c>
      <c r="I3092">
        <v>0.39950000000000002</v>
      </c>
      <c r="J3092">
        <v>35602.099499999997</v>
      </c>
      <c r="K3092">
        <v>-8.4999999999999995E-4</v>
      </c>
      <c r="L3092">
        <v>3.63E-3</v>
      </c>
      <c r="M3092">
        <v>4.6100000000000002E-2</v>
      </c>
      <c r="N3092">
        <v>0.12089999999999999</v>
      </c>
      <c r="O3092">
        <v>4.13E-3</v>
      </c>
      <c r="P3092" s="3">
        <f t="shared" si="192"/>
        <v>2808.8222624263931</v>
      </c>
      <c r="Q3092" s="3">
        <f t="shared" si="193"/>
        <v>-8.5206436915541417E-4</v>
      </c>
      <c r="R3092" s="3">
        <f t="shared" si="194"/>
        <v>3.63E-3</v>
      </c>
      <c r="S3092">
        <f t="shared" si="195"/>
        <v>75</v>
      </c>
      <c r="T3092">
        <f>INDEX([1]IDEN_level_ids!$B:$B,MATCH(G3092,[1]IDEN_level_ids!$A:$A,0),1)</f>
        <v>1151</v>
      </c>
      <c r="U3092">
        <f>INDEX([1]IDEN_level_ids!$B:$B,MATCH(H3092,[1]IDEN_level_ids!$A:$A,0),1)</f>
        <v>1060</v>
      </c>
    </row>
    <row r="3093" spans="1:21" hidden="1" x14ac:dyDescent="0.25">
      <c r="A3093">
        <v>35598.158300000003</v>
      </c>
      <c r="B3093">
        <v>2809.1341000000002</v>
      </c>
      <c r="C3093">
        <v>20</v>
      </c>
      <c r="D3093" t="s">
        <v>685</v>
      </c>
      <c r="F3093">
        <v>1974</v>
      </c>
      <c r="G3093" s="1" t="s">
        <v>100</v>
      </c>
      <c r="H3093" s="1" t="s">
        <v>445</v>
      </c>
      <c r="I3093">
        <v>0</v>
      </c>
      <c r="J3093">
        <v>35598.156600000002</v>
      </c>
      <c r="K3093">
        <v>-1.3999999999999999E-4</v>
      </c>
      <c r="L3093">
        <v>3.64E-3</v>
      </c>
      <c r="M3093">
        <v>4.6100000000000002E-2</v>
      </c>
      <c r="N3093">
        <v>0.1158</v>
      </c>
      <c r="O3093">
        <v>4.1099999999999999E-3</v>
      </c>
      <c r="P3093" s="3">
        <f t="shared" si="192"/>
        <v>2809.1340893891129</v>
      </c>
      <c r="Q3093" s="3">
        <f t="shared" si="193"/>
        <v>-1.3415099010671838E-4</v>
      </c>
      <c r="R3093" s="3">
        <f t="shared" si="194"/>
        <v>3.64E-3</v>
      </c>
      <c r="S3093">
        <f t="shared" si="195"/>
        <v>75</v>
      </c>
      <c r="T3093">
        <f>INDEX([1]IDEN_level_ids!$B:$B,MATCH(G3093,[1]IDEN_level_ids!$A:$A,0),1)</f>
        <v>1146</v>
      </c>
      <c r="U3093">
        <f>INDEX([1]IDEN_level_ids!$B:$B,MATCH(H3093,[1]IDEN_level_ids!$A:$A,0),1)</f>
        <v>1041</v>
      </c>
    </row>
    <row r="3094" spans="1:21" hidden="1" x14ac:dyDescent="0.25">
      <c r="A3094">
        <v>35553.24</v>
      </c>
      <c r="B3094">
        <v>2812.6831999999999</v>
      </c>
      <c r="C3094">
        <v>20</v>
      </c>
      <c r="D3094" t="s">
        <v>685</v>
      </c>
      <c r="F3094">
        <v>1974</v>
      </c>
      <c r="G3094" s="1" t="s">
        <v>554</v>
      </c>
      <c r="H3094" s="1" t="s">
        <v>664</v>
      </c>
      <c r="I3094">
        <v>0</v>
      </c>
      <c r="J3094">
        <v>35553.272100000002</v>
      </c>
      <c r="K3094">
        <v>2.5300000000000001E-3</v>
      </c>
      <c r="L3094">
        <v>3.64E-3</v>
      </c>
      <c r="M3094">
        <v>4.6100000000000002E-2</v>
      </c>
      <c r="N3094">
        <v>0.58709999999999996</v>
      </c>
      <c r="O3094">
        <v>8.8299999999999993E-3</v>
      </c>
      <c r="P3094" s="3">
        <f t="shared" si="192"/>
        <v>2812.6831759918368</v>
      </c>
      <c r="Q3094" s="3">
        <f t="shared" si="193"/>
        <v>2.5394886220055923E-3</v>
      </c>
      <c r="R3094" s="3">
        <f t="shared" si="194"/>
        <v>3.64E-3</v>
      </c>
      <c r="S3094">
        <f t="shared" si="195"/>
        <v>75</v>
      </c>
      <c r="T3094">
        <f>INDEX([1]IDEN_level_ids!$B:$B,MATCH(G3094,[1]IDEN_level_ids!$A:$A,0),1)</f>
        <v>982</v>
      </c>
      <c r="U3094">
        <f>INDEX([1]IDEN_level_ids!$B:$B,MATCH(H3094,[1]IDEN_level_ids!$A:$A,0),1)</f>
        <v>807</v>
      </c>
    </row>
    <row r="3095" spans="1:21" hidden="1" x14ac:dyDescent="0.25">
      <c r="A3095">
        <v>35544.9712</v>
      </c>
      <c r="B3095">
        <v>2813.3375000000001</v>
      </c>
      <c r="C3095">
        <v>20</v>
      </c>
      <c r="D3095" t="s">
        <v>685</v>
      </c>
      <c r="E3095" t="s">
        <v>678</v>
      </c>
      <c r="F3095">
        <v>1974</v>
      </c>
      <c r="G3095" s="1" t="s">
        <v>319</v>
      </c>
      <c r="H3095" s="1" t="s">
        <v>522</v>
      </c>
      <c r="I3095">
        <v>-1.0900000000000001</v>
      </c>
      <c r="J3095">
        <v>35545.050900000002</v>
      </c>
      <c r="K3095">
        <v>6.3E-3</v>
      </c>
      <c r="L3095">
        <v>5.7600000000000004E-3</v>
      </c>
      <c r="M3095">
        <v>7.2800000000000004E-2</v>
      </c>
      <c r="N3095">
        <v>0.27550000000000002</v>
      </c>
      <c r="O3095">
        <v>7.9600000000000001E-3</v>
      </c>
      <c r="P3095" s="3">
        <f t="shared" si="192"/>
        <v>2813.3374883702254</v>
      </c>
      <c r="Q3095" s="3">
        <f t="shared" si="193"/>
        <v>6.3081355110625736E-3</v>
      </c>
      <c r="R3095" s="3">
        <f t="shared" si="194"/>
        <v>5.7600000000000004E-3</v>
      </c>
      <c r="S3095">
        <f t="shared" si="195"/>
        <v>75</v>
      </c>
      <c r="T3095">
        <f>INDEX([1]IDEN_level_ids!$B:$B,MATCH(G3095,[1]IDEN_level_ids!$A:$A,0),1)</f>
        <v>1141</v>
      </c>
      <c r="U3095">
        <f>INDEX([1]IDEN_level_ids!$B:$B,MATCH(H3095,[1]IDEN_level_ids!$A:$A,0),1)</f>
        <v>1029</v>
      </c>
    </row>
    <row r="3096" spans="1:21" hidden="1" x14ac:dyDescent="0.25">
      <c r="A3096">
        <v>35529.438399999999</v>
      </c>
      <c r="B3096">
        <v>2814.5673999999999</v>
      </c>
      <c r="C3096">
        <v>20</v>
      </c>
      <c r="D3096" t="s">
        <v>685</v>
      </c>
      <c r="F3096">
        <v>1974</v>
      </c>
      <c r="G3096" s="1" t="s">
        <v>550</v>
      </c>
      <c r="H3096" s="1" t="s">
        <v>325</v>
      </c>
      <c r="I3096">
        <v>0</v>
      </c>
      <c r="J3096">
        <v>35529.364399999999</v>
      </c>
      <c r="K3096">
        <v>-5.8599999999999998E-3</v>
      </c>
      <c r="L3096">
        <v>3.65E-3</v>
      </c>
      <c r="M3096">
        <v>4.6100000000000002E-2</v>
      </c>
      <c r="N3096">
        <v>0.34010000000000001</v>
      </c>
      <c r="O3096">
        <v>5.5300000000000002E-3</v>
      </c>
      <c r="P3096" s="3">
        <f t="shared" si="192"/>
        <v>2814.5674264302475</v>
      </c>
      <c r="Q3096" s="3">
        <f t="shared" si="193"/>
        <v>-5.8621366597435554E-3</v>
      </c>
      <c r="R3096" s="3">
        <f t="shared" si="194"/>
        <v>3.65E-3</v>
      </c>
      <c r="S3096">
        <f t="shared" si="195"/>
        <v>75</v>
      </c>
      <c r="T3096">
        <f>INDEX([1]IDEN_level_ids!$B:$B,MATCH(G3096,[1]IDEN_level_ids!$A:$A,0),1)</f>
        <v>997</v>
      </c>
      <c r="U3096">
        <f>INDEX([1]IDEN_level_ids!$B:$B,MATCH(H3096,[1]IDEN_level_ids!$A:$A,0),1)</f>
        <v>822</v>
      </c>
    </row>
    <row r="3097" spans="1:21" hidden="1" x14ac:dyDescent="0.25">
      <c r="A3097">
        <v>35514.981699999997</v>
      </c>
      <c r="B3097">
        <v>2815.7130999999999</v>
      </c>
      <c r="C3097">
        <v>20</v>
      </c>
      <c r="D3097" t="s">
        <v>685</v>
      </c>
      <c r="F3097">
        <v>1974</v>
      </c>
      <c r="G3097" s="1" t="s">
        <v>141</v>
      </c>
      <c r="H3097" s="1" t="s">
        <v>431</v>
      </c>
      <c r="I3097">
        <v>0.28649999999999998</v>
      </c>
      <c r="J3097">
        <v>35514.938999999998</v>
      </c>
      <c r="K3097">
        <v>-3.3800000000000002E-3</v>
      </c>
      <c r="L3097">
        <v>3.65E-3</v>
      </c>
      <c r="M3097">
        <v>4.6100000000000002E-2</v>
      </c>
      <c r="N3097">
        <v>7.8100000000000003E-2</v>
      </c>
      <c r="O3097">
        <v>3.96E-3</v>
      </c>
      <c r="P3097" s="3">
        <f t="shared" si="192"/>
        <v>2815.7131219921198</v>
      </c>
      <c r="Q3097" s="3">
        <f t="shared" si="193"/>
        <v>-3.3853627146527288E-3</v>
      </c>
      <c r="R3097" s="3">
        <f t="shared" si="194"/>
        <v>3.65E-3</v>
      </c>
      <c r="S3097">
        <f t="shared" si="195"/>
        <v>75</v>
      </c>
      <c r="T3097">
        <f>INDEX([1]IDEN_level_ids!$B:$B,MATCH(G3097,[1]IDEN_level_ids!$A:$A,0),1)</f>
        <v>1155</v>
      </c>
      <c r="U3097">
        <f>INDEX([1]IDEN_level_ids!$B:$B,MATCH(H3097,[1]IDEN_level_ids!$A:$A,0),1)</f>
        <v>1062</v>
      </c>
    </row>
    <row r="3098" spans="1:21" hidden="1" x14ac:dyDescent="0.25">
      <c r="A3098">
        <v>35462.072</v>
      </c>
      <c r="B3098">
        <v>2819.9142000000002</v>
      </c>
      <c r="C3098">
        <v>20</v>
      </c>
      <c r="D3098" t="s">
        <v>685</v>
      </c>
      <c r="E3098" t="s">
        <v>427</v>
      </c>
      <c r="F3098">
        <v>1974</v>
      </c>
      <c r="G3098" s="1" t="s">
        <v>267</v>
      </c>
      <c r="H3098" s="1" t="s">
        <v>589</v>
      </c>
      <c r="I3098">
        <v>0</v>
      </c>
      <c r="J3098">
        <v>35462.054100000001</v>
      </c>
      <c r="K3098">
        <v>-1.42E-3</v>
      </c>
      <c r="L3098">
        <v>3.8700000000000002E-3</v>
      </c>
      <c r="M3098">
        <v>4.87E-2</v>
      </c>
      <c r="N3098">
        <v>0.1605</v>
      </c>
      <c r="O3098">
        <v>4.62E-3</v>
      </c>
      <c r="P3098" s="3">
        <f t="shared" si="192"/>
        <v>2819.9141888832664</v>
      </c>
      <c r="Q3098" s="3">
        <f t="shared" si="193"/>
        <v>-1.423393688583019E-3</v>
      </c>
      <c r="R3098" s="3">
        <f t="shared" si="194"/>
        <v>3.8700000000000002E-3</v>
      </c>
      <c r="S3098">
        <f t="shared" si="195"/>
        <v>75</v>
      </c>
      <c r="T3098">
        <f>INDEX([1]IDEN_level_ids!$B:$B,MATCH(G3098,[1]IDEN_level_ids!$A:$A,0),1)</f>
        <v>1104</v>
      </c>
      <c r="U3098">
        <f>INDEX([1]IDEN_level_ids!$B:$B,MATCH(H3098,[1]IDEN_level_ids!$A:$A,0),1)</f>
        <v>984</v>
      </c>
    </row>
    <row r="3099" spans="1:21" hidden="1" x14ac:dyDescent="0.25">
      <c r="A3099">
        <v>35458.830099999999</v>
      </c>
      <c r="B3099">
        <v>2820.172</v>
      </c>
      <c r="C3099">
        <v>20</v>
      </c>
      <c r="D3099" t="s">
        <v>685</v>
      </c>
      <c r="E3099" t="s">
        <v>427</v>
      </c>
      <c r="F3099">
        <v>1974</v>
      </c>
      <c r="G3099" s="1" t="s">
        <v>256</v>
      </c>
      <c r="H3099" s="1" t="s">
        <v>584</v>
      </c>
      <c r="I3099">
        <v>0</v>
      </c>
      <c r="J3099">
        <v>35458.8079</v>
      </c>
      <c r="K3099">
        <v>-1.7600000000000001E-3</v>
      </c>
      <c r="L3099">
        <v>3.8800000000000002E-3</v>
      </c>
      <c r="M3099">
        <v>4.87E-2</v>
      </c>
      <c r="N3099">
        <v>0.21690000000000001</v>
      </c>
      <c r="O3099">
        <v>4.9500000000000004E-3</v>
      </c>
      <c r="P3099" s="3">
        <f t="shared" si="192"/>
        <v>2820.1720056184258</v>
      </c>
      <c r="Q3099" s="3">
        <f t="shared" si="193"/>
        <v>-1.7656492764217546E-3</v>
      </c>
      <c r="R3099" s="3">
        <f t="shared" si="194"/>
        <v>3.8800000000000002E-3</v>
      </c>
      <c r="S3099">
        <f t="shared" si="195"/>
        <v>75</v>
      </c>
      <c r="T3099">
        <f>INDEX([1]IDEN_level_ids!$B:$B,MATCH(G3099,[1]IDEN_level_ids!$A:$A,0),1)</f>
        <v>1120</v>
      </c>
      <c r="U3099">
        <f>INDEX([1]IDEN_level_ids!$B:$B,MATCH(H3099,[1]IDEN_level_ids!$A:$A,0),1)</f>
        <v>992</v>
      </c>
    </row>
    <row r="3100" spans="1:21" hidden="1" x14ac:dyDescent="0.25">
      <c r="A3100">
        <v>35414.801800000001</v>
      </c>
      <c r="B3100">
        <v>2823.6781000000001</v>
      </c>
      <c r="C3100">
        <v>20</v>
      </c>
      <c r="D3100" t="s">
        <v>685</v>
      </c>
      <c r="E3100" t="s">
        <v>678</v>
      </c>
      <c r="F3100">
        <v>1974</v>
      </c>
      <c r="G3100" s="1" t="s">
        <v>326</v>
      </c>
      <c r="H3100" s="1" t="s">
        <v>469</v>
      </c>
      <c r="I3100">
        <v>-0.68269999999999997</v>
      </c>
      <c r="J3100">
        <v>35414.829700000002</v>
      </c>
      <c r="K3100">
        <v>2.2200000000000002E-3</v>
      </c>
      <c r="L3100">
        <v>5.8100000000000001E-3</v>
      </c>
      <c r="M3100">
        <v>7.2800000000000004E-2</v>
      </c>
      <c r="N3100">
        <v>9.3100000000000002E-2</v>
      </c>
      <c r="O3100">
        <v>6.4000000000000003E-3</v>
      </c>
      <c r="P3100" s="3">
        <f t="shared" si="192"/>
        <v>2823.6780927007758</v>
      </c>
      <c r="Q3100" s="3">
        <f t="shared" si="193"/>
        <v>2.2245093218771217E-3</v>
      </c>
      <c r="R3100" s="3">
        <f t="shared" si="194"/>
        <v>5.8100000000000001E-3</v>
      </c>
      <c r="S3100">
        <f t="shared" si="195"/>
        <v>75</v>
      </c>
      <c r="T3100">
        <f>INDEX([1]IDEN_level_ids!$B:$B,MATCH(G3100,[1]IDEN_level_ids!$A:$A,0),1)</f>
        <v>1148</v>
      </c>
      <c r="U3100">
        <f>INDEX([1]IDEN_level_ids!$B:$B,MATCH(H3100,[1]IDEN_level_ids!$A:$A,0),1)</f>
        <v>1048</v>
      </c>
    </row>
    <row r="3101" spans="1:21" hidden="1" x14ac:dyDescent="0.25">
      <c r="A3101">
        <v>35410.629099999998</v>
      </c>
      <c r="B3101">
        <v>2824.0108</v>
      </c>
      <c r="C3101">
        <v>20</v>
      </c>
      <c r="D3101" t="s">
        <v>685</v>
      </c>
      <c r="E3101" t="s">
        <v>638</v>
      </c>
      <c r="F3101">
        <v>1974</v>
      </c>
      <c r="G3101" s="1" t="s">
        <v>259</v>
      </c>
      <c r="H3101" s="1" t="s">
        <v>537</v>
      </c>
      <c r="I3101">
        <v>0</v>
      </c>
      <c r="J3101">
        <v>35410.789499999999</v>
      </c>
      <c r="K3101">
        <v>1.2789999999999999E-2</v>
      </c>
      <c r="L3101">
        <v>1.3780000000000001E-2</v>
      </c>
      <c r="M3101">
        <v>0.17280000000000001</v>
      </c>
      <c r="N3101">
        <v>2.92E-2</v>
      </c>
      <c r="O3101">
        <v>1.4200000000000001E-2</v>
      </c>
      <c r="P3101" s="3">
        <f t="shared" si="192"/>
        <v>2824.0108278675007</v>
      </c>
      <c r="Q3101" s="3">
        <f t="shared" si="193"/>
        <v>1.2791901654509275E-2</v>
      </c>
      <c r="R3101" s="3">
        <f t="shared" si="194"/>
        <v>1.3780000000000001E-2</v>
      </c>
      <c r="S3101">
        <f t="shared" si="195"/>
        <v>75</v>
      </c>
      <c r="T3101">
        <f>INDEX([1]IDEN_level_ids!$B:$B,MATCH(G3101,[1]IDEN_level_ids!$A:$A,0),1)</f>
        <v>1117</v>
      </c>
      <c r="U3101">
        <f>INDEX([1]IDEN_level_ids!$B:$B,MATCH(H3101,[1]IDEN_level_ids!$A:$A,0),1)</f>
        <v>991</v>
      </c>
    </row>
    <row r="3102" spans="1:21" hidden="1" x14ac:dyDescent="0.25">
      <c r="A3102">
        <v>35378.149299999997</v>
      </c>
      <c r="B3102">
        <v>2826.6035000000002</v>
      </c>
      <c r="C3102">
        <v>20</v>
      </c>
      <c r="D3102" t="s">
        <v>685</v>
      </c>
      <c r="F3102">
        <v>1974</v>
      </c>
      <c r="G3102" s="1" t="s">
        <v>83</v>
      </c>
      <c r="H3102" s="1" t="s">
        <v>386</v>
      </c>
      <c r="I3102">
        <v>0.22500000000000001</v>
      </c>
      <c r="J3102">
        <v>35378.1774</v>
      </c>
      <c r="K3102">
        <v>2.2399999999999998E-3</v>
      </c>
      <c r="L3102">
        <v>3.6800000000000001E-3</v>
      </c>
      <c r="M3102">
        <v>4.6100000000000002E-2</v>
      </c>
      <c r="N3102">
        <v>9.5100000000000004E-2</v>
      </c>
      <c r="O3102">
        <v>4.0699999999999998E-3</v>
      </c>
      <c r="P3102" s="3">
        <f t="shared" si="192"/>
        <v>2826.6034820538225</v>
      </c>
      <c r="Q3102" s="3">
        <f t="shared" si="193"/>
        <v>2.2451003328569641E-3</v>
      </c>
      <c r="R3102" s="3">
        <f t="shared" si="194"/>
        <v>3.6800000000000001E-3</v>
      </c>
      <c r="S3102">
        <f t="shared" si="195"/>
        <v>75</v>
      </c>
      <c r="T3102">
        <f>INDEX([1]IDEN_level_ids!$B:$B,MATCH(G3102,[1]IDEN_level_ids!$A:$A,0),1)</f>
        <v>1175</v>
      </c>
      <c r="U3102">
        <f>INDEX([1]IDEN_level_ids!$B:$B,MATCH(H3102,[1]IDEN_level_ids!$A:$A,0),1)</f>
        <v>1082</v>
      </c>
    </row>
    <row r="3103" spans="1:21" hidden="1" x14ac:dyDescent="0.25">
      <c r="A3103">
        <v>35361.808299999997</v>
      </c>
      <c r="B3103">
        <v>2827.9097000000002</v>
      </c>
      <c r="C3103">
        <v>20</v>
      </c>
      <c r="D3103" t="s">
        <v>685</v>
      </c>
      <c r="E3103" t="s">
        <v>427</v>
      </c>
      <c r="F3103">
        <v>1974</v>
      </c>
      <c r="G3103" s="1" t="s">
        <v>376</v>
      </c>
      <c r="H3103" s="1" t="s">
        <v>561</v>
      </c>
      <c r="I3103">
        <v>0</v>
      </c>
      <c r="J3103">
        <v>35361.796000000002</v>
      </c>
      <c r="K3103">
        <v>-9.7999999999999997E-4</v>
      </c>
      <c r="L3103">
        <v>3.8999999999999998E-3</v>
      </c>
      <c r="M3103">
        <v>4.87E-2</v>
      </c>
      <c r="N3103">
        <v>0.80879999999999996</v>
      </c>
      <c r="O3103">
        <v>2.0379999999999999E-2</v>
      </c>
      <c r="P3103" s="3">
        <f t="shared" si="192"/>
        <v>2827.9096801732285</v>
      </c>
      <c r="Q3103" s="3">
        <f t="shared" si="193"/>
        <v>-9.8364034010955947E-4</v>
      </c>
      <c r="R3103" s="3">
        <f t="shared" si="194"/>
        <v>3.8999999999999998E-3</v>
      </c>
      <c r="S3103">
        <f t="shared" si="195"/>
        <v>75</v>
      </c>
      <c r="T3103">
        <f>INDEX([1]IDEN_level_ids!$B:$B,MATCH(G3103,[1]IDEN_level_ids!$A:$A,0),1)</f>
        <v>913</v>
      </c>
      <c r="U3103">
        <f>INDEX([1]IDEN_level_ids!$B:$B,MATCH(H3103,[1]IDEN_level_ids!$A:$A,0),1)</f>
        <v>545</v>
      </c>
    </row>
    <row r="3104" spans="1:21" hidden="1" x14ac:dyDescent="0.25">
      <c r="A3104">
        <v>35354.429100000001</v>
      </c>
      <c r="B3104">
        <v>2828.4998999999998</v>
      </c>
      <c r="C3104">
        <v>20</v>
      </c>
      <c r="D3104" t="s">
        <v>685</v>
      </c>
      <c r="F3104">
        <v>1974</v>
      </c>
      <c r="G3104" s="1" t="s">
        <v>212</v>
      </c>
      <c r="H3104" s="1" t="s">
        <v>562</v>
      </c>
      <c r="I3104">
        <v>0</v>
      </c>
      <c r="J3104">
        <v>35354.420599999998</v>
      </c>
      <c r="K3104">
        <v>-6.8000000000000005E-4</v>
      </c>
      <c r="L3104">
        <v>3.6900000000000001E-3</v>
      </c>
      <c r="M3104">
        <v>4.6100000000000002E-2</v>
      </c>
      <c r="N3104">
        <v>0.1842</v>
      </c>
      <c r="O3104">
        <v>4.5199999999999997E-3</v>
      </c>
      <c r="P3104" s="3">
        <f t="shared" si="192"/>
        <v>2828.4999233660374</v>
      </c>
      <c r="Q3104" s="3">
        <f t="shared" si="193"/>
        <v>-6.8003516798853525E-4</v>
      </c>
      <c r="R3104" s="3">
        <f t="shared" si="194"/>
        <v>3.6900000000000001E-3</v>
      </c>
      <c r="S3104">
        <f t="shared" si="195"/>
        <v>75</v>
      </c>
      <c r="T3104">
        <f>INDEX([1]IDEN_level_ids!$B:$B,MATCH(G3104,[1]IDEN_level_ids!$A:$A,0),1)</f>
        <v>1123</v>
      </c>
      <c r="U3104">
        <f>INDEX([1]IDEN_level_ids!$B:$B,MATCH(H3104,[1]IDEN_level_ids!$A:$A,0),1)</f>
        <v>999</v>
      </c>
    </row>
    <row r="3105" spans="1:21" hidden="1" x14ac:dyDescent="0.25">
      <c r="A3105">
        <v>35350.461900000002</v>
      </c>
      <c r="B3105">
        <v>2828.8173999999999</v>
      </c>
      <c r="C3105">
        <v>20</v>
      </c>
      <c r="D3105" t="s">
        <v>685</v>
      </c>
      <c r="E3105" t="s">
        <v>678</v>
      </c>
      <c r="F3105">
        <v>1974</v>
      </c>
      <c r="G3105" s="1" t="s">
        <v>301</v>
      </c>
      <c r="H3105" s="1" t="s">
        <v>431</v>
      </c>
      <c r="I3105">
        <v>-0.73950000000000005</v>
      </c>
      <c r="J3105">
        <v>35350.492899999997</v>
      </c>
      <c r="K3105">
        <v>2.49E-3</v>
      </c>
      <c r="L3105">
        <v>5.8300000000000001E-3</v>
      </c>
      <c r="M3105">
        <v>7.2800000000000004E-2</v>
      </c>
      <c r="N3105">
        <v>6.6699999999999995E-2</v>
      </c>
      <c r="O3105">
        <v>6.2399999999999999E-3</v>
      </c>
      <c r="P3105" s="3">
        <f t="shared" si="192"/>
        <v>2828.8173513229253</v>
      </c>
      <c r="Q3105" s="3">
        <f t="shared" si="193"/>
        <v>2.4806821820675395E-3</v>
      </c>
      <c r="R3105" s="3">
        <f t="shared" si="194"/>
        <v>5.8300000000000001E-3</v>
      </c>
      <c r="S3105">
        <f t="shared" si="195"/>
        <v>75</v>
      </c>
      <c r="T3105">
        <f>INDEX([1]IDEN_level_ids!$B:$B,MATCH(G3105,[1]IDEN_level_ids!$A:$A,0),1)</f>
        <v>1154</v>
      </c>
      <c r="U3105">
        <f>INDEX([1]IDEN_level_ids!$B:$B,MATCH(H3105,[1]IDEN_level_ids!$A:$A,0),1)</f>
        <v>1062</v>
      </c>
    </row>
    <row r="3106" spans="1:21" hidden="1" x14ac:dyDescent="0.25">
      <c r="A3106">
        <v>35338.108800000002</v>
      </c>
      <c r="B3106">
        <v>2829.8062</v>
      </c>
      <c r="C3106">
        <v>20</v>
      </c>
      <c r="D3106" t="s">
        <v>685</v>
      </c>
      <c r="F3106">
        <v>1974</v>
      </c>
      <c r="G3106" s="1" t="s">
        <v>212</v>
      </c>
      <c r="H3106" s="1" t="s">
        <v>580</v>
      </c>
      <c r="I3106">
        <v>0.20710000000000001</v>
      </c>
      <c r="J3106">
        <v>35338.107400000001</v>
      </c>
      <c r="K3106">
        <v>-1.2E-4</v>
      </c>
      <c r="L3106">
        <v>3.6900000000000001E-3</v>
      </c>
      <c r="M3106">
        <v>4.6100000000000002E-2</v>
      </c>
      <c r="N3106">
        <v>0.1021</v>
      </c>
      <c r="O3106">
        <v>4.1099999999999999E-3</v>
      </c>
      <c r="P3106" s="3">
        <f t="shared" si="192"/>
        <v>2829.8062175868336</v>
      </c>
      <c r="Q3106" s="3">
        <f t="shared" si="193"/>
        <v>-1.121092495850462E-4</v>
      </c>
      <c r="R3106" s="3">
        <f t="shared" si="194"/>
        <v>3.6900000000000001E-3</v>
      </c>
      <c r="S3106">
        <f t="shared" si="195"/>
        <v>75</v>
      </c>
      <c r="T3106">
        <f>INDEX([1]IDEN_level_ids!$B:$B,MATCH(G3106,[1]IDEN_level_ids!$A:$A,0),1)</f>
        <v>1123</v>
      </c>
      <c r="U3106">
        <f>INDEX([1]IDEN_level_ids!$B:$B,MATCH(H3106,[1]IDEN_level_ids!$A:$A,0),1)</f>
        <v>1001</v>
      </c>
    </row>
    <row r="3107" spans="1:21" hidden="1" x14ac:dyDescent="0.25">
      <c r="A3107">
        <v>35327.769099999998</v>
      </c>
      <c r="B3107">
        <v>2830.6343999999999</v>
      </c>
      <c r="C3107">
        <v>20</v>
      </c>
      <c r="D3107" t="s">
        <v>685</v>
      </c>
      <c r="E3107" t="s">
        <v>638</v>
      </c>
      <c r="F3107">
        <v>1974</v>
      </c>
      <c r="G3107" s="1" t="s">
        <v>511</v>
      </c>
      <c r="H3107" s="1" t="s">
        <v>585</v>
      </c>
      <c r="I3107">
        <v>-0.15329999999999999</v>
      </c>
      <c r="J3107">
        <v>35327.745799999997</v>
      </c>
      <c r="K3107">
        <v>-1.8600000000000001E-3</v>
      </c>
      <c r="L3107">
        <v>1.3849999999999999E-2</v>
      </c>
      <c r="M3107">
        <v>0.17280000000000001</v>
      </c>
      <c r="N3107">
        <v>6.9000000000000006E-2</v>
      </c>
      <c r="O3107">
        <v>1.487E-2</v>
      </c>
      <c r="P3107" s="3">
        <f t="shared" si="192"/>
        <v>2830.6344427505896</v>
      </c>
      <c r="Q3107" s="3">
        <f t="shared" si="193"/>
        <v>-1.8669117157514847E-3</v>
      </c>
      <c r="R3107" s="3">
        <f t="shared" si="194"/>
        <v>1.3849999999999999E-2</v>
      </c>
      <c r="S3107">
        <f t="shared" si="195"/>
        <v>75</v>
      </c>
      <c r="T3107">
        <f>INDEX([1]IDEN_level_ids!$B:$B,MATCH(G3107,[1]IDEN_level_ids!$A:$A,0),1)</f>
        <v>1139</v>
      </c>
      <c r="U3107">
        <f>INDEX([1]IDEN_level_ids!$B:$B,MATCH(H3107,[1]IDEN_level_ids!$A:$A,0),1)</f>
        <v>1019</v>
      </c>
    </row>
    <row r="3108" spans="1:21" hidden="1" x14ac:dyDescent="0.25">
      <c r="A3108">
        <v>35261.801200000002</v>
      </c>
      <c r="B3108">
        <v>2835.93</v>
      </c>
      <c r="C3108">
        <v>20</v>
      </c>
      <c r="D3108" t="s">
        <v>685</v>
      </c>
      <c r="F3108">
        <v>1974</v>
      </c>
      <c r="G3108" s="1" t="s">
        <v>245</v>
      </c>
      <c r="H3108" s="1" t="s">
        <v>446</v>
      </c>
      <c r="I3108">
        <v>0.31669999999999998</v>
      </c>
      <c r="J3108">
        <v>35261.8125</v>
      </c>
      <c r="K3108">
        <v>9.1E-4</v>
      </c>
      <c r="L3108">
        <v>3.7000000000000002E-3</v>
      </c>
      <c r="M3108">
        <v>4.6100000000000002E-2</v>
      </c>
      <c r="N3108">
        <v>9.74E-2</v>
      </c>
      <c r="O3108">
        <v>4.1000000000000003E-3</v>
      </c>
      <c r="P3108" s="3">
        <f t="shared" si="192"/>
        <v>2835.9300034849039</v>
      </c>
      <c r="Q3108" s="3">
        <f t="shared" si="193"/>
        <v>9.0880209381793975E-4</v>
      </c>
      <c r="R3108" s="3">
        <f t="shared" si="194"/>
        <v>3.7000000000000002E-3</v>
      </c>
      <c r="S3108">
        <f t="shared" si="195"/>
        <v>75</v>
      </c>
      <c r="T3108">
        <f>INDEX([1]IDEN_level_ids!$B:$B,MATCH(G3108,[1]IDEN_level_ids!$A:$A,0),1)</f>
        <v>1169</v>
      </c>
      <c r="U3108">
        <f>INDEX([1]IDEN_level_ids!$B:$B,MATCH(H3108,[1]IDEN_level_ids!$A:$A,0),1)</f>
        <v>1079</v>
      </c>
    </row>
    <row r="3109" spans="1:21" hidden="1" x14ac:dyDescent="0.25">
      <c r="A3109">
        <v>35260.698499999999</v>
      </c>
      <c r="B3109">
        <v>2836.0187000000001</v>
      </c>
      <c r="C3109">
        <v>20</v>
      </c>
      <c r="D3109" t="s">
        <v>685</v>
      </c>
      <c r="F3109">
        <v>1974</v>
      </c>
      <c r="G3109" s="1" t="s">
        <v>302</v>
      </c>
      <c r="H3109" s="1" t="s">
        <v>495</v>
      </c>
      <c r="I3109">
        <v>0.1328</v>
      </c>
      <c r="J3109">
        <v>35260.663500000002</v>
      </c>
      <c r="K3109">
        <v>-2.82E-3</v>
      </c>
      <c r="L3109">
        <v>3.7100000000000002E-3</v>
      </c>
      <c r="M3109">
        <v>4.6100000000000002E-2</v>
      </c>
      <c r="N3109">
        <v>0.17519999999999999</v>
      </c>
      <c r="O3109">
        <v>4.4900000000000001E-3</v>
      </c>
      <c r="P3109" s="3">
        <f t="shared" si="192"/>
        <v>2836.018690894623</v>
      </c>
      <c r="Q3109" s="3">
        <f t="shared" si="193"/>
        <v>-2.8150534994892951E-3</v>
      </c>
      <c r="R3109" s="3">
        <f t="shared" si="194"/>
        <v>3.7100000000000002E-3</v>
      </c>
      <c r="S3109">
        <f t="shared" si="195"/>
        <v>75</v>
      </c>
      <c r="T3109">
        <f>INDEX([1]IDEN_level_ids!$B:$B,MATCH(G3109,[1]IDEN_level_ids!$A:$A,0),1)</f>
        <v>1100</v>
      </c>
      <c r="U3109">
        <f>INDEX([1]IDEN_level_ids!$B:$B,MATCH(H3109,[1]IDEN_level_ids!$A:$A,0),1)</f>
        <v>960</v>
      </c>
    </row>
    <row r="3110" spans="1:21" hidden="1" x14ac:dyDescent="0.25">
      <c r="A3110">
        <v>35250.628299999997</v>
      </c>
      <c r="B3110">
        <v>2836.8289</v>
      </c>
      <c r="C3110">
        <v>20</v>
      </c>
      <c r="D3110" t="s">
        <v>685</v>
      </c>
      <c r="F3110">
        <v>1974</v>
      </c>
      <c r="G3110" s="1" t="s">
        <v>528</v>
      </c>
      <c r="H3110" s="1" t="s">
        <v>121</v>
      </c>
      <c r="I3110">
        <v>0</v>
      </c>
      <c r="J3110">
        <v>35250.651599999997</v>
      </c>
      <c r="K3110">
        <v>1.8699999999999999E-3</v>
      </c>
      <c r="L3110">
        <v>3.7100000000000002E-3</v>
      </c>
      <c r="M3110">
        <v>4.6100000000000002E-2</v>
      </c>
      <c r="N3110">
        <v>0.255</v>
      </c>
      <c r="O3110">
        <v>4.9800000000000001E-3</v>
      </c>
      <c r="P3110" s="3">
        <f t="shared" si="192"/>
        <v>2836.8288686644491</v>
      </c>
      <c r="Q3110" s="3">
        <f t="shared" si="193"/>
        <v>1.8750891017589311E-3</v>
      </c>
      <c r="R3110" s="3">
        <f t="shared" si="194"/>
        <v>3.7100000000000002E-3</v>
      </c>
      <c r="S3110">
        <f t="shared" si="195"/>
        <v>75</v>
      </c>
      <c r="T3110">
        <f>INDEX([1]IDEN_level_ids!$B:$B,MATCH(G3110,[1]IDEN_level_ids!$A:$A,0),1)</f>
        <v>1009</v>
      </c>
      <c r="U3110">
        <f>INDEX([1]IDEN_level_ids!$B:$B,MATCH(H3110,[1]IDEN_level_ids!$A:$A,0),1)</f>
        <v>860</v>
      </c>
    </row>
    <row r="3111" spans="1:21" hidden="1" x14ac:dyDescent="0.25">
      <c r="A3111">
        <v>35233.569499999998</v>
      </c>
      <c r="B3111">
        <v>2838.2024000000001</v>
      </c>
      <c r="C3111">
        <v>20</v>
      </c>
      <c r="D3111" t="s">
        <v>685</v>
      </c>
      <c r="E3111" t="s">
        <v>678</v>
      </c>
      <c r="F3111">
        <v>1974</v>
      </c>
      <c r="G3111" s="1" t="s">
        <v>326</v>
      </c>
      <c r="H3111" s="1" t="s">
        <v>516</v>
      </c>
      <c r="I3111">
        <v>-0.68269999999999997</v>
      </c>
      <c r="J3111">
        <v>35233.586499999998</v>
      </c>
      <c r="K3111">
        <v>1.3699999999999999E-3</v>
      </c>
      <c r="L3111">
        <v>5.8700000000000002E-3</v>
      </c>
      <c r="M3111">
        <v>7.2800000000000004E-2</v>
      </c>
      <c r="N3111">
        <v>0.12039999999999999</v>
      </c>
      <c r="O3111">
        <v>6.6699999999999997E-3</v>
      </c>
      <c r="P3111" s="3">
        <f t="shared" si="192"/>
        <v>2838.2023569879857</v>
      </c>
      <c r="Q3111" s="3">
        <f t="shared" si="193"/>
        <v>1.369416084344266E-3</v>
      </c>
      <c r="R3111" s="3">
        <f t="shared" si="194"/>
        <v>5.8700000000000002E-3</v>
      </c>
      <c r="S3111">
        <f t="shared" si="195"/>
        <v>75</v>
      </c>
      <c r="T3111">
        <f>INDEX([1]IDEN_level_ids!$B:$B,MATCH(G3111,[1]IDEN_level_ids!$A:$A,0),1)</f>
        <v>1148</v>
      </c>
      <c r="U3111">
        <f>INDEX([1]IDEN_level_ids!$B:$B,MATCH(H3111,[1]IDEN_level_ids!$A:$A,0),1)</f>
        <v>1050</v>
      </c>
    </row>
    <row r="3112" spans="1:21" hidden="1" x14ac:dyDescent="0.25">
      <c r="A3112">
        <v>35220.000800000002</v>
      </c>
      <c r="B3112">
        <v>2839.2957999999999</v>
      </c>
      <c r="C3112">
        <v>20</v>
      </c>
      <c r="D3112" t="s">
        <v>685</v>
      </c>
      <c r="E3112" t="s">
        <v>681</v>
      </c>
      <c r="F3112">
        <v>1974</v>
      </c>
      <c r="G3112" s="1" t="s">
        <v>279</v>
      </c>
      <c r="H3112" s="1" t="s">
        <v>510</v>
      </c>
      <c r="I3112">
        <v>0.27579999999999999</v>
      </c>
      <c r="J3112">
        <v>35220.0242</v>
      </c>
      <c r="K3112">
        <v>1.8799999999999999E-3</v>
      </c>
      <c r="L3112">
        <v>6.4700000000000001E-3</v>
      </c>
      <c r="M3112">
        <v>8.0299999999999996E-2</v>
      </c>
      <c r="N3112">
        <v>0.1124</v>
      </c>
      <c r="O3112">
        <v>7.2899999999999996E-3</v>
      </c>
      <c r="P3112" s="3">
        <f t="shared" si="192"/>
        <v>2839.2957901352461</v>
      </c>
      <c r="Q3112" s="3">
        <f t="shared" si="193"/>
        <v>1.8864132830458402E-3</v>
      </c>
      <c r="R3112" s="3">
        <f t="shared" si="194"/>
        <v>6.4700000000000001E-3</v>
      </c>
      <c r="S3112">
        <f t="shared" si="195"/>
        <v>75</v>
      </c>
      <c r="T3112">
        <f>INDEX([1]IDEN_level_ids!$B:$B,MATCH(G3112,[1]IDEN_level_ids!$A:$A,0),1)</f>
        <v>1129</v>
      </c>
      <c r="U3112">
        <f>INDEX([1]IDEN_level_ids!$B:$B,MATCH(H3112,[1]IDEN_level_ids!$A:$A,0),1)</f>
        <v>1006</v>
      </c>
    </row>
    <row r="3113" spans="1:21" hidden="1" x14ac:dyDescent="0.25">
      <c r="A3113">
        <v>35188.811000000002</v>
      </c>
      <c r="B3113">
        <v>2841.8123999999998</v>
      </c>
      <c r="C3113">
        <v>20</v>
      </c>
      <c r="D3113" t="s">
        <v>685</v>
      </c>
      <c r="E3113" t="s">
        <v>678</v>
      </c>
      <c r="F3113">
        <v>1974</v>
      </c>
      <c r="G3113" s="1" t="s">
        <v>326</v>
      </c>
      <c r="H3113" s="1" t="s">
        <v>438</v>
      </c>
      <c r="I3113">
        <v>-1.0750999999999999</v>
      </c>
      <c r="J3113">
        <v>35188.850400000003</v>
      </c>
      <c r="K3113">
        <v>3.1800000000000001E-3</v>
      </c>
      <c r="L3113">
        <v>5.8799999999999998E-3</v>
      </c>
      <c r="M3113">
        <v>7.2800000000000004E-2</v>
      </c>
      <c r="N3113">
        <v>8.8599999999999998E-2</v>
      </c>
      <c r="O3113">
        <v>6.45E-3</v>
      </c>
      <c r="P3113" s="3">
        <f t="shared" si="192"/>
        <v>2841.8124158841283</v>
      </c>
      <c r="Q3113" s="3">
        <f t="shared" si="193"/>
        <v>3.181900173331087E-3</v>
      </c>
      <c r="R3113" s="3">
        <f t="shared" si="194"/>
        <v>5.8799999999999998E-3</v>
      </c>
      <c r="S3113">
        <f t="shared" si="195"/>
        <v>75</v>
      </c>
      <c r="T3113">
        <f>INDEX([1]IDEN_level_ids!$B:$B,MATCH(G3113,[1]IDEN_level_ids!$A:$A,0),1)</f>
        <v>1148</v>
      </c>
      <c r="U3113">
        <f>INDEX([1]IDEN_level_ids!$B:$B,MATCH(H3113,[1]IDEN_level_ids!$A:$A,0),1)</f>
        <v>1051</v>
      </c>
    </row>
    <row r="3114" spans="1:21" hidden="1" x14ac:dyDescent="0.25">
      <c r="A3114">
        <v>35178.349900000001</v>
      </c>
      <c r="B3114">
        <v>2842.6574999999998</v>
      </c>
      <c r="C3114">
        <v>20</v>
      </c>
      <c r="D3114" t="s">
        <v>685</v>
      </c>
      <c r="F3114">
        <v>1974</v>
      </c>
      <c r="G3114" s="1" t="s">
        <v>268</v>
      </c>
      <c r="H3114" s="1" t="s">
        <v>407</v>
      </c>
      <c r="I3114">
        <v>0.27489999999999998</v>
      </c>
      <c r="J3114">
        <v>35178.359799999998</v>
      </c>
      <c r="K3114">
        <v>8.0000000000000004E-4</v>
      </c>
      <c r="L3114">
        <v>3.7200000000000002E-3</v>
      </c>
      <c r="M3114">
        <v>4.6100000000000002E-2</v>
      </c>
      <c r="N3114">
        <v>7.6600000000000001E-2</v>
      </c>
      <c r="O3114">
        <v>4.0299999999999997E-3</v>
      </c>
      <c r="P3114" s="3">
        <f t="shared" si="192"/>
        <v>2842.6574948587909</v>
      </c>
      <c r="Q3114" s="3">
        <f t="shared" si="193"/>
        <v>7.9998923638413544E-4</v>
      </c>
      <c r="R3114" s="3">
        <f t="shared" si="194"/>
        <v>3.7200000000000002E-3</v>
      </c>
      <c r="S3114">
        <f t="shared" si="195"/>
        <v>75</v>
      </c>
      <c r="T3114">
        <f>INDEX([1]IDEN_level_ids!$B:$B,MATCH(G3114,[1]IDEN_level_ids!$A:$A,0),1)</f>
        <v>1160</v>
      </c>
      <c r="U3114">
        <f>INDEX([1]IDEN_level_ids!$B:$B,MATCH(H3114,[1]IDEN_level_ids!$A:$A,0),1)</f>
        <v>1073</v>
      </c>
    </row>
    <row r="3115" spans="1:21" hidden="1" x14ac:dyDescent="0.25">
      <c r="A3115">
        <v>35176.900600000001</v>
      </c>
      <c r="B3115">
        <v>2842.7746000000002</v>
      </c>
      <c r="C3115">
        <v>20</v>
      </c>
      <c r="D3115" t="s">
        <v>685</v>
      </c>
      <c r="E3115" t="s">
        <v>681</v>
      </c>
      <c r="F3115">
        <v>1974</v>
      </c>
      <c r="G3115" s="1" t="s">
        <v>480</v>
      </c>
      <c r="H3115" s="1" t="s">
        <v>419</v>
      </c>
      <c r="I3115">
        <v>0.53539999999999999</v>
      </c>
      <c r="J3115">
        <v>35176.867200000001</v>
      </c>
      <c r="K3115">
        <v>-2.7000000000000001E-3</v>
      </c>
      <c r="L3115">
        <v>6.4900000000000001E-3</v>
      </c>
      <c r="M3115">
        <v>8.0299999999999996E-2</v>
      </c>
      <c r="N3115">
        <v>0.13650000000000001</v>
      </c>
      <c r="O3115">
        <v>7.5199999999999998E-3</v>
      </c>
      <c r="P3115" s="3">
        <f t="shared" si="192"/>
        <v>2842.7746132926786</v>
      </c>
      <c r="Q3115" s="3">
        <f t="shared" si="193"/>
        <v>-2.6991793088200211E-3</v>
      </c>
      <c r="R3115" s="3">
        <f t="shared" si="194"/>
        <v>6.4900000000000001E-3</v>
      </c>
      <c r="S3115">
        <f t="shared" si="195"/>
        <v>75</v>
      </c>
      <c r="T3115">
        <f>INDEX([1]IDEN_level_ids!$B:$B,MATCH(G3115,[1]IDEN_level_ids!$A:$A,0),1)</f>
        <v>1156</v>
      </c>
      <c r="U3115">
        <f>INDEX([1]IDEN_level_ids!$B:$B,MATCH(H3115,[1]IDEN_level_ids!$A:$A,0),1)</f>
        <v>1068</v>
      </c>
    </row>
    <row r="3116" spans="1:21" hidden="1" x14ac:dyDescent="0.25">
      <c r="A3116">
        <v>35158.729500000001</v>
      </c>
      <c r="B3116">
        <v>2844.2438000000002</v>
      </c>
      <c r="C3116">
        <v>20</v>
      </c>
      <c r="D3116" t="s">
        <v>685</v>
      </c>
      <c r="E3116" t="s">
        <v>427</v>
      </c>
      <c r="F3116">
        <v>1974</v>
      </c>
      <c r="G3116" s="1" t="s">
        <v>238</v>
      </c>
      <c r="H3116" s="1" t="s">
        <v>450</v>
      </c>
      <c r="I3116">
        <v>0.2989</v>
      </c>
      <c r="J3116">
        <v>35158.688699999999</v>
      </c>
      <c r="K3116">
        <v>-3.3E-3</v>
      </c>
      <c r="L3116">
        <v>3.9399999999999999E-3</v>
      </c>
      <c r="M3116">
        <v>4.87E-2</v>
      </c>
      <c r="N3116">
        <v>8.5500000000000007E-2</v>
      </c>
      <c r="O3116">
        <v>4.3099999999999996E-3</v>
      </c>
      <c r="P3116" s="3">
        <f t="shared" si="192"/>
        <v>2844.243845614501</v>
      </c>
      <c r="Q3116" s="3">
        <f t="shared" si="193"/>
        <v>-3.3006108360496E-3</v>
      </c>
      <c r="R3116" s="3">
        <f t="shared" si="194"/>
        <v>3.9399999999999999E-3</v>
      </c>
      <c r="S3116">
        <f t="shared" si="195"/>
        <v>75</v>
      </c>
      <c r="T3116">
        <f>INDEX([1]IDEN_level_ids!$B:$B,MATCH(G3116,[1]IDEN_level_ids!$A:$A,0),1)</f>
        <v>1165</v>
      </c>
      <c r="U3116">
        <f>INDEX([1]IDEN_level_ids!$B:$B,MATCH(H3116,[1]IDEN_level_ids!$A:$A,0),1)</f>
        <v>1077</v>
      </c>
    </row>
    <row r="3117" spans="1:21" hidden="1" x14ac:dyDescent="0.25">
      <c r="A3117">
        <v>35102.460800000001</v>
      </c>
      <c r="B3117">
        <v>2848.8031000000001</v>
      </c>
      <c r="C3117">
        <v>20</v>
      </c>
      <c r="D3117" t="s">
        <v>685</v>
      </c>
      <c r="F3117">
        <v>1974</v>
      </c>
      <c r="G3117" s="1" t="s">
        <v>472</v>
      </c>
      <c r="H3117" s="1" t="s">
        <v>643</v>
      </c>
      <c r="I3117">
        <v>0</v>
      </c>
      <c r="J3117">
        <v>35102.381500000003</v>
      </c>
      <c r="K3117">
        <v>-6.4400000000000004E-3</v>
      </c>
      <c r="L3117">
        <v>3.7399999999999998E-3</v>
      </c>
      <c r="M3117">
        <v>4.6100000000000002E-2</v>
      </c>
      <c r="N3117">
        <v>0.16500000000000001</v>
      </c>
      <c r="O3117">
        <v>4.4799999999999996E-3</v>
      </c>
      <c r="P3117" s="3">
        <f t="shared" si="192"/>
        <v>2848.803124366711</v>
      </c>
      <c r="Q3117" s="3">
        <f t="shared" si="193"/>
        <v>-6.4357481774095504E-3</v>
      </c>
      <c r="R3117" s="3">
        <f t="shared" si="194"/>
        <v>3.7399999999999998E-3</v>
      </c>
      <c r="S3117">
        <f t="shared" si="195"/>
        <v>75</v>
      </c>
      <c r="T3117">
        <f>INDEX([1]IDEN_level_ids!$B:$B,MATCH(G3117,[1]IDEN_level_ids!$A:$A,0),1)</f>
        <v>1012</v>
      </c>
      <c r="U3117">
        <f>INDEX([1]IDEN_level_ids!$B:$B,MATCH(H3117,[1]IDEN_level_ids!$A:$A,0),1)</f>
        <v>869</v>
      </c>
    </row>
    <row r="3118" spans="1:21" hidden="1" x14ac:dyDescent="0.25">
      <c r="A3118">
        <v>35096.178999999996</v>
      </c>
      <c r="B3118">
        <v>2849.3130000000001</v>
      </c>
      <c r="C3118">
        <v>20</v>
      </c>
      <c r="D3118" t="s">
        <v>685</v>
      </c>
      <c r="F3118">
        <v>1974</v>
      </c>
      <c r="G3118" s="1" t="s">
        <v>141</v>
      </c>
      <c r="H3118" s="1" t="s">
        <v>451</v>
      </c>
      <c r="I3118">
        <v>0.38469999999999999</v>
      </c>
      <c r="J3118">
        <v>35096.199999999997</v>
      </c>
      <c r="K3118">
        <v>1.6999999999999999E-3</v>
      </c>
      <c r="L3118">
        <v>3.7399999999999998E-3</v>
      </c>
      <c r="M3118">
        <v>4.6100000000000002E-2</v>
      </c>
      <c r="N3118">
        <v>7.2300000000000003E-2</v>
      </c>
      <c r="O3118">
        <v>4.0299999999999997E-3</v>
      </c>
      <c r="P3118" s="3">
        <f t="shared" si="192"/>
        <v>2849.3130263553767</v>
      </c>
      <c r="Q3118" s="3">
        <f t="shared" si="193"/>
        <v>1.7049017719727999E-3</v>
      </c>
      <c r="R3118" s="3">
        <f t="shared" si="194"/>
        <v>3.7399999999999998E-3</v>
      </c>
      <c r="S3118">
        <f t="shared" si="195"/>
        <v>75</v>
      </c>
      <c r="T3118">
        <f>INDEX([1]IDEN_level_ids!$B:$B,MATCH(G3118,[1]IDEN_level_ids!$A:$A,0),1)</f>
        <v>1155</v>
      </c>
      <c r="U3118">
        <f>INDEX([1]IDEN_level_ids!$B:$B,MATCH(H3118,[1]IDEN_level_ids!$A:$A,0),1)</f>
        <v>1066</v>
      </c>
    </row>
    <row r="3119" spans="1:21" hidden="1" x14ac:dyDescent="0.25">
      <c r="A3119">
        <v>35094.429300000003</v>
      </c>
      <c r="B3119">
        <v>2849.4551000000001</v>
      </c>
      <c r="C3119">
        <v>20</v>
      </c>
      <c r="D3119" t="s">
        <v>685</v>
      </c>
      <c r="E3119" t="s">
        <v>427</v>
      </c>
      <c r="F3119">
        <v>1974</v>
      </c>
      <c r="G3119" s="1" t="s">
        <v>138</v>
      </c>
      <c r="H3119" s="1" t="s">
        <v>520</v>
      </c>
      <c r="I3119">
        <v>0.3095</v>
      </c>
      <c r="J3119">
        <v>35094.326200000003</v>
      </c>
      <c r="K3119">
        <v>-8.3700000000000007E-3</v>
      </c>
      <c r="L3119">
        <v>3.96E-3</v>
      </c>
      <c r="M3119">
        <v>4.87E-2</v>
      </c>
      <c r="N3119">
        <v>0.14940000000000001</v>
      </c>
      <c r="O3119">
        <v>4.6499999999999996E-3</v>
      </c>
      <c r="P3119" s="3">
        <f t="shared" si="192"/>
        <v>2849.455084314478</v>
      </c>
      <c r="Q3119" s="3">
        <f t="shared" si="193"/>
        <v>-8.3711200927609752E-3</v>
      </c>
      <c r="R3119" s="3">
        <f t="shared" si="194"/>
        <v>3.96E-3</v>
      </c>
      <c r="S3119">
        <f t="shared" si="195"/>
        <v>75</v>
      </c>
      <c r="T3119">
        <f>INDEX([1]IDEN_level_ids!$B:$B,MATCH(G3119,[1]IDEN_level_ids!$A:$A,0),1)</f>
        <v>1126</v>
      </c>
      <c r="U3119">
        <f>INDEX([1]IDEN_level_ids!$B:$B,MATCH(H3119,[1]IDEN_level_ids!$A:$A,0),1)</f>
        <v>1002</v>
      </c>
    </row>
    <row r="3120" spans="1:21" hidden="1" x14ac:dyDescent="0.25">
      <c r="A3120">
        <v>35077.691700000003</v>
      </c>
      <c r="B3120">
        <v>2850.8146999999999</v>
      </c>
      <c r="C3120">
        <v>20</v>
      </c>
      <c r="D3120" t="s">
        <v>686</v>
      </c>
      <c r="E3120" t="s">
        <v>681</v>
      </c>
      <c r="F3120">
        <v>1974</v>
      </c>
      <c r="G3120" s="1" t="s">
        <v>329</v>
      </c>
      <c r="H3120" s="1" t="s">
        <v>467</v>
      </c>
      <c r="I3120">
        <v>0.29249999999999998</v>
      </c>
      <c r="J3120">
        <v>35077.755299999997</v>
      </c>
      <c r="K3120">
        <v>5.1700000000000001E-3</v>
      </c>
      <c r="L3120">
        <v>6.5300000000000002E-3</v>
      </c>
      <c r="M3120">
        <v>8.0299999999999996E-2</v>
      </c>
      <c r="N3120">
        <v>6.8199999999999997E-2</v>
      </c>
      <c r="O3120">
        <v>7.0000000000000001E-3</v>
      </c>
      <c r="P3120" s="3">
        <f t="shared" si="192"/>
        <v>2850.8147245048053</v>
      </c>
      <c r="Q3120" s="3">
        <f t="shared" si="193"/>
        <v>5.1688545895558491E-3</v>
      </c>
      <c r="R3120" s="3">
        <f t="shared" si="194"/>
        <v>6.5300000000000002E-3</v>
      </c>
      <c r="S3120">
        <f t="shared" si="195"/>
        <v>76</v>
      </c>
      <c r="T3120">
        <f>INDEX([1]IDEN_level_ids!$B:$B,MATCH(G3120,[1]IDEN_level_ids!$A:$A,0),1)</f>
        <v>1138</v>
      </c>
      <c r="U3120">
        <f>INDEX([1]IDEN_level_ids!$B:$B,MATCH(H3120,[1]IDEN_level_ids!$A:$A,0),1)</f>
        <v>1025</v>
      </c>
    </row>
    <row r="3121" spans="1:21" hidden="1" x14ac:dyDescent="0.25">
      <c r="A3121">
        <v>35059.130899999996</v>
      </c>
      <c r="B3121">
        <v>2852.3240000000001</v>
      </c>
      <c r="C3121">
        <v>20</v>
      </c>
      <c r="D3121" t="s">
        <v>686</v>
      </c>
      <c r="E3121" t="s">
        <v>681</v>
      </c>
      <c r="F3121">
        <v>1974</v>
      </c>
      <c r="G3121" s="1" t="s">
        <v>329</v>
      </c>
      <c r="H3121" s="1" t="s">
        <v>470</v>
      </c>
      <c r="I3121">
        <v>0.5968</v>
      </c>
      <c r="J3121">
        <v>35059.188499999997</v>
      </c>
      <c r="K3121">
        <v>4.6800000000000001E-3</v>
      </c>
      <c r="L3121">
        <v>6.5300000000000002E-3</v>
      </c>
      <c r="M3121">
        <v>8.0299999999999996E-2</v>
      </c>
      <c r="N3121">
        <v>6.7900000000000002E-2</v>
      </c>
      <c r="O3121">
        <v>7.0099999999999997E-3</v>
      </c>
      <c r="P3121" s="3">
        <f t="shared" si="192"/>
        <v>2852.3239861601933</v>
      </c>
      <c r="Q3121" s="3">
        <f t="shared" si="193"/>
        <v>4.6861855230417859E-3</v>
      </c>
      <c r="R3121" s="3">
        <f t="shared" si="194"/>
        <v>6.5300000000000002E-3</v>
      </c>
      <c r="S3121">
        <f t="shared" si="195"/>
        <v>76</v>
      </c>
      <c r="T3121">
        <f>INDEX([1]IDEN_level_ids!$B:$B,MATCH(G3121,[1]IDEN_level_ids!$A:$A,0),1)</f>
        <v>1138</v>
      </c>
      <c r="U3121">
        <f>INDEX([1]IDEN_level_ids!$B:$B,MATCH(H3121,[1]IDEN_level_ids!$A:$A,0),1)</f>
        <v>1026</v>
      </c>
    </row>
    <row r="3122" spans="1:21" hidden="1" x14ac:dyDescent="0.25">
      <c r="A3122">
        <v>35047.998800000001</v>
      </c>
      <c r="B3122">
        <v>2853.23</v>
      </c>
      <c r="C3122">
        <v>20</v>
      </c>
      <c r="D3122" t="s">
        <v>686</v>
      </c>
      <c r="F3122">
        <v>1974</v>
      </c>
      <c r="G3122" s="1" t="s">
        <v>141</v>
      </c>
      <c r="H3122" s="1" t="s">
        <v>375</v>
      </c>
      <c r="I3122">
        <v>0.28789999999999999</v>
      </c>
      <c r="J3122">
        <v>35047.974699999999</v>
      </c>
      <c r="K3122">
        <v>-1.9599999999999999E-3</v>
      </c>
      <c r="L3122">
        <v>3.7499999999999999E-3</v>
      </c>
      <c r="M3122">
        <v>4.6100000000000002E-2</v>
      </c>
      <c r="N3122">
        <v>7.0300000000000001E-2</v>
      </c>
      <c r="O3122">
        <v>4.0299999999999997E-3</v>
      </c>
      <c r="P3122" s="3">
        <f t="shared" si="192"/>
        <v>2853.2299538882658</v>
      </c>
      <c r="Q3122" s="3">
        <f t="shared" si="193"/>
        <v>-1.9619633512775181E-3</v>
      </c>
      <c r="R3122" s="3">
        <f t="shared" si="194"/>
        <v>3.7499999999999999E-3</v>
      </c>
      <c r="S3122">
        <f t="shared" si="195"/>
        <v>76</v>
      </c>
      <c r="T3122">
        <f>INDEX([1]IDEN_level_ids!$B:$B,MATCH(G3122,[1]IDEN_level_ids!$A:$A,0),1)</f>
        <v>1155</v>
      </c>
      <c r="U3122">
        <f>INDEX([1]IDEN_level_ids!$B:$B,MATCH(H3122,[1]IDEN_level_ids!$A:$A,0),1)</f>
        <v>1065</v>
      </c>
    </row>
    <row r="3123" spans="1:21" hidden="1" x14ac:dyDescent="0.25">
      <c r="A3123">
        <v>34984.7883</v>
      </c>
      <c r="B3123">
        <v>2858.3852000000002</v>
      </c>
      <c r="C3123">
        <v>20</v>
      </c>
      <c r="D3123" t="s">
        <v>686</v>
      </c>
      <c r="F3123">
        <v>1974</v>
      </c>
      <c r="G3123" s="1" t="s">
        <v>350</v>
      </c>
      <c r="H3123" s="1" t="s">
        <v>537</v>
      </c>
      <c r="I3123">
        <v>0</v>
      </c>
      <c r="J3123">
        <v>34984.790999999997</v>
      </c>
      <c r="K3123">
        <v>2.2000000000000001E-4</v>
      </c>
      <c r="L3123">
        <v>3.7599999999999999E-3</v>
      </c>
      <c r="M3123">
        <v>4.6100000000000002E-2</v>
      </c>
      <c r="N3123">
        <v>0.35780000000000001</v>
      </c>
      <c r="O3123">
        <v>5.8599999999999998E-3</v>
      </c>
      <c r="P3123" s="3">
        <f t="shared" si="192"/>
        <v>2858.3851685047925</v>
      </c>
      <c r="Q3123" s="3">
        <f t="shared" si="193"/>
        <v>2.2059985849409713E-4</v>
      </c>
      <c r="R3123" s="3">
        <f t="shared" si="194"/>
        <v>3.7599999999999999E-3</v>
      </c>
      <c r="S3123">
        <f t="shared" si="195"/>
        <v>76</v>
      </c>
      <c r="T3123">
        <f>INDEX([1]IDEN_level_ids!$B:$B,MATCH(G3123,[1]IDEN_level_ids!$A:$A,0),1)</f>
        <v>1112</v>
      </c>
      <c r="U3123">
        <f>INDEX([1]IDEN_level_ids!$B:$B,MATCH(H3123,[1]IDEN_level_ids!$A:$A,0),1)</f>
        <v>991</v>
      </c>
    </row>
    <row r="3124" spans="1:21" hidden="1" x14ac:dyDescent="0.25">
      <c r="A3124">
        <v>34982.900199999996</v>
      </c>
      <c r="B3124">
        <v>2858.5394000000001</v>
      </c>
      <c r="C3124">
        <v>20</v>
      </c>
      <c r="D3124" t="s">
        <v>686</v>
      </c>
      <c r="F3124">
        <v>1974</v>
      </c>
      <c r="G3124" s="1" t="s">
        <v>289</v>
      </c>
      <c r="H3124" s="1" t="s">
        <v>562</v>
      </c>
      <c r="I3124">
        <v>0</v>
      </c>
      <c r="J3124">
        <v>34982.902600000001</v>
      </c>
      <c r="K3124">
        <v>1.9000000000000001E-4</v>
      </c>
      <c r="L3124">
        <v>3.7599999999999999E-3</v>
      </c>
      <c r="M3124">
        <v>4.6100000000000002E-2</v>
      </c>
      <c r="N3124">
        <v>0.20050000000000001</v>
      </c>
      <c r="O3124">
        <v>4.7099999999999998E-3</v>
      </c>
      <c r="P3124" s="3">
        <f t="shared" si="192"/>
        <v>2858.5394415069113</v>
      </c>
      <c r="Q3124" s="3">
        <f t="shared" si="193"/>
        <v>1.9610993285823497E-4</v>
      </c>
      <c r="R3124" s="3">
        <f t="shared" si="194"/>
        <v>3.7599999999999999E-3</v>
      </c>
      <c r="S3124">
        <f t="shared" si="195"/>
        <v>76</v>
      </c>
      <c r="T3124">
        <f>INDEX([1]IDEN_level_ids!$B:$B,MATCH(G3124,[1]IDEN_level_ids!$A:$A,0),1)</f>
        <v>1122</v>
      </c>
      <c r="U3124">
        <f>INDEX([1]IDEN_level_ids!$B:$B,MATCH(H3124,[1]IDEN_level_ids!$A:$A,0),1)</f>
        <v>999</v>
      </c>
    </row>
    <row r="3125" spans="1:21" hidden="1" x14ac:dyDescent="0.25">
      <c r="A3125">
        <v>34966.601300000002</v>
      </c>
      <c r="B3125">
        <v>2859.8719000000001</v>
      </c>
      <c r="C3125">
        <v>20</v>
      </c>
      <c r="D3125" t="s">
        <v>686</v>
      </c>
      <c r="E3125" t="s">
        <v>427</v>
      </c>
      <c r="F3125">
        <v>1974</v>
      </c>
      <c r="G3125" s="1" t="s">
        <v>289</v>
      </c>
      <c r="H3125" s="1" t="s">
        <v>580</v>
      </c>
      <c r="I3125">
        <v>0.20710000000000001</v>
      </c>
      <c r="J3125">
        <v>34966.589399999997</v>
      </c>
      <c r="K3125">
        <v>-9.7000000000000005E-4</v>
      </c>
      <c r="L3125">
        <v>3.9899999999999996E-3</v>
      </c>
      <c r="M3125">
        <v>4.87E-2</v>
      </c>
      <c r="N3125">
        <v>0.1163</v>
      </c>
      <c r="O3125">
        <v>4.5100000000000001E-3</v>
      </c>
      <c r="P3125" s="3">
        <f t="shared" si="192"/>
        <v>2859.8718858043544</v>
      </c>
      <c r="Q3125" s="3">
        <f t="shared" si="193"/>
        <v>-9.7328552874387242E-4</v>
      </c>
      <c r="R3125" s="3">
        <f t="shared" si="194"/>
        <v>3.9899999999999996E-3</v>
      </c>
      <c r="S3125">
        <f t="shared" si="195"/>
        <v>76</v>
      </c>
      <c r="T3125">
        <f>INDEX([1]IDEN_level_ids!$B:$B,MATCH(G3125,[1]IDEN_level_ids!$A:$A,0),1)</f>
        <v>1122</v>
      </c>
      <c r="U3125">
        <f>INDEX([1]IDEN_level_ids!$B:$B,MATCH(H3125,[1]IDEN_level_ids!$A:$A,0),1)</f>
        <v>1001</v>
      </c>
    </row>
    <row r="3126" spans="1:21" hidden="1" x14ac:dyDescent="0.25">
      <c r="A3126">
        <v>34954.351300000002</v>
      </c>
      <c r="B3126">
        <v>2860.8741</v>
      </c>
      <c r="C3126">
        <v>20</v>
      </c>
      <c r="D3126" t="s">
        <v>686</v>
      </c>
      <c r="F3126">
        <v>1974</v>
      </c>
      <c r="G3126" s="1" t="s">
        <v>271</v>
      </c>
      <c r="H3126" s="1" t="s">
        <v>407</v>
      </c>
      <c r="I3126">
        <v>0.27489999999999998</v>
      </c>
      <c r="J3126">
        <v>34954.400099999999</v>
      </c>
      <c r="K3126">
        <v>3.9899999999999996E-3</v>
      </c>
      <c r="L3126">
        <v>3.7699999999999999E-3</v>
      </c>
      <c r="M3126">
        <v>4.6100000000000002E-2</v>
      </c>
      <c r="N3126">
        <v>7.3499999999999996E-2</v>
      </c>
      <c r="O3126">
        <v>4.0699999999999998E-3</v>
      </c>
      <c r="P3126" s="3">
        <f t="shared" si="192"/>
        <v>2860.8741481636362</v>
      </c>
      <c r="Q3126" s="3">
        <f t="shared" si="193"/>
        <v>3.9940796586961369E-3</v>
      </c>
      <c r="R3126" s="3">
        <f t="shared" si="194"/>
        <v>3.7699999999999999E-3</v>
      </c>
      <c r="S3126">
        <f t="shared" si="195"/>
        <v>76</v>
      </c>
      <c r="T3126">
        <f>INDEX([1]IDEN_level_ids!$B:$B,MATCH(G3126,[1]IDEN_level_ids!$A:$A,0),1)</f>
        <v>1158</v>
      </c>
      <c r="U3126">
        <f>INDEX([1]IDEN_level_ids!$B:$B,MATCH(H3126,[1]IDEN_level_ids!$A:$A,0),1)</f>
        <v>1073</v>
      </c>
    </row>
    <row r="3127" spans="1:21" hidden="1" x14ac:dyDescent="0.25">
      <c r="A3127">
        <v>34940.538699999997</v>
      </c>
      <c r="B3127">
        <v>2862.0050999999999</v>
      </c>
      <c r="C3127">
        <v>20</v>
      </c>
      <c r="D3127" t="s">
        <v>686</v>
      </c>
      <c r="E3127" t="s">
        <v>681</v>
      </c>
      <c r="F3127">
        <v>1974</v>
      </c>
      <c r="G3127" s="1" t="s">
        <v>443</v>
      </c>
      <c r="H3127" s="1" t="s">
        <v>569</v>
      </c>
      <c r="I3127">
        <v>0.22209999999999999</v>
      </c>
      <c r="J3127">
        <v>34940.634599999998</v>
      </c>
      <c r="K3127">
        <v>7.8600000000000007E-3</v>
      </c>
      <c r="L3127">
        <v>6.5799999999999999E-3</v>
      </c>
      <c r="M3127">
        <v>8.0299999999999996E-2</v>
      </c>
      <c r="N3127">
        <v>7.2099999999999997E-2</v>
      </c>
      <c r="O3127">
        <v>7.0899999999999999E-3</v>
      </c>
      <c r="P3127" s="3">
        <f t="shared" si="192"/>
        <v>2862.0051012550648</v>
      </c>
      <c r="Q3127" s="3">
        <f t="shared" si="193"/>
        <v>7.8552176387347572E-3</v>
      </c>
      <c r="R3127" s="3">
        <f t="shared" si="194"/>
        <v>6.5799999999999999E-3</v>
      </c>
      <c r="S3127">
        <f t="shared" si="195"/>
        <v>76</v>
      </c>
      <c r="T3127">
        <f>INDEX([1]IDEN_level_ids!$B:$B,MATCH(G3127,[1]IDEN_level_ids!$A:$A,0),1)</f>
        <v>1145</v>
      </c>
      <c r="U3127">
        <f>INDEX([1]IDEN_level_ids!$B:$B,MATCH(H3127,[1]IDEN_level_ids!$A:$A,0),1)</f>
        <v>1049</v>
      </c>
    </row>
    <row r="3128" spans="1:21" hidden="1" x14ac:dyDescent="0.25">
      <c r="A3128">
        <v>34931.880400000002</v>
      </c>
      <c r="B3128">
        <v>2862.7145</v>
      </c>
      <c r="C3128">
        <v>20</v>
      </c>
      <c r="D3128" t="s">
        <v>686</v>
      </c>
      <c r="E3128" t="s">
        <v>678</v>
      </c>
      <c r="F3128">
        <v>1974</v>
      </c>
      <c r="G3128" s="1" t="s">
        <v>301</v>
      </c>
      <c r="H3128" s="1" t="s">
        <v>451</v>
      </c>
      <c r="I3128">
        <v>-0.63460000000000005</v>
      </c>
      <c r="J3128">
        <v>34931.760699999999</v>
      </c>
      <c r="K3128">
        <v>-9.8099999999999993E-3</v>
      </c>
      <c r="L3128">
        <v>5.9699999999999996E-3</v>
      </c>
      <c r="M3128">
        <v>7.2800000000000004E-2</v>
      </c>
      <c r="N3128">
        <v>6.3799999999999996E-2</v>
      </c>
      <c r="O3128">
        <v>6.3800000000000003E-3</v>
      </c>
      <c r="P3128" s="3">
        <f t="shared" si="192"/>
        <v>2862.7144847318323</v>
      </c>
      <c r="Q3128" s="3">
        <f t="shared" si="193"/>
        <v>-9.8096092774540011E-3</v>
      </c>
      <c r="R3128" s="3">
        <f t="shared" si="194"/>
        <v>5.9699999999999996E-3</v>
      </c>
      <c r="S3128">
        <f t="shared" si="195"/>
        <v>76</v>
      </c>
      <c r="T3128">
        <f>INDEX([1]IDEN_level_ids!$B:$B,MATCH(G3128,[1]IDEN_level_ids!$A:$A,0),1)</f>
        <v>1154</v>
      </c>
      <c r="U3128">
        <f>INDEX([1]IDEN_level_ids!$B:$B,MATCH(H3128,[1]IDEN_level_ids!$A:$A,0),1)</f>
        <v>1066</v>
      </c>
    </row>
    <row r="3129" spans="1:21" hidden="1" x14ac:dyDescent="0.25">
      <c r="A3129">
        <v>34911.499100000001</v>
      </c>
      <c r="B3129">
        <v>2864.3856999999998</v>
      </c>
      <c r="C3129">
        <v>20</v>
      </c>
      <c r="D3129" t="s">
        <v>686</v>
      </c>
      <c r="E3129" t="s">
        <v>681</v>
      </c>
      <c r="F3129">
        <v>1974</v>
      </c>
      <c r="G3129" s="1" t="s">
        <v>687</v>
      </c>
      <c r="H3129" s="1" t="s">
        <v>647</v>
      </c>
      <c r="I3129">
        <v>0.38090000000000002</v>
      </c>
      <c r="J3129">
        <v>34911.584300000002</v>
      </c>
      <c r="K3129">
        <v>6.9899999999999997E-3</v>
      </c>
      <c r="L3129">
        <v>6.5900000000000004E-3</v>
      </c>
      <c r="M3129">
        <v>8.0299999999999996E-2</v>
      </c>
      <c r="N3129">
        <v>0.16450000000000001</v>
      </c>
      <c r="O3129">
        <v>7.8899999999999994E-3</v>
      </c>
      <c r="P3129" s="3">
        <f t="shared" si="192"/>
        <v>2864.3857347277303</v>
      </c>
      <c r="Q3129" s="3">
        <f t="shared" si="193"/>
        <v>6.9903921435070515E-3</v>
      </c>
      <c r="R3129" s="3">
        <f t="shared" si="194"/>
        <v>6.5900000000000004E-3</v>
      </c>
      <c r="S3129">
        <f t="shared" si="195"/>
        <v>76</v>
      </c>
      <c r="T3129">
        <f>INDEX([1]IDEN_level_ids!$B:$B,MATCH(G3129,[1]IDEN_level_ids!$A:$A,0),1)</f>
        <v>1087</v>
      </c>
      <c r="U3129">
        <f>INDEX([1]IDEN_level_ids!$B:$B,MATCH(H3129,[1]IDEN_level_ids!$A:$A,0),1)</f>
        <v>929</v>
      </c>
    </row>
    <row r="3130" spans="1:21" hidden="1" x14ac:dyDescent="0.25">
      <c r="A3130">
        <v>34908.131300000001</v>
      </c>
      <c r="B3130">
        <v>2864.6621</v>
      </c>
      <c r="C3130">
        <v>20</v>
      </c>
      <c r="D3130" t="s">
        <v>686</v>
      </c>
      <c r="E3130" t="s">
        <v>681</v>
      </c>
      <c r="F3130">
        <v>1974</v>
      </c>
      <c r="G3130" s="1" t="s">
        <v>329</v>
      </c>
      <c r="H3130" s="1" t="s">
        <v>540</v>
      </c>
      <c r="I3130">
        <v>0.66010000000000002</v>
      </c>
      <c r="J3130">
        <v>34908.149799999999</v>
      </c>
      <c r="K3130">
        <v>1.5100000000000001E-3</v>
      </c>
      <c r="L3130">
        <v>6.5900000000000004E-3</v>
      </c>
      <c r="M3130">
        <v>8.0299999999999996E-2</v>
      </c>
      <c r="N3130">
        <v>6.4199999999999993E-2</v>
      </c>
      <c r="O3130">
        <v>7.0400000000000003E-3</v>
      </c>
      <c r="P3130" s="3">
        <f t="shared" si="192"/>
        <v>2864.6620794622713</v>
      </c>
      <c r="Q3130" s="3">
        <f t="shared" si="193"/>
        <v>1.5181626290541317E-3</v>
      </c>
      <c r="R3130" s="3">
        <f t="shared" si="194"/>
        <v>6.5900000000000004E-3</v>
      </c>
      <c r="S3130">
        <f t="shared" si="195"/>
        <v>76</v>
      </c>
      <c r="T3130">
        <f>INDEX([1]IDEN_level_ids!$B:$B,MATCH(G3130,[1]IDEN_level_ids!$A:$A,0),1)</f>
        <v>1138</v>
      </c>
      <c r="U3130">
        <f>INDEX([1]IDEN_level_ids!$B:$B,MATCH(H3130,[1]IDEN_level_ids!$A:$A,0),1)</f>
        <v>1027</v>
      </c>
    </row>
    <row r="3131" spans="1:21" hidden="1" x14ac:dyDescent="0.25">
      <c r="A3131">
        <v>34895.999000000003</v>
      </c>
      <c r="B3131">
        <v>2865.6579999999999</v>
      </c>
      <c r="C3131">
        <v>20</v>
      </c>
      <c r="D3131" t="s">
        <v>686</v>
      </c>
      <c r="F3131">
        <v>1974</v>
      </c>
      <c r="G3131" s="1" t="s">
        <v>212</v>
      </c>
      <c r="H3131" s="1" t="s">
        <v>565</v>
      </c>
      <c r="I3131">
        <v>0.1676</v>
      </c>
      <c r="J3131">
        <v>34895.968800000002</v>
      </c>
      <c r="K3131">
        <v>-2.48E-3</v>
      </c>
      <c r="L3131">
        <v>3.7799999999999999E-3</v>
      </c>
      <c r="M3131">
        <v>4.6100000000000002E-2</v>
      </c>
      <c r="N3131">
        <v>0.12740000000000001</v>
      </c>
      <c r="O3131">
        <v>4.3400000000000001E-3</v>
      </c>
      <c r="P3131" s="3">
        <f t="shared" si="192"/>
        <v>2865.6580371864407</v>
      </c>
      <c r="Q3131" s="3">
        <f t="shared" si="193"/>
        <v>-2.4800249339023139E-3</v>
      </c>
      <c r="R3131" s="3">
        <f t="shared" si="194"/>
        <v>3.7799999999999999E-3</v>
      </c>
      <c r="S3131">
        <f t="shared" si="195"/>
        <v>76</v>
      </c>
      <c r="T3131">
        <f>INDEX([1]IDEN_level_ids!$B:$B,MATCH(G3131,[1]IDEN_level_ids!$A:$A,0),1)</f>
        <v>1123</v>
      </c>
      <c r="U3131">
        <f>INDEX([1]IDEN_level_ids!$B:$B,MATCH(H3131,[1]IDEN_level_ids!$A:$A,0),1)</f>
        <v>1004</v>
      </c>
    </row>
    <row r="3132" spans="1:21" hidden="1" x14ac:dyDescent="0.25">
      <c r="A3132">
        <v>34887.811699999998</v>
      </c>
      <c r="B3132">
        <v>2866.3305</v>
      </c>
      <c r="C3132">
        <v>20</v>
      </c>
      <c r="D3132" t="s">
        <v>686</v>
      </c>
      <c r="F3132">
        <v>1974</v>
      </c>
      <c r="G3132" s="1" t="s">
        <v>288</v>
      </c>
      <c r="H3132" s="1" t="s">
        <v>458</v>
      </c>
      <c r="I3132">
        <v>0</v>
      </c>
      <c r="J3132">
        <v>34887.863899999997</v>
      </c>
      <c r="K3132">
        <v>4.28E-3</v>
      </c>
      <c r="L3132">
        <v>3.7799999999999999E-3</v>
      </c>
      <c r="M3132">
        <v>4.6100000000000002E-2</v>
      </c>
      <c r="N3132">
        <v>0.12180000000000001</v>
      </c>
      <c r="O3132">
        <v>4.3099999999999996E-3</v>
      </c>
      <c r="P3132" s="3">
        <f t="shared" si="192"/>
        <v>2866.3305357154286</v>
      </c>
      <c r="Q3132" s="3">
        <f t="shared" si="193"/>
        <v>4.2886676692432957E-3</v>
      </c>
      <c r="R3132" s="3">
        <f t="shared" si="194"/>
        <v>3.7799999999999999E-3</v>
      </c>
      <c r="S3132">
        <f t="shared" si="195"/>
        <v>76</v>
      </c>
      <c r="T3132">
        <f>INDEX([1]IDEN_level_ids!$B:$B,MATCH(G3132,[1]IDEN_level_ids!$A:$A,0),1)</f>
        <v>1151</v>
      </c>
      <c r="U3132">
        <f>INDEX([1]IDEN_level_ids!$B:$B,MATCH(H3132,[1]IDEN_level_ids!$A:$A,0),1)</f>
        <v>1064</v>
      </c>
    </row>
    <row r="3133" spans="1:21" hidden="1" x14ac:dyDescent="0.25">
      <c r="A3133">
        <v>34883.480300000003</v>
      </c>
      <c r="B3133">
        <v>2866.6864</v>
      </c>
      <c r="C3133">
        <v>20</v>
      </c>
      <c r="D3133" t="s">
        <v>686</v>
      </c>
      <c r="E3133" t="s">
        <v>678</v>
      </c>
      <c r="F3133">
        <v>1974</v>
      </c>
      <c r="G3133" s="1" t="s">
        <v>301</v>
      </c>
      <c r="H3133" s="1" t="s">
        <v>375</v>
      </c>
      <c r="I3133">
        <v>-0.7379</v>
      </c>
      <c r="J3133">
        <v>34883.528700000003</v>
      </c>
      <c r="K3133">
        <v>3.98E-3</v>
      </c>
      <c r="L3133">
        <v>5.9899999999999997E-3</v>
      </c>
      <c r="M3133">
        <v>7.2800000000000004E-2</v>
      </c>
      <c r="N3133">
        <v>6.3700000000000007E-2</v>
      </c>
      <c r="O3133">
        <v>6.3899999999999998E-3</v>
      </c>
      <c r="P3133" s="3">
        <f t="shared" si="192"/>
        <v>2866.6864412608506</v>
      </c>
      <c r="Q3133" s="3">
        <f t="shared" si="193"/>
        <v>3.977453799052455E-3</v>
      </c>
      <c r="R3133" s="3">
        <f t="shared" si="194"/>
        <v>5.9899999999999997E-3</v>
      </c>
      <c r="S3133">
        <f t="shared" si="195"/>
        <v>76</v>
      </c>
      <c r="T3133">
        <f>INDEX([1]IDEN_level_ids!$B:$B,MATCH(G3133,[1]IDEN_level_ids!$A:$A,0),1)</f>
        <v>1154</v>
      </c>
      <c r="U3133">
        <f>INDEX([1]IDEN_level_ids!$B:$B,MATCH(H3133,[1]IDEN_level_ids!$A:$A,0),1)</f>
        <v>1065</v>
      </c>
    </row>
    <row r="3134" spans="1:21" hidden="1" x14ac:dyDescent="0.25">
      <c r="A3134">
        <v>34832.711600000002</v>
      </c>
      <c r="B3134">
        <v>2870.8645999999999</v>
      </c>
      <c r="C3134">
        <v>20</v>
      </c>
      <c r="D3134" t="s">
        <v>686</v>
      </c>
      <c r="E3134" t="s">
        <v>681</v>
      </c>
      <c r="F3134">
        <v>1974</v>
      </c>
      <c r="G3134" s="1" t="s">
        <v>480</v>
      </c>
      <c r="H3134" s="1" t="s">
        <v>557</v>
      </c>
      <c r="I3134">
        <v>0.2306</v>
      </c>
      <c r="J3134">
        <v>34832.757899999997</v>
      </c>
      <c r="K3134">
        <v>3.81E-3</v>
      </c>
      <c r="L3134">
        <v>6.62E-3</v>
      </c>
      <c r="M3134">
        <v>8.0299999999999996E-2</v>
      </c>
      <c r="N3134">
        <v>0.13980000000000001</v>
      </c>
      <c r="O3134">
        <v>7.6899999999999998E-3</v>
      </c>
      <c r="P3134" s="3">
        <f t="shared" si="192"/>
        <v>2870.8646386289374</v>
      </c>
      <c r="Q3134" s="3">
        <f t="shared" si="193"/>
        <v>3.8159778546287271E-3</v>
      </c>
      <c r="R3134" s="3">
        <f t="shared" si="194"/>
        <v>6.62E-3</v>
      </c>
      <c r="S3134">
        <f t="shared" si="195"/>
        <v>76</v>
      </c>
      <c r="T3134">
        <f>INDEX([1]IDEN_level_ids!$B:$B,MATCH(G3134,[1]IDEN_level_ids!$A:$A,0),1)</f>
        <v>1156</v>
      </c>
      <c r="U3134">
        <f>INDEX([1]IDEN_level_ids!$B:$B,MATCH(H3134,[1]IDEN_level_ids!$A:$A,0),1)</f>
        <v>1069</v>
      </c>
    </row>
    <row r="3135" spans="1:21" hidden="1" x14ac:dyDescent="0.25">
      <c r="A3135">
        <v>34826.018400000001</v>
      </c>
      <c r="B3135">
        <v>2871.4164000000001</v>
      </c>
      <c r="C3135">
        <v>20</v>
      </c>
      <c r="D3135" t="s">
        <v>686</v>
      </c>
      <c r="F3135">
        <v>1974</v>
      </c>
      <c r="G3135" s="1" t="s">
        <v>273</v>
      </c>
      <c r="H3135" s="1" t="s">
        <v>526</v>
      </c>
      <c r="I3135">
        <v>0</v>
      </c>
      <c r="J3135">
        <v>34826.016300000003</v>
      </c>
      <c r="K3135">
        <v>-1.8000000000000001E-4</v>
      </c>
      <c r="L3135">
        <v>3.8E-3</v>
      </c>
      <c r="M3135">
        <v>4.6100000000000002E-2</v>
      </c>
      <c r="N3135">
        <v>0.2782</v>
      </c>
      <c r="O3135">
        <v>5.2599999999999999E-3</v>
      </c>
      <c r="P3135" s="3">
        <f t="shared" si="192"/>
        <v>2871.4163890753584</v>
      </c>
      <c r="Q3135" s="3">
        <f t="shared" si="193"/>
        <v>-1.7314568412984954E-4</v>
      </c>
      <c r="R3135" s="3">
        <f t="shared" si="194"/>
        <v>3.8E-3</v>
      </c>
      <c r="S3135">
        <f t="shared" si="195"/>
        <v>76</v>
      </c>
      <c r="T3135">
        <f>INDEX([1]IDEN_level_ids!$B:$B,MATCH(G3135,[1]IDEN_level_ids!$A:$A,0),1)</f>
        <v>1105</v>
      </c>
      <c r="U3135">
        <f>INDEX([1]IDEN_level_ids!$B:$B,MATCH(H3135,[1]IDEN_level_ids!$A:$A,0),1)</f>
        <v>989</v>
      </c>
    </row>
    <row r="3136" spans="1:21" hidden="1" x14ac:dyDescent="0.25">
      <c r="A3136">
        <v>34757.548900000002</v>
      </c>
      <c r="B3136">
        <v>2877.0727999999999</v>
      </c>
      <c r="C3136">
        <v>20</v>
      </c>
      <c r="D3136" t="s">
        <v>688</v>
      </c>
      <c r="E3136" t="s">
        <v>427</v>
      </c>
      <c r="F3136">
        <v>1974</v>
      </c>
      <c r="G3136" s="1" t="s">
        <v>670</v>
      </c>
      <c r="H3136" s="1" t="s">
        <v>503</v>
      </c>
      <c r="I3136">
        <v>5.28E-2</v>
      </c>
      <c r="J3136">
        <v>34757.604099999997</v>
      </c>
      <c r="K3136">
        <v>4.5599999999999998E-3</v>
      </c>
      <c r="L3136">
        <v>4.0299999999999997E-3</v>
      </c>
      <c r="M3136">
        <v>4.87E-2</v>
      </c>
      <c r="N3136">
        <v>0.26200000000000001</v>
      </c>
      <c r="O3136">
        <v>5.47E-3</v>
      </c>
      <c r="P3136" s="3">
        <f t="shared" si="192"/>
        <v>2877.0728421531471</v>
      </c>
      <c r="Q3136" s="3">
        <f t="shared" si="193"/>
        <v>4.5691993159380218E-3</v>
      </c>
      <c r="R3136" s="3">
        <f t="shared" si="194"/>
        <v>4.0299999999999997E-3</v>
      </c>
      <c r="S3136">
        <f t="shared" si="195"/>
        <v>77</v>
      </c>
      <c r="T3136">
        <f>INDEX([1]IDEN_level_ids!$B:$B,MATCH(G3136,[1]IDEN_level_ids!$A:$A,0),1)</f>
        <v>1093</v>
      </c>
      <c r="U3136">
        <f>INDEX([1]IDEN_level_ids!$B:$B,MATCH(H3136,[1]IDEN_level_ids!$A:$A,0),1)</f>
        <v>943</v>
      </c>
    </row>
    <row r="3137" spans="1:21" hidden="1" x14ac:dyDescent="0.25">
      <c r="A3137">
        <v>34756.388899999998</v>
      </c>
      <c r="B3137">
        <v>2877.1689000000001</v>
      </c>
      <c r="C3137">
        <v>20</v>
      </c>
      <c r="D3137" t="s">
        <v>688</v>
      </c>
      <c r="F3137">
        <v>1974</v>
      </c>
      <c r="G3137" s="1" t="s">
        <v>216</v>
      </c>
      <c r="H3137" s="1" t="s">
        <v>386</v>
      </c>
      <c r="I3137">
        <v>0.22500000000000001</v>
      </c>
      <c r="J3137">
        <v>34756.423499999997</v>
      </c>
      <c r="K3137">
        <v>2.8600000000000001E-3</v>
      </c>
      <c r="L3137">
        <v>3.81E-3</v>
      </c>
      <c r="M3137">
        <v>4.6100000000000002E-2</v>
      </c>
      <c r="N3137">
        <v>8.6199999999999999E-2</v>
      </c>
      <c r="O3137">
        <v>4.1700000000000001E-3</v>
      </c>
      <c r="P3137" s="3">
        <f t="shared" si="192"/>
        <v>2877.1688649162284</v>
      </c>
      <c r="Q3137" s="3">
        <f t="shared" si="193"/>
        <v>2.864219982711802E-3</v>
      </c>
      <c r="R3137" s="3">
        <f t="shared" si="194"/>
        <v>3.81E-3</v>
      </c>
      <c r="S3137">
        <f t="shared" si="195"/>
        <v>77</v>
      </c>
      <c r="T3137">
        <f>INDEX([1]IDEN_level_ids!$B:$B,MATCH(G3137,[1]IDEN_level_ids!$A:$A,0),1)</f>
        <v>1170</v>
      </c>
      <c r="U3137">
        <f>INDEX([1]IDEN_level_ids!$B:$B,MATCH(H3137,[1]IDEN_level_ids!$A:$A,0),1)</f>
        <v>1082</v>
      </c>
    </row>
    <row r="3138" spans="1:21" hidden="1" x14ac:dyDescent="0.25">
      <c r="A3138">
        <v>34733.420299999998</v>
      </c>
      <c r="B3138">
        <v>2879.0715</v>
      </c>
      <c r="C3138">
        <v>20</v>
      </c>
      <c r="D3138" t="s">
        <v>688</v>
      </c>
      <c r="E3138" t="s">
        <v>427</v>
      </c>
      <c r="F3138">
        <v>1974</v>
      </c>
      <c r="G3138" s="1" t="s">
        <v>334</v>
      </c>
      <c r="H3138" s="1" t="s">
        <v>548</v>
      </c>
      <c r="I3138">
        <v>0</v>
      </c>
      <c r="J3138">
        <v>34733.4444</v>
      </c>
      <c r="K3138">
        <v>2E-3</v>
      </c>
      <c r="L3138">
        <v>4.0400000000000002E-3</v>
      </c>
      <c r="M3138">
        <v>4.87E-2</v>
      </c>
      <c r="N3138">
        <v>0.44409999999999999</v>
      </c>
      <c r="O3138">
        <v>7.2700000000000004E-3</v>
      </c>
      <c r="P3138" s="3">
        <f t="shared" ref="P3138:P3201" si="196">100000000/$A3138</f>
        <v>2879.0714860868457</v>
      </c>
      <c r="Q3138" s="3">
        <f t="shared" ref="Q3138:Q3201" si="197">100000000/($A3138)-100000000/$J3138</f>
        <v>1.9976602961833123E-3</v>
      </c>
      <c r="R3138" s="3">
        <f t="shared" si="194"/>
        <v>4.0400000000000002E-3</v>
      </c>
      <c r="S3138">
        <f t="shared" si="195"/>
        <v>77</v>
      </c>
      <c r="T3138">
        <f>INDEX([1]IDEN_level_ids!$B:$B,MATCH(G3138,[1]IDEN_level_ids!$A:$A,0),1)</f>
        <v>1124</v>
      </c>
      <c r="U3138">
        <f>INDEX([1]IDEN_level_ids!$B:$B,MATCH(H3138,[1]IDEN_level_ids!$A:$A,0),1)</f>
        <v>1005</v>
      </c>
    </row>
    <row r="3139" spans="1:21" hidden="1" x14ac:dyDescent="0.25">
      <c r="A3139">
        <v>34715.619500000001</v>
      </c>
      <c r="B3139">
        <v>2880.5477999999998</v>
      </c>
      <c r="C3139">
        <v>20</v>
      </c>
      <c r="D3139" t="s">
        <v>688</v>
      </c>
      <c r="E3139" t="s">
        <v>427</v>
      </c>
      <c r="F3139">
        <v>1974</v>
      </c>
      <c r="G3139" s="1" t="s">
        <v>299</v>
      </c>
      <c r="H3139" s="1" t="s">
        <v>508</v>
      </c>
      <c r="I3139">
        <v>0</v>
      </c>
      <c r="J3139">
        <v>34715.646399999998</v>
      </c>
      <c r="K3139">
        <v>2.2300000000000002E-3</v>
      </c>
      <c r="L3139">
        <v>4.0400000000000002E-3</v>
      </c>
      <c r="M3139">
        <v>4.87E-2</v>
      </c>
      <c r="N3139">
        <v>0.1928</v>
      </c>
      <c r="O3139">
        <v>5.0099999999999997E-3</v>
      </c>
      <c r="P3139" s="3">
        <f t="shared" si="196"/>
        <v>2880.5477603532322</v>
      </c>
      <c r="Q3139" s="3">
        <f t="shared" si="197"/>
        <v>2.2320406724247732E-3</v>
      </c>
      <c r="R3139" s="3">
        <f t="shared" ref="R3139:R3202" si="198">$L3139</f>
        <v>4.0400000000000002E-3</v>
      </c>
      <c r="S3139">
        <f t="shared" si="195"/>
        <v>77</v>
      </c>
      <c r="T3139">
        <f>INDEX([1]IDEN_level_ids!$B:$B,MATCH(G3139,[1]IDEN_level_ids!$A:$A,0),1)</f>
        <v>1101</v>
      </c>
      <c r="U3139">
        <f>INDEX([1]IDEN_level_ids!$B:$B,MATCH(H3139,[1]IDEN_level_ids!$A:$A,0),1)</f>
        <v>961</v>
      </c>
    </row>
    <row r="3140" spans="1:21" hidden="1" x14ac:dyDescent="0.25">
      <c r="A3140">
        <v>34708.241199999997</v>
      </c>
      <c r="B3140">
        <v>2881.1601000000001</v>
      </c>
      <c r="C3140">
        <v>20</v>
      </c>
      <c r="D3140" t="s">
        <v>688</v>
      </c>
      <c r="E3140" t="s">
        <v>678</v>
      </c>
      <c r="F3140">
        <v>1974</v>
      </c>
      <c r="G3140" s="1" t="s">
        <v>301</v>
      </c>
      <c r="H3140" s="1" t="s">
        <v>448</v>
      </c>
      <c r="I3140">
        <v>-0.7298</v>
      </c>
      <c r="J3140">
        <v>34708.196799999998</v>
      </c>
      <c r="K3140">
        <v>-3.6900000000000001E-3</v>
      </c>
      <c r="L3140">
        <v>6.0499999999999998E-3</v>
      </c>
      <c r="M3140">
        <v>7.2800000000000004E-2</v>
      </c>
      <c r="N3140">
        <v>6.4199999999999993E-2</v>
      </c>
      <c r="O3140">
        <v>6.4599999999999996E-3</v>
      </c>
      <c r="P3140" s="3">
        <f t="shared" si="196"/>
        <v>2881.1601090290915</v>
      </c>
      <c r="Q3140" s="3">
        <f t="shared" si="197"/>
        <v>-3.6856858218925481E-3</v>
      </c>
      <c r="R3140" s="3">
        <f t="shared" si="198"/>
        <v>6.0499999999999998E-3</v>
      </c>
      <c r="S3140">
        <f t="shared" ref="S3140:S3203" si="199">IF(D3140=D3139,S3139,S3139+1)</f>
        <v>77</v>
      </c>
      <c r="T3140">
        <f>INDEX([1]IDEN_level_ids!$B:$B,MATCH(G3140,[1]IDEN_level_ids!$A:$A,0),1)</f>
        <v>1154</v>
      </c>
      <c r="U3140">
        <f>INDEX([1]IDEN_level_ids!$B:$B,MATCH(H3140,[1]IDEN_level_ids!$A:$A,0),1)</f>
        <v>1067</v>
      </c>
    </row>
    <row r="3141" spans="1:21" hidden="1" x14ac:dyDescent="0.25">
      <c r="A3141">
        <v>34686.978499999997</v>
      </c>
      <c r="B3141">
        <v>2882.9261999999999</v>
      </c>
      <c r="C3141">
        <v>20</v>
      </c>
      <c r="D3141" t="s">
        <v>688</v>
      </c>
      <c r="E3141" t="s">
        <v>678</v>
      </c>
      <c r="F3141">
        <v>1974</v>
      </c>
      <c r="G3141" s="1" t="s">
        <v>276</v>
      </c>
      <c r="H3141" s="1" t="s">
        <v>544</v>
      </c>
      <c r="I3141">
        <v>-1.0219</v>
      </c>
      <c r="J3141">
        <v>34687.0213</v>
      </c>
      <c r="K3141">
        <v>3.5599999999999998E-3</v>
      </c>
      <c r="L3141">
        <v>6.0499999999999998E-3</v>
      </c>
      <c r="M3141">
        <v>7.2800000000000004E-2</v>
      </c>
      <c r="N3141">
        <v>9.5000000000000001E-2</v>
      </c>
      <c r="O3141">
        <v>6.6899999999999998E-3</v>
      </c>
      <c r="P3141" s="3">
        <f t="shared" si="196"/>
        <v>2882.926225471037</v>
      </c>
      <c r="Q3141" s="3">
        <f t="shared" si="197"/>
        <v>3.5572164410950791E-3</v>
      </c>
      <c r="R3141" s="3">
        <f t="shared" si="198"/>
        <v>6.0499999999999998E-3</v>
      </c>
      <c r="S3141">
        <f t="shared" si="199"/>
        <v>77</v>
      </c>
      <c r="T3141">
        <f>INDEX([1]IDEN_level_ids!$B:$B,MATCH(G3141,[1]IDEN_level_ids!$A:$A,0),1)</f>
        <v>1131</v>
      </c>
      <c r="U3141">
        <f>INDEX([1]IDEN_level_ids!$B:$B,MATCH(H3141,[1]IDEN_level_ids!$A:$A,0),1)</f>
        <v>1011</v>
      </c>
    </row>
    <row r="3142" spans="1:21" hidden="1" x14ac:dyDescent="0.25">
      <c r="A3142">
        <v>34682.341399999998</v>
      </c>
      <c r="B3142">
        <v>2883.3117000000002</v>
      </c>
      <c r="C3142">
        <v>20</v>
      </c>
      <c r="D3142" t="s">
        <v>688</v>
      </c>
      <c r="F3142">
        <v>1974</v>
      </c>
      <c r="G3142" s="1" t="s">
        <v>268</v>
      </c>
      <c r="H3142" s="1" t="s">
        <v>464</v>
      </c>
      <c r="I3142">
        <v>0</v>
      </c>
      <c r="J3142">
        <v>34682.3586</v>
      </c>
      <c r="K3142">
        <v>1.4300000000000001E-3</v>
      </c>
      <c r="L3142">
        <v>3.8300000000000001E-3</v>
      </c>
      <c r="M3142">
        <v>4.6100000000000002E-2</v>
      </c>
      <c r="N3142">
        <v>0.11020000000000001</v>
      </c>
      <c r="O3142">
        <v>4.3E-3</v>
      </c>
      <c r="P3142" s="3">
        <f t="shared" si="196"/>
        <v>2883.3116786054129</v>
      </c>
      <c r="Q3142" s="3">
        <f t="shared" si="197"/>
        <v>1.4299189238045074E-3</v>
      </c>
      <c r="R3142" s="3">
        <f t="shared" si="198"/>
        <v>3.8300000000000001E-3</v>
      </c>
      <c r="S3142">
        <f t="shared" si="199"/>
        <v>77</v>
      </c>
      <c r="T3142">
        <f>INDEX([1]IDEN_level_ids!$B:$B,MATCH(G3142,[1]IDEN_level_ids!$A:$A,0),1)</f>
        <v>1160</v>
      </c>
      <c r="U3142">
        <f>INDEX([1]IDEN_level_ids!$B:$B,MATCH(H3142,[1]IDEN_level_ids!$A:$A,0),1)</f>
        <v>1076</v>
      </c>
    </row>
    <row r="3143" spans="1:21" hidden="1" x14ac:dyDescent="0.25">
      <c r="A3143">
        <v>34680.512000000002</v>
      </c>
      <c r="B3143">
        <v>2883.4638</v>
      </c>
      <c r="C3143">
        <v>20</v>
      </c>
      <c r="D3143" t="s">
        <v>688</v>
      </c>
      <c r="F3143">
        <v>1974</v>
      </c>
      <c r="G3143" s="1" t="s">
        <v>100</v>
      </c>
      <c r="H3143" s="1" t="s">
        <v>569</v>
      </c>
      <c r="I3143">
        <v>0</v>
      </c>
      <c r="J3143">
        <v>34680.512000000002</v>
      </c>
      <c r="K3143">
        <v>1.0000000000000001E-5</v>
      </c>
      <c r="L3143">
        <v>3.8300000000000001E-3</v>
      </c>
      <c r="M3143">
        <v>4.6100000000000002E-2</v>
      </c>
      <c r="N3143">
        <v>0.1249</v>
      </c>
      <c r="O3143">
        <v>4.3800000000000002E-3</v>
      </c>
      <c r="P3143" s="3">
        <f t="shared" si="196"/>
        <v>2883.4637735452116</v>
      </c>
      <c r="Q3143" s="3">
        <f t="shared" si="197"/>
        <v>0</v>
      </c>
      <c r="R3143" s="3">
        <f t="shared" si="198"/>
        <v>3.8300000000000001E-3</v>
      </c>
      <c r="S3143">
        <f t="shared" si="199"/>
        <v>77</v>
      </c>
      <c r="T3143">
        <f>INDEX([1]IDEN_level_ids!$B:$B,MATCH(G3143,[1]IDEN_level_ids!$A:$A,0),1)</f>
        <v>1146</v>
      </c>
      <c r="U3143">
        <f>INDEX([1]IDEN_level_ids!$B:$B,MATCH(H3143,[1]IDEN_level_ids!$A:$A,0),1)</f>
        <v>1049</v>
      </c>
    </row>
    <row r="3144" spans="1:21" hidden="1" x14ac:dyDescent="0.25">
      <c r="A3144">
        <v>34651.8701</v>
      </c>
      <c r="B3144">
        <v>2885.8471</v>
      </c>
      <c r="C3144">
        <v>20</v>
      </c>
      <c r="D3144" t="s">
        <v>688</v>
      </c>
      <c r="E3144" t="s">
        <v>681</v>
      </c>
      <c r="F3144">
        <v>1974</v>
      </c>
      <c r="G3144" s="1" t="s">
        <v>534</v>
      </c>
      <c r="H3144" s="1" t="s">
        <v>584</v>
      </c>
      <c r="I3144">
        <v>0.32779999999999998</v>
      </c>
      <c r="J3144">
        <v>34651.872900000002</v>
      </c>
      <c r="K3144">
        <v>2.3000000000000001E-4</v>
      </c>
      <c r="L3144">
        <v>6.6899999999999998E-3</v>
      </c>
      <c r="M3144">
        <v>8.0299999999999996E-2</v>
      </c>
      <c r="N3144">
        <v>0.11550000000000001</v>
      </c>
      <c r="O3144">
        <v>7.5599999999999999E-3</v>
      </c>
      <c r="P3144" s="3">
        <f t="shared" si="196"/>
        <v>2885.8471335433064</v>
      </c>
      <c r="Q3144" s="3">
        <f t="shared" si="197"/>
        <v>2.3318716466746992E-4</v>
      </c>
      <c r="R3144" s="3">
        <f t="shared" si="198"/>
        <v>6.6899999999999998E-3</v>
      </c>
      <c r="S3144">
        <f t="shared" si="199"/>
        <v>77</v>
      </c>
      <c r="T3144">
        <f>INDEX([1]IDEN_level_ids!$B:$B,MATCH(G3144,[1]IDEN_level_ids!$A:$A,0),1)</f>
        <v>1116</v>
      </c>
      <c r="U3144">
        <f>INDEX([1]IDEN_level_ids!$B:$B,MATCH(H3144,[1]IDEN_level_ids!$A:$A,0),1)</f>
        <v>992</v>
      </c>
    </row>
    <row r="3145" spans="1:21" hidden="1" x14ac:dyDescent="0.25">
      <c r="A3145">
        <v>34636.539799999999</v>
      </c>
      <c r="B3145">
        <v>2887.1244000000002</v>
      </c>
      <c r="C3145">
        <v>20</v>
      </c>
      <c r="D3145" t="s">
        <v>688</v>
      </c>
      <c r="E3145" t="s">
        <v>427</v>
      </c>
      <c r="F3145">
        <v>1974</v>
      </c>
      <c r="G3145" s="1" t="s">
        <v>271</v>
      </c>
      <c r="H3145" s="1" t="s">
        <v>398</v>
      </c>
      <c r="I3145">
        <v>0.31929999999999997</v>
      </c>
      <c r="J3145">
        <v>34636.560400000002</v>
      </c>
      <c r="K3145">
        <v>1.72E-3</v>
      </c>
      <c r="L3145">
        <v>4.0600000000000002E-3</v>
      </c>
      <c r="M3145">
        <v>4.87E-2</v>
      </c>
      <c r="N3145">
        <v>7.3800000000000004E-2</v>
      </c>
      <c r="O3145">
        <v>4.3899999999999998E-3</v>
      </c>
      <c r="P3145" s="3">
        <f t="shared" si="196"/>
        <v>2887.1244234390874</v>
      </c>
      <c r="Q3145" s="3">
        <f t="shared" si="197"/>
        <v>1.7171093909382762E-3</v>
      </c>
      <c r="R3145" s="3">
        <f t="shared" si="198"/>
        <v>4.0600000000000002E-3</v>
      </c>
      <c r="S3145">
        <f t="shared" si="199"/>
        <v>77</v>
      </c>
      <c r="T3145">
        <f>INDEX([1]IDEN_level_ids!$B:$B,MATCH(G3145,[1]IDEN_level_ids!$A:$A,0),1)</f>
        <v>1158</v>
      </c>
      <c r="U3145">
        <f>INDEX([1]IDEN_level_ids!$B:$B,MATCH(H3145,[1]IDEN_level_ids!$A:$A,0),1)</f>
        <v>1075</v>
      </c>
    </row>
    <row r="3146" spans="1:21" hidden="1" x14ac:dyDescent="0.25">
      <c r="A3146">
        <v>34629.602099999996</v>
      </c>
      <c r="B3146">
        <v>2887.7028</v>
      </c>
      <c r="C3146">
        <v>20</v>
      </c>
      <c r="D3146" t="s">
        <v>688</v>
      </c>
      <c r="E3146" t="s">
        <v>638</v>
      </c>
      <c r="F3146">
        <v>1974</v>
      </c>
      <c r="G3146" s="1" t="s">
        <v>412</v>
      </c>
      <c r="H3146" s="1" t="s">
        <v>494</v>
      </c>
      <c r="I3146">
        <v>0</v>
      </c>
      <c r="J3146">
        <v>34629.4329</v>
      </c>
      <c r="K3146">
        <v>-1.4109999999999999E-2</v>
      </c>
      <c r="L3146">
        <v>1.4409999999999999E-2</v>
      </c>
      <c r="M3146">
        <v>0.17280000000000001</v>
      </c>
      <c r="N3146">
        <v>0.3755</v>
      </c>
      <c r="O3146">
        <v>2.308E-2</v>
      </c>
      <c r="P3146" s="3">
        <f t="shared" si="196"/>
        <v>2887.7028304058977</v>
      </c>
      <c r="Q3146" s="3">
        <f t="shared" si="197"/>
        <v>-1.4109365299191268E-2</v>
      </c>
      <c r="R3146" s="3">
        <f t="shared" si="198"/>
        <v>1.4409999999999999E-2</v>
      </c>
      <c r="S3146">
        <f t="shared" si="199"/>
        <v>77</v>
      </c>
      <c r="T3146">
        <f>INDEX([1]IDEN_level_ids!$B:$B,MATCH(G3146,[1]IDEN_level_ids!$A:$A,0),1)</f>
        <v>923</v>
      </c>
      <c r="U3146">
        <f>INDEX([1]IDEN_level_ids!$B:$B,MATCH(H3146,[1]IDEN_level_ids!$A:$A,0),1)</f>
        <v>592</v>
      </c>
    </row>
    <row r="3147" spans="1:21" hidden="1" x14ac:dyDescent="0.25">
      <c r="A3147">
        <v>34626.979299999999</v>
      </c>
      <c r="B3147">
        <v>2887.9216000000001</v>
      </c>
      <c r="C3147">
        <v>20</v>
      </c>
      <c r="D3147" t="s">
        <v>688</v>
      </c>
      <c r="E3147" t="s">
        <v>681</v>
      </c>
      <c r="F3147">
        <v>1974</v>
      </c>
      <c r="G3147" s="1" t="s">
        <v>515</v>
      </c>
      <c r="H3147" s="1" t="s">
        <v>441</v>
      </c>
      <c r="I3147">
        <v>0.40210000000000001</v>
      </c>
      <c r="J3147">
        <v>34627.101600000002</v>
      </c>
      <c r="K3147">
        <v>1.0200000000000001E-2</v>
      </c>
      <c r="L3147">
        <v>6.7000000000000002E-3</v>
      </c>
      <c r="M3147">
        <v>8.0299999999999996E-2</v>
      </c>
      <c r="N3147">
        <v>0.1116</v>
      </c>
      <c r="O3147">
        <v>7.5399999999999998E-3</v>
      </c>
      <c r="P3147" s="3">
        <f t="shared" si="196"/>
        <v>2887.921557743271</v>
      </c>
      <c r="Q3147" s="3">
        <f t="shared" si="197"/>
        <v>1.0199895174537232E-2</v>
      </c>
      <c r="R3147" s="3">
        <f t="shared" si="198"/>
        <v>6.7000000000000002E-3</v>
      </c>
      <c r="S3147">
        <f t="shared" si="199"/>
        <v>77</v>
      </c>
      <c r="T3147">
        <f>INDEX([1]IDEN_level_ids!$B:$B,MATCH(G3147,[1]IDEN_level_ids!$A:$A,0),1)</f>
        <v>1140</v>
      </c>
      <c r="U3147">
        <f>INDEX([1]IDEN_level_ids!$B:$B,MATCH(H3147,[1]IDEN_level_ids!$A:$A,0),1)</f>
        <v>1034</v>
      </c>
    </row>
    <row r="3148" spans="1:21" hidden="1" x14ac:dyDescent="0.25">
      <c r="A3148">
        <v>34625.158100000001</v>
      </c>
      <c r="B3148">
        <v>2888.0735</v>
      </c>
      <c r="C3148">
        <v>20</v>
      </c>
      <c r="D3148" t="s">
        <v>688</v>
      </c>
      <c r="F3148">
        <v>1974</v>
      </c>
      <c r="G3148" s="1" t="s">
        <v>180</v>
      </c>
      <c r="H3148" s="1" t="s">
        <v>381</v>
      </c>
      <c r="I3148">
        <v>0.23219999999999999</v>
      </c>
      <c r="J3148">
        <v>34625.2117</v>
      </c>
      <c r="K3148">
        <v>4.47E-3</v>
      </c>
      <c r="L3148">
        <v>3.8400000000000001E-3</v>
      </c>
      <c r="M3148">
        <v>4.6100000000000002E-2</v>
      </c>
      <c r="N3148">
        <v>0.1061</v>
      </c>
      <c r="O3148">
        <v>4.3E-3</v>
      </c>
      <c r="P3148" s="3">
        <f t="shared" si="196"/>
        <v>2888.0734554682076</v>
      </c>
      <c r="Q3148" s="3">
        <f t="shared" si="197"/>
        <v>4.4707520796691824E-3</v>
      </c>
      <c r="R3148" s="3">
        <f t="shared" si="198"/>
        <v>3.8400000000000001E-3</v>
      </c>
      <c r="S3148">
        <f t="shared" si="199"/>
        <v>77</v>
      </c>
      <c r="T3148">
        <f>INDEX([1]IDEN_level_ids!$B:$B,MATCH(G3148,[1]IDEN_level_ids!$A:$A,0),1)</f>
        <v>1184</v>
      </c>
      <c r="U3148">
        <f>INDEX([1]IDEN_level_ids!$B:$B,MATCH(H3148,[1]IDEN_level_ids!$A:$A,0),1)</f>
        <v>1084</v>
      </c>
    </row>
    <row r="3149" spans="1:21" hidden="1" x14ac:dyDescent="0.25">
      <c r="A3149">
        <v>34614.139300000003</v>
      </c>
      <c r="B3149">
        <v>2888.9928</v>
      </c>
      <c r="C3149">
        <v>20</v>
      </c>
      <c r="D3149" t="s">
        <v>688</v>
      </c>
      <c r="F3149">
        <v>1974</v>
      </c>
      <c r="G3149" s="1" t="s">
        <v>280</v>
      </c>
      <c r="H3149" s="1" t="s">
        <v>579</v>
      </c>
      <c r="I3149">
        <v>0</v>
      </c>
      <c r="J3149">
        <v>34614.1345</v>
      </c>
      <c r="K3149">
        <v>-4.0000000000000002E-4</v>
      </c>
      <c r="L3149">
        <v>3.8400000000000001E-3</v>
      </c>
      <c r="M3149">
        <v>4.6100000000000002E-2</v>
      </c>
      <c r="N3149">
        <v>0.38829999999999998</v>
      </c>
      <c r="O3149">
        <v>6.2899999999999996E-3</v>
      </c>
      <c r="P3149" s="3">
        <f t="shared" si="196"/>
        <v>2888.9928226526781</v>
      </c>
      <c r="Q3149" s="3">
        <f t="shared" si="197"/>
        <v>-4.0062147309072316E-4</v>
      </c>
      <c r="R3149" s="3">
        <f t="shared" si="198"/>
        <v>3.8400000000000001E-3</v>
      </c>
      <c r="S3149">
        <f t="shared" si="199"/>
        <v>77</v>
      </c>
      <c r="T3149">
        <f>INDEX([1]IDEN_level_ids!$B:$B,MATCH(G3149,[1]IDEN_level_ids!$A:$A,0),1)</f>
        <v>1130</v>
      </c>
      <c r="U3149">
        <f>INDEX([1]IDEN_level_ids!$B:$B,MATCH(H3149,[1]IDEN_level_ids!$A:$A,0),1)</f>
        <v>1007</v>
      </c>
    </row>
    <row r="3150" spans="1:21" hidden="1" x14ac:dyDescent="0.25">
      <c r="A3150">
        <v>34605.418299999998</v>
      </c>
      <c r="B3150">
        <v>2889.7208999999998</v>
      </c>
      <c r="C3150">
        <v>20</v>
      </c>
      <c r="D3150" t="s">
        <v>688</v>
      </c>
      <c r="E3150" t="s">
        <v>678</v>
      </c>
      <c r="F3150">
        <v>1974</v>
      </c>
      <c r="G3150" s="1" t="s">
        <v>354</v>
      </c>
      <c r="H3150" s="1" t="s">
        <v>570</v>
      </c>
      <c r="I3150">
        <v>-0.83340000000000003</v>
      </c>
      <c r="J3150">
        <v>34605.501900000003</v>
      </c>
      <c r="K3150">
        <v>6.9699999999999996E-3</v>
      </c>
      <c r="L3150">
        <v>6.0800000000000003E-3</v>
      </c>
      <c r="M3150">
        <v>7.2800000000000004E-2</v>
      </c>
      <c r="N3150">
        <v>8.7300000000000003E-2</v>
      </c>
      <c r="O3150">
        <v>6.6600000000000001E-3</v>
      </c>
      <c r="P3150" s="3">
        <f t="shared" si="196"/>
        <v>2889.7208851250907</v>
      </c>
      <c r="Q3150" s="3">
        <f t="shared" si="197"/>
        <v>6.9809900955988269E-3</v>
      </c>
      <c r="R3150" s="3">
        <f t="shared" si="198"/>
        <v>6.0800000000000003E-3</v>
      </c>
      <c r="S3150">
        <f t="shared" si="199"/>
        <v>77</v>
      </c>
      <c r="T3150">
        <f>INDEX([1]IDEN_level_ids!$B:$B,MATCH(G3150,[1]IDEN_level_ids!$A:$A,0),1)</f>
        <v>1135</v>
      </c>
      <c r="U3150">
        <f>INDEX([1]IDEN_level_ids!$B:$B,MATCH(H3150,[1]IDEN_level_ids!$A:$A,0),1)</f>
        <v>1015</v>
      </c>
    </row>
    <row r="3151" spans="1:21" hidden="1" x14ac:dyDescent="0.25">
      <c r="A3151">
        <v>34581.859499999999</v>
      </c>
      <c r="B3151">
        <v>2891.6895</v>
      </c>
      <c r="C3151">
        <v>20</v>
      </c>
      <c r="D3151" t="s">
        <v>688</v>
      </c>
      <c r="E3151" t="s">
        <v>427</v>
      </c>
      <c r="F3151">
        <v>1974</v>
      </c>
      <c r="G3151" s="1" t="s">
        <v>255</v>
      </c>
      <c r="H3151" s="1" t="s">
        <v>555</v>
      </c>
      <c r="I3151">
        <v>0</v>
      </c>
      <c r="J3151">
        <v>34581.8511</v>
      </c>
      <c r="K3151">
        <v>-6.9999999999999999E-4</v>
      </c>
      <c r="L3151">
        <v>4.0699999999999998E-3</v>
      </c>
      <c r="M3151">
        <v>4.87E-2</v>
      </c>
      <c r="N3151">
        <v>0.23200000000000001</v>
      </c>
      <c r="O3151">
        <v>5.3099999999999996E-3</v>
      </c>
      <c r="P3151" s="3">
        <f t="shared" si="196"/>
        <v>2891.6894998084185</v>
      </c>
      <c r="Q3151" s="3">
        <f t="shared" si="197"/>
        <v>-7.0239709611996659E-4</v>
      </c>
      <c r="R3151" s="3">
        <f t="shared" si="198"/>
        <v>4.0699999999999998E-3</v>
      </c>
      <c r="S3151">
        <f t="shared" si="199"/>
        <v>77</v>
      </c>
      <c r="T3151">
        <f>INDEX([1]IDEN_level_ids!$B:$B,MATCH(G3151,[1]IDEN_level_ids!$A:$A,0),1)</f>
        <v>1111</v>
      </c>
      <c r="U3151">
        <f>INDEX([1]IDEN_level_ids!$B:$B,MATCH(H3151,[1]IDEN_level_ids!$A:$A,0),1)</f>
        <v>995</v>
      </c>
    </row>
    <row r="3152" spans="1:21" hidden="1" x14ac:dyDescent="0.25">
      <c r="A3152">
        <v>34554.8315</v>
      </c>
      <c r="B3152">
        <v>2893.9513000000002</v>
      </c>
      <c r="C3152">
        <v>20</v>
      </c>
      <c r="D3152" t="s">
        <v>688</v>
      </c>
      <c r="E3152" t="s">
        <v>427</v>
      </c>
      <c r="F3152">
        <v>1974</v>
      </c>
      <c r="G3152" s="1" t="s">
        <v>297</v>
      </c>
      <c r="H3152" s="1" t="s">
        <v>474</v>
      </c>
      <c r="I3152">
        <v>0.2712</v>
      </c>
      <c r="J3152">
        <v>34554.829100000003</v>
      </c>
      <c r="K3152">
        <v>-2.1000000000000001E-4</v>
      </c>
      <c r="L3152">
        <v>4.0800000000000003E-3</v>
      </c>
      <c r="M3152">
        <v>4.87E-2</v>
      </c>
      <c r="N3152">
        <v>0.2281</v>
      </c>
      <c r="O3152">
        <v>5.2900000000000004E-3</v>
      </c>
      <c r="P3152" s="3">
        <f t="shared" si="196"/>
        <v>2893.9513132917464</v>
      </c>
      <c r="Q3152" s="3">
        <f t="shared" si="197"/>
        <v>-2.0099891435165773E-4</v>
      </c>
      <c r="R3152" s="3">
        <f t="shared" si="198"/>
        <v>4.0800000000000003E-3</v>
      </c>
      <c r="S3152">
        <f t="shared" si="199"/>
        <v>77</v>
      </c>
      <c r="T3152">
        <f>INDEX([1]IDEN_level_ids!$B:$B,MATCH(G3152,[1]IDEN_level_ids!$A:$A,0),1)</f>
        <v>1099</v>
      </c>
      <c r="U3152">
        <f>INDEX([1]IDEN_level_ids!$B:$B,MATCH(H3152,[1]IDEN_level_ids!$A:$A,0),1)</f>
        <v>959</v>
      </c>
    </row>
    <row r="3153" spans="1:21" hidden="1" x14ac:dyDescent="0.25">
      <c r="A3153">
        <v>34553.841</v>
      </c>
      <c r="B3153">
        <v>2894.0342999999998</v>
      </c>
      <c r="C3153">
        <v>20</v>
      </c>
      <c r="D3153" t="s">
        <v>688</v>
      </c>
      <c r="F3153">
        <v>1974</v>
      </c>
      <c r="G3153" s="1" t="s">
        <v>288</v>
      </c>
      <c r="H3153" s="1" t="s">
        <v>451</v>
      </c>
      <c r="I3153">
        <v>0.38469999999999999</v>
      </c>
      <c r="J3153">
        <v>34553.849000000002</v>
      </c>
      <c r="K3153">
        <v>6.7000000000000002E-4</v>
      </c>
      <c r="L3153">
        <v>3.8600000000000001E-3</v>
      </c>
      <c r="M3153">
        <v>4.6100000000000002E-2</v>
      </c>
      <c r="N3153">
        <v>0.10009999999999999</v>
      </c>
      <c r="O3153">
        <v>4.2900000000000004E-3</v>
      </c>
      <c r="P3153" s="3">
        <f t="shared" si="196"/>
        <v>2894.0342695910422</v>
      </c>
      <c r="Q3153" s="3">
        <f t="shared" si="197"/>
        <v>6.7003459344050498E-4</v>
      </c>
      <c r="R3153" s="3">
        <f t="shared" si="198"/>
        <v>3.8600000000000001E-3</v>
      </c>
      <c r="S3153">
        <f t="shared" si="199"/>
        <v>77</v>
      </c>
      <c r="T3153">
        <f>INDEX([1]IDEN_level_ids!$B:$B,MATCH(G3153,[1]IDEN_level_ids!$A:$A,0),1)</f>
        <v>1151</v>
      </c>
      <c r="U3153">
        <f>INDEX([1]IDEN_level_ids!$B:$B,MATCH(H3153,[1]IDEN_level_ids!$A:$A,0),1)</f>
        <v>1066</v>
      </c>
    </row>
    <row r="3154" spans="1:21" hidden="1" x14ac:dyDescent="0.25">
      <c r="A3154">
        <v>34524.440399999999</v>
      </c>
      <c r="B3154">
        <v>2896.4987999999998</v>
      </c>
      <c r="C3154">
        <v>20</v>
      </c>
      <c r="D3154" t="s">
        <v>688</v>
      </c>
      <c r="F3154">
        <v>1974</v>
      </c>
      <c r="G3154" s="1" t="s">
        <v>289</v>
      </c>
      <c r="H3154" s="1" t="s">
        <v>565</v>
      </c>
      <c r="I3154">
        <v>0.1676</v>
      </c>
      <c r="J3154">
        <v>34524.450799999999</v>
      </c>
      <c r="K3154">
        <v>8.8000000000000003E-4</v>
      </c>
      <c r="L3154">
        <v>3.8600000000000001E-3</v>
      </c>
      <c r="M3154">
        <v>4.6100000000000002E-2</v>
      </c>
      <c r="N3154">
        <v>0.1502</v>
      </c>
      <c r="O3154">
        <v>4.5500000000000002E-3</v>
      </c>
      <c r="P3154" s="3">
        <f t="shared" si="196"/>
        <v>2896.4987945177527</v>
      </c>
      <c r="Q3154" s="3">
        <f t="shared" si="197"/>
        <v>8.7252908497248427E-4</v>
      </c>
      <c r="R3154" s="3">
        <f t="shared" si="198"/>
        <v>3.8600000000000001E-3</v>
      </c>
      <c r="S3154">
        <f t="shared" si="199"/>
        <v>77</v>
      </c>
      <c r="T3154">
        <f>INDEX([1]IDEN_level_ids!$B:$B,MATCH(G3154,[1]IDEN_level_ids!$A:$A,0),1)</f>
        <v>1122</v>
      </c>
      <c r="U3154">
        <f>INDEX([1]IDEN_level_ids!$B:$B,MATCH(H3154,[1]IDEN_level_ids!$A:$A,0),1)</f>
        <v>1004</v>
      </c>
    </row>
    <row r="3155" spans="1:21" hidden="1" x14ac:dyDescent="0.25">
      <c r="A3155">
        <v>34521.008999999998</v>
      </c>
      <c r="B3155">
        <v>2896.7867000000001</v>
      </c>
      <c r="C3155">
        <v>20</v>
      </c>
      <c r="D3155" t="s">
        <v>688</v>
      </c>
      <c r="F3155">
        <v>1974</v>
      </c>
      <c r="G3155" s="1" t="s">
        <v>267</v>
      </c>
      <c r="H3155" s="1" t="s">
        <v>568</v>
      </c>
      <c r="I3155">
        <v>0</v>
      </c>
      <c r="J3155">
        <v>34521.0239</v>
      </c>
      <c r="K3155">
        <v>1.25E-3</v>
      </c>
      <c r="L3155">
        <v>3.8700000000000002E-3</v>
      </c>
      <c r="M3155">
        <v>4.6100000000000002E-2</v>
      </c>
      <c r="N3155">
        <v>0.249</v>
      </c>
      <c r="O3155">
        <v>5.1500000000000001E-3</v>
      </c>
      <c r="P3155" s="3">
        <f t="shared" si="196"/>
        <v>2896.7867074800743</v>
      </c>
      <c r="Q3155" s="3">
        <f t="shared" si="197"/>
        <v>1.2503140715125483E-3</v>
      </c>
      <c r="R3155" s="3">
        <f t="shared" si="198"/>
        <v>3.8700000000000002E-3</v>
      </c>
      <c r="S3155">
        <f t="shared" si="199"/>
        <v>77</v>
      </c>
      <c r="T3155">
        <f>INDEX([1]IDEN_level_ids!$B:$B,MATCH(G3155,[1]IDEN_level_ids!$A:$A,0),1)</f>
        <v>1104</v>
      </c>
      <c r="U3155">
        <f>INDEX([1]IDEN_level_ids!$B:$B,MATCH(H3155,[1]IDEN_level_ids!$A:$A,0),1)</f>
        <v>988</v>
      </c>
    </row>
    <row r="3156" spans="1:21" hidden="1" x14ac:dyDescent="0.25">
      <c r="A3156">
        <v>34506.188199999997</v>
      </c>
      <c r="B3156">
        <v>2898.0309000000002</v>
      </c>
      <c r="C3156">
        <v>20</v>
      </c>
      <c r="D3156" t="s">
        <v>688</v>
      </c>
      <c r="F3156">
        <v>1974</v>
      </c>
      <c r="G3156" s="1" t="s">
        <v>166</v>
      </c>
      <c r="H3156" s="1" t="s">
        <v>381</v>
      </c>
      <c r="I3156">
        <v>0.23219999999999999</v>
      </c>
      <c r="J3156">
        <v>34506.176599999999</v>
      </c>
      <c r="K3156">
        <v>-9.7999999999999997E-4</v>
      </c>
      <c r="L3156">
        <v>3.8700000000000002E-3</v>
      </c>
      <c r="M3156">
        <v>4.6100000000000002E-2</v>
      </c>
      <c r="N3156">
        <v>8.9099999999999999E-2</v>
      </c>
      <c r="O3156">
        <v>4.2500000000000003E-3</v>
      </c>
      <c r="P3156" s="3">
        <f t="shared" si="196"/>
        <v>2898.0309102933602</v>
      </c>
      <c r="Q3156" s="3">
        <f t="shared" si="197"/>
        <v>-9.7423597389934002E-4</v>
      </c>
      <c r="R3156" s="3">
        <f t="shared" si="198"/>
        <v>3.8700000000000002E-3</v>
      </c>
      <c r="S3156">
        <f t="shared" si="199"/>
        <v>77</v>
      </c>
      <c r="T3156">
        <f>INDEX([1]IDEN_level_ids!$B:$B,MATCH(G3156,[1]IDEN_level_ids!$A:$A,0),1)</f>
        <v>1186</v>
      </c>
      <c r="U3156">
        <f>INDEX([1]IDEN_level_ids!$B:$B,MATCH(H3156,[1]IDEN_level_ids!$A:$A,0),1)</f>
        <v>1084</v>
      </c>
    </row>
    <row r="3157" spans="1:21" hidden="1" x14ac:dyDescent="0.25">
      <c r="A3157">
        <v>34500.779799999997</v>
      </c>
      <c r="B3157">
        <v>2898.4852000000001</v>
      </c>
      <c r="C3157">
        <v>20</v>
      </c>
      <c r="D3157" t="s">
        <v>688</v>
      </c>
      <c r="F3157">
        <v>1974</v>
      </c>
      <c r="G3157" s="1" t="s">
        <v>295</v>
      </c>
      <c r="H3157" s="1" t="s">
        <v>375</v>
      </c>
      <c r="I3157">
        <v>0.28789999999999999</v>
      </c>
      <c r="J3157">
        <v>34500.8177</v>
      </c>
      <c r="K3157">
        <v>3.1900000000000001E-3</v>
      </c>
      <c r="L3157">
        <v>3.8700000000000002E-3</v>
      </c>
      <c r="M3157">
        <v>4.6100000000000002E-2</v>
      </c>
      <c r="N3157">
        <v>9.1899999999999996E-2</v>
      </c>
      <c r="O3157">
        <v>4.2599999999999999E-3</v>
      </c>
      <c r="P3157" s="3">
        <f t="shared" si="196"/>
        <v>2898.4852104705183</v>
      </c>
      <c r="Q3157" s="3">
        <f t="shared" si="197"/>
        <v>3.184057561611553E-3</v>
      </c>
      <c r="R3157" s="3">
        <f t="shared" si="198"/>
        <v>3.8700000000000002E-3</v>
      </c>
      <c r="S3157">
        <f t="shared" si="199"/>
        <v>77</v>
      </c>
      <c r="T3157">
        <f>INDEX([1]IDEN_level_ids!$B:$B,MATCH(G3157,[1]IDEN_level_ids!$A:$A,0),1)</f>
        <v>1152</v>
      </c>
      <c r="U3157">
        <f>INDEX([1]IDEN_level_ids!$B:$B,MATCH(H3157,[1]IDEN_level_ids!$A:$A,0),1)</f>
        <v>1065</v>
      </c>
    </row>
    <row r="3158" spans="1:21" hidden="1" x14ac:dyDescent="0.25">
      <c r="A3158">
        <v>34489.221100000002</v>
      </c>
      <c r="B3158">
        <v>2899.4566</v>
      </c>
      <c r="C3158">
        <v>20</v>
      </c>
      <c r="D3158" t="s">
        <v>688</v>
      </c>
      <c r="E3158" t="s">
        <v>427</v>
      </c>
      <c r="F3158">
        <v>1974</v>
      </c>
      <c r="G3158" s="1" t="s">
        <v>289</v>
      </c>
      <c r="H3158" s="1" t="s">
        <v>566</v>
      </c>
      <c r="I3158">
        <v>0</v>
      </c>
      <c r="J3158">
        <v>34489.161</v>
      </c>
      <c r="K3158">
        <v>-5.0499999999999998E-3</v>
      </c>
      <c r="L3158">
        <v>4.1000000000000003E-3</v>
      </c>
      <c r="M3158">
        <v>4.87E-2</v>
      </c>
      <c r="N3158">
        <v>0.372</v>
      </c>
      <c r="O3158">
        <v>6.5199999999999998E-3</v>
      </c>
      <c r="P3158" s="3">
        <f t="shared" si="196"/>
        <v>2899.4566073282526</v>
      </c>
      <c r="Q3158" s="3">
        <f t="shared" si="197"/>
        <v>-5.0525248238955101E-3</v>
      </c>
      <c r="R3158" s="3">
        <f t="shared" si="198"/>
        <v>4.1000000000000003E-3</v>
      </c>
      <c r="S3158">
        <f t="shared" si="199"/>
        <v>77</v>
      </c>
      <c r="T3158">
        <f>INDEX([1]IDEN_level_ids!$B:$B,MATCH(G3158,[1]IDEN_level_ids!$A:$A,0),1)</f>
        <v>1122</v>
      </c>
      <c r="U3158">
        <f>INDEX([1]IDEN_level_ids!$B:$B,MATCH(H3158,[1]IDEN_level_ids!$A:$A,0),1)</f>
        <v>1000</v>
      </c>
    </row>
    <row r="3159" spans="1:21" hidden="1" x14ac:dyDescent="0.25">
      <c r="A3159">
        <v>34474.521200000003</v>
      </c>
      <c r="B3159">
        <v>2900.6929</v>
      </c>
      <c r="C3159">
        <v>20</v>
      </c>
      <c r="D3159" t="s">
        <v>689</v>
      </c>
      <c r="F3159">
        <v>1974</v>
      </c>
      <c r="G3159" s="1" t="s">
        <v>435</v>
      </c>
      <c r="H3159" s="1" t="s">
        <v>690</v>
      </c>
      <c r="I3159">
        <v>0</v>
      </c>
      <c r="J3159">
        <v>34474.531600000002</v>
      </c>
      <c r="K3159">
        <v>8.8000000000000003E-4</v>
      </c>
      <c r="L3159">
        <v>3.8800000000000002E-3</v>
      </c>
      <c r="M3159">
        <v>4.6100000000000002E-2</v>
      </c>
      <c r="N3159">
        <v>1</v>
      </c>
      <c r="P3159" s="3">
        <f t="shared" si="196"/>
        <v>2900.692932611345</v>
      </c>
      <c r="Q3159" s="3">
        <f t="shared" si="197"/>
        <v>8.7505776264151791E-4</v>
      </c>
      <c r="R3159" s="3">
        <f t="shared" si="198"/>
        <v>3.8800000000000002E-3</v>
      </c>
      <c r="S3159">
        <f t="shared" si="199"/>
        <v>78</v>
      </c>
      <c r="T3159">
        <f>INDEX([1]IDEN_level_ids!$B:$B,MATCH(G3159,[1]IDEN_level_ids!$A:$A,0),1)</f>
        <v>917</v>
      </c>
      <c r="U3159">
        <f>INDEX([1]IDEN_level_ids!$B:$B,MATCH(H3159,[1]IDEN_level_ids!$A:$A,0),1)</f>
        <v>565</v>
      </c>
    </row>
    <row r="3160" spans="1:21" hidden="1" x14ac:dyDescent="0.25">
      <c r="A3160">
        <v>34466.798999999999</v>
      </c>
      <c r="B3160">
        <v>2901.3427999999999</v>
      </c>
      <c r="C3160">
        <v>20</v>
      </c>
      <c r="D3160" t="s">
        <v>689</v>
      </c>
      <c r="F3160">
        <v>1974</v>
      </c>
      <c r="G3160" s="1" t="s">
        <v>172</v>
      </c>
      <c r="H3160" s="1" t="s">
        <v>585</v>
      </c>
      <c r="I3160">
        <v>0</v>
      </c>
      <c r="J3160">
        <v>34466.789299999997</v>
      </c>
      <c r="K3160">
        <v>-8.0999999999999996E-4</v>
      </c>
      <c r="L3160">
        <v>3.8800000000000002E-3</v>
      </c>
      <c r="M3160">
        <v>4.6100000000000002E-2</v>
      </c>
      <c r="N3160">
        <v>0.1103</v>
      </c>
      <c r="O3160">
        <v>4.3600000000000002E-3</v>
      </c>
      <c r="P3160" s="3">
        <f t="shared" si="196"/>
        <v>2901.3428255986291</v>
      </c>
      <c r="Q3160" s="3">
        <f t="shared" si="197"/>
        <v>-8.1652587869029958E-4</v>
      </c>
      <c r="R3160" s="3">
        <f t="shared" si="198"/>
        <v>3.8800000000000002E-3</v>
      </c>
      <c r="S3160">
        <f t="shared" si="199"/>
        <v>78</v>
      </c>
      <c r="T3160">
        <f>INDEX([1]IDEN_level_ids!$B:$B,MATCH(G3160,[1]IDEN_level_ids!$A:$A,0),1)</f>
        <v>1136</v>
      </c>
      <c r="U3160">
        <f>INDEX([1]IDEN_level_ids!$B:$B,MATCH(H3160,[1]IDEN_level_ids!$A:$A,0),1)</f>
        <v>1019</v>
      </c>
    </row>
    <row r="3161" spans="1:21" hidden="1" x14ac:dyDescent="0.25">
      <c r="A3161">
        <v>34463.291100000002</v>
      </c>
      <c r="B3161">
        <v>2901.6381000000001</v>
      </c>
      <c r="C3161">
        <v>20</v>
      </c>
      <c r="D3161" t="s">
        <v>689</v>
      </c>
      <c r="E3161" t="s">
        <v>427</v>
      </c>
      <c r="F3161">
        <v>1974</v>
      </c>
      <c r="G3161" s="1" t="s">
        <v>302</v>
      </c>
      <c r="H3161" s="1" t="s">
        <v>493</v>
      </c>
      <c r="I3161">
        <v>0.14069999999999999</v>
      </c>
      <c r="J3161">
        <v>34463.321400000001</v>
      </c>
      <c r="K3161">
        <v>2.5500000000000002E-3</v>
      </c>
      <c r="L3161">
        <v>4.1000000000000003E-3</v>
      </c>
      <c r="M3161">
        <v>4.87E-2</v>
      </c>
      <c r="N3161">
        <v>0.2356</v>
      </c>
      <c r="O3161">
        <v>5.3699999999999998E-3</v>
      </c>
      <c r="P3161" s="3">
        <f t="shared" si="196"/>
        <v>2901.6381433170786</v>
      </c>
      <c r="Q3161" s="3">
        <f t="shared" si="197"/>
        <v>2.5511074431960878E-3</v>
      </c>
      <c r="R3161" s="3">
        <f t="shared" si="198"/>
        <v>4.1000000000000003E-3</v>
      </c>
      <c r="S3161">
        <f t="shared" si="199"/>
        <v>78</v>
      </c>
      <c r="T3161">
        <f>INDEX([1]IDEN_level_ids!$B:$B,MATCH(G3161,[1]IDEN_level_ids!$A:$A,0),1)</f>
        <v>1100</v>
      </c>
      <c r="U3161">
        <f>INDEX([1]IDEN_level_ids!$B:$B,MATCH(H3161,[1]IDEN_level_ids!$A:$A,0),1)</f>
        <v>963</v>
      </c>
    </row>
    <row r="3162" spans="1:21" hidden="1" x14ac:dyDescent="0.25">
      <c r="A3162">
        <v>34458.258399999999</v>
      </c>
      <c r="B3162">
        <v>2902.0619000000002</v>
      </c>
      <c r="C3162">
        <v>20</v>
      </c>
      <c r="D3162" t="s">
        <v>689</v>
      </c>
      <c r="F3162">
        <v>1974</v>
      </c>
      <c r="G3162" s="1" t="s">
        <v>172</v>
      </c>
      <c r="H3162" s="1" t="s">
        <v>576</v>
      </c>
      <c r="I3162">
        <v>0.13669999999999999</v>
      </c>
      <c r="J3162">
        <v>34458.272100000002</v>
      </c>
      <c r="K3162">
        <v>1.16E-3</v>
      </c>
      <c r="L3162">
        <v>3.8800000000000002E-3</v>
      </c>
      <c r="M3162">
        <v>4.6100000000000002E-2</v>
      </c>
      <c r="N3162">
        <v>0.1071</v>
      </c>
      <c r="O3162">
        <v>4.3499999999999997E-3</v>
      </c>
      <c r="P3162" s="3">
        <f t="shared" si="196"/>
        <v>2902.0619335770029</v>
      </c>
      <c r="Q3162" s="3">
        <f t="shared" si="197"/>
        <v>1.1538085364009021E-3</v>
      </c>
      <c r="R3162" s="3">
        <f t="shared" si="198"/>
        <v>3.8800000000000002E-3</v>
      </c>
      <c r="S3162">
        <f t="shared" si="199"/>
        <v>78</v>
      </c>
      <c r="T3162">
        <f>INDEX([1]IDEN_level_ids!$B:$B,MATCH(G3162,[1]IDEN_level_ids!$A:$A,0),1)</f>
        <v>1136</v>
      </c>
      <c r="U3162">
        <f>INDEX([1]IDEN_level_ids!$B:$B,MATCH(H3162,[1]IDEN_level_ids!$A:$A,0),1)</f>
        <v>1024</v>
      </c>
    </row>
    <row r="3163" spans="1:21" hidden="1" x14ac:dyDescent="0.25">
      <c r="A3163">
        <v>34404.2304</v>
      </c>
      <c r="B3163">
        <v>2906.6192999999998</v>
      </c>
      <c r="C3163">
        <v>20</v>
      </c>
      <c r="D3163" t="s">
        <v>689</v>
      </c>
      <c r="E3163" t="s">
        <v>681</v>
      </c>
      <c r="F3163">
        <v>1974</v>
      </c>
      <c r="G3163" s="1" t="s">
        <v>329</v>
      </c>
      <c r="H3163" s="1" t="s">
        <v>452</v>
      </c>
      <c r="I3163">
        <v>0.56630000000000003</v>
      </c>
      <c r="J3163">
        <v>34404.330999999998</v>
      </c>
      <c r="K3163">
        <v>8.5000000000000006E-3</v>
      </c>
      <c r="L3163">
        <v>6.79E-3</v>
      </c>
      <c r="M3163">
        <v>8.0299999999999996E-2</v>
      </c>
      <c r="N3163">
        <v>6.9900000000000004E-2</v>
      </c>
      <c r="O3163">
        <v>7.3000000000000001E-3</v>
      </c>
      <c r="P3163" s="3">
        <f t="shared" si="196"/>
        <v>2906.6192976082384</v>
      </c>
      <c r="Q3163" s="3">
        <f t="shared" si="197"/>
        <v>8.4991015037303441E-3</v>
      </c>
      <c r="R3163" s="3">
        <f t="shared" si="198"/>
        <v>6.79E-3</v>
      </c>
      <c r="S3163">
        <f t="shared" si="199"/>
        <v>78</v>
      </c>
      <c r="T3163">
        <f>INDEX([1]IDEN_level_ids!$B:$B,MATCH(G3163,[1]IDEN_level_ids!$A:$A,0),1)</f>
        <v>1138</v>
      </c>
      <c r="U3163">
        <f>INDEX([1]IDEN_level_ids!$B:$B,MATCH(H3163,[1]IDEN_level_ids!$A:$A,0),1)</f>
        <v>1033</v>
      </c>
    </row>
    <row r="3164" spans="1:21" hidden="1" x14ac:dyDescent="0.25">
      <c r="A3164">
        <v>34400.528200000001</v>
      </c>
      <c r="B3164">
        <v>2906.9321</v>
      </c>
      <c r="C3164">
        <v>20</v>
      </c>
      <c r="D3164" t="s">
        <v>689</v>
      </c>
      <c r="F3164">
        <v>1974</v>
      </c>
      <c r="G3164" s="1" t="s">
        <v>285</v>
      </c>
      <c r="H3164" s="1" t="s">
        <v>431</v>
      </c>
      <c r="I3164">
        <v>0.28649999999999998</v>
      </c>
      <c r="J3164">
        <v>34400.5337</v>
      </c>
      <c r="K3164">
        <v>4.6999999999999999E-4</v>
      </c>
      <c r="L3164">
        <v>3.8899999999999998E-3</v>
      </c>
      <c r="M3164">
        <v>4.6100000000000002E-2</v>
      </c>
      <c r="N3164">
        <v>9.6100000000000005E-2</v>
      </c>
      <c r="O3164">
        <v>4.3099999999999996E-3</v>
      </c>
      <c r="P3164" s="3">
        <f t="shared" si="196"/>
        <v>2906.9321092575551</v>
      </c>
      <c r="Q3164" s="3">
        <f t="shared" si="197"/>
        <v>4.6476391162286745E-4</v>
      </c>
      <c r="R3164" s="3">
        <f t="shared" si="198"/>
        <v>3.8899999999999998E-3</v>
      </c>
      <c r="S3164">
        <f t="shared" si="199"/>
        <v>78</v>
      </c>
      <c r="T3164">
        <f>INDEX([1]IDEN_level_ids!$B:$B,MATCH(G3164,[1]IDEN_level_ids!$A:$A,0),1)</f>
        <v>1150</v>
      </c>
      <c r="U3164">
        <f>INDEX([1]IDEN_level_ids!$B:$B,MATCH(H3164,[1]IDEN_level_ids!$A:$A,0),1)</f>
        <v>1062</v>
      </c>
    </row>
    <row r="3165" spans="1:21" hidden="1" x14ac:dyDescent="0.25">
      <c r="A3165">
        <v>34360.810599999997</v>
      </c>
      <c r="B3165">
        <v>2910.2921999999999</v>
      </c>
      <c r="C3165">
        <v>20</v>
      </c>
      <c r="D3165" t="s">
        <v>689</v>
      </c>
      <c r="E3165" t="s">
        <v>678</v>
      </c>
      <c r="F3165">
        <v>1974</v>
      </c>
      <c r="G3165" s="1" t="s">
        <v>691</v>
      </c>
      <c r="H3165" s="1" t="s">
        <v>496</v>
      </c>
      <c r="I3165">
        <v>-0.73770000000000002</v>
      </c>
      <c r="J3165">
        <v>34360.795100000003</v>
      </c>
      <c r="K3165">
        <v>-1.31E-3</v>
      </c>
      <c r="L3165">
        <v>6.1700000000000001E-3</v>
      </c>
      <c r="M3165">
        <v>7.2800000000000004E-2</v>
      </c>
      <c r="N3165">
        <v>0.19009999999999999</v>
      </c>
      <c r="O3165">
        <v>7.62E-3</v>
      </c>
      <c r="P3165" s="3">
        <f t="shared" si="196"/>
        <v>2910.2922269243559</v>
      </c>
      <c r="Q3165" s="3">
        <f t="shared" si="197"/>
        <v>-1.3128197228979843E-3</v>
      </c>
      <c r="R3165" s="3">
        <f t="shared" si="198"/>
        <v>6.1700000000000001E-3</v>
      </c>
      <c r="S3165">
        <f t="shared" si="199"/>
        <v>78</v>
      </c>
      <c r="T3165">
        <f>INDEX([1]IDEN_level_ids!$B:$B,MATCH(G3165,[1]IDEN_level_ids!$A:$A,0),1)</f>
        <v>1092</v>
      </c>
      <c r="U3165">
        <f>INDEX([1]IDEN_level_ids!$B:$B,MATCH(H3165,[1]IDEN_level_ids!$A:$A,0),1)</f>
        <v>944</v>
      </c>
    </row>
    <row r="3166" spans="1:21" hidden="1" x14ac:dyDescent="0.25">
      <c r="A3166">
        <v>34359.440600000002</v>
      </c>
      <c r="B3166">
        <v>2910.4083000000001</v>
      </c>
      <c r="C3166">
        <v>20</v>
      </c>
      <c r="D3166" t="s">
        <v>689</v>
      </c>
      <c r="F3166">
        <v>1974</v>
      </c>
      <c r="G3166" s="1" t="s">
        <v>108</v>
      </c>
      <c r="H3166" s="1" t="s">
        <v>428</v>
      </c>
      <c r="I3166">
        <v>0.39950000000000002</v>
      </c>
      <c r="J3166">
        <v>34359.441500000001</v>
      </c>
      <c r="K3166">
        <v>6.9999999999999994E-5</v>
      </c>
      <c r="L3166">
        <v>3.8999999999999998E-3</v>
      </c>
      <c r="M3166">
        <v>4.6100000000000002E-2</v>
      </c>
      <c r="N3166">
        <v>9.9599999999999994E-2</v>
      </c>
      <c r="O3166">
        <v>4.3299999999999996E-3</v>
      </c>
      <c r="P3166" s="3">
        <f t="shared" si="196"/>
        <v>2910.4082678226141</v>
      </c>
      <c r="Q3166" s="3">
        <f t="shared" si="197"/>
        <v>7.623428473380045E-5</v>
      </c>
      <c r="R3166" s="3">
        <f t="shared" si="198"/>
        <v>3.8999999999999998E-3</v>
      </c>
      <c r="S3166">
        <f t="shared" si="199"/>
        <v>78</v>
      </c>
      <c r="T3166">
        <f>INDEX([1]IDEN_level_ids!$B:$B,MATCH(G3166,[1]IDEN_level_ids!$A:$A,0),1)</f>
        <v>1149</v>
      </c>
      <c r="U3166">
        <f>INDEX([1]IDEN_level_ids!$B:$B,MATCH(H3166,[1]IDEN_level_ids!$A:$A,0),1)</f>
        <v>1060</v>
      </c>
    </row>
    <row r="3167" spans="1:21" hidden="1" x14ac:dyDescent="0.25">
      <c r="A3167">
        <v>34351.400699999998</v>
      </c>
      <c r="B3167">
        <v>2911.0893999999998</v>
      </c>
      <c r="C3167">
        <v>20</v>
      </c>
      <c r="D3167" t="s">
        <v>689</v>
      </c>
      <c r="F3167">
        <v>1974</v>
      </c>
      <c r="G3167" s="1" t="s">
        <v>108</v>
      </c>
      <c r="H3167" s="1" t="s">
        <v>377</v>
      </c>
      <c r="I3167">
        <v>0.33889999999999998</v>
      </c>
      <c r="J3167">
        <v>34351.452400000002</v>
      </c>
      <c r="K3167">
        <v>4.3800000000000002E-3</v>
      </c>
      <c r="L3167">
        <v>3.8999999999999998E-3</v>
      </c>
      <c r="M3167">
        <v>4.6100000000000002E-2</v>
      </c>
      <c r="N3167">
        <v>7.6300000000000007E-2</v>
      </c>
      <c r="O3167">
        <v>4.2300000000000003E-3</v>
      </c>
      <c r="P3167" s="3">
        <f t="shared" si="196"/>
        <v>2911.0894450368078</v>
      </c>
      <c r="Q3167" s="3">
        <f t="shared" si="197"/>
        <v>4.3812797948703519E-3</v>
      </c>
      <c r="R3167" s="3">
        <f t="shared" si="198"/>
        <v>3.8999999999999998E-3</v>
      </c>
      <c r="S3167">
        <f t="shared" si="199"/>
        <v>78</v>
      </c>
      <c r="T3167">
        <f>INDEX([1]IDEN_level_ids!$B:$B,MATCH(G3167,[1]IDEN_level_ids!$A:$A,0),1)</f>
        <v>1149</v>
      </c>
      <c r="U3167">
        <f>INDEX([1]IDEN_level_ids!$B:$B,MATCH(H3167,[1]IDEN_level_ids!$A:$A,0),1)</f>
        <v>1057</v>
      </c>
    </row>
    <row r="3168" spans="1:21" hidden="1" x14ac:dyDescent="0.25">
      <c r="A3168">
        <v>34346.9784</v>
      </c>
      <c r="B3168">
        <v>2911.4643000000001</v>
      </c>
      <c r="C3168">
        <v>20</v>
      </c>
      <c r="D3168" t="s">
        <v>689</v>
      </c>
      <c r="E3168" t="s">
        <v>678</v>
      </c>
      <c r="F3168">
        <v>1974</v>
      </c>
      <c r="G3168" s="1" t="s">
        <v>301</v>
      </c>
      <c r="H3168" s="1" t="s">
        <v>557</v>
      </c>
      <c r="I3168">
        <v>-1.0456000000000001</v>
      </c>
      <c r="J3168">
        <v>34347.029600000002</v>
      </c>
      <c r="K3168">
        <v>4.3400000000000001E-3</v>
      </c>
      <c r="L3168">
        <v>6.1700000000000001E-3</v>
      </c>
      <c r="M3168">
        <v>7.2800000000000004E-2</v>
      </c>
      <c r="N3168">
        <v>8.14E-2</v>
      </c>
      <c r="O3168">
        <v>6.7200000000000003E-3</v>
      </c>
      <c r="P3168" s="3">
        <f t="shared" si="196"/>
        <v>2911.4642585270326</v>
      </c>
      <c r="Q3168" s="3">
        <f t="shared" si="197"/>
        <v>4.3400250847298594E-3</v>
      </c>
      <c r="R3168" s="3">
        <f t="shared" si="198"/>
        <v>6.1700000000000001E-3</v>
      </c>
      <c r="S3168">
        <f t="shared" si="199"/>
        <v>78</v>
      </c>
      <c r="T3168">
        <f>INDEX([1]IDEN_level_ids!$B:$B,MATCH(G3168,[1]IDEN_level_ids!$A:$A,0),1)</f>
        <v>1154</v>
      </c>
      <c r="U3168">
        <f>INDEX([1]IDEN_level_ids!$B:$B,MATCH(H3168,[1]IDEN_level_ids!$A:$A,0),1)</f>
        <v>1069</v>
      </c>
    </row>
    <row r="3169" spans="1:21" hidden="1" x14ac:dyDescent="0.25">
      <c r="A3169">
        <v>34333.318800000001</v>
      </c>
      <c r="B3169">
        <v>2912.6226000000001</v>
      </c>
      <c r="C3169">
        <v>20</v>
      </c>
      <c r="D3169" t="s">
        <v>689</v>
      </c>
      <c r="E3169" t="s">
        <v>678</v>
      </c>
      <c r="F3169">
        <v>1974</v>
      </c>
      <c r="G3169" s="1" t="s">
        <v>597</v>
      </c>
      <c r="H3169" s="1" t="s">
        <v>497</v>
      </c>
      <c r="I3169">
        <v>-0.69159999999999999</v>
      </c>
      <c r="J3169">
        <v>34333.336000000003</v>
      </c>
      <c r="K3169">
        <v>1.4599999999999999E-3</v>
      </c>
      <c r="L3169">
        <v>6.1799999999999997E-3</v>
      </c>
      <c r="M3169">
        <v>7.2800000000000004E-2</v>
      </c>
      <c r="N3169">
        <v>0.24129999999999999</v>
      </c>
      <c r="O3169">
        <v>8.1399999999999997E-3</v>
      </c>
      <c r="P3169" s="3">
        <f t="shared" si="196"/>
        <v>2912.622592139272</v>
      </c>
      <c r="Q3169" s="3">
        <f t="shared" si="197"/>
        <v>1.4591389717679704E-3</v>
      </c>
      <c r="R3169" s="3">
        <f t="shared" si="198"/>
        <v>6.1799999999999997E-3</v>
      </c>
      <c r="S3169">
        <f t="shared" si="199"/>
        <v>78</v>
      </c>
      <c r="T3169">
        <f>INDEX([1]IDEN_level_ids!$B:$B,MATCH(G3169,[1]IDEN_level_ids!$A:$A,0),1)</f>
        <v>1090</v>
      </c>
      <c r="U3169">
        <f>INDEX([1]IDEN_level_ids!$B:$B,MATCH(H3169,[1]IDEN_level_ids!$A:$A,0),1)</f>
        <v>935</v>
      </c>
    </row>
    <row r="3170" spans="1:21" hidden="1" x14ac:dyDescent="0.25">
      <c r="A3170">
        <v>34308.399100000002</v>
      </c>
      <c r="B3170">
        <v>2914.7381999999998</v>
      </c>
      <c r="C3170">
        <v>20</v>
      </c>
      <c r="D3170" t="s">
        <v>689</v>
      </c>
      <c r="F3170">
        <v>1974</v>
      </c>
      <c r="G3170" s="1" t="s">
        <v>295</v>
      </c>
      <c r="H3170" s="1" t="s">
        <v>419</v>
      </c>
      <c r="I3170">
        <v>0.2853</v>
      </c>
      <c r="J3170">
        <v>34308.428200000002</v>
      </c>
      <c r="K3170">
        <v>2.47E-3</v>
      </c>
      <c r="L3170">
        <v>3.9100000000000003E-3</v>
      </c>
      <c r="M3170">
        <v>4.6100000000000002E-2</v>
      </c>
      <c r="N3170">
        <v>0.11360000000000001</v>
      </c>
      <c r="O3170">
        <v>4.4200000000000003E-3</v>
      </c>
      <c r="P3170" s="3">
        <f t="shared" si="196"/>
        <v>2914.7381580972688</v>
      </c>
      <c r="Q3170" s="3">
        <f t="shared" si="197"/>
        <v>2.4722461753299285E-3</v>
      </c>
      <c r="R3170" s="3">
        <f t="shared" si="198"/>
        <v>3.9100000000000003E-3</v>
      </c>
      <c r="S3170">
        <f t="shared" si="199"/>
        <v>78</v>
      </c>
      <c r="T3170">
        <f>INDEX([1]IDEN_level_ids!$B:$B,MATCH(G3170,[1]IDEN_level_ids!$A:$A,0),1)</f>
        <v>1152</v>
      </c>
      <c r="U3170">
        <f>INDEX([1]IDEN_level_ids!$B:$B,MATCH(H3170,[1]IDEN_level_ids!$A:$A,0),1)</f>
        <v>1068</v>
      </c>
    </row>
    <row r="3171" spans="1:21" hidden="1" x14ac:dyDescent="0.25">
      <c r="A3171">
        <v>34305.3603</v>
      </c>
      <c r="B3171">
        <v>2914.9964</v>
      </c>
      <c r="C3171">
        <v>20</v>
      </c>
      <c r="D3171" t="s">
        <v>689</v>
      </c>
      <c r="E3171" t="s">
        <v>678</v>
      </c>
      <c r="F3171">
        <v>1974</v>
      </c>
      <c r="G3171" s="1" t="s">
        <v>511</v>
      </c>
      <c r="H3171" s="1" t="s">
        <v>441</v>
      </c>
      <c r="I3171">
        <v>-0.7248</v>
      </c>
      <c r="J3171">
        <v>34305.467100000002</v>
      </c>
      <c r="K3171">
        <v>9.0799999999999995E-3</v>
      </c>
      <c r="L3171">
        <v>6.1900000000000002E-3</v>
      </c>
      <c r="M3171">
        <v>7.2800000000000004E-2</v>
      </c>
      <c r="N3171">
        <v>8.9700000000000002E-2</v>
      </c>
      <c r="O3171">
        <v>6.7999999999999996E-3</v>
      </c>
      <c r="P3171" s="3">
        <f t="shared" si="196"/>
        <v>2914.9963482528997</v>
      </c>
      <c r="Q3171" s="3">
        <f t="shared" si="197"/>
        <v>9.0749853102352063E-3</v>
      </c>
      <c r="R3171" s="3">
        <f t="shared" si="198"/>
        <v>6.1900000000000002E-3</v>
      </c>
      <c r="S3171">
        <f t="shared" si="199"/>
        <v>78</v>
      </c>
      <c r="T3171">
        <f>INDEX([1]IDEN_level_ids!$B:$B,MATCH(G3171,[1]IDEN_level_ids!$A:$A,0),1)</f>
        <v>1139</v>
      </c>
      <c r="U3171">
        <f>INDEX([1]IDEN_level_ids!$B:$B,MATCH(H3171,[1]IDEN_level_ids!$A:$A,0),1)</f>
        <v>1034</v>
      </c>
    </row>
    <row r="3172" spans="1:21" hidden="1" x14ac:dyDescent="0.25">
      <c r="A3172">
        <v>34301.289199999999</v>
      </c>
      <c r="B3172">
        <v>2915.3422999999998</v>
      </c>
      <c r="C3172">
        <v>20</v>
      </c>
      <c r="D3172" t="s">
        <v>689</v>
      </c>
      <c r="E3172" t="s">
        <v>681</v>
      </c>
      <c r="F3172">
        <v>1974</v>
      </c>
      <c r="G3172" s="1" t="s">
        <v>443</v>
      </c>
      <c r="H3172" s="1" t="s">
        <v>416</v>
      </c>
      <c r="I3172">
        <v>0.50800000000000001</v>
      </c>
      <c r="J3172">
        <v>34301.333200000001</v>
      </c>
      <c r="K3172">
        <v>3.7399999999999998E-3</v>
      </c>
      <c r="L3172">
        <v>6.8300000000000001E-3</v>
      </c>
      <c r="M3172">
        <v>8.0299999999999996E-2</v>
      </c>
      <c r="N3172">
        <v>6.3799999999999996E-2</v>
      </c>
      <c r="O3172">
        <v>7.2899999999999996E-3</v>
      </c>
      <c r="P3172" s="3">
        <f t="shared" si="196"/>
        <v>2915.3423189703321</v>
      </c>
      <c r="Q3172" s="3">
        <f t="shared" si="197"/>
        <v>3.7396523716779484E-3</v>
      </c>
      <c r="R3172" s="3">
        <f t="shared" si="198"/>
        <v>6.8300000000000001E-3</v>
      </c>
      <c r="S3172">
        <f t="shared" si="199"/>
        <v>78</v>
      </c>
      <c r="T3172">
        <f>INDEX([1]IDEN_level_ids!$B:$B,MATCH(G3172,[1]IDEN_level_ids!$A:$A,0),1)</f>
        <v>1145</v>
      </c>
      <c r="U3172">
        <f>INDEX([1]IDEN_level_ids!$B:$B,MATCH(H3172,[1]IDEN_level_ids!$A:$A,0),1)</f>
        <v>1055</v>
      </c>
    </row>
    <row r="3173" spans="1:21" hidden="1" x14ac:dyDescent="0.25">
      <c r="A3173">
        <v>34284.841399999998</v>
      </c>
      <c r="B3173">
        <v>2916.7408999999998</v>
      </c>
      <c r="C3173">
        <v>20</v>
      </c>
      <c r="D3173" t="s">
        <v>689</v>
      </c>
      <c r="F3173">
        <v>1974</v>
      </c>
      <c r="G3173" s="1" t="s">
        <v>290</v>
      </c>
      <c r="H3173" s="1" t="s">
        <v>413</v>
      </c>
      <c r="I3173">
        <v>6.4600000000000005E-2</v>
      </c>
      <c r="J3173">
        <v>34284.8413</v>
      </c>
      <c r="K3173">
        <v>-1.0000000000000001E-5</v>
      </c>
      <c r="L3173">
        <v>3.9199999999999999E-3</v>
      </c>
      <c r="M3173">
        <v>4.6100000000000002E-2</v>
      </c>
      <c r="N3173">
        <v>0.2369</v>
      </c>
      <c r="O3173">
        <v>5.1399999999999996E-3</v>
      </c>
      <c r="P3173" s="3">
        <f t="shared" si="196"/>
        <v>2916.7409244599862</v>
      </c>
      <c r="Q3173" s="3">
        <f t="shared" si="197"/>
        <v>-8.5073775153432507E-6</v>
      </c>
      <c r="R3173" s="3">
        <f t="shared" si="198"/>
        <v>3.9199999999999999E-3</v>
      </c>
      <c r="S3173">
        <f t="shared" si="199"/>
        <v>78</v>
      </c>
      <c r="T3173">
        <f>INDEX([1]IDEN_level_ids!$B:$B,MATCH(G3173,[1]IDEN_level_ids!$A:$A,0),1)</f>
        <v>1153</v>
      </c>
      <c r="U3173">
        <f>INDEX([1]IDEN_level_ids!$B:$B,MATCH(H3173,[1]IDEN_level_ids!$A:$A,0),1)</f>
        <v>1071</v>
      </c>
    </row>
    <row r="3174" spans="1:21" hidden="1" x14ac:dyDescent="0.25">
      <c r="A3174">
        <v>34281.361499999999</v>
      </c>
      <c r="B3174">
        <v>2917.0369999999998</v>
      </c>
      <c r="C3174">
        <v>20</v>
      </c>
      <c r="D3174" t="s">
        <v>689</v>
      </c>
      <c r="E3174" t="s">
        <v>427</v>
      </c>
      <c r="F3174">
        <v>1974</v>
      </c>
      <c r="G3174" s="1" t="s">
        <v>172</v>
      </c>
      <c r="H3174" s="1" t="s">
        <v>536</v>
      </c>
      <c r="I3174">
        <v>0</v>
      </c>
      <c r="J3174">
        <v>34281.381999999998</v>
      </c>
      <c r="K3174">
        <v>1.74E-3</v>
      </c>
      <c r="L3174">
        <v>4.15E-3</v>
      </c>
      <c r="M3174">
        <v>4.87E-2</v>
      </c>
      <c r="N3174">
        <v>7.8399999999999997E-2</v>
      </c>
      <c r="O3174">
        <v>4.4999999999999997E-3</v>
      </c>
      <c r="P3174" s="3">
        <f t="shared" si="196"/>
        <v>2917.0370027456465</v>
      </c>
      <c r="Q3174" s="3">
        <f t="shared" si="197"/>
        <v>1.7443654560338473E-3</v>
      </c>
      <c r="R3174" s="3">
        <f t="shared" si="198"/>
        <v>4.15E-3</v>
      </c>
      <c r="S3174">
        <f t="shared" si="199"/>
        <v>78</v>
      </c>
      <c r="T3174">
        <f>INDEX([1]IDEN_level_ids!$B:$B,MATCH(G3174,[1]IDEN_level_ids!$A:$A,0),1)</f>
        <v>1136</v>
      </c>
      <c r="U3174">
        <f>INDEX([1]IDEN_level_ids!$B:$B,MATCH(H3174,[1]IDEN_level_ids!$A:$A,0),1)</f>
        <v>1021</v>
      </c>
    </row>
    <row r="3175" spans="1:21" hidden="1" x14ac:dyDescent="0.25">
      <c r="A3175">
        <v>34218.449500000002</v>
      </c>
      <c r="B3175">
        <v>2922.4000999999998</v>
      </c>
      <c r="C3175">
        <v>20</v>
      </c>
      <c r="D3175" t="s">
        <v>689</v>
      </c>
      <c r="F3175">
        <v>1974</v>
      </c>
      <c r="G3175" s="1" t="s">
        <v>117</v>
      </c>
      <c r="H3175" s="1" t="s">
        <v>446</v>
      </c>
      <c r="I3175">
        <v>0.31669999999999998</v>
      </c>
      <c r="J3175">
        <v>34218.4882</v>
      </c>
      <c r="K3175">
        <v>3.31E-3</v>
      </c>
      <c r="L3175">
        <v>3.9300000000000003E-3</v>
      </c>
      <c r="M3175">
        <v>4.6100000000000002E-2</v>
      </c>
      <c r="N3175">
        <v>8.8300000000000003E-2</v>
      </c>
      <c r="O3175">
        <v>4.3200000000000001E-3</v>
      </c>
      <c r="P3175" s="3">
        <f t="shared" si="196"/>
        <v>2922.4000929673916</v>
      </c>
      <c r="Q3175" s="3">
        <f t="shared" si="197"/>
        <v>3.3051396931114141E-3</v>
      </c>
      <c r="R3175" s="3">
        <f t="shared" si="198"/>
        <v>3.9300000000000003E-3</v>
      </c>
      <c r="S3175">
        <f t="shared" si="199"/>
        <v>78</v>
      </c>
      <c r="T3175">
        <f>INDEX([1]IDEN_level_ids!$B:$B,MATCH(G3175,[1]IDEN_level_ids!$A:$A,0),1)</f>
        <v>1162</v>
      </c>
      <c r="U3175">
        <f>INDEX([1]IDEN_level_ids!$B:$B,MATCH(H3175,[1]IDEN_level_ids!$A:$A,0),1)</f>
        <v>1079</v>
      </c>
    </row>
    <row r="3176" spans="1:21" hidden="1" x14ac:dyDescent="0.25">
      <c r="A3176">
        <v>34181.991399999999</v>
      </c>
      <c r="B3176">
        <v>2925.5171</v>
      </c>
      <c r="C3176">
        <v>20</v>
      </c>
      <c r="D3176" t="s">
        <v>692</v>
      </c>
      <c r="E3176" t="s">
        <v>678</v>
      </c>
      <c r="F3176">
        <v>1974</v>
      </c>
      <c r="G3176" s="1" t="s">
        <v>691</v>
      </c>
      <c r="H3176" s="1" t="s">
        <v>503</v>
      </c>
      <c r="I3176">
        <v>-0.68130000000000002</v>
      </c>
      <c r="J3176">
        <v>34182.027000000002</v>
      </c>
      <c r="K3176">
        <v>3.0500000000000002E-3</v>
      </c>
      <c r="L3176">
        <v>6.2300000000000003E-3</v>
      </c>
      <c r="M3176">
        <v>7.2800000000000004E-2</v>
      </c>
      <c r="N3176">
        <v>0.15759999999999999</v>
      </c>
      <c r="O3176">
        <v>7.4000000000000003E-3</v>
      </c>
      <c r="P3176" s="3">
        <f t="shared" si="196"/>
        <v>2925.5170896801524</v>
      </c>
      <c r="Q3176" s="3">
        <f t="shared" si="197"/>
        <v>3.0468763129647414E-3</v>
      </c>
      <c r="R3176" s="3">
        <f t="shared" si="198"/>
        <v>6.2300000000000003E-3</v>
      </c>
      <c r="S3176">
        <f t="shared" si="199"/>
        <v>79</v>
      </c>
      <c r="T3176">
        <f>INDEX([1]IDEN_level_ids!$B:$B,MATCH(G3176,[1]IDEN_level_ids!$A:$A,0),1)</f>
        <v>1092</v>
      </c>
      <c r="U3176">
        <f>INDEX([1]IDEN_level_ids!$B:$B,MATCH(H3176,[1]IDEN_level_ids!$A:$A,0),1)</f>
        <v>943</v>
      </c>
    </row>
    <row r="3177" spans="1:21" hidden="1" x14ac:dyDescent="0.25">
      <c r="A3177">
        <v>34161.5193</v>
      </c>
      <c r="B3177">
        <v>2927.2703000000001</v>
      </c>
      <c r="C3177">
        <v>20</v>
      </c>
      <c r="D3177" t="s">
        <v>692</v>
      </c>
      <c r="E3177" t="s">
        <v>678</v>
      </c>
      <c r="F3177">
        <v>1974</v>
      </c>
      <c r="G3177" s="1" t="s">
        <v>354</v>
      </c>
      <c r="H3177" s="1" t="s">
        <v>585</v>
      </c>
      <c r="I3177">
        <v>-0.83340000000000003</v>
      </c>
      <c r="J3177">
        <v>34161.5648</v>
      </c>
      <c r="K3177">
        <v>3.8999999999999998E-3</v>
      </c>
      <c r="L3177">
        <v>6.2399999999999999E-3</v>
      </c>
      <c r="M3177">
        <v>7.2800000000000004E-2</v>
      </c>
      <c r="N3177">
        <v>8.2699999999999996E-2</v>
      </c>
      <c r="O3177">
        <v>6.7999999999999996E-3</v>
      </c>
      <c r="P3177" s="3">
        <f t="shared" si="196"/>
        <v>2927.2702751250295</v>
      </c>
      <c r="Q3177" s="3">
        <f t="shared" si="197"/>
        <v>3.8988494320619793E-3</v>
      </c>
      <c r="R3177" s="3">
        <f t="shared" si="198"/>
        <v>6.2399999999999999E-3</v>
      </c>
      <c r="S3177">
        <f t="shared" si="199"/>
        <v>79</v>
      </c>
      <c r="T3177">
        <f>INDEX([1]IDEN_level_ids!$B:$B,MATCH(G3177,[1]IDEN_level_ids!$A:$A,0),1)</f>
        <v>1135</v>
      </c>
      <c r="U3177">
        <f>INDEX([1]IDEN_level_ids!$B:$B,MATCH(H3177,[1]IDEN_level_ids!$A:$A,0),1)</f>
        <v>1019</v>
      </c>
    </row>
    <row r="3178" spans="1:21" hidden="1" x14ac:dyDescent="0.25">
      <c r="A3178">
        <v>34149.601900000001</v>
      </c>
      <c r="B3178">
        <v>2928.2918</v>
      </c>
      <c r="C3178">
        <v>20</v>
      </c>
      <c r="D3178" t="s">
        <v>692</v>
      </c>
      <c r="E3178" t="s">
        <v>427</v>
      </c>
      <c r="F3178">
        <v>1974</v>
      </c>
      <c r="G3178" s="1" t="s">
        <v>282</v>
      </c>
      <c r="H3178" s="1" t="s">
        <v>544</v>
      </c>
      <c r="I3178">
        <v>0</v>
      </c>
      <c r="J3178">
        <v>34149.595500000003</v>
      </c>
      <c r="K3178">
        <v>-5.4000000000000001E-4</v>
      </c>
      <c r="L3178">
        <v>4.1799999999999997E-3</v>
      </c>
      <c r="M3178">
        <v>4.87E-2</v>
      </c>
      <c r="N3178">
        <v>0.14990000000000001</v>
      </c>
      <c r="O3178">
        <v>4.9199999999999999E-3</v>
      </c>
      <c r="P3178" s="3">
        <f t="shared" si="196"/>
        <v>2928.2918229275169</v>
      </c>
      <c r="Q3178" s="3">
        <f t="shared" si="197"/>
        <v>-5.4879325489309849E-4</v>
      </c>
      <c r="R3178" s="3">
        <f t="shared" si="198"/>
        <v>4.1799999999999997E-3</v>
      </c>
      <c r="S3178">
        <f t="shared" si="199"/>
        <v>79</v>
      </c>
      <c r="T3178">
        <f>INDEX([1]IDEN_level_ids!$B:$B,MATCH(G3178,[1]IDEN_level_ids!$A:$A,0),1)</f>
        <v>1128</v>
      </c>
      <c r="U3178">
        <f>INDEX([1]IDEN_level_ids!$B:$B,MATCH(H3178,[1]IDEN_level_ids!$A:$A,0),1)</f>
        <v>1011</v>
      </c>
    </row>
    <row r="3179" spans="1:21" hidden="1" x14ac:dyDescent="0.25">
      <c r="A3179">
        <v>34144.121200000001</v>
      </c>
      <c r="B3179">
        <v>2928.7619</v>
      </c>
      <c r="C3179">
        <v>20</v>
      </c>
      <c r="D3179" t="s">
        <v>692</v>
      </c>
      <c r="F3179">
        <v>1974</v>
      </c>
      <c r="G3179" s="1" t="s">
        <v>405</v>
      </c>
      <c r="H3179" s="1" t="s">
        <v>523</v>
      </c>
      <c r="I3179">
        <v>0</v>
      </c>
      <c r="J3179">
        <v>34144.1201</v>
      </c>
      <c r="K3179">
        <v>-9.0000000000000006E-5</v>
      </c>
      <c r="L3179">
        <v>3.9500000000000004E-3</v>
      </c>
      <c r="M3179">
        <v>4.6100000000000002E-2</v>
      </c>
      <c r="N3179">
        <v>0.83309999999999995</v>
      </c>
      <c r="O3179">
        <v>2.368E-2</v>
      </c>
      <c r="P3179" s="3">
        <f t="shared" si="196"/>
        <v>2928.7618625252535</v>
      </c>
      <c r="Q3179" s="3">
        <f t="shared" si="197"/>
        <v>-9.4354109933192376E-5</v>
      </c>
      <c r="R3179" s="3">
        <f t="shared" si="198"/>
        <v>3.9500000000000004E-3</v>
      </c>
      <c r="S3179">
        <f t="shared" si="199"/>
        <v>79</v>
      </c>
      <c r="T3179">
        <f>INDEX([1]IDEN_level_ids!$B:$B,MATCH(G3179,[1]IDEN_level_ids!$A:$A,0),1)</f>
        <v>927</v>
      </c>
      <c r="U3179">
        <f>INDEX([1]IDEN_level_ids!$B:$B,MATCH(H3179,[1]IDEN_level_ids!$A:$A,0),1)</f>
        <v>627</v>
      </c>
    </row>
    <row r="3180" spans="1:21" hidden="1" x14ac:dyDescent="0.25">
      <c r="A3180">
        <v>34141.4997</v>
      </c>
      <c r="B3180">
        <v>2928.9866999999999</v>
      </c>
      <c r="C3180">
        <v>20</v>
      </c>
      <c r="D3180" t="s">
        <v>692</v>
      </c>
      <c r="E3180" t="s">
        <v>638</v>
      </c>
      <c r="F3180">
        <v>1974</v>
      </c>
      <c r="G3180" s="1" t="s">
        <v>455</v>
      </c>
      <c r="H3180" s="1" t="s">
        <v>532</v>
      </c>
      <c r="I3180">
        <v>0</v>
      </c>
      <c r="J3180">
        <v>34141.561099999999</v>
      </c>
      <c r="K3180">
        <v>5.2700000000000004E-3</v>
      </c>
      <c r="L3180">
        <v>1.4829999999999999E-2</v>
      </c>
      <c r="M3180">
        <v>0.17280000000000001</v>
      </c>
      <c r="N3180">
        <v>0.57650000000000001</v>
      </c>
      <c r="O3180">
        <v>3.5009999999999999E-2</v>
      </c>
      <c r="P3180" s="3">
        <f t="shared" si="196"/>
        <v>2928.9867427821277</v>
      </c>
      <c r="Q3180" s="3">
        <f t="shared" si="197"/>
        <v>5.2674740168185963E-3</v>
      </c>
      <c r="R3180" s="3">
        <f t="shared" si="198"/>
        <v>1.4829999999999999E-2</v>
      </c>
      <c r="S3180">
        <f t="shared" si="199"/>
        <v>79</v>
      </c>
      <c r="T3180">
        <f>INDEX([1]IDEN_level_ids!$B:$B,MATCH(G3180,[1]IDEN_level_ids!$A:$A,0),1)</f>
        <v>946</v>
      </c>
      <c r="U3180">
        <f>INDEX([1]IDEN_level_ids!$B:$B,MATCH(H3180,[1]IDEN_level_ids!$A:$A,0),1)</f>
        <v>706</v>
      </c>
    </row>
    <row r="3181" spans="1:21" hidden="1" x14ac:dyDescent="0.25">
      <c r="A3181">
        <v>34139.960099999997</v>
      </c>
      <c r="B3181">
        <v>2929.1188000000002</v>
      </c>
      <c r="C3181">
        <v>20</v>
      </c>
      <c r="D3181" t="s">
        <v>692</v>
      </c>
      <c r="F3181">
        <v>1974</v>
      </c>
      <c r="G3181" s="1" t="s">
        <v>276</v>
      </c>
      <c r="H3181" s="1" t="s">
        <v>570</v>
      </c>
      <c r="I3181">
        <v>-0.95630000000000004</v>
      </c>
      <c r="J3181">
        <v>34140.0501</v>
      </c>
      <c r="K3181">
        <v>7.7200000000000003E-3</v>
      </c>
      <c r="L3181">
        <v>3.9500000000000004E-3</v>
      </c>
      <c r="M3181">
        <v>4.6100000000000002E-2</v>
      </c>
      <c r="N3181">
        <v>0.1827</v>
      </c>
      <c r="O3181">
        <v>4.8399999999999997E-3</v>
      </c>
      <c r="P3181" s="3">
        <f t="shared" si="196"/>
        <v>2929.1188304581528</v>
      </c>
      <c r="Q3181" s="3">
        <f t="shared" si="197"/>
        <v>7.7217430548444099E-3</v>
      </c>
      <c r="R3181" s="3">
        <f t="shared" si="198"/>
        <v>3.9500000000000004E-3</v>
      </c>
      <c r="S3181">
        <f t="shared" si="199"/>
        <v>79</v>
      </c>
      <c r="T3181">
        <f>INDEX([1]IDEN_level_ids!$B:$B,MATCH(G3181,[1]IDEN_level_ids!$A:$A,0),1)</f>
        <v>1131</v>
      </c>
      <c r="U3181">
        <f>INDEX([1]IDEN_level_ids!$B:$B,MATCH(H3181,[1]IDEN_level_ids!$A:$A,0),1)</f>
        <v>1015</v>
      </c>
    </row>
    <row r="3182" spans="1:21" hidden="1" x14ac:dyDescent="0.25">
      <c r="A3182">
        <v>34131.520799999998</v>
      </c>
      <c r="B3182">
        <v>2929.8431</v>
      </c>
      <c r="C3182">
        <v>20</v>
      </c>
      <c r="D3182" t="s">
        <v>692</v>
      </c>
      <c r="E3182" t="s">
        <v>678</v>
      </c>
      <c r="F3182">
        <v>1974</v>
      </c>
      <c r="G3182" s="1" t="s">
        <v>326</v>
      </c>
      <c r="H3182" s="1" t="s">
        <v>428</v>
      </c>
      <c r="I3182">
        <v>-0.6482</v>
      </c>
      <c r="J3182">
        <v>34131.620999999999</v>
      </c>
      <c r="K3182">
        <v>8.6E-3</v>
      </c>
      <c r="L3182">
        <v>6.2500000000000003E-3</v>
      </c>
      <c r="M3182">
        <v>7.2800000000000004E-2</v>
      </c>
      <c r="N3182">
        <v>9.1999999999999998E-2</v>
      </c>
      <c r="O3182">
        <v>6.8900000000000003E-3</v>
      </c>
      <c r="P3182" s="3">
        <f t="shared" si="196"/>
        <v>2929.8430792453878</v>
      </c>
      <c r="Q3182" s="3">
        <f t="shared" si="197"/>
        <v>8.6011231796874199E-3</v>
      </c>
      <c r="R3182" s="3">
        <f t="shared" si="198"/>
        <v>6.2500000000000003E-3</v>
      </c>
      <c r="S3182">
        <f t="shared" si="199"/>
        <v>79</v>
      </c>
      <c r="T3182">
        <f>INDEX([1]IDEN_level_ids!$B:$B,MATCH(G3182,[1]IDEN_level_ids!$A:$A,0),1)</f>
        <v>1148</v>
      </c>
      <c r="U3182">
        <f>INDEX([1]IDEN_level_ids!$B:$B,MATCH(H3182,[1]IDEN_level_ids!$A:$A,0),1)</f>
        <v>1060</v>
      </c>
    </row>
    <row r="3183" spans="1:21" hidden="1" x14ac:dyDescent="0.25">
      <c r="A3183">
        <v>34117.472000000002</v>
      </c>
      <c r="B3183">
        <v>2931.0495000000001</v>
      </c>
      <c r="C3183">
        <v>20</v>
      </c>
      <c r="D3183" t="s">
        <v>692</v>
      </c>
      <c r="E3183" t="s">
        <v>678</v>
      </c>
      <c r="F3183">
        <v>1974</v>
      </c>
      <c r="G3183" s="1" t="s">
        <v>276</v>
      </c>
      <c r="H3183" s="1" t="s">
        <v>481</v>
      </c>
      <c r="I3183">
        <v>-1.0219</v>
      </c>
      <c r="J3183">
        <v>34117.508699999998</v>
      </c>
      <c r="K3183">
        <v>3.16E-3</v>
      </c>
      <c r="L3183">
        <v>6.2599999999999999E-3</v>
      </c>
      <c r="M3183">
        <v>7.2800000000000004E-2</v>
      </c>
      <c r="N3183">
        <v>9.8400000000000001E-2</v>
      </c>
      <c r="O3183">
        <v>6.94E-3</v>
      </c>
      <c r="P3183" s="3">
        <f t="shared" si="196"/>
        <v>2931.0495220747889</v>
      </c>
      <c r="Q3183" s="3">
        <f t="shared" si="197"/>
        <v>3.1529124353255611E-3</v>
      </c>
      <c r="R3183" s="3">
        <f t="shared" si="198"/>
        <v>6.2599999999999999E-3</v>
      </c>
      <c r="S3183">
        <f t="shared" si="199"/>
        <v>79</v>
      </c>
      <c r="T3183">
        <f>INDEX([1]IDEN_level_ids!$B:$B,MATCH(G3183,[1]IDEN_level_ids!$A:$A,0),1)</f>
        <v>1131</v>
      </c>
      <c r="U3183">
        <f>INDEX([1]IDEN_level_ids!$B:$B,MATCH(H3183,[1]IDEN_level_ids!$A:$A,0),1)</f>
        <v>1016</v>
      </c>
    </row>
    <row r="3184" spans="1:21" hidden="1" x14ac:dyDescent="0.25">
      <c r="A3184">
        <v>34113.739000000001</v>
      </c>
      <c r="B3184">
        <v>2931.3703</v>
      </c>
      <c r="C3184">
        <v>20</v>
      </c>
      <c r="D3184" t="s">
        <v>692</v>
      </c>
      <c r="F3184">
        <v>1974</v>
      </c>
      <c r="G3184" s="1" t="s">
        <v>275</v>
      </c>
      <c r="H3184" s="1" t="s">
        <v>461</v>
      </c>
      <c r="I3184">
        <v>0.24510000000000001</v>
      </c>
      <c r="J3184">
        <v>34113.771800000002</v>
      </c>
      <c r="K3184">
        <v>2.81E-3</v>
      </c>
      <c r="L3184">
        <v>3.96E-3</v>
      </c>
      <c r="M3184">
        <v>4.6100000000000002E-2</v>
      </c>
      <c r="N3184">
        <v>7.6100000000000001E-2</v>
      </c>
      <c r="O3184">
        <v>4.28E-3</v>
      </c>
      <c r="P3184" s="3">
        <f t="shared" si="196"/>
        <v>2931.3702611138579</v>
      </c>
      <c r="Q3184" s="3">
        <f t="shared" si="197"/>
        <v>2.818478857534501E-3</v>
      </c>
      <c r="R3184" s="3">
        <f t="shared" si="198"/>
        <v>3.96E-3</v>
      </c>
      <c r="S3184">
        <f t="shared" si="199"/>
        <v>79</v>
      </c>
      <c r="T3184">
        <f>INDEX([1]IDEN_level_ids!$B:$B,MATCH(G3184,[1]IDEN_level_ids!$A:$A,0),1)</f>
        <v>1134</v>
      </c>
      <c r="U3184">
        <f>INDEX([1]IDEN_level_ids!$B:$B,MATCH(H3184,[1]IDEN_level_ids!$A:$A,0),1)</f>
        <v>1017</v>
      </c>
    </row>
    <row r="3185" spans="1:21" hidden="1" x14ac:dyDescent="0.25">
      <c r="A3185">
        <v>34090.869200000001</v>
      </c>
      <c r="B3185">
        <v>2933.3368</v>
      </c>
      <c r="C3185">
        <v>20</v>
      </c>
      <c r="D3185" t="s">
        <v>692</v>
      </c>
      <c r="E3185" t="s">
        <v>427</v>
      </c>
      <c r="F3185">
        <v>1974</v>
      </c>
      <c r="G3185" s="1" t="s">
        <v>307</v>
      </c>
      <c r="H3185" s="1" t="s">
        <v>498</v>
      </c>
      <c r="I3185">
        <v>0</v>
      </c>
      <c r="J3185">
        <v>34090.872000000003</v>
      </c>
      <c r="K3185">
        <v>2.4000000000000001E-4</v>
      </c>
      <c r="L3185">
        <v>4.1900000000000001E-3</v>
      </c>
      <c r="M3185">
        <v>4.87E-2</v>
      </c>
      <c r="N3185">
        <v>0.27450000000000002</v>
      </c>
      <c r="O3185">
        <v>5.7800000000000004E-3</v>
      </c>
      <c r="P3185" s="3">
        <f t="shared" si="196"/>
        <v>2933.3367657284607</v>
      </c>
      <c r="Q3185" s="3">
        <f t="shared" si="197"/>
        <v>2.4092498870231793E-4</v>
      </c>
      <c r="R3185" s="3">
        <f t="shared" si="198"/>
        <v>4.1900000000000001E-3</v>
      </c>
      <c r="S3185">
        <f t="shared" si="199"/>
        <v>79</v>
      </c>
      <c r="T3185">
        <f>INDEX([1]IDEN_level_ids!$B:$B,MATCH(G3185,[1]IDEN_level_ids!$A:$A,0),1)</f>
        <v>1095</v>
      </c>
      <c r="U3185">
        <f>INDEX([1]IDEN_level_ids!$B:$B,MATCH(H3185,[1]IDEN_level_ids!$A:$A,0),1)</f>
        <v>953</v>
      </c>
    </row>
    <row r="3186" spans="1:21" hidden="1" x14ac:dyDescent="0.25">
      <c r="A3186">
        <v>34075.2022</v>
      </c>
      <c r="B3186">
        <v>2934.6853999999998</v>
      </c>
      <c r="C3186">
        <v>20</v>
      </c>
      <c r="D3186" t="s">
        <v>692</v>
      </c>
      <c r="F3186">
        <v>1974</v>
      </c>
      <c r="G3186" s="1" t="s">
        <v>256</v>
      </c>
      <c r="H3186" s="1" t="s">
        <v>562</v>
      </c>
      <c r="I3186">
        <v>0</v>
      </c>
      <c r="J3186">
        <v>34075.219299999997</v>
      </c>
      <c r="K3186">
        <v>1.47E-3</v>
      </c>
      <c r="L3186">
        <v>3.9699999999999996E-3</v>
      </c>
      <c r="M3186">
        <v>4.6100000000000002E-2</v>
      </c>
      <c r="N3186">
        <v>0.19570000000000001</v>
      </c>
      <c r="O3186">
        <v>4.9300000000000004E-3</v>
      </c>
      <c r="P3186" s="3">
        <f t="shared" si="196"/>
        <v>2934.6854470022777</v>
      </c>
      <c r="Q3186" s="3">
        <f t="shared" si="197"/>
        <v>1.4727160137226747E-3</v>
      </c>
      <c r="R3186" s="3">
        <f t="shared" si="198"/>
        <v>3.9699999999999996E-3</v>
      </c>
      <c r="S3186">
        <f t="shared" si="199"/>
        <v>79</v>
      </c>
      <c r="T3186">
        <f>INDEX([1]IDEN_level_ids!$B:$B,MATCH(G3186,[1]IDEN_level_ids!$A:$A,0),1)</f>
        <v>1120</v>
      </c>
      <c r="U3186">
        <f>INDEX([1]IDEN_level_ids!$B:$B,MATCH(H3186,[1]IDEN_level_ids!$A:$A,0),1)</f>
        <v>999</v>
      </c>
    </row>
    <row r="3187" spans="1:21" hidden="1" x14ac:dyDescent="0.25">
      <c r="A3187">
        <v>34058.860200000003</v>
      </c>
      <c r="B3187">
        <v>2936.0936000000002</v>
      </c>
      <c r="C3187">
        <v>20</v>
      </c>
      <c r="D3187" t="s">
        <v>692</v>
      </c>
      <c r="F3187">
        <v>1974</v>
      </c>
      <c r="G3187" s="1" t="s">
        <v>256</v>
      </c>
      <c r="H3187" s="1" t="s">
        <v>580</v>
      </c>
      <c r="I3187">
        <v>0.20710000000000001</v>
      </c>
      <c r="J3187">
        <v>34058.9061</v>
      </c>
      <c r="K3187">
        <v>3.96E-3</v>
      </c>
      <c r="L3187">
        <v>3.9699999999999996E-3</v>
      </c>
      <c r="M3187">
        <v>4.6100000000000002E-2</v>
      </c>
      <c r="N3187">
        <v>0.1158</v>
      </c>
      <c r="O3187">
        <v>4.4900000000000001E-3</v>
      </c>
      <c r="P3187" s="3">
        <f t="shared" si="196"/>
        <v>2936.0935572353651</v>
      </c>
      <c r="Q3187" s="3">
        <f t="shared" si="197"/>
        <v>3.9568708953083842E-3</v>
      </c>
      <c r="R3187" s="3">
        <f t="shared" si="198"/>
        <v>3.9699999999999996E-3</v>
      </c>
      <c r="S3187">
        <f t="shared" si="199"/>
        <v>79</v>
      </c>
      <c r="T3187">
        <f>INDEX([1]IDEN_level_ids!$B:$B,MATCH(G3187,[1]IDEN_level_ids!$A:$A,0),1)</f>
        <v>1120</v>
      </c>
      <c r="U3187">
        <f>INDEX([1]IDEN_level_ids!$B:$B,MATCH(H3187,[1]IDEN_level_ids!$A:$A,0),1)</f>
        <v>1001</v>
      </c>
    </row>
    <row r="3188" spans="1:21" hidden="1" x14ac:dyDescent="0.25">
      <c r="A3188">
        <v>34056.931900000003</v>
      </c>
      <c r="B3188">
        <v>2936.2597999999998</v>
      </c>
      <c r="C3188">
        <v>20</v>
      </c>
      <c r="D3188" t="s">
        <v>692</v>
      </c>
      <c r="E3188" t="s">
        <v>681</v>
      </c>
      <c r="F3188">
        <v>1974</v>
      </c>
      <c r="G3188" s="1" t="s">
        <v>515</v>
      </c>
      <c r="H3188" s="1" t="s">
        <v>454</v>
      </c>
      <c r="I3188">
        <v>0.29680000000000001</v>
      </c>
      <c r="J3188">
        <v>34056.944900000002</v>
      </c>
      <c r="K3188">
        <v>1.1299999999999999E-3</v>
      </c>
      <c r="L3188">
        <v>6.9199999999999999E-3</v>
      </c>
      <c r="M3188">
        <v>8.0299999999999996E-2</v>
      </c>
      <c r="N3188">
        <v>0.10150000000000001</v>
      </c>
      <c r="O3188">
        <v>7.7099999999999998E-3</v>
      </c>
      <c r="P3188" s="3">
        <f t="shared" si="196"/>
        <v>2936.2597985521998</v>
      </c>
      <c r="Q3188" s="3">
        <f t="shared" si="197"/>
        <v>1.1208103805984138E-3</v>
      </c>
      <c r="R3188" s="3">
        <f t="shared" si="198"/>
        <v>6.9199999999999999E-3</v>
      </c>
      <c r="S3188">
        <f t="shared" si="199"/>
        <v>79</v>
      </c>
      <c r="T3188">
        <f>INDEX([1]IDEN_level_ids!$B:$B,MATCH(G3188,[1]IDEN_level_ids!$A:$A,0),1)</f>
        <v>1140</v>
      </c>
      <c r="U3188">
        <f>INDEX([1]IDEN_level_ids!$B:$B,MATCH(H3188,[1]IDEN_level_ids!$A:$A,0),1)</f>
        <v>1036</v>
      </c>
    </row>
    <row r="3189" spans="1:21" hidden="1" x14ac:dyDescent="0.25">
      <c r="A3189">
        <v>34046.680699999997</v>
      </c>
      <c r="B3189">
        <v>2937.1439</v>
      </c>
      <c r="C3189">
        <v>20</v>
      </c>
      <c r="D3189" t="s">
        <v>692</v>
      </c>
      <c r="E3189" t="s">
        <v>681</v>
      </c>
      <c r="F3189">
        <v>1974</v>
      </c>
      <c r="G3189" s="1" t="s">
        <v>492</v>
      </c>
      <c r="H3189" s="1" t="s">
        <v>570</v>
      </c>
      <c r="I3189">
        <v>0.25629999999999997</v>
      </c>
      <c r="J3189">
        <v>34046.814700000003</v>
      </c>
      <c r="K3189">
        <v>1.1560000000000001E-2</v>
      </c>
      <c r="L3189">
        <v>6.9300000000000004E-3</v>
      </c>
      <c r="M3189">
        <v>8.0299999999999996E-2</v>
      </c>
      <c r="N3189">
        <v>8.8900000000000007E-2</v>
      </c>
      <c r="O3189">
        <v>7.6E-3</v>
      </c>
      <c r="P3189" s="3">
        <f t="shared" si="196"/>
        <v>2937.1438843376004</v>
      </c>
      <c r="Q3189" s="3">
        <f t="shared" si="197"/>
        <v>1.155988552773124E-2</v>
      </c>
      <c r="R3189" s="3">
        <f t="shared" si="198"/>
        <v>6.9300000000000004E-3</v>
      </c>
      <c r="S3189">
        <f t="shared" si="199"/>
        <v>79</v>
      </c>
      <c r="T3189">
        <f>INDEX([1]IDEN_level_ids!$B:$B,MATCH(G3189,[1]IDEN_level_ids!$A:$A,0),1)</f>
        <v>1132</v>
      </c>
      <c r="U3189">
        <f>INDEX([1]IDEN_level_ids!$B:$B,MATCH(H3189,[1]IDEN_level_ids!$A:$A,0),1)</f>
        <v>1015</v>
      </c>
    </row>
    <row r="3190" spans="1:21" hidden="1" x14ac:dyDescent="0.25">
      <c r="A3190">
        <v>34035.991999999998</v>
      </c>
      <c r="B3190">
        <v>2938.0663</v>
      </c>
      <c r="C3190">
        <v>20</v>
      </c>
      <c r="D3190" t="s">
        <v>692</v>
      </c>
      <c r="F3190">
        <v>1974</v>
      </c>
      <c r="G3190" s="1" t="s">
        <v>172</v>
      </c>
      <c r="H3190" s="1" t="s">
        <v>613</v>
      </c>
      <c r="I3190">
        <v>0</v>
      </c>
      <c r="J3190">
        <v>34036.023000000001</v>
      </c>
      <c r="K3190">
        <v>2.6800000000000001E-3</v>
      </c>
      <c r="L3190">
        <v>3.98E-3</v>
      </c>
      <c r="M3190">
        <v>4.6100000000000002E-2</v>
      </c>
      <c r="N3190">
        <v>0.26179999999999998</v>
      </c>
      <c r="O3190">
        <v>5.3899999999999998E-3</v>
      </c>
      <c r="P3190" s="3">
        <f t="shared" si="196"/>
        <v>2938.0662682022021</v>
      </c>
      <c r="Q3190" s="3">
        <f t="shared" si="197"/>
        <v>2.6759899155877065E-3</v>
      </c>
      <c r="R3190" s="3">
        <f t="shared" si="198"/>
        <v>3.98E-3</v>
      </c>
      <c r="S3190">
        <f t="shared" si="199"/>
        <v>79</v>
      </c>
      <c r="T3190">
        <f>INDEX([1]IDEN_level_ids!$B:$B,MATCH(G3190,[1]IDEN_level_ids!$A:$A,0),1)</f>
        <v>1136</v>
      </c>
      <c r="U3190">
        <f>INDEX([1]IDEN_level_ids!$B:$B,MATCH(H3190,[1]IDEN_level_ids!$A:$A,0),1)</f>
        <v>1020</v>
      </c>
    </row>
    <row r="3191" spans="1:21" hidden="1" x14ac:dyDescent="0.25">
      <c r="A3191">
        <v>34002.9208</v>
      </c>
      <c r="B3191">
        <v>2940.9238</v>
      </c>
      <c r="C3191">
        <v>20</v>
      </c>
      <c r="D3191" t="s">
        <v>692</v>
      </c>
      <c r="E3191" t="s">
        <v>638</v>
      </c>
      <c r="F3191">
        <v>1974</v>
      </c>
      <c r="G3191" s="1" t="s">
        <v>426</v>
      </c>
      <c r="H3191" s="1" t="s">
        <v>507</v>
      </c>
      <c r="I3191">
        <v>0</v>
      </c>
      <c r="J3191">
        <v>34002.962500000001</v>
      </c>
      <c r="K3191">
        <v>3.6099999999999999E-3</v>
      </c>
      <c r="L3191">
        <v>1.495E-2</v>
      </c>
      <c r="M3191">
        <v>0.17280000000000001</v>
      </c>
      <c r="N3191">
        <v>0.45639999999999997</v>
      </c>
      <c r="O3191">
        <v>2.75E-2</v>
      </c>
      <c r="P3191" s="3">
        <f t="shared" si="196"/>
        <v>2940.9238279318643</v>
      </c>
      <c r="Q3191" s="3">
        <f t="shared" si="197"/>
        <v>3.6066423222109734E-3</v>
      </c>
      <c r="R3191" s="3">
        <f t="shared" si="198"/>
        <v>1.495E-2</v>
      </c>
      <c r="S3191">
        <f t="shared" si="199"/>
        <v>79</v>
      </c>
      <c r="T3191">
        <f>INDEX([1]IDEN_level_ids!$B:$B,MATCH(G3191,[1]IDEN_level_ids!$A:$A,0),1)</f>
        <v>932</v>
      </c>
      <c r="U3191">
        <f>INDEX([1]IDEN_level_ids!$B:$B,MATCH(H3191,[1]IDEN_level_ids!$A:$A,0),1)</f>
        <v>667</v>
      </c>
    </row>
    <row r="3192" spans="1:21" hidden="1" x14ac:dyDescent="0.25">
      <c r="A3192">
        <v>33993.301099999997</v>
      </c>
      <c r="B3192">
        <v>2941.7561000000001</v>
      </c>
      <c r="C3192">
        <v>20</v>
      </c>
      <c r="D3192" t="s">
        <v>692</v>
      </c>
      <c r="E3192" t="s">
        <v>678</v>
      </c>
      <c r="F3192">
        <v>1974</v>
      </c>
      <c r="G3192" s="1" t="s">
        <v>693</v>
      </c>
      <c r="H3192" s="1" t="s">
        <v>473</v>
      </c>
      <c r="I3192">
        <v>-0.67249999999999999</v>
      </c>
      <c r="J3192">
        <v>33993.385900000001</v>
      </c>
      <c r="K3192">
        <v>7.3400000000000002E-3</v>
      </c>
      <c r="L3192">
        <v>6.3E-3</v>
      </c>
      <c r="M3192">
        <v>7.2800000000000004E-2</v>
      </c>
      <c r="N3192">
        <v>0.18629999999999999</v>
      </c>
      <c r="O3192">
        <v>7.7499999999999999E-3</v>
      </c>
      <c r="P3192" s="3">
        <f t="shared" si="196"/>
        <v>2941.7560744049069</v>
      </c>
      <c r="Q3192" s="3">
        <f t="shared" si="197"/>
        <v>7.3385133168812899E-3</v>
      </c>
      <c r="R3192" s="3">
        <f t="shared" si="198"/>
        <v>6.3E-3</v>
      </c>
      <c r="S3192">
        <f t="shared" si="199"/>
        <v>79</v>
      </c>
      <c r="T3192">
        <f>INDEX([1]IDEN_level_ids!$B:$B,MATCH(G3192,[1]IDEN_level_ids!$A:$A,0),1)</f>
        <v>1088</v>
      </c>
      <c r="U3192">
        <f>INDEX([1]IDEN_level_ids!$B:$B,MATCH(H3192,[1]IDEN_level_ids!$A:$A,0),1)</f>
        <v>934</v>
      </c>
    </row>
    <row r="3193" spans="1:21" hidden="1" x14ac:dyDescent="0.25">
      <c r="A3193">
        <v>33975.618300000002</v>
      </c>
      <c r="B3193">
        <v>2943.2871</v>
      </c>
      <c r="C3193">
        <v>20</v>
      </c>
      <c r="D3193" t="s">
        <v>692</v>
      </c>
      <c r="E3193" t="s">
        <v>678</v>
      </c>
      <c r="F3193">
        <v>1974</v>
      </c>
      <c r="G3193" s="1" t="s">
        <v>319</v>
      </c>
      <c r="H3193" s="1" t="s">
        <v>477</v>
      </c>
      <c r="I3193">
        <v>-0.74270000000000003</v>
      </c>
      <c r="J3193">
        <v>33975.709699999999</v>
      </c>
      <c r="K3193">
        <v>7.92E-3</v>
      </c>
      <c r="L3193">
        <v>6.3099999999999996E-3</v>
      </c>
      <c r="M3193">
        <v>7.2800000000000004E-2</v>
      </c>
      <c r="N3193">
        <v>0.1129</v>
      </c>
      <c r="O3193">
        <v>7.11E-3</v>
      </c>
      <c r="P3193" s="3">
        <f t="shared" si="196"/>
        <v>2943.2871277577306</v>
      </c>
      <c r="Q3193" s="3">
        <f t="shared" si="197"/>
        <v>7.9179050517268479E-3</v>
      </c>
      <c r="R3193" s="3">
        <f t="shared" si="198"/>
        <v>6.3099999999999996E-3</v>
      </c>
      <c r="S3193">
        <f t="shared" si="199"/>
        <v>79</v>
      </c>
      <c r="T3193">
        <f>INDEX([1]IDEN_level_ids!$B:$B,MATCH(G3193,[1]IDEN_level_ids!$A:$A,0),1)</f>
        <v>1141</v>
      </c>
      <c r="U3193">
        <f>INDEX([1]IDEN_level_ids!$B:$B,MATCH(H3193,[1]IDEN_level_ids!$A:$A,0),1)</f>
        <v>1045</v>
      </c>
    </row>
    <row r="3194" spans="1:21" hidden="1" x14ac:dyDescent="0.25">
      <c r="A3194">
        <v>33972.140399999997</v>
      </c>
      <c r="B3194">
        <v>2943.5884000000001</v>
      </c>
      <c r="C3194">
        <v>20</v>
      </c>
      <c r="D3194" t="s">
        <v>692</v>
      </c>
      <c r="E3194" t="s">
        <v>427</v>
      </c>
      <c r="F3194">
        <v>1974</v>
      </c>
      <c r="G3194" s="1" t="s">
        <v>172</v>
      </c>
      <c r="H3194" s="1" t="s">
        <v>475</v>
      </c>
      <c r="I3194">
        <v>0.18990000000000001</v>
      </c>
      <c r="J3194">
        <v>33972.152399999999</v>
      </c>
      <c r="K3194">
        <v>1.0399999999999999E-3</v>
      </c>
      <c r="L3194">
        <v>4.2199999999999998E-3</v>
      </c>
      <c r="M3194">
        <v>4.87E-2</v>
      </c>
      <c r="N3194">
        <v>8.6199999999999999E-2</v>
      </c>
      <c r="O3194">
        <v>4.62E-3</v>
      </c>
      <c r="P3194" s="3">
        <f t="shared" si="196"/>
        <v>2943.5884469616758</v>
      </c>
      <c r="Q3194" s="3">
        <f t="shared" si="197"/>
        <v>1.0397651863058854E-3</v>
      </c>
      <c r="R3194" s="3">
        <f t="shared" si="198"/>
        <v>4.2199999999999998E-3</v>
      </c>
      <c r="S3194">
        <f t="shared" si="199"/>
        <v>79</v>
      </c>
      <c r="T3194">
        <f>INDEX([1]IDEN_level_ids!$B:$B,MATCH(G3194,[1]IDEN_level_ids!$A:$A,0),1)</f>
        <v>1136</v>
      </c>
      <c r="U3194">
        <f>INDEX([1]IDEN_level_ids!$B:$B,MATCH(H3194,[1]IDEN_level_ids!$A:$A,0),1)</f>
        <v>1030</v>
      </c>
    </row>
    <row r="3195" spans="1:21" hidden="1" x14ac:dyDescent="0.25">
      <c r="A3195">
        <v>33962.598599999998</v>
      </c>
      <c r="B3195">
        <v>2944.4153999999999</v>
      </c>
      <c r="C3195">
        <v>20</v>
      </c>
      <c r="D3195" t="s">
        <v>692</v>
      </c>
      <c r="F3195">
        <v>1974</v>
      </c>
      <c r="G3195" s="1" t="s">
        <v>275</v>
      </c>
      <c r="H3195" s="1" t="s">
        <v>585</v>
      </c>
      <c r="I3195">
        <v>0</v>
      </c>
      <c r="J3195">
        <v>33962.5746</v>
      </c>
      <c r="K3195">
        <v>-2.0799999999999998E-3</v>
      </c>
      <c r="L3195">
        <v>3.9899999999999996E-3</v>
      </c>
      <c r="M3195">
        <v>4.6100000000000002E-2</v>
      </c>
      <c r="N3195">
        <v>0.1</v>
      </c>
      <c r="O3195">
        <v>4.4400000000000004E-3</v>
      </c>
      <c r="P3195" s="3">
        <f t="shared" si="196"/>
        <v>2944.4154488225763</v>
      </c>
      <c r="Q3195" s="3">
        <f t="shared" si="197"/>
        <v>-2.0807012306249817E-3</v>
      </c>
      <c r="R3195" s="3">
        <f t="shared" si="198"/>
        <v>3.9899999999999996E-3</v>
      </c>
      <c r="S3195">
        <f t="shared" si="199"/>
        <v>79</v>
      </c>
      <c r="T3195">
        <f>INDEX([1]IDEN_level_ids!$B:$B,MATCH(G3195,[1]IDEN_level_ids!$A:$A,0),1)</f>
        <v>1134</v>
      </c>
      <c r="U3195">
        <f>INDEX([1]IDEN_level_ids!$B:$B,MATCH(H3195,[1]IDEN_level_ids!$A:$A,0),1)</f>
        <v>1019</v>
      </c>
    </row>
    <row r="3196" spans="1:21" hidden="1" x14ac:dyDescent="0.25">
      <c r="A3196">
        <v>33933.538200000003</v>
      </c>
      <c r="B3196">
        <v>2946.9369999999999</v>
      </c>
      <c r="C3196">
        <v>20</v>
      </c>
      <c r="D3196" t="s">
        <v>692</v>
      </c>
      <c r="E3196" t="s">
        <v>427</v>
      </c>
      <c r="F3196">
        <v>1974</v>
      </c>
      <c r="G3196" s="1" t="s">
        <v>285</v>
      </c>
      <c r="H3196" s="1" t="s">
        <v>375</v>
      </c>
      <c r="I3196">
        <v>0.28789999999999999</v>
      </c>
      <c r="J3196">
        <v>33933.569300000003</v>
      </c>
      <c r="K3196">
        <v>2.7000000000000001E-3</v>
      </c>
      <c r="L3196">
        <v>4.2300000000000003E-3</v>
      </c>
      <c r="M3196">
        <v>4.87E-2</v>
      </c>
      <c r="N3196">
        <v>0.08</v>
      </c>
      <c r="O3196">
        <v>4.5999999999999999E-3</v>
      </c>
      <c r="P3196" s="3">
        <f t="shared" si="196"/>
        <v>2946.9370217338546</v>
      </c>
      <c r="Q3196" s="3">
        <f t="shared" si="197"/>
        <v>2.7008576835214626E-3</v>
      </c>
      <c r="R3196" s="3">
        <f t="shared" si="198"/>
        <v>4.2300000000000003E-3</v>
      </c>
      <c r="S3196">
        <f t="shared" si="199"/>
        <v>79</v>
      </c>
      <c r="T3196">
        <f>INDEX([1]IDEN_level_ids!$B:$B,MATCH(G3196,[1]IDEN_level_ids!$A:$A,0),1)</f>
        <v>1150</v>
      </c>
      <c r="U3196">
        <f>INDEX([1]IDEN_level_ids!$B:$B,MATCH(H3196,[1]IDEN_level_ids!$A:$A,0),1)</f>
        <v>1065</v>
      </c>
    </row>
    <row r="3197" spans="1:21" hidden="1" x14ac:dyDescent="0.25">
      <c r="A3197">
        <v>33932.398099999999</v>
      </c>
      <c r="B3197">
        <v>2947.0360000000001</v>
      </c>
      <c r="C3197">
        <v>20</v>
      </c>
      <c r="D3197" t="s">
        <v>692</v>
      </c>
      <c r="E3197" t="s">
        <v>681</v>
      </c>
      <c r="F3197">
        <v>1974</v>
      </c>
      <c r="G3197" s="1" t="s">
        <v>329</v>
      </c>
      <c r="H3197" s="1" t="s">
        <v>552</v>
      </c>
      <c r="I3197">
        <v>0.29249999999999998</v>
      </c>
      <c r="J3197">
        <v>33932.385300000002</v>
      </c>
      <c r="K3197">
        <v>-1.1100000000000001E-3</v>
      </c>
      <c r="L3197">
        <v>6.9800000000000001E-3</v>
      </c>
      <c r="M3197">
        <v>8.0299999999999996E-2</v>
      </c>
      <c r="N3197">
        <v>7.4899999999999994E-2</v>
      </c>
      <c r="O3197">
        <v>7.5399999999999998E-3</v>
      </c>
      <c r="P3197" s="3">
        <f t="shared" si="196"/>
        <v>2947.0360363360232</v>
      </c>
      <c r="Q3197" s="3">
        <f t="shared" si="197"/>
        <v>-1.1116831583422027E-3</v>
      </c>
      <c r="R3197" s="3">
        <f t="shared" si="198"/>
        <v>6.9800000000000001E-3</v>
      </c>
      <c r="S3197">
        <f t="shared" si="199"/>
        <v>79</v>
      </c>
      <c r="T3197">
        <f>INDEX([1]IDEN_level_ids!$B:$B,MATCH(G3197,[1]IDEN_level_ids!$A:$A,0),1)</f>
        <v>1138</v>
      </c>
      <c r="U3197">
        <f>INDEX([1]IDEN_level_ids!$B:$B,MATCH(H3197,[1]IDEN_level_ids!$A:$A,0),1)</f>
        <v>1040</v>
      </c>
    </row>
    <row r="3198" spans="1:21" hidden="1" x14ac:dyDescent="0.25">
      <c r="A3198">
        <v>33884.669000000002</v>
      </c>
      <c r="B3198">
        <v>2951.1871999999998</v>
      </c>
      <c r="C3198">
        <v>20</v>
      </c>
      <c r="D3198" t="s">
        <v>694</v>
      </c>
      <c r="E3198" t="s">
        <v>638</v>
      </c>
      <c r="F3198">
        <v>1974</v>
      </c>
      <c r="G3198" s="1" t="s">
        <v>279</v>
      </c>
      <c r="H3198" s="1" t="s">
        <v>472</v>
      </c>
      <c r="I3198">
        <v>5.0999999999999997E-2</v>
      </c>
      <c r="J3198">
        <v>33884.8802</v>
      </c>
      <c r="K3198">
        <v>1.84E-2</v>
      </c>
      <c r="L3198">
        <v>1.5049999999999999E-2</v>
      </c>
      <c r="M3198">
        <v>0.17280000000000001</v>
      </c>
      <c r="N3198">
        <v>1.7299999999999999E-2</v>
      </c>
      <c r="O3198">
        <v>1.532E-2</v>
      </c>
      <c r="P3198" s="3">
        <f t="shared" si="196"/>
        <v>2951.1871578264495</v>
      </c>
      <c r="Q3198" s="3">
        <f t="shared" si="197"/>
        <v>1.8394361262380698E-2</v>
      </c>
      <c r="R3198" s="3">
        <f t="shared" si="198"/>
        <v>1.5049999999999999E-2</v>
      </c>
      <c r="S3198">
        <f t="shared" si="199"/>
        <v>80</v>
      </c>
      <c r="T3198">
        <f>INDEX([1]IDEN_level_ids!$B:$B,MATCH(G3198,[1]IDEN_level_ids!$A:$A,0),1)</f>
        <v>1129</v>
      </c>
      <c r="U3198">
        <f>INDEX([1]IDEN_level_ids!$B:$B,MATCH(H3198,[1]IDEN_level_ids!$A:$A,0),1)</f>
        <v>1012</v>
      </c>
    </row>
    <row r="3199" spans="1:21" hidden="1" x14ac:dyDescent="0.25">
      <c r="A3199">
        <v>33874.000800000002</v>
      </c>
      <c r="B3199">
        <v>2952.1165999999998</v>
      </c>
      <c r="C3199">
        <v>20</v>
      </c>
      <c r="D3199" t="s">
        <v>694</v>
      </c>
      <c r="E3199" t="s">
        <v>678</v>
      </c>
      <c r="F3199">
        <v>1974</v>
      </c>
      <c r="G3199" s="1" t="s">
        <v>693</v>
      </c>
      <c r="H3199" s="1" t="s">
        <v>374</v>
      </c>
      <c r="I3199">
        <v>-0.78269999999999995</v>
      </c>
      <c r="J3199">
        <v>33873.885900000001</v>
      </c>
      <c r="K3199">
        <v>-1.001E-2</v>
      </c>
      <c r="L3199">
        <v>6.3499999999999997E-3</v>
      </c>
      <c r="M3199">
        <v>7.2800000000000004E-2</v>
      </c>
      <c r="N3199">
        <v>0.26269999999999999</v>
      </c>
      <c r="O3199">
        <v>8.6099999999999996E-3</v>
      </c>
      <c r="P3199" s="3">
        <f t="shared" si="196"/>
        <v>2952.1165979307643</v>
      </c>
      <c r="Q3199" s="3">
        <f t="shared" si="197"/>
        <v>-1.0013560242441599E-2</v>
      </c>
      <c r="R3199" s="3">
        <f t="shared" si="198"/>
        <v>6.3499999999999997E-3</v>
      </c>
      <c r="S3199">
        <f t="shared" si="199"/>
        <v>80</v>
      </c>
      <c r="T3199">
        <f>INDEX([1]IDEN_level_ids!$B:$B,MATCH(G3199,[1]IDEN_level_ids!$A:$A,0),1)</f>
        <v>1088</v>
      </c>
      <c r="U3199">
        <f>INDEX([1]IDEN_level_ids!$B:$B,MATCH(H3199,[1]IDEN_level_ids!$A:$A,0),1)</f>
        <v>936</v>
      </c>
    </row>
    <row r="3200" spans="1:21" hidden="1" x14ac:dyDescent="0.25">
      <c r="A3200">
        <v>33870.500699999997</v>
      </c>
      <c r="B3200">
        <v>2952.4216999999999</v>
      </c>
      <c r="C3200">
        <v>20</v>
      </c>
      <c r="D3200" t="s">
        <v>694</v>
      </c>
      <c r="E3200" t="s">
        <v>681</v>
      </c>
      <c r="F3200">
        <v>1974</v>
      </c>
      <c r="G3200" s="1" t="s">
        <v>443</v>
      </c>
      <c r="H3200" s="1" t="s">
        <v>428</v>
      </c>
      <c r="I3200">
        <v>0.64890000000000003</v>
      </c>
      <c r="J3200">
        <v>33870.580900000001</v>
      </c>
      <c r="K3200">
        <v>6.9899999999999997E-3</v>
      </c>
      <c r="L3200">
        <v>7.0000000000000001E-3</v>
      </c>
      <c r="M3200">
        <v>8.0299999999999996E-2</v>
      </c>
      <c r="N3200">
        <v>6.7500000000000004E-2</v>
      </c>
      <c r="O3200">
        <v>7.5100000000000002E-3</v>
      </c>
      <c r="P3200" s="3">
        <f t="shared" si="196"/>
        <v>2952.4216629014877</v>
      </c>
      <c r="Q3200" s="3">
        <f t="shared" si="197"/>
        <v>6.9908519749333209E-3</v>
      </c>
      <c r="R3200" s="3">
        <f t="shared" si="198"/>
        <v>7.0000000000000001E-3</v>
      </c>
      <c r="S3200">
        <f t="shared" si="199"/>
        <v>80</v>
      </c>
      <c r="T3200">
        <f>INDEX([1]IDEN_level_ids!$B:$B,MATCH(G3200,[1]IDEN_level_ids!$A:$A,0),1)</f>
        <v>1145</v>
      </c>
      <c r="U3200">
        <f>INDEX([1]IDEN_level_ids!$B:$B,MATCH(H3200,[1]IDEN_level_ids!$A:$A,0),1)</f>
        <v>1060</v>
      </c>
    </row>
    <row r="3201" spans="1:21" hidden="1" x14ac:dyDescent="0.25">
      <c r="A3201">
        <v>33862.5988</v>
      </c>
      <c r="B3201">
        <v>2953.1106</v>
      </c>
      <c r="C3201">
        <v>20</v>
      </c>
      <c r="D3201" t="s">
        <v>694</v>
      </c>
      <c r="E3201" t="s">
        <v>681</v>
      </c>
      <c r="F3201">
        <v>1974</v>
      </c>
      <c r="G3201" s="1" t="s">
        <v>443</v>
      </c>
      <c r="H3201" s="1" t="s">
        <v>377</v>
      </c>
      <c r="I3201">
        <v>0.58430000000000004</v>
      </c>
      <c r="J3201">
        <v>33862.587599999999</v>
      </c>
      <c r="K3201">
        <v>-9.7999999999999997E-4</v>
      </c>
      <c r="L3201">
        <v>7.0000000000000001E-3</v>
      </c>
      <c r="M3201">
        <v>8.0299999999999996E-2</v>
      </c>
      <c r="N3201">
        <v>5.8999999999999997E-2</v>
      </c>
      <c r="O3201">
        <v>7.4400000000000004E-3</v>
      </c>
      <c r="P3201" s="3">
        <f t="shared" si="196"/>
        <v>2953.1106159518981</v>
      </c>
      <c r="Q3201" s="3">
        <f t="shared" si="197"/>
        <v>-9.7673690152078052E-4</v>
      </c>
      <c r="R3201" s="3">
        <f t="shared" si="198"/>
        <v>7.0000000000000001E-3</v>
      </c>
      <c r="S3201">
        <f t="shared" si="199"/>
        <v>80</v>
      </c>
      <c r="T3201">
        <f>INDEX([1]IDEN_level_ids!$B:$B,MATCH(G3201,[1]IDEN_level_ids!$A:$A,0),1)</f>
        <v>1145</v>
      </c>
      <c r="U3201">
        <f>INDEX([1]IDEN_level_ids!$B:$B,MATCH(H3201,[1]IDEN_level_ids!$A:$A,0),1)</f>
        <v>1057</v>
      </c>
    </row>
    <row r="3202" spans="1:21" hidden="1" x14ac:dyDescent="0.25">
      <c r="A3202">
        <v>33857.7696</v>
      </c>
      <c r="B3202">
        <v>2953.5318000000002</v>
      </c>
      <c r="C3202">
        <v>20</v>
      </c>
      <c r="D3202" t="s">
        <v>694</v>
      </c>
      <c r="E3202" t="s">
        <v>607</v>
      </c>
      <c r="F3202">
        <v>1974</v>
      </c>
      <c r="G3202" s="1" t="s">
        <v>282</v>
      </c>
      <c r="H3202" s="1" t="s">
        <v>472</v>
      </c>
      <c r="I3202">
        <v>0</v>
      </c>
      <c r="J3202">
        <v>33857.803599999999</v>
      </c>
      <c r="K3202">
        <v>2.96E-3</v>
      </c>
      <c r="L3202">
        <v>2.0600000000000002E-3</v>
      </c>
      <c r="M3202">
        <v>2.3599999999999999E-2</v>
      </c>
      <c r="N3202">
        <v>0.3382</v>
      </c>
      <c r="O3202">
        <v>3.1099999999999999E-3</v>
      </c>
      <c r="P3202" s="3">
        <f t="shared" ref="P3202:P3265" si="200">100000000/$A3202</f>
        <v>2953.5318239037224</v>
      </c>
      <c r="Q3202" s="3">
        <f t="shared" ref="Q3202:Q3265" si="201">100000000/($A3202)-100000000/$J3202</f>
        <v>2.9659361016456387E-3</v>
      </c>
      <c r="R3202" s="3">
        <f t="shared" si="198"/>
        <v>2.0600000000000002E-3</v>
      </c>
      <c r="S3202">
        <f t="shared" si="199"/>
        <v>80</v>
      </c>
      <c r="T3202">
        <f>INDEX([1]IDEN_level_ids!$B:$B,MATCH(G3202,[1]IDEN_level_ids!$A:$A,0),1)</f>
        <v>1128</v>
      </c>
      <c r="U3202">
        <f>INDEX([1]IDEN_level_ids!$B:$B,MATCH(H3202,[1]IDEN_level_ids!$A:$A,0),1)</f>
        <v>1012</v>
      </c>
    </row>
    <row r="3203" spans="1:21" hidden="1" x14ac:dyDescent="0.25">
      <c r="A3203">
        <v>33847.280299999999</v>
      </c>
      <c r="B3203">
        <v>2954.4470999999999</v>
      </c>
      <c r="C3203">
        <v>20</v>
      </c>
      <c r="D3203" t="s">
        <v>694</v>
      </c>
      <c r="E3203" t="s">
        <v>678</v>
      </c>
      <c r="F3203">
        <v>1974</v>
      </c>
      <c r="G3203" s="1" t="s">
        <v>276</v>
      </c>
      <c r="H3203" s="1" t="s">
        <v>461</v>
      </c>
      <c r="I3203">
        <v>-0.76</v>
      </c>
      <c r="J3203">
        <v>33847.261400000003</v>
      </c>
      <c r="K3203">
        <v>-1.65E-3</v>
      </c>
      <c r="L3203">
        <v>6.3600000000000002E-3</v>
      </c>
      <c r="M3203">
        <v>7.2800000000000004E-2</v>
      </c>
      <c r="N3203">
        <v>5.7200000000000001E-2</v>
      </c>
      <c r="O3203">
        <v>6.7400000000000003E-3</v>
      </c>
      <c r="P3203" s="3">
        <f t="shared" si="200"/>
        <v>2954.4471258448498</v>
      </c>
      <c r="Q3203" s="3">
        <f t="shared" si="201"/>
        <v>-1.6497361484653084E-3</v>
      </c>
      <c r="R3203" s="3">
        <f t="shared" ref="R3203:R3266" si="202">$L3203</f>
        <v>6.3600000000000002E-3</v>
      </c>
      <c r="S3203">
        <f t="shared" si="199"/>
        <v>80</v>
      </c>
      <c r="T3203">
        <f>INDEX([1]IDEN_level_ids!$B:$B,MATCH(G3203,[1]IDEN_level_ids!$A:$A,0),1)</f>
        <v>1131</v>
      </c>
      <c r="U3203">
        <f>INDEX([1]IDEN_level_ids!$B:$B,MATCH(H3203,[1]IDEN_level_ids!$A:$A,0),1)</f>
        <v>1017</v>
      </c>
    </row>
    <row r="3204" spans="1:21" hidden="1" x14ac:dyDescent="0.25">
      <c r="A3204">
        <v>33837.979299999999</v>
      </c>
      <c r="B3204">
        <v>2955.2592</v>
      </c>
      <c r="C3204">
        <v>20</v>
      </c>
      <c r="D3204" t="s">
        <v>694</v>
      </c>
      <c r="E3204" t="s">
        <v>427</v>
      </c>
      <c r="F3204">
        <v>1974</v>
      </c>
      <c r="G3204" s="1" t="s">
        <v>141</v>
      </c>
      <c r="H3204" s="1" t="s">
        <v>407</v>
      </c>
      <c r="I3204">
        <v>0.27489999999999998</v>
      </c>
      <c r="J3204">
        <v>33837.969700000001</v>
      </c>
      <c r="K3204">
        <v>-8.4000000000000003E-4</v>
      </c>
      <c r="L3204">
        <v>4.2599999999999999E-3</v>
      </c>
      <c r="M3204">
        <v>4.87E-2</v>
      </c>
      <c r="N3204">
        <v>5.6099999999999997E-2</v>
      </c>
      <c r="O3204">
        <v>4.5100000000000001E-3</v>
      </c>
      <c r="P3204" s="3">
        <f t="shared" si="200"/>
        <v>2955.259210764988</v>
      </c>
      <c r="Q3204" s="3">
        <f t="shared" si="201"/>
        <v>-8.3842170988646103E-4</v>
      </c>
      <c r="R3204" s="3">
        <f t="shared" si="202"/>
        <v>4.2599999999999999E-3</v>
      </c>
      <c r="S3204">
        <f t="shared" ref="S3204:S3267" si="203">IF(D3204=D3203,S3203,S3203+1)</f>
        <v>80</v>
      </c>
      <c r="T3204">
        <f>INDEX([1]IDEN_level_ids!$B:$B,MATCH(G3204,[1]IDEN_level_ids!$A:$A,0),1)</f>
        <v>1155</v>
      </c>
      <c r="U3204">
        <f>INDEX([1]IDEN_level_ids!$B:$B,MATCH(H3204,[1]IDEN_level_ids!$A:$A,0),1)</f>
        <v>1073</v>
      </c>
    </row>
    <row r="3205" spans="1:21" hidden="1" x14ac:dyDescent="0.25">
      <c r="A3205">
        <v>33814.859700000001</v>
      </c>
      <c r="B3205">
        <v>2957.2797999999998</v>
      </c>
      <c r="C3205">
        <v>20</v>
      </c>
      <c r="D3205" t="s">
        <v>694</v>
      </c>
      <c r="F3205">
        <v>1974</v>
      </c>
      <c r="G3205" s="1" t="s">
        <v>141</v>
      </c>
      <c r="H3205" s="1" t="s">
        <v>518</v>
      </c>
      <c r="I3205">
        <v>0</v>
      </c>
      <c r="J3205">
        <v>33814.931700000001</v>
      </c>
      <c r="K3205">
        <v>6.2899999999999996E-3</v>
      </c>
      <c r="L3205">
        <v>4.0299999999999997E-3</v>
      </c>
      <c r="M3205">
        <v>4.6100000000000002E-2</v>
      </c>
      <c r="N3205">
        <v>0.15210000000000001</v>
      </c>
      <c r="O3205">
        <v>4.7499999999999999E-3</v>
      </c>
      <c r="P3205" s="3">
        <f t="shared" si="200"/>
        <v>2957.2797547345731</v>
      </c>
      <c r="Q3205" s="3">
        <f t="shared" si="201"/>
        <v>6.2967491471681569E-3</v>
      </c>
      <c r="R3205" s="3">
        <f t="shared" si="202"/>
        <v>4.0299999999999997E-3</v>
      </c>
      <c r="S3205">
        <f t="shared" si="203"/>
        <v>80</v>
      </c>
      <c r="T3205">
        <f>INDEX([1]IDEN_level_ids!$B:$B,MATCH(G3205,[1]IDEN_level_ids!$A:$A,0),1)</f>
        <v>1155</v>
      </c>
      <c r="U3205">
        <f>INDEX([1]IDEN_level_ids!$B:$B,MATCH(H3205,[1]IDEN_level_ids!$A:$A,0),1)</f>
        <v>1074</v>
      </c>
    </row>
    <row r="3206" spans="1:21" hidden="1" x14ac:dyDescent="0.25">
      <c r="A3206">
        <v>33777.148699999998</v>
      </c>
      <c r="B3206">
        <v>2960.5814999999998</v>
      </c>
      <c r="C3206">
        <v>20</v>
      </c>
      <c r="D3206" t="s">
        <v>694</v>
      </c>
      <c r="E3206" t="s">
        <v>427</v>
      </c>
      <c r="F3206">
        <v>1974</v>
      </c>
      <c r="G3206" s="1" t="s">
        <v>275</v>
      </c>
      <c r="H3206" s="1" t="s">
        <v>536</v>
      </c>
      <c r="I3206">
        <v>0</v>
      </c>
      <c r="J3206">
        <v>33777.167300000001</v>
      </c>
      <c r="K3206">
        <v>1.64E-3</v>
      </c>
      <c r="L3206">
        <v>4.2700000000000004E-3</v>
      </c>
      <c r="M3206">
        <v>4.87E-2</v>
      </c>
      <c r="N3206">
        <v>6.7699999999999996E-2</v>
      </c>
      <c r="O3206">
        <v>4.5799999999999999E-3</v>
      </c>
      <c r="P3206" s="3">
        <f t="shared" si="200"/>
        <v>2960.5814536974226</v>
      </c>
      <c r="Q3206" s="3">
        <f t="shared" si="201"/>
        <v>1.6302970157084928E-3</v>
      </c>
      <c r="R3206" s="3">
        <f t="shared" si="202"/>
        <v>4.2700000000000004E-3</v>
      </c>
      <c r="S3206">
        <f t="shared" si="203"/>
        <v>80</v>
      </c>
      <c r="T3206">
        <f>INDEX([1]IDEN_level_ids!$B:$B,MATCH(G3206,[1]IDEN_level_ids!$A:$A,0),1)</f>
        <v>1134</v>
      </c>
      <c r="U3206">
        <f>INDEX([1]IDEN_level_ids!$B:$B,MATCH(H3206,[1]IDEN_level_ids!$A:$A,0),1)</f>
        <v>1021</v>
      </c>
    </row>
    <row r="3207" spans="1:21" hidden="1" x14ac:dyDescent="0.25">
      <c r="A3207">
        <v>33766.831599999998</v>
      </c>
      <c r="B3207">
        <v>2961.4859999999999</v>
      </c>
      <c r="C3207">
        <v>20</v>
      </c>
      <c r="D3207" t="s">
        <v>694</v>
      </c>
      <c r="E3207" t="s">
        <v>427</v>
      </c>
      <c r="F3207">
        <v>1974</v>
      </c>
      <c r="G3207" s="1" t="s">
        <v>269</v>
      </c>
      <c r="H3207" s="1" t="s">
        <v>441</v>
      </c>
      <c r="I3207">
        <v>9.8500000000000004E-2</v>
      </c>
      <c r="J3207">
        <v>33766.850700000003</v>
      </c>
      <c r="K3207">
        <v>1.67E-3</v>
      </c>
      <c r="L3207">
        <v>4.2700000000000004E-3</v>
      </c>
      <c r="M3207">
        <v>4.87E-2</v>
      </c>
      <c r="N3207">
        <v>0.20069999999999999</v>
      </c>
      <c r="O3207">
        <v>5.3499999999999997E-3</v>
      </c>
      <c r="P3207" s="3">
        <f t="shared" si="200"/>
        <v>2961.4860282005257</v>
      </c>
      <c r="Q3207" s="3">
        <f t="shared" si="201"/>
        <v>1.6751453563301766E-3</v>
      </c>
      <c r="R3207" s="3">
        <f t="shared" si="202"/>
        <v>4.2700000000000004E-3</v>
      </c>
      <c r="S3207">
        <f t="shared" si="203"/>
        <v>80</v>
      </c>
      <c r="T3207">
        <f>INDEX([1]IDEN_level_ids!$B:$B,MATCH(G3207,[1]IDEN_level_ids!$A:$A,0),1)</f>
        <v>1137</v>
      </c>
      <c r="U3207">
        <f>INDEX([1]IDEN_level_ids!$B:$B,MATCH(H3207,[1]IDEN_level_ids!$A:$A,0),1)</f>
        <v>1034</v>
      </c>
    </row>
    <row r="3208" spans="1:21" hidden="1" x14ac:dyDescent="0.25">
      <c r="A3208">
        <v>33763.118399999999</v>
      </c>
      <c r="B3208">
        <v>2961.8117000000002</v>
      </c>
      <c r="C3208">
        <v>20</v>
      </c>
      <c r="D3208" t="s">
        <v>694</v>
      </c>
      <c r="E3208" t="s">
        <v>681</v>
      </c>
      <c r="F3208">
        <v>1974</v>
      </c>
      <c r="G3208" s="1" t="s">
        <v>695</v>
      </c>
      <c r="H3208" s="1" t="s">
        <v>389</v>
      </c>
      <c r="I3208">
        <v>0.57299999999999995</v>
      </c>
      <c r="J3208">
        <v>33763.273200000003</v>
      </c>
      <c r="K3208">
        <v>1.358E-2</v>
      </c>
      <c r="L3208">
        <v>7.0499999999999998E-3</v>
      </c>
      <c r="M3208">
        <v>8.0299999999999996E-2</v>
      </c>
      <c r="N3208">
        <v>0.13700000000000001</v>
      </c>
      <c r="O3208">
        <v>8.1600000000000006E-3</v>
      </c>
      <c r="P3208" s="3">
        <f t="shared" si="200"/>
        <v>2961.8117264902876</v>
      </c>
      <c r="Q3208" s="3">
        <f t="shared" si="201"/>
        <v>1.3579502572156343E-2</v>
      </c>
      <c r="R3208" s="3">
        <f t="shared" si="202"/>
        <v>7.0499999999999998E-3</v>
      </c>
      <c r="S3208">
        <f t="shared" si="203"/>
        <v>80</v>
      </c>
      <c r="T3208">
        <f>INDEX([1]IDEN_level_ids!$B:$B,MATCH(G3208,[1]IDEN_level_ids!$A:$A,0),1)</f>
        <v>1091</v>
      </c>
      <c r="U3208">
        <f>INDEX([1]IDEN_level_ids!$B:$B,MATCH(H3208,[1]IDEN_level_ids!$A:$A,0),1)</f>
        <v>942</v>
      </c>
    </row>
    <row r="3209" spans="1:21" hidden="1" x14ac:dyDescent="0.25">
      <c r="A3209">
        <v>33758.179900000003</v>
      </c>
      <c r="B3209">
        <v>2962.2449999999999</v>
      </c>
      <c r="C3209">
        <v>20</v>
      </c>
      <c r="D3209" t="s">
        <v>694</v>
      </c>
      <c r="E3209" t="s">
        <v>427</v>
      </c>
      <c r="F3209">
        <v>1974</v>
      </c>
      <c r="G3209" s="1" t="s">
        <v>285</v>
      </c>
      <c r="H3209" s="1" t="s">
        <v>448</v>
      </c>
      <c r="I3209">
        <v>0.29559999999999997</v>
      </c>
      <c r="J3209">
        <v>33758.236900000004</v>
      </c>
      <c r="K3209">
        <v>5.0000000000000001E-3</v>
      </c>
      <c r="L3209">
        <v>4.28E-3</v>
      </c>
      <c r="M3209">
        <v>4.87E-2</v>
      </c>
      <c r="N3209">
        <v>8.1799999999999998E-2</v>
      </c>
      <c r="O3209">
        <v>4.6600000000000001E-3</v>
      </c>
      <c r="P3209" s="3">
        <f t="shared" si="200"/>
        <v>2962.2450113194636</v>
      </c>
      <c r="Q3209" s="3">
        <f t="shared" si="201"/>
        <v>5.0016819936899992E-3</v>
      </c>
      <c r="R3209" s="3">
        <f t="shared" si="202"/>
        <v>4.28E-3</v>
      </c>
      <c r="S3209">
        <f t="shared" si="203"/>
        <v>80</v>
      </c>
      <c r="T3209">
        <f>INDEX([1]IDEN_level_ids!$B:$B,MATCH(G3209,[1]IDEN_level_ids!$A:$A,0),1)</f>
        <v>1150</v>
      </c>
      <c r="U3209">
        <f>INDEX([1]IDEN_level_ids!$B:$B,MATCH(H3209,[1]IDEN_level_ids!$A:$A,0),1)</f>
        <v>1067</v>
      </c>
    </row>
    <row r="3210" spans="1:21" hidden="1" x14ac:dyDescent="0.25">
      <c r="A3210">
        <v>33739.359600000003</v>
      </c>
      <c r="B3210">
        <v>2963.8973999999998</v>
      </c>
      <c r="C3210">
        <v>20</v>
      </c>
      <c r="D3210" t="s">
        <v>694</v>
      </c>
      <c r="F3210">
        <v>1974</v>
      </c>
      <c r="G3210" s="1" t="s">
        <v>138</v>
      </c>
      <c r="H3210" s="1" t="s">
        <v>528</v>
      </c>
      <c r="I3210">
        <v>0</v>
      </c>
      <c r="J3210">
        <v>33739.353799999997</v>
      </c>
      <c r="K3210">
        <v>-5.1999999999999995E-4</v>
      </c>
      <c r="L3210">
        <v>4.0499999999999998E-3</v>
      </c>
      <c r="M3210">
        <v>4.6100000000000002E-2</v>
      </c>
      <c r="N3210">
        <v>0.20300000000000001</v>
      </c>
      <c r="O3210">
        <v>5.0800000000000003E-3</v>
      </c>
      <c r="P3210" s="3">
        <f t="shared" si="200"/>
        <v>2963.8973941876475</v>
      </c>
      <c r="Q3210" s="3">
        <f t="shared" si="201"/>
        <v>-5.0951197863469133E-4</v>
      </c>
      <c r="R3210" s="3">
        <f t="shared" si="202"/>
        <v>4.0499999999999998E-3</v>
      </c>
      <c r="S3210">
        <f t="shared" si="203"/>
        <v>80</v>
      </c>
      <c r="T3210">
        <f>INDEX([1]IDEN_level_ids!$B:$B,MATCH(G3210,[1]IDEN_level_ids!$A:$A,0),1)</f>
        <v>1126</v>
      </c>
      <c r="U3210">
        <f>INDEX([1]IDEN_level_ids!$B:$B,MATCH(H3210,[1]IDEN_level_ids!$A:$A,0),1)</f>
        <v>1009</v>
      </c>
    </row>
    <row r="3211" spans="1:21" hidden="1" x14ac:dyDescent="0.25">
      <c r="A3211">
        <v>33735.281499999997</v>
      </c>
      <c r="B3211">
        <v>2964.2557000000002</v>
      </c>
      <c r="C3211">
        <v>20</v>
      </c>
      <c r="D3211" t="s">
        <v>694</v>
      </c>
      <c r="E3211" t="s">
        <v>678</v>
      </c>
      <c r="F3211">
        <v>1974</v>
      </c>
      <c r="G3211" s="1" t="s">
        <v>511</v>
      </c>
      <c r="H3211" s="1" t="s">
        <v>454</v>
      </c>
      <c r="I3211">
        <v>-0.83</v>
      </c>
      <c r="J3211">
        <v>33735.310400000002</v>
      </c>
      <c r="K3211">
        <v>2.5500000000000002E-3</v>
      </c>
      <c r="L3211">
        <v>6.4000000000000003E-3</v>
      </c>
      <c r="M3211">
        <v>7.2800000000000004E-2</v>
      </c>
      <c r="N3211">
        <v>7.7100000000000002E-2</v>
      </c>
      <c r="O3211">
        <v>6.9300000000000004E-3</v>
      </c>
      <c r="P3211" s="3">
        <f t="shared" si="200"/>
        <v>2964.2556858462854</v>
      </c>
      <c r="Q3211" s="3">
        <f t="shared" si="201"/>
        <v>2.5393864266334276E-3</v>
      </c>
      <c r="R3211" s="3">
        <f t="shared" si="202"/>
        <v>6.4000000000000003E-3</v>
      </c>
      <c r="S3211">
        <f t="shared" si="203"/>
        <v>80</v>
      </c>
      <c r="T3211">
        <f>INDEX([1]IDEN_level_ids!$B:$B,MATCH(G3211,[1]IDEN_level_ids!$A:$A,0),1)</f>
        <v>1139</v>
      </c>
      <c r="U3211">
        <f>INDEX([1]IDEN_level_ids!$B:$B,MATCH(H3211,[1]IDEN_level_ids!$A:$A,0),1)</f>
        <v>1036</v>
      </c>
    </row>
    <row r="3212" spans="1:21" hidden="1" x14ac:dyDescent="0.25">
      <c r="A3212">
        <v>33724.779799999997</v>
      </c>
      <c r="B3212">
        <v>2965.1786999999999</v>
      </c>
      <c r="C3212">
        <v>20</v>
      </c>
      <c r="D3212" t="s">
        <v>694</v>
      </c>
      <c r="E3212" t="s">
        <v>427</v>
      </c>
      <c r="F3212">
        <v>1974</v>
      </c>
      <c r="G3212" s="1" t="s">
        <v>100</v>
      </c>
      <c r="H3212" s="1" t="s">
        <v>410</v>
      </c>
      <c r="I3212">
        <v>0.1043</v>
      </c>
      <c r="J3212">
        <v>33724.809300000001</v>
      </c>
      <c r="K3212">
        <v>2.5899999999999999E-3</v>
      </c>
      <c r="L3212">
        <v>4.28E-3</v>
      </c>
      <c r="M3212">
        <v>4.87E-2</v>
      </c>
      <c r="N3212">
        <v>0.1038</v>
      </c>
      <c r="O3212">
        <v>4.7800000000000004E-3</v>
      </c>
      <c r="P3212" s="3">
        <f t="shared" si="200"/>
        <v>2965.1787378015738</v>
      </c>
      <c r="Q3212" s="3">
        <f t="shared" si="201"/>
        <v>2.593721791072312E-3</v>
      </c>
      <c r="R3212" s="3">
        <f t="shared" si="202"/>
        <v>4.28E-3</v>
      </c>
      <c r="S3212">
        <f t="shared" si="203"/>
        <v>80</v>
      </c>
      <c r="T3212">
        <f>INDEX([1]IDEN_level_ids!$B:$B,MATCH(G3212,[1]IDEN_level_ids!$A:$A,0),1)</f>
        <v>1146</v>
      </c>
      <c r="U3212">
        <f>INDEX([1]IDEN_level_ids!$B:$B,MATCH(H3212,[1]IDEN_level_ids!$A:$A,0),1)</f>
        <v>1056</v>
      </c>
    </row>
    <row r="3213" spans="1:21" hidden="1" x14ac:dyDescent="0.25">
      <c r="A3213">
        <v>33718.691899999998</v>
      </c>
      <c r="B3213">
        <v>2965.7141000000001</v>
      </c>
      <c r="C3213">
        <v>20</v>
      </c>
      <c r="D3213" t="s">
        <v>694</v>
      </c>
      <c r="E3213" t="s">
        <v>678</v>
      </c>
      <c r="F3213">
        <v>1974</v>
      </c>
      <c r="G3213" s="1" t="s">
        <v>354</v>
      </c>
      <c r="H3213" s="1" t="s">
        <v>467</v>
      </c>
      <c r="I3213">
        <v>-0.83340000000000003</v>
      </c>
      <c r="J3213">
        <v>33718.680500000002</v>
      </c>
      <c r="K3213">
        <v>-1.01E-3</v>
      </c>
      <c r="L3213">
        <v>6.4099999999999999E-3</v>
      </c>
      <c r="M3213">
        <v>7.2800000000000004E-2</v>
      </c>
      <c r="N3213">
        <v>7.9000000000000001E-2</v>
      </c>
      <c r="O3213">
        <v>6.9499999999999996E-3</v>
      </c>
      <c r="P3213" s="3">
        <f t="shared" si="200"/>
        <v>2965.7140999589014</v>
      </c>
      <c r="Q3213" s="3">
        <f t="shared" si="201"/>
        <v>-1.0026827926594706E-3</v>
      </c>
      <c r="R3213" s="3">
        <f t="shared" si="202"/>
        <v>6.4099999999999999E-3</v>
      </c>
      <c r="S3213">
        <f t="shared" si="203"/>
        <v>80</v>
      </c>
      <c r="T3213">
        <f>INDEX([1]IDEN_level_ids!$B:$B,MATCH(G3213,[1]IDEN_level_ids!$A:$A,0),1)</f>
        <v>1135</v>
      </c>
      <c r="U3213">
        <f>INDEX([1]IDEN_level_ids!$B:$B,MATCH(H3213,[1]IDEN_level_ids!$A:$A,0),1)</f>
        <v>1025</v>
      </c>
    </row>
    <row r="3214" spans="1:21" hidden="1" x14ac:dyDescent="0.25">
      <c r="A3214">
        <v>33709.658100000001</v>
      </c>
      <c r="B3214">
        <v>2966.5088999999998</v>
      </c>
      <c r="C3214">
        <v>20</v>
      </c>
      <c r="D3214" t="s">
        <v>694</v>
      </c>
      <c r="E3214" t="s">
        <v>427</v>
      </c>
      <c r="F3214">
        <v>1974</v>
      </c>
      <c r="G3214" s="1" t="s">
        <v>108</v>
      </c>
      <c r="H3214" s="1" t="s">
        <v>466</v>
      </c>
      <c r="I3214">
        <v>0.3876</v>
      </c>
      <c r="J3214">
        <v>33709.724800000004</v>
      </c>
      <c r="K3214">
        <v>5.8599999999999998E-3</v>
      </c>
      <c r="L3214">
        <v>4.2900000000000004E-3</v>
      </c>
      <c r="M3214">
        <v>4.87E-2</v>
      </c>
      <c r="N3214">
        <v>9.6699999999999994E-2</v>
      </c>
      <c r="O3214">
        <v>4.7499999999999999E-3</v>
      </c>
      <c r="P3214" s="3">
        <f t="shared" si="200"/>
        <v>2966.5088771695373</v>
      </c>
      <c r="Q3214" s="3">
        <f t="shared" si="201"/>
        <v>5.8697050567388942E-3</v>
      </c>
      <c r="R3214" s="3">
        <f t="shared" si="202"/>
        <v>4.2900000000000004E-3</v>
      </c>
      <c r="S3214">
        <f t="shared" si="203"/>
        <v>80</v>
      </c>
      <c r="T3214">
        <f>INDEX([1]IDEN_level_ids!$B:$B,MATCH(G3214,[1]IDEN_level_ids!$A:$A,0),1)</f>
        <v>1149</v>
      </c>
      <c r="U3214">
        <f>INDEX([1]IDEN_level_ids!$B:$B,MATCH(H3214,[1]IDEN_level_ids!$A:$A,0),1)</f>
        <v>1061</v>
      </c>
    </row>
    <row r="3215" spans="1:21" hidden="1" x14ac:dyDescent="0.25">
      <c r="A3215">
        <v>33673.438399999999</v>
      </c>
      <c r="B3215">
        <v>2969.6997000000001</v>
      </c>
      <c r="C3215">
        <v>20</v>
      </c>
      <c r="D3215" t="s">
        <v>694</v>
      </c>
      <c r="E3215" t="s">
        <v>678</v>
      </c>
      <c r="F3215">
        <v>1974</v>
      </c>
      <c r="G3215" s="1" t="s">
        <v>301</v>
      </c>
      <c r="H3215" s="1" t="s">
        <v>407</v>
      </c>
      <c r="I3215">
        <v>-0.75180000000000002</v>
      </c>
      <c r="J3215">
        <v>33673.522799999999</v>
      </c>
      <c r="K3215">
        <v>7.4400000000000004E-3</v>
      </c>
      <c r="L3215">
        <v>6.4200000000000004E-3</v>
      </c>
      <c r="M3215">
        <v>7.2800000000000004E-2</v>
      </c>
      <c r="N3215">
        <v>6.0999999999999999E-2</v>
      </c>
      <c r="O3215">
        <v>6.8399999999999997E-3</v>
      </c>
      <c r="P3215" s="3">
        <f t="shared" si="200"/>
        <v>2969.6997025406231</v>
      </c>
      <c r="Q3215" s="3">
        <f t="shared" si="201"/>
        <v>7.4433155205042567E-3</v>
      </c>
      <c r="R3215" s="3">
        <f t="shared" si="202"/>
        <v>6.4200000000000004E-3</v>
      </c>
      <c r="S3215">
        <f t="shared" si="203"/>
        <v>80</v>
      </c>
      <c r="T3215">
        <f>INDEX([1]IDEN_level_ids!$B:$B,MATCH(G3215,[1]IDEN_level_ids!$A:$A,0),1)</f>
        <v>1154</v>
      </c>
      <c r="U3215">
        <f>INDEX([1]IDEN_level_ids!$B:$B,MATCH(H3215,[1]IDEN_level_ids!$A:$A,0),1)</f>
        <v>1073</v>
      </c>
    </row>
    <row r="3216" spans="1:21" hidden="1" x14ac:dyDescent="0.25">
      <c r="A3216">
        <v>33666.8704</v>
      </c>
      <c r="B3216">
        <v>2970.2791000000002</v>
      </c>
      <c r="C3216">
        <v>20</v>
      </c>
      <c r="D3216" t="s">
        <v>694</v>
      </c>
      <c r="E3216" t="s">
        <v>678</v>
      </c>
      <c r="F3216">
        <v>1974</v>
      </c>
      <c r="G3216" s="1" t="s">
        <v>354</v>
      </c>
      <c r="H3216" s="1" t="s">
        <v>475</v>
      </c>
      <c r="I3216">
        <v>-0.63049999999999995</v>
      </c>
      <c r="J3216">
        <v>33666.940900000001</v>
      </c>
      <c r="K3216">
        <v>6.2199999999999998E-3</v>
      </c>
      <c r="L3216">
        <v>6.43E-3</v>
      </c>
      <c r="M3216">
        <v>7.2800000000000004E-2</v>
      </c>
      <c r="N3216">
        <v>7.4200000000000002E-2</v>
      </c>
      <c r="O3216">
        <v>6.94E-3</v>
      </c>
      <c r="P3216" s="3">
        <f t="shared" si="200"/>
        <v>2970.2790551033813</v>
      </c>
      <c r="Q3216" s="3">
        <f t="shared" si="201"/>
        <v>6.2198901291594666E-3</v>
      </c>
      <c r="R3216" s="3">
        <f t="shared" si="202"/>
        <v>6.43E-3</v>
      </c>
      <c r="S3216">
        <f t="shared" si="203"/>
        <v>80</v>
      </c>
      <c r="T3216">
        <f>INDEX([1]IDEN_level_ids!$B:$B,MATCH(G3216,[1]IDEN_level_ids!$A:$A,0),1)</f>
        <v>1135</v>
      </c>
      <c r="U3216">
        <f>INDEX([1]IDEN_level_ids!$B:$B,MATCH(H3216,[1]IDEN_level_ids!$A:$A,0),1)</f>
        <v>1030</v>
      </c>
    </row>
    <row r="3217" spans="1:21" hidden="1" x14ac:dyDescent="0.25">
      <c r="A3217">
        <v>33663.289400000001</v>
      </c>
      <c r="B3217">
        <v>2970.5949999999998</v>
      </c>
      <c r="C3217">
        <v>20</v>
      </c>
      <c r="D3217" t="s">
        <v>694</v>
      </c>
      <c r="E3217" t="s">
        <v>681</v>
      </c>
      <c r="F3217">
        <v>1974</v>
      </c>
      <c r="G3217" s="1" t="s">
        <v>480</v>
      </c>
      <c r="H3217" s="1" t="s">
        <v>464</v>
      </c>
      <c r="I3217">
        <v>0.2306</v>
      </c>
      <c r="J3217">
        <v>33663.231099999997</v>
      </c>
      <c r="K3217">
        <v>-5.1399999999999996E-3</v>
      </c>
      <c r="L3217">
        <v>7.0899999999999999E-3</v>
      </c>
      <c r="M3217">
        <v>8.0299999999999996E-2</v>
      </c>
      <c r="N3217">
        <v>0.13850000000000001</v>
      </c>
      <c r="O3217">
        <v>8.2299999999999995E-3</v>
      </c>
      <c r="P3217" s="3">
        <f t="shared" si="200"/>
        <v>2970.5950245016757</v>
      </c>
      <c r="Q3217" s="3">
        <f t="shared" si="201"/>
        <v>-5.1446543984638993E-3</v>
      </c>
      <c r="R3217" s="3">
        <f t="shared" si="202"/>
        <v>7.0899999999999999E-3</v>
      </c>
      <c r="S3217">
        <f t="shared" si="203"/>
        <v>80</v>
      </c>
      <c r="T3217">
        <f>INDEX([1]IDEN_level_ids!$B:$B,MATCH(G3217,[1]IDEN_level_ids!$A:$A,0),1)</f>
        <v>1156</v>
      </c>
      <c r="U3217">
        <f>INDEX([1]IDEN_level_ids!$B:$B,MATCH(H3217,[1]IDEN_level_ids!$A:$A,0),1)</f>
        <v>1076</v>
      </c>
    </row>
    <row r="3218" spans="1:21" hidden="1" x14ac:dyDescent="0.25">
      <c r="A3218">
        <v>33650.981399999997</v>
      </c>
      <c r="B3218">
        <v>2971.6815000000001</v>
      </c>
      <c r="C3218">
        <v>20</v>
      </c>
      <c r="D3218" t="s">
        <v>694</v>
      </c>
      <c r="E3218" t="s">
        <v>638</v>
      </c>
      <c r="F3218">
        <v>1974</v>
      </c>
      <c r="G3218" s="1" t="s">
        <v>301</v>
      </c>
      <c r="H3218" s="1" t="s">
        <v>518</v>
      </c>
      <c r="I3218">
        <v>-0.19320000000000001</v>
      </c>
      <c r="J3218">
        <v>33651.318399999996</v>
      </c>
      <c r="K3218">
        <v>2.9760000000000002E-2</v>
      </c>
      <c r="L3218">
        <v>1.5259999999999999E-2</v>
      </c>
      <c r="M3218">
        <v>0.17280000000000001</v>
      </c>
      <c r="N3218">
        <v>9.6299999999999997E-2</v>
      </c>
      <c r="O3218">
        <v>1.6889999999999999E-2</v>
      </c>
      <c r="P3218" s="3">
        <f t="shared" si="200"/>
        <v>2971.6815331870234</v>
      </c>
      <c r="Q3218" s="3">
        <f t="shared" si="201"/>
        <v>2.9759805092453462E-2</v>
      </c>
      <c r="R3218" s="3">
        <f t="shared" si="202"/>
        <v>1.5259999999999999E-2</v>
      </c>
      <c r="S3218">
        <f t="shared" si="203"/>
        <v>80</v>
      </c>
      <c r="T3218">
        <f>INDEX([1]IDEN_level_ids!$B:$B,MATCH(G3218,[1]IDEN_level_ids!$A:$A,0),1)</f>
        <v>1154</v>
      </c>
      <c r="U3218">
        <f>INDEX([1]IDEN_level_ids!$B:$B,MATCH(H3218,[1]IDEN_level_ids!$A:$A,0),1)</f>
        <v>1074</v>
      </c>
    </row>
    <row r="3219" spans="1:21" hidden="1" x14ac:dyDescent="0.25">
      <c r="A3219">
        <v>33645.139900000002</v>
      </c>
      <c r="B3219">
        <v>2972.1975000000002</v>
      </c>
      <c r="C3219">
        <v>20</v>
      </c>
      <c r="D3219" t="s">
        <v>694</v>
      </c>
      <c r="E3219" t="s">
        <v>427</v>
      </c>
      <c r="F3219">
        <v>1974</v>
      </c>
      <c r="G3219" s="1" t="s">
        <v>108</v>
      </c>
      <c r="H3219" s="1" t="s">
        <v>458</v>
      </c>
      <c r="I3219">
        <v>0</v>
      </c>
      <c r="J3219">
        <v>33645.205900000001</v>
      </c>
      <c r="K3219">
        <v>5.8300000000000001E-3</v>
      </c>
      <c r="L3219">
        <v>4.3E-3</v>
      </c>
      <c r="M3219">
        <v>4.87E-2</v>
      </c>
      <c r="N3219">
        <v>9.0499999999999997E-2</v>
      </c>
      <c r="O3219">
        <v>4.7299999999999998E-3</v>
      </c>
      <c r="P3219" s="3">
        <f t="shared" si="200"/>
        <v>2972.1974792561346</v>
      </c>
      <c r="Q3219" s="3">
        <f t="shared" si="201"/>
        <v>5.8304007475271646E-3</v>
      </c>
      <c r="R3219" s="3">
        <f t="shared" si="202"/>
        <v>4.3E-3</v>
      </c>
      <c r="S3219">
        <f t="shared" si="203"/>
        <v>80</v>
      </c>
      <c r="T3219">
        <f>INDEX([1]IDEN_level_ids!$B:$B,MATCH(G3219,[1]IDEN_level_ids!$A:$A,0),1)</f>
        <v>1149</v>
      </c>
      <c r="U3219">
        <f>INDEX([1]IDEN_level_ids!$B:$B,MATCH(H3219,[1]IDEN_level_ids!$A:$A,0),1)</f>
        <v>1064</v>
      </c>
    </row>
    <row r="3220" spans="1:21" hidden="1" x14ac:dyDescent="0.25">
      <c r="A3220">
        <v>33629.488899999997</v>
      </c>
      <c r="B3220">
        <v>2973.5807</v>
      </c>
      <c r="C3220">
        <v>20</v>
      </c>
      <c r="D3220" t="s">
        <v>694</v>
      </c>
      <c r="E3220" t="s">
        <v>638</v>
      </c>
      <c r="F3220">
        <v>1974</v>
      </c>
      <c r="G3220" s="1" t="s">
        <v>279</v>
      </c>
      <c r="H3220" s="1" t="s">
        <v>570</v>
      </c>
      <c r="I3220">
        <v>5.0999999999999997E-2</v>
      </c>
      <c r="J3220">
        <v>33629.635399999999</v>
      </c>
      <c r="K3220">
        <v>1.295E-2</v>
      </c>
      <c r="L3220">
        <v>1.528E-2</v>
      </c>
      <c r="M3220">
        <v>0.17280000000000001</v>
      </c>
      <c r="N3220">
        <v>1.8800000000000001E-2</v>
      </c>
      <c r="O3220">
        <v>1.5570000000000001E-2</v>
      </c>
      <c r="P3220" s="3">
        <f t="shared" si="200"/>
        <v>2973.5807254566989</v>
      </c>
      <c r="Q3220" s="3">
        <f t="shared" si="201"/>
        <v>1.2953740684224613E-2</v>
      </c>
      <c r="R3220" s="3">
        <f t="shared" si="202"/>
        <v>1.528E-2</v>
      </c>
      <c r="S3220">
        <f t="shared" si="203"/>
        <v>80</v>
      </c>
      <c r="T3220">
        <f>INDEX([1]IDEN_level_ids!$B:$B,MATCH(G3220,[1]IDEN_level_ids!$A:$A,0),1)</f>
        <v>1129</v>
      </c>
      <c r="U3220">
        <f>INDEX([1]IDEN_level_ids!$B:$B,MATCH(H3220,[1]IDEN_level_ids!$A:$A,0),1)</f>
        <v>1015</v>
      </c>
    </row>
    <row r="3221" spans="1:21" hidden="1" x14ac:dyDescent="0.25">
      <c r="A3221">
        <v>33616.768300000003</v>
      </c>
      <c r="B3221">
        <v>2974.7058999999999</v>
      </c>
      <c r="C3221">
        <v>20</v>
      </c>
      <c r="D3221" t="s">
        <v>694</v>
      </c>
      <c r="E3221" t="s">
        <v>427</v>
      </c>
      <c r="F3221">
        <v>1974</v>
      </c>
      <c r="G3221" s="1" t="s">
        <v>256</v>
      </c>
      <c r="H3221" s="1" t="s">
        <v>565</v>
      </c>
      <c r="I3221">
        <v>0.1676</v>
      </c>
      <c r="J3221">
        <v>33616.767500000002</v>
      </c>
      <c r="K3221">
        <v>-6.9999999999999994E-5</v>
      </c>
      <c r="L3221">
        <v>4.3099999999999996E-3</v>
      </c>
      <c r="M3221">
        <v>4.87E-2</v>
      </c>
      <c r="N3221">
        <v>0.127</v>
      </c>
      <c r="O3221">
        <v>4.9399999999999999E-3</v>
      </c>
      <c r="P3221" s="3">
        <f t="shared" si="200"/>
        <v>2974.7059297190085</v>
      </c>
      <c r="Q3221" s="3">
        <f t="shared" si="201"/>
        <v>-7.0791004873171914E-5</v>
      </c>
      <c r="R3221" s="3">
        <f t="shared" si="202"/>
        <v>4.3099999999999996E-3</v>
      </c>
      <c r="S3221">
        <f t="shared" si="203"/>
        <v>80</v>
      </c>
      <c r="T3221">
        <f>INDEX([1]IDEN_level_ids!$B:$B,MATCH(G3221,[1]IDEN_level_ids!$A:$A,0),1)</f>
        <v>1120</v>
      </c>
      <c r="U3221">
        <f>INDEX([1]IDEN_level_ids!$B:$B,MATCH(H3221,[1]IDEN_level_ids!$A:$A,0),1)</f>
        <v>1004</v>
      </c>
    </row>
    <row r="3222" spans="1:21" hidden="1" x14ac:dyDescent="0.25">
      <c r="A3222">
        <v>33604.6302</v>
      </c>
      <c r="B3222">
        <v>2975.7804000000001</v>
      </c>
      <c r="C3222">
        <v>20</v>
      </c>
      <c r="D3222" t="s">
        <v>696</v>
      </c>
      <c r="E3222" t="s">
        <v>681</v>
      </c>
      <c r="F3222">
        <v>1974</v>
      </c>
      <c r="G3222" s="1" t="s">
        <v>515</v>
      </c>
      <c r="H3222" s="1" t="s">
        <v>582</v>
      </c>
      <c r="I3222">
        <v>2.01E-2</v>
      </c>
      <c r="J3222">
        <v>33604.658799999997</v>
      </c>
      <c r="K3222">
        <v>2.5400000000000002E-3</v>
      </c>
      <c r="L3222">
        <v>7.11E-3</v>
      </c>
      <c r="M3222">
        <v>8.0299999999999996E-2</v>
      </c>
      <c r="N3222">
        <v>0.1173</v>
      </c>
      <c r="O3222">
        <v>8.0599999999999995E-3</v>
      </c>
      <c r="P3222" s="3">
        <f t="shared" si="200"/>
        <v>2975.7804030231523</v>
      </c>
      <c r="Q3222" s="3">
        <f t="shared" si="201"/>
        <v>2.5326047802991525E-3</v>
      </c>
      <c r="R3222" s="3">
        <f t="shared" si="202"/>
        <v>7.11E-3</v>
      </c>
      <c r="S3222">
        <f t="shared" si="203"/>
        <v>81</v>
      </c>
      <c r="T3222">
        <f>INDEX([1]IDEN_level_ids!$B:$B,MATCH(G3222,[1]IDEN_level_ids!$A:$A,0),1)</f>
        <v>1140</v>
      </c>
      <c r="U3222">
        <f>INDEX([1]IDEN_level_ids!$B:$B,MATCH(H3222,[1]IDEN_level_ids!$A:$A,0),1)</f>
        <v>1042</v>
      </c>
    </row>
    <row r="3223" spans="1:21" hidden="1" x14ac:dyDescent="0.25">
      <c r="A3223">
        <v>33602.550900000002</v>
      </c>
      <c r="B3223">
        <v>2975.9645</v>
      </c>
      <c r="C3223">
        <v>20</v>
      </c>
      <c r="D3223" t="s">
        <v>696</v>
      </c>
      <c r="F3223">
        <v>1974</v>
      </c>
      <c r="G3223" s="1" t="s">
        <v>282</v>
      </c>
      <c r="H3223" s="1" t="s">
        <v>570</v>
      </c>
      <c r="I3223">
        <v>0</v>
      </c>
      <c r="J3223">
        <v>33602.558700000001</v>
      </c>
      <c r="K3223">
        <v>6.8999999999999997E-4</v>
      </c>
      <c r="L3223">
        <v>4.0800000000000003E-3</v>
      </c>
      <c r="M3223">
        <v>4.6100000000000002E-2</v>
      </c>
      <c r="N3223">
        <v>0.123</v>
      </c>
      <c r="O3223">
        <v>4.6499999999999996E-3</v>
      </c>
      <c r="P3223" s="3">
        <f t="shared" si="200"/>
        <v>2975.96454202529</v>
      </c>
      <c r="Q3223" s="3">
        <f t="shared" si="201"/>
        <v>6.9079630611668108E-4</v>
      </c>
      <c r="R3223" s="3">
        <f t="shared" si="202"/>
        <v>4.0800000000000003E-3</v>
      </c>
      <c r="S3223">
        <f t="shared" si="203"/>
        <v>81</v>
      </c>
      <c r="T3223">
        <f>INDEX([1]IDEN_level_ids!$B:$B,MATCH(G3223,[1]IDEN_level_ids!$A:$A,0),1)</f>
        <v>1128</v>
      </c>
      <c r="U3223">
        <f>INDEX([1]IDEN_level_ids!$B:$B,MATCH(H3223,[1]IDEN_level_ids!$A:$A,0),1)</f>
        <v>1015</v>
      </c>
    </row>
    <row r="3224" spans="1:21" hidden="1" x14ac:dyDescent="0.25">
      <c r="A3224">
        <v>33594.1823</v>
      </c>
      <c r="B3224">
        <v>2976.7058999999999</v>
      </c>
      <c r="C3224">
        <v>20</v>
      </c>
      <c r="D3224" t="s">
        <v>696</v>
      </c>
      <c r="E3224" t="s">
        <v>681</v>
      </c>
      <c r="F3224">
        <v>1974</v>
      </c>
      <c r="G3224" s="1" t="s">
        <v>492</v>
      </c>
      <c r="H3224" s="1" t="s">
        <v>576</v>
      </c>
      <c r="I3224">
        <v>0.40239999999999998</v>
      </c>
      <c r="J3224">
        <v>33594.3698</v>
      </c>
      <c r="K3224">
        <v>1.661E-2</v>
      </c>
      <c r="L3224">
        <v>7.1199999999999996E-3</v>
      </c>
      <c r="M3224">
        <v>8.0299999999999996E-2</v>
      </c>
      <c r="N3224">
        <v>8.4199999999999997E-2</v>
      </c>
      <c r="O3224">
        <v>7.77E-3</v>
      </c>
      <c r="P3224" s="3">
        <f t="shared" si="200"/>
        <v>2976.7058804107282</v>
      </c>
      <c r="Q3224" s="3">
        <f t="shared" si="201"/>
        <v>1.6613865832368901E-2</v>
      </c>
      <c r="R3224" s="3">
        <f t="shared" si="202"/>
        <v>7.1199999999999996E-3</v>
      </c>
      <c r="S3224">
        <f t="shared" si="203"/>
        <v>81</v>
      </c>
      <c r="T3224">
        <f>INDEX([1]IDEN_level_ids!$B:$B,MATCH(G3224,[1]IDEN_level_ids!$A:$A,0),1)</f>
        <v>1132</v>
      </c>
      <c r="U3224">
        <f>INDEX([1]IDEN_level_ids!$B:$B,MATCH(H3224,[1]IDEN_level_ids!$A:$A,0),1)</f>
        <v>1024</v>
      </c>
    </row>
    <row r="3225" spans="1:21" hidden="1" x14ac:dyDescent="0.25">
      <c r="A3225">
        <v>33588.429600000003</v>
      </c>
      <c r="B3225">
        <v>2977.2157000000002</v>
      </c>
      <c r="C3225">
        <v>20</v>
      </c>
      <c r="D3225" t="s">
        <v>696</v>
      </c>
      <c r="E3225" t="s">
        <v>678</v>
      </c>
      <c r="F3225">
        <v>1974</v>
      </c>
      <c r="G3225" s="1" t="s">
        <v>425</v>
      </c>
      <c r="H3225" s="1" t="s">
        <v>508</v>
      </c>
      <c r="I3225">
        <v>-0.89529999999999998</v>
      </c>
      <c r="J3225">
        <v>33588.3891</v>
      </c>
      <c r="K3225">
        <v>-3.5899999999999999E-3</v>
      </c>
      <c r="L3225">
        <v>6.4599999999999996E-3</v>
      </c>
      <c r="M3225">
        <v>7.2800000000000004E-2</v>
      </c>
      <c r="N3225">
        <v>0.123</v>
      </c>
      <c r="O3225">
        <v>7.3600000000000002E-3</v>
      </c>
      <c r="P3225" s="3">
        <f t="shared" si="200"/>
        <v>2977.215701683177</v>
      </c>
      <c r="Q3225" s="3">
        <f t="shared" si="201"/>
        <v>-3.589848729006917E-3</v>
      </c>
      <c r="R3225" s="3">
        <f t="shared" si="202"/>
        <v>6.4599999999999996E-3</v>
      </c>
      <c r="S3225">
        <f t="shared" si="203"/>
        <v>81</v>
      </c>
      <c r="T3225">
        <f>INDEX([1]IDEN_level_ids!$B:$B,MATCH(G3225,[1]IDEN_level_ids!$A:$A,0),1)</f>
        <v>1098</v>
      </c>
      <c r="U3225">
        <f>INDEX([1]IDEN_level_ids!$B:$B,MATCH(H3225,[1]IDEN_level_ids!$A:$A,0),1)</f>
        <v>961</v>
      </c>
    </row>
    <row r="3226" spans="1:21" hidden="1" x14ac:dyDescent="0.25">
      <c r="A3226">
        <v>33582.640500000001</v>
      </c>
      <c r="B3226">
        <v>2977.7289000000001</v>
      </c>
      <c r="C3226">
        <v>20</v>
      </c>
      <c r="D3226" t="s">
        <v>696</v>
      </c>
      <c r="E3226" t="s">
        <v>681</v>
      </c>
      <c r="F3226">
        <v>1974</v>
      </c>
      <c r="G3226" s="1" t="s">
        <v>329</v>
      </c>
      <c r="H3226" s="1" t="s">
        <v>437</v>
      </c>
      <c r="I3226">
        <v>0.57379999999999998</v>
      </c>
      <c r="J3226">
        <v>33582.770700000001</v>
      </c>
      <c r="K3226">
        <v>1.155E-2</v>
      </c>
      <c r="L3226">
        <v>7.1199999999999996E-3</v>
      </c>
      <c r="M3226">
        <v>8.0299999999999996E-2</v>
      </c>
      <c r="N3226">
        <v>6.0999999999999999E-2</v>
      </c>
      <c r="O3226">
        <v>7.5799999999999999E-3</v>
      </c>
      <c r="P3226" s="3">
        <f t="shared" si="200"/>
        <v>2977.7289251570314</v>
      </c>
      <c r="Q3226" s="3">
        <f t="shared" si="201"/>
        <v>1.1544619397682254E-2</v>
      </c>
      <c r="R3226" s="3">
        <f t="shared" si="202"/>
        <v>7.1199999999999996E-3</v>
      </c>
      <c r="S3226">
        <f t="shared" si="203"/>
        <v>81</v>
      </c>
      <c r="T3226">
        <f>INDEX([1]IDEN_level_ids!$B:$B,MATCH(G3226,[1]IDEN_level_ids!$A:$A,0),1)</f>
        <v>1138</v>
      </c>
      <c r="U3226">
        <f>INDEX([1]IDEN_level_ids!$B:$B,MATCH(H3226,[1]IDEN_level_ids!$A:$A,0),1)</f>
        <v>1039</v>
      </c>
    </row>
    <row r="3227" spans="1:21" hidden="1" x14ac:dyDescent="0.25">
      <c r="A3227">
        <v>33580.361100000002</v>
      </c>
      <c r="B3227">
        <v>2977.931</v>
      </c>
      <c r="C3227">
        <v>20</v>
      </c>
      <c r="D3227" t="s">
        <v>696</v>
      </c>
      <c r="E3227" t="s">
        <v>678</v>
      </c>
      <c r="F3227">
        <v>1974</v>
      </c>
      <c r="G3227" s="1" t="s">
        <v>511</v>
      </c>
      <c r="H3227" s="1" t="s">
        <v>476</v>
      </c>
      <c r="I3227">
        <v>-0.83</v>
      </c>
      <c r="J3227">
        <v>33580.332499999997</v>
      </c>
      <c r="K3227">
        <v>-2.5400000000000002E-3</v>
      </c>
      <c r="L3227">
        <v>6.4599999999999996E-3</v>
      </c>
      <c r="M3227">
        <v>7.2800000000000004E-2</v>
      </c>
      <c r="N3227">
        <v>7.8200000000000006E-2</v>
      </c>
      <c r="O3227">
        <v>7.0099999999999997E-3</v>
      </c>
      <c r="P3227" s="3">
        <f t="shared" si="200"/>
        <v>2977.9310503007068</v>
      </c>
      <c r="Q3227" s="3">
        <f t="shared" si="201"/>
        <v>-2.5362711357956869E-3</v>
      </c>
      <c r="R3227" s="3">
        <f t="shared" si="202"/>
        <v>6.4599999999999996E-3</v>
      </c>
      <c r="S3227">
        <f t="shared" si="203"/>
        <v>81</v>
      </c>
      <c r="T3227">
        <f>INDEX([1]IDEN_level_ids!$B:$B,MATCH(G3227,[1]IDEN_level_ids!$A:$A,0),1)</f>
        <v>1139</v>
      </c>
      <c r="U3227">
        <f>INDEX([1]IDEN_level_ids!$B:$B,MATCH(H3227,[1]IDEN_level_ids!$A:$A,0),1)</f>
        <v>1037</v>
      </c>
    </row>
    <row r="3228" spans="1:21" hidden="1" x14ac:dyDescent="0.25">
      <c r="A3228">
        <v>33559.562299999998</v>
      </c>
      <c r="B3228">
        <v>2979.7766000000001</v>
      </c>
      <c r="C3228">
        <v>20</v>
      </c>
      <c r="D3228" t="s">
        <v>696</v>
      </c>
      <c r="E3228" t="s">
        <v>678</v>
      </c>
      <c r="F3228">
        <v>1974</v>
      </c>
      <c r="G3228" s="1" t="s">
        <v>425</v>
      </c>
      <c r="H3228" s="1" t="s">
        <v>493</v>
      </c>
      <c r="I3228">
        <v>-0.745</v>
      </c>
      <c r="J3228">
        <v>33559.502399999998</v>
      </c>
      <c r="K3228">
        <v>-5.3200000000000001E-3</v>
      </c>
      <c r="L3228">
        <v>6.4700000000000001E-3</v>
      </c>
      <c r="M3228">
        <v>7.2800000000000004E-2</v>
      </c>
      <c r="N3228">
        <v>0.13819999999999999</v>
      </c>
      <c r="O3228">
        <v>7.4999999999999997E-3</v>
      </c>
      <c r="P3228" s="3">
        <f t="shared" si="200"/>
        <v>2979.7766462526242</v>
      </c>
      <c r="Q3228" s="3">
        <f t="shared" si="201"/>
        <v>-5.3185717410997313E-3</v>
      </c>
      <c r="R3228" s="3">
        <f t="shared" si="202"/>
        <v>6.4700000000000001E-3</v>
      </c>
      <c r="S3228">
        <f t="shared" si="203"/>
        <v>81</v>
      </c>
      <c r="T3228">
        <f>INDEX([1]IDEN_level_ids!$B:$B,MATCH(G3228,[1]IDEN_level_ids!$A:$A,0),1)</f>
        <v>1098</v>
      </c>
      <c r="U3228">
        <f>INDEX([1]IDEN_level_ids!$B:$B,MATCH(H3228,[1]IDEN_level_ids!$A:$A,0),1)</f>
        <v>963</v>
      </c>
    </row>
    <row r="3229" spans="1:21" hidden="1" x14ac:dyDescent="0.25">
      <c r="A3229">
        <v>33549.562100000003</v>
      </c>
      <c r="B3229">
        <v>2980.6648</v>
      </c>
      <c r="C3229">
        <v>20</v>
      </c>
      <c r="D3229" t="s">
        <v>696</v>
      </c>
      <c r="E3229" t="s">
        <v>638</v>
      </c>
      <c r="F3229">
        <v>1974</v>
      </c>
      <c r="G3229" s="1" t="s">
        <v>354</v>
      </c>
      <c r="H3229" s="1" t="s">
        <v>540</v>
      </c>
      <c r="I3229">
        <v>-8.5999999999999993E-2</v>
      </c>
      <c r="J3229">
        <v>33549.454700000002</v>
      </c>
      <c r="K3229">
        <v>-9.5399999999999999E-3</v>
      </c>
      <c r="L3229">
        <v>1.5350000000000001E-2</v>
      </c>
      <c r="M3229">
        <v>0.17280000000000001</v>
      </c>
      <c r="N3229">
        <v>3.0099999999999998E-2</v>
      </c>
      <c r="O3229">
        <v>1.583E-2</v>
      </c>
      <c r="P3229" s="3">
        <f t="shared" si="200"/>
        <v>2980.6648355627863</v>
      </c>
      <c r="Q3229" s="3">
        <f t="shared" si="201"/>
        <v>-9.5418362598138629E-3</v>
      </c>
      <c r="R3229" s="3">
        <f t="shared" si="202"/>
        <v>1.5350000000000001E-2</v>
      </c>
      <c r="S3229">
        <f t="shared" si="203"/>
        <v>81</v>
      </c>
      <c r="T3229">
        <f>INDEX([1]IDEN_level_ids!$B:$B,MATCH(G3229,[1]IDEN_level_ids!$A:$A,0),1)</f>
        <v>1135</v>
      </c>
      <c r="U3229">
        <f>INDEX([1]IDEN_level_ids!$B:$B,MATCH(H3229,[1]IDEN_level_ids!$A:$A,0),1)</f>
        <v>1027</v>
      </c>
    </row>
    <row r="3230" spans="1:21" hidden="1" x14ac:dyDescent="0.25">
      <c r="A3230">
        <v>33541.211300000003</v>
      </c>
      <c r="B3230">
        <v>2981.4069</v>
      </c>
      <c r="C3230">
        <v>20</v>
      </c>
      <c r="D3230" t="s">
        <v>696</v>
      </c>
      <c r="E3230" t="s">
        <v>678</v>
      </c>
      <c r="F3230">
        <v>1974</v>
      </c>
      <c r="G3230" s="1" t="s">
        <v>319</v>
      </c>
      <c r="H3230" s="1" t="s">
        <v>462</v>
      </c>
      <c r="I3230">
        <v>-0.69289999999999996</v>
      </c>
      <c r="J3230">
        <v>33541.195099999997</v>
      </c>
      <c r="K3230">
        <v>-1.4400000000000001E-3</v>
      </c>
      <c r="L3230">
        <v>6.4700000000000001E-3</v>
      </c>
      <c r="M3230">
        <v>7.2800000000000004E-2</v>
      </c>
      <c r="N3230">
        <v>0.14219999999999999</v>
      </c>
      <c r="O3230">
        <v>7.5500000000000003E-3</v>
      </c>
      <c r="P3230" s="3">
        <f t="shared" si="200"/>
        <v>2981.4069356523205</v>
      </c>
      <c r="Q3230" s="3">
        <f t="shared" si="201"/>
        <v>-1.4399842411876307E-3</v>
      </c>
      <c r="R3230" s="3">
        <f t="shared" si="202"/>
        <v>6.4700000000000001E-3</v>
      </c>
      <c r="S3230">
        <f t="shared" si="203"/>
        <v>81</v>
      </c>
      <c r="T3230">
        <f>INDEX([1]IDEN_level_ids!$B:$B,MATCH(G3230,[1]IDEN_level_ids!$A:$A,0),1)</f>
        <v>1141</v>
      </c>
      <c r="U3230">
        <f>INDEX([1]IDEN_level_ids!$B:$B,MATCH(H3230,[1]IDEN_level_ids!$A:$A,0),1)</f>
        <v>1047</v>
      </c>
    </row>
    <row r="3231" spans="1:21" hidden="1" x14ac:dyDescent="0.25">
      <c r="A3231">
        <v>33540.697999999997</v>
      </c>
      <c r="B3231">
        <v>2981.4526000000001</v>
      </c>
      <c r="C3231">
        <v>20</v>
      </c>
      <c r="D3231" t="s">
        <v>696</v>
      </c>
      <c r="E3231" t="s">
        <v>681</v>
      </c>
      <c r="F3231">
        <v>1974</v>
      </c>
      <c r="G3231" s="1" t="s">
        <v>697</v>
      </c>
      <c r="H3231" s="1" t="s">
        <v>503</v>
      </c>
      <c r="I3231">
        <v>0.1507</v>
      </c>
      <c r="J3231">
        <v>33540.636200000001</v>
      </c>
      <c r="K3231">
        <v>-5.4900000000000001E-3</v>
      </c>
      <c r="L3231">
        <v>7.1399999999999996E-3</v>
      </c>
      <c r="M3231">
        <v>8.0299999999999996E-2</v>
      </c>
      <c r="N3231">
        <v>0.1663</v>
      </c>
      <c r="O3231">
        <v>8.5599999999999999E-3</v>
      </c>
      <c r="P3231" s="3">
        <f t="shared" si="200"/>
        <v>2981.4525624958674</v>
      </c>
      <c r="Q3231" s="3">
        <f t="shared" si="201"/>
        <v>-5.4934488198341569E-3</v>
      </c>
      <c r="R3231" s="3">
        <f t="shared" si="202"/>
        <v>7.1399999999999996E-3</v>
      </c>
      <c r="S3231">
        <f t="shared" si="203"/>
        <v>81</v>
      </c>
      <c r="T3231">
        <f>INDEX([1]IDEN_level_ids!$B:$B,MATCH(G3231,[1]IDEN_level_ids!$A:$A,0),1)</f>
        <v>1089</v>
      </c>
      <c r="U3231">
        <f>INDEX([1]IDEN_level_ids!$B:$B,MATCH(H3231,[1]IDEN_level_ids!$A:$A,0),1)</f>
        <v>943</v>
      </c>
    </row>
    <row r="3232" spans="1:21" hidden="1" x14ac:dyDescent="0.25">
      <c r="A3232">
        <v>33533.741199999997</v>
      </c>
      <c r="B3232">
        <v>2982.0711000000001</v>
      </c>
      <c r="C3232">
        <v>20</v>
      </c>
      <c r="D3232" t="s">
        <v>696</v>
      </c>
      <c r="E3232" t="s">
        <v>681</v>
      </c>
      <c r="F3232">
        <v>1974</v>
      </c>
      <c r="G3232" s="1" t="s">
        <v>383</v>
      </c>
      <c r="H3232" s="1" t="s">
        <v>610</v>
      </c>
      <c r="I3232">
        <v>0.44500000000000001</v>
      </c>
      <c r="J3232">
        <v>33533.781199999998</v>
      </c>
      <c r="K3232">
        <v>3.5500000000000002E-3</v>
      </c>
      <c r="L3232">
        <v>7.1399999999999996E-3</v>
      </c>
      <c r="M3232">
        <v>8.0299999999999996E-2</v>
      </c>
      <c r="N3232">
        <v>9.5100000000000004E-2</v>
      </c>
      <c r="O3232">
        <v>7.8899999999999994E-3</v>
      </c>
      <c r="P3232" s="3">
        <f t="shared" si="200"/>
        <v>2982.0710848689919</v>
      </c>
      <c r="Q3232" s="3">
        <f t="shared" si="201"/>
        <v>3.5570949389693851E-3</v>
      </c>
      <c r="R3232" s="3">
        <f t="shared" si="202"/>
        <v>7.1399999999999996E-3</v>
      </c>
      <c r="S3232">
        <f t="shared" si="203"/>
        <v>81</v>
      </c>
      <c r="T3232">
        <f>INDEX([1]IDEN_level_ids!$B:$B,MATCH(G3232,[1]IDEN_level_ids!$A:$A,0),1)</f>
        <v>1097</v>
      </c>
      <c r="U3232">
        <f>INDEX([1]IDEN_level_ids!$B:$B,MATCH(H3232,[1]IDEN_level_ids!$A:$A,0),1)</f>
        <v>964</v>
      </c>
    </row>
    <row r="3233" spans="1:21" hidden="1" x14ac:dyDescent="0.25">
      <c r="A3233">
        <v>33530.078399999999</v>
      </c>
      <c r="B3233">
        <v>2982.3968</v>
      </c>
      <c r="C3233">
        <v>20</v>
      </c>
      <c r="D3233" t="s">
        <v>696</v>
      </c>
      <c r="E3233" t="s">
        <v>678</v>
      </c>
      <c r="F3233">
        <v>1974</v>
      </c>
      <c r="G3233" s="1" t="s">
        <v>504</v>
      </c>
      <c r="H3233" s="1" t="s">
        <v>580</v>
      </c>
      <c r="I3233">
        <v>-0.79410000000000003</v>
      </c>
      <c r="J3233">
        <v>33530.129099999998</v>
      </c>
      <c r="K3233">
        <v>4.5100000000000001E-3</v>
      </c>
      <c r="L3233">
        <v>6.4799999999999996E-3</v>
      </c>
      <c r="M3233">
        <v>7.2800000000000004E-2</v>
      </c>
      <c r="N3233">
        <v>7.3700000000000002E-2</v>
      </c>
      <c r="O3233">
        <v>6.9899999999999997E-3</v>
      </c>
      <c r="P3233" s="3">
        <f t="shared" si="200"/>
        <v>2982.3968440228878</v>
      </c>
      <c r="Q3233" s="3">
        <f t="shared" si="201"/>
        <v>4.5096014850969368E-3</v>
      </c>
      <c r="R3233" s="3">
        <f t="shared" si="202"/>
        <v>6.4799999999999996E-3</v>
      </c>
      <c r="S3233">
        <f t="shared" si="203"/>
        <v>81</v>
      </c>
      <c r="T3233">
        <f>INDEX([1]IDEN_level_ids!$B:$B,MATCH(G3233,[1]IDEN_level_ids!$A:$A,0),1)</f>
        <v>1118</v>
      </c>
      <c r="U3233">
        <f>INDEX([1]IDEN_level_ids!$B:$B,MATCH(H3233,[1]IDEN_level_ids!$A:$A,0),1)</f>
        <v>1001</v>
      </c>
    </row>
    <row r="3234" spans="1:21" hidden="1" x14ac:dyDescent="0.25">
      <c r="A3234">
        <v>33528.6492</v>
      </c>
      <c r="B3234">
        <v>2982.5239999999999</v>
      </c>
      <c r="C3234">
        <v>20</v>
      </c>
      <c r="D3234" t="s">
        <v>696</v>
      </c>
      <c r="E3234" t="s">
        <v>681</v>
      </c>
      <c r="F3234">
        <v>1974</v>
      </c>
      <c r="G3234" s="1" t="s">
        <v>515</v>
      </c>
      <c r="H3234" s="1" t="s">
        <v>583</v>
      </c>
      <c r="I3234">
        <v>0.41499999999999998</v>
      </c>
      <c r="J3234">
        <v>33528.743799999997</v>
      </c>
      <c r="K3234">
        <v>8.4200000000000004E-3</v>
      </c>
      <c r="L3234">
        <v>7.1399999999999996E-3</v>
      </c>
      <c r="M3234">
        <v>8.0299999999999996E-2</v>
      </c>
      <c r="N3234">
        <v>0.11700000000000001</v>
      </c>
      <c r="O3234">
        <v>8.09E-3</v>
      </c>
      <c r="P3234" s="3">
        <f t="shared" si="200"/>
        <v>2982.5239723645054</v>
      </c>
      <c r="Q3234" s="3">
        <f t="shared" si="201"/>
        <v>8.4150712432347063E-3</v>
      </c>
      <c r="R3234" s="3">
        <f t="shared" si="202"/>
        <v>7.1399999999999996E-3</v>
      </c>
      <c r="S3234">
        <f t="shared" si="203"/>
        <v>81</v>
      </c>
      <c r="T3234">
        <f>INDEX([1]IDEN_level_ids!$B:$B,MATCH(G3234,[1]IDEN_level_ids!$A:$A,0),1)</f>
        <v>1140</v>
      </c>
      <c r="U3234">
        <f>INDEX([1]IDEN_level_ids!$B:$B,MATCH(H3234,[1]IDEN_level_ids!$A:$A,0),1)</f>
        <v>1043</v>
      </c>
    </row>
    <row r="3235" spans="1:21" hidden="1" x14ac:dyDescent="0.25">
      <c r="A3235">
        <v>33522.107900000003</v>
      </c>
      <c r="B3235">
        <v>2983.1060000000002</v>
      </c>
      <c r="C3235">
        <v>20</v>
      </c>
      <c r="D3235" t="s">
        <v>696</v>
      </c>
      <c r="E3235" t="s">
        <v>681</v>
      </c>
      <c r="F3235">
        <v>1974</v>
      </c>
      <c r="G3235" s="1" t="s">
        <v>383</v>
      </c>
      <c r="H3235" s="1" t="s">
        <v>493</v>
      </c>
      <c r="I3235">
        <v>0.49059999999999998</v>
      </c>
      <c r="J3235">
        <v>33522.061600000001</v>
      </c>
      <c r="K3235">
        <v>-4.1200000000000004E-3</v>
      </c>
      <c r="L3235">
        <v>7.1500000000000001E-3</v>
      </c>
      <c r="M3235">
        <v>8.0299999999999996E-2</v>
      </c>
      <c r="N3235">
        <v>0.1222</v>
      </c>
      <c r="O3235">
        <v>8.1399999999999997E-3</v>
      </c>
      <c r="P3235" s="3">
        <f t="shared" si="200"/>
        <v>2983.1059639301498</v>
      </c>
      <c r="Q3235" s="3">
        <f t="shared" si="201"/>
        <v>-4.1202062029697117E-3</v>
      </c>
      <c r="R3235" s="3">
        <f t="shared" si="202"/>
        <v>7.1500000000000001E-3</v>
      </c>
      <c r="S3235">
        <f t="shared" si="203"/>
        <v>81</v>
      </c>
      <c r="T3235">
        <f>INDEX([1]IDEN_level_ids!$B:$B,MATCH(G3235,[1]IDEN_level_ids!$A:$A,0),1)</f>
        <v>1097</v>
      </c>
      <c r="U3235">
        <f>INDEX([1]IDEN_level_ids!$B:$B,MATCH(H3235,[1]IDEN_level_ids!$A:$A,0),1)</f>
        <v>963</v>
      </c>
    </row>
    <row r="3236" spans="1:21" hidden="1" x14ac:dyDescent="0.25">
      <c r="A3236">
        <v>33510.631300000001</v>
      </c>
      <c r="B3236">
        <v>2984.1275999999998</v>
      </c>
      <c r="C3236">
        <v>20</v>
      </c>
      <c r="D3236" t="s">
        <v>696</v>
      </c>
      <c r="E3236" t="s">
        <v>678</v>
      </c>
      <c r="F3236">
        <v>1974</v>
      </c>
      <c r="G3236" s="1" t="s">
        <v>276</v>
      </c>
      <c r="H3236" s="1" t="s">
        <v>536</v>
      </c>
      <c r="I3236">
        <v>-1.0219</v>
      </c>
      <c r="J3236">
        <v>33510.640200000002</v>
      </c>
      <c r="K3236">
        <v>7.9000000000000001E-4</v>
      </c>
      <c r="L3236">
        <v>6.4900000000000001E-3</v>
      </c>
      <c r="M3236">
        <v>7.2800000000000004E-2</v>
      </c>
      <c r="N3236">
        <v>6.4500000000000002E-2</v>
      </c>
      <c r="O3236">
        <v>6.9300000000000004E-3</v>
      </c>
      <c r="P3236" s="3">
        <f t="shared" si="200"/>
        <v>2984.1276072886158</v>
      </c>
      <c r="Q3236" s="3">
        <f t="shared" si="201"/>
        <v>7.9254635375036742E-4</v>
      </c>
      <c r="R3236" s="3">
        <f t="shared" si="202"/>
        <v>6.4900000000000001E-3</v>
      </c>
      <c r="S3236">
        <f t="shared" si="203"/>
        <v>81</v>
      </c>
      <c r="T3236">
        <f>INDEX([1]IDEN_level_ids!$B:$B,MATCH(G3236,[1]IDEN_level_ids!$A:$A,0),1)</f>
        <v>1131</v>
      </c>
      <c r="U3236">
        <f>INDEX([1]IDEN_level_ids!$B:$B,MATCH(H3236,[1]IDEN_level_ids!$A:$A,0),1)</f>
        <v>1021</v>
      </c>
    </row>
    <row r="3237" spans="1:21" hidden="1" x14ac:dyDescent="0.25">
      <c r="A3237">
        <v>33501.998899999999</v>
      </c>
      <c r="B3237">
        <v>2984.8964999999998</v>
      </c>
      <c r="C3237">
        <v>20</v>
      </c>
      <c r="D3237" t="s">
        <v>696</v>
      </c>
      <c r="E3237" t="s">
        <v>678</v>
      </c>
      <c r="F3237">
        <v>1974</v>
      </c>
      <c r="G3237" s="1" t="s">
        <v>326</v>
      </c>
      <c r="H3237" s="1" t="s">
        <v>431</v>
      </c>
      <c r="I3237">
        <v>-0.76900000000000002</v>
      </c>
      <c r="J3237">
        <v>33502.101799999997</v>
      </c>
      <c r="K3237">
        <v>9.1699999999999993E-3</v>
      </c>
      <c r="L3237">
        <v>6.4900000000000001E-3</v>
      </c>
      <c r="M3237">
        <v>7.2800000000000004E-2</v>
      </c>
      <c r="N3237">
        <v>8.7099999999999997E-2</v>
      </c>
      <c r="O3237">
        <v>7.11E-3</v>
      </c>
      <c r="P3237" s="3">
        <f t="shared" si="200"/>
        <v>2984.8965220997607</v>
      </c>
      <c r="Q3237" s="3">
        <f t="shared" si="201"/>
        <v>9.1679576985370659E-3</v>
      </c>
      <c r="R3237" s="3">
        <f t="shared" si="202"/>
        <v>6.4900000000000001E-3</v>
      </c>
      <c r="S3237">
        <f t="shared" si="203"/>
        <v>81</v>
      </c>
      <c r="T3237">
        <f>INDEX([1]IDEN_level_ids!$B:$B,MATCH(G3237,[1]IDEN_level_ids!$A:$A,0),1)</f>
        <v>1148</v>
      </c>
      <c r="U3237">
        <f>INDEX([1]IDEN_level_ids!$B:$B,MATCH(H3237,[1]IDEN_level_ids!$A:$A,0),1)</f>
        <v>1062</v>
      </c>
    </row>
    <row r="3238" spans="1:21" hidden="1" x14ac:dyDescent="0.25">
      <c r="A3238">
        <v>33491.887900000002</v>
      </c>
      <c r="B3238">
        <v>2985.7975999999999</v>
      </c>
      <c r="C3238">
        <v>20</v>
      </c>
      <c r="D3238" t="s">
        <v>696</v>
      </c>
      <c r="E3238" t="s">
        <v>638</v>
      </c>
      <c r="F3238">
        <v>1974</v>
      </c>
      <c r="G3238" s="1" t="s">
        <v>693</v>
      </c>
      <c r="H3238" s="1" t="s">
        <v>479</v>
      </c>
      <c r="I3238">
        <v>-0.14460000000000001</v>
      </c>
      <c r="J3238">
        <v>33491.942799999997</v>
      </c>
      <c r="K3238">
        <v>4.8999999999999998E-3</v>
      </c>
      <c r="L3238">
        <v>1.541E-2</v>
      </c>
      <c r="M3238">
        <v>0.17280000000000001</v>
      </c>
      <c r="N3238">
        <v>9.0300000000000005E-2</v>
      </c>
      <c r="O3238">
        <v>1.694E-2</v>
      </c>
      <c r="P3238" s="3">
        <f t="shared" si="200"/>
        <v>2985.7976444498968</v>
      </c>
      <c r="Q3238" s="3">
        <f t="shared" si="201"/>
        <v>4.8943201550173399E-3</v>
      </c>
      <c r="R3238" s="3">
        <f t="shared" si="202"/>
        <v>1.541E-2</v>
      </c>
      <c r="S3238">
        <f t="shared" si="203"/>
        <v>81</v>
      </c>
      <c r="T3238">
        <f>INDEX([1]IDEN_level_ids!$B:$B,MATCH(G3238,[1]IDEN_level_ids!$A:$A,0),1)</f>
        <v>1088</v>
      </c>
      <c r="U3238">
        <f>INDEX([1]IDEN_level_ids!$B:$B,MATCH(H3238,[1]IDEN_level_ids!$A:$A,0),1)</f>
        <v>939</v>
      </c>
    </row>
    <row r="3239" spans="1:21" hidden="1" x14ac:dyDescent="0.25">
      <c r="A3239">
        <v>33481.890599999999</v>
      </c>
      <c r="B3239">
        <v>2986.6891999999998</v>
      </c>
      <c r="C3239">
        <v>20</v>
      </c>
      <c r="D3239" t="s">
        <v>696</v>
      </c>
      <c r="E3239" t="s">
        <v>678</v>
      </c>
      <c r="F3239">
        <v>1974</v>
      </c>
      <c r="G3239" s="1" t="s">
        <v>326</v>
      </c>
      <c r="H3239" s="1" t="s">
        <v>466</v>
      </c>
      <c r="I3239">
        <v>-0.66090000000000004</v>
      </c>
      <c r="J3239">
        <v>33481.903400000003</v>
      </c>
      <c r="K3239">
        <v>1.14E-3</v>
      </c>
      <c r="L3239">
        <v>6.4999999999999997E-3</v>
      </c>
      <c r="M3239">
        <v>7.2800000000000004E-2</v>
      </c>
      <c r="N3239">
        <v>9.4500000000000001E-2</v>
      </c>
      <c r="O3239">
        <v>7.1700000000000002E-3</v>
      </c>
      <c r="P3239" s="3">
        <f t="shared" si="200"/>
        <v>2986.6891686217982</v>
      </c>
      <c r="Q3239" s="3">
        <f t="shared" si="201"/>
        <v>1.1417995242481993E-3</v>
      </c>
      <c r="R3239" s="3">
        <f t="shared" si="202"/>
        <v>6.4999999999999997E-3</v>
      </c>
      <c r="S3239">
        <f t="shared" si="203"/>
        <v>81</v>
      </c>
      <c r="T3239">
        <f>INDEX([1]IDEN_level_ids!$B:$B,MATCH(G3239,[1]IDEN_level_ids!$A:$A,0),1)</f>
        <v>1148</v>
      </c>
      <c r="U3239">
        <f>INDEX([1]IDEN_level_ids!$B:$B,MATCH(H3239,[1]IDEN_level_ids!$A:$A,0),1)</f>
        <v>1061</v>
      </c>
    </row>
    <row r="3240" spans="1:21" hidden="1" x14ac:dyDescent="0.25">
      <c r="A3240">
        <v>33467.949099999998</v>
      </c>
      <c r="B3240">
        <v>2987.9333000000001</v>
      </c>
      <c r="C3240">
        <v>20</v>
      </c>
      <c r="D3240" t="s">
        <v>696</v>
      </c>
      <c r="E3240" t="s">
        <v>427</v>
      </c>
      <c r="F3240">
        <v>1974</v>
      </c>
      <c r="G3240" s="1" t="s">
        <v>275</v>
      </c>
      <c r="H3240" s="1" t="s">
        <v>475</v>
      </c>
      <c r="I3240">
        <v>0.18990000000000001</v>
      </c>
      <c r="J3240">
        <v>33467.937700000002</v>
      </c>
      <c r="K3240">
        <v>-1.0200000000000001E-3</v>
      </c>
      <c r="L3240">
        <v>4.3499999999999997E-3</v>
      </c>
      <c r="M3240">
        <v>4.87E-2</v>
      </c>
      <c r="N3240">
        <v>7.6700000000000004E-2</v>
      </c>
      <c r="O3240">
        <v>4.7099999999999998E-3</v>
      </c>
      <c r="P3240" s="3">
        <f t="shared" si="200"/>
        <v>2987.9333119937128</v>
      </c>
      <c r="Q3240" s="3">
        <f t="shared" si="201"/>
        <v>-1.0177633307648648E-3</v>
      </c>
      <c r="R3240" s="3">
        <f t="shared" si="202"/>
        <v>4.3499999999999997E-3</v>
      </c>
      <c r="S3240">
        <f t="shared" si="203"/>
        <v>81</v>
      </c>
      <c r="T3240">
        <f>INDEX([1]IDEN_level_ids!$B:$B,MATCH(G3240,[1]IDEN_level_ids!$A:$A,0),1)</f>
        <v>1134</v>
      </c>
      <c r="U3240">
        <f>INDEX([1]IDEN_level_ids!$B:$B,MATCH(H3240,[1]IDEN_level_ids!$A:$A,0),1)</f>
        <v>1030</v>
      </c>
    </row>
    <row r="3241" spans="1:21" hidden="1" x14ac:dyDescent="0.25">
      <c r="A3241">
        <v>33445.188300000002</v>
      </c>
      <c r="B3241">
        <v>2989.9666999999999</v>
      </c>
      <c r="C3241">
        <v>20</v>
      </c>
      <c r="D3241" t="s">
        <v>696</v>
      </c>
      <c r="E3241" t="s">
        <v>427</v>
      </c>
      <c r="F3241">
        <v>1974</v>
      </c>
      <c r="G3241" s="1" t="s">
        <v>172</v>
      </c>
      <c r="H3241" s="1" t="s">
        <v>441</v>
      </c>
      <c r="I3241">
        <v>9.8500000000000004E-2</v>
      </c>
      <c r="J3241">
        <v>33445.180500000002</v>
      </c>
      <c r="K3241">
        <v>-6.9999999999999999E-4</v>
      </c>
      <c r="L3241">
        <v>4.3600000000000002E-3</v>
      </c>
      <c r="M3241">
        <v>4.87E-2</v>
      </c>
      <c r="N3241">
        <v>0.1125</v>
      </c>
      <c r="O3241">
        <v>4.9100000000000003E-3</v>
      </c>
      <c r="P3241" s="3">
        <f t="shared" si="200"/>
        <v>2989.966721162099</v>
      </c>
      <c r="Q3241" s="3">
        <f t="shared" si="201"/>
        <v>-6.9731244002468884E-4</v>
      </c>
      <c r="R3241" s="3">
        <f t="shared" si="202"/>
        <v>4.3600000000000002E-3</v>
      </c>
      <c r="S3241">
        <f t="shared" si="203"/>
        <v>81</v>
      </c>
      <c r="T3241">
        <f>INDEX([1]IDEN_level_ids!$B:$B,MATCH(G3241,[1]IDEN_level_ids!$A:$A,0),1)</f>
        <v>1136</v>
      </c>
      <c r="U3241">
        <f>INDEX([1]IDEN_level_ids!$B:$B,MATCH(H3241,[1]IDEN_level_ids!$A:$A,0),1)</f>
        <v>1034</v>
      </c>
    </row>
    <row r="3242" spans="1:21" hidden="1" x14ac:dyDescent="0.25">
      <c r="A3242">
        <v>33415.561199999996</v>
      </c>
      <c r="B3242">
        <v>2992.6176999999998</v>
      </c>
      <c r="C3242">
        <v>20</v>
      </c>
      <c r="D3242" t="s">
        <v>696</v>
      </c>
      <c r="F3242">
        <v>1974</v>
      </c>
      <c r="G3242" s="1" t="s">
        <v>288</v>
      </c>
      <c r="H3242" s="1" t="s">
        <v>396</v>
      </c>
      <c r="I3242">
        <v>0.42980000000000002</v>
      </c>
      <c r="J3242">
        <v>33415.628100000002</v>
      </c>
      <c r="K3242">
        <v>6.0000000000000001E-3</v>
      </c>
      <c r="L3242">
        <v>4.13E-3</v>
      </c>
      <c r="M3242">
        <v>4.6100000000000002E-2</v>
      </c>
      <c r="N3242">
        <v>0.10290000000000001</v>
      </c>
      <c r="O3242">
        <v>4.5999999999999999E-3</v>
      </c>
      <c r="P3242" s="3">
        <f t="shared" si="200"/>
        <v>2992.6177029162095</v>
      </c>
      <c r="Q3242" s="3">
        <f t="shared" si="201"/>
        <v>5.9913919244536373E-3</v>
      </c>
      <c r="R3242" s="3">
        <f t="shared" si="202"/>
        <v>4.13E-3</v>
      </c>
      <c r="S3242">
        <f t="shared" si="203"/>
        <v>81</v>
      </c>
      <c r="T3242">
        <f>INDEX([1]IDEN_level_ids!$B:$B,MATCH(G3242,[1]IDEN_level_ids!$A:$A,0),1)</f>
        <v>1151</v>
      </c>
      <c r="U3242">
        <f>INDEX([1]IDEN_level_ids!$B:$B,MATCH(H3242,[1]IDEN_level_ids!$A:$A,0),1)</f>
        <v>1072</v>
      </c>
    </row>
    <row r="3243" spans="1:21" hidden="1" x14ac:dyDescent="0.25">
      <c r="A3243">
        <v>33401.329299999998</v>
      </c>
      <c r="B3243">
        <v>2993.8928000000001</v>
      </c>
      <c r="C3243">
        <v>20</v>
      </c>
      <c r="D3243" t="s">
        <v>696</v>
      </c>
      <c r="F3243">
        <v>1974</v>
      </c>
      <c r="G3243" s="1" t="s">
        <v>697</v>
      </c>
      <c r="H3243" s="1" t="s">
        <v>489</v>
      </c>
      <c r="I3243">
        <v>8.8200000000000001E-2</v>
      </c>
      <c r="J3243">
        <v>33401.241199999997</v>
      </c>
      <c r="K3243">
        <v>-7.9000000000000008E-3</v>
      </c>
      <c r="L3243">
        <v>4.13E-3</v>
      </c>
      <c r="M3243">
        <v>4.6100000000000002E-2</v>
      </c>
      <c r="N3243">
        <v>0.51259999999999994</v>
      </c>
      <c r="O3243">
        <v>8.4700000000000001E-3</v>
      </c>
      <c r="P3243" s="3">
        <f t="shared" si="200"/>
        <v>2993.8928209063824</v>
      </c>
      <c r="Q3243" s="3">
        <f t="shared" si="201"/>
        <v>-7.8967711392579076E-3</v>
      </c>
      <c r="R3243" s="3">
        <f t="shared" si="202"/>
        <v>4.13E-3</v>
      </c>
      <c r="S3243">
        <f t="shared" si="203"/>
        <v>81</v>
      </c>
      <c r="T3243">
        <f>INDEX([1]IDEN_level_ids!$B:$B,MATCH(G3243,[1]IDEN_level_ids!$A:$A,0),1)</f>
        <v>1089</v>
      </c>
      <c r="U3243">
        <f>INDEX([1]IDEN_level_ids!$B:$B,MATCH(H3243,[1]IDEN_level_ids!$A:$A,0),1)</f>
        <v>945</v>
      </c>
    </row>
    <row r="3244" spans="1:21" hidden="1" x14ac:dyDescent="0.25">
      <c r="A3244">
        <v>33388.152099999999</v>
      </c>
      <c r="B3244">
        <v>2995.0744</v>
      </c>
      <c r="C3244">
        <v>20</v>
      </c>
      <c r="D3244" t="s">
        <v>696</v>
      </c>
      <c r="E3244" t="s">
        <v>678</v>
      </c>
      <c r="F3244">
        <v>1974</v>
      </c>
      <c r="G3244" s="1" t="s">
        <v>319</v>
      </c>
      <c r="H3244" s="1" t="s">
        <v>469</v>
      </c>
      <c r="I3244">
        <v>-0.6976</v>
      </c>
      <c r="J3244">
        <v>33388.2163</v>
      </c>
      <c r="K3244">
        <v>5.7600000000000004E-3</v>
      </c>
      <c r="L3244">
        <v>6.5300000000000002E-3</v>
      </c>
      <c r="M3244">
        <v>7.2800000000000004E-2</v>
      </c>
      <c r="N3244">
        <v>0.106</v>
      </c>
      <c r="O3244">
        <v>7.3099999999999997E-3</v>
      </c>
      <c r="P3244" s="3">
        <f t="shared" si="200"/>
        <v>2995.074411440698</v>
      </c>
      <c r="Q3244" s="3">
        <f t="shared" si="201"/>
        <v>5.759031135312398E-3</v>
      </c>
      <c r="R3244" s="3">
        <f t="shared" si="202"/>
        <v>6.5300000000000002E-3</v>
      </c>
      <c r="S3244">
        <f t="shared" si="203"/>
        <v>81</v>
      </c>
      <c r="T3244">
        <f>INDEX([1]IDEN_level_ids!$B:$B,MATCH(G3244,[1]IDEN_level_ids!$A:$A,0),1)</f>
        <v>1141</v>
      </c>
      <c r="U3244">
        <f>INDEX([1]IDEN_level_ids!$B:$B,MATCH(H3244,[1]IDEN_level_ids!$A:$A,0),1)</f>
        <v>1048</v>
      </c>
    </row>
    <row r="3245" spans="1:21" hidden="1" x14ac:dyDescent="0.25">
      <c r="A3245">
        <v>33381.758000000002</v>
      </c>
      <c r="B3245">
        <v>2995.6480999999999</v>
      </c>
      <c r="C3245">
        <v>20</v>
      </c>
      <c r="D3245" t="s">
        <v>696</v>
      </c>
      <c r="F3245">
        <v>1974</v>
      </c>
      <c r="G3245" s="1" t="s">
        <v>117</v>
      </c>
      <c r="H3245" s="1" t="s">
        <v>545</v>
      </c>
      <c r="I3245">
        <v>0</v>
      </c>
      <c r="J3245">
        <v>33381.767</v>
      </c>
      <c r="K3245">
        <v>8.0999999999999996E-4</v>
      </c>
      <c r="L3245">
        <v>4.13E-3</v>
      </c>
      <c r="M3245">
        <v>4.6100000000000002E-2</v>
      </c>
      <c r="N3245">
        <v>0.1082</v>
      </c>
      <c r="O3245">
        <v>4.64E-3</v>
      </c>
      <c r="P3245" s="3">
        <f t="shared" si="200"/>
        <v>2995.6481021760446</v>
      </c>
      <c r="Q3245" s="3">
        <f t="shared" si="201"/>
        <v>8.0765146185513004E-4</v>
      </c>
      <c r="R3245" s="3">
        <f t="shared" si="202"/>
        <v>4.13E-3</v>
      </c>
      <c r="S3245">
        <f t="shared" si="203"/>
        <v>81</v>
      </c>
      <c r="T3245">
        <f>INDEX([1]IDEN_level_ids!$B:$B,MATCH(G3245,[1]IDEN_level_ids!$A:$A,0),1)</f>
        <v>1162</v>
      </c>
      <c r="U3245">
        <f>INDEX([1]IDEN_level_ids!$B:$B,MATCH(H3245,[1]IDEN_level_ids!$A:$A,0),1)</f>
        <v>1081</v>
      </c>
    </row>
    <row r="3246" spans="1:21" hidden="1" x14ac:dyDescent="0.25">
      <c r="A3246">
        <v>33373.5622</v>
      </c>
      <c r="B3246">
        <v>2996.3838000000001</v>
      </c>
      <c r="C3246">
        <v>20</v>
      </c>
      <c r="D3246" t="s">
        <v>696</v>
      </c>
      <c r="E3246" t="s">
        <v>427</v>
      </c>
      <c r="F3246">
        <v>1974</v>
      </c>
      <c r="G3246" s="1" t="s">
        <v>670</v>
      </c>
      <c r="H3246" s="1" t="s">
        <v>502</v>
      </c>
      <c r="I3246">
        <v>4.7100000000000003E-2</v>
      </c>
      <c r="J3246">
        <v>33373.618900000001</v>
      </c>
      <c r="K3246">
        <v>5.0899999999999999E-3</v>
      </c>
      <c r="L3246">
        <v>4.3699999999999998E-3</v>
      </c>
      <c r="M3246">
        <v>4.87E-2</v>
      </c>
      <c r="N3246">
        <v>0.2417</v>
      </c>
      <c r="O3246">
        <v>5.77E-3</v>
      </c>
      <c r="P3246" s="3">
        <f t="shared" si="200"/>
        <v>2996.3837663094891</v>
      </c>
      <c r="Q3246" s="3">
        <f t="shared" si="201"/>
        <v>5.09069633881154E-3</v>
      </c>
      <c r="R3246" s="3">
        <f t="shared" si="202"/>
        <v>4.3699999999999998E-3</v>
      </c>
      <c r="S3246">
        <f t="shared" si="203"/>
        <v>81</v>
      </c>
      <c r="T3246">
        <f>INDEX([1]IDEN_level_ids!$B:$B,MATCH(G3246,[1]IDEN_level_ids!$A:$A,0),1)</f>
        <v>1093</v>
      </c>
      <c r="U3246">
        <f>INDEX([1]IDEN_level_ids!$B:$B,MATCH(H3246,[1]IDEN_level_ids!$A:$A,0),1)</f>
        <v>952</v>
      </c>
    </row>
    <row r="3247" spans="1:21" hidden="1" x14ac:dyDescent="0.25">
      <c r="A3247">
        <v>33370.0317</v>
      </c>
      <c r="B3247">
        <v>2996.7008000000001</v>
      </c>
      <c r="C3247">
        <v>20</v>
      </c>
      <c r="D3247" t="s">
        <v>696</v>
      </c>
      <c r="F3247">
        <v>1974</v>
      </c>
      <c r="G3247" s="1" t="s">
        <v>83</v>
      </c>
      <c r="H3247" s="1" t="s">
        <v>381</v>
      </c>
      <c r="I3247">
        <v>0.23219999999999999</v>
      </c>
      <c r="J3247">
        <v>33370.060599999997</v>
      </c>
      <c r="K3247">
        <v>2.5999999999999999E-3</v>
      </c>
      <c r="L3247">
        <v>4.1399999999999996E-3</v>
      </c>
      <c r="M3247">
        <v>4.6100000000000002E-2</v>
      </c>
      <c r="N3247">
        <v>9.9099999999999994E-2</v>
      </c>
      <c r="O3247">
        <v>4.5900000000000003E-3</v>
      </c>
      <c r="P3247" s="3">
        <f t="shared" si="200"/>
        <v>2996.7007792803506</v>
      </c>
      <c r="Q3247" s="3">
        <f t="shared" si="201"/>
        <v>2.5952800492632377E-3</v>
      </c>
      <c r="R3247" s="3">
        <f t="shared" si="202"/>
        <v>4.1399999999999996E-3</v>
      </c>
      <c r="S3247">
        <f t="shared" si="203"/>
        <v>81</v>
      </c>
      <c r="T3247">
        <f>INDEX([1]IDEN_level_ids!$B:$B,MATCH(G3247,[1]IDEN_level_ids!$A:$A,0),1)</f>
        <v>1175</v>
      </c>
      <c r="U3247">
        <f>INDEX([1]IDEN_level_ids!$B:$B,MATCH(H3247,[1]IDEN_level_ids!$A:$A,0),1)</f>
        <v>1084</v>
      </c>
    </row>
    <row r="3248" spans="1:21" hidden="1" x14ac:dyDescent="0.25">
      <c r="A3248">
        <v>33355.681199999999</v>
      </c>
      <c r="B3248">
        <v>2997.99</v>
      </c>
      <c r="C3248">
        <v>20</v>
      </c>
      <c r="D3248" t="s">
        <v>696</v>
      </c>
      <c r="E3248" t="s">
        <v>678</v>
      </c>
      <c r="F3248">
        <v>1974</v>
      </c>
      <c r="G3248" s="1" t="s">
        <v>301</v>
      </c>
      <c r="H3248" s="1" t="s">
        <v>398</v>
      </c>
      <c r="I3248">
        <v>-0.70440000000000003</v>
      </c>
      <c r="J3248">
        <v>33355.686199999996</v>
      </c>
      <c r="K3248">
        <v>4.6000000000000001E-4</v>
      </c>
      <c r="L3248">
        <v>6.5500000000000003E-3</v>
      </c>
      <c r="M3248">
        <v>7.2800000000000004E-2</v>
      </c>
      <c r="N3248">
        <v>6.3500000000000001E-2</v>
      </c>
      <c r="O3248">
        <v>6.9899999999999997E-3</v>
      </c>
      <c r="P3248" s="3">
        <f t="shared" si="200"/>
        <v>2997.9900395498444</v>
      </c>
      <c r="Q3248" s="3">
        <f t="shared" si="201"/>
        <v>4.4939714598513092E-4</v>
      </c>
      <c r="R3248" s="3">
        <f t="shared" si="202"/>
        <v>6.5500000000000003E-3</v>
      </c>
      <c r="S3248">
        <f t="shared" si="203"/>
        <v>81</v>
      </c>
      <c r="T3248">
        <f>INDEX([1]IDEN_level_ids!$B:$B,MATCH(G3248,[1]IDEN_level_ids!$A:$A,0),1)</f>
        <v>1154</v>
      </c>
      <c r="U3248">
        <f>INDEX([1]IDEN_level_ids!$B:$B,MATCH(H3248,[1]IDEN_level_ids!$A:$A,0),1)</f>
        <v>1075</v>
      </c>
    </row>
    <row r="3249" spans="1:21" hidden="1" x14ac:dyDescent="0.25">
      <c r="A3249">
        <v>33350.061600000001</v>
      </c>
      <c r="B3249">
        <v>2998.4951999999998</v>
      </c>
      <c r="C3249">
        <v>20</v>
      </c>
      <c r="D3249" t="s">
        <v>696</v>
      </c>
      <c r="F3249">
        <v>1974</v>
      </c>
      <c r="G3249" s="1" t="s">
        <v>275</v>
      </c>
      <c r="H3249" s="1" t="s">
        <v>540</v>
      </c>
      <c r="I3249">
        <v>0.34399999999999997</v>
      </c>
      <c r="J3249">
        <v>33350.061199999996</v>
      </c>
      <c r="K3249">
        <v>-4.0000000000000003E-5</v>
      </c>
      <c r="L3249">
        <v>4.1399999999999996E-3</v>
      </c>
      <c r="M3249">
        <v>4.6100000000000002E-2</v>
      </c>
      <c r="N3249">
        <v>7.5800000000000006E-2</v>
      </c>
      <c r="O3249">
        <v>4.4799999999999996E-3</v>
      </c>
      <c r="P3249" s="3">
        <f t="shared" si="200"/>
        <v>2998.4952111752618</v>
      </c>
      <c r="Q3249" s="3">
        <f t="shared" si="201"/>
        <v>-3.5963895243185107E-5</v>
      </c>
      <c r="R3249" s="3">
        <f t="shared" si="202"/>
        <v>4.1399999999999996E-3</v>
      </c>
      <c r="S3249">
        <f t="shared" si="203"/>
        <v>81</v>
      </c>
      <c r="T3249">
        <f>INDEX([1]IDEN_level_ids!$B:$B,MATCH(G3249,[1]IDEN_level_ids!$A:$A,0),1)</f>
        <v>1134</v>
      </c>
      <c r="U3249">
        <f>INDEX([1]IDEN_level_ids!$B:$B,MATCH(H3249,[1]IDEN_level_ids!$A:$A,0),1)</f>
        <v>1027</v>
      </c>
    </row>
    <row r="3250" spans="1:21" hidden="1" x14ac:dyDescent="0.25">
      <c r="A3250">
        <v>33341.910400000001</v>
      </c>
      <c r="B3250">
        <v>2999.2283000000002</v>
      </c>
      <c r="C3250">
        <v>20</v>
      </c>
      <c r="D3250" t="s">
        <v>696</v>
      </c>
      <c r="F3250">
        <v>1974</v>
      </c>
      <c r="G3250" s="1" t="s">
        <v>141</v>
      </c>
      <c r="H3250" s="1" t="s">
        <v>464</v>
      </c>
      <c r="I3250">
        <v>0</v>
      </c>
      <c r="J3250">
        <v>33341.9686</v>
      </c>
      <c r="K3250">
        <v>5.2399999999999999E-3</v>
      </c>
      <c r="L3250">
        <v>4.1399999999999996E-3</v>
      </c>
      <c r="M3250">
        <v>4.6100000000000002E-2</v>
      </c>
      <c r="N3250">
        <v>9.64E-2</v>
      </c>
      <c r="O3250">
        <v>4.5900000000000003E-3</v>
      </c>
      <c r="P3250" s="3">
        <f t="shared" si="200"/>
        <v>2999.2282625772996</v>
      </c>
      <c r="Q3250" s="3">
        <f t="shared" si="201"/>
        <v>5.2352963007251674E-3</v>
      </c>
      <c r="R3250" s="3">
        <f t="shared" si="202"/>
        <v>4.1399999999999996E-3</v>
      </c>
      <c r="S3250">
        <f t="shared" si="203"/>
        <v>81</v>
      </c>
      <c r="T3250">
        <f>INDEX([1]IDEN_level_ids!$B:$B,MATCH(G3250,[1]IDEN_level_ids!$A:$A,0),1)</f>
        <v>1155</v>
      </c>
      <c r="U3250">
        <f>INDEX([1]IDEN_level_ids!$B:$B,MATCH(H3250,[1]IDEN_level_ids!$A:$A,0),1)</f>
        <v>1076</v>
      </c>
    </row>
    <row r="3251" spans="1:21" hidden="1" x14ac:dyDescent="0.25">
      <c r="A3251">
        <v>33337.050999999999</v>
      </c>
      <c r="B3251">
        <v>2999.6653999999999</v>
      </c>
      <c r="C3251">
        <v>20</v>
      </c>
      <c r="D3251" t="s">
        <v>696</v>
      </c>
      <c r="E3251" t="s">
        <v>681</v>
      </c>
      <c r="F3251">
        <v>1974</v>
      </c>
      <c r="G3251" s="1" t="s">
        <v>279</v>
      </c>
      <c r="H3251" s="1" t="s">
        <v>461</v>
      </c>
      <c r="I3251">
        <v>0.53779999999999994</v>
      </c>
      <c r="J3251">
        <v>33337.137199999997</v>
      </c>
      <c r="K3251">
        <v>7.7499999999999999E-3</v>
      </c>
      <c r="L3251">
        <v>7.2300000000000003E-3</v>
      </c>
      <c r="M3251">
        <v>8.0299999999999996E-2</v>
      </c>
      <c r="N3251">
        <v>5.2499999999999998E-2</v>
      </c>
      <c r="O3251">
        <v>7.6299999999999996E-3</v>
      </c>
      <c r="P3251" s="3">
        <f t="shared" si="200"/>
        <v>2999.6654473126614</v>
      </c>
      <c r="Q3251" s="3">
        <f t="shared" si="201"/>
        <v>7.7562497344842996E-3</v>
      </c>
      <c r="R3251" s="3">
        <f t="shared" si="202"/>
        <v>7.2300000000000003E-3</v>
      </c>
      <c r="S3251">
        <f t="shared" si="203"/>
        <v>81</v>
      </c>
      <c r="T3251">
        <f>INDEX([1]IDEN_level_ids!$B:$B,MATCH(G3251,[1]IDEN_level_ids!$A:$A,0),1)</f>
        <v>1129</v>
      </c>
      <c r="U3251">
        <f>INDEX([1]IDEN_level_ids!$B:$B,MATCH(H3251,[1]IDEN_level_ids!$A:$A,0),1)</f>
        <v>1017</v>
      </c>
    </row>
    <row r="3252" spans="1:21" hidden="1" x14ac:dyDescent="0.25">
      <c r="A3252">
        <v>33318.509700000002</v>
      </c>
      <c r="B3252">
        <v>3001.3346999999999</v>
      </c>
      <c r="C3252">
        <v>20</v>
      </c>
      <c r="D3252" t="s">
        <v>698</v>
      </c>
      <c r="E3252" t="s">
        <v>681</v>
      </c>
      <c r="F3252">
        <v>1974</v>
      </c>
      <c r="G3252" s="1" t="s">
        <v>480</v>
      </c>
      <c r="H3252" s="1" t="s">
        <v>453</v>
      </c>
      <c r="I3252">
        <v>0.51739999999999997</v>
      </c>
      <c r="J3252">
        <v>33318.563999999998</v>
      </c>
      <c r="K3252">
        <v>4.8900000000000002E-3</v>
      </c>
      <c r="L3252">
        <v>7.2300000000000003E-3</v>
      </c>
      <c r="M3252">
        <v>8.0299999999999996E-2</v>
      </c>
      <c r="N3252">
        <v>0.1366</v>
      </c>
      <c r="O3252">
        <v>8.3800000000000003E-3</v>
      </c>
      <c r="P3252" s="3">
        <f t="shared" si="200"/>
        <v>3001.3347205622463</v>
      </c>
      <c r="Q3252" s="3">
        <f t="shared" si="201"/>
        <v>4.8913415148490458E-3</v>
      </c>
      <c r="R3252" s="3">
        <f t="shared" si="202"/>
        <v>7.2300000000000003E-3</v>
      </c>
      <c r="S3252">
        <f t="shared" si="203"/>
        <v>82</v>
      </c>
      <c r="T3252">
        <f>INDEX([1]IDEN_level_ids!$B:$B,MATCH(G3252,[1]IDEN_level_ids!$A:$A,0),1)</f>
        <v>1156</v>
      </c>
      <c r="U3252">
        <f>INDEX([1]IDEN_level_ids!$B:$B,MATCH(H3252,[1]IDEN_level_ids!$A:$A,0),1)</f>
        <v>1078</v>
      </c>
    </row>
    <row r="3253" spans="1:21" hidden="1" x14ac:dyDescent="0.25">
      <c r="A3253">
        <v>33311.170599999998</v>
      </c>
      <c r="B3253">
        <v>3001.9960000000001</v>
      </c>
      <c r="C3253">
        <v>20</v>
      </c>
      <c r="D3253" t="s">
        <v>698</v>
      </c>
      <c r="E3253" t="s">
        <v>427</v>
      </c>
      <c r="F3253">
        <v>1974</v>
      </c>
      <c r="G3253" s="1" t="s">
        <v>108</v>
      </c>
      <c r="H3253" s="1" t="s">
        <v>451</v>
      </c>
      <c r="I3253">
        <v>0.38469999999999999</v>
      </c>
      <c r="J3253">
        <v>33311.191099999996</v>
      </c>
      <c r="K3253">
        <v>1.8400000000000001E-3</v>
      </c>
      <c r="L3253">
        <v>4.3899999999999998E-3</v>
      </c>
      <c r="M3253">
        <v>4.87E-2</v>
      </c>
      <c r="N3253">
        <v>7.0199999999999999E-2</v>
      </c>
      <c r="O3253">
        <v>4.7200000000000002E-3</v>
      </c>
      <c r="P3253" s="3">
        <f t="shared" si="200"/>
        <v>3001.995973086578</v>
      </c>
      <c r="Q3253" s="3">
        <f t="shared" si="201"/>
        <v>1.847454726430442E-3</v>
      </c>
      <c r="R3253" s="3">
        <f t="shared" si="202"/>
        <v>4.3899999999999998E-3</v>
      </c>
      <c r="S3253">
        <f t="shared" si="203"/>
        <v>82</v>
      </c>
      <c r="T3253">
        <f>INDEX([1]IDEN_level_ids!$B:$B,MATCH(G3253,[1]IDEN_level_ids!$A:$A,0),1)</f>
        <v>1149</v>
      </c>
      <c r="U3253">
        <f>INDEX([1]IDEN_level_ids!$B:$B,MATCH(H3253,[1]IDEN_level_ids!$A:$A,0),1)</f>
        <v>1066</v>
      </c>
    </row>
    <row r="3254" spans="1:21" hidden="1" x14ac:dyDescent="0.25">
      <c r="A3254">
        <v>33309.792300000001</v>
      </c>
      <c r="B3254">
        <v>3002.1201999999998</v>
      </c>
      <c r="C3254">
        <v>20</v>
      </c>
      <c r="D3254" t="s">
        <v>698</v>
      </c>
      <c r="F3254">
        <v>1974</v>
      </c>
      <c r="G3254" s="1" t="s">
        <v>282</v>
      </c>
      <c r="H3254" s="1" t="s">
        <v>461</v>
      </c>
      <c r="I3254">
        <v>0.24510000000000001</v>
      </c>
      <c r="J3254">
        <v>33309.818800000001</v>
      </c>
      <c r="K3254">
        <v>2.3900000000000002E-3</v>
      </c>
      <c r="L3254">
        <v>4.15E-3</v>
      </c>
      <c r="M3254">
        <v>4.6100000000000002E-2</v>
      </c>
      <c r="N3254">
        <v>8.7900000000000006E-2</v>
      </c>
      <c r="O3254">
        <v>4.5500000000000002E-3</v>
      </c>
      <c r="P3254" s="3">
        <f t="shared" si="200"/>
        <v>3002.120190344147</v>
      </c>
      <c r="Q3254" s="3">
        <f t="shared" si="201"/>
        <v>2.3883703938736289E-3</v>
      </c>
      <c r="R3254" s="3">
        <f t="shared" si="202"/>
        <v>4.15E-3</v>
      </c>
      <c r="S3254">
        <f t="shared" si="203"/>
        <v>82</v>
      </c>
      <c r="T3254">
        <f>INDEX([1]IDEN_level_ids!$B:$B,MATCH(G3254,[1]IDEN_level_ids!$A:$A,0),1)</f>
        <v>1128</v>
      </c>
      <c r="U3254">
        <f>INDEX([1]IDEN_level_ids!$B:$B,MATCH(H3254,[1]IDEN_level_ids!$A:$A,0),1)</f>
        <v>1017</v>
      </c>
    </row>
    <row r="3255" spans="1:21" hidden="1" x14ac:dyDescent="0.25">
      <c r="A3255">
        <v>33300.241000000002</v>
      </c>
      <c r="B3255">
        <v>3002.9812999999999</v>
      </c>
      <c r="C3255">
        <v>20</v>
      </c>
      <c r="D3255" t="s">
        <v>698</v>
      </c>
      <c r="E3255" t="s">
        <v>427</v>
      </c>
      <c r="F3255">
        <v>1974</v>
      </c>
      <c r="G3255" s="1" t="s">
        <v>259</v>
      </c>
      <c r="H3255" s="1" t="s">
        <v>562</v>
      </c>
      <c r="I3255">
        <v>0</v>
      </c>
      <c r="J3255">
        <v>33300.323199999999</v>
      </c>
      <c r="K3255">
        <v>7.4099999999999999E-3</v>
      </c>
      <c r="L3255">
        <v>4.3899999999999998E-3</v>
      </c>
      <c r="M3255">
        <v>4.87E-2</v>
      </c>
      <c r="N3255">
        <v>0.19750000000000001</v>
      </c>
      <c r="O3255">
        <v>5.4799999999999996E-3</v>
      </c>
      <c r="P3255" s="3">
        <f t="shared" si="200"/>
        <v>3002.9812697151351</v>
      </c>
      <c r="Q3255" s="3">
        <f t="shared" si="201"/>
        <v>7.412692630168749E-3</v>
      </c>
      <c r="R3255" s="3">
        <f t="shared" si="202"/>
        <v>4.3899999999999998E-3</v>
      </c>
      <c r="S3255">
        <f t="shared" si="203"/>
        <v>82</v>
      </c>
      <c r="T3255">
        <f>INDEX([1]IDEN_level_ids!$B:$B,MATCH(G3255,[1]IDEN_level_ids!$A:$A,0),1)</f>
        <v>1117</v>
      </c>
      <c r="U3255">
        <f>INDEX([1]IDEN_level_ids!$B:$B,MATCH(H3255,[1]IDEN_level_ids!$A:$A,0),1)</f>
        <v>999</v>
      </c>
    </row>
    <row r="3256" spans="1:21" hidden="1" x14ac:dyDescent="0.25">
      <c r="A3256">
        <v>33295.571499999998</v>
      </c>
      <c r="B3256">
        <v>3003.4023999999999</v>
      </c>
      <c r="C3256">
        <v>20</v>
      </c>
      <c r="D3256" t="s">
        <v>698</v>
      </c>
      <c r="E3256" t="s">
        <v>427</v>
      </c>
      <c r="F3256">
        <v>1974</v>
      </c>
      <c r="G3256" s="1" t="s">
        <v>288</v>
      </c>
      <c r="H3256" s="1" t="s">
        <v>407</v>
      </c>
      <c r="I3256">
        <v>0.27489999999999998</v>
      </c>
      <c r="J3256">
        <v>33295.618699999999</v>
      </c>
      <c r="K3256">
        <v>4.2599999999999999E-3</v>
      </c>
      <c r="L3256">
        <v>4.4000000000000003E-3</v>
      </c>
      <c r="M3256">
        <v>4.87E-2</v>
      </c>
      <c r="N3256">
        <v>8.2900000000000001E-2</v>
      </c>
      <c r="O3256">
        <v>4.79E-3</v>
      </c>
      <c r="P3256" s="3">
        <f t="shared" si="200"/>
        <v>3003.4024194478839</v>
      </c>
      <c r="Q3256" s="3">
        <f t="shared" si="201"/>
        <v>4.2576350806484697E-3</v>
      </c>
      <c r="R3256" s="3">
        <f t="shared" si="202"/>
        <v>4.4000000000000003E-3</v>
      </c>
      <c r="S3256">
        <f t="shared" si="203"/>
        <v>82</v>
      </c>
      <c r="T3256">
        <f>INDEX([1]IDEN_level_ids!$B:$B,MATCH(G3256,[1]IDEN_level_ids!$A:$A,0),1)</f>
        <v>1151</v>
      </c>
      <c r="U3256">
        <f>INDEX([1]IDEN_level_ids!$B:$B,MATCH(H3256,[1]IDEN_level_ids!$A:$A,0),1)</f>
        <v>1073</v>
      </c>
    </row>
    <row r="3257" spans="1:21" hidden="1" x14ac:dyDescent="0.25">
      <c r="A3257">
        <v>33292.048799999997</v>
      </c>
      <c r="B3257">
        <v>3003.7202000000002</v>
      </c>
      <c r="C3257">
        <v>20</v>
      </c>
      <c r="D3257" t="s">
        <v>698</v>
      </c>
      <c r="E3257" t="s">
        <v>638</v>
      </c>
      <c r="F3257">
        <v>1974</v>
      </c>
      <c r="G3257" s="1" t="s">
        <v>492</v>
      </c>
      <c r="H3257" s="1" t="s">
        <v>617</v>
      </c>
      <c r="I3257">
        <v>4.7300000000000002E-2</v>
      </c>
      <c r="J3257">
        <v>33292.160199999998</v>
      </c>
      <c r="K3257">
        <v>1.005E-2</v>
      </c>
      <c r="L3257">
        <v>1.559E-2</v>
      </c>
      <c r="M3257">
        <v>0.17280000000000001</v>
      </c>
      <c r="N3257">
        <v>2.6700000000000002E-2</v>
      </c>
      <c r="O3257">
        <v>1.602E-2</v>
      </c>
      <c r="P3257" s="3">
        <f t="shared" si="200"/>
        <v>3003.7202156209746</v>
      </c>
      <c r="Q3257" s="3">
        <f t="shared" si="201"/>
        <v>1.0050847707589128E-2</v>
      </c>
      <c r="R3257" s="3">
        <f t="shared" si="202"/>
        <v>1.559E-2</v>
      </c>
      <c r="S3257">
        <f t="shared" si="203"/>
        <v>82</v>
      </c>
      <c r="T3257">
        <f>INDEX([1]IDEN_level_ids!$B:$B,MATCH(G3257,[1]IDEN_level_ids!$A:$A,0),1)</f>
        <v>1132</v>
      </c>
      <c r="U3257">
        <f>INDEX([1]IDEN_level_ids!$B:$B,MATCH(H3257,[1]IDEN_level_ids!$A:$A,0),1)</f>
        <v>1018</v>
      </c>
    </row>
    <row r="3258" spans="1:21" hidden="1" x14ac:dyDescent="0.25">
      <c r="A3258">
        <v>33288.0795</v>
      </c>
      <c r="B3258">
        <v>3004.0783999999999</v>
      </c>
      <c r="C3258">
        <v>20</v>
      </c>
      <c r="D3258" t="s">
        <v>698</v>
      </c>
      <c r="E3258" t="s">
        <v>678</v>
      </c>
      <c r="F3258">
        <v>1974</v>
      </c>
      <c r="G3258" s="1" t="s">
        <v>504</v>
      </c>
      <c r="H3258" s="1" t="s">
        <v>520</v>
      </c>
      <c r="I3258">
        <v>-0.68479999999999996</v>
      </c>
      <c r="J3258">
        <v>33288.058900000004</v>
      </c>
      <c r="K3258">
        <v>-1.8600000000000001E-3</v>
      </c>
      <c r="L3258">
        <v>6.5700000000000003E-3</v>
      </c>
      <c r="M3258">
        <v>7.2800000000000004E-2</v>
      </c>
      <c r="N3258">
        <v>9.1399999999999995E-2</v>
      </c>
      <c r="O3258">
        <v>7.2300000000000003E-3</v>
      </c>
      <c r="P3258" s="3">
        <f t="shared" si="200"/>
        <v>3004.0783818724058</v>
      </c>
      <c r="Q3258" s="3">
        <f t="shared" si="201"/>
        <v>-1.8590454565128312E-3</v>
      </c>
      <c r="R3258" s="3">
        <f t="shared" si="202"/>
        <v>6.5700000000000003E-3</v>
      </c>
      <c r="S3258">
        <f t="shared" si="203"/>
        <v>82</v>
      </c>
      <c r="T3258">
        <f>INDEX([1]IDEN_level_ids!$B:$B,MATCH(G3258,[1]IDEN_level_ids!$A:$A,0),1)</f>
        <v>1118</v>
      </c>
      <c r="U3258">
        <f>INDEX([1]IDEN_level_ids!$B:$B,MATCH(H3258,[1]IDEN_level_ids!$A:$A,0),1)</f>
        <v>1002</v>
      </c>
    </row>
    <row r="3259" spans="1:21" hidden="1" x14ac:dyDescent="0.25">
      <c r="A3259">
        <v>33283.027999999998</v>
      </c>
      <c r="B3259">
        <v>3004.5342999999998</v>
      </c>
      <c r="C3259">
        <v>20</v>
      </c>
      <c r="D3259" t="s">
        <v>698</v>
      </c>
      <c r="E3259" t="s">
        <v>678</v>
      </c>
      <c r="F3259">
        <v>1974</v>
      </c>
      <c r="G3259" s="1" t="s">
        <v>511</v>
      </c>
      <c r="H3259" s="1" t="s">
        <v>582</v>
      </c>
      <c r="I3259">
        <v>-1.1067</v>
      </c>
      <c r="J3259">
        <v>33283.024299999997</v>
      </c>
      <c r="K3259">
        <v>-3.3E-4</v>
      </c>
      <c r="L3259">
        <v>6.5700000000000003E-3</v>
      </c>
      <c r="M3259">
        <v>7.2800000000000004E-2</v>
      </c>
      <c r="N3259">
        <v>0.1011</v>
      </c>
      <c r="O3259">
        <v>7.3099999999999997E-3</v>
      </c>
      <c r="P3259" s="3">
        <f t="shared" si="200"/>
        <v>3004.5343230189274</v>
      </c>
      <c r="Q3259" s="3">
        <f t="shared" si="201"/>
        <v>-3.3400741767763975E-4</v>
      </c>
      <c r="R3259" s="3">
        <f t="shared" si="202"/>
        <v>6.5700000000000003E-3</v>
      </c>
      <c r="S3259">
        <f t="shared" si="203"/>
        <v>82</v>
      </c>
      <c r="T3259">
        <f>INDEX([1]IDEN_level_ids!$B:$B,MATCH(G3259,[1]IDEN_level_ids!$A:$A,0),1)</f>
        <v>1139</v>
      </c>
      <c r="U3259">
        <f>INDEX([1]IDEN_level_ids!$B:$B,MATCH(H3259,[1]IDEN_level_ids!$A:$A,0),1)</f>
        <v>1042</v>
      </c>
    </row>
    <row r="3260" spans="1:21" hidden="1" x14ac:dyDescent="0.25">
      <c r="A3260">
        <v>33279.228000000003</v>
      </c>
      <c r="B3260">
        <v>3004.8773999999999</v>
      </c>
      <c r="C3260">
        <v>20</v>
      </c>
      <c r="D3260" t="s">
        <v>698</v>
      </c>
      <c r="E3260" t="s">
        <v>681</v>
      </c>
      <c r="F3260">
        <v>1974</v>
      </c>
      <c r="G3260" s="1" t="s">
        <v>687</v>
      </c>
      <c r="H3260" s="1" t="s">
        <v>473</v>
      </c>
      <c r="I3260">
        <v>0.49109999999999998</v>
      </c>
      <c r="J3260">
        <v>33279.270199999999</v>
      </c>
      <c r="K3260">
        <v>3.81E-3</v>
      </c>
      <c r="L3260">
        <v>7.2500000000000004E-3</v>
      </c>
      <c r="M3260">
        <v>8.0299999999999996E-2</v>
      </c>
      <c r="N3260">
        <v>0.1268</v>
      </c>
      <c r="O3260">
        <v>8.3099999999999997E-3</v>
      </c>
      <c r="P3260" s="3">
        <f t="shared" si="200"/>
        <v>3004.8773967953821</v>
      </c>
      <c r="Q3260" s="3">
        <f t="shared" si="201"/>
        <v>3.810354775396263E-3</v>
      </c>
      <c r="R3260" s="3">
        <f t="shared" si="202"/>
        <v>7.2500000000000004E-3</v>
      </c>
      <c r="S3260">
        <f t="shared" si="203"/>
        <v>82</v>
      </c>
      <c r="T3260">
        <f>INDEX([1]IDEN_level_ids!$B:$B,MATCH(G3260,[1]IDEN_level_ids!$A:$A,0),1)</f>
        <v>1087</v>
      </c>
      <c r="U3260">
        <f>INDEX([1]IDEN_level_ids!$B:$B,MATCH(H3260,[1]IDEN_level_ids!$A:$A,0),1)</f>
        <v>934</v>
      </c>
    </row>
    <row r="3261" spans="1:21" hidden="1" x14ac:dyDescent="0.25">
      <c r="A3261">
        <v>33275.859199999999</v>
      </c>
      <c r="B3261">
        <v>3005.1815999999999</v>
      </c>
      <c r="C3261">
        <v>20</v>
      </c>
      <c r="D3261" t="s">
        <v>698</v>
      </c>
      <c r="E3261" t="s">
        <v>678</v>
      </c>
      <c r="F3261">
        <v>1974</v>
      </c>
      <c r="G3261" s="1" t="s">
        <v>693</v>
      </c>
      <c r="H3261" s="1" t="s">
        <v>496</v>
      </c>
      <c r="I3261">
        <v>-0.78269999999999995</v>
      </c>
      <c r="J3261">
        <v>33275.865899999997</v>
      </c>
      <c r="K3261">
        <v>6.0999999999999997E-4</v>
      </c>
      <c r="L3261">
        <v>6.5799999999999999E-3</v>
      </c>
      <c r="M3261">
        <v>7.2800000000000004E-2</v>
      </c>
      <c r="N3261">
        <v>0.2137</v>
      </c>
      <c r="O3261">
        <v>8.3599999999999994E-3</v>
      </c>
      <c r="P3261" s="3">
        <f t="shared" si="200"/>
        <v>3005.1816062498547</v>
      </c>
      <c r="Q3261" s="3">
        <f t="shared" si="201"/>
        <v>6.0508468277475913E-4</v>
      </c>
      <c r="R3261" s="3">
        <f t="shared" si="202"/>
        <v>6.5799999999999999E-3</v>
      </c>
      <c r="S3261">
        <f t="shared" si="203"/>
        <v>82</v>
      </c>
      <c r="T3261">
        <f>INDEX([1]IDEN_level_ids!$B:$B,MATCH(G3261,[1]IDEN_level_ids!$A:$A,0),1)</f>
        <v>1088</v>
      </c>
      <c r="U3261">
        <f>INDEX([1]IDEN_level_ids!$B:$B,MATCH(H3261,[1]IDEN_level_ids!$A:$A,0),1)</f>
        <v>944</v>
      </c>
    </row>
    <row r="3262" spans="1:21" hidden="1" x14ac:dyDescent="0.25">
      <c r="A3262">
        <v>33269.311699999998</v>
      </c>
      <c r="B3262">
        <v>3005.7730000000001</v>
      </c>
      <c r="C3262">
        <v>20</v>
      </c>
      <c r="D3262" t="s">
        <v>698</v>
      </c>
      <c r="E3262" t="s">
        <v>681</v>
      </c>
      <c r="F3262">
        <v>1974</v>
      </c>
      <c r="G3262" s="1" t="s">
        <v>329</v>
      </c>
      <c r="H3262" s="1" t="s">
        <v>477</v>
      </c>
      <c r="I3262">
        <v>0.63970000000000005</v>
      </c>
      <c r="J3262">
        <v>33269.442199999998</v>
      </c>
      <c r="K3262">
        <v>1.179E-2</v>
      </c>
      <c r="L3262">
        <v>7.26E-3</v>
      </c>
      <c r="M3262">
        <v>8.0299999999999996E-2</v>
      </c>
      <c r="N3262">
        <v>7.5800000000000006E-2</v>
      </c>
      <c r="O3262">
        <v>7.8499999999999993E-3</v>
      </c>
      <c r="P3262" s="3">
        <f t="shared" si="200"/>
        <v>3005.7730349738495</v>
      </c>
      <c r="Q3262" s="3">
        <f t="shared" si="201"/>
        <v>1.1790200109317084E-2</v>
      </c>
      <c r="R3262" s="3">
        <f t="shared" si="202"/>
        <v>7.26E-3</v>
      </c>
      <c r="S3262">
        <f t="shared" si="203"/>
        <v>82</v>
      </c>
      <c r="T3262">
        <f>INDEX([1]IDEN_level_ids!$B:$B,MATCH(G3262,[1]IDEN_level_ids!$A:$A,0),1)</f>
        <v>1138</v>
      </c>
      <c r="U3262">
        <f>INDEX([1]IDEN_level_ids!$B:$B,MATCH(H3262,[1]IDEN_level_ids!$A:$A,0),1)</f>
        <v>1045</v>
      </c>
    </row>
    <row r="3263" spans="1:21" hidden="1" x14ac:dyDescent="0.25">
      <c r="A3263">
        <v>33251.919500000004</v>
      </c>
      <c r="B3263">
        <v>3007.3452000000002</v>
      </c>
      <c r="C3263">
        <v>20</v>
      </c>
      <c r="D3263" t="s">
        <v>698</v>
      </c>
      <c r="E3263" t="s">
        <v>681</v>
      </c>
      <c r="F3263">
        <v>1974</v>
      </c>
      <c r="G3263" s="1" t="s">
        <v>534</v>
      </c>
      <c r="H3263" s="1" t="s">
        <v>580</v>
      </c>
      <c r="I3263">
        <v>0.54920000000000002</v>
      </c>
      <c r="J3263">
        <v>33251.9853</v>
      </c>
      <c r="K3263">
        <v>5.9500000000000004E-3</v>
      </c>
      <c r="L3263">
        <v>7.26E-3</v>
      </c>
      <c r="M3263">
        <v>8.0299999999999996E-2</v>
      </c>
      <c r="N3263">
        <v>7.5700000000000003E-2</v>
      </c>
      <c r="O3263">
        <v>7.8600000000000007E-3</v>
      </c>
      <c r="P3263" s="3">
        <f t="shared" si="200"/>
        <v>3007.3451849899971</v>
      </c>
      <c r="Q3263" s="3">
        <f t="shared" si="201"/>
        <v>5.9510225141821138E-3</v>
      </c>
      <c r="R3263" s="3">
        <f t="shared" si="202"/>
        <v>7.26E-3</v>
      </c>
      <c r="S3263">
        <f t="shared" si="203"/>
        <v>82</v>
      </c>
      <c r="T3263">
        <f>INDEX([1]IDEN_level_ids!$B:$B,MATCH(G3263,[1]IDEN_level_ids!$A:$A,0),1)</f>
        <v>1116</v>
      </c>
      <c r="U3263">
        <f>INDEX([1]IDEN_level_ids!$B:$B,MATCH(H3263,[1]IDEN_level_ids!$A:$A,0),1)</f>
        <v>1001</v>
      </c>
    </row>
    <row r="3264" spans="1:21" hidden="1" x14ac:dyDescent="0.25">
      <c r="A3264">
        <v>33241.008500000004</v>
      </c>
      <c r="B3264">
        <v>3008.3323</v>
      </c>
      <c r="C3264">
        <v>20</v>
      </c>
      <c r="D3264" t="s">
        <v>698</v>
      </c>
      <c r="E3264" t="s">
        <v>681</v>
      </c>
      <c r="F3264">
        <v>1974</v>
      </c>
      <c r="G3264" s="1" t="s">
        <v>443</v>
      </c>
      <c r="H3264" s="1" t="s">
        <v>431</v>
      </c>
      <c r="I3264">
        <v>0.5282</v>
      </c>
      <c r="J3264">
        <v>33241.061699999998</v>
      </c>
      <c r="K3264">
        <v>4.8199999999999996E-3</v>
      </c>
      <c r="L3264">
        <v>7.2700000000000004E-3</v>
      </c>
      <c r="M3264">
        <v>8.0299999999999996E-2</v>
      </c>
      <c r="N3264">
        <v>6.1800000000000001E-2</v>
      </c>
      <c r="O3264">
        <v>7.7499999999999999E-3</v>
      </c>
      <c r="P3264" s="3">
        <f t="shared" si="200"/>
        <v>3008.3323133833314</v>
      </c>
      <c r="Q3264" s="3">
        <f t="shared" si="201"/>
        <v>4.8146259737222863E-3</v>
      </c>
      <c r="R3264" s="3">
        <f t="shared" si="202"/>
        <v>7.2700000000000004E-3</v>
      </c>
      <c r="S3264">
        <f t="shared" si="203"/>
        <v>82</v>
      </c>
      <c r="T3264">
        <f>INDEX([1]IDEN_level_ids!$B:$B,MATCH(G3264,[1]IDEN_level_ids!$A:$A,0),1)</f>
        <v>1145</v>
      </c>
      <c r="U3264">
        <f>INDEX([1]IDEN_level_ids!$B:$B,MATCH(H3264,[1]IDEN_level_ids!$A:$A,0),1)</f>
        <v>1062</v>
      </c>
    </row>
    <row r="3265" spans="1:21" hidden="1" x14ac:dyDescent="0.25">
      <c r="A3265">
        <v>33234.551399999997</v>
      </c>
      <c r="B3265">
        <v>3008.9168</v>
      </c>
      <c r="C3265">
        <v>20</v>
      </c>
      <c r="D3265" t="s">
        <v>698</v>
      </c>
      <c r="E3265" t="s">
        <v>678</v>
      </c>
      <c r="F3265">
        <v>1974</v>
      </c>
      <c r="G3265" s="1" t="s">
        <v>276</v>
      </c>
      <c r="H3265" s="1" t="s">
        <v>470</v>
      </c>
      <c r="I3265">
        <v>-0.71760000000000002</v>
      </c>
      <c r="J3265">
        <v>33234.596299999997</v>
      </c>
      <c r="K3265">
        <v>4.0600000000000002E-3</v>
      </c>
      <c r="L3265">
        <v>6.5900000000000004E-3</v>
      </c>
      <c r="M3265">
        <v>7.2800000000000004E-2</v>
      </c>
      <c r="N3265">
        <v>6.1899999999999997E-2</v>
      </c>
      <c r="O3265">
        <v>7.0299999999999998E-3</v>
      </c>
      <c r="P3265" s="3">
        <f t="shared" si="200"/>
        <v>3008.9167985580216</v>
      </c>
      <c r="Q3265" s="3">
        <f t="shared" si="201"/>
        <v>4.0650520631970721E-3</v>
      </c>
      <c r="R3265" s="3">
        <f t="shared" si="202"/>
        <v>6.5900000000000004E-3</v>
      </c>
      <c r="S3265">
        <f t="shared" si="203"/>
        <v>82</v>
      </c>
      <c r="T3265">
        <f>INDEX([1]IDEN_level_ids!$B:$B,MATCH(G3265,[1]IDEN_level_ids!$A:$A,0),1)</f>
        <v>1131</v>
      </c>
      <c r="U3265">
        <f>INDEX([1]IDEN_level_ids!$B:$B,MATCH(H3265,[1]IDEN_level_ids!$A:$A,0),1)</f>
        <v>1026</v>
      </c>
    </row>
    <row r="3266" spans="1:21" hidden="1" x14ac:dyDescent="0.25">
      <c r="A3266">
        <v>33206.160799999998</v>
      </c>
      <c r="B3266">
        <v>3011.4893999999999</v>
      </c>
      <c r="C3266">
        <v>20</v>
      </c>
      <c r="D3266" t="s">
        <v>698</v>
      </c>
      <c r="E3266" t="s">
        <v>681</v>
      </c>
      <c r="F3266">
        <v>1974</v>
      </c>
      <c r="G3266" s="1" t="s">
        <v>480</v>
      </c>
      <c r="H3266" s="1" t="s">
        <v>450</v>
      </c>
      <c r="I3266">
        <v>0.55000000000000004</v>
      </c>
      <c r="J3266">
        <v>33206.249499999998</v>
      </c>
      <c r="K3266">
        <v>8.0400000000000003E-3</v>
      </c>
      <c r="L3266">
        <v>7.28E-3</v>
      </c>
      <c r="M3266">
        <v>8.0299999999999996E-2</v>
      </c>
      <c r="N3266">
        <v>0.13139999999999999</v>
      </c>
      <c r="O3266">
        <v>8.3899999999999999E-3</v>
      </c>
      <c r="P3266" s="3">
        <f t="shared" ref="P3266:P3329" si="204">100000000/$A3266</f>
        <v>3011.4893619379209</v>
      </c>
      <c r="Q3266" s="3">
        <f t="shared" ref="Q3266:Q3329" si="205">100000000/($A3266)-100000000/$J3266</f>
        <v>8.0442419853170577E-3</v>
      </c>
      <c r="R3266" s="3">
        <f t="shared" si="202"/>
        <v>7.28E-3</v>
      </c>
      <c r="S3266">
        <f t="shared" si="203"/>
        <v>82</v>
      </c>
      <c r="T3266">
        <f>INDEX([1]IDEN_level_ids!$B:$B,MATCH(G3266,[1]IDEN_level_ids!$A:$A,0),1)</f>
        <v>1156</v>
      </c>
      <c r="U3266">
        <f>INDEX([1]IDEN_level_ids!$B:$B,MATCH(H3266,[1]IDEN_level_ids!$A:$A,0),1)</f>
        <v>1077</v>
      </c>
    </row>
    <row r="3267" spans="1:21" hidden="1" x14ac:dyDescent="0.25">
      <c r="A3267">
        <v>33192.889000000003</v>
      </c>
      <c r="B3267">
        <v>3012.6934999999999</v>
      </c>
      <c r="C3267">
        <v>20</v>
      </c>
      <c r="D3267" t="s">
        <v>698</v>
      </c>
      <c r="E3267" t="s">
        <v>678</v>
      </c>
      <c r="F3267">
        <v>1974</v>
      </c>
      <c r="G3267" s="1" t="s">
        <v>511</v>
      </c>
      <c r="H3267" s="1" t="s">
        <v>445</v>
      </c>
      <c r="I3267">
        <v>-0.83</v>
      </c>
      <c r="J3267">
        <v>33192.867700000003</v>
      </c>
      <c r="K3267">
        <v>-1.9300000000000001E-3</v>
      </c>
      <c r="L3267">
        <v>6.6100000000000004E-3</v>
      </c>
      <c r="M3267">
        <v>7.2800000000000004E-2</v>
      </c>
      <c r="N3267">
        <v>8.2000000000000003E-2</v>
      </c>
      <c r="O3267">
        <v>7.1999999999999998E-3</v>
      </c>
      <c r="P3267" s="3">
        <f t="shared" si="204"/>
        <v>3012.6934717854779</v>
      </c>
      <c r="Q3267" s="3">
        <f t="shared" si="205"/>
        <v>-1.9332578167450265E-3</v>
      </c>
      <c r="R3267" s="3">
        <f t="shared" ref="R3267:R3330" si="206">$L3267</f>
        <v>6.6100000000000004E-3</v>
      </c>
      <c r="S3267">
        <f t="shared" si="203"/>
        <v>82</v>
      </c>
      <c r="T3267">
        <f>INDEX([1]IDEN_level_ids!$B:$B,MATCH(G3267,[1]IDEN_level_ids!$A:$A,0),1)</f>
        <v>1139</v>
      </c>
      <c r="U3267">
        <f>INDEX([1]IDEN_level_ids!$B:$B,MATCH(H3267,[1]IDEN_level_ids!$A:$A,0),1)</f>
        <v>1041</v>
      </c>
    </row>
    <row r="3268" spans="1:21" hidden="1" x14ac:dyDescent="0.25">
      <c r="A3268">
        <v>33185.8488</v>
      </c>
      <c r="B3268">
        <v>3013.3326000000002</v>
      </c>
      <c r="C3268">
        <v>20</v>
      </c>
      <c r="D3268" t="s">
        <v>698</v>
      </c>
      <c r="E3268" t="s">
        <v>681</v>
      </c>
      <c r="F3268">
        <v>1974</v>
      </c>
      <c r="G3268" s="1" t="s">
        <v>279</v>
      </c>
      <c r="H3268" s="1" t="s">
        <v>585</v>
      </c>
      <c r="I3268">
        <v>0.27579999999999999</v>
      </c>
      <c r="J3268">
        <v>33185.923199999997</v>
      </c>
      <c r="K3268">
        <v>6.7600000000000004E-3</v>
      </c>
      <c r="L3268">
        <v>7.2899999999999996E-3</v>
      </c>
      <c r="M3268">
        <v>8.0299999999999996E-2</v>
      </c>
      <c r="N3268">
        <v>5.7700000000000001E-2</v>
      </c>
      <c r="O3268">
        <v>7.7400000000000004E-3</v>
      </c>
      <c r="P3268" s="3">
        <f t="shared" si="204"/>
        <v>3013.3325985623123</v>
      </c>
      <c r="Q3268" s="3">
        <f t="shared" si="205"/>
        <v>6.7556338262875215E-3</v>
      </c>
      <c r="R3268" s="3">
        <f t="shared" si="206"/>
        <v>7.2899999999999996E-3</v>
      </c>
      <c r="S3268">
        <f t="shared" ref="S3268:S3331" si="207">IF(D3268=D3267,S3267,S3267+1)</f>
        <v>82</v>
      </c>
      <c r="T3268">
        <f>INDEX([1]IDEN_level_ids!$B:$B,MATCH(G3268,[1]IDEN_level_ids!$A:$A,0),1)</f>
        <v>1129</v>
      </c>
      <c r="U3268">
        <f>INDEX([1]IDEN_level_ids!$B:$B,MATCH(H3268,[1]IDEN_level_ids!$A:$A,0),1)</f>
        <v>1019</v>
      </c>
    </row>
    <row r="3269" spans="1:21" hidden="1" x14ac:dyDescent="0.25">
      <c r="A3269">
        <v>33177.5311</v>
      </c>
      <c r="B3269">
        <v>3014.0880000000002</v>
      </c>
      <c r="C3269">
        <v>20</v>
      </c>
      <c r="D3269" t="s">
        <v>698</v>
      </c>
      <c r="E3269" t="s">
        <v>678</v>
      </c>
      <c r="F3269">
        <v>1974</v>
      </c>
      <c r="G3269" s="1" t="s">
        <v>301</v>
      </c>
      <c r="H3269" s="1" t="s">
        <v>464</v>
      </c>
      <c r="I3269">
        <v>-1.0456000000000001</v>
      </c>
      <c r="J3269">
        <v>33177.502800000002</v>
      </c>
      <c r="K3269">
        <v>-2.5699999999999998E-3</v>
      </c>
      <c r="L3269">
        <v>6.62E-3</v>
      </c>
      <c r="M3269">
        <v>7.2800000000000004E-2</v>
      </c>
      <c r="N3269">
        <v>7.9200000000000007E-2</v>
      </c>
      <c r="O3269">
        <v>7.1900000000000002E-3</v>
      </c>
      <c r="P3269" s="3">
        <f t="shared" si="204"/>
        <v>3014.0880494872026</v>
      </c>
      <c r="Q3269" s="3">
        <f t="shared" si="205"/>
        <v>-2.5709798687785224E-3</v>
      </c>
      <c r="R3269" s="3">
        <f t="shared" si="206"/>
        <v>6.62E-3</v>
      </c>
      <c r="S3269">
        <f t="shared" si="207"/>
        <v>82</v>
      </c>
      <c r="T3269">
        <f>INDEX([1]IDEN_level_ids!$B:$B,MATCH(G3269,[1]IDEN_level_ids!$A:$A,0),1)</f>
        <v>1154</v>
      </c>
      <c r="U3269">
        <f>INDEX([1]IDEN_level_ids!$B:$B,MATCH(H3269,[1]IDEN_level_ids!$A:$A,0),1)</f>
        <v>1076</v>
      </c>
    </row>
    <row r="3270" spans="1:21" hidden="1" x14ac:dyDescent="0.25">
      <c r="A3270">
        <v>33177.001799999998</v>
      </c>
      <c r="B3270">
        <v>3014.1361000000002</v>
      </c>
      <c r="C3270">
        <v>20</v>
      </c>
      <c r="D3270" t="s">
        <v>698</v>
      </c>
      <c r="E3270" t="s">
        <v>638</v>
      </c>
      <c r="F3270">
        <v>1974</v>
      </c>
      <c r="G3270" s="1" t="s">
        <v>279</v>
      </c>
      <c r="H3270" s="1" t="s">
        <v>576</v>
      </c>
      <c r="I3270">
        <v>7.7899999999999997E-2</v>
      </c>
      <c r="J3270">
        <v>33177.071400000001</v>
      </c>
      <c r="K3270">
        <v>6.3200000000000001E-3</v>
      </c>
      <c r="L3270">
        <v>1.5699999999999999E-2</v>
      </c>
      <c r="M3270">
        <v>0.17280000000000001</v>
      </c>
      <c r="N3270">
        <v>2.5700000000000001E-2</v>
      </c>
      <c r="O3270">
        <v>1.6109999999999999E-2</v>
      </c>
      <c r="P3270" s="3">
        <f t="shared" si="204"/>
        <v>3014.1361357131436</v>
      </c>
      <c r="Q3270" s="3">
        <f t="shared" si="205"/>
        <v>6.3231583199012675E-3</v>
      </c>
      <c r="R3270" s="3">
        <f t="shared" si="206"/>
        <v>1.5699999999999999E-2</v>
      </c>
      <c r="S3270">
        <f t="shared" si="207"/>
        <v>82</v>
      </c>
      <c r="T3270">
        <f>INDEX([1]IDEN_level_ids!$B:$B,MATCH(G3270,[1]IDEN_level_ids!$A:$A,0),1)</f>
        <v>1129</v>
      </c>
      <c r="U3270">
        <f>INDEX([1]IDEN_level_ids!$B:$B,MATCH(H3270,[1]IDEN_level_ids!$A:$A,0),1)</f>
        <v>1024</v>
      </c>
    </row>
    <row r="3271" spans="1:21" hidden="1" x14ac:dyDescent="0.25">
      <c r="A3271">
        <v>33162.180099999998</v>
      </c>
      <c r="B3271">
        <v>3015.4832999999999</v>
      </c>
      <c r="C3271">
        <v>20</v>
      </c>
      <c r="D3271" t="s">
        <v>698</v>
      </c>
      <c r="E3271" t="s">
        <v>678</v>
      </c>
      <c r="F3271">
        <v>1974</v>
      </c>
      <c r="G3271" s="1" t="s">
        <v>319</v>
      </c>
      <c r="H3271" s="1" t="s">
        <v>438</v>
      </c>
      <c r="I3271">
        <v>-1.0900000000000001</v>
      </c>
      <c r="J3271">
        <v>33162.236900000004</v>
      </c>
      <c r="K3271">
        <v>5.1599999999999997E-3</v>
      </c>
      <c r="L3271">
        <v>6.62E-3</v>
      </c>
      <c r="M3271">
        <v>7.2800000000000004E-2</v>
      </c>
      <c r="N3271">
        <v>0.10249999999999999</v>
      </c>
      <c r="O3271">
        <v>7.3800000000000003E-3</v>
      </c>
      <c r="P3271" s="3">
        <f t="shared" si="204"/>
        <v>3015.4832914618905</v>
      </c>
      <c r="Q3271" s="3">
        <f t="shared" si="205"/>
        <v>5.1648943795044033E-3</v>
      </c>
      <c r="R3271" s="3">
        <f t="shared" si="206"/>
        <v>6.62E-3</v>
      </c>
      <c r="S3271">
        <f t="shared" si="207"/>
        <v>82</v>
      </c>
      <c r="T3271">
        <f>INDEX([1]IDEN_level_ids!$B:$B,MATCH(G3271,[1]IDEN_level_ids!$A:$A,0),1)</f>
        <v>1141</v>
      </c>
      <c r="U3271">
        <f>INDEX([1]IDEN_level_ids!$B:$B,MATCH(H3271,[1]IDEN_level_ids!$A:$A,0),1)</f>
        <v>1051</v>
      </c>
    </row>
    <row r="3272" spans="1:21" hidden="1" x14ac:dyDescent="0.25">
      <c r="A3272">
        <v>33156.360999999997</v>
      </c>
      <c r="B3272">
        <v>3016.0124999999998</v>
      </c>
      <c r="C3272">
        <v>20</v>
      </c>
      <c r="D3272" t="s">
        <v>698</v>
      </c>
      <c r="E3272" t="s">
        <v>681</v>
      </c>
      <c r="F3272">
        <v>1974</v>
      </c>
      <c r="G3272" s="1" t="s">
        <v>443</v>
      </c>
      <c r="H3272" s="1" t="s">
        <v>458</v>
      </c>
      <c r="I3272">
        <v>0.22209999999999999</v>
      </c>
      <c r="J3272">
        <v>33156.317799999997</v>
      </c>
      <c r="K3272">
        <v>-3.9300000000000003E-3</v>
      </c>
      <c r="L3272">
        <v>7.3099999999999997E-3</v>
      </c>
      <c r="M3272">
        <v>8.0299999999999996E-2</v>
      </c>
      <c r="N3272">
        <v>6.83E-2</v>
      </c>
      <c r="O3272">
        <v>7.8399999999999997E-3</v>
      </c>
      <c r="P3272" s="3">
        <f t="shared" si="204"/>
        <v>3016.0125232078394</v>
      </c>
      <c r="Q3272" s="3">
        <f t="shared" si="205"/>
        <v>-3.9296203453886847E-3</v>
      </c>
      <c r="R3272" s="3">
        <f t="shared" si="206"/>
        <v>7.3099999999999997E-3</v>
      </c>
      <c r="S3272">
        <f t="shared" si="207"/>
        <v>82</v>
      </c>
      <c r="T3272">
        <f>INDEX([1]IDEN_level_ids!$B:$B,MATCH(G3272,[1]IDEN_level_ids!$A:$A,0),1)</f>
        <v>1145</v>
      </c>
      <c r="U3272">
        <f>INDEX([1]IDEN_level_ids!$B:$B,MATCH(H3272,[1]IDEN_level_ids!$A:$A,0),1)</f>
        <v>1064</v>
      </c>
    </row>
    <row r="3273" spans="1:21" hidden="1" x14ac:dyDescent="0.25">
      <c r="A3273">
        <v>33143.998299999999</v>
      </c>
      <c r="B3273">
        <v>3017.1374999999998</v>
      </c>
      <c r="C3273">
        <v>20</v>
      </c>
      <c r="D3273" t="s">
        <v>698</v>
      </c>
      <c r="E3273" t="s">
        <v>678</v>
      </c>
      <c r="F3273">
        <v>1974</v>
      </c>
      <c r="G3273" s="1" t="s">
        <v>504</v>
      </c>
      <c r="H3273" s="1" t="s">
        <v>578</v>
      </c>
      <c r="I3273">
        <v>-0.74160000000000004</v>
      </c>
      <c r="J3273">
        <v>33143.9928</v>
      </c>
      <c r="K3273">
        <v>-5.0000000000000001E-4</v>
      </c>
      <c r="L3273">
        <v>6.6299999999999996E-3</v>
      </c>
      <c r="M3273">
        <v>7.2800000000000004E-2</v>
      </c>
      <c r="N3273">
        <v>7.8200000000000006E-2</v>
      </c>
      <c r="O3273">
        <v>7.1900000000000002E-3</v>
      </c>
      <c r="P3273" s="3">
        <f t="shared" si="204"/>
        <v>3017.1374948447306</v>
      </c>
      <c r="Q3273" s="3">
        <f t="shared" si="205"/>
        <v>-5.0067160918843001E-4</v>
      </c>
      <c r="R3273" s="3">
        <f t="shared" si="206"/>
        <v>6.6299999999999996E-3</v>
      </c>
      <c r="S3273">
        <f t="shared" si="207"/>
        <v>82</v>
      </c>
      <c r="T3273">
        <f>INDEX([1]IDEN_level_ids!$B:$B,MATCH(G3273,[1]IDEN_level_ids!$A:$A,0),1)</f>
        <v>1118</v>
      </c>
      <c r="U3273">
        <f>INDEX([1]IDEN_level_ids!$B:$B,MATCH(H3273,[1]IDEN_level_ids!$A:$A,0),1)</f>
        <v>1003</v>
      </c>
    </row>
    <row r="3274" spans="1:21" hidden="1" x14ac:dyDescent="0.25">
      <c r="A3274">
        <v>33117.187899999997</v>
      </c>
      <c r="B3274">
        <v>3019.5801000000001</v>
      </c>
      <c r="C3274">
        <v>20</v>
      </c>
      <c r="D3274" t="s">
        <v>698</v>
      </c>
      <c r="E3274" t="s">
        <v>678</v>
      </c>
      <c r="F3274">
        <v>1974</v>
      </c>
      <c r="G3274" s="1" t="s">
        <v>693</v>
      </c>
      <c r="H3274" s="1" t="s">
        <v>603</v>
      </c>
      <c r="I3274">
        <v>-0.62339999999999995</v>
      </c>
      <c r="J3274">
        <v>33117.160400000001</v>
      </c>
      <c r="K3274">
        <v>-2.5000000000000001E-3</v>
      </c>
      <c r="L3274">
        <v>6.6400000000000001E-3</v>
      </c>
      <c r="M3274">
        <v>7.2800000000000004E-2</v>
      </c>
      <c r="N3274">
        <v>0.22989999999999999</v>
      </c>
      <c r="O3274">
        <v>8.6199999999999992E-3</v>
      </c>
      <c r="P3274" s="3">
        <f t="shared" si="204"/>
        <v>3019.5800531723289</v>
      </c>
      <c r="Q3274" s="3">
        <f t="shared" si="205"/>
        <v>-2.5074145987673546E-3</v>
      </c>
      <c r="R3274" s="3">
        <f t="shared" si="206"/>
        <v>6.6400000000000001E-3</v>
      </c>
      <c r="S3274">
        <f t="shared" si="207"/>
        <v>82</v>
      </c>
      <c r="T3274">
        <f>INDEX([1]IDEN_level_ids!$B:$B,MATCH(G3274,[1]IDEN_level_ids!$A:$A,0),1)</f>
        <v>1088</v>
      </c>
      <c r="U3274">
        <f>INDEX([1]IDEN_level_ids!$B:$B,MATCH(H3274,[1]IDEN_level_ids!$A:$A,0),1)</f>
        <v>941</v>
      </c>
    </row>
    <row r="3275" spans="1:21" hidden="1" x14ac:dyDescent="0.25">
      <c r="A3275">
        <v>33108.248599999999</v>
      </c>
      <c r="B3275">
        <v>3020.3953000000001</v>
      </c>
      <c r="C3275">
        <v>20</v>
      </c>
      <c r="D3275" t="s">
        <v>698</v>
      </c>
      <c r="E3275" t="s">
        <v>681</v>
      </c>
      <c r="F3275">
        <v>1974</v>
      </c>
      <c r="G3275" s="1" t="s">
        <v>492</v>
      </c>
      <c r="H3275" s="1" t="s">
        <v>475</v>
      </c>
      <c r="I3275">
        <v>0.4592</v>
      </c>
      <c r="J3275">
        <v>33108.253700000001</v>
      </c>
      <c r="K3275">
        <v>4.6000000000000001E-4</v>
      </c>
      <c r="L3275">
        <v>7.3299999999999997E-3</v>
      </c>
      <c r="M3275">
        <v>8.0299999999999996E-2</v>
      </c>
      <c r="N3275">
        <v>8.0799999999999997E-2</v>
      </c>
      <c r="O3275">
        <v>7.9699999999999997E-3</v>
      </c>
      <c r="P3275" s="3">
        <f t="shared" si="204"/>
        <v>3020.3953464333963</v>
      </c>
      <c r="Q3275" s="3">
        <f t="shared" si="205"/>
        <v>4.6526211917807814E-4</v>
      </c>
      <c r="R3275" s="3">
        <f t="shared" si="206"/>
        <v>7.3299999999999997E-3</v>
      </c>
      <c r="S3275">
        <f t="shared" si="207"/>
        <v>82</v>
      </c>
      <c r="T3275">
        <f>INDEX([1]IDEN_level_ids!$B:$B,MATCH(G3275,[1]IDEN_level_ids!$A:$A,0),1)</f>
        <v>1132</v>
      </c>
      <c r="U3275">
        <f>INDEX([1]IDEN_level_ids!$B:$B,MATCH(H3275,[1]IDEN_level_ids!$A:$A,0),1)</f>
        <v>1030</v>
      </c>
    </row>
    <row r="3276" spans="1:21" hidden="1" x14ac:dyDescent="0.25">
      <c r="A3276">
        <v>33087.690300000002</v>
      </c>
      <c r="B3276">
        <v>3022.2719999999999</v>
      </c>
      <c r="C3276">
        <v>20</v>
      </c>
      <c r="D3276" t="s">
        <v>698</v>
      </c>
      <c r="F3276">
        <v>1974</v>
      </c>
      <c r="G3276" s="1" t="s">
        <v>108</v>
      </c>
      <c r="H3276" s="1" t="s">
        <v>448</v>
      </c>
      <c r="I3276">
        <v>0.29559999999999997</v>
      </c>
      <c r="J3276">
        <v>33087.633300000001</v>
      </c>
      <c r="K3276">
        <v>-5.2100000000000002E-3</v>
      </c>
      <c r="L3276">
        <v>4.2100000000000002E-3</v>
      </c>
      <c r="M3276">
        <v>4.6100000000000002E-2</v>
      </c>
      <c r="N3276">
        <v>8.14E-2</v>
      </c>
      <c r="O3276">
        <v>4.5799999999999999E-3</v>
      </c>
      <c r="P3276" s="3">
        <f t="shared" si="204"/>
        <v>3022.2720018628797</v>
      </c>
      <c r="Q3276" s="3">
        <f t="shared" si="205"/>
        <v>-5.2064619599150319E-3</v>
      </c>
      <c r="R3276" s="3">
        <f t="shared" si="206"/>
        <v>4.2100000000000002E-3</v>
      </c>
      <c r="S3276">
        <f t="shared" si="207"/>
        <v>82</v>
      </c>
      <c r="T3276">
        <f>INDEX([1]IDEN_level_ids!$B:$B,MATCH(G3276,[1]IDEN_level_ids!$A:$A,0),1)</f>
        <v>1149</v>
      </c>
      <c r="U3276">
        <f>INDEX([1]IDEN_level_ids!$B:$B,MATCH(H3276,[1]IDEN_level_ids!$A:$A,0),1)</f>
        <v>1067</v>
      </c>
    </row>
    <row r="3277" spans="1:21" hidden="1" x14ac:dyDescent="0.25">
      <c r="A3277">
        <v>33081.998800000001</v>
      </c>
      <c r="B3277">
        <v>3022.7919999999999</v>
      </c>
      <c r="C3277">
        <v>20</v>
      </c>
      <c r="D3277" t="s">
        <v>698</v>
      </c>
      <c r="F3277">
        <v>1974</v>
      </c>
      <c r="G3277" s="1" t="s">
        <v>425</v>
      </c>
      <c r="H3277" s="1" t="s">
        <v>487</v>
      </c>
      <c r="I3277">
        <v>-0.83779999999999999</v>
      </c>
      <c r="J3277">
        <v>33081.999100000001</v>
      </c>
      <c r="K3277">
        <v>3.0000000000000001E-5</v>
      </c>
      <c r="L3277">
        <v>4.2100000000000002E-3</v>
      </c>
      <c r="M3277">
        <v>4.6100000000000002E-2</v>
      </c>
      <c r="N3277">
        <v>0.23150000000000001</v>
      </c>
      <c r="O3277">
        <v>5.4799999999999996E-3</v>
      </c>
      <c r="P3277" s="3">
        <f t="shared" si="204"/>
        <v>3022.7919602004217</v>
      </c>
      <c r="Q3277" s="3">
        <f t="shared" si="205"/>
        <v>2.7411813334765611E-5</v>
      </c>
      <c r="R3277" s="3">
        <f t="shared" si="206"/>
        <v>4.2100000000000002E-3</v>
      </c>
      <c r="S3277">
        <f t="shared" si="207"/>
        <v>82</v>
      </c>
      <c r="T3277">
        <f>INDEX([1]IDEN_level_ids!$B:$B,MATCH(G3277,[1]IDEN_level_ids!$A:$A,0),1)</f>
        <v>1098</v>
      </c>
      <c r="U3277">
        <f>INDEX([1]IDEN_level_ids!$B:$B,MATCH(H3277,[1]IDEN_level_ids!$A:$A,0),1)</f>
        <v>968</v>
      </c>
    </row>
    <row r="3278" spans="1:21" hidden="1" x14ac:dyDescent="0.25">
      <c r="A3278">
        <v>33056.15</v>
      </c>
      <c r="B3278">
        <v>3025.1556999999998</v>
      </c>
      <c r="C3278">
        <v>20</v>
      </c>
      <c r="D3278" t="s">
        <v>699</v>
      </c>
      <c r="E3278" t="s">
        <v>681</v>
      </c>
      <c r="F3278">
        <v>1974</v>
      </c>
      <c r="G3278" s="1" t="s">
        <v>695</v>
      </c>
      <c r="H3278" s="1" t="s">
        <v>436</v>
      </c>
      <c r="I3278">
        <v>0.69069999999999998</v>
      </c>
      <c r="J3278">
        <v>33056.077299999997</v>
      </c>
      <c r="K3278">
        <v>-6.6499999999999997E-3</v>
      </c>
      <c r="L3278">
        <v>7.3499999999999998E-3</v>
      </c>
      <c r="M3278">
        <v>8.0299999999999996E-2</v>
      </c>
      <c r="N3278">
        <v>0.1575</v>
      </c>
      <c r="O3278">
        <v>8.7200000000000003E-3</v>
      </c>
      <c r="P3278" s="3">
        <f t="shared" si="204"/>
        <v>3025.1556820742885</v>
      </c>
      <c r="Q3278" s="3">
        <f t="shared" si="205"/>
        <v>-6.653203769474203E-3</v>
      </c>
      <c r="R3278" s="3">
        <f t="shared" si="206"/>
        <v>7.3499999999999998E-3</v>
      </c>
      <c r="S3278">
        <f t="shared" si="207"/>
        <v>83</v>
      </c>
      <c r="T3278">
        <f>INDEX([1]IDEN_level_ids!$B:$B,MATCH(G3278,[1]IDEN_level_ids!$A:$A,0),1)</f>
        <v>1091</v>
      </c>
      <c r="U3278">
        <f>INDEX([1]IDEN_level_ids!$B:$B,MATCH(H3278,[1]IDEN_level_ids!$A:$A,0),1)</f>
        <v>947</v>
      </c>
    </row>
    <row r="3279" spans="1:21" hidden="1" x14ac:dyDescent="0.25">
      <c r="A3279">
        <v>33052.338100000001</v>
      </c>
      <c r="B3279">
        <v>3025.5046000000002</v>
      </c>
      <c r="C3279">
        <v>20</v>
      </c>
      <c r="D3279" t="s">
        <v>699</v>
      </c>
      <c r="F3279">
        <v>1974</v>
      </c>
      <c r="G3279" s="1" t="s">
        <v>633</v>
      </c>
      <c r="H3279" s="1" t="s">
        <v>30</v>
      </c>
      <c r="I3279">
        <v>0</v>
      </c>
      <c r="J3279">
        <v>33052.341500000002</v>
      </c>
      <c r="K3279">
        <v>3.1E-4</v>
      </c>
      <c r="L3279">
        <v>4.2199999999999998E-3</v>
      </c>
      <c r="M3279">
        <v>4.6100000000000002E-2</v>
      </c>
      <c r="N3279">
        <v>0.90529999999999999</v>
      </c>
      <c r="O3279">
        <v>4.453E-2</v>
      </c>
      <c r="P3279" s="3">
        <f t="shared" si="204"/>
        <v>3025.5045708854104</v>
      </c>
      <c r="Q3279" s="3">
        <f t="shared" si="205"/>
        <v>3.1122501695790561E-4</v>
      </c>
      <c r="R3279" s="3">
        <f t="shared" si="206"/>
        <v>4.2199999999999998E-3</v>
      </c>
      <c r="S3279">
        <f t="shared" si="207"/>
        <v>83</v>
      </c>
      <c r="T3279">
        <f>INDEX([1]IDEN_level_ids!$B:$B,MATCH(G3279,[1]IDEN_level_ids!$A:$A,0),1)</f>
        <v>878</v>
      </c>
      <c r="U3279">
        <f>INDEX([1]IDEN_level_ids!$B:$B,MATCH(H3279,[1]IDEN_level_ids!$A:$A,0),1)</f>
        <v>373</v>
      </c>
    </row>
    <row r="3280" spans="1:21" hidden="1" x14ac:dyDescent="0.25">
      <c r="A3280">
        <v>33045.3681</v>
      </c>
      <c r="B3280">
        <v>3026.1426999999999</v>
      </c>
      <c r="C3280">
        <v>20</v>
      </c>
      <c r="D3280" t="s">
        <v>699</v>
      </c>
      <c r="E3280" t="s">
        <v>678</v>
      </c>
      <c r="F3280">
        <v>1974</v>
      </c>
      <c r="G3280" s="1" t="s">
        <v>354</v>
      </c>
      <c r="H3280" s="1" t="s">
        <v>452</v>
      </c>
      <c r="I3280">
        <v>-0.55959999999999999</v>
      </c>
      <c r="J3280">
        <v>33045.256200000003</v>
      </c>
      <c r="K3280">
        <v>-1.025E-2</v>
      </c>
      <c r="L3280">
        <v>6.6699999999999997E-3</v>
      </c>
      <c r="M3280">
        <v>7.2800000000000004E-2</v>
      </c>
      <c r="N3280">
        <v>7.7700000000000005E-2</v>
      </c>
      <c r="O3280">
        <v>7.2300000000000003E-3</v>
      </c>
      <c r="P3280" s="3">
        <f t="shared" si="204"/>
        <v>3026.1427168063533</v>
      </c>
      <c r="Q3280" s="3">
        <f t="shared" si="205"/>
        <v>-1.0247321671613463E-2</v>
      </c>
      <c r="R3280" s="3">
        <f t="shared" si="206"/>
        <v>6.6699999999999997E-3</v>
      </c>
      <c r="S3280">
        <f t="shared" si="207"/>
        <v>83</v>
      </c>
      <c r="T3280">
        <f>INDEX([1]IDEN_level_ids!$B:$B,MATCH(G3280,[1]IDEN_level_ids!$A:$A,0),1)</f>
        <v>1135</v>
      </c>
      <c r="U3280">
        <f>INDEX([1]IDEN_level_ids!$B:$B,MATCH(H3280,[1]IDEN_level_ids!$A:$A,0),1)</f>
        <v>1033</v>
      </c>
    </row>
    <row r="3281" spans="1:21" hidden="1" x14ac:dyDescent="0.25">
      <c r="A3281">
        <v>33040.758600000001</v>
      </c>
      <c r="B3281">
        <v>3026.5648999999999</v>
      </c>
      <c r="C3281">
        <v>20</v>
      </c>
      <c r="D3281" t="s">
        <v>699</v>
      </c>
      <c r="E3281" t="s">
        <v>678</v>
      </c>
      <c r="F3281">
        <v>1974</v>
      </c>
      <c r="G3281" s="1" t="s">
        <v>276</v>
      </c>
      <c r="H3281" s="1" t="s">
        <v>541</v>
      </c>
      <c r="I3281">
        <v>-1.0219</v>
      </c>
      <c r="J3281">
        <v>33040.734100000001</v>
      </c>
      <c r="K3281">
        <v>-2.2499999999999998E-3</v>
      </c>
      <c r="L3281">
        <v>6.6699999999999997E-3</v>
      </c>
      <c r="M3281">
        <v>7.2800000000000004E-2</v>
      </c>
      <c r="N3281">
        <v>9.1999999999999998E-2</v>
      </c>
      <c r="O3281">
        <v>7.3499999999999998E-3</v>
      </c>
      <c r="P3281" s="3">
        <f t="shared" si="204"/>
        <v>3026.5648924900893</v>
      </c>
      <c r="Q3281" s="3">
        <f t="shared" si="205"/>
        <v>-2.2442249510277179E-3</v>
      </c>
      <c r="R3281" s="3">
        <f t="shared" si="206"/>
        <v>6.6699999999999997E-3</v>
      </c>
      <c r="S3281">
        <f t="shared" si="207"/>
        <v>83</v>
      </c>
      <c r="T3281">
        <f>INDEX([1]IDEN_level_ids!$B:$B,MATCH(G3281,[1]IDEN_level_ids!$A:$A,0),1)</f>
        <v>1131</v>
      </c>
      <c r="U3281">
        <f>INDEX([1]IDEN_level_ids!$B:$B,MATCH(H3281,[1]IDEN_level_ids!$A:$A,0),1)</f>
        <v>1028</v>
      </c>
    </row>
    <row r="3282" spans="1:21" hidden="1" x14ac:dyDescent="0.25">
      <c r="A3282">
        <v>33039.448499999999</v>
      </c>
      <c r="B3282">
        <v>3026.6849000000002</v>
      </c>
      <c r="C3282">
        <v>20</v>
      </c>
      <c r="D3282" t="s">
        <v>699</v>
      </c>
      <c r="E3282" t="s">
        <v>427</v>
      </c>
      <c r="F3282">
        <v>1974</v>
      </c>
      <c r="G3282" s="1" t="s">
        <v>268</v>
      </c>
      <c r="H3282" s="1" t="s">
        <v>384</v>
      </c>
      <c r="I3282">
        <v>0.45490000000000003</v>
      </c>
      <c r="J3282">
        <v>33039.417699999998</v>
      </c>
      <c r="K3282">
        <v>-2.82E-3</v>
      </c>
      <c r="L3282">
        <v>4.4600000000000004E-3</v>
      </c>
      <c r="M3282">
        <v>4.87E-2</v>
      </c>
      <c r="N3282">
        <v>7.3599999999999999E-2</v>
      </c>
      <c r="O3282">
        <v>4.8199999999999996E-3</v>
      </c>
      <c r="P3282" s="3">
        <f t="shared" si="204"/>
        <v>3026.6849036538852</v>
      </c>
      <c r="Q3282" s="3">
        <f t="shared" si="205"/>
        <v>-2.8215356542204972E-3</v>
      </c>
      <c r="R3282" s="3">
        <f t="shared" si="206"/>
        <v>4.4600000000000004E-3</v>
      </c>
      <c r="S3282">
        <f t="shared" si="207"/>
        <v>83</v>
      </c>
      <c r="T3282">
        <f>INDEX([1]IDEN_level_ids!$B:$B,MATCH(G3282,[1]IDEN_level_ids!$A:$A,0),1)</f>
        <v>1160</v>
      </c>
      <c r="U3282">
        <f>INDEX([1]IDEN_level_ids!$B:$B,MATCH(H3282,[1]IDEN_level_ids!$A:$A,0),1)</f>
        <v>1080</v>
      </c>
    </row>
    <row r="3283" spans="1:21" hidden="1" x14ac:dyDescent="0.25">
      <c r="A3283">
        <v>33034.871099999997</v>
      </c>
      <c r="B3283">
        <v>3027.1043</v>
      </c>
      <c r="C3283">
        <v>20</v>
      </c>
      <c r="D3283" t="s">
        <v>699</v>
      </c>
      <c r="F3283">
        <v>1974</v>
      </c>
      <c r="G3283" s="1" t="s">
        <v>262</v>
      </c>
      <c r="H3283" s="1" t="s">
        <v>520</v>
      </c>
      <c r="I3283">
        <v>0.3095</v>
      </c>
      <c r="J3283">
        <v>33034.853900000002</v>
      </c>
      <c r="K3283">
        <v>-1.57E-3</v>
      </c>
      <c r="L3283">
        <v>4.2199999999999998E-3</v>
      </c>
      <c r="M3283">
        <v>4.6100000000000002E-2</v>
      </c>
      <c r="N3283">
        <v>0.16619999999999999</v>
      </c>
      <c r="O3283">
        <v>5.0600000000000003E-3</v>
      </c>
      <c r="P3283" s="3">
        <f t="shared" si="204"/>
        <v>3027.1042892006321</v>
      </c>
      <c r="Q3283" s="3">
        <f t="shared" si="205"/>
        <v>-1.5760988053443725E-3</v>
      </c>
      <c r="R3283" s="3">
        <f t="shared" si="206"/>
        <v>4.2199999999999998E-3</v>
      </c>
      <c r="S3283">
        <f t="shared" si="207"/>
        <v>83</v>
      </c>
      <c r="T3283">
        <f>INDEX([1]IDEN_level_ids!$B:$B,MATCH(G3283,[1]IDEN_level_ids!$A:$A,0),1)</f>
        <v>1115</v>
      </c>
      <c r="U3283">
        <f>INDEX([1]IDEN_level_ids!$B:$B,MATCH(H3283,[1]IDEN_level_ids!$A:$A,0),1)</f>
        <v>1002</v>
      </c>
    </row>
    <row r="3284" spans="1:21" hidden="1" x14ac:dyDescent="0.25">
      <c r="A3284">
        <v>33025.259299999998</v>
      </c>
      <c r="B3284">
        <v>3027.9852999999998</v>
      </c>
      <c r="C3284">
        <v>20</v>
      </c>
      <c r="D3284" t="s">
        <v>699</v>
      </c>
      <c r="F3284">
        <v>1974</v>
      </c>
      <c r="G3284" s="1" t="s">
        <v>672</v>
      </c>
      <c r="H3284" s="1" t="s">
        <v>32</v>
      </c>
      <c r="I3284">
        <v>0</v>
      </c>
      <c r="J3284">
        <v>33025.262499999997</v>
      </c>
      <c r="K3284">
        <v>2.9999999999999997E-4</v>
      </c>
      <c r="L3284">
        <v>4.2199999999999998E-3</v>
      </c>
      <c r="M3284">
        <v>4.6100000000000002E-2</v>
      </c>
      <c r="N3284">
        <v>0.94279999999999997</v>
      </c>
      <c r="O3284">
        <v>7.3899999999999993E-2</v>
      </c>
      <c r="P3284" s="3">
        <f t="shared" si="204"/>
        <v>3027.9853094143609</v>
      </c>
      <c r="Q3284" s="3">
        <f t="shared" si="205"/>
        <v>2.9339821230678353E-4</v>
      </c>
      <c r="R3284" s="3">
        <f t="shared" si="206"/>
        <v>4.2199999999999998E-3</v>
      </c>
      <c r="S3284">
        <f t="shared" si="207"/>
        <v>83</v>
      </c>
      <c r="T3284">
        <f>INDEX([1]IDEN_level_ids!$B:$B,MATCH(G3284,[1]IDEN_level_ids!$A:$A,0),1)</f>
        <v>891</v>
      </c>
      <c r="U3284">
        <f>INDEX([1]IDEN_level_ids!$B:$B,MATCH(H3284,[1]IDEN_level_ids!$A:$A,0),1)</f>
        <v>454</v>
      </c>
    </row>
    <row r="3285" spans="1:21" hidden="1" x14ac:dyDescent="0.25">
      <c r="A3285">
        <v>33021.148200000003</v>
      </c>
      <c r="B3285">
        <v>3028.3622999999998</v>
      </c>
      <c r="C3285">
        <v>20</v>
      </c>
      <c r="D3285" t="s">
        <v>699</v>
      </c>
      <c r="E3285" t="s">
        <v>678</v>
      </c>
      <c r="F3285">
        <v>1974</v>
      </c>
      <c r="G3285" s="1" t="s">
        <v>511</v>
      </c>
      <c r="H3285" s="1" t="s">
        <v>468</v>
      </c>
      <c r="I3285">
        <v>-0.6522</v>
      </c>
      <c r="J3285">
        <v>33021.152699999999</v>
      </c>
      <c r="K3285">
        <v>4.0999999999999999E-4</v>
      </c>
      <c r="L3285">
        <v>6.6800000000000002E-3</v>
      </c>
      <c r="M3285">
        <v>7.2800000000000004E-2</v>
      </c>
      <c r="N3285">
        <v>8.0600000000000005E-2</v>
      </c>
      <c r="O3285">
        <v>7.26E-3</v>
      </c>
      <c r="P3285" s="3">
        <f t="shared" si="204"/>
        <v>3028.362290563839</v>
      </c>
      <c r="Q3285" s="3">
        <f t="shared" si="205"/>
        <v>4.1269396069765207E-4</v>
      </c>
      <c r="R3285" s="3">
        <f t="shared" si="206"/>
        <v>6.6800000000000002E-3</v>
      </c>
      <c r="S3285">
        <f t="shared" si="207"/>
        <v>83</v>
      </c>
      <c r="T3285">
        <f>INDEX([1]IDEN_level_ids!$B:$B,MATCH(G3285,[1]IDEN_level_ids!$A:$A,0),1)</f>
        <v>1139</v>
      </c>
      <c r="U3285">
        <f>INDEX([1]IDEN_level_ids!$B:$B,MATCH(H3285,[1]IDEN_level_ids!$A:$A,0),1)</f>
        <v>1044</v>
      </c>
    </row>
    <row r="3286" spans="1:21" hidden="1" x14ac:dyDescent="0.25">
      <c r="A3286">
        <v>33000.490400000002</v>
      </c>
      <c r="B3286">
        <v>3030.2579999999998</v>
      </c>
      <c r="C3286">
        <v>20</v>
      </c>
      <c r="D3286" t="s">
        <v>699</v>
      </c>
      <c r="E3286" t="s">
        <v>681</v>
      </c>
      <c r="F3286">
        <v>1974</v>
      </c>
      <c r="G3286" s="1" t="s">
        <v>279</v>
      </c>
      <c r="H3286" s="1" t="s">
        <v>536</v>
      </c>
      <c r="I3286">
        <v>0.27579999999999999</v>
      </c>
      <c r="J3286">
        <v>33000.515899999999</v>
      </c>
      <c r="K3286">
        <v>2.3400000000000001E-3</v>
      </c>
      <c r="L3286">
        <v>7.3699999999999998E-3</v>
      </c>
      <c r="M3286">
        <v>8.0299999999999996E-2</v>
      </c>
      <c r="N3286">
        <v>4.9700000000000001E-2</v>
      </c>
      <c r="O3286">
        <v>7.7600000000000004E-3</v>
      </c>
      <c r="P3286" s="3">
        <f t="shared" si="204"/>
        <v>3030.2579988326474</v>
      </c>
      <c r="Q3286" s="3">
        <f t="shared" si="205"/>
        <v>2.3415263926835905E-3</v>
      </c>
      <c r="R3286" s="3">
        <f t="shared" si="206"/>
        <v>7.3699999999999998E-3</v>
      </c>
      <c r="S3286">
        <f t="shared" si="207"/>
        <v>83</v>
      </c>
      <c r="T3286">
        <f>INDEX([1]IDEN_level_ids!$B:$B,MATCH(G3286,[1]IDEN_level_ids!$A:$A,0),1)</f>
        <v>1129</v>
      </c>
      <c r="U3286">
        <f>INDEX([1]IDEN_level_ids!$B:$B,MATCH(H3286,[1]IDEN_level_ids!$A:$A,0),1)</f>
        <v>1021</v>
      </c>
    </row>
    <row r="3287" spans="1:21" hidden="1" x14ac:dyDescent="0.25">
      <c r="A3287">
        <v>32973.217900000003</v>
      </c>
      <c r="B3287">
        <v>3032.7644</v>
      </c>
      <c r="C3287">
        <v>20</v>
      </c>
      <c r="D3287" t="s">
        <v>699</v>
      </c>
      <c r="E3287" t="s">
        <v>427</v>
      </c>
      <c r="F3287">
        <v>1974</v>
      </c>
      <c r="G3287" s="1" t="s">
        <v>282</v>
      </c>
      <c r="H3287" s="1" t="s">
        <v>536</v>
      </c>
      <c r="I3287">
        <v>0</v>
      </c>
      <c r="J3287">
        <v>32973.2143</v>
      </c>
      <c r="K3287">
        <v>-3.3E-4</v>
      </c>
      <c r="L3287">
        <v>4.4799999999999996E-3</v>
      </c>
      <c r="M3287">
        <v>4.87E-2</v>
      </c>
      <c r="N3287">
        <v>8.0799999999999997E-2</v>
      </c>
      <c r="O3287">
        <v>4.8799999999999998E-3</v>
      </c>
      <c r="P3287" s="3">
        <f t="shared" si="204"/>
        <v>3032.7643575242314</v>
      </c>
      <c r="Q3287" s="3">
        <f t="shared" si="205"/>
        <v>-3.3111578386524343E-4</v>
      </c>
      <c r="R3287" s="3">
        <f t="shared" si="206"/>
        <v>4.4799999999999996E-3</v>
      </c>
      <c r="S3287">
        <f t="shared" si="207"/>
        <v>83</v>
      </c>
      <c r="T3287">
        <f>INDEX([1]IDEN_level_ids!$B:$B,MATCH(G3287,[1]IDEN_level_ids!$A:$A,0),1)</f>
        <v>1128</v>
      </c>
      <c r="U3287">
        <f>INDEX([1]IDEN_level_ids!$B:$B,MATCH(H3287,[1]IDEN_level_ids!$A:$A,0),1)</f>
        <v>1021</v>
      </c>
    </row>
    <row r="3288" spans="1:21" hidden="1" x14ac:dyDescent="0.25">
      <c r="A3288">
        <v>32959.988100000002</v>
      </c>
      <c r="B3288">
        <v>3033.9816999999998</v>
      </c>
      <c r="C3288">
        <v>20</v>
      </c>
      <c r="D3288" t="s">
        <v>699</v>
      </c>
      <c r="E3288" t="s">
        <v>681</v>
      </c>
      <c r="F3288">
        <v>1974</v>
      </c>
      <c r="G3288" s="1" t="s">
        <v>695</v>
      </c>
      <c r="H3288" s="1" t="s">
        <v>440</v>
      </c>
      <c r="I3288">
        <v>0.61260000000000003</v>
      </c>
      <c r="J3288">
        <v>32959.9496</v>
      </c>
      <c r="K3288">
        <v>-3.5400000000000002E-3</v>
      </c>
      <c r="L3288">
        <v>7.3899999999999999E-3</v>
      </c>
      <c r="M3288">
        <v>8.0299999999999996E-2</v>
      </c>
      <c r="N3288">
        <v>0.14149999999999999</v>
      </c>
      <c r="O3288">
        <v>8.6099999999999996E-3</v>
      </c>
      <c r="P3288" s="3">
        <f t="shared" si="204"/>
        <v>3033.9816779242101</v>
      </c>
      <c r="Q3288" s="3">
        <f t="shared" si="205"/>
        <v>-3.5439463963484741E-3</v>
      </c>
      <c r="R3288" s="3">
        <f t="shared" si="206"/>
        <v>7.3899999999999999E-3</v>
      </c>
      <c r="S3288">
        <f t="shared" si="207"/>
        <v>83</v>
      </c>
      <c r="T3288">
        <f>INDEX([1]IDEN_level_ids!$B:$B,MATCH(G3288,[1]IDEN_level_ids!$A:$A,0),1)</f>
        <v>1091</v>
      </c>
      <c r="U3288">
        <f>INDEX([1]IDEN_level_ids!$B:$B,MATCH(H3288,[1]IDEN_level_ids!$A:$A,0),1)</f>
        <v>948</v>
      </c>
    </row>
    <row r="3289" spans="1:21" hidden="1" x14ac:dyDescent="0.25">
      <c r="A3289">
        <v>32957.7019</v>
      </c>
      <c r="B3289">
        <v>3034.1921000000002</v>
      </c>
      <c r="C3289">
        <v>20</v>
      </c>
      <c r="D3289" t="s">
        <v>699</v>
      </c>
      <c r="E3289" t="s">
        <v>681</v>
      </c>
      <c r="F3289">
        <v>1974</v>
      </c>
      <c r="G3289" s="1" t="s">
        <v>480</v>
      </c>
      <c r="H3289" s="1" t="s">
        <v>446</v>
      </c>
      <c r="I3289">
        <v>0.56910000000000005</v>
      </c>
      <c r="J3289">
        <v>32957.628599999996</v>
      </c>
      <c r="K3289">
        <v>-6.7400000000000003E-3</v>
      </c>
      <c r="L3289">
        <v>7.3899999999999999E-3</v>
      </c>
      <c r="M3289">
        <v>8.0299999999999996E-2</v>
      </c>
      <c r="N3289">
        <v>0.13150000000000001</v>
      </c>
      <c r="O3289">
        <v>8.5100000000000002E-3</v>
      </c>
      <c r="P3289" s="3">
        <f t="shared" si="204"/>
        <v>3034.1921382570672</v>
      </c>
      <c r="Q3289" s="3">
        <f t="shared" si="205"/>
        <v>-6.7482489848771365E-3</v>
      </c>
      <c r="R3289" s="3">
        <f t="shared" si="206"/>
        <v>7.3899999999999999E-3</v>
      </c>
      <c r="S3289">
        <f t="shared" si="207"/>
        <v>83</v>
      </c>
      <c r="T3289">
        <f>INDEX([1]IDEN_level_ids!$B:$B,MATCH(G3289,[1]IDEN_level_ids!$A:$A,0),1)</f>
        <v>1156</v>
      </c>
      <c r="U3289">
        <f>INDEX([1]IDEN_level_ids!$B:$B,MATCH(H3289,[1]IDEN_level_ids!$A:$A,0),1)</f>
        <v>1079</v>
      </c>
    </row>
    <row r="3290" spans="1:21" hidden="1" x14ac:dyDescent="0.25">
      <c r="A3290">
        <v>32948.631999999998</v>
      </c>
      <c r="B3290">
        <v>3035.0273999999999</v>
      </c>
      <c r="C3290">
        <v>20</v>
      </c>
      <c r="D3290" t="s">
        <v>699</v>
      </c>
      <c r="E3290" t="s">
        <v>678</v>
      </c>
      <c r="F3290">
        <v>1974</v>
      </c>
      <c r="G3290" s="1" t="s">
        <v>597</v>
      </c>
      <c r="H3290" s="1" t="s">
        <v>440</v>
      </c>
      <c r="I3290">
        <v>-0.80210000000000004</v>
      </c>
      <c r="J3290">
        <v>32948.656199999998</v>
      </c>
      <c r="K3290">
        <v>2.2200000000000002E-3</v>
      </c>
      <c r="L3290">
        <v>6.7099999999999998E-3</v>
      </c>
      <c r="M3290">
        <v>7.2800000000000004E-2</v>
      </c>
      <c r="N3290">
        <v>0.2011</v>
      </c>
      <c r="O3290">
        <v>8.3999999999999995E-3</v>
      </c>
      <c r="P3290" s="3">
        <f t="shared" si="204"/>
        <v>3035.0273723048654</v>
      </c>
      <c r="Q3290" s="3">
        <f t="shared" si="205"/>
        <v>2.2291550208137778E-3</v>
      </c>
      <c r="R3290" s="3">
        <f t="shared" si="206"/>
        <v>6.7099999999999998E-3</v>
      </c>
      <c r="S3290">
        <f t="shared" si="207"/>
        <v>83</v>
      </c>
      <c r="T3290">
        <f>INDEX([1]IDEN_level_ids!$B:$B,MATCH(G3290,[1]IDEN_level_ids!$A:$A,0),1)</f>
        <v>1090</v>
      </c>
      <c r="U3290">
        <f>INDEX([1]IDEN_level_ids!$B:$B,MATCH(H3290,[1]IDEN_level_ids!$A:$A,0),1)</f>
        <v>948</v>
      </c>
    </row>
    <row r="3291" spans="1:21" hidden="1" x14ac:dyDescent="0.25">
      <c r="A3291">
        <v>32947.518199999999</v>
      </c>
      <c r="B3291">
        <v>3035.13</v>
      </c>
      <c r="C3291">
        <v>20</v>
      </c>
      <c r="D3291" t="s">
        <v>699</v>
      </c>
      <c r="E3291" t="s">
        <v>681</v>
      </c>
      <c r="F3291">
        <v>1974</v>
      </c>
      <c r="G3291" s="1" t="s">
        <v>492</v>
      </c>
      <c r="H3291" s="1" t="s">
        <v>614</v>
      </c>
      <c r="I3291">
        <v>0.41199999999999998</v>
      </c>
      <c r="J3291">
        <v>32947.522499999999</v>
      </c>
      <c r="K3291">
        <v>4.0000000000000002E-4</v>
      </c>
      <c r="L3291">
        <v>7.4000000000000003E-3</v>
      </c>
      <c r="M3291">
        <v>8.0299999999999996E-2</v>
      </c>
      <c r="N3291">
        <v>0.11550000000000001</v>
      </c>
      <c r="O3291">
        <v>8.3599999999999994E-3</v>
      </c>
      <c r="P3291" s="3">
        <f t="shared" si="204"/>
        <v>3035.1299722478034</v>
      </c>
      <c r="Q3291" s="3">
        <f t="shared" si="205"/>
        <v>3.9611654801774421E-4</v>
      </c>
      <c r="R3291" s="3">
        <f t="shared" si="206"/>
        <v>7.4000000000000003E-3</v>
      </c>
      <c r="S3291">
        <f t="shared" si="207"/>
        <v>83</v>
      </c>
      <c r="T3291">
        <f>INDEX([1]IDEN_level_ids!$B:$B,MATCH(G3291,[1]IDEN_level_ids!$A:$A,0),1)</f>
        <v>1132</v>
      </c>
      <c r="U3291">
        <f>INDEX([1]IDEN_level_ids!$B:$B,MATCH(H3291,[1]IDEN_level_ids!$A:$A,0),1)</f>
        <v>1031</v>
      </c>
    </row>
    <row r="3292" spans="1:21" hidden="1" x14ac:dyDescent="0.25">
      <c r="A3292">
        <v>32947.148500000003</v>
      </c>
      <c r="B3292">
        <v>3035.1640000000002</v>
      </c>
      <c r="C3292">
        <v>20</v>
      </c>
      <c r="D3292" t="s">
        <v>699</v>
      </c>
      <c r="E3292" t="s">
        <v>66</v>
      </c>
      <c r="F3292">
        <v>1974</v>
      </c>
      <c r="G3292" s="1" t="s">
        <v>276</v>
      </c>
      <c r="H3292" s="1" t="s">
        <v>563</v>
      </c>
      <c r="I3292">
        <v>-0.95630000000000004</v>
      </c>
      <c r="J3292">
        <v>32947.158300000003</v>
      </c>
      <c r="K3292">
        <v>8.9999999999999998E-4</v>
      </c>
      <c r="L3292">
        <v>2.1700000000000001E-3</v>
      </c>
      <c r="M3292">
        <v>2.3599999999999999E-2</v>
      </c>
      <c r="N3292">
        <v>0.64129999999999998</v>
      </c>
      <c r="O3292">
        <v>6.0600000000000003E-3</v>
      </c>
      <c r="P3292" s="3">
        <f t="shared" si="204"/>
        <v>3035.1640294455224</v>
      </c>
      <c r="Q3292" s="3">
        <f t="shared" si="205"/>
        <v>9.0279735877629719E-4</v>
      </c>
      <c r="R3292" s="3">
        <f t="shared" si="206"/>
        <v>2.1700000000000001E-3</v>
      </c>
      <c r="S3292">
        <f t="shared" si="207"/>
        <v>83</v>
      </c>
      <c r="T3292">
        <f>INDEX([1]IDEN_level_ids!$B:$B,MATCH(G3292,[1]IDEN_level_ids!$A:$A,0),1)</f>
        <v>1131</v>
      </c>
      <c r="U3292">
        <f>INDEX([1]IDEN_level_ids!$B:$B,MATCH(H3292,[1]IDEN_level_ids!$A:$A,0),1)</f>
        <v>1032</v>
      </c>
    </row>
    <row r="3293" spans="1:21" hidden="1" x14ac:dyDescent="0.25">
      <c r="A3293">
        <v>32918.591699999997</v>
      </c>
      <c r="B3293">
        <v>3037.797</v>
      </c>
      <c r="C3293">
        <v>20</v>
      </c>
      <c r="D3293" t="s">
        <v>699</v>
      </c>
      <c r="F3293">
        <v>1974</v>
      </c>
      <c r="G3293" s="1" t="s">
        <v>302</v>
      </c>
      <c r="H3293" s="1" t="s">
        <v>525</v>
      </c>
      <c r="I3293">
        <v>0</v>
      </c>
      <c r="J3293">
        <v>32918.610999999997</v>
      </c>
      <c r="K3293">
        <v>1.7799999999999999E-3</v>
      </c>
      <c r="L3293">
        <v>4.2500000000000003E-3</v>
      </c>
      <c r="M3293">
        <v>4.6100000000000002E-2</v>
      </c>
      <c r="N3293">
        <v>0.21029999999999999</v>
      </c>
      <c r="O3293">
        <v>5.3800000000000002E-3</v>
      </c>
      <c r="P3293" s="3">
        <f t="shared" si="204"/>
        <v>3037.7970270216633</v>
      </c>
      <c r="Q3293" s="3">
        <f t="shared" si="205"/>
        <v>1.7810436356739956E-3</v>
      </c>
      <c r="R3293" s="3">
        <f t="shared" si="206"/>
        <v>4.2500000000000003E-3</v>
      </c>
      <c r="S3293">
        <f t="shared" si="207"/>
        <v>83</v>
      </c>
      <c r="T3293">
        <f>INDEX([1]IDEN_level_ids!$B:$B,MATCH(G3293,[1]IDEN_level_ids!$A:$A,0),1)</f>
        <v>1100</v>
      </c>
      <c r="U3293">
        <f>INDEX([1]IDEN_level_ids!$B:$B,MATCH(H3293,[1]IDEN_level_ids!$A:$A,0),1)</f>
        <v>971</v>
      </c>
    </row>
    <row r="3294" spans="1:21" hidden="1" x14ac:dyDescent="0.25">
      <c r="A3294">
        <v>32910.978000000003</v>
      </c>
      <c r="B3294">
        <v>3038.4998000000001</v>
      </c>
      <c r="C3294">
        <v>20</v>
      </c>
      <c r="D3294" t="s">
        <v>699</v>
      </c>
      <c r="F3294">
        <v>1974</v>
      </c>
      <c r="G3294" s="1" t="s">
        <v>129</v>
      </c>
      <c r="H3294" s="1" t="s">
        <v>31</v>
      </c>
      <c r="I3294">
        <v>0</v>
      </c>
      <c r="J3294">
        <v>32910.981800000001</v>
      </c>
      <c r="K3294">
        <v>3.5E-4</v>
      </c>
      <c r="L3294">
        <v>4.2500000000000003E-3</v>
      </c>
      <c r="M3294">
        <v>4.6100000000000002E-2</v>
      </c>
      <c r="N3294">
        <v>0.92159999999999997</v>
      </c>
      <c r="O3294">
        <v>5.4280000000000002E-2</v>
      </c>
      <c r="P3294" s="3">
        <f t="shared" si="204"/>
        <v>3038.4997978486081</v>
      </c>
      <c r="Q3294" s="3">
        <f t="shared" si="205"/>
        <v>3.5083423790638335E-4</v>
      </c>
      <c r="R3294" s="3">
        <f t="shared" si="206"/>
        <v>4.2500000000000003E-3</v>
      </c>
      <c r="S3294">
        <f t="shared" si="207"/>
        <v>83</v>
      </c>
      <c r="T3294">
        <f>INDEX([1]IDEN_level_ids!$B:$B,MATCH(G3294,[1]IDEN_level_ids!$A:$A,0),1)</f>
        <v>866</v>
      </c>
      <c r="U3294">
        <f>INDEX([1]IDEN_level_ids!$B:$B,MATCH(H3294,[1]IDEN_level_ids!$A:$A,0),1)</f>
        <v>311</v>
      </c>
    </row>
    <row r="3295" spans="1:21" hidden="1" x14ac:dyDescent="0.25">
      <c r="A3295">
        <v>32888.629699999998</v>
      </c>
      <c r="B3295">
        <v>3040.5645</v>
      </c>
      <c r="C3295">
        <v>20</v>
      </c>
      <c r="D3295" t="s">
        <v>699</v>
      </c>
      <c r="F3295">
        <v>1974</v>
      </c>
      <c r="G3295" s="1" t="s">
        <v>297</v>
      </c>
      <c r="H3295" s="1" t="s">
        <v>483</v>
      </c>
      <c r="I3295">
        <v>0</v>
      </c>
      <c r="J3295">
        <v>32888.597199999997</v>
      </c>
      <c r="K3295">
        <v>-3.0000000000000001E-3</v>
      </c>
      <c r="L3295">
        <v>4.2599999999999999E-3</v>
      </c>
      <c r="M3295">
        <v>4.6100000000000002E-2</v>
      </c>
      <c r="N3295">
        <v>0.27810000000000001</v>
      </c>
      <c r="O3295">
        <v>5.8999999999999999E-3</v>
      </c>
      <c r="P3295" s="3">
        <f t="shared" si="204"/>
        <v>3040.5645024486989</v>
      </c>
      <c r="Q3295" s="3">
        <f t="shared" si="205"/>
        <v>-3.0046385300011025E-3</v>
      </c>
      <c r="R3295" s="3">
        <f t="shared" si="206"/>
        <v>4.2599999999999999E-3</v>
      </c>
      <c r="S3295">
        <f t="shared" si="207"/>
        <v>83</v>
      </c>
      <c r="T3295">
        <f>INDEX([1]IDEN_level_ids!$B:$B,MATCH(G3295,[1]IDEN_level_ids!$A:$A,0),1)</f>
        <v>1099</v>
      </c>
      <c r="U3295">
        <f>INDEX([1]IDEN_level_ids!$B:$B,MATCH(H3295,[1]IDEN_level_ids!$A:$A,0),1)</f>
        <v>970</v>
      </c>
    </row>
    <row r="3296" spans="1:21" hidden="1" x14ac:dyDescent="0.25">
      <c r="A3296">
        <v>32884.981699999997</v>
      </c>
      <c r="B3296">
        <v>3040.9018000000001</v>
      </c>
      <c r="C3296">
        <v>20</v>
      </c>
      <c r="D3296" t="s">
        <v>699</v>
      </c>
      <c r="F3296">
        <v>1974</v>
      </c>
      <c r="G3296" s="1" t="s">
        <v>141</v>
      </c>
      <c r="H3296" s="1" t="s">
        <v>450</v>
      </c>
      <c r="I3296">
        <v>0.2989</v>
      </c>
      <c r="J3296">
        <v>32884.966399999998</v>
      </c>
      <c r="K3296">
        <v>-1.41E-3</v>
      </c>
      <c r="L3296">
        <v>4.2599999999999999E-3</v>
      </c>
      <c r="M3296">
        <v>4.6100000000000002E-2</v>
      </c>
      <c r="N3296">
        <v>7.8E-2</v>
      </c>
      <c r="O3296">
        <v>4.62E-3</v>
      </c>
      <c r="P3296" s="3">
        <f t="shared" si="204"/>
        <v>3040.9017986468884</v>
      </c>
      <c r="Q3296" s="3">
        <f t="shared" si="205"/>
        <v>-1.4148044715511787E-3</v>
      </c>
      <c r="R3296" s="3">
        <f t="shared" si="206"/>
        <v>4.2599999999999999E-3</v>
      </c>
      <c r="S3296">
        <f t="shared" si="207"/>
        <v>83</v>
      </c>
      <c r="T3296">
        <f>INDEX([1]IDEN_level_ids!$B:$B,MATCH(G3296,[1]IDEN_level_ids!$A:$A,0),1)</f>
        <v>1155</v>
      </c>
      <c r="U3296">
        <f>INDEX([1]IDEN_level_ids!$B:$B,MATCH(H3296,[1]IDEN_level_ids!$A:$A,0),1)</f>
        <v>1077</v>
      </c>
    </row>
    <row r="3297" spans="1:21" hidden="1" x14ac:dyDescent="0.25">
      <c r="A3297">
        <v>32865.911699999997</v>
      </c>
      <c r="B3297">
        <v>3042.6662000000001</v>
      </c>
      <c r="C3297">
        <v>20</v>
      </c>
      <c r="D3297" t="s">
        <v>699</v>
      </c>
      <c r="E3297" t="s">
        <v>681</v>
      </c>
      <c r="F3297">
        <v>1974</v>
      </c>
      <c r="G3297" s="1" t="s">
        <v>534</v>
      </c>
      <c r="H3297" s="1" t="s">
        <v>578</v>
      </c>
      <c r="I3297">
        <v>0.60160000000000002</v>
      </c>
      <c r="J3297">
        <v>32865.848899999997</v>
      </c>
      <c r="K3297">
        <v>-5.8100000000000001E-3</v>
      </c>
      <c r="L3297">
        <v>7.4400000000000004E-3</v>
      </c>
      <c r="M3297">
        <v>8.0299999999999996E-2</v>
      </c>
      <c r="N3297">
        <v>8.0699999999999994E-2</v>
      </c>
      <c r="O3297">
        <v>8.09E-3</v>
      </c>
      <c r="P3297" s="3">
        <f t="shared" si="204"/>
        <v>3042.6662407177346</v>
      </c>
      <c r="Q3297" s="3">
        <f t="shared" si="205"/>
        <v>-5.8139207203566912E-3</v>
      </c>
      <c r="R3297" s="3">
        <f t="shared" si="206"/>
        <v>7.4400000000000004E-3</v>
      </c>
      <c r="S3297">
        <f t="shared" si="207"/>
        <v>83</v>
      </c>
      <c r="T3297">
        <f>INDEX([1]IDEN_level_ids!$B:$B,MATCH(G3297,[1]IDEN_level_ids!$A:$A,0),1)</f>
        <v>1116</v>
      </c>
      <c r="U3297">
        <f>INDEX([1]IDEN_level_ids!$B:$B,MATCH(H3297,[1]IDEN_level_ids!$A:$A,0),1)</f>
        <v>1003</v>
      </c>
    </row>
    <row r="3298" spans="1:21" hidden="1" x14ac:dyDescent="0.25">
      <c r="A3298">
        <v>32859.768700000001</v>
      </c>
      <c r="B3298">
        <v>3043.2350999999999</v>
      </c>
      <c r="C3298">
        <v>20</v>
      </c>
      <c r="D3298" t="s">
        <v>699</v>
      </c>
      <c r="E3298" t="s">
        <v>678</v>
      </c>
      <c r="F3298">
        <v>1974</v>
      </c>
      <c r="G3298" s="1" t="s">
        <v>326</v>
      </c>
      <c r="H3298" s="1" t="s">
        <v>448</v>
      </c>
      <c r="I3298">
        <v>-0.75929999999999997</v>
      </c>
      <c r="J3298">
        <v>32859.8056</v>
      </c>
      <c r="K3298">
        <v>3.4199999999999999E-3</v>
      </c>
      <c r="L3298">
        <v>6.7400000000000003E-3</v>
      </c>
      <c r="M3298">
        <v>7.2800000000000004E-2</v>
      </c>
      <c r="N3298">
        <v>8.5099999999999995E-2</v>
      </c>
      <c r="O3298">
        <v>7.3699999999999998E-3</v>
      </c>
      <c r="P3298" s="3">
        <f t="shared" si="204"/>
        <v>3043.2350547860065</v>
      </c>
      <c r="Q3298" s="3">
        <f t="shared" si="205"/>
        <v>3.4174083343714301E-3</v>
      </c>
      <c r="R3298" s="3">
        <f t="shared" si="206"/>
        <v>6.7400000000000003E-3</v>
      </c>
      <c r="S3298">
        <f t="shared" si="207"/>
        <v>83</v>
      </c>
      <c r="T3298">
        <f>INDEX([1]IDEN_level_ids!$B:$B,MATCH(G3298,[1]IDEN_level_ids!$A:$A,0),1)</f>
        <v>1148</v>
      </c>
      <c r="U3298">
        <f>INDEX([1]IDEN_level_ids!$B:$B,MATCH(H3298,[1]IDEN_level_ids!$A:$A,0),1)</f>
        <v>1067</v>
      </c>
    </row>
    <row r="3299" spans="1:21" hidden="1" x14ac:dyDescent="0.25">
      <c r="A3299">
        <v>32846.291799999999</v>
      </c>
      <c r="B3299">
        <v>3044.4837000000002</v>
      </c>
      <c r="C3299">
        <v>20</v>
      </c>
      <c r="D3299" t="s">
        <v>699</v>
      </c>
      <c r="E3299" t="s">
        <v>427</v>
      </c>
      <c r="F3299">
        <v>1974</v>
      </c>
      <c r="G3299" s="1" t="s">
        <v>275</v>
      </c>
      <c r="H3299" s="1" t="s">
        <v>452</v>
      </c>
      <c r="I3299">
        <v>0.25619999999999998</v>
      </c>
      <c r="J3299">
        <v>32846.248399999997</v>
      </c>
      <c r="K3299">
        <v>-4.0200000000000001E-3</v>
      </c>
      <c r="L3299">
        <v>4.5199999999999997E-3</v>
      </c>
      <c r="M3299">
        <v>4.87E-2</v>
      </c>
      <c r="N3299">
        <v>8.6300000000000002E-2</v>
      </c>
      <c r="O3299">
        <v>4.9399999999999999E-3</v>
      </c>
      <c r="P3299" s="3">
        <f t="shared" si="204"/>
        <v>3044.4837002878967</v>
      </c>
      <c r="Q3299" s="3">
        <f t="shared" si="205"/>
        <v>-4.0226996702585893E-3</v>
      </c>
      <c r="R3299" s="3">
        <f t="shared" si="206"/>
        <v>4.5199999999999997E-3</v>
      </c>
      <c r="S3299">
        <f t="shared" si="207"/>
        <v>83</v>
      </c>
      <c r="T3299">
        <f>INDEX([1]IDEN_level_ids!$B:$B,MATCH(G3299,[1]IDEN_level_ids!$A:$A,0),1)</f>
        <v>1134</v>
      </c>
      <c r="U3299">
        <f>INDEX([1]IDEN_level_ids!$B:$B,MATCH(H3299,[1]IDEN_level_ids!$A:$A,0),1)</f>
        <v>1033</v>
      </c>
    </row>
    <row r="3300" spans="1:21" hidden="1" x14ac:dyDescent="0.25">
      <c r="A3300">
        <v>32840.131399999998</v>
      </c>
      <c r="B3300">
        <v>3045.0547999999999</v>
      </c>
      <c r="C3300">
        <v>20</v>
      </c>
      <c r="D3300" t="s">
        <v>699</v>
      </c>
      <c r="F3300">
        <v>1974</v>
      </c>
      <c r="G3300" s="1" t="s">
        <v>670</v>
      </c>
      <c r="H3300" s="1" t="s">
        <v>498</v>
      </c>
      <c r="I3300">
        <v>0</v>
      </c>
      <c r="J3300">
        <v>32840.198400000001</v>
      </c>
      <c r="K3300">
        <v>6.2100000000000002E-3</v>
      </c>
      <c r="L3300">
        <v>4.2700000000000004E-3</v>
      </c>
      <c r="M3300">
        <v>4.6100000000000002E-2</v>
      </c>
      <c r="N3300">
        <v>0.31</v>
      </c>
      <c r="O3300">
        <v>6.1900000000000002E-3</v>
      </c>
      <c r="P3300" s="3">
        <f t="shared" si="204"/>
        <v>3045.054807545624</v>
      </c>
      <c r="Q3300" s="3">
        <f t="shared" si="205"/>
        <v>6.2124677087922464E-3</v>
      </c>
      <c r="R3300" s="3">
        <f t="shared" si="206"/>
        <v>4.2700000000000004E-3</v>
      </c>
      <c r="S3300">
        <f t="shared" si="207"/>
        <v>83</v>
      </c>
      <c r="T3300">
        <f>INDEX([1]IDEN_level_ids!$B:$B,MATCH(G3300,[1]IDEN_level_ids!$A:$A,0),1)</f>
        <v>1093</v>
      </c>
      <c r="U3300">
        <f>INDEX([1]IDEN_level_ids!$B:$B,MATCH(H3300,[1]IDEN_level_ids!$A:$A,0),1)</f>
        <v>953</v>
      </c>
    </row>
    <row r="3301" spans="1:21" hidden="1" x14ac:dyDescent="0.25">
      <c r="A3301">
        <v>32822.419500000004</v>
      </c>
      <c r="B3301">
        <v>3046.6979999999999</v>
      </c>
      <c r="C3301">
        <v>20</v>
      </c>
      <c r="D3301" t="s">
        <v>699</v>
      </c>
      <c r="E3301" t="s">
        <v>681</v>
      </c>
      <c r="F3301">
        <v>1974</v>
      </c>
      <c r="G3301" s="1" t="s">
        <v>443</v>
      </c>
      <c r="H3301" s="1" t="s">
        <v>451</v>
      </c>
      <c r="I3301">
        <v>0.6331</v>
      </c>
      <c r="J3301">
        <v>32822.329400000002</v>
      </c>
      <c r="K3301">
        <v>-8.3599999999999994E-3</v>
      </c>
      <c r="L3301">
        <v>7.45E-3</v>
      </c>
      <c r="M3301">
        <v>8.0299999999999996E-2</v>
      </c>
      <c r="N3301">
        <v>6.0600000000000001E-2</v>
      </c>
      <c r="O3301">
        <v>7.9399999999999991E-3</v>
      </c>
      <c r="P3301" s="3">
        <f t="shared" si="204"/>
        <v>3046.6980046976728</v>
      </c>
      <c r="Q3301" s="3">
        <f t="shared" si="205"/>
        <v>-8.3634371858352097E-3</v>
      </c>
      <c r="R3301" s="3">
        <f t="shared" si="206"/>
        <v>7.45E-3</v>
      </c>
      <c r="S3301">
        <f t="shared" si="207"/>
        <v>83</v>
      </c>
      <c r="T3301">
        <f>INDEX([1]IDEN_level_ids!$B:$B,MATCH(G3301,[1]IDEN_level_ids!$A:$A,0),1)</f>
        <v>1145</v>
      </c>
      <c r="U3301">
        <f>INDEX([1]IDEN_level_ids!$B:$B,MATCH(H3301,[1]IDEN_level_ids!$A:$A,0),1)</f>
        <v>1066</v>
      </c>
    </row>
    <row r="3302" spans="1:21" hidden="1" x14ac:dyDescent="0.25">
      <c r="A3302">
        <v>32809.807800000002</v>
      </c>
      <c r="B3302">
        <v>3047.8690999999999</v>
      </c>
      <c r="C3302">
        <v>20</v>
      </c>
      <c r="D3302" t="s">
        <v>699</v>
      </c>
      <c r="E3302" t="s">
        <v>681</v>
      </c>
      <c r="F3302">
        <v>1974</v>
      </c>
      <c r="G3302" s="1" t="s">
        <v>534</v>
      </c>
      <c r="H3302" s="1" t="s">
        <v>565</v>
      </c>
      <c r="I3302">
        <v>0.50690000000000002</v>
      </c>
      <c r="J3302">
        <v>32809.843999999997</v>
      </c>
      <c r="K3302">
        <v>3.3600000000000001E-3</v>
      </c>
      <c r="L3302">
        <v>7.4599999999999996E-3</v>
      </c>
      <c r="M3302">
        <v>8.0299999999999996E-2</v>
      </c>
      <c r="N3302">
        <v>8.4000000000000005E-2</v>
      </c>
      <c r="O3302">
        <v>8.1399999999999997E-3</v>
      </c>
      <c r="P3302" s="3">
        <f t="shared" si="204"/>
        <v>3047.8691191845382</v>
      </c>
      <c r="Q3302" s="3">
        <f t="shared" si="205"/>
        <v>3.3627975217314088E-3</v>
      </c>
      <c r="R3302" s="3">
        <f t="shared" si="206"/>
        <v>7.4599999999999996E-3</v>
      </c>
      <c r="S3302">
        <f t="shared" si="207"/>
        <v>83</v>
      </c>
      <c r="T3302">
        <f>INDEX([1]IDEN_level_ids!$B:$B,MATCH(G3302,[1]IDEN_level_ids!$A:$A,0),1)</f>
        <v>1116</v>
      </c>
      <c r="U3302">
        <f>INDEX([1]IDEN_level_ids!$B:$B,MATCH(H3302,[1]IDEN_level_ids!$A:$A,0),1)</f>
        <v>1004</v>
      </c>
    </row>
    <row r="3303" spans="1:21" hidden="1" x14ac:dyDescent="0.25">
      <c r="A3303">
        <v>32798.102400000003</v>
      </c>
      <c r="B3303">
        <v>3048.9569000000001</v>
      </c>
      <c r="C3303">
        <v>20</v>
      </c>
      <c r="D3303" t="s">
        <v>699</v>
      </c>
      <c r="E3303" t="s">
        <v>678</v>
      </c>
      <c r="F3303">
        <v>1974</v>
      </c>
      <c r="G3303" s="1" t="s">
        <v>691</v>
      </c>
      <c r="H3303" s="1" t="s">
        <v>502</v>
      </c>
      <c r="I3303">
        <v>-0.68740000000000001</v>
      </c>
      <c r="J3303">
        <v>32798.041499999999</v>
      </c>
      <c r="K3303">
        <v>-5.6600000000000001E-3</v>
      </c>
      <c r="L3303">
        <v>6.77E-3</v>
      </c>
      <c r="M3303">
        <v>7.2800000000000004E-2</v>
      </c>
      <c r="N3303">
        <v>0.14760000000000001</v>
      </c>
      <c r="O3303">
        <v>7.9399999999999991E-3</v>
      </c>
      <c r="P3303" s="3">
        <f t="shared" si="204"/>
        <v>3048.9568811151707</v>
      </c>
      <c r="Q3303" s="3">
        <f t="shared" si="205"/>
        <v>-5.6613585925333609E-3</v>
      </c>
      <c r="R3303" s="3">
        <f t="shared" si="206"/>
        <v>6.77E-3</v>
      </c>
      <c r="S3303">
        <f t="shared" si="207"/>
        <v>83</v>
      </c>
      <c r="T3303">
        <f>INDEX([1]IDEN_level_ids!$B:$B,MATCH(G3303,[1]IDEN_level_ids!$A:$A,0),1)</f>
        <v>1092</v>
      </c>
      <c r="U3303">
        <f>INDEX([1]IDEN_level_ids!$B:$B,MATCH(H3303,[1]IDEN_level_ids!$A:$A,0),1)</f>
        <v>952</v>
      </c>
    </row>
    <row r="3304" spans="1:21" hidden="1" x14ac:dyDescent="0.25">
      <c r="A3304">
        <v>32777.159200000002</v>
      </c>
      <c r="B3304">
        <v>3050.9050000000002</v>
      </c>
      <c r="C3304">
        <v>20</v>
      </c>
      <c r="D3304" t="s">
        <v>700</v>
      </c>
      <c r="E3304" t="s">
        <v>681</v>
      </c>
      <c r="F3304">
        <v>1974</v>
      </c>
      <c r="G3304" s="1" t="s">
        <v>687</v>
      </c>
      <c r="H3304" s="1" t="s">
        <v>479</v>
      </c>
      <c r="I3304">
        <v>0.38090000000000002</v>
      </c>
      <c r="J3304">
        <v>32777.188999999998</v>
      </c>
      <c r="K3304">
        <v>2.7699999999999999E-3</v>
      </c>
      <c r="L3304">
        <v>7.4799999999999997E-3</v>
      </c>
      <c r="M3304">
        <v>8.0299999999999996E-2</v>
      </c>
      <c r="N3304">
        <v>0.15890000000000001</v>
      </c>
      <c r="O3304">
        <v>8.8900000000000003E-3</v>
      </c>
      <c r="P3304" s="3">
        <f t="shared" si="204"/>
        <v>3050.9050338932361</v>
      </c>
      <c r="Q3304" s="3">
        <f t="shared" si="205"/>
        <v>2.7737878926927806E-3</v>
      </c>
      <c r="R3304" s="3">
        <f t="shared" si="206"/>
        <v>7.4799999999999997E-3</v>
      </c>
      <c r="S3304">
        <f t="shared" si="207"/>
        <v>84</v>
      </c>
      <c r="T3304">
        <f>INDEX([1]IDEN_level_ids!$B:$B,MATCH(G3304,[1]IDEN_level_ids!$A:$A,0),1)</f>
        <v>1087</v>
      </c>
      <c r="U3304">
        <f>INDEX([1]IDEN_level_ids!$B:$B,MATCH(H3304,[1]IDEN_level_ids!$A:$A,0),1)</f>
        <v>939</v>
      </c>
    </row>
    <row r="3305" spans="1:21" hidden="1" x14ac:dyDescent="0.25">
      <c r="A3305">
        <v>32774.098100000003</v>
      </c>
      <c r="B3305">
        <v>3051.19</v>
      </c>
      <c r="C3305">
        <v>20</v>
      </c>
      <c r="D3305" t="s">
        <v>700</v>
      </c>
      <c r="E3305" t="s">
        <v>681</v>
      </c>
      <c r="F3305">
        <v>1974</v>
      </c>
      <c r="G3305" s="1" t="s">
        <v>443</v>
      </c>
      <c r="H3305" s="1" t="s">
        <v>375</v>
      </c>
      <c r="I3305">
        <v>0.52980000000000005</v>
      </c>
      <c r="J3305">
        <v>32774.097399999999</v>
      </c>
      <c r="K3305">
        <v>-6.9999999999999994E-5</v>
      </c>
      <c r="L3305">
        <v>7.4799999999999997E-3</v>
      </c>
      <c r="M3305">
        <v>8.0299999999999996E-2</v>
      </c>
      <c r="N3305">
        <v>0.06</v>
      </c>
      <c r="O3305">
        <v>7.9500000000000005E-3</v>
      </c>
      <c r="P3305" s="3">
        <f t="shared" si="204"/>
        <v>3051.1899883524175</v>
      </c>
      <c r="Q3305" s="3">
        <f t="shared" si="205"/>
        <v>-6.5168324454134563E-5</v>
      </c>
      <c r="R3305" s="3">
        <f t="shared" si="206"/>
        <v>7.4799999999999997E-3</v>
      </c>
      <c r="S3305">
        <f t="shared" si="207"/>
        <v>84</v>
      </c>
      <c r="T3305">
        <f>INDEX([1]IDEN_level_ids!$B:$B,MATCH(G3305,[1]IDEN_level_ids!$A:$A,0),1)</f>
        <v>1145</v>
      </c>
      <c r="U3305">
        <f>INDEX([1]IDEN_level_ids!$B:$B,MATCH(H3305,[1]IDEN_level_ids!$A:$A,0),1)</f>
        <v>1065</v>
      </c>
    </row>
    <row r="3306" spans="1:21" hidden="1" x14ac:dyDescent="0.25">
      <c r="A3306">
        <v>32766.402300000002</v>
      </c>
      <c r="B3306">
        <v>3051.9065999999998</v>
      </c>
      <c r="C3306">
        <v>20</v>
      </c>
      <c r="D3306" t="s">
        <v>700</v>
      </c>
      <c r="E3306" t="s">
        <v>427</v>
      </c>
      <c r="F3306">
        <v>1974</v>
      </c>
      <c r="G3306" s="1" t="s">
        <v>138</v>
      </c>
      <c r="H3306" s="1" t="s">
        <v>481</v>
      </c>
      <c r="I3306">
        <v>0</v>
      </c>
      <c r="J3306">
        <v>32766.420999999998</v>
      </c>
      <c r="K3306">
        <v>1.74E-3</v>
      </c>
      <c r="L3306">
        <v>4.5399999999999998E-3</v>
      </c>
      <c r="M3306">
        <v>4.87E-2</v>
      </c>
      <c r="N3306">
        <v>0.16850000000000001</v>
      </c>
      <c r="O3306">
        <v>5.4599999999999996E-3</v>
      </c>
      <c r="P3306" s="3">
        <f t="shared" si="204"/>
        <v>3051.9066171631544</v>
      </c>
      <c r="Q3306" s="3">
        <f t="shared" si="205"/>
        <v>1.7417420640413184E-3</v>
      </c>
      <c r="R3306" s="3">
        <f t="shared" si="206"/>
        <v>4.5399999999999998E-3</v>
      </c>
      <c r="S3306">
        <f t="shared" si="207"/>
        <v>84</v>
      </c>
      <c r="T3306">
        <f>INDEX([1]IDEN_level_ids!$B:$B,MATCH(G3306,[1]IDEN_level_ids!$A:$A,0),1)</f>
        <v>1126</v>
      </c>
      <c r="U3306">
        <f>INDEX([1]IDEN_level_ids!$B:$B,MATCH(H3306,[1]IDEN_level_ids!$A:$A,0),1)</f>
        <v>1016</v>
      </c>
    </row>
    <row r="3307" spans="1:21" hidden="1" x14ac:dyDescent="0.25">
      <c r="A3307">
        <v>32723.538700000001</v>
      </c>
      <c r="B3307">
        <v>3055.9041999999999</v>
      </c>
      <c r="C3307">
        <v>20</v>
      </c>
      <c r="D3307" t="s">
        <v>700</v>
      </c>
      <c r="F3307">
        <v>1974</v>
      </c>
      <c r="G3307" s="1" t="s">
        <v>285</v>
      </c>
      <c r="H3307" s="1" t="s">
        <v>407</v>
      </c>
      <c r="I3307">
        <v>0.27489999999999998</v>
      </c>
      <c r="J3307">
        <v>32723.564399999999</v>
      </c>
      <c r="K3307">
        <v>2.4099999999999998E-3</v>
      </c>
      <c r="L3307">
        <v>4.3E-3</v>
      </c>
      <c r="M3307">
        <v>4.6100000000000002E-2</v>
      </c>
      <c r="N3307">
        <v>8.1600000000000006E-2</v>
      </c>
      <c r="O3307">
        <v>4.6800000000000001E-3</v>
      </c>
      <c r="P3307" s="3">
        <f t="shared" si="204"/>
        <v>3055.9042197963754</v>
      </c>
      <c r="Q3307" s="3">
        <f t="shared" si="205"/>
        <v>2.400005619165313E-3</v>
      </c>
      <c r="R3307" s="3">
        <f t="shared" si="206"/>
        <v>4.3E-3</v>
      </c>
      <c r="S3307">
        <f t="shared" si="207"/>
        <v>84</v>
      </c>
      <c r="T3307">
        <f>INDEX([1]IDEN_level_ids!$B:$B,MATCH(G3307,[1]IDEN_level_ids!$A:$A,0),1)</f>
        <v>1150</v>
      </c>
      <c r="U3307">
        <f>INDEX([1]IDEN_level_ids!$B:$B,MATCH(H3307,[1]IDEN_level_ids!$A:$A,0),1)</f>
        <v>1073</v>
      </c>
    </row>
    <row r="3308" spans="1:21" hidden="1" x14ac:dyDescent="0.25">
      <c r="A3308">
        <v>32720.5082</v>
      </c>
      <c r="B3308">
        <v>3056.1871999999998</v>
      </c>
      <c r="C3308">
        <v>20</v>
      </c>
      <c r="D3308" t="s">
        <v>700</v>
      </c>
      <c r="E3308" t="s">
        <v>678</v>
      </c>
      <c r="F3308">
        <v>1974</v>
      </c>
      <c r="G3308" s="1" t="s">
        <v>301</v>
      </c>
      <c r="H3308" s="1" t="s">
        <v>450</v>
      </c>
      <c r="I3308">
        <v>-0.72619999999999996</v>
      </c>
      <c r="J3308">
        <v>32720.521199999999</v>
      </c>
      <c r="K3308">
        <v>1.2099999999999999E-3</v>
      </c>
      <c r="L3308">
        <v>6.7999999999999996E-3</v>
      </c>
      <c r="M3308">
        <v>7.2800000000000004E-2</v>
      </c>
      <c r="N3308">
        <v>6.6500000000000004E-2</v>
      </c>
      <c r="O3308">
        <v>7.2899999999999996E-3</v>
      </c>
      <c r="P3308" s="3">
        <f t="shared" si="204"/>
        <v>3056.1872507835928</v>
      </c>
      <c r="Q3308" s="3">
        <f t="shared" si="205"/>
        <v>1.2142359842073347E-3</v>
      </c>
      <c r="R3308" s="3">
        <f t="shared" si="206"/>
        <v>6.7999999999999996E-3</v>
      </c>
      <c r="S3308">
        <f t="shared" si="207"/>
        <v>84</v>
      </c>
      <c r="T3308">
        <f>INDEX([1]IDEN_level_ids!$B:$B,MATCH(G3308,[1]IDEN_level_ids!$A:$A,0),1)</f>
        <v>1154</v>
      </c>
      <c r="U3308">
        <f>INDEX([1]IDEN_level_ids!$B:$B,MATCH(H3308,[1]IDEN_level_ids!$A:$A,0),1)</f>
        <v>1077</v>
      </c>
    </row>
    <row r="3309" spans="1:21" hidden="1" x14ac:dyDescent="0.25">
      <c r="A3309">
        <v>32712.142100000001</v>
      </c>
      <c r="B3309">
        <v>3056.9688999999998</v>
      </c>
      <c r="C3309">
        <v>20</v>
      </c>
      <c r="D3309" t="s">
        <v>700</v>
      </c>
      <c r="E3309" t="s">
        <v>427</v>
      </c>
      <c r="F3309">
        <v>1974</v>
      </c>
      <c r="G3309" s="1" t="s">
        <v>255</v>
      </c>
      <c r="H3309" s="1" t="s">
        <v>520</v>
      </c>
      <c r="I3309">
        <v>0.3095</v>
      </c>
      <c r="J3309">
        <v>32712.15</v>
      </c>
      <c r="K3309">
        <v>7.3999999999999999E-4</v>
      </c>
      <c r="L3309">
        <v>4.5500000000000002E-3</v>
      </c>
      <c r="M3309">
        <v>4.87E-2</v>
      </c>
      <c r="N3309">
        <v>0.1537</v>
      </c>
      <c r="O3309">
        <v>5.3800000000000002E-3</v>
      </c>
      <c r="P3309" s="3">
        <f t="shared" si="204"/>
        <v>3056.9688678382208</v>
      </c>
      <c r="Q3309" s="3">
        <f t="shared" si="205"/>
        <v>7.3825945582939312E-4</v>
      </c>
      <c r="R3309" s="3">
        <f t="shared" si="206"/>
        <v>4.5500000000000002E-3</v>
      </c>
      <c r="S3309">
        <f t="shared" si="207"/>
        <v>84</v>
      </c>
      <c r="T3309">
        <f>INDEX([1]IDEN_level_ids!$B:$B,MATCH(G3309,[1]IDEN_level_ids!$A:$A,0),1)</f>
        <v>1111</v>
      </c>
      <c r="U3309">
        <f>INDEX([1]IDEN_level_ids!$B:$B,MATCH(H3309,[1]IDEN_level_ids!$A:$A,0),1)</f>
        <v>1002</v>
      </c>
    </row>
    <row r="3310" spans="1:21" hidden="1" x14ac:dyDescent="0.25">
      <c r="A3310">
        <v>32697.168399999999</v>
      </c>
      <c r="B3310">
        <v>3058.3688000000002</v>
      </c>
      <c r="C3310">
        <v>20</v>
      </c>
      <c r="D3310" t="s">
        <v>700</v>
      </c>
      <c r="F3310">
        <v>1974</v>
      </c>
      <c r="G3310" s="1" t="s">
        <v>282</v>
      </c>
      <c r="H3310" s="1" t="s">
        <v>470</v>
      </c>
      <c r="I3310">
        <v>0.2848</v>
      </c>
      <c r="J3310">
        <v>32697.150900000001</v>
      </c>
      <c r="K3310">
        <v>-1.6299999999999999E-3</v>
      </c>
      <c r="L3310">
        <v>4.3099999999999996E-3</v>
      </c>
      <c r="M3310">
        <v>4.6100000000000002E-2</v>
      </c>
      <c r="N3310">
        <v>0.1033</v>
      </c>
      <c r="O3310">
        <v>4.81E-3</v>
      </c>
      <c r="P3310" s="3">
        <f t="shared" si="204"/>
        <v>3058.3688096979067</v>
      </c>
      <c r="Q3310" s="3">
        <f t="shared" si="205"/>
        <v>-1.6368843366763031E-3</v>
      </c>
      <c r="R3310" s="3">
        <f t="shared" si="206"/>
        <v>4.3099999999999996E-3</v>
      </c>
      <c r="S3310">
        <f t="shared" si="207"/>
        <v>84</v>
      </c>
      <c r="T3310">
        <f>INDEX([1]IDEN_level_ids!$B:$B,MATCH(G3310,[1]IDEN_level_ids!$A:$A,0),1)</f>
        <v>1128</v>
      </c>
      <c r="U3310">
        <f>INDEX([1]IDEN_level_ids!$B:$B,MATCH(H3310,[1]IDEN_level_ids!$A:$A,0),1)</f>
        <v>1026</v>
      </c>
    </row>
    <row r="3311" spans="1:21" hidden="1" x14ac:dyDescent="0.25">
      <c r="A3311">
        <v>32687.408200000002</v>
      </c>
      <c r="B3311">
        <v>3059.2820000000002</v>
      </c>
      <c r="C3311">
        <v>20</v>
      </c>
      <c r="D3311" t="s">
        <v>700</v>
      </c>
      <c r="F3311">
        <v>1974</v>
      </c>
      <c r="G3311" s="1" t="s">
        <v>333</v>
      </c>
      <c r="H3311" s="1" t="s">
        <v>17</v>
      </c>
      <c r="I3311">
        <v>0</v>
      </c>
      <c r="J3311">
        <v>32687.439699999999</v>
      </c>
      <c r="K3311">
        <v>2.9499999999999999E-3</v>
      </c>
      <c r="L3311">
        <v>4.3099999999999996E-3</v>
      </c>
      <c r="M3311">
        <v>4.6100000000000002E-2</v>
      </c>
      <c r="N3311">
        <v>0.92059999999999997</v>
      </c>
      <c r="O3311">
        <v>5.4309999999999997E-2</v>
      </c>
      <c r="P3311" s="3">
        <f t="shared" si="204"/>
        <v>3059.2820142895266</v>
      </c>
      <c r="Q3311" s="3">
        <f t="shared" si="205"/>
        <v>2.9481471879080345E-3</v>
      </c>
      <c r="R3311" s="3">
        <f t="shared" si="206"/>
        <v>4.3099999999999996E-3</v>
      </c>
      <c r="S3311">
        <f t="shared" si="207"/>
        <v>84</v>
      </c>
      <c r="T3311">
        <f>INDEX([1]IDEN_level_ids!$B:$B,MATCH(G3311,[1]IDEN_level_ids!$A:$A,0),1)</f>
        <v>848</v>
      </c>
      <c r="U3311">
        <f>INDEX([1]IDEN_level_ids!$B:$B,MATCH(H3311,[1]IDEN_level_ids!$A:$A,0),1)</f>
        <v>271</v>
      </c>
    </row>
    <row r="3312" spans="1:21" hidden="1" x14ac:dyDescent="0.25">
      <c r="A3312">
        <v>32681.978999999999</v>
      </c>
      <c r="B3312">
        <v>3059.7901999999999</v>
      </c>
      <c r="C3312">
        <v>20</v>
      </c>
      <c r="D3312" t="s">
        <v>700</v>
      </c>
      <c r="E3312" t="s">
        <v>681</v>
      </c>
      <c r="F3312">
        <v>1974</v>
      </c>
      <c r="G3312" s="1" t="s">
        <v>329</v>
      </c>
      <c r="H3312" s="1" t="s">
        <v>469</v>
      </c>
      <c r="I3312">
        <v>0.68489999999999995</v>
      </c>
      <c r="J3312">
        <v>32681.948799999998</v>
      </c>
      <c r="K3312">
        <v>-2.8300000000000001E-3</v>
      </c>
      <c r="L3312">
        <v>7.5199999999999998E-3</v>
      </c>
      <c r="M3312">
        <v>8.0299999999999996E-2</v>
      </c>
      <c r="N3312">
        <v>6.9500000000000006E-2</v>
      </c>
      <c r="O3312">
        <v>8.0800000000000004E-3</v>
      </c>
      <c r="P3312" s="3">
        <f t="shared" si="204"/>
        <v>3059.7902287373722</v>
      </c>
      <c r="Q3312" s="3">
        <f t="shared" si="205"/>
        <v>-2.8274221185711212E-3</v>
      </c>
      <c r="R3312" s="3">
        <f t="shared" si="206"/>
        <v>7.5199999999999998E-3</v>
      </c>
      <c r="S3312">
        <f t="shared" si="207"/>
        <v>84</v>
      </c>
      <c r="T3312">
        <f>INDEX([1]IDEN_level_ids!$B:$B,MATCH(G3312,[1]IDEN_level_ids!$A:$A,0),1)</f>
        <v>1138</v>
      </c>
      <c r="U3312">
        <f>INDEX([1]IDEN_level_ids!$B:$B,MATCH(H3312,[1]IDEN_level_ids!$A:$A,0),1)</f>
        <v>1048</v>
      </c>
    </row>
    <row r="3313" spans="1:21" hidden="1" x14ac:dyDescent="0.25">
      <c r="A3313">
        <v>32658.929</v>
      </c>
      <c r="B3313">
        <v>3061.9497999999999</v>
      </c>
      <c r="C3313">
        <v>20</v>
      </c>
      <c r="D3313" t="s">
        <v>700</v>
      </c>
      <c r="E3313" t="s">
        <v>427</v>
      </c>
      <c r="F3313">
        <v>1974</v>
      </c>
      <c r="G3313" s="1" t="s">
        <v>309</v>
      </c>
      <c r="H3313" s="1" t="s">
        <v>509</v>
      </c>
      <c r="I3313">
        <v>0.21629999999999999</v>
      </c>
      <c r="J3313">
        <v>32659.0236</v>
      </c>
      <c r="K3313">
        <v>8.8699999999999994E-3</v>
      </c>
      <c r="L3313">
        <v>4.5700000000000003E-3</v>
      </c>
      <c r="M3313">
        <v>4.87E-2</v>
      </c>
      <c r="N3313">
        <v>0.19109999999999999</v>
      </c>
      <c r="O3313">
        <v>5.6499999999999996E-3</v>
      </c>
      <c r="P3313" s="3">
        <f t="shared" si="204"/>
        <v>3061.9497657133825</v>
      </c>
      <c r="Q3313" s="3">
        <f t="shared" si="205"/>
        <v>8.8692317131062737E-3</v>
      </c>
      <c r="R3313" s="3">
        <f t="shared" si="206"/>
        <v>4.5700000000000003E-3</v>
      </c>
      <c r="S3313">
        <f t="shared" si="207"/>
        <v>84</v>
      </c>
      <c r="T3313">
        <f>INDEX([1]IDEN_level_ids!$B:$B,MATCH(G3313,[1]IDEN_level_ids!$A:$A,0),1)</f>
        <v>1094</v>
      </c>
      <c r="U3313">
        <f>INDEX([1]IDEN_level_ids!$B:$B,MATCH(H3313,[1]IDEN_level_ids!$A:$A,0),1)</f>
        <v>956</v>
      </c>
    </row>
    <row r="3314" spans="1:21" hidden="1" x14ac:dyDescent="0.25">
      <c r="A3314">
        <v>32656.6113</v>
      </c>
      <c r="B3314">
        <v>3062.1671000000001</v>
      </c>
      <c r="C3314">
        <v>20</v>
      </c>
      <c r="D3314" t="s">
        <v>700</v>
      </c>
      <c r="E3314" t="s">
        <v>678</v>
      </c>
      <c r="F3314">
        <v>1974</v>
      </c>
      <c r="G3314" s="1" t="s">
        <v>425</v>
      </c>
      <c r="H3314" s="1" t="s">
        <v>501</v>
      </c>
      <c r="I3314">
        <v>-0.68489999999999995</v>
      </c>
      <c r="J3314">
        <v>32656.553599999999</v>
      </c>
      <c r="K3314">
        <v>-5.4099999999999999E-3</v>
      </c>
      <c r="L3314">
        <v>6.8300000000000001E-3</v>
      </c>
      <c r="M3314">
        <v>7.2800000000000004E-2</v>
      </c>
      <c r="N3314">
        <v>0.1605</v>
      </c>
      <c r="O3314">
        <v>8.1300000000000001E-3</v>
      </c>
      <c r="P3314" s="3">
        <f t="shared" si="204"/>
        <v>3062.1670779417336</v>
      </c>
      <c r="Q3314" s="3">
        <f t="shared" si="205"/>
        <v>-5.4104619416648347E-3</v>
      </c>
      <c r="R3314" s="3">
        <f t="shared" si="206"/>
        <v>6.8300000000000001E-3</v>
      </c>
      <c r="S3314">
        <f t="shared" si="207"/>
        <v>84</v>
      </c>
      <c r="T3314">
        <f>INDEX([1]IDEN_level_ids!$B:$B,MATCH(G3314,[1]IDEN_level_ids!$A:$A,0),1)</f>
        <v>1098</v>
      </c>
      <c r="U3314">
        <f>INDEX([1]IDEN_level_ids!$B:$B,MATCH(H3314,[1]IDEN_level_ids!$A:$A,0),1)</f>
        <v>969</v>
      </c>
    </row>
    <row r="3315" spans="1:21" hidden="1" x14ac:dyDescent="0.25">
      <c r="A3315">
        <v>32636.348600000001</v>
      </c>
      <c r="B3315">
        <v>3064.0682999999999</v>
      </c>
      <c r="C3315">
        <v>20</v>
      </c>
      <c r="D3315" t="s">
        <v>700</v>
      </c>
      <c r="E3315" t="s">
        <v>638</v>
      </c>
      <c r="F3315">
        <v>1974</v>
      </c>
      <c r="G3315" s="1" t="s">
        <v>141</v>
      </c>
      <c r="H3315" s="1" t="s">
        <v>446</v>
      </c>
      <c r="I3315">
        <v>6.25E-2</v>
      </c>
      <c r="J3315">
        <v>32636.090100000001</v>
      </c>
      <c r="K3315">
        <v>-2.427E-2</v>
      </c>
      <c r="L3315">
        <v>1.6230000000000001E-2</v>
      </c>
      <c r="M3315">
        <v>0.17280000000000001</v>
      </c>
      <c r="N3315">
        <v>1.4999999999999999E-2</v>
      </c>
      <c r="O3315">
        <v>1.6469999999999999E-2</v>
      </c>
      <c r="P3315" s="3">
        <f t="shared" si="204"/>
        <v>3064.0682640581917</v>
      </c>
      <c r="Q3315" s="3">
        <f t="shared" si="205"/>
        <v>-2.4269501764138113E-2</v>
      </c>
      <c r="R3315" s="3">
        <f t="shared" si="206"/>
        <v>1.6230000000000001E-2</v>
      </c>
      <c r="S3315">
        <f t="shared" si="207"/>
        <v>84</v>
      </c>
      <c r="T3315">
        <f>INDEX([1]IDEN_level_ids!$B:$B,MATCH(G3315,[1]IDEN_level_ids!$A:$A,0),1)</f>
        <v>1155</v>
      </c>
      <c r="U3315">
        <f>INDEX([1]IDEN_level_ids!$B:$B,MATCH(H3315,[1]IDEN_level_ids!$A:$A,0),1)</f>
        <v>1079</v>
      </c>
    </row>
    <row r="3316" spans="1:21" hidden="1" x14ac:dyDescent="0.25">
      <c r="A3316">
        <v>32598.760200000001</v>
      </c>
      <c r="B3316">
        <v>3067.6012999999998</v>
      </c>
      <c r="C3316">
        <v>20</v>
      </c>
      <c r="D3316" t="s">
        <v>700</v>
      </c>
      <c r="E3316" t="s">
        <v>681</v>
      </c>
      <c r="F3316">
        <v>1974</v>
      </c>
      <c r="G3316" s="1" t="s">
        <v>443</v>
      </c>
      <c r="H3316" s="1" t="s">
        <v>448</v>
      </c>
      <c r="I3316">
        <v>0.53790000000000004</v>
      </c>
      <c r="J3316">
        <v>32598.765500000001</v>
      </c>
      <c r="K3316">
        <v>4.8999999999999998E-4</v>
      </c>
      <c r="L3316">
        <v>7.5599999999999999E-3</v>
      </c>
      <c r="M3316">
        <v>8.0299999999999996E-2</v>
      </c>
      <c r="N3316">
        <v>6.0199999999999997E-2</v>
      </c>
      <c r="O3316">
        <v>8.0400000000000003E-3</v>
      </c>
      <c r="P3316" s="3">
        <f t="shared" si="204"/>
        <v>3067.6013255252574</v>
      </c>
      <c r="Q3316" s="3">
        <f t="shared" si="205"/>
        <v>4.9873934767674655E-4</v>
      </c>
      <c r="R3316" s="3">
        <f t="shared" si="206"/>
        <v>7.5599999999999999E-3</v>
      </c>
      <c r="S3316">
        <f t="shared" si="207"/>
        <v>84</v>
      </c>
      <c r="T3316">
        <f>INDEX([1]IDEN_level_ids!$B:$B,MATCH(G3316,[1]IDEN_level_ids!$A:$A,0),1)</f>
        <v>1145</v>
      </c>
      <c r="U3316">
        <f>INDEX([1]IDEN_level_ids!$B:$B,MATCH(H3316,[1]IDEN_level_ids!$A:$A,0),1)</f>
        <v>1067</v>
      </c>
    </row>
    <row r="3317" spans="1:21" hidden="1" x14ac:dyDescent="0.25">
      <c r="A3317">
        <v>32592.701300000001</v>
      </c>
      <c r="B3317">
        <v>3068.1716000000001</v>
      </c>
      <c r="C3317">
        <v>20</v>
      </c>
      <c r="D3317" t="s">
        <v>700</v>
      </c>
      <c r="F3317">
        <v>1974</v>
      </c>
      <c r="G3317" s="1" t="s">
        <v>679</v>
      </c>
      <c r="H3317" s="1" t="s">
        <v>60</v>
      </c>
      <c r="I3317">
        <v>0</v>
      </c>
      <c r="J3317">
        <v>32592.703300000001</v>
      </c>
      <c r="K3317">
        <v>1.8000000000000001E-4</v>
      </c>
      <c r="L3317">
        <v>4.3400000000000001E-3</v>
      </c>
      <c r="M3317">
        <v>4.6100000000000002E-2</v>
      </c>
      <c r="N3317">
        <v>0.96879999999999999</v>
      </c>
      <c r="O3317">
        <v>0.13908999999999999</v>
      </c>
      <c r="P3317" s="3">
        <f t="shared" si="204"/>
        <v>3068.1715847836153</v>
      </c>
      <c r="Q3317" s="3">
        <f t="shared" si="205"/>
        <v>1.8827352596417768E-4</v>
      </c>
      <c r="R3317" s="3">
        <f t="shared" si="206"/>
        <v>4.3400000000000001E-3</v>
      </c>
      <c r="S3317">
        <f t="shared" si="207"/>
        <v>84</v>
      </c>
      <c r="T3317">
        <f>INDEX([1]IDEN_level_ids!$B:$B,MATCH(G3317,[1]IDEN_level_ids!$A:$A,0),1)</f>
        <v>859</v>
      </c>
      <c r="U3317">
        <f>INDEX([1]IDEN_level_ids!$B:$B,MATCH(H3317,[1]IDEN_level_ids!$A:$A,0),1)</f>
        <v>309</v>
      </c>
    </row>
    <row r="3318" spans="1:21" hidden="1" x14ac:dyDescent="0.25">
      <c r="A3318">
        <v>32580.988600000001</v>
      </c>
      <c r="B3318">
        <v>3069.2746000000002</v>
      </c>
      <c r="C3318">
        <v>20</v>
      </c>
      <c r="D3318" t="s">
        <v>700</v>
      </c>
      <c r="E3318" t="s">
        <v>638</v>
      </c>
      <c r="F3318">
        <v>1974</v>
      </c>
      <c r="G3318" s="1" t="s">
        <v>492</v>
      </c>
      <c r="H3318" s="1" t="s">
        <v>441</v>
      </c>
      <c r="I3318">
        <v>6.6799999999999998E-2</v>
      </c>
      <c r="J3318">
        <v>32580.980800000001</v>
      </c>
      <c r="K3318">
        <v>-7.3999999999999999E-4</v>
      </c>
      <c r="L3318">
        <v>1.6279999999999999E-2</v>
      </c>
      <c r="M3318">
        <v>0.17280000000000001</v>
      </c>
      <c r="N3318">
        <v>2.8899999999999999E-2</v>
      </c>
      <c r="O3318">
        <v>1.677E-2</v>
      </c>
      <c r="P3318" s="3">
        <f t="shared" si="204"/>
        <v>3069.274576892366</v>
      </c>
      <c r="Q3318" s="3">
        <f t="shared" si="205"/>
        <v>-7.3479499724271591E-4</v>
      </c>
      <c r="R3318" s="3">
        <f t="shared" si="206"/>
        <v>1.6279999999999999E-2</v>
      </c>
      <c r="S3318">
        <f t="shared" si="207"/>
        <v>84</v>
      </c>
      <c r="T3318">
        <f>INDEX([1]IDEN_level_ids!$B:$B,MATCH(G3318,[1]IDEN_level_ids!$A:$A,0),1)</f>
        <v>1132</v>
      </c>
      <c r="U3318">
        <f>INDEX([1]IDEN_level_ids!$B:$B,MATCH(H3318,[1]IDEN_level_ids!$A:$A,0),1)</f>
        <v>1034</v>
      </c>
    </row>
    <row r="3319" spans="1:21" hidden="1" x14ac:dyDescent="0.25">
      <c r="A3319">
        <v>32572.760200000001</v>
      </c>
      <c r="B3319">
        <v>3070.0499</v>
      </c>
      <c r="C3319">
        <v>20</v>
      </c>
      <c r="D3319" t="s">
        <v>700</v>
      </c>
      <c r="E3319" t="s">
        <v>661</v>
      </c>
      <c r="F3319">
        <v>1974</v>
      </c>
      <c r="G3319" s="1" t="s">
        <v>504</v>
      </c>
      <c r="H3319" s="1" t="s">
        <v>510</v>
      </c>
      <c r="I3319">
        <v>-0.95020000000000004</v>
      </c>
      <c r="J3319">
        <v>32572.8374</v>
      </c>
      <c r="K3319">
        <v>7.28E-3</v>
      </c>
      <c r="L3319">
        <v>4.7699999999999999E-3</v>
      </c>
      <c r="M3319">
        <v>5.0700000000000002E-2</v>
      </c>
      <c r="N3319">
        <v>0.27689999999999998</v>
      </c>
      <c r="O3319">
        <v>6.6E-3</v>
      </c>
      <c r="P3319" s="3">
        <f t="shared" si="204"/>
        <v>3070.0499247220687</v>
      </c>
      <c r="Q3319" s="3">
        <f t="shared" si="205"/>
        <v>7.2762422037158103E-3</v>
      </c>
      <c r="R3319" s="3">
        <f t="shared" si="206"/>
        <v>4.7699999999999999E-3</v>
      </c>
      <c r="S3319">
        <f t="shared" si="207"/>
        <v>84</v>
      </c>
      <c r="T3319">
        <f>INDEX([1]IDEN_level_ids!$B:$B,MATCH(G3319,[1]IDEN_level_ids!$A:$A,0),1)</f>
        <v>1118</v>
      </c>
      <c r="U3319">
        <f>INDEX([1]IDEN_level_ids!$B:$B,MATCH(H3319,[1]IDEN_level_ids!$A:$A,0),1)</f>
        <v>1006</v>
      </c>
    </row>
    <row r="3320" spans="1:21" hidden="1" x14ac:dyDescent="0.25">
      <c r="A3320">
        <v>32571.138500000001</v>
      </c>
      <c r="B3320">
        <v>3070.2028</v>
      </c>
      <c r="C3320">
        <v>20</v>
      </c>
      <c r="D3320" t="s">
        <v>700</v>
      </c>
      <c r="E3320" t="s">
        <v>681</v>
      </c>
      <c r="F3320">
        <v>1974</v>
      </c>
      <c r="G3320" s="1" t="s">
        <v>515</v>
      </c>
      <c r="H3320" s="1" t="s">
        <v>595</v>
      </c>
      <c r="I3320">
        <v>0.29680000000000001</v>
      </c>
      <c r="J3320">
        <v>32571.072800000002</v>
      </c>
      <c r="K3320">
        <v>-6.1900000000000002E-3</v>
      </c>
      <c r="L3320">
        <v>7.5700000000000003E-3</v>
      </c>
      <c r="M3320">
        <v>8.0299999999999996E-2</v>
      </c>
      <c r="N3320">
        <v>0.11310000000000001</v>
      </c>
      <c r="O3320">
        <v>8.5400000000000007E-3</v>
      </c>
      <c r="P3320" s="3">
        <f t="shared" si="204"/>
        <v>3070.2027809067836</v>
      </c>
      <c r="Q3320" s="3">
        <f t="shared" si="205"/>
        <v>-6.1929898329253774E-3</v>
      </c>
      <c r="R3320" s="3">
        <f t="shared" si="206"/>
        <v>7.5700000000000003E-3</v>
      </c>
      <c r="S3320">
        <f t="shared" si="207"/>
        <v>84</v>
      </c>
      <c r="T3320">
        <f>INDEX([1]IDEN_level_ids!$B:$B,MATCH(G3320,[1]IDEN_level_ids!$A:$A,0),1)</f>
        <v>1140</v>
      </c>
      <c r="U3320">
        <f>INDEX([1]IDEN_level_ids!$B:$B,MATCH(H3320,[1]IDEN_level_ids!$A:$A,0),1)</f>
        <v>1052</v>
      </c>
    </row>
    <row r="3321" spans="1:21" hidden="1" x14ac:dyDescent="0.25">
      <c r="A3321">
        <v>32568.0599</v>
      </c>
      <c r="B3321">
        <v>3070.4929999999999</v>
      </c>
      <c r="C3321">
        <v>20</v>
      </c>
      <c r="D3321" t="s">
        <v>700</v>
      </c>
      <c r="F3321">
        <v>1974</v>
      </c>
      <c r="G3321" s="1" t="s">
        <v>255</v>
      </c>
      <c r="H3321" s="1" t="s">
        <v>578</v>
      </c>
      <c r="I3321">
        <v>0.25619999999999998</v>
      </c>
      <c r="J3321">
        <v>32568.087500000001</v>
      </c>
      <c r="K3321">
        <v>2.6099999999999999E-3</v>
      </c>
      <c r="L3321">
        <v>4.3400000000000001E-3</v>
      </c>
      <c r="M3321">
        <v>4.6100000000000002E-2</v>
      </c>
      <c r="N3321">
        <v>0.1381</v>
      </c>
      <c r="O3321">
        <v>5.0400000000000002E-3</v>
      </c>
      <c r="P3321" s="3">
        <f t="shared" si="204"/>
        <v>3070.4930016417711</v>
      </c>
      <c r="Q3321" s="3">
        <f t="shared" si="205"/>
        <v>2.6021057224170363E-3</v>
      </c>
      <c r="R3321" s="3">
        <f t="shared" si="206"/>
        <v>4.3400000000000001E-3</v>
      </c>
      <c r="S3321">
        <f t="shared" si="207"/>
        <v>84</v>
      </c>
      <c r="T3321">
        <f>INDEX([1]IDEN_level_ids!$B:$B,MATCH(G3321,[1]IDEN_level_ids!$A:$A,0),1)</f>
        <v>1111</v>
      </c>
      <c r="U3321">
        <f>INDEX([1]IDEN_level_ids!$B:$B,MATCH(H3321,[1]IDEN_level_ids!$A:$A,0),1)</f>
        <v>1003</v>
      </c>
    </row>
    <row r="3322" spans="1:21" hidden="1" x14ac:dyDescent="0.25">
      <c r="A3322">
        <v>32565.079399999999</v>
      </c>
      <c r="B3322">
        <v>3070.7739999999999</v>
      </c>
      <c r="C3322">
        <v>20</v>
      </c>
      <c r="D3322" t="s">
        <v>700</v>
      </c>
      <c r="E3322" t="s">
        <v>681</v>
      </c>
      <c r="F3322">
        <v>1974</v>
      </c>
      <c r="G3322" s="1" t="s">
        <v>687</v>
      </c>
      <c r="H3322" s="1" t="s">
        <v>485</v>
      </c>
      <c r="I3322">
        <v>0.38090000000000002</v>
      </c>
      <c r="J3322">
        <v>32565.111099999998</v>
      </c>
      <c r="K3322">
        <v>2.99E-3</v>
      </c>
      <c r="L3322">
        <v>7.5700000000000003E-3</v>
      </c>
      <c r="M3322">
        <v>8.0299999999999996E-2</v>
      </c>
      <c r="N3322">
        <v>0.2019</v>
      </c>
      <c r="O3322">
        <v>9.4900000000000002E-3</v>
      </c>
      <c r="P3322" s="3">
        <f t="shared" si="204"/>
        <v>3070.7740267324516</v>
      </c>
      <c r="Q3322" s="3">
        <f t="shared" si="205"/>
        <v>2.9891971303186438E-3</v>
      </c>
      <c r="R3322" s="3">
        <f t="shared" si="206"/>
        <v>7.5700000000000003E-3</v>
      </c>
      <c r="S3322">
        <f t="shared" si="207"/>
        <v>84</v>
      </c>
      <c r="T3322">
        <f>INDEX([1]IDEN_level_ids!$B:$B,MATCH(G3322,[1]IDEN_level_ids!$A:$A,0),1)</f>
        <v>1087</v>
      </c>
      <c r="U3322">
        <f>INDEX([1]IDEN_level_ids!$B:$B,MATCH(H3322,[1]IDEN_level_ids!$A:$A,0),1)</f>
        <v>940</v>
      </c>
    </row>
    <row r="3323" spans="1:21" hidden="1" x14ac:dyDescent="0.25">
      <c r="A3323">
        <v>32556.690200000001</v>
      </c>
      <c r="B3323">
        <v>3071.5653000000002</v>
      </c>
      <c r="C3323">
        <v>20</v>
      </c>
      <c r="D3323" t="s">
        <v>700</v>
      </c>
      <c r="E3323" t="s">
        <v>638</v>
      </c>
      <c r="F3323">
        <v>1974</v>
      </c>
      <c r="G3323" s="1" t="s">
        <v>697</v>
      </c>
      <c r="H3323" s="1" t="s">
        <v>588</v>
      </c>
      <c r="I3323">
        <v>1.7399999999999999E-2</v>
      </c>
      <c r="J3323">
        <v>32556.8547</v>
      </c>
      <c r="K3323">
        <v>1.5520000000000001E-2</v>
      </c>
      <c r="L3323">
        <v>1.6299999999999999E-2</v>
      </c>
      <c r="M3323">
        <v>0.17280000000000001</v>
      </c>
      <c r="N3323">
        <v>6.2899999999999998E-2</v>
      </c>
      <c r="O3323">
        <v>1.7399999999999999E-2</v>
      </c>
      <c r="P3323" s="3">
        <f t="shared" si="204"/>
        <v>3071.5653030356261</v>
      </c>
      <c r="Q3323" s="3">
        <f t="shared" si="205"/>
        <v>1.551969614411064E-2</v>
      </c>
      <c r="R3323" s="3">
        <f t="shared" si="206"/>
        <v>1.6299999999999999E-2</v>
      </c>
      <c r="S3323">
        <f t="shared" si="207"/>
        <v>84</v>
      </c>
      <c r="T3323">
        <f>INDEX([1]IDEN_level_ids!$B:$B,MATCH(G3323,[1]IDEN_level_ids!$A:$A,0),1)</f>
        <v>1089</v>
      </c>
      <c r="U3323">
        <f>INDEX([1]IDEN_level_ids!$B:$B,MATCH(H3323,[1]IDEN_level_ids!$A:$A,0),1)</f>
        <v>949</v>
      </c>
    </row>
    <row r="3324" spans="1:21" hidden="1" x14ac:dyDescent="0.25">
      <c r="A3324">
        <v>32546.240000000002</v>
      </c>
      <c r="B3324">
        <v>3072.5515</v>
      </c>
      <c r="C3324">
        <v>20</v>
      </c>
      <c r="D3324" t="s">
        <v>700</v>
      </c>
      <c r="E3324" t="s">
        <v>661</v>
      </c>
      <c r="F3324">
        <v>1974</v>
      </c>
      <c r="G3324" s="1" t="s">
        <v>282</v>
      </c>
      <c r="H3324" s="1" t="s">
        <v>540</v>
      </c>
      <c r="I3324">
        <v>0.34399999999999997</v>
      </c>
      <c r="J3324">
        <v>32546.108199999999</v>
      </c>
      <c r="K3324">
        <v>-1.2449999999999999E-2</v>
      </c>
      <c r="L3324">
        <v>4.7800000000000004E-3</v>
      </c>
      <c r="M3324">
        <v>5.0700000000000002E-2</v>
      </c>
      <c r="N3324">
        <v>7.3300000000000004E-2</v>
      </c>
      <c r="O3324">
        <v>5.1599999999999997E-3</v>
      </c>
      <c r="P3324" s="3">
        <f t="shared" si="204"/>
        <v>3072.5515451247211</v>
      </c>
      <c r="Q3324" s="3">
        <f t="shared" si="205"/>
        <v>-1.2442725599157711E-2</v>
      </c>
      <c r="R3324" s="3">
        <f t="shared" si="206"/>
        <v>4.7800000000000004E-3</v>
      </c>
      <c r="S3324">
        <f t="shared" si="207"/>
        <v>84</v>
      </c>
      <c r="T3324">
        <f>INDEX([1]IDEN_level_ids!$B:$B,MATCH(G3324,[1]IDEN_level_ids!$A:$A,0),1)</f>
        <v>1128</v>
      </c>
      <c r="U3324">
        <f>INDEX([1]IDEN_level_ids!$B:$B,MATCH(H3324,[1]IDEN_level_ids!$A:$A,0),1)</f>
        <v>1027</v>
      </c>
    </row>
    <row r="3325" spans="1:21" hidden="1" x14ac:dyDescent="0.25">
      <c r="A3325">
        <v>32530.388500000001</v>
      </c>
      <c r="B3325">
        <v>3074.0486999999998</v>
      </c>
      <c r="C3325">
        <v>20</v>
      </c>
      <c r="D3325" t="s">
        <v>700</v>
      </c>
      <c r="E3325" t="s">
        <v>681</v>
      </c>
      <c r="F3325">
        <v>1974</v>
      </c>
      <c r="G3325" s="1" t="s">
        <v>279</v>
      </c>
      <c r="H3325" s="1" t="s">
        <v>614</v>
      </c>
      <c r="I3325">
        <v>0.43149999999999999</v>
      </c>
      <c r="J3325">
        <v>32530.5681</v>
      </c>
      <c r="K3325">
        <v>1.6969999999999999E-2</v>
      </c>
      <c r="L3325">
        <v>7.5900000000000004E-3</v>
      </c>
      <c r="M3325">
        <v>8.0299999999999996E-2</v>
      </c>
      <c r="N3325">
        <v>9.2700000000000005E-2</v>
      </c>
      <c r="O3325">
        <v>8.3599999999999994E-3</v>
      </c>
      <c r="P3325" s="3">
        <f t="shared" si="204"/>
        <v>3074.0487467587423</v>
      </c>
      <c r="Q3325" s="3">
        <f t="shared" si="205"/>
        <v>1.69717034518726E-2</v>
      </c>
      <c r="R3325" s="3">
        <f t="shared" si="206"/>
        <v>7.5900000000000004E-3</v>
      </c>
      <c r="S3325">
        <f t="shared" si="207"/>
        <v>84</v>
      </c>
      <c r="T3325">
        <f>INDEX([1]IDEN_level_ids!$B:$B,MATCH(G3325,[1]IDEN_level_ids!$A:$A,0),1)</f>
        <v>1129</v>
      </c>
      <c r="U3325">
        <f>INDEX([1]IDEN_level_ids!$B:$B,MATCH(H3325,[1]IDEN_level_ids!$A:$A,0),1)</f>
        <v>1031</v>
      </c>
    </row>
    <row r="3326" spans="1:21" hidden="1" x14ac:dyDescent="0.25">
      <c r="A3326">
        <v>32500.711200000002</v>
      </c>
      <c r="B3326">
        <v>3076.8557000000001</v>
      </c>
      <c r="C3326">
        <v>20</v>
      </c>
      <c r="D3326" t="s">
        <v>701</v>
      </c>
      <c r="E3326" t="s">
        <v>681</v>
      </c>
      <c r="F3326">
        <v>1974</v>
      </c>
      <c r="G3326" s="1" t="s">
        <v>329</v>
      </c>
      <c r="H3326" s="1" t="s">
        <v>516</v>
      </c>
      <c r="I3326">
        <v>0.68489999999999995</v>
      </c>
      <c r="J3326">
        <v>32500.705600000001</v>
      </c>
      <c r="K3326">
        <v>-5.2999999999999998E-4</v>
      </c>
      <c r="L3326">
        <v>7.6E-3</v>
      </c>
      <c r="M3326">
        <v>8.0299999999999996E-2</v>
      </c>
      <c r="N3326">
        <v>9.3100000000000002E-2</v>
      </c>
      <c r="O3326">
        <v>8.3800000000000003E-3</v>
      </c>
      <c r="P3326" s="3">
        <f t="shared" si="204"/>
        <v>3076.8557458521091</v>
      </c>
      <c r="Q3326" s="3">
        <f t="shared" si="205"/>
        <v>-5.3015440335002495E-4</v>
      </c>
      <c r="R3326" s="3">
        <f t="shared" si="206"/>
        <v>7.6E-3</v>
      </c>
      <c r="S3326">
        <f t="shared" si="207"/>
        <v>85</v>
      </c>
      <c r="T3326">
        <f>INDEX([1]IDEN_level_ids!$B:$B,MATCH(G3326,[1]IDEN_level_ids!$A:$A,0),1)</f>
        <v>1138</v>
      </c>
      <c r="U3326">
        <f>INDEX([1]IDEN_level_ids!$B:$B,MATCH(H3326,[1]IDEN_level_ids!$A:$A,0),1)</f>
        <v>1050</v>
      </c>
    </row>
    <row r="3327" spans="1:21" hidden="1" x14ac:dyDescent="0.25">
      <c r="A3327">
        <v>32497.860100000002</v>
      </c>
      <c r="B3327">
        <v>3077.1257000000001</v>
      </c>
      <c r="C3327">
        <v>20</v>
      </c>
      <c r="D3327" t="s">
        <v>701</v>
      </c>
      <c r="E3327" t="s">
        <v>427</v>
      </c>
      <c r="F3327">
        <v>1974</v>
      </c>
      <c r="G3327" s="1" t="s">
        <v>212</v>
      </c>
      <c r="H3327" s="1" t="s">
        <v>461</v>
      </c>
      <c r="I3327">
        <v>0.24510000000000001</v>
      </c>
      <c r="J3327">
        <v>32497.860799999999</v>
      </c>
      <c r="K3327">
        <v>6.9999999999999994E-5</v>
      </c>
      <c r="L3327">
        <v>4.6100000000000004E-3</v>
      </c>
      <c r="M3327">
        <v>4.87E-2</v>
      </c>
      <c r="N3327">
        <v>7.6600000000000001E-2</v>
      </c>
      <c r="O3327">
        <v>5.0000000000000001E-3</v>
      </c>
      <c r="P3327" s="3">
        <f t="shared" si="204"/>
        <v>3077.1256843462133</v>
      </c>
      <c r="Q3327" s="3">
        <f t="shared" si="205"/>
        <v>6.6280915689276299E-5</v>
      </c>
      <c r="R3327" s="3">
        <f t="shared" si="206"/>
        <v>4.6100000000000004E-3</v>
      </c>
      <c r="S3327">
        <f t="shared" si="207"/>
        <v>85</v>
      </c>
      <c r="T3327">
        <f>INDEX([1]IDEN_level_ids!$B:$B,MATCH(G3327,[1]IDEN_level_ids!$A:$A,0),1)</f>
        <v>1123</v>
      </c>
      <c r="U3327">
        <f>INDEX([1]IDEN_level_ids!$B:$B,MATCH(H3327,[1]IDEN_level_ids!$A:$A,0),1)</f>
        <v>1017</v>
      </c>
    </row>
    <row r="3328" spans="1:21" hidden="1" x14ac:dyDescent="0.25">
      <c r="A3328">
        <v>32471.969000000001</v>
      </c>
      <c r="B3328">
        <v>3079.5792000000001</v>
      </c>
      <c r="C3328">
        <v>20</v>
      </c>
      <c r="D3328" t="s">
        <v>701</v>
      </c>
      <c r="E3328" t="s">
        <v>678</v>
      </c>
      <c r="F3328">
        <v>1974</v>
      </c>
      <c r="G3328" s="1" t="s">
        <v>301</v>
      </c>
      <c r="H3328" s="1" t="s">
        <v>446</v>
      </c>
      <c r="I3328">
        <v>-0.70720000000000005</v>
      </c>
      <c r="J3328">
        <v>32471.900300000001</v>
      </c>
      <c r="K3328">
        <v>-6.5100000000000002E-3</v>
      </c>
      <c r="L3328">
        <v>6.9100000000000003E-3</v>
      </c>
      <c r="M3328">
        <v>7.2800000000000004E-2</v>
      </c>
      <c r="N3328">
        <v>6.4299999999999996E-2</v>
      </c>
      <c r="O3328">
        <v>7.3800000000000003E-3</v>
      </c>
      <c r="P3328" s="3">
        <f t="shared" si="204"/>
        <v>3079.5791902856276</v>
      </c>
      <c r="Q3328" s="3">
        <f t="shared" si="205"/>
        <v>-6.5153898726748594E-3</v>
      </c>
      <c r="R3328" s="3">
        <f t="shared" si="206"/>
        <v>6.9100000000000003E-3</v>
      </c>
      <c r="S3328">
        <f t="shared" si="207"/>
        <v>85</v>
      </c>
      <c r="T3328">
        <f>INDEX([1]IDEN_level_ids!$B:$B,MATCH(G3328,[1]IDEN_level_ids!$A:$A,0),1)</f>
        <v>1154</v>
      </c>
      <c r="U3328">
        <f>INDEX([1]IDEN_level_ids!$B:$B,MATCH(H3328,[1]IDEN_level_ids!$A:$A,0),1)</f>
        <v>1079</v>
      </c>
    </row>
    <row r="3329" spans="1:21" hidden="1" x14ac:dyDescent="0.25">
      <c r="A3329">
        <v>32468.232199999999</v>
      </c>
      <c r="B3329">
        <v>3079.9335999999998</v>
      </c>
      <c r="C3329">
        <v>20</v>
      </c>
      <c r="D3329" t="s">
        <v>701</v>
      </c>
      <c r="E3329" t="s">
        <v>681</v>
      </c>
      <c r="F3329">
        <v>1974</v>
      </c>
      <c r="G3329" s="1" t="s">
        <v>383</v>
      </c>
      <c r="H3329" s="1" t="s">
        <v>543</v>
      </c>
      <c r="I3329">
        <v>0.37609999999999999</v>
      </c>
      <c r="J3329">
        <v>32468.2412</v>
      </c>
      <c r="K3329">
        <v>8.4999999999999995E-4</v>
      </c>
      <c r="L3329">
        <v>7.62E-3</v>
      </c>
      <c r="M3329">
        <v>8.0299999999999996E-2</v>
      </c>
      <c r="N3329">
        <v>0.12709999999999999</v>
      </c>
      <c r="O3329">
        <v>8.7299999999999999E-3</v>
      </c>
      <c r="P3329" s="3">
        <f t="shared" si="204"/>
        <v>3079.9336220097625</v>
      </c>
      <c r="Q3329" s="3">
        <f t="shared" si="205"/>
        <v>8.537389639968751E-4</v>
      </c>
      <c r="R3329" s="3">
        <f t="shared" si="206"/>
        <v>7.62E-3</v>
      </c>
      <c r="S3329">
        <f t="shared" si="207"/>
        <v>85</v>
      </c>
      <c r="T3329">
        <f>INDEX([1]IDEN_level_ids!$B:$B,MATCH(G3329,[1]IDEN_level_ids!$A:$A,0),1)</f>
        <v>1097</v>
      </c>
      <c r="U3329">
        <f>INDEX([1]IDEN_level_ids!$B:$B,MATCH(H3329,[1]IDEN_level_ids!$A:$A,0),1)</f>
        <v>972</v>
      </c>
    </row>
    <row r="3330" spans="1:21" hidden="1" x14ac:dyDescent="0.25">
      <c r="A3330">
        <v>32455.9679</v>
      </c>
      <c r="B3330">
        <v>3081.0974999999999</v>
      </c>
      <c r="C3330">
        <v>20</v>
      </c>
      <c r="D3330" t="s">
        <v>701</v>
      </c>
      <c r="E3330" t="s">
        <v>681</v>
      </c>
      <c r="F3330">
        <v>1974</v>
      </c>
      <c r="G3330" s="1" t="s">
        <v>329</v>
      </c>
      <c r="H3330" s="1" t="s">
        <v>438</v>
      </c>
      <c r="I3330">
        <v>0.29249999999999998</v>
      </c>
      <c r="J3330">
        <v>32455.969400000002</v>
      </c>
      <c r="K3330">
        <v>1.4999999999999999E-4</v>
      </c>
      <c r="L3330">
        <v>7.62E-3</v>
      </c>
      <c r="M3330">
        <v>8.0299999999999996E-2</v>
      </c>
      <c r="N3330">
        <v>6.1899999999999997E-2</v>
      </c>
      <c r="O3330">
        <v>8.1300000000000001E-3</v>
      </c>
      <c r="P3330" s="3">
        <f t="shared" ref="P3330:P3393" si="208">100000000/$A3330</f>
        <v>3081.0974520343916</v>
      </c>
      <c r="Q3330" s="3">
        <f t="shared" ref="Q3330:Q3393" si="209">100000000/($A3330)-100000000/$J3330</f>
        <v>1.4239741631172365E-4</v>
      </c>
      <c r="R3330" s="3">
        <f t="shared" si="206"/>
        <v>7.62E-3</v>
      </c>
      <c r="S3330">
        <f t="shared" si="207"/>
        <v>85</v>
      </c>
      <c r="T3330">
        <f>INDEX([1]IDEN_level_ids!$B:$B,MATCH(G3330,[1]IDEN_level_ids!$A:$A,0),1)</f>
        <v>1138</v>
      </c>
      <c r="U3330">
        <f>INDEX([1]IDEN_level_ids!$B:$B,MATCH(H3330,[1]IDEN_level_ids!$A:$A,0),1)</f>
        <v>1051</v>
      </c>
    </row>
    <row r="3331" spans="1:21" hidden="1" x14ac:dyDescent="0.25">
      <c r="A3331">
        <v>32426.792399999998</v>
      </c>
      <c r="B3331">
        <v>3083.8696</v>
      </c>
      <c r="C3331">
        <v>20</v>
      </c>
      <c r="D3331" t="s">
        <v>701</v>
      </c>
      <c r="F3331">
        <v>1974</v>
      </c>
      <c r="G3331" s="1" t="s">
        <v>515</v>
      </c>
      <c r="H3331" s="1" t="s">
        <v>591</v>
      </c>
      <c r="I3331">
        <v>0.2777</v>
      </c>
      <c r="J3331">
        <v>32426.755000000001</v>
      </c>
      <c r="K3331">
        <v>-3.5500000000000002E-3</v>
      </c>
      <c r="L3331">
        <v>4.3800000000000002E-3</v>
      </c>
      <c r="M3331">
        <v>4.6100000000000002E-2</v>
      </c>
      <c r="N3331">
        <v>0.35</v>
      </c>
      <c r="O3331">
        <v>6.7400000000000003E-3</v>
      </c>
      <c r="P3331" s="3">
        <f t="shared" si="208"/>
        <v>3083.869621344355</v>
      </c>
      <c r="Q3331" s="3">
        <f t="shared" si="209"/>
        <v>-3.5568382904784812E-3</v>
      </c>
      <c r="R3331" s="3">
        <f t="shared" ref="R3331:R3394" si="210">$L3331</f>
        <v>4.3800000000000002E-3</v>
      </c>
      <c r="S3331">
        <f t="shared" si="207"/>
        <v>85</v>
      </c>
      <c r="T3331">
        <f>INDEX([1]IDEN_level_ids!$B:$B,MATCH(G3331,[1]IDEN_level_ids!$A:$A,0),1)</f>
        <v>1140</v>
      </c>
      <c r="U3331">
        <f>INDEX([1]IDEN_level_ids!$B:$B,MATCH(H3331,[1]IDEN_level_ids!$A:$A,0),1)</f>
        <v>1053</v>
      </c>
    </row>
    <row r="3332" spans="1:21" hidden="1" x14ac:dyDescent="0.25">
      <c r="A3332">
        <v>32422.778900000001</v>
      </c>
      <c r="B3332">
        <v>3084.2514000000001</v>
      </c>
      <c r="C3332">
        <v>20</v>
      </c>
      <c r="D3332" t="s">
        <v>701</v>
      </c>
      <c r="E3332" t="s">
        <v>427</v>
      </c>
      <c r="F3332">
        <v>1974</v>
      </c>
      <c r="G3332" s="1" t="s">
        <v>172</v>
      </c>
      <c r="H3332" s="1" t="s">
        <v>582</v>
      </c>
      <c r="I3332">
        <v>-0.25890000000000002</v>
      </c>
      <c r="J3332">
        <v>32422.762299999999</v>
      </c>
      <c r="K3332">
        <v>-1.5900000000000001E-3</v>
      </c>
      <c r="L3332">
        <v>4.64E-3</v>
      </c>
      <c r="M3332">
        <v>4.87E-2</v>
      </c>
      <c r="N3332">
        <v>0.1245</v>
      </c>
      <c r="O3332">
        <v>5.2900000000000004E-3</v>
      </c>
      <c r="P3332" s="3">
        <f t="shared" si="208"/>
        <v>3084.251362550543</v>
      </c>
      <c r="Q3332" s="3">
        <f t="shared" si="209"/>
        <v>-1.5790934821779956E-3</v>
      </c>
      <c r="R3332" s="3">
        <f t="shared" si="210"/>
        <v>4.64E-3</v>
      </c>
      <c r="S3332">
        <f t="shared" ref="S3332:S3395" si="211">IF(D3332=D3331,S3331,S3331+1)</f>
        <v>85</v>
      </c>
      <c r="T3332">
        <f>INDEX([1]IDEN_level_ids!$B:$B,MATCH(G3332,[1]IDEN_level_ids!$A:$A,0),1)</f>
        <v>1136</v>
      </c>
      <c r="U3332">
        <f>INDEX([1]IDEN_level_ids!$B:$B,MATCH(H3332,[1]IDEN_level_ids!$A:$A,0),1)</f>
        <v>1042</v>
      </c>
    </row>
    <row r="3333" spans="1:21" hidden="1" x14ac:dyDescent="0.25">
      <c r="A3333">
        <v>32414.850699999999</v>
      </c>
      <c r="B3333">
        <v>3085.0057000000002</v>
      </c>
      <c r="C3333">
        <v>20</v>
      </c>
      <c r="D3333" t="s">
        <v>701</v>
      </c>
      <c r="E3333" t="s">
        <v>678</v>
      </c>
      <c r="F3333">
        <v>1974</v>
      </c>
      <c r="G3333" s="1" t="s">
        <v>354</v>
      </c>
      <c r="H3333" s="1" t="s">
        <v>476</v>
      </c>
      <c r="I3333">
        <v>-0.83340000000000003</v>
      </c>
      <c r="J3333">
        <v>32414.8282</v>
      </c>
      <c r="K3333">
        <v>-2.14E-3</v>
      </c>
      <c r="L3333">
        <v>6.9300000000000004E-3</v>
      </c>
      <c r="M3333">
        <v>7.2800000000000004E-2</v>
      </c>
      <c r="N3333">
        <v>7.6200000000000004E-2</v>
      </c>
      <c r="O3333">
        <v>7.4999999999999997E-3</v>
      </c>
      <c r="P3333" s="3">
        <f t="shared" si="208"/>
        <v>3085.0057254775511</v>
      </c>
      <c r="Q3333" s="3">
        <f t="shared" si="209"/>
        <v>-2.1413850595308759E-3</v>
      </c>
      <c r="R3333" s="3">
        <f t="shared" si="210"/>
        <v>6.9300000000000004E-3</v>
      </c>
      <c r="S3333">
        <f t="shared" si="211"/>
        <v>85</v>
      </c>
      <c r="T3333">
        <f>INDEX([1]IDEN_level_ids!$B:$B,MATCH(G3333,[1]IDEN_level_ids!$A:$A,0),1)</f>
        <v>1135</v>
      </c>
      <c r="U3333">
        <f>INDEX([1]IDEN_level_ids!$B:$B,MATCH(H3333,[1]IDEN_level_ids!$A:$A,0),1)</f>
        <v>1037</v>
      </c>
    </row>
    <row r="3334" spans="1:21" hidden="1" x14ac:dyDescent="0.25">
      <c r="A3334">
        <v>32374.291000000001</v>
      </c>
      <c r="B3334">
        <v>3088.8706999999999</v>
      </c>
      <c r="C3334">
        <v>20</v>
      </c>
      <c r="D3334" t="s">
        <v>701</v>
      </c>
      <c r="F3334">
        <v>1974</v>
      </c>
      <c r="G3334" s="1" t="s">
        <v>275</v>
      </c>
      <c r="H3334" s="1" t="s">
        <v>552</v>
      </c>
      <c r="I3334">
        <v>0</v>
      </c>
      <c r="J3334">
        <v>32374.320299999999</v>
      </c>
      <c r="K3334">
        <v>2.7899999999999999E-3</v>
      </c>
      <c r="L3334">
        <v>4.4000000000000003E-3</v>
      </c>
      <c r="M3334">
        <v>4.6100000000000002E-2</v>
      </c>
      <c r="N3334">
        <v>0.112</v>
      </c>
      <c r="O3334">
        <v>4.9500000000000004E-3</v>
      </c>
      <c r="P3334" s="3">
        <f t="shared" si="208"/>
        <v>3088.8707338795466</v>
      </c>
      <c r="Q3334" s="3">
        <f t="shared" si="209"/>
        <v>2.7955463360740396E-3</v>
      </c>
      <c r="R3334" s="3">
        <f t="shared" si="210"/>
        <v>4.4000000000000003E-3</v>
      </c>
      <c r="S3334">
        <f t="shared" si="211"/>
        <v>85</v>
      </c>
      <c r="T3334">
        <f>INDEX([1]IDEN_level_ids!$B:$B,MATCH(G3334,[1]IDEN_level_ids!$A:$A,0),1)</f>
        <v>1134</v>
      </c>
      <c r="U3334">
        <f>INDEX([1]IDEN_level_ids!$B:$B,MATCH(H3334,[1]IDEN_level_ids!$A:$A,0),1)</f>
        <v>1040</v>
      </c>
    </row>
    <row r="3335" spans="1:21" hidden="1" x14ac:dyDescent="0.25">
      <c r="A3335">
        <v>32370.831399999999</v>
      </c>
      <c r="B3335">
        <v>3089.2008999999998</v>
      </c>
      <c r="C3335">
        <v>20</v>
      </c>
      <c r="D3335" t="s">
        <v>701</v>
      </c>
      <c r="E3335" t="s">
        <v>427</v>
      </c>
      <c r="F3335">
        <v>1974</v>
      </c>
      <c r="G3335" s="1" t="s">
        <v>275</v>
      </c>
      <c r="H3335" s="1" t="s">
        <v>454</v>
      </c>
      <c r="I3335">
        <v>0</v>
      </c>
      <c r="J3335">
        <v>32370.815900000001</v>
      </c>
      <c r="K3335">
        <v>-1.47E-3</v>
      </c>
      <c r="L3335">
        <v>4.6499999999999996E-3</v>
      </c>
      <c r="M3335">
        <v>4.87E-2</v>
      </c>
      <c r="N3335">
        <v>7.5300000000000006E-2</v>
      </c>
      <c r="O3335">
        <v>5.0299999999999997E-3</v>
      </c>
      <c r="P3335" s="3">
        <f t="shared" si="208"/>
        <v>3089.200853827931</v>
      </c>
      <c r="Q3335" s="3">
        <f t="shared" si="209"/>
        <v>-1.4791908051847713E-3</v>
      </c>
      <c r="R3335" s="3">
        <f t="shared" si="210"/>
        <v>4.6499999999999996E-3</v>
      </c>
      <c r="S3335">
        <f t="shared" si="211"/>
        <v>85</v>
      </c>
      <c r="T3335">
        <f>INDEX([1]IDEN_level_ids!$B:$B,MATCH(G3335,[1]IDEN_level_ids!$A:$A,0),1)</f>
        <v>1134</v>
      </c>
      <c r="U3335">
        <f>INDEX([1]IDEN_level_ids!$B:$B,MATCH(H3335,[1]IDEN_level_ids!$A:$A,0),1)</f>
        <v>1036</v>
      </c>
    </row>
    <row r="3336" spans="1:21" hidden="1" x14ac:dyDescent="0.25">
      <c r="A3336">
        <v>32346.6702</v>
      </c>
      <c r="B3336">
        <v>3091.5083</v>
      </c>
      <c r="C3336">
        <v>20</v>
      </c>
      <c r="D3336" t="s">
        <v>701</v>
      </c>
      <c r="F3336">
        <v>1974</v>
      </c>
      <c r="G3336" s="1" t="s">
        <v>212</v>
      </c>
      <c r="H3336" s="1" t="s">
        <v>585</v>
      </c>
      <c r="I3336">
        <v>0</v>
      </c>
      <c r="J3336">
        <v>32346.663700000001</v>
      </c>
      <c r="K3336">
        <v>-6.3000000000000003E-4</v>
      </c>
      <c r="L3336">
        <v>4.4000000000000003E-3</v>
      </c>
      <c r="M3336">
        <v>4.6100000000000002E-2</v>
      </c>
      <c r="N3336">
        <v>0.1089</v>
      </c>
      <c r="O3336">
        <v>4.9399999999999999E-3</v>
      </c>
      <c r="P3336" s="3">
        <f t="shared" si="208"/>
        <v>3091.5083185285634</v>
      </c>
      <c r="Q3336" s="3">
        <f t="shared" si="209"/>
        <v>-6.2123266434355173E-4</v>
      </c>
      <c r="R3336" s="3">
        <f t="shared" si="210"/>
        <v>4.4000000000000003E-3</v>
      </c>
      <c r="S3336">
        <f t="shared" si="211"/>
        <v>85</v>
      </c>
      <c r="T3336">
        <f>INDEX([1]IDEN_level_ids!$B:$B,MATCH(G3336,[1]IDEN_level_ids!$A:$A,0),1)</f>
        <v>1123</v>
      </c>
      <c r="U3336">
        <f>INDEX([1]IDEN_level_ids!$B:$B,MATCH(H3336,[1]IDEN_level_ids!$A:$A,0),1)</f>
        <v>1019</v>
      </c>
    </row>
    <row r="3337" spans="1:21" hidden="1" x14ac:dyDescent="0.25">
      <c r="A3337">
        <v>32338.131300000001</v>
      </c>
      <c r="B3337">
        <v>3092.3245999999999</v>
      </c>
      <c r="C3337">
        <v>20</v>
      </c>
      <c r="D3337" t="s">
        <v>701</v>
      </c>
      <c r="F3337">
        <v>1974</v>
      </c>
      <c r="G3337" s="1" t="s">
        <v>212</v>
      </c>
      <c r="H3337" s="1" t="s">
        <v>576</v>
      </c>
      <c r="I3337">
        <v>0.13669999999999999</v>
      </c>
      <c r="J3337">
        <v>32338.146499999999</v>
      </c>
      <c r="K3337">
        <v>1.4499999999999999E-3</v>
      </c>
      <c r="L3337">
        <v>4.4099999999999999E-3</v>
      </c>
      <c r="M3337">
        <v>4.6100000000000002E-2</v>
      </c>
      <c r="N3337">
        <v>0.1071</v>
      </c>
      <c r="O3337">
        <v>4.9300000000000004E-3</v>
      </c>
      <c r="P3337" s="3">
        <f t="shared" si="208"/>
        <v>3092.3246328707928</v>
      </c>
      <c r="Q3337" s="3">
        <f t="shared" si="209"/>
        <v>1.4534950050801854E-3</v>
      </c>
      <c r="R3337" s="3">
        <f t="shared" si="210"/>
        <v>4.4099999999999999E-3</v>
      </c>
      <c r="S3337">
        <f t="shared" si="211"/>
        <v>85</v>
      </c>
      <c r="T3337">
        <f>INDEX([1]IDEN_level_ids!$B:$B,MATCH(G3337,[1]IDEN_level_ids!$A:$A,0),1)</f>
        <v>1123</v>
      </c>
      <c r="U3337">
        <f>INDEX([1]IDEN_level_ids!$B:$B,MATCH(H3337,[1]IDEN_level_ids!$A:$A,0),1)</f>
        <v>1024</v>
      </c>
    </row>
    <row r="3338" spans="1:21" hidden="1" x14ac:dyDescent="0.25">
      <c r="A3338">
        <v>32334.701000000001</v>
      </c>
      <c r="B3338">
        <v>3092.6527000000001</v>
      </c>
      <c r="C3338">
        <v>20</v>
      </c>
      <c r="D3338" t="s">
        <v>701</v>
      </c>
      <c r="F3338">
        <v>1974</v>
      </c>
      <c r="G3338" s="1" t="s">
        <v>334</v>
      </c>
      <c r="H3338" s="1" t="s">
        <v>585</v>
      </c>
      <c r="I3338">
        <v>0</v>
      </c>
      <c r="J3338">
        <v>32334.774799999999</v>
      </c>
      <c r="K3338">
        <v>7.0499999999999998E-3</v>
      </c>
      <c r="L3338">
        <v>4.4099999999999999E-3</v>
      </c>
      <c r="M3338">
        <v>4.6100000000000002E-2</v>
      </c>
      <c r="N3338">
        <v>0.12470000000000001</v>
      </c>
      <c r="O3338">
        <v>5.0299999999999997E-3</v>
      </c>
      <c r="P3338" s="3">
        <f t="shared" si="208"/>
        <v>3092.6526891341905</v>
      </c>
      <c r="Q3338" s="3">
        <f t="shared" si="209"/>
        <v>7.0585853732154646E-3</v>
      </c>
      <c r="R3338" s="3">
        <f t="shared" si="210"/>
        <v>4.4099999999999999E-3</v>
      </c>
      <c r="S3338">
        <f t="shared" si="211"/>
        <v>85</v>
      </c>
      <c r="T3338">
        <f>INDEX([1]IDEN_level_ids!$B:$B,MATCH(G3338,[1]IDEN_level_ids!$A:$A,0),1)</f>
        <v>1124</v>
      </c>
      <c r="U3338">
        <f>INDEX([1]IDEN_level_ids!$B:$B,MATCH(H3338,[1]IDEN_level_ids!$A:$A,0),1)</f>
        <v>1019</v>
      </c>
    </row>
    <row r="3339" spans="1:21" hidden="1" x14ac:dyDescent="0.25">
      <c r="A3339">
        <v>32332.589899999999</v>
      </c>
      <c r="B3339">
        <v>3092.8546000000001</v>
      </c>
      <c r="C3339">
        <v>20</v>
      </c>
      <c r="D3339" t="s">
        <v>701</v>
      </c>
      <c r="F3339">
        <v>1974</v>
      </c>
      <c r="G3339" s="1" t="s">
        <v>172</v>
      </c>
      <c r="H3339" s="1" t="s">
        <v>445</v>
      </c>
      <c r="I3339">
        <v>0</v>
      </c>
      <c r="J3339">
        <v>32332.587899999999</v>
      </c>
      <c r="K3339">
        <v>-1.9000000000000001E-4</v>
      </c>
      <c r="L3339">
        <v>4.4099999999999999E-3</v>
      </c>
      <c r="M3339">
        <v>4.6100000000000002E-2</v>
      </c>
      <c r="N3339">
        <v>0.1042</v>
      </c>
      <c r="O3339">
        <v>4.9199999999999999E-3</v>
      </c>
      <c r="P3339" s="3">
        <f t="shared" si="208"/>
        <v>3092.8546184912952</v>
      </c>
      <c r="Q3339" s="3">
        <f t="shared" si="209"/>
        <v>-1.91315005395154E-4</v>
      </c>
      <c r="R3339" s="3">
        <f t="shared" si="210"/>
        <v>4.4099999999999999E-3</v>
      </c>
      <c r="S3339">
        <f t="shared" si="211"/>
        <v>85</v>
      </c>
      <c r="T3339">
        <f>INDEX([1]IDEN_level_ids!$B:$B,MATCH(G3339,[1]IDEN_level_ids!$A:$A,0),1)</f>
        <v>1136</v>
      </c>
      <c r="U3339">
        <f>INDEX([1]IDEN_level_ids!$B:$B,MATCH(H3339,[1]IDEN_level_ids!$A:$A,0),1)</f>
        <v>1041</v>
      </c>
    </row>
    <row r="3340" spans="1:21" hidden="1" x14ac:dyDescent="0.25">
      <c r="A3340">
        <v>32326.277699999999</v>
      </c>
      <c r="B3340">
        <v>3093.4585000000002</v>
      </c>
      <c r="C3340">
        <v>20</v>
      </c>
      <c r="D3340" t="s">
        <v>701</v>
      </c>
      <c r="F3340">
        <v>1974</v>
      </c>
      <c r="G3340" s="1" t="s">
        <v>334</v>
      </c>
      <c r="H3340" s="1" t="s">
        <v>576</v>
      </c>
      <c r="I3340">
        <v>0.13669999999999999</v>
      </c>
      <c r="J3340">
        <v>32326.257600000001</v>
      </c>
      <c r="K3340">
        <v>-1.9300000000000001E-3</v>
      </c>
      <c r="L3340">
        <v>4.4099999999999999E-3</v>
      </c>
      <c r="M3340">
        <v>4.6100000000000002E-2</v>
      </c>
      <c r="N3340">
        <v>0.12139999999999999</v>
      </c>
      <c r="O3340">
        <v>5.0200000000000002E-3</v>
      </c>
      <c r="P3340" s="3">
        <f t="shared" si="208"/>
        <v>3093.4585456462873</v>
      </c>
      <c r="Q3340" s="3">
        <f t="shared" si="209"/>
        <v>-1.9234678361499391E-3</v>
      </c>
      <c r="R3340" s="3">
        <f t="shared" si="210"/>
        <v>4.4099999999999999E-3</v>
      </c>
      <c r="S3340">
        <f t="shared" si="211"/>
        <v>85</v>
      </c>
      <c r="T3340">
        <f>INDEX([1]IDEN_level_ids!$B:$B,MATCH(G3340,[1]IDEN_level_ids!$A:$A,0),1)</f>
        <v>1124</v>
      </c>
      <c r="U3340">
        <f>INDEX([1]IDEN_level_ids!$B:$B,MATCH(H3340,[1]IDEN_level_ids!$A:$A,0),1)</f>
        <v>1024</v>
      </c>
    </row>
    <row r="3341" spans="1:21" hidden="1" x14ac:dyDescent="0.25">
      <c r="A3341">
        <v>32305.6525</v>
      </c>
      <c r="B3341">
        <v>3095.4335000000001</v>
      </c>
      <c r="C3341">
        <v>20</v>
      </c>
      <c r="D3341" t="s">
        <v>701</v>
      </c>
      <c r="F3341">
        <v>1974</v>
      </c>
      <c r="G3341" s="1" t="s">
        <v>338</v>
      </c>
      <c r="H3341" s="1" t="s">
        <v>561</v>
      </c>
      <c r="I3341">
        <v>0</v>
      </c>
      <c r="J3341">
        <v>32305.673999999999</v>
      </c>
      <c r="K3341">
        <v>2.0600000000000002E-3</v>
      </c>
      <c r="L3341">
        <v>4.4099999999999999E-3</v>
      </c>
      <c r="M3341">
        <v>4.6100000000000002E-2</v>
      </c>
      <c r="N3341">
        <v>0.76449999999999996</v>
      </c>
      <c r="O3341">
        <v>1.874E-2</v>
      </c>
      <c r="P3341" s="3">
        <f t="shared" si="208"/>
        <v>3095.4335313301594</v>
      </c>
      <c r="Q3341" s="3">
        <f t="shared" si="209"/>
        <v>2.0600660091076861E-3</v>
      </c>
      <c r="R3341" s="3">
        <f t="shared" si="210"/>
        <v>4.4099999999999999E-3</v>
      </c>
      <c r="S3341">
        <f t="shared" si="211"/>
        <v>85</v>
      </c>
      <c r="T3341">
        <f>INDEX([1]IDEN_level_ids!$B:$B,MATCH(G3341,[1]IDEN_level_ids!$A:$A,0),1)</f>
        <v>904</v>
      </c>
      <c r="U3341">
        <f>INDEX([1]IDEN_level_ids!$B:$B,MATCH(H3341,[1]IDEN_level_ids!$A:$A,0),1)</f>
        <v>545</v>
      </c>
    </row>
    <row r="3342" spans="1:21" hidden="1" x14ac:dyDescent="0.25">
      <c r="A3342">
        <v>32275.231299999999</v>
      </c>
      <c r="B3342">
        <v>3098.3510999999999</v>
      </c>
      <c r="C3342">
        <v>20</v>
      </c>
      <c r="D3342" t="s">
        <v>701</v>
      </c>
      <c r="E3342" t="s">
        <v>678</v>
      </c>
      <c r="F3342">
        <v>1974</v>
      </c>
      <c r="G3342" s="1" t="s">
        <v>511</v>
      </c>
      <c r="H3342" s="1" t="s">
        <v>569</v>
      </c>
      <c r="I3342">
        <v>-0.83</v>
      </c>
      <c r="J3342">
        <v>32275.2232</v>
      </c>
      <c r="K3342">
        <v>-7.7999999999999999E-4</v>
      </c>
      <c r="L3342">
        <v>6.9899999999999997E-3</v>
      </c>
      <c r="M3342">
        <v>7.2800000000000004E-2</v>
      </c>
      <c r="N3342">
        <v>8.5300000000000001E-2</v>
      </c>
      <c r="O3342">
        <v>7.6400000000000001E-3</v>
      </c>
      <c r="P3342" s="3">
        <f t="shared" si="208"/>
        <v>3098.3511495392445</v>
      </c>
      <c r="Q3342" s="3">
        <f t="shared" si="209"/>
        <v>-7.7758236238878453E-4</v>
      </c>
      <c r="R3342" s="3">
        <f t="shared" si="210"/>
        <v>6.9899999999999997E-3</v>
      </c>
      <c r="S3342">
        <f t="shared" si="211"/>
        <v>85</v>
      </c>
      <c r="T3342">
        <f>INDEX([1]IDEN_level_ids!$B:$B,MATCH(G3342,[1]IDEN_level_ids!$A:$A,0),1)</f>
        <v>1139</v>
      </c>
      <c r="U3342">
        <f>INDEX([1]IDEN_level_ids!$B:$B,MATCH(H3342,[1]IDEN_level_ids!$A:$A,0),1)</f>
        <v>1049</v>
      </c>
    </row>
    <row r="3343" spans="1:21" hidden="1" x14ac:dyDescent="0.25">
      <c r="A3343">
        <v>32264.588800000001</v>
      </c>
      <c r="B3343">
        <v>3099.3730999999998</v>
      </c>
      <c r="C3343">
        <v>20</v>
      </c>
      <c r="D3343" t="s">
        <v>701</v>
      </c>
      <c r="E3343" t="s">
        <v>678</v>
      </c>
      <c r="F3343">
        <v>1974</v>
      </c>
      <c r="G3343" s="1" t="s">
        <v>691</v>
      </c>
      <c r="H3343" s="1" t="s">
        <v>498</v>
      </c>
      <c r="I3343">
        <v>-0.73770000000000002</v>
      </c>
      <c r="J3343">
        <v>32264.6178</v>
      </c>
      <c r="K3343">
        <v>2.7799999999999999E-3</v>
      </c>
      <c r="L3343">
        <v>7.0000000000000001E-3</v>
      </c>
      <c r="M3343">
        <v>7.2800000000000004E-2</v>
      </c>
      <c r="N3343">
        <v>0.16880000000000001</v>
      </c>
      <c r="O3343">
        <v>8.4200000000000004E-3</v>
      </c>
      <c r="P3343" s="3">
        <f t="shared" si="208"/>
        <v>3099.3731431035626</v>
      </c>
      <c r="Q3343" s="3">
        <f t="shared" si="209"/>
        <v>2.7857705213136796E-3</v>
      </c>
      <c r="R3343" s="3">
        <f t="shared" si="210"/>
        <v>7.0000000000000001E-3</v>
      </c>
      <c r="S3343">
        <f t="shared" si="211"/>
        <v>85</v>
      </c>
      <c r="T3343">
        <f>INDEX([1]IDEN_level_ids!$B:$B,MATCH(G3343,[1]IDEN_level_ids!$A:$A,0),1)</f>
        <v>1092</v>
      </c>
      <c r="U3343">
        <f>INDEX([1]IDEN_level_ids!$B:$B,MATCH(H3343,[1]IDEN_level_ids!$A:$A,0),1)</f>
        <v>953</v>
      </c>
    </row>
    <row r="3344" spans="1:21" hidden="1" x14ac:dyDescent="0.25">
      <c r="A3344">
        <v>32243.579099999999</v>
      </c>
      <c r="B3344">
        <v>3101.3926999999999</v>
      </c>
      <c r="C3344">
        <v>20</v>
      </c>
      <c r="D3344" t="s">
        <v>702</v>
      </c>
      <c r="F3344">
        <v>1974</v>
      </c>
      <c r="G3344" s="1" t="s">
        <v>687</v>
      </c>
      <c r="H3344" s="1" t="s">
        <v>489</v>
      </c>
      <c r="I3344">
        <v>0.35639999999999999</v>
      </c>
      <c r="J3344">
        <v>32243.5687</v>
      </c>
      <c r="K3344">
        <v>-1E-3</v>
      </c>
      <c r="L3344">
        <v>4.4299999999999999E-3</v>
      </c>
      <c r="M3344">
        <v>4.6100000000000002E-2</v>
      </c>
      <c r="N3344">
        <v>0.46650000000000003</v>
      </c>
      <c r="O3344">
        <v>8.3099999999999997E-3</v>
      </c>
      <c r="P3344" s="3">
        <f t="shared" si="208"/>
        <v>3101.3926738672758</v>
      </c>
      <c r="Q3344" s="3">
        <f t="shared" si="209"/>
        <v>-1.0003385200434423E-3</v>
      </c>
      <c r="R3344" s="3">
        <f t="shared" si="210"/>
        <v>4.4299999999999999E-3</v>
      </c>
      <c r="S3344">
        <f t="shared" si="211"/>
        <v>86</v>
      </c>
      <c r="T3344">
        <f>INDEX([1]IDEN_level_ids!$B:$B,MATCH(G3344,[1]IDEN_level_ids!$A:$A,0),1)</f>
        <v>1087</v>
      </c>
      <c r="U3344">
        <f>INDEX([1]IDEN_level_ids!$B:$B,MATCH(H3344,[1]IDEN_level_ids!$A:$A,0),1)</f>
        <v>945</v>
      </c>
    </row>
    <row r="3345" spans="1:21" hidden="1" x14ac:dyDescent="0.25">
      <c r="A3345">
        <v>32237.5897</v>
      </c>
      <c r="B3345">
        <v>3101.9688999999998</v>
      </c>
      <c r="C3345">
        <v>20</v>
      </c>
      <c r="D3345" t="s">
        <v>702</v>
      </c>
      <c r="E3345" t="s">
        <v>681</v>
      </c>
      <c r="F3345">
        <v>1974</v>
      </c>
      <c r="G3345" s="1" t="s">
        <v>443</v>
      </c>
      <c r="H3345" s="1" t="s">
        <v>557</v>
      </c>
      <c r="I3345">
        <v>0.22209999999999999</v>
      </c>
      <c r="J3345">
        <v>32237.598399999999</v>
      </c>
      <c r="K3345">
        <v>8.4000000000000003E-4</v>
      </c>
      <c r="L3345">
        <v>7.7299999999999999E-3</v>
      </c>
      <c r="M3345">
        <v>8.0299999999999996E-2</v>
      </c>
      <c r="N3345">
        <v>7.1400000000000005E-2</v>
      </c>
      <c r="O3345">
        <v>8.3199999999999993E-3</v>
      </c>
      <c r="P3345" s="3">
        <f t="shared" si="208"/>
        <v>3101.9688795158281</v>
      </c>
      <c r="Q3345" s="3">
        <f t="shared" si="209"/>
        <v>8.3713212507063872E-4</v>
      </c>
      <c r="R3345" s="3">
        <f t="shared" si="210"/>
        <v>7.7299999999999999E-3</v>
      </c>
      <c r="S3345">
        <f t="shared" si="211"/>
        <v>86</v>
      </c>
      <c r="T3345">
        <f>INDEX([1]IDEN_level_ids!$B:$B,MATCH(G3345,[1]IDEN_level_ids!$A:$A,0),1)</f>
        <v>1145</v>
      </c>
      <c r="U3345">
        <f>INDEX([1]IDEN_level_ids!$B:$B,MATCH(H3345,[1]IDEN_level_ids!$A:$A,0),1)</f>
        <v>1069</v>
      </c>
    </row>
    <row r="3346" spans="1:21" hidden="1" x14ac:dyDescent="0.25">
      <c r="A3346">
        <v>32206.991900000001</v>
      </c>
      <c r="B3346">
        <v>3104.9159</v>
      </c>
      <c r="C3346">
        <v>20</v>
      </c>
      <c r="D3346" t="s">
        <v>702</v>
      </c>
      <c r="F3346">
        <v>1974</v>
      </c>
      <c r="G3346" s="1" t="s">
        <v>602</v>
      </c>
      <c r="H3346" s="1" t="s">
        <v>599</v>
      </c>
      <c r="I3346">
        <v>0</v>
      </c>
      <c r="J3346">
        <v>32206.947700000001</v>
      </c>
      <c r="K3346">
        <v>-4.2700000000000004E-3</v>
      </c>
      <c r="L3346">
        <v>4.4400000000000004E-3</v>
      </c>
      <c r="M3346">
        <v>4.6100000000000002E-2</v>
      </c>
      <c r="N3346">
        <v>0.3669</v>
      </c>
      <c r="O3346">
        <v>7.0099999999999997E-3</v>
      </c>
      <c r="P3346" s="3">
        <f t="shared" si="208"/>
        <v>3104.9158614530529</v>
      </c>
      <c r="Q3346" s="3">
        <f t="shared" si="209"/>
        <v>-4.2611079556991172E-3</v>
      </c>
      <c r="R3346" s="3">
        <f t="shared" si="210"/>
        <v>4.4400000000000004E-3</v>
      </c>
      <c r="S3346">
        <f t="shared" si="211"/>
        <v>86</v>
      </c>
      <c r="T3346">
        <f>INDEX([1]IDEN_level_ids!$B:$B,MATCH(G3346,[1]IDEN_level_ids!$A:$A,0),1)</f>
        <v>1125</v>
      </c>
      <c r="U3346">
        <f>INDEX([1]IDEN_level_ids!$B:$B,MATCH(H3346,[1]IDEN_level_ids!$A:$A,0),1)</f>
        <v>1014</v>
      </c>
    </row>
    <row r="3347" spans="1:21" hidden="1" x14ac:dyDescent="0.25">
      <c r="A3347">
        <v>32161.250599999999</v>
      </c>
      <c r="B3347">
        <v>3109.3317999999999</v>
      </c>
      <c r="C3347">
        <v>20</v>
      </c>
      <c r="D3347" t="s">
        <v>702</v>
      </c>
      <c r="E3347" t="s">
        <v>427</v>
      </c>
      <c r="F3347">
        <v>1974</v>
      </c>
      <c r="G3347" s="1" t="s">
        <v>212</v>
      </c>
      <c r="H3347" s="1" t="s">
        <v>536</v>
      </c>
      <c r="I3347">
        <v>0</v>
      </c>
      <c r="J3347">
        <v>32161.256399999998</v>
      </c>
      <c r="K3347">
        <v>5.5999999999999995E-4</v>
      </c>
      <c r="L3347">
        <v>4.7099999999999998E-3</v>
      </c>
      <c r="M3347">
        <v>4.87E-2</v>
      </c>
      <c r="N3347">
        <v>7.5899999999999995E-2</v>
      </c>
      <c r="O3347">
        <v>5.1000000000000004E-3</v>
      </c>
      <c r="P3347" s="3">
        <f t="shared" si="208"/>
        <v>3109.3318243041208</v>
      </c>
      <c r="Q3347" s="3">
        <f t="shared" si="209"/>
        <v>5.607406733361131E-4</v>
      </c>
      <c r="R3347" s="3">
        <f t="shared" si="210"/>
        <v>4.7099999999999998E-3</v>
      </c>
      <c r="S3347">
        <f t="shared" si="211"/>
        <v>86</v>
      </c>
      <c r="T3347">
        <f>INDEX([1]IDEN_level_ids!$B:$B,MATCH(G3347,[1]IDEN_level_ids!$A:$A,0),1)</f>
        <v>1123</v>
      </c>
      <c r="U3347">
        <f>INDEX([1]IDEN_level_ids!$B:$B,MATCH(H3347,[1]IDEN_level_ids!$A:$A,0),1)</f>
        <v>1021</v>
      </c>
    </row>
    <row r="3348" spans="1:21" hidden="1" x14ac:dyDescent="0.25">
      <c r="A3348">
        <v>32156.552299999999</v>
      </c>
      <c r="B3348">
        <v>3109.7860999999998</v>
      </c>
      <c r="C3348">
        <v>20</v>
      </c>
      <c r="D3348" t="s">
        <v>702</v>
      </c>
      <c r="E3348" t="s">
        <v>681</v>
      </c>
      <c r="F3348">
        <v>1974</v>
      </c>
      <c r="G3348" s="1" t="s">
        <v>697</v>
      </c>
      <c r="H3348" s="1" t="s">
        <v>502</v>
      </c>
      <c r="I3348">
        <v>0.14460000000000001</v>
      </c>
      <c r="J3348">
        <v>32156.650600000001</v>
      </c>
      <c r="K3348">
        <v>9.5099999999999994E-3</v>
      </c>
      <c r="L3348">
        <v>7.77E-3</v>
      </c>
      <c r="M3348">
        <v>8.0299999999999996E-2</v>
      </c>
      <c r="N3348">
        <v>0.1593</v>
      </c>
      <c r="O3348">
        <v>9.2399999999999999E-3</v>
      </c>
      <c r="P3348" s="3">
        <f t="shared" si="208"/>
        <v>3109.786119701645</v>
      </c>
      <c r="Q3348" s="3">
        <f t="shared" si="209"/>
        <v>9.5063375656536664E-3</v>
      </c>
      <c r="R3348" s="3">
        <f t="shared" si="210"/>
        <v>7.77E-3</v>
      </c>
      <c r="S3348">
        <f t="shared" si="211"/>
        <v>86</v>
      </c>
      <c r="T3348">
        <f>INDEX([1]IDEN_level_ids!$B:$B,MATCH(G3348,[1]IDEN_level_ids!$A:$A,0),1)</f>
        <v>1089</v>
      </c>
      <c r="U3348">
        <f>INDEX([1]IDEN_level_ids!$B:$B,MATCH(H3348,[1]IDEN_level_ids!$A:$A,0),1)</f>
        <v>952</v>
      </c>
    </row>
    <row r="3349" spans="1:21" hidden="1" x14ac:dyDescent="0.25">
      <c r="A3349">
        <v>32108.312399999999</v>
      </c>
      <c r="B3349">
        <v>3114.4582999999998</v>
      </c>
      <c r="C3349">
        <v>20</v>
      </c>
      <c r="D3349" t="s">
        <v>702</v>
      </c>
      <c r="F3349">
        <v>1974</v>
      </c>
      <c r="G3349" s="1" t="s">
        <v>273</v>
      </c>
      <c r="H3349" s="1" t="s">
        <v>580</v>
      </c>
      <c r="I3349">
        <v>0.20710000000000001</v>
      </c>
      <c r="J3349">
        <v>32108.292000000001</v>
      </c>
      <c r="K3349">
        <v>-1.98E-3</v>
      </c>
      <c r="L3349">
        <v>4.47E-3</v>
      </c>
      <c r="M3349">
        <v>4.6100000000000002E-2</v>
      </c>
      <c r="N3349">
        <v>0.1159</v>
      </c>
      <c r="O3349">
        <v>5.0499999999999998E-3</v>
      </c>
      <c r="P3349" s="3">
        <f t="shared" si="208"/>
        <v>3114.4582983439518</v>
      </c>
      <c r="Q3349" s="3">
        <f t="shared" si="209"/>
        <v>-1.9787707574323576E-3</v>
      </c>
      <c r="R3349" s="3">
        <f t="shared" si="210"/>
        <v>4.47E-3</v>
      </c>
      <c r="S3349">
        <f t="shared" si="211"/>
        <v>86</v>
      </c>
      <c r="T3349">
        <f>INDEX([1]IDEN_level_ids!$B:$B,MATCH(G3349,[1]IDEN_level_ids!$A:$A,0),1)</f>
        <v>1105</v>
      </c>
      <c r="U3349">
        <f>INDEX([1]IDEN_level_ids!$B:$B,MATCH(H3349,[1]IDEN_level_ids!$A:$A,0),1)</f>
        <v>1001</v>
      </c>
    </row>
    <row r="3350" spans="1:21" hidden="1" x14ac:dyDescent="0.25">
      <c r="A3350">
        <v>32069.609499999999</v>
      </c>
      <c r="B3350">
        <v>3118.2168999999999</v>
      </c>
      <c r="C3350">
        <v>20</v>
      </c>
      <c r="D3350" t="s">
        <v>702</v>
      </c>
      <c r="E3350" t="s">
        <v>681</v>
      </c>
      <c r="F3350">
        <v>1974</v>
      </c>
      <c r="G3350" s="1" t="s">
        <v>279</v>
      </c>
      <c r="H3350" s="1" t="s">
        <v>452</v>
      </c>
      <c r="I3350">
        <v>0.54959999999999998</v>
      </c>
      <c r="J3350">
        <v>32069.6145</v>
      </c>
      <c r="K3350">
        <v>4.8999999999999998E-4</v>
      </c>
      <c r="L3350">
        <v>7.8100000000000001E-3</v>
      </c>
      <c r="M3350">
        <v>8.0299999999999996E-2</v>
      </c>
      <c r="N3350">
        <v>5.8999999999999997E-2</v>
      </c>
      <c r="O3350">
        <v>8.3000000000000001E-3</v>
      </c>
      <c r="P3350" s="3">
        <f t="shared" si="208"/>
        <v>3118.2169524078554</v>
      </c>
      <c r="Q3350" s="3">
        <f t="shared" si="209"/>
        <v>4.8616377262078458E-4</v>
      </c>
      <c r="R3350" s="3">
        <f t="shared" si="210"/>
        <v>7.8100000000000001E-3</v>
      </c>
      <c r="S3350">
        <f t="shared" si="211"/>
        <v>86</v>
      </c>
      <c r="T3350">
        <f>INDEX([1]IDEN_level_ids!$B:$B,MATCH(G3350,[1]IDEN_level_ids!$A:$A,0),1)</f>
        <v>1129</v>
      </c>
      <c r="U3350">
        <f>INDEX([1]IDEN_level_ids!$B:$B,MATCH(H3350,[1]IDEN_level_ids!$A:$A,0),1)</f>
        <v>1033</v>
      </c>
    </row>
    <row r="3351" spans="1:21" hidden="1" x14ac:dyDescent="0.25">
      <c r="A3351">
        <v>32052.9512</v>
      </c>
      <c r="B3351">
        <v>3119.8375000000001</v>
      </c>
      <c r="C3351">
        <v>20</v>
      </c>
      <c r="D3351" t="s">
        <v>702</v>
      </c>
      <c r="E3351" t="s">
        <v>427</v>
      </c>
      <c r="F3351">
        <v>1974</v>
      </c>
      <c r="G3351" s="1" t="s">
        <v>108</v>
      </c>
      <c r="H3351" s="1" t="s">
        <v>407</v>
      </c>
      <c r="I3351">
        <v>0.27489999999999998</v>
      </c>
      <c r="J3351">
        <v>32052.960800000001</v>
      </c>
      <c r="K3351">
        <v>9.3000000000000005E-4</v>
      </c>
      <c r="L3351">
        <v>4.7400000000000003E-3</v>
      </c>
      <c r="M3351">
        <v>4.87E-2</v>
      </c>
      <c r="N3351">
        <v>6.3E-2</v>
      </c>
      <c r="O3351">
        <v>5.0600000000000003E-3</v>
      </c>
      <c r="P3351" s="3">
        <f t="shared" si="208"/>
        <v>3119.837526848386</v>
      </c>
      <c r="Q3351" s="3">
        <f t="shared" si="209"/>
        <v>9.3440479486162076E-4</v>
      </c>
      <c r="R3351" s="3">
        <f t="shared" si="210"/>
        <v>4.7400000000000003E-3</v>
      </c>
      <c r="S3351">
        <f t="shared" si="211"/>
        <v>86</v>
      </c>
      <c r="T3351">
        <f>INDEX([1]IDEN_level_ids!$B:$B,MATCH(G3351,[1]IDEN_level_ids!$A:$A,0),1)</f>
        <v>1149</v>
      </c>
      <c r="U3351">
        <f>INDEX([1]IDEN_level_ids!$B:$B,MATCH(H3351,[1]IDEN_level_ids!$A:$A,0),1)</f>
        <v>1073</v>
      </c>
    </row>
    <row r="3352" spans="1:21" hidden="1" x14ac:dyDescent="0.25">
      <c r="A3352">
        <v>32027.321400000001</v>
      </c>
      <c r="B3352">
        <v>3122.3341999999998</v>
      </c>
      <c r="C3352">
        <v>20</v>
      </c>
      <c r="D3352" t="s">
        <v>702</v>
      </c>
      <c r="E3352" t="s">
        <v>678</v>
      </c>
      <c r="F3352">
        <v>1974</v>
      </c>
      <c r="G3352" s="1" t="s">
        <v>354</v>
      </c>
      <c r="H3352" s="1" t="s">
        <v>445</v>
      </c>
      <c r="I3352">
        <v>-0.83340000000000003</v>
      </c>
      <c r="J3352">
        <v>32027.363399999998</v>
      </c>
      <c r="K3352">
        <v>4.1000000000000003E-3</v>
      </c>
      <c r="L3352">
        <v>7.1000000000000004E-3</v>
      </c>
      <c r="M3352">
        <v>7.2800000000000004E-2</v>
      </c>
      <c r="N3352">
        <v>8.0199999999999994E-2</v>
      </c>
      <c r="O3352">
        <v>7.7200000000000003E-3</v>
      </c>
      <c r="P3352" s="3">
        <f t="shared" si="208"/>
        <v>3122.3341705997304</v>
      </c>
      <c r="Q3352" s="3">
        <f t="shared" si="209"/>
        <v>4.0945623127299768E-3</v>
      </c>
      <c r="R3352" s="3">
        <f t="shared" si="210"/>
        <v>7.1000000000000004E-3</v>
      </c>
      <c r="S3352">
        <f t="shared" si="211"/>
        <v>86</v>
      </c>
      <c r="T3352">
        <f>INDEX([1]IDEN_level_ids!$B:$B,MATCH(G3352,[1]IDEN_level_ids!$A:$A,0),1)</f>
        <v>1135</v>
      </c>
      <c r="U3352">
        <f>INDEX([1]IDEN_level_ids!$B:$B,MATCH(H3352,[1]IDEN_level_ids!$A:$A,0),1)</f>
        <v>1041</v>
      </c>
    </row>
    <row r="3353" spans="1:21" hidden="1" x14ac:dyDescent="0.25">
      <c r="A3353">
        <v>32024.7084</v>
      </c>
      <c r="B3353">
        <v>3122.5889000000002</v>
      </c>
      <c r="C3353">
        <v>20</v>
      </c>
      <c r="D3353" t="s">
        <v>702</v>
      </c>
      <c r="F3353">
        <v>1974</v>
      </c>
      <c r="G3353" s="1" t="s">
        <v>275</v>
      </c>
      <c r="H3353" s="1" t="s">
        <v>437</v>
      </c>
      <c r="I3353">
        <v>0.26329999999999998</v>
      </c>
      <c r="J3353">
        <v>32024.687699999999</v>
      </c>
      <c r="K3353">
        <v>-2.0200000000000001E-3</v>
      </c>
      <c r="L3353">
        <v>4.4900000000000001E-3</v>
      </c>
      <c r="M3353">
        <v>4.6100000000000002E-2</v>
      </c>
      <c r="N3353">
        <v>6.88E-2</v>
      </c>
      <c r="O3353">
        <v>4.8199999999999996E-3</v>
      </c>
      <c r="P3353" s="3">
        <f t="shared" si="208"/>
        <v>3122.5889319885268</v>
      </c>
      <c r="Q3353" s="3">
        <f t="shared" si="209"/>
        <v>-2.0183675637781562E-3</v>
      </c>
      <c r="R3353" s="3">
        <f t="shared" si="210"/>
        <v>4.4900000000000001E-3</v>
      </c>
      <c r="S3353">
        <f t="shared" si="211"/>
        <v>86</v>
      </c>
      <c r="T3353">
        <f>INDEX([1]IDEN_level_ids!$B:$B,MATCH(G3353,[1]IDEN_level_ids!$A:$A,0),1)</f>
        <v>1134</v>
      </c>
      <c r="U3353">
        <f>INDEX([1]IDEN_level_ids!$B:$B,MATCH(H3353,[1]IDEN_level_ids!$A:$A,0),1)</f>
        <v>1039</v>
      </c>
    </row>
    <row r="3354" spans="1:21" hidden="1" x14ac:dyDescent="0.25">
      <c r="A3354">
        <v>32014.8406</v>
      </c>
      <c r="B3354">
        <v>3123.5513999999998</v>
      </c>
      <c r="C3354">
        <v>20</v>
      </c>
      <c r="D3354" t="s">
        <v>702</v>
      </c>
      <c r="E3354" t="s">
        <v>678</v>
      </c>
      <c r="F3354">
        <v>1974</v>
      </c>
      <c r="G3354" s="1" t="s">
        <v>425</v>
      </c>
      <c r="H3354" s="1" t="s">
        <v>525</v>
      </c>
      <c r="I3354">
        <v>-0.89529999999999998</v>
      </c>
      <c r="J3354">
        <v>32014.7824</v>
      </c>
      <c r="K3354">
        <v>-5.6699999999999997E-3</v>
      </c>
      <c r="L3354">
        <v>7.11E-3</v>
      </c>
      <c r="M3354">
        <v>7.2800000000000004E-2</v>
      </c>
      <c r="N3354">
        <v>0.12189999999999999</v>
      </c>
      <c r="O3354">
        <v>8.09E-3</v>
      </c>
      <c r="P3354" s="3">
        <f t="shared" si="208"/>
        <v>3123.5513944742238</v>
      </c>
      <c r="Q3354" s="3">
        <f t="shared" si="209"/>
        <v>-5.6783359914334142E-3</v>
      </c>
      <c r="R3354" s="3">
        <f t="shared" si="210"/>
        <v>7.11E-3</v>
      </c>
      <c r="S3354">
        <f t="shared" si="211"/>
        <v>86</v>
      </c>
      <c r="T3354">
        <f>INDEX([1]IDEN_level_ids!$B:$B,MATCH(G3354,[1]IDEN_level_ids!$A:$A,0),1)</f>
        <v>1098</v>
      </c>
      <c r="U3354">
        <f>INDEX([1]IDEN_level_ids!$B:$B,MATCH(H3354,[1]IDEN_level_ids!$A:$A,0),1)</f>
        <v>971</v>
      </c>
    </row>
    <row r="3355" spans="1:21" hidden="1" x14ac:dyDescent="0.25">
      <c r="A3355">
        <v>32010.882099999999</v>
      </c>
      <c r="B3355">
        <v>3123.9376999999999</v>
      </c>
      <c r="C3355">
        <v>20</v>
      </c>
      <c r="D3355" t="s">
        <v>702</v>
      </c>
      <c r="E3355" t="s">
        <v>638</v>
      </c>
      <c r="F3355">
        <v>1974</v>
      </c>
      <c r="G3355" s="1" t="s">
        <v>492</v>
      </c>
      <c r="H3355" s="1" t="s">
        <v>454</v>
      </c>
      <c r="I3355">
        <v>4.7300000000000002E-2</v>
      </c>
      <c r="J3355">
        <v>32010.909899999999</v>
      </c>
      <c r="K3355">
        <v>2.7100000000000002E-3</v>
      </c>
      <c r="L3355">
        <v>1.687E-2</v>
      </c>
      <c r="M3355">
        <v>0.17280000000000001</v>
      </c>
      <c r="N3355">
        <v>2.18E-2</v>
      </c>
      <c r="O3355">
        <v>1.7239999999999998E-2</v>
      </c>
      <c r="P3355" s="3">
        <f t="shared" si="208"/>
        <v>3123.9376561884874</v>
      </c>
      <c r="Q3355" s="3">
        <f t="shared" si="209"/>
        <v>2.7129958853038261E-3</v>
      </c>
      <c r="R3355" s="3">
        <f t="shared" si="210"/>
        <v>1.687E-2</v>
      </c>
      <c r="S3355">
        <f t="shared" si="211"/>
        <v>86</v>
      </c>
      <c r="T3355">
        <f>INDEX([1]IDEN_level_ids!$B:$B,MATCH(G3355,[1]IDEN_level_ids!$A:$A,0),1)</f>
        <v>1132</v>
      </c>
      <c r="U3355">
        <f>INDEX([1]IDEN_level_ids!$B:$B,MATCH(H3355,[1]IDEN_level_ids!$A:$A,0),1)</f>
        <v>1036</v>
      </c>
    </row>
    <row r="3356" spans="1:21" hidden="1" x14ac:dyDescent="0.25">
      <c r="A3356">
        <v>31945.1479</v>
      </c>
      <c r="B3356">
        <v>3130.3658</v>
      </c>
      <c r="C3356">
        <v>20</v>
      </c>
      <c r="D3356" t="s">
        <v>703</v>
      </c>
      <c r="E3356" t="s">
        <v>678</v>
      </c>
      <c r="F3356">
        <v>1974</v>
      </c>
      <c r="G3356" s="1" t="s">
        <v>326</v>
      </c>
      <c r="H3356" s="1" t="s">
        <v>396</v>
      </c>
      <c r="I3356">
        <v>-0.61580000000000001</v>
      </c>
      <c r="J3356">
        <v>31945.151699999999</v>
      </c>
      <c r="K3356">
        <v>3.6999999999999999E-4</v>
      </c>
      <c r="L3356">
        <v>7.1399999999999996E-3</v>
      </c>
      <c r="M3356">
        <v>7.2800000000000004E-2</v>
      </c>
      <c r="N3356">
        <v>8.6699999999999999E-2</v>
      </c>
      <c r="O3356">
        <v>7.8100000000000001E-3</v>
      </c>
      <c r="P3356" s="3">
        <f t="shared" si="208"/>
        <v>3130.3658481418393</v>
      </c>
      <c r="Q3356" s="3">
        <f t="shared" si="209"/>
        <v>3.7236918842609157E-4</v>
      </c>
      <c r="R3356" s="3">
        <f t="shared" si="210"/>
        <v>7.1399999999999996E-3</v>
      </c>
      <c r="S3356">
        <f t="shared" si="211"/>
        <v>87</v>
      </c>
      <c r="T3356">
        <f>INDEX([1]IDEN_level_ids!$B:$B,MATCH(G3356,[1]IDEN_level_ids!$A:$A,0),1)</f>
        <v>1148</v>
      </c>
      <c r="U3356">
        <f>INDEX([1]IDEN_level_ids!$B:$B,MATCH(H3356,[1]IDEN_level_ids!$A:$A,0),1)</f>
        <v>1072</v>
      </c>
    </row>
    <row r="3357" spans="1:21" hidden="1" x14ac:dyDescent="0.25">
      <c r="A3357">
        <v>31903.788799999998</v>
      </c>
      <c r="B3357">
        <v>3134.424</v>
      </c>
      <c r="C3357">
        <v>20</v>
      </c>
      <c r="D3357" t="s">
        <v>703</v>
      </c>
      <c r="F3357">
        <v>1974</v>
      </c>
      <c r="G3357" s="1" t="s">
        <v>212</v>
      </c>
      <c r="H3357" s="1" t="s">
        <v>467</v>
      </c>
      <c r="I3357">
        <v>0</v>
      </c>
      <c r="J3357">
        <v>31903.779299999998</v>
      </c>
      <c r="K3357">
        <v>-9.3000000000000005E-4</v>
      </c>
      <c r="L3357">
        <v>4.5300000000000002E-3</v>
      </c>
      <c r="M3357">
        <v>4.6100000000000002E-2</v>
      </c>
      <c r="N3357">
        <v>9.6500000000000002E-2</v>
      </c>
      <c r="O3357">
        <v>5.0099999999999997E-3</v>
      </c>
      <c r="P3357" s="3">
        <f t="shared" si="208"/>
        <v>3134.4239590753559</v>
      </c>
      <c r="Q3357" s="3">
        <f t="shared" si="209"/>
        <v>-9.333385660283966E-4</v>
      </c>
      <c r="R3357" s="3">
        <f t="shared" si="210"/>
        <v>4.5300000000000002E-3</v>
      </c>
      <c r="S3357">
        <f t="shared" si="211"/>
        <v>87</v>
      </c>
      <c r="T3357">
        <f>INDEX([1]IDEN_level_ids!$B:$B,MATCH(G3357,[1]IDEN_level_ids!$A:$A,0),1)</f>
        <v>1123</v>
      </c>
      <c r="U3357">
        <f>INDEX([1]IDEN_level_ids!$B:$B,MATCH(H3357,[1]IDEN_level_ids!$A:$A,0),1)</f>
        <v>1025</v>
      </c>
    </row>
    <row r="3358" spans="1:21" hidden="1" x14ac:dyDescent="0.25">
      <c r="A3358">
        <v>31877.702300000001</v>
      </c>
      <c r="B3358">
        <v>3136.989</v>
      </c>
      <c r="C3358">
        <v>20</v>
      </c>
      <c r="D3358" t="s">
        <v>703</v>
      </c>
      <c r="E3358" t="s">
        <v>638</v>
      </c>
      <c r="F3358">
        <v>1974</v>
      </c>
      <c r="G3358" s="1" t="s">
        <v>279</v>
      </c>
      <c r="H3358" s="1" t="s">
        <v>587</v>
      </c>
      <c r="I3358">
        <v>7.7700000000000005E-2</v>
      </c>
      <c r="J3358">
        <v>31877.745900000002</v>
      </c>
      <c r="K3358">
        <v>4.2900000000000004E-3</v>
      </c>
      <c r="L3358">
        <v>1.7010000000000001E-2</v>
      </c>
      <c r="M3358">
        <v>0.17280000000000001</v>
      </c>
      <c r="N3358">
        <v>2.4500000000000001E-2</v>
      </c>
      <c r="O3358">
        <v>1.7430000000000001E-2</v>
      </c>
      <c r="P3358" s="3">
        <f t="shared" si="208"/>
        <v>3136.9889541882067</v>
      </c>
      <c r="Q3358" s="3">
        <f t="shared" si="209"/>
        <v>4.290539200155763E-3</v>
      </c>
      <c r="R3358" s="3">
        <f t="shared" si="210"/>
        <v>1.7010000000000001E-2</v>
      </c>
      <c r="S3358">
        <f t="shared" si="211"/>
        <v>87</v>
      </c>
      <c r="T3358">
        <f>INDEX([1]IDEN_level_ids!$B:$B,MATCH(G3358,[1]IDEN_level_ids!$A:$A,0),1)</f>
        <v>1129</v>
      </c>
      <c r="U3358">
        <f>INDEX([1]IDEN_level_ids!$B:$B,MATCH(H3358,[1]IDEN_level_ids!$A:$A,0),1)</f>
        <v>1035</v>
      </c>
    </row>
    <row r="3359" spans="1:21" hidden="1" x14ac:dyDescent="0.25">
      <c r="A3359">
        <v>31852.0399</v>
      </c>
      <c r="B3359">
        <v>3139.5162999999998</v>
      </c>
      <c r="C3359">
        <v>20</v>
      </c>
      <c r="D3359" t="s">
        <v>703</v>
      </c>
      <c r="F3359">
        <v>1974</v>
      </c>
      <c r="G3359" s="1" t="s">
        <v>212</v>
      </c>
      <c r="H3359" s="1" t="s">
        <v>475</v>
      </c>
      <c r="I3359">
        <v>0.18990000000000001</v>
      </c>
      <c r="J3359">
        <v>31852.0268</v>
      </c>
      <c r="K3359">
        <v>-1.2999999999999999E-3</v>
      </c>
      <c r="L3359">
        <v>4.5399999999999998E-3</v>
      </c>
      <c r="M3359">
        <v>4.6100000000000002E-2</v>
      </c>
      <c r="N3359">
        <v>9.4200000000000006E-2</v>
      </c>
      <c r="O3359">
        <v>5.0099999999999997E-3</v>
      </c>
      <c r="P3359" s="3">
        <f t="shared" si="208"/>
        <v>3139.5163485274925</v>
      </c>
      <c r="Q3359" s="3">
        <f t="shared" si="209"/>
        <v>-1.2912102715745277E-3</v>
      </c>
      <c r="R3359" s="3">
        <f t="shared" si="210"/>
        <v>4.5399999999999998E-3</v>
      </c>
      <c r="S3359">
        <f t="shared" si="211"/>
        <v>87</v>
      </c>
      <c r="T3359">
        <f>INDEX([1]IDEN_level_ids!$B:$B,MATCH(G3359,[1]IDEN_level_ids!$A:$A,0),1)</f>
        <v>1123</v>
      </c>
      <c r="U3359">
        <f>INDEX([1]IDEN_level_ids!$B:$B,MATCH(H3359,[1]IDEN_level_ids!$A:$A,0),1)</f>
        <v>1030</v>
      </c>
    </row>
    <row r="3360" spans="1:21" hidden="1" x14ac:dyDescent="0.25">
      <c r="A3360">
        <v>31828.401099999999</v>
      </c>
      <c r="B3360">
        <v>3141.8481000000002</v>
      </c>
      <c r="C3360">
        <v>20</v>
      </c>
      <c r="D3360" t="s">
        <v>703</v>
      </c>
      <c r="F3360">
        <v>1974</v>
      </c>
      <c r="G3360" s="1" t="s">
        <v>275</v>
      </c>
      <c r="H3360" s="1" t="s">
        <v>445</v>
      </c>
      <c r="I3360">
        <v>0</v>
      </c>
      <c r="J3360">
        <v>31828.373299999999</v>
      </c>
      <c r="K3360">
        <v>-2.7499999999999998E-3</v>
      </c>
      <c r="L3360">
        <v>4.5500000000000002E-3</v>
      </c>
      <c r="M3360">
        <v>4.6100000000000002E-2</v>
      </c>
      <c r="N3360">
        <v>9.3700000000000006E-2</v>
      </c>
      <c r="O3360">
        <v>5.0200000000000002E-3</v>
      </c>
      <c r="P3360" s="3">
        <f t="shared" si="208"/>
        <v>3141.8480521787819</v>
      </c>
      <c r="Q3360" s="3">
        <f t="shared" si="209"/>
        <v>-2.7441985498626309E-3</v>
      </c>
      <c r="R3360" s="3">
        <f t="shared" si="210"/>
        <v>4.5500000000000002E-3</v>
      </c>
      <c r="S3360">
        <f t="shared" si="211"/>
        <v>87</v>
      </c>
      <c r="T3360">
        <f>INDEX([1]IDEN_level_ids!$B:$B,MATCH(G3360,[1]IDEN_level_ids!$A:$A,0),1)</f>
        <v>1134</v>
      </c>
      <c r="U3360">
        <f>INDEX([1]IDEN_level_ids!$B:$B,MATCH(H3360,[1]IDEN_level_ids!$A:$A,0),1)</f>
        <v>1041</v>
      </c>
    </row>
    <row r="3361" spans="1:21" hidden="1" x14ac:dyDescent="0.25">
      <c r="A3361">
        <v>31802.089100000001</v>
      </c>
      <c r="B3361">
        <v>3144.4475000000002</v>
      </c>
      <c r="C3361">
        <v>20</v>
      </c>
      <c r="D3361" t="s">
        <v>703</v>
      </c>
      <c r="E3361" t="s">
        <v>678</v>
      </c>
      <c r="F3361">
        <v>1974</v>
      </c>
      <c r="G3361" s="1" t="s">
        <v>326</v>
      </c>
      <c r="H3361" s="1" t="s">
        <v>518</v>
      </c>
      <c r="I3361">
        <v>-1.0750999999999999</v>
      </c>
      <c r="J3361">
        <v>31802.074700000001</v>
      </c>
      <c r="K3361">
        <v>-1.4300000000000001E-3</v>
      </c>
      <c r="L3361">
        <v>7.1999999999999998E-3</v>
      </c>
      <c r="M3361">
        <v>7.2800000000000004E-2</v>
      </c>
      <c r="N3361">
        <v>0.11940000000000001</v>
      </c>
      <c r="O3361">
        <v>8.1799999999999998E-3</v>
      </c>
      <c r="P3361" s="3">
        <f t="shared" si="208"/>
        <v>3144.4475136697856</v>
      </c>
      <c r="Q3361" s="3">
        <f t="shared" si="209"/>
        <v>-1.4238078688322275E-3</v>
      </c>
      <c r="R3361" s="3">
        <f t="shared" si="210"/>
        <v>7.1999999999999998E-3</v>
      </c>
      <c r="S3361">
        <f t="shared" si="211"/>
        <v>87</v>
      </c>
      <c r="T3361">
        <f>INDEX([1]IDEN_level_ids!$B:$B,MATCH(G3361,[1]IDEN_level_ids!$A:$A,0),1)</f>
        <v>1148</v>
      </c>
      <c r="U3361">
        <f>INDEX([1]IDEN_level_ids!$B:$B,MATCH(H3361,[1]IDEN_level_ids!$A:$A,0),1)</f>
        <v>1074</v>
      </c>
    </row>
    <row r="3362" spans="1:21" hidden="1" x14ac:dyDescent="0.25">
      <c r="A3362">
        <v>31799.630099999998</v>
      </c>
      <c r="B3362">
        <v>3144.6907000000001</v>
      </c>
      <c r="C3362">
        <v>20</v>
      </c>
      <c r="D3362" t="s">
        <v>703</v>
      </c>
      <c r="E3362" t="s">
        <v>427</v>
      </c>
      <c r="F3362">
        <v>1974</v>
      </c>
      <c r="G3362" s="1" t="s">
        <v>141</v>
      </c>
      <c r="H3362" s="1" t="s">
        <v>545</v>
      </c>
      <c r="I3362">
        <v>0</v>
      </c>
      <c r="J3362">
        <v>31799.623200000002</v>
      </c>
      <c r="K3362">
        <v>-6.8999999999999997E-4</v>
      </c>
      <c r="L3362">
        <v>4.8199999999999996E-3</v>
      </c>
      <c r="M3362">
        <v>4.87E-2</v>
      </c>
      <c r="N3362">
        <v>8.5900000000000004E-2</v>
      </c>
      <c r="O3362">
        <v>5.2700000000000004E-3</v>
      </c>
      <c r="P3362" s="3">
        <f t="shared" si="208"/>
        <v>3144.690667329492</v>
      </c>
      <c r="Q3362" s="3">
        <f t="shared" si="209"/>
        <v>-6.823466260357236E-4</v>
      </c>
      <c r="R3362" s="3">
        <f t="shared" si="210"/>
        <v>4.8199999999999996E-3</v>
      </c>
      <c r="S3362">
        <f t="shared" si="211"/>
        <v>87</v>
      </c>
      <c r="T3362">
        <f>INDEX([1]IDEN_level_ids!$B:$B,MATCH(G3362,[1]IDEN_level_ids!$A:$A,0),1)</f>
        <v>1155</v>
      </c>
      <c r="U3362">
        <f>INDEX([1]IDEN_level_ids!$B:$B,MATCH(H3362,[1]IDEN_level_ids!$A:$A,0),1)</f>
        <v>1081</v>
      </c>
    </row>
    <row r="3363" spans="1:21" hidden="1" x14ac:dyDescent="0.25">
      <c r="A3363">
        <v>31758.232</v>
      </c>
      <c r="B3363">
        <v>3148.7899000000002</v>
      </c>
      <c r="C3363">
        <v>20</v>
      </c>
      <c r="D3363" t="s">
        <v>703</v>
      </c>
      <c r="E3363" t="s">
        <v>678</v>
      </c>
      <c r="F3363">
        <v>1974</v>
      </c>
      <c r="G3363" s="1" t="s">
        <v>276</v>
      </c>
      <c r="H3363" s="1" t="s">
        <v>437</v>
      </c>
      <c r="I3363">
        <v>-0.74060000000000004</v>
      </c>
      <c r="J3363">
        <v>31758.178599999999</v>
      </c>
      <c r="K3363">
        <v>-5.3E-3</v>
      </c>
      <c r="L3363">
        <v>7.2199999999999999E-3</v>
      </c>
      <c r="M3363">
        <v>7.2800000000000004E-2</v>
      </c>
      <c r="N3363">
        <v>5.3999999999999999E-2</v>
      </c>
      <c r="O3363">
        <v>7.6299999999999996E-3</v>
      </c>
      <c r="P3363" s="3">
        <f t="shared" si="208"/>
        <v>3148.7898948530888</v>
      </c>
      <c r="Q3363" s="3">
        <f t="shared" si="209"/>
        <v>-5.2945536490369705E-3</v>
      </c>
      <c r="R3363" s="3">
        <f t="shared" si="210"/>
        <v>7.2199999999999999E-3</v>
      </c>
      <c r="S3363">
        <f t="shared" si="211"/>
        <v>87</v>
      </c>
      <c r="T3363">
        <f>INDEX([1]IDEN_level_ids!$B:$B,MATCH(G3363,[1]IDEN_level_ids!$A:$A,0),1)</f>
        <v>1131</v>
      </c>
      <c r="U3363">
        <f>INDEX([1]IDEN_level_ids!$B:$B,MATCH(H3363,[1]IDEN_level_ids!$A:$A,0),1)</f>
        <v>1039</v>
      </c>
    </row>
    <row r="3364" spans="1:21" hidden="1" x14ac:dyDescent="0.25">
      <c r="A3364">
        <v>31734.797900000001</v>
      </c>
      <c r="B3364">
        <v>3151.1151</v>
      </c>
      <c r="C3364">
        <v>20</v>
      </c>
      <c r="D3364" t="s">
        <v>703</v>
      </c>
      <c r="E3364" t="s">
        <v>681</v>
      </c>
      <c r="F3364">
        <v>1974</v>
      </c>
      <c r="G3364" s="1" t="s">
        <v>515</v>
      </c>
      <c r="H3364" s="1" t="s">
        <v>593</v>
      </c>
      <c r="I3364">
        <v>0.29680000000000001</v>
      </c>
      <c r="J3364">
        <v>31734.900099999999</v>
      </c>
      <c r="K3364">
        <v>1.0149999999999999E-2</v>
      </c>
      <c r="L3364">
        <v>7.9699999999999997E-3</v>
      </c>
      <c r="M3364">
        <v>8.0299999999999996E-2</v>
      </c>
      <c r="N3364">
        <v>0.12820000000000001</v>
      </c>
      <c r="O3364">
        <v>9.1500000000000001E-3</v>
      </c>
      <c r="P3364" s="3">
        <f t="shared" si="208"/>
        <v>3151.115072959075</v>
      </c>
      <c r="Q3364" s="3">
        <f t="shared" si="209"/>
        <v>1.014794309867284E-2</v>
      </c>
      <c r="R3364" s="3">
        <f t="shared" si="210"/>
        <v>7.9699999999999997E-3</v>
      </c>
      <c r="S3364">
        <f t="shared" si="211"/>
        <v>87</v>
      </c>
      <c r="T3364">
        <f>INDEX([1]IDEN_level_ids!$B:$B,MATCH(G3364,[1]IDEN_level_ids!$A:$A,0),1)</f>
        <v>1140</v>
      </c>
      <c r="U3364">
        <f>INDEX([1]IDEN_level_ids!$B:$B,MATCH(H3364,[1]IDEN_level_ids!$A:$A,0),1)</f>
        <v>1059</v>
      </c>
    </row>
    <row r="3365" spans="1:21" hidden="1" x14ac:dyDescent="0.25">
      <c r="A3365">
        <v>31699.022400000002</v>
      </c>
      <c r="B3365">
        <v>3154.6714000000002</v>
      </c>
      <c r="C3365">
        <v>20</v>
      </c>
      <c r="D3365" t="s">
        <v>703</v>
      </c>
      <c r="E3365" t="s">
        <v>427</v>
      </c>
      <c r="F3365">
        <v>1974</v>
      </c>
      <c r="G3365" s="1" t="s">
        <v>141</v>
      </c>
      <c r="H3365" s="1" t="s">
        <v>384</v>
      </c>
      <c r="I3365">
        <v>0.45490000000000003</v>
      </c>
      <c r="J3365">
        <v>31699.027699999999</v>
      </c>
      <c r="K3365">
        <v>5.2999999999999998E-4</v>
      </c>
      <c r="L3365">
        <v>4.8500000000000001E-3</v>
      </c>
      <c r="M3365">
        <v>4.87E-2</v>
      </c>
      <c r="N3365">
        <v>6.1600000000000002E-2</v>
      </c>
      <c r="O3365">
        <v>5.1700000000000001E-3</v>
      </c>
      <c r="P3365" s="3">
        <f t="shared" si="208"/>
        <v>3154.6714197722386</v>
      </c>
      <c r="Q3365" s="3">
        <f t="shared" si="209"/>
        <v>5.2745335506187985E-4</v>
      </c>
      <c r="R3365" s="3">
        <f t="shared" si="210"/>
        <v>4.8500000000000001E-3</v>
      </c>
      <c r="S3365">
        <f t="shared" si="211"/>
        <v>87</v>
      </c>
      <c r="T3365">
        <f>INDEX([1]IDEN_level_ids!$B:$B,MATCH(G3365,[1]IDEN_level_ids!$A:$A,0),1)</f>
        <v>1155</v>
      </c>
      <c r="U3365">
        <f>INDEX([1]IDEN_level_ids!$B:$B,MATCH(H3365,[1]IDEN_level_ids!$A:$A,0),1)</f>
        <v>1080</v>
      </c>
    </row>
    <row r="3366" spans="1:21" hidden="1" x14ac:dyDescent="0.25">
      <c r="A3366">
        <v>31691.3089</v>
      </c>
      <c r="B3366">
        <v>3155.4393</v>
      </c>
      <c r="C3366">
        <v>20</v>
      </c>
      <c r="D3366" t="s">
        <v>703</v>
      </c>
      <c r="E3366" t="s">
        <v>427</v>
      </c>
      <c r="F3366">
        <v>1974</v>
      </c>
      <c r="G3366" s="1" t="s">
        <v>212</v>
      </c>
      <c r="H3366" s="1" t="s">
        <v>541</v>
      </c>
      <c r="I3366">
        <v>0</v>
      </c>
      <c r="J3366">
        <v>31691.350299999998</v>
      </c>
      <c r="K3366">
        <v>4.1200000000000004E-3</v>
      </c>
      <c r="L3366">
        <v>4.8500000000000001E-3</v>
      </c>
      <c r="M3366">
        <v>4.87E-2</v>
      </c>
      <c r="N3366">
        <v>0.13700000000000001</v>
      </c>
      <c r="O3366">
        <v>5.62E-3</v>
      </c>
      <c r="P3366" s="3">
        <f t="shared" si="208"/>
        <v>3155.4392504122793</v>
      </c>
      <c r="Q3366" s="3">
        <f t="shared" si="209"/>
        <v>4.1221085161851079E-3</v>
      </c>
      <c r="R3366" s="3">
        <f t="shared" si="210"/>
        <v>4.8500000000000001E-3</v>
      </c>
      <c r="S3366">
        <f t="shared" si="211"/>
        <v>87</v>
      </c>
      <c r="T3366">
        <f>INDEX([1]IDEN_level_ids!$B:$B,MATCH(G3366,[1]IDEN_level_ids!$A:$A,0),1)</f>
        <v>1123</v>
      </c>
      <c r="U3366">
        <f>INDEX([1]IDEN_level_ids!$B:$B,MATCH(H3366,[1]IDEN_level_ids!$A:$A,0),1)</f>
        <v>1028</v>
      </c>
    </row>
    <row r="3367" spans="1:21" hidden="1" x14ac:dyDescent="0.25">
      <c r="A3367">
        <v>31636.660899999999</v>
      </c>
      <c r="B3367">
        <v>3160.8897999999999</v>
      </c>
      <c r="C3367">
        <v>20</v>
      </c>
      <c r="D3367" t="s">
        <v>703</v>
      </c>
      <c r="E3367" t="s">
        <v>638</v>
      </c>
      <c r="F3367">
        <v>1974</v>
      </c>
      <c r="G3367" s="1" t="s">
        <v>511</v>
      </c>
      <c r="H3367" s="1" t="s">
        <v>416</v>
      </c>
      <c r="I3367">
        <v>-0.10050000000000001</v>
      </c>
      <c r="J3367">
        <v>31636.3655</v>
      </c>
      <c r="K3367">
        <v>-2.9520000000000001E-2</v>
      </c>
      <c r="L3367">
        <v>1.7270000000000001E-2</v>
      </c>
      <c r="M3367">
        <v>0.17280000000000001</v>
      </c>
      <c r="N3367">
        <v>3.6299999999999999E-2</v>
      </c>
      <c r="O3367">
        <v>1.7919999999999998E-2</v>
      </c>
      <c r="P3367" s="3">
        <f t="shared" si="208"/>
        <v>3160.8898396733139</v>
      </c>
      <c r="Q3367" s="3">
        <f t="shared" si="209"/>
        <v>-2.9514352988371684E-2</v>
      </c>
      <c r="R3367" s="3">
        <f t="shared" si="210"/>
        <v>1.7270000000000001E-2</v>
      </c>
      <c r="S3367">
        <f t="shared" si="211"/>
        <v>87</v>
      </c>
      <c r="T3367">
        <f>INDEX([1]IDEN_level_ids!$B:$B,MATCH(G3367,[1]IDEN_level_ids!$A:$A,0),1)</f>
        <v>1139</v>
      </c>
      <c r="U3367">
        <f>INDEX([1]IDEN_level_ids!$B:$B,MATCH(H3367,[1]IDEN_level_ids!$A:$A,0),1)</f>
        <v>1055</v>
      </c>
    </row>
    <row r="3368" spans="1:21" hidden="1" x14ac:dyDescent="0.25">
      <c r="A3368">
        <v>31635.250199999999</v>
      </c>
      <c r="B3368">
        <v>3161.0308</v>
      </c>
      <c r="C3368">
        <v>20</v>
      </c>
      <c r="D3368" t="s">
        <v>703</v>
      </c>
      <c r="E3368" t="s">
        <v>678</v>
      </c>
      <c r="F3368">
        <v>1974</v>
      </c>
      <c r="G3368" s="1" t="s">
        <v>301</v>
      </c>
      <c r="H3368" s="1" t="s">
        <v>545</v>
      </c>
      <c r="I3368">
        <v>-1.0456000000000001</v>
      </c>
      <c r="J3368">
        <v>31635.1574</v>
      </c>
      <c r="K3368">
        <v>-9.2700000000000005E-3</v>
      </c>
      <c r="L3368">
        <v>7.28E-3</v>
      </c>
      <c r="M3368">
        <v>7.2800000000000004E-2</v>
      </c>
      <c r="N3368">
        <v>7.85E-2</v>
      </c>
      <c r="O3368">
        <v>7.9000000000000008E-3</v>
      </c>
      <c r="P3368" s="3">
        <f t="shared" si="208"/>
        <v>3161.0307921636099</v>
      </c>
      <c r="Q3368" s="3">
        <f t="shared" si="209"/>
        <v>-9.2727105416088307E-3</v>
      </c>
      <c r="R3368" s="3">
        <f t="shared" si="210"/>
        <v>7.28E-3</v>
      </c>
      <c r="S3368">
        <f t="shared" si="211"/>
        <v>87</v>
      </c>
      <c r="T3368">
        <f>INDEX([1]IDEN_level_ids!$B:$B,MATCH(G3368,[1]IDEN_level_ids!$A:$A,0),1)</f>
        <v>1154</v>
      </c>
      <c r="U3368">
        <f>INDEX([1]IDEN_level_ids!$B:$B,MATCH(H3368,[1]IDEN_level_ids!$A:$A,0),1)</f>
        <v>1081</v>
      </c>
    </row>
    <row r="3369" spans="1:21" hidden="1" x14ac:dyDescent="0.25">
      <c r="A3369">
        <v>31623.101200000001</v>
      </c>
      <c r="B3369">
        <v>3162.2451999999998</v>
      </c>
      <c r="C3369">
        <v>20</v>
      </c>
      <c r="D3369" t="s">
        <v>703</v>
      </c>
      <c r="E3369" t="s">
        <v>681</v>
      </c>
      <c r="F3369">
        <v>1974</v>
      </c>
      <c r="G3369" s="1" t="s">
        <v>697</v>
      </c>
      <c r="H3369" s="1" t="s">
        <v>498</v>
      </c>
      <c r="I3369">
        <v>9.4299999999999995E-2</v>
      </c>
      <c r="J3369">
        <v>31623.226900000001</v>
      </c>
      <c r="K3369">
        <v>1.257E-2</v>
      </c>
      <c r="L3369">
        <v>8.0300000000000007E-3</v>
      </c>
      <c r="M3369">
        <v>8.0299999999999996E-2</v>
      </c>
      <c r="N3369">
        <v>0.17449999999999999</v>
      </c>
      <c r="O3369">
        <v>9.7300000000000008E-3</v>
      </c>
      <c r="P3369" s="3">
        <f t="shared" si="208"/>
        <v>3162.2452006699455</v>
      </c>
      <c r="Q3369" s="3">
        <f t="shared" si="209"/>
        <v>1.2569691985390818E-2</v>
      </c>
      <c r="R3369" s="3">
        <f t="shared" si="210"/>
        <v>8.0300000000000007E-3</v>
      </c>
      <c r="S3369">
        <f t="shared" si="211"/>
        <v>87</v>
      </c>
      <c r="T3369">
        <f>INDEX([1]IDEN_level_ids!$B:$B,MATCH(G3369,[1]IDEN_level_ids!$A:$A,0),1)</f>
        <v>1089</v>
      </c>
      <c r="U3369">
        <f>INDEX([1]IDEN_level_ids!$B:$B,MATCH(H3369,[1]IDEN_level_ids!$A:$A,0),1)</f>
        <v>953</v>
      </c>
    </row>
    <row r="3370" spans="1:21" hidden="1" x14ac:dyDescent="0.25">
      <c r="A3370">
        <v>31597.677899999999</v>
      </c>
      <c r="B3370">
        <v>3164.7894999999999</v>
      </c>
      <c r="C3370">
        <v>20</v>
      </c>
      <c r="D3370" t="s">
        <v>703</v>
      </c>
      <c r="E3370" t="s">
        <v>681</v>
      </c>
      <c r="F3370">
        <v>1974</v>
      </c>
      <c r="G3370" s="1" t="s">
        <v>279</v>
      </c>
      <c r="H3370" s="1" t="s">
        <v>552</v>
      </c>
      <c r="I3370">
        <v>0.27579999999999999</v>
      </c>
      <c r="J3370">
        <v>31597.668799999999</v>
      </c>
      <c r="K3370">
        <v>-9.1E-4</v>
      </c>
      <c r="L3370">
        <v>8.0400000000000003E-3</v>
      </c>
      <c r="M3370">
        <v>8.0299999999999996E-2</v>
      </c>
      <c r="N3370">
        <v>6.0999999999999999E-2</v>
      </c>
      <c r="O3370">
        <v>8.5699999999999995E-3</v>
      </c>
      <c r="P3370" s="3">
        <f t="shared" si="208"/>
        <v>3164.7895239795453</v>
      </c>
      <c r="Q3370" s="3">
        <f t="shared" si="209"/>
        <v>-9.1144650104979519E-4</v>
      </c>
      <c r="R3370" s="3">
        <f t="shared" si="210"/>
        <v>8.0400000000000003E-3</v>
      </c>
      <c r="S3370">
        <f t="shared" si="211"/>
        <v>87</v>
      </c>
      <c r="T3370">
        <f>INDEX([1]IDEN_level_ids!$B:$B,MATCH(G3370,[1]IDEN_level_ids!$A:$A,0),1)</f>
        <v>1129</v>
      </c>
      <c r="U3370">
        <f>INDEX([1]IDEN_level_ids!$B:$B,MATCH(H3370,[1]IDEN_level_ids!$A:$A,0),1)</f>
        <v>1040</v>
      </c>
    </row>
    <row r="3371" spans="1:21" hidden="1" x14ac:dyDescent="0.25">
      <c r="A3371">
        <v>31564.078300000001</v>
      </c>
      <c r="B3371">
        <v>3168.1583999999998</v>
      </c>
      <c r="C3371">
        <v>20</v>
      </c>
      <c r="D3371" t="s">
        <v>703</v>
      </c>
      <c r="E3371" t="s">
        <v>681</v>
      </c>
      <c r="F3371">
        <v>1974</v>
      </c>
      <c r="G3371" s="1" t="s">
        <v>443</v>
      </c>
      <c r="H3371" s="1" t="s">
        <v>407</v>
      </c>
      <c r="I3371">
        <v>0.51590000000000003</v>
      </c>
      <c r="J3371">
        <v>31564.0916</v>
      </c>
      <c r="K3371">
        <v>1.33E-3</v>
      </c>
      <c r="L3371">
        <v>8.0599999999999995E-3</v>
      </c>
      <c r="M3371">
        <v>8.0299999999999996E-2</v>
      </c>
      <c r="N3371">
        <v>5.7200000000000001E-2</v>
      </c>
      <c r="O3371">
        <v>8.5500000000000003E-3</v>
      </c>
      <c r="P3371" s="3">
        <f t="shared" si="208"/>
        <v>3168.1584061968315</v>
      </c>
      <c r="Q3371" s="3">
        <f t="shared" si="209"/>
        <v>1.3349507194106991E-3</v>
      </c>
      <c r="R3371" s="3">
        <f t="shared" si="210"/>
        <v>8.0599999999999995E-3</v>
      </c>
      <c r="S3371">
        <f t="shared" si="211"/>
        <v>87</v>
      </c>
      <c r="T3371">
        <f>INDEX([1]IDEN_level_ids!$B:$B,MATCH(G3371,[1]IDEN_level_ids!$A:$A,0),1)</f>
        <v>1145</v>
      </c>
      <c r="U3371">
        <f>INDEX([1]IDEN_level_ids!$B:$B,MATCH(H3371,[1]IDEN_level_ids!$A:$A,0),1)</f>
        <v>1073</v>
      </c>
    </row>
    <row r="3372" spans="1:21" hidden="1" x14ac:dyDescent="0.25">
      <c r="A3372">
        <v>31535.1718</v>
      </c>
      <c r="B3372">
        <v>3171.0625</v>
      </c>
      <c r="C3372">
        <v>20</v>
      </c>
      <c r="D3372" t="s">
        <v>703</v>
      </c>
      <c r="E3372" t="s">
        <v>638</v>
      </c>
      <c r="F3372">
        <v>1974</v>
      </c>
      <c r="G3372" s="1" t="s">
        <v>301</v>
      </c>
      <c r="H3372" s="1" t="s">
        <v>384</v>
      </c>
      <c r="I3372">
        <v>-0.1033</v>
      </c>
      <c r="J3372">
        <v>31535.049299999999</v>
      </c>
      <c r="K3372">
        <v>-1.231E-2</v>
      </c>
      <c r="L3372">
        <v>1.738E-2</v>
      </c>
      <c r="M3372">
        <v>0.17280000000000001</v>
      </c>
      <c r="N3372">
        <v>3.2199999999999999E-2</v>
      </c>
      <c r="O3372">
        <v>1.796E-2</v>
      </c>
      <c r="P3372" s="3">
        <f t="shared" si="208"/>
        <v>3171.0624769768974</v>
      </c>
      <c r="Q3372" s="3">
        <f t="shared" si="209"/>
        <v>-1.231820346083623E-2</v>
      </c>
      <c r="R3372" s="3">
        <f t="shared" si="210"/>
        <v>1.738E-2</v>
      </c>
      <c r="S3372">
        <f t="shared" si="211"/>
        <v>87</v>
      </c>
      <c r="T3372">
        <f>INDEX([1]IDEN_level_ids!$B:$B,MATCH(G3372,[1]IDEN_level_ids!$A:$A,0),1)</f>
        <v>1154</v>
      </c>
      <c r="U3372">
        <f>INDEX([1]IDEN_level_ids!$B:$B,MATCH(H3372,[1]IDEN_level_ids!$A:$A,0),1)</f>
        <v>1080</v>
      </c>
    </row>
    <row r="3373" spans="1:21" hidden="1" x14ac:dyDescent="0.25">
      <c r="A3373">
        <v>31507.278200000001</v>
      </c>
      <c r="B3373">
        <v>3173.8697999999999</v>
      </c>
      <c r="C3373">
        <v>20</v>
      </c>
      <c r="D3373" t="s">
        <v>703</v>
      </c>
      <c r="E3373" t="s">
        <v>678</v>
      </c>
      <c r="F3373">
        <v>1974</v>
      </c>
      <c r="G3373" s="1" t="s">
        <v>326</v>
      </c>
      <c r="H3373" s="1" t="s">
        <v>398</v>
      </c>
      <c r="I3373">
        <v>-0.7339</v>
      </c>
      <c r="J3373">
        <v>31507.294999999998</v>
      </c>
      <c r="K3373">
        <v>1.6999999999999999E-3</v>
      </c>
      <c r="L3373">
        <v>7.3400000000000002E-3</v>
      </c>
      <c r="M3373">
        <v>7.2800000000000004E-2</v>
      </c>
      <c r="N3373">
        <v>8.3799999999999999E-2</v>
      </c>
      <c r="O3373">
        <v>8.0099999999999998E-3</v>
      </c>
      <c r="P3373" s="3">
        <f t="shared" si="208"/>
        <v>3173.8698393820637</v>
      </c>
      <c r="Q3373" s="3">
        <f t="shared" si="209"/>
        <v>1.6923386565395049E-3</v>
      </c>
      <c r="R3373" s="3">
        <f t="shared" si="210"/>
        <v>7.3400000000000002E-3</v>
      </c>
      <c r="S3373">
        <f t="shared" si="211"/>
        <v>87</v>
      </c>
      <c r="T3373">
        <f>INDEX([1]IDEN_level_ids!$B:$B,MATCH(G3373,[1]IDEN_level_ids!$A:$A,0),1)</f>
        <v>1148</v>
      </c>
      <c r="U3373">
        <f>INDEX([1]IDEN_level_ids!$B:$B,MATCH(H3373,[1]IDEN_level_ids!$A:$A,0),1)</f>
        <v>1075</v>
      </c>
    </row>
    <row r="3374" spans="1:21" hidden="1" x14ac:dyDescent="0.25">
      <c r="A3374">
        <v>31468.7585</v>
      </c>
      <c r="B3374">
        <v>3177.7548000000002</v>
      </c>
      <c r="C3374">
        <v>20</v>
      </c>
      <c r="D3374" t="s">
        <v>704</v>
      </c>
      <c r="E3374" t="s">
        <v>681</v>
      </c>
      <c r="F3374">
        <v>1974</v>
      </c>
      <c r="G3374" s="1" t="s">
        <v>492</v>
      </c>
      <c r="H3374" s="1" t="s">
        <v>445</v>
      </c>
      <c r="I3374">
        <v>0.25629999999999997</v>
      </c>
      <c r="J3374">
        <v>31468.676200000002</v>
      </c>
      <c r="K3374">
        <v>-8.3099999999999997E-3</v>
      </c>
      <c r="L3374">
        <v>8.1099999999999992E-3</v>
      </c>
      <c r="M3374">
        <v>8.0299999999999996E-2</v>
      </c>
      <c r="N3374">
        <v>8.3699999999999997E-2</v>
      </c>
      <c r="O3374">
        <v>8.8500000000000002E-3</v>
      </c>
      <c r="P3374" s="3">
        <f t="shared" si="208"/>
        <v>3177.7548516888583</v>
      </c>
      <c r="Q3374" s="3">
        <f t="shared" si="209"/>
        <v>-8.3107793484487047E-3</v>
      </c>
      <c r="R3374" s="3">
        <f t="shared" si="210"/>
        <v>8.1099999999999992E-3</v>
      </c>
      <c r="S3374">
        <f t="shared" si="211"/>
        <v>88</v>
      </c>
      <c r="T3374">
        <f>INDEX([1]IDEN_level_ids!$B:$B,MATCH(G3374,[1]IDEN_level_ids!$A:$A,0),1)</f>
        <v>1132</v>
      </c>
      <c r="U3374">
        <f>INDEX([1]IDEN_level_ids!$B:$B,MATCH(H3374,[1]IDEN_level_ids!$A:$A,0),1)</f>
        <v>1041</v>
      </c>
    </row>
    <row r="3375" spans="1:21" hidden="1" x14ac:dyDescent="0.25">
      <c r="A3375">
        <v>31455.3704</v>
      </c>
      <c r="B3375">
        <v>3179.1073999999999</v>
      </c>
      <c r="C3375">
        <v>20</v>
      </c>
      <c r="D3375" t="s">
        <v>704</v>
      </c>
      <c r="E3375" t="s">
        <v>678</v>
      </c>
      <c r="F3375">
        <v>1974</v>
      </c>
      <c r="G3375" s="1" t="s">
        <v>319</v>
      </c>
      <c r="H3375" s="1" t="s">
        <v>466</v>
      </c>
      <c r="I3375">
        <v>-0.67579999999999996</v>
      </c>
      <c r="J3375">
        <v>31455.29</v>
      </c>
      <c r="K3375">
        <v>-8.1300000000000001E-3</v>
      </c>
      <c r="L3375">
        <v>7.3600000000000002E-3</v>
      </c>
      <c r="M3375">
        <v>7.2800000000000004E-2</v>
      </c>
      <c r="N3375">
        <v>0.10730000000000001</v>
      </c>
      <c r="O3375">
        <v>8.2500000000000004E-3</v>
      </c>
      <c r="P3375" s="3">
        <f t="shared" si="208"/>
        <v>3179.1073743007014</v>
      </c>
      <c r="Q3375" s="3">
        <f t="shared" si="209"/>
        <v>-8.125826622290333E-3</v>
      </c>
      <c r="R3375" s="3">
        <f t="shared" si="210"/>
        <v>7.3600000000000002E-3</v>
      </c>
      <c r="S3375">
        <f t="shared" si="211"/>
        <v>88</v>
      </c>
      <c r="T3375">
        <f>INDEX([1]IDEN_level_ids!$B:$B,MATCH(G3375,[1]IDEN_level_ids!$A:$A,0),1)</f>
        <v>1141</v>
      </c>
      <c r="U3375">
        <f>INDEX([1]IDEN_level_ids!$B:$B,MATCH(H3375,[1]IDEN_level_ids!$A:$A,0),1)</f>
        <v>1061</v>
      </c>
    </row>
    <row r="3376" spans="1:21" hidden="1" x14ac:dyDescent="0.25">
      <c r="A3376">
        <v>31445.538100000002</v>
      </c>
      <c r="B3376">
        <v>3180.1014</v>
      </c>
      <c r="C3376">
        <v>20</v>
      </c>
      <c r="D3376" t="s">
        <v>704</v>
      </c>
      <c r="E3376" t="s">
        <v>661</v>
      </c>
      <c r="F3376">
        <v>1974</v>
      </c>
      <c r="G3376" s="1" t="s">
        <v>141</v>
      </c>
      <c r="H3376" s="1" t="s">
        <v>386</v>
      </c>
      <c r="I3376">
        <v>0.22500000000000001</v>
      </c>
      <c r="J3376">
        <v>31445.4908</v>
      </c>
      <c r="K3376">
        <v>-4.7800000000000004E-3</v>
      </c>
      <c r="L3376">
        <v>5.1200000000000004E-3</v>
      </c>
      <c r="M3376">
        <v>5.0700000000000002E-2</v>
      </c>
      <c r="N3376">
        <v>5.67E-2</v>
      </c>
      <c r="O3376">
        <v>5.4299999999999999E-3</v>
      </c>
      <c r="P3376" s="3">
        <f t="shared" si="208"/>
        <v>3180.101408409354</v>
      </c>
      <c r="Q3376" s="3">
        <f t="shared" si="209"/>
        <v>-4.7834774650254985E-3</v>
      </c>
      <c r="R3376" s="3">
        <f t="shared" si="210"/>
        <v>5.1200000000000004E-3</v>
      </c>
      <c r="S3376">
        <f t="shared" si="211"/>
        <v>88</v>
      </c>
      <c r="T3376">
        <f>INDEX([1]IDEN_level_ids!$B:$B,MATCH(G3376,[1]IDEN_level_ids!$A:$A,0),1)</f>
        <v>1155</v>
      </c>
      <c r="U3376">
        <f>INDEX([1]IDEN_level_ids!$B:$B,MATCH(H3376,[1]IDEN_level_ids!$A:$A,0),1)</f>
        <v>1082</v>
      </c>
    </row>
    <row r="3377" spans="1:21" hidden="1" x14ac:dyDescent="0.25">
      <c r="A3377">
        <v>31418.5589</v>
      </c>
      <c r="B3377">
        <v>3182.8321999999998</v>
      </c>
      <c r="C3377">
        <v>20</v>
      </c>
      <c r="D3377" t="s">
        <v>704</v>
      </c>
      <c r="F3377">
        <v>1974</v>
      </c>
      <c r="G3377" s="1" t="s">
        <v>309</v>
      </c>
      <c r="H3377" s="1" t="s">
        <v>495</v>
      </c>
      <c r="I3377">
        <v>0.1328</v>
      </c>
      <c r="J3377">
        <v>31418.524300000001</v>
      </c>
      <c r="K3377">
        <v>-3.5100000000000001E-3</v>
      </c>
      <c r="L3377">
        <v>4.6699999999999997E-3</v>
      </c>
      <c r="M3377">
        <v>4.6100000000000002E-2</v>
      </c>
      <c r="N3377">
        <v>0.1971</v>
      </c>
      <c r="O3377">
        <v>5.8100000000000001E-3</v>
      </c>
      <c r="P3377" s="3">
        <f t="shared" si="208"/>
        <v>3182.8321699376224</v>
      </c>
      <c r="Q3377" s="3">
        <f t="shared" si="209"/>
        <v>-3.5051293953074492E-3</v>
      </c>
      <c r="R3377" s="3">
        <f t="shared" si="210"/>
        <v>4.6699999999999997E-3</v>
      </c>
      <c r="S3377">
        <f t="shared" si="211"/>
        <v>88</v>
      </c>
      <c r="T3377">
        <f>INDEX([1]IDEN_level_ids!$B:$B,MATCH(G3377,[1]IDEN_level_ids!$A:$A,0),1)</f>
        <v>1094</v>
      </c>
      <c r="U3377">
        <f>INDEX([1]IDEN_level_ids!$B:$B,MATCH(H3377,[1]IDEN_level_ids!$A:$A,0),1)</f>
        <v>960</v>
      </c>
    </row>
    <row r="3378" spans="1:21" hidden="1" x14ac:dyDescent="0.25">
      <c r="A3378">
        <v>31319.530599999998</v>
      </c>
      <c r="B3378">
        <v>3192.8959</v>
      </c>
      <c r="C3378">
        <v>20</v>
      </c>
      <c r="D3378" t="s">
        <v>704</v>
      </c>
      <c r="E3378" t="s">
        <v>678</v>
      </c>
      <c r="F3378">
        <v>1974</v>
      </c>
      <c r="G3378" s="1" t="s">
        <v>511</v>
      </c>
      <c r="H3378" s="1" t="s">
        <v>410</v>
      </c>
      <c r="I3378">
        <v>-0.71850000000000003</v>
      </c>
      <c r="J3378">
        <v>31319.527600000001</v>
      </c>
      <c r="K3378">
        <v>-2.9999999999999997E-4</v>
      </c>
      <c r="L3378">
        <v>7.4200000000000004E-3</v>
      </c>
      <c r="M3378">
        <v>7.2800000000000004E-2</v>
      </c>
      <c r="N3378">
        <v>8.0199999999999994E-2</v>
      </c>
      <c r="O3378">
        <v>8.0700000000000008E-3</v>
      </c>
      <c r="P3378" s="3">
        <f t="shared" si="208"/>
        <v>3192.8958730945988</v>
      </c>
      <c r="Q3378" s="3">
        <f t="shared" si="209"/>
        <v>-3.0583755096813547E-4</v>
      </c>
      <c r="R3378" s="3">
        <f t="shared" si="210"/>
        <v>7.4200000000000004E-3</v>
      </c>
      <c r="S3378">
        <f t="shared" si="211"/>
        <v>88</v>
      </c>
      <c r="T3378">
        <f>INDEX([1]IDEN_level_ids!$B:$B,MATCH(G3378,[1]IDEN_level_ids!$A:$A,0),1)</f>
        <v>1139</v>
      </c>
      <c r="U3378">
        <f>INDEX([1]IDEN_level_ids!$B:$B,MATCH(H3378,[1]IDEN_level_ids!$A:$A,0),1)</f>
        <v>1056</v>
      </c>
    </row>
    <row r="3379" spans="1:21" hidden="1" x14ac:dyDescent="0.25">
      <c r="A3379">
        <v>31280.97</v>
      </c>
      <c r="B3379">
        <v>3196.8317999999999</v>
      </c>
      <c r="C3379">
        <v>20</v>
      </c>
      <c r="D3379" t="s">
        <v>704</v>
      </c>
      <c r="E3379" t="s">
        <v>678</v>
      </c>
      <c r="F3379">
        <v>1974</v>
      </c>
      <c r="G3379" s="1" t="s">
        <v>301</v>
      </c>
      <c r="H3379" s="1" t="s">
        <v>386</v>
      </c>
      <c r="I3379">
        <v>-0.80520000000000003</v>
      </c>
      <c r="J3379">
        <v>31281.040499999999</v>
      </c>
      <c r="K3379">
        <v>7.2100000000000003E-3</v>
      </c>
      <c r="L3379">
        <v>7.4400000000000004E-3</v>
      </c>
      <c r="M3379">
        <v>7.2800000000000004E-2</v>
      </c>
      <c r="N3379">
        <v>6.4000000000000001E-2</v>
      </c>
      <c r="O3379">
        <v>7.9500000000000005E-3</v>
      </c>
      <c r="P3379" s="3">
        <f t="shared" si="208"/>
        <v>3196.8318118012326</v>
      </c>
      <c r="Q3379" s="3">
        <f t="shared" si="209"/>
        <v>7.2048959732455842E-3</v>
      </c>
      <c r="R3379" s="3">
        <f t="shared" si="210"/>
        <v>7.4400000000000004E-3</v>
      </c>
      <c r="S3379">
        <f t="shared" si="211"/>
        <v>88</v>
      </c>
      <c r="T3379">
        <f>INDEX([1]IDEN_level_ids!$B:$B,MATCH(G3379,[1]IDEN_level_ids!$A:$A,0),1)</f>
        <v>1154</v>
      </c>
      <c r="U3379">
        <f>INDEX([1]IDEN_level_ids!$B:$B,MATCH(H3379,[1]IDEN_level_ids!$A:$A,0),1)</f>
        <v>1082</v>
      </c>
    </row>
    <row r="3380" spans="1:21" hidden="1" x14ac:dyDescent="0.25">
      <c r="A3380">
        <v>31248.010600000001</v>
      </c>
      <c r="B3380">
        <v>3200.2037</v>
      </c>
      <c r="C3380">
        <v>20</v>
      </c>
      <c r="D3380" t="s">
        <v>704</v>
      </c>
      <c r="E3380" t="s">
        <v>681</v>
      </c>
      <c r="F3380">
        <v>1974</v>
      </c>
      <c r="G3380" s="1" t="s">
        <v>279</v>
      </c>
      <c r="H3380" s="1" t="s">
        <v>437</v>
      </c>
      <c r="I3380">
        <v>0.55720000000000003</v>
      </c>
      <c r="J3380">
        <v>31248.0543</v>
      </c>
      <c r="K3380">
        <v>4.47E-3</v>
      </c>
      <c r="L3380">
        <v>8.2299999999999995E-3</v>
      </c>
      <c r="M3380">
        <v>8.0299999999999996E-2</v>
      </c>
      <c r="N3380">
        <v>5.0299999999999997E-2</v>
      </c>
      <c r="O3380">
        <v>8.6599999999999993E-3</v>
      </c>
      <c r="P3380" s="3">
        <f t="shared" si="208"/>
        <v>3200.2037275294574</v>
      </c>
      <c r="Q3380" s="3">
        <f t="shared" si="209"/>
        <v>4.4754435443792318E-3</v>
      </c>
      <c r="R3380" s="3">
        <f t="shared" si="210"/>
        <v>8.2299999999999995E-3</v>
      </c>
      <c r="S3380">
        <f t="shared" si="211"/>
        <v>88</v>
      </c>
      <c r="T3380">
        <f>INDEX([1]IDEN_level_ids!$B:$B,MATCH(G3380,[1]IDEN_level_ids!$A:$A,0),1)</f>
        <v>1129</v>
      </c>
      <c r="U3380">
        <f>INDEX([1]IDEN_level_ids!$B:$B,MATCH(H3380,[1]IDEN_level_ids!$A:$A,0),1)</f>
        <v>1039</v>
      </c>
    </row>
    <row r="3381" spans="1:21" hidden="1" x14ac:dyDescent="0.25">
      <c r="A3381">
        <v>31246.281299999999</v>
      </c>
      <c r="B3381">
        <v>3200.3807999999999</v>
      </c>
      <c r="C3381">
        <v>20</v>
      </c>
      <c r="D3381" t="s">
        <v>704</v>
      </c>
      <c r="E3381" t="s">
        <v>681</v>
      </c>
      <c r="F3381">
        <v>1974</v>
      </c>
      <c r="G3381" s="1" t="s">
        <v>443</v>
      </c>
      <c r="H3381" s="1" t="s">
        <v>398</v>
      </c>
      <c r="I3381">
        <v>0.56330000000000002</v>
      </c>
      <c r="J3381">
        <v>31246.255000000001</v>
      </c>
      <c r="K3381">
        <v>-2.7000000000000001E-3</v>
      </c>
      <c r="L3381">
        <v>8.2299999999999995E-3</v>
      </c>
      <c r="M3381">
        <v>8.0299999999999996E-2</v>
      </c>
      <c r="N3381">
        <v>5.9499999999999997E-2</v>
      </c>
      <c r="O3381">
        <v>8.7500000000000008E-3</v>
      </c>
      <c r="P3381" s="3">
        <f t="shared" si="208"/>
        <v>3200.3808401993747</v>
      </c>
      <c r="Q3381" s="3">
        <f t="shared" si="209"/>
        <v>-2.6937633351735712E-3</v>
      </c>
      <c r="R3381" s="3">
        <f t="shared" si="210"/>
        <v>8.2299999999999995E-3</v>
      </c>
      <c r="S3381">
        <f t="shared" si="211"/>
        <v>88</v>
      </c>
      <c r="T3381">
        <f>INDEX([1]IDEN_level_ids!$B:$B,MATCH(G3381,[1]IDEN_level_ids!$A:$A,0),1)</f>
        <v>1145</v>
      </c>
      <c r="U3381">
        <f>INDEX([1]IDEN_level_ids!$B:$B,MATCH(H3381,[1]IDEN_level_ids!$A:$A,0),1)</f>
        <v>1075</v>
      </c>
    </row>
    <row r="3382" spans="1:21" hidden="1" x14ac:dyDescent="0.25">
      <c r="A3382">
        <v>31237.809099999999</v>
      </c>
      <c r="B3382">
        <v>3201.2487999999998</v>
      </c>
      <c r="C3382">
        <v>20</v>
      </c>
      <c r="D3382" t="s">
        <v>704</v>
      </c>
      <c r="E3382" t="s">
        <v>678</v>
      </c>
      <c r="F3382">
        <v>1974</v>
      </c>
      <c r="G3382" s="1" t="s">
        <v>504</v>
      </c>
      <c r="H3382" s="1" t="s">
        <v>472</v>
      </c>
      <c r="I3382">
        <v>-1.0155000000000001</v>
      </c>
      <c r="J3382">
        <v>31237.8531</v>
      </c>
      <c r="K3382">
        <v>4.5100000000000001E-3</v>
      </c>
      <c r="L3382">
        <v>7.4599999999999996E-3</v>
      </c>
      <c r="M3382">
        <v>7.2800000000000004E-2</v>
      </c>
      <c r="N3382">
        <v>7.9500000000000001E-2</v>
      </c>
      <c r="O3382">
        <v>8.1099999999999992E-3</v>
      </c>
      <c r="P3382" s="3">
        <f t="shared" si="208"/>
        <v>3201.2488353416566</v>
      </c>
      <c r="Q3382" s="3">
        <f t="shared" si="209"/>
        <v>4.5091110550856683E-3</v>
      </c>
      <c r="R3382" s="3">
        <f t="shared" si="210"/>
        <v>7.4599999999999996E-3</v>
      </c>
      <c r="S3382">
        <f t="shared" si="211"/>
        <v>88</v>
      </c>
      <c r="T3382">
        <f>INDEX([1]IDEN_level_ids!$B:$B,MATCH(G3382,[1]IDEN_level_ids!$A:$A,0),1)</f>
        <v>1118</v>
      </c>
      <c r="U3382">
        <f>INDEX([1]IDEN_level_ids!$B:$B,MATCH(H3382,[1]IDEN_level_ids!$A:$A,0),1)</f>
        <v>1012</v>
      </c>
    </row>
    <row r="3383" spans="1:21" hidden="1" x14ac:dyDescent="0.25">
      <c r="A3383">
        <v>31177.370699999999</v>
      </c>
      <c r="B3383">
        <v>3207.4546</v>
      </c>
      <c r="C3383">
        <v>20</v>
      </c>
      <c r="D3383" t="s">
        <v>704</v>
      </c>
      <c r="E3383" t="s">
        <v>638</v>
      </c>
      <c r="F3383">
        <v>1974</v>
      </c>
      <c r="G3383" s="1" t="s">
        <v>691</v>
      </c>
      <c r="H3383" s="1" t="s">
        <v>509</v>
      </c>
      <c r="I3383">
        <v>-9.3600000000000003E-2</v>
      </c>
      <c r="J3383">
        <v>31177.059700000002</v>
      </c>
      <c r="K3383">
        <v>-3.2000000000000001E-2</v>
      </c>
      <c r="L3383">
        <v>1.7780000000000001E-2</v>
      </c>
      <c r="M3383">
        <v>0.17280000000000001</v>
      </c>
      <c r="N3383">
        <v>4.6100000000000002E-2</v>
      </c>
      <c r="O3383">
        <v>1.864E-2</v>
      </c>
      <c r="P3383" s="3">
        <f t="shared" si="208"/>
        <v>3207.4545657565664</v>
      </c>
      <c r="Q3383" s="3">
        <f t="shared" si="209"/>
        <v>-3.1995267660022364E-2</v>
      </c>
      <c r="R3383" s="3">
        <f t="shared" si="210"/>
        <v>1.7780000000000001E-2</v>
      </c>
      <c r="S3383">
        <f t="shared" si="211"/>
        <v>88</v>
      </c>
      <c r="T3383">
        <f>INDEX([1]IDEN_level_ids!$B:$B,MATCH(G3383,[1]IDEN_level_ids!$A:$A,0),1)</f>
        <v>1092</v>
      </c>
      <c r="U3383">
        <f>INDEX([1]IDEN_level_ids!$B:$B,MATCH(H3383,[1]IDEN_level_ids!$A:$A,0),1)</f>
        <v>956</v>
      </c>
    </row>
    <row r="3384" spans="1:21" hidden="1" x14ac:dyDescent="0.25">
      <c r="A3384">
        <v>31157.559600000001</v>
      </c>
      <c r="B3384">
        <v>3209.4940000000001</v>
      </c>
      <c r="C3384">
        <v>20</v>
      </c>
      <c r="D3384" t="s">
        <v>704</v>
      </c>
      <c r="E3384" t="s">
        <v>678</v>
      </c>
      <c r="F3384">
        <v>1974</v>
      </c>
      <c r="G3384" s="1" t="s">
        <v>511</v>
      </c>
      <c r="H3384" s="1" t="s">
        <v>600</v>
      </c>
      <c r="I3384">
        <v>-0.83</v>
      </c>
      <c r="J3384">
        <v>31157.531999999999</v>
      </c>
      <c r="K3384">
        <v>-2.8500000000000001E-3</v>
      </c>
      <c r="L3384">
        <v>7.4999999999999997E-3</v>
      </c>
      <c r="M3384">
        <v>7.2800000000000004E-2</v>
      </c>
      <c r="N3384">
        <v>8.3799999999999999E-2</v>
      </c>
      <c r="O3384">
        <v>8.1899999999999994E-3</v>
      </c>
      <c r="P3384" s="3">
        <f t="shared" si="208"/>
        <v>3209.4939810369488</v>
      </c>
      <c r="Q3384" s="3">
        <f t="shared" si="209"/>
        <v>-2.8430375641619321E-3</v>
      </c>
      <c r="R3384" s="3">
        <f t="shared" si="210"/>
        <v>7.4999999999999997E-3</v>
      </c>
      <c r="S3384">
        <f t="shared" si="211"/>
        <v>88</v>
      </c>
      <c r="T3384">
        <f>INDEX([1]IDEN_level_ids!$B:$B,MATCH(G3384,[1]IDEN_level_ids!$A:$A,0),1)</f>
        <v>1139</v>
      </c>
      <c r="U3384">
        <f>INDEX([1]IDEN_level_ids!$B:$B,MATCH(H3384,[1]IDEN_level_ids!$A:$A,0),1)</f>
        <v>1058</v>
      </c>
    </row>
    <row r="3385" spans="1:21" hidden="1" x14ac:dyDescent="0.25">
      <c r="A3385">
        <v>31156.628499999999</v>
      </c>
      <c r="B3385">
        <v>3209.5898999999999</v>
      </c>
      <c r="C3385">
        <v>20</v>
      </c>
      <c r="D3385" t="s">
        <v>704</v>
      </c>
      <c r="E3385" t="s">
        <v>638</v>
      </c>
      <c r="F3385">
        <v>1974</v>
      </c>
      <c r="G3385" s="1" t="s">
        <v>288</v>
      </c>
      <c r="H3385" s="1" t="s">
        <v>384</v>
      </c>
      <c r="I3385">
        <v>8.9800000000000005E-2</v>
      </c>
      <c r="J3385">
        <v>31156.311600000001</v>
      </c>
      <c r="K3385">
        <v>-3.2649999999999998E-2</v>
      </c>
      <c r="L3385">
        <v>1.78E-2</v>
      </c>
      <c r="M3385">
        <v>0.17280000000000001</v>
      </c>
      <c r="N3385">
        <v>2.6800000000000001E-2</v>
      </c>
      <c r="O3385">
        <v>1.8290000000000001E-2</v>
      </c>
      <c r="P3385" s="3">
        <f t="shared" si="208"/>
        <v>3209.589895132588</v>
      </c>
      <c r="Q3385" s="3">
        <f t="shared" si="209"/>
        <v>-3.264568190297723E-2</v>
      </c>
      <c r="R3385" s="3">
        <f t="shared" si="210"/>
        <v>1.78E-2</v>
      </c>
      <c r="S3385">
        <f t="shared" si="211"/>
        <v>88</v>
      </c>
      <c r="T3385">
        <f>INDEX([1]IDEN_level_ids!$B:$B,MATCH(G3385,[1]IDEN_level_ids!$A:$A,0),1)</f>
        <v>1151</v>
      </c>
      <c r="U3385">
        <f>INDEX([1]IDEN_level_ids!$B:$B,MATCH(H3385,[1]IDEN_level_ids!$A:$A,0),1)</f>
        <v>1080</v>
      </c>
    </row>
    <row r="3386" spans="1:21" hidden="1" x14ac:dyDescent="0.25">
      <c r="A3386">
        <v>31056.780900000002</v>
      </c>
      <c r="B3386">
        <v>3219.9087</v>
      </c>
      <c r="C3386">
        <v>21</v>
      </c>
      <c r="D3386" t="s">
        <v>705</v>
      </c>
      <c r="E3386" t="s">
        <v>678</v>
      </c>
      <c r="F3386">
        <v>1974</v>
      </c>
      <c r="G3386" s="1" t="s">
        <v>319</v>
      </c>
      <c r="H3386" s="1" t="s">
        <v>451</v>
      </c>
      <c r="I3386">
        <v>-0.67889999999999995</v>
      </c>
      <c r="J3386">
        <v>31056.756000000001</v>
      </c>
      <c r="K3386">
        <v>-2.5799999999999998E-3</v>
      </c>
      <c r="L3386">
        <v>7.5500000000000003E-3</v>
      </c>
      <c r="M3386">
        <v>7.2800000000000004E-2</v>
      </c>
      <c r="N3386">
        <v>0.1125</v>
      </c>
      <c r="O3386">
        <v>8.5100000000000002E-3</v>
      </c>
      <c r="P3386" s="3">
        <f t="shared" si="208"/>
        <v>3219.9087317513963</v>
      </c>
      <c r="Q3386" s="3">
        <f t="shared" si="209"/>
        <v>-2.5815873182182258E-3</v>
      </c>
      <c r="R3386" s="3">
        <f t="shared" si="210"/>
        <v>7.5500000000000003E-3</v>
      </c>
      <c r="S3386">
        <f t="shared" si="211"/>
        <v>89</v>
      </c>
      <c r="T3386">
        <f>INDEX([1]IDEN_level_ids!$B:$B,MATCH(G3386,[1]IDEN_level_ids!$A:$A,0),1)</f>
        <v>1141</v>
      </c>
      <c r="U3386">
        <f>INDEX([1]IDEN_level_ids!$B:$B,MATCH(H3386,[1]IDEN_level_ids!$A:$A,0),1)</f>
        <v>1066</v>
      </c>
    </row>
    <row r="3387" spans="1:21" hidden="1" x14ac:dyDescent="0.25">
      <c r="A3387">
        <v>31019.509600000001</v>
      </c>
      <c r="B3387">
        <v>3223.7775999999999</v>
      </c>
      <c r="C3387">
        <v>21</v>
      </c>
      <c r="D3387" t="s">
        <v>705</v>
      </c>
      <c r="E3387" t="s">
        <v>661</v>
      </c>
      <c r="F3387">
        <v>1974</v>
      </c>
      <c r="G3387" s="1" t="s">
        <v>117</v>
      </c>
      <c r="H3387" s="1" t="s">
        <v>381</v>
      </c>
      <c r="I3387">
        <v>0.23219999999999999</v>
      </c>
      <c r="J3387">
        <v>31019.517899999999</v>
      </c>
      <c r="K3387">
        <v>8.5999999999999998E-4</v>
      </c>
      <c r="L3387">
        <v>5.2599999999999999E-3</v>
      </c>
      <c r="M3387">
        <v>5.0700000000000002E-2</v>
      </c>
      <c r="N3387">
        <v>0.1043</v>
      </c>
      <c r="O3387">
        <v>5.8799999999999998E-3</v>
      </c>
      <c r="P3387" s="3">
        <f t="shared" si="208"/>
        <v>3223.7775931828401</v>
      </c>
      <c r="Q3387" s="3">
        <f t="shared" si="209"/>
        <v>8.625973528069153E-4</v>
      </c>
      <c r="R3387" s="3">
        <f t="shared" si="210"/>
        <v>5.2599999999999999E-3</v>
      </c>
      <c r="S3387">
        <f t="shared" si="211"/>
        <v>89</v>
      </c>
      <c r="T3387">
        <f>INDEX([1]IDEN_level_ids!$B:$B,MATCH(G3387,[1]IDEN_level_ids!$A:$A,0),1)</f>
        <v>1162</v>
      </c>
      <c r="U3387">
        <f>INDEX([1]IDEN_level_ids!$B:$B,MATCH(H3387,[1]IDEN_level_ids!$A:$A,0),1)</f>
        <v>1084</v>
      </c>
    </row>
    <row r="3388" spans="1:21" hidden="1" x14ac:dyDescent="0.25">
      <c r="A3388">
        <v>31015.821800000002</v>
      </c>
      <c r="B3388">
        <v>3224.1608999999999</v>
      </c>
      <c r="C3388">
        <v>21</v>
      </c>
      <c r="D3388" t="s">
        <v>705</v>
      </c>
      <c r="F3388">
        <v>1974</v>
      </c>
      <c r="G3388" s="1" t="s">
        <v>706</v>
      </c>
      <c r="H3388" s="1" t="s">
        <v>302</v>
      </c>
      <c r="I3388">
        <v>0</v>
      </c>
      <c r="J3388">
        <v>31015.779299999998</v>
      </c>
      <c r="K3388">
        <v>-4.4200000000000003E-3</v>
      </c>
      <c r="L3388">
        <v>4.79E-3</v>
      </c>
      <c r="M3388">
        <v>4.6100000000000002E-2</v>
      </c>
      <c r="N3388">
        <v>0.15090000000000001</v>
      </c>
      <c r="O3388">
        <v>5.64E-3</v>
      </c>
      <c r="P3388" s="3">
        <f t="shared" si="208"/>
        <v>3224.1609022914877</v>
      </c>
      <c r="Q3388" s="3">
        <f t="shared" si="209"/>
        <v>-4.4179718020131986E-3</v>
      </c>
      <c r="R3388" s="3">
        <f t="shared" si="210"/>
        <v>4.79E-3</v>
      </c>
      <c r="S3388">
        <f t="shared" si="211"/>
        <v>89</v>
      </c>
      <c r="T3388">
        <f>INDEX([1]IDEN_level_ids!$B:$B,MATCH(G3388,[1]IDEN_level_ids!$A:$A,0),1)</f>
        <v>1240</v>
      </c>
      <c r="U3388">
        <f>INDEX([1]IDEN_level_ids!$B:$B,MATCH(H3388,[1]IDEN_level_ids!$A:$A,0),1)</f>
        <v>1100</v>
      </c>
    </row>
    <row r="3389" spans="1:21" hidden="1" x14ac:dyDescent="0.25">
      <c r="A3389">
        <v>30982.558199999999</v>
      </c>
      <c r="B3389">
        <v>3227.6224000000002</v>
      </c>
      <c r="C3389">
        <v>21</v>
      </c>
      <c r="D3389" t="s">
        <v>705</v>
      </c>
      <c r="E3389" t="s">
        <v>678</v>
      </c>
      <c r="F3389">
        <v>1974</v>
      </c>
      <c r="G3389" s="1" t="s">
        <v>504</v>
      </c>
      <c r="H3389" s="1" t="s">
        <v>570</v>
      </c>
      <c r="I3389">
        <v>-1.0155000000000001</v>
      </c>
      <c r="J3389">
        <v>30982.608199999999</v>
      </c>
      <c r="K3389">
        <v>5.2100000000000002E-3</v>
      </c>
      <c r="L3389">
        <v>7.5900000000000004E-3</v>
      </c>
      <c r="M3389">
        <v>7.2800000000000004E-2</v>
      </c>
      <c r="N3389">
        <v>0.10539999999999999</v>
      </c>
      <c r="O3389">
        <v>8.4799999999999997E-3</v>
      </c>
      <c r="P3389" s="3">
        <f t="shared" si="208"/>
        <v>3227.6224369361471</v>
      </c>
      <c r="Q3389" s="3">
        <f t="shared" si="209"/>
        <v>5.2087648919041385E-3</v>
      </c>
      <c r="R3389" s="3">
        <f t="shared" si="210"/>
        <v>7.5900000000000004E-3</v>
      </c>
      <c r="S3389">
        <f t="shared" si="211"/>
        <v>89</v>
      </c>
      <c r="T3389">
        <f>INDEX([1]IDEN_level_ids!$B:$B,MATCH(G3389,[1]IDEN_level_ids!$A:$A,0),1)</f>
        <v>1118</v>
      </c>
      <c r="U3389">
        <f>INDEX([1]IDEN_level_ids!$B:$B,MATCH(H3389,[1]IDEN_level_ids!$A:$A,0),1)</f>
        <v>1015</v>
      </c>
    </row>
    <row r="3390" spans="1:21" hidden="1" x14ac:dyDescent="0.25">
      <c r="A3390">
        <v>30959.671900000001</v>
      </c>
      <c r="B3390">
        <v>3230.0084000000002</v>
      </c>
      <c r="C3390">
        <v>21</v>
      </c>
      <c r="D3390" t="s">
        <v>705</v>
      </c>
      <c r="E3390" t="s">
        <v>681</v>
      </c>
      <c r="F3390">
        <v>1974</v>
      </c>
      <c r="G3390" s="1" t="s">
        <v>534</v>
      </c>
      <c r="H3390" s="1" t="s">
        <v>472</v>
      </c>
      <c r="I3390">
        <v>0.32779999999999998</v>
      </c>
      <c r="J3390">
        <v>30959.709299999999</v>
      </c>
      <c r="K3390">
        <v>3.8999999999999998E-3</v>
      </c>
      <c r="L3390">
        <v>8.3800000000000003E-3</v>
      </c>
      <c r="M3390">
        <v>8.0299999999999996E-2</v>
      </c>
      <c r="N3390">
        <v>8.8499999999999995E-2</v>
      </c>
      <c r="O3390">
        <v>9.1900000000000003E-3</v>
      </c>
      <c r="P3390" s="3">
        <f t="shared" si="208"/>
        <v>3230.008390366695</v>
      </c>
      <c r="Q3390" s="3">
        <f t="shared" si="209"/>
        <v>3.9019201576593332E-3</v>
      </c>
      <c r="R3390" s="3">
        <f t="shared" si="210"/>
        <v>8.3800000000000003E-3</v>
      </c>
      <c r="S3390">
        <f t="shared" si="211"/>
        <v>89</v>
      </c>
      <c r="T3390">
        <f>INDEX([1]IDEN_level_ids!$B:$B,MATCH(G3390,[1]IDEN_level_ids!$A:$A,0),1)</f>
        <v>1116</v>
      </c>
      <c r="U3390">
        <f>INDEX([1]IDEN_level_ids!$B:$B,MATCH(H3390,[1]IDEN_level_ids!$A:$A,0),1)</f>
        <v>1012</v>
      </c>
    </row>
    <row r="3391" spans="1:21" hidden="1" x14ac:dyDescent="0.25">
      <c r="A3391">
        <v>30879.9787</v>
      </c>
      <c r="B3391">
        <v>3238.3442</v>
      </c>
      <c r="C3391">
        <v>21</v>
      </c>
      <c r="D3391" t="s">
        <v>705</v>
      </c>
      <c r="E3391" t="s">
        <v>681</v>
      </c>
      <c r="F3391">
        <v>1974</v>
      </c>
      <c r="G3391" s="1" t="s">
        <v>279</v>
      </c>
      <c r="H3391" s="1" t="s">
        <v>468</v>
      </c>
      <c r="I3391">
        <v>0.45369999999999999</v>
      </c>
      <c r="J3391">
        <v>30880.006700000002</v>
      </c>
      <c r="K3391">
        <v>2.9299999999999999E-3</v>
      </c>
      <c r="L3391">
        <v>8.4200000000000004E-3</v>
      </c>
      <c r="M3391">
        <v>8.0299999999999996E-2</v>
      </c>
      <c r="N3391">
        <v>7.1900000000000006E-2</v>
      </c>
      <c r="O3391">
        <v>9.0699999999999999E-3</v>
      </c>
      <c r="P3391" s="3">
        <f t="shared" si="208"/>
        <v>3238.3442026143625</v>
      </c>
      <c r="Q3391" s="3">
        <f t="shared" si="209"/>
        <v>2.936321826382482E-3</v>
      </c>
      <c r="R3391" s="3">
        <f t="shared" si="210"/>
        <v>8.4200000000000004E-3</v>
      </c>
      <c r="S3391">
        <f t="shared" si="211"/>
        <v>89</v>
      </c>
      <c r="T3391">
        <f>INDEX([1]IDEN_level_ids!$B:$B,MATCH(G3391,[1]IDEN_level_ids!$A:$A,0),1)</f>
        <v>1129</v>
      </c>
      <c r="U3391">
        <f>INDEX([1]IDEN_level_ids!$B:$B,MATCH(H3391,[1]IDEN_level_ids!$A:$A,0),1)</f>
        <v>1044</v>
      </c>
    </row>
    <row r="3392" spans="1:21" hidden="1" x14ac:dyDescent="0.25">
      <c r="A3392">
        <v>30793.801599999999</v>
      </c>
      <c r="B3392">
        <v>3247.4068000000002</v>
      </c>
      <c r="C3392">
        <v>21</v>
      </c>
      <c r="D3392" t="s">
        <v>705</v>
      </c>
      <c r="F3392">
        <v>1974</v>
      </c>
      <c r="G3392" s="1" t="s">
        <v>268</v>
      </c>
      <c r="H3392" s="1" t="s">
        <v>379</v>
      </c>
      <c r="I3392">
        <v>0.47110000000000002</v>
      </c>
      <c r="J3392">
        <v>30793.855</v>
      </c>
      <c r="K3392">
        <v>5.6299999999999996E-3</v>
      </c>
      <c r="L3392">
        <v>4.8599999999999997E-3</v>
      </c>
      <c r="M3392">
        <v>4.6100000000000002E-2</v>
      </c>
      <c r="N3392">
        <v>0.1394</v>
      </c>
      <c r="O3392">
        <v>5.64E-3</v>
      </c>
      <c r="P3392" s="3">
        <f t="shared" si="208"/>
        <v>3247.4067768235541</v>
      </c>
      <c r="Q3392" s="3">
        <f t="shared" si="209"/>
        <v>5.6313677478101454E-3</v>
      </c>
      <c r="R3392" s="3">
        <f t="shared" si="210"/>
        <v>4.8599999999999997E-3</v>
      </c>
      <c r="S3392">
        <f t="shared" si="211"/>
        <v>89</v>
      </c>
      <c r="T3392">
        <f>INDEX([1]IDEN_level_ids!$B:$B,MATCH(G3392,[1]IDEN_level_ids!$A:$A,0),1)</f>
        <v>1160</v>
      </c>
      <c r="U3392">
        <f>INDEX([1]IDEN_level_ids!$B:$B,MATCH(H3392,[1]IDEN_level_ids!$A:$A,0),1)</f>
        <v>1083</v>
      </c>
    </row>
    <row r="3393" spans="1:21" hidden="1" x14ac:dyDescent="0.25">
      <c r="A3393">
        <v>30775.640299999999</v>
      </c>
      <c r="B3393">
        <v>3249.3231000000001</v>
      </c>
      <c r="C3393">
        <v>21</v>
      </c>
      <c r="D3393" t="s">
        <v>705</v>
      </c>
      <c r="E3393" t="s">
        <v>427</v>
      </c>
      <c r="F3393">
        <v>1974</v>
      </c>
      <c r="G3393" s="1" t="s">
        <v>172</v>
      </c>
      <c r="H3393" s="1" t="s">
        <v>416</v>
      </c>
      <c r="I3393">
        <v>0.26750000000000002</v>
      </c>
      <c r="J3393">
        <v>30775.6237</v>
      </c>
      <c r="K3393">
        <v>-1.7600000000000001E-3</v>
      </c>
      <c r="L3393">
        <v>5.1399999999999996E-3</v>
      </c>
      <c r="M3393">
        <v>4.87E-2</v>
      </c>
      <c r="N3393">
        <v>0.1179</v>
      </c>
      <c r="O3393">
        <v>5.8300000000000001E-3</v>
      </c>
      <c r="P3393" s="3">
        <f t="shared" si="208"/>
        <v>3249.3231343102229</v>
      </c>
      <c r="Q3393" s="3">
        <f t="shared" si="209"/>
        <v>-1.7526456831546966E-3</v>
      </c>
      <c r="R3393" s="3">
        <f t="shared" si="210"/>
        <v>5.1399999999999996E-3</v>
      </c>
      <c r="S3393">
        <f t="shared" si="211"/>
        <v>89</v>
      </c>
      <c r="T3393">
        <f>INDEX([1]IDEN_level_ids!$B:$B,MATCH(G3393,[1]IDEN_level_ids!$A:$A,0),1)</f>
        <v>1136</v>
      </c>
      <c r="U3393">
        <f>INDEX([1]IDEN_level_ids!$B:$B,MATCH(H3393,[1]IDEN_level_ids!$A:$A,0),1)</f>
        <v>1055</v>
      </c>
    </row>
    <row r="3394" spans="1:21" hidden="1" x14ac:dyDescent="0.25">
      <c r="A3394">
        <v>30704.430100000001</v>
      </c>
      <c r="B3394">
        <v>3256.8589999999999</v>
      </c>
      <c r="C3394">
        <v>22</v>
      </c>
      <c r="D3394" t="s">
        <v>707</v>
      </c>
      <c r="E3394" t="s">
        <v>681</v>
      </c>
      <c r="F3394">
        <v>1974</v>
      </c>
      <c r="G3394" s="1" t="s">
        <v>534</v>
      </c>
      <c r="H3394" s="1" t="s">
        <v>570</v>
      </c>
      <c r="I3394">
        <v>0.32779999999999998</v>
      </c>
      <c r="J3394">
        <v>30704.464400000001</v>
      </c>
      <c r="K3394">
        <v>3.64E-3</v>
      </c>
      <c r="L3394">
        <v>8.5199999999999998E-3</v>
      </c>
      <c r="M3394">
        <v>8.0299999999999996E-2</v>
      </c>
      <c r="N3394">
        <v>8.1600000000000006E-2</v>
      </c>
      <c r="O3394">
        <v>9.2800000000000001E-3</v>
      </c>
      <c r="P3394" s="3">
        <f t="shared" ref="P3394:P3457" si="212">100000000/$A3394</f>
        <v>3256.8590159242199</v>
      </c>
      <c r="Q3394" s="3">
        <f t="shared" ref="Q3394:Q3457" si="213">100000000/($A3394)-100000000/$J3394</f>
        <v>3.6382417483764584E-3</v>
      </c>
      <c r="R3394" s="3">
        <f t="shared" si="210"/>
        <v>8.5199999999999998E-3</v>
      </c>
      <c r="S3394">
        <f t="shared" si="211"/>
        <v>90</v>
      </c>
      <c r="T3394">
        <f>INDEX([1]IDEN_level_ids!$B:$B,MATCH(G3394,[1]IDEN_level_ids!$A:$A,0),1)</f>
        <v>1116</v>
      </c>
      <c r="U3394">
        <f>INDEX([1]IDEN_level_ids!$B:$B,MATCH(H3394,[1]IDEN_level_ids!$A:$A,0),1)</f>
        <v>1015</v>
      </c>
    </row>
    <row r="3395" spans="1:21" hidden="1" x14ac:dyDescent="0.25">
      <c r="A3395">
        <v>30689.960999999999</v>
      </c>
      <c r="B3395">
        <v>3258.3944999999999</v>
      </c>
      <c r="C3395">
        <v>22</v>
      </c>
      <c r="D3395" t="s">
        <v>707</v>
      </c>
      <c r="E3395" t="s">
        <v>678</v>
      </c>
      <c r="F3395">
        <v>1974</v>
      </c>
      <c r="G3395" s="1" t="s">
        <v>504</v>
      </c>
      <c r="H3395" s="1" t="s">
        <v>461</v>
      </c>
      <c r="I3395">
        <v>-0.75349999999999995</v>
      </c>
      <c r="J3395">
        <v>30689.885200000001</v>
      </c>
      <c r="K3395">
        <v>-8.0499999999999999E-3</v>
      </c>
      <c r="L3395">
        <v>7.7299999999999999E-3</v>
      </c>
      <c r="M3395">
        <v>7.2800000000000004E-2</v>
      </c>
      <c r="N3395">
        <v>6.7500000000000004E-2</v>
      </c>
      <c r="O3395">
        <v>8.2900000000000005E-3</v>
      </c>
      <c r="P3395" s="3">
        <f t="shared" si="212"/>
        <v>3258.394495841816</v>
      </c>
      <c r="Q3395" s="3">
        <f t="shared" si="213"/>
        <v>-8.0478079726162832E-3</v>
      </c>
      <c r="R3395" s="3">
        <f t="shared" ref="R3395:R3458" si="214">$L3395</f>
        <v>7.7299999999999999E-3</v>
      </c>
      <c r="S3395">
        <f t="shared" si="211"/>
        <v>90</v>
      </c>
      <c r="T3395">
        <f>INDEX([1]IDEN_level_ids!$B:$B,MATCH(G3395,[1]IDEN_level_ids!$A:$A,0),1)</f>
        <v>1118</v>
      </c>
      <c r="U3395">
        <f>INDEX([1]IDEN_level_ids!$B:$B,MATCH(H3395,[1]IDEN_level_ids!$A:$A,0),1)</f>
        <v>1017</v>
      </c>
    </row>
    <row r="3396" spans="1:21" hidden="1" x14ac:dyDescent="0.25">
      <c r="A3396">
        <v>30684.5818</v>
      </c>
      <c r="B3396">
        <v>3258.9657000000002</v>
      </c>
      <c r="C3396">
        <v>22</v>
      </c>
      <c r="D3396" t="s">
        <v>707</v>
      </c>
      <c r="E3396" t="s">
        <v>681</v>
      </c>
      <c r="F3396">
        <v>1974</v>
      </c>
      <c r="G3396" s="1" t="s">
        <v>329</v>
      </c>
      <c r="H3396" s="1" t="s">
        <v>458</v>
      </c>
      <c r="I3396">
        <v>0.29249999999999998</v>
      </c>
      <c r="J3396">
        <v>30684.476999999999</v>
      </c>
      <c r="K3396">
        <v>-1.1129999999999999E-2</v>
      </c>
      <c r="L3396">
        <v>8.5299999999999994E-3</v>
      </c>
      <c r="M3396">
        <v>8.0299999999999996E-2</v>
      </c>
      <c r="N3396">
        <v>7.1900000000000006E-2</v>
      </c>
      <c r="O3396">
        <v>9.1900000000000003E-3</v>
      </c>
      <c r="P3396" s="3">
        <f t="shared" si="212"/>
        <v>3258.9657128714721</v>
      </c>
      <c r="Q3396" s="3">
        <f t="shared" si="213"/>
        <v>-1.1130696694635844E-2</v>
      </c>
      <c r="R3396" s="3">
        <f t="shared" si="214"/>
        <v>8.5299999999999994E-3</v>
      </c>
      <c r="S3396">
        <f t="shared" ref="S3396:S3459" si="215">IF(D3396=D3395,S3395,S3395+1)</f>
        <v>90</v>
      </c>
      <c r="T3396">
        <f>INDEX([1]IDEN_level_ids!$B:$B,MATCH(G3396,[1]IDEN_level_ids!$A:$A,0),1)</f>
        <v>1138</v>
      </c>
      <c r="U3396">
        <f>INDEX([1]IDEN_level_ids!$B:$B,MATCH(H3396,[1]IDEN_level_ids!$A:$A,0),1)</f>
        <v>1064</v>
      </c>
    </row>
    <row r="3397" spans="1:21" hidden="1" x14ac:dyDescent="0.25">
      <c r="A3397">
        <v>30661.969499999999</v>
      </c>
      <c r="B3397">
        <v>3261.3690999999999</v>
      </c>
      <c r="C3397">
        <v>22</v>
      </c>
      <c r="D3397" t="s">
        <v>707</v>
      </c>
      <c r="F3397">
        <v>1974</v>
      </c>
      <c r="G3397" s="1" t="s">
        <v>255</v>
      </c>
      <c r="H3397" s="1" t="s">
        <v>472</v>
      </c>
      <c r="I3397">
        <v>0</v>
      </c>
      <c r="J3397">
        <v>30661.965499999998</v>
      </c>
      <c r="K3397">
        <v>-4.2999999999999999E-4</v>
      </c>
      <c r="L3397">
        <v>4.8999999999999998E-3</v>
      </c>
      <c r="M3397">
        <v>4.6100000000000002E-2</v>
      </c>
      <c r="N3397">
        <v>0.12770000000000001</v>
      </c>
      <c r="O3397">
        <v>5.62E-3</v>
      </c>
      <c r="P3397" s="3">
        <f t="shared" si="212"/>
        <v>3261.3691041601228</v>
      </c>
      <c r="Q3397" s="3">
        <f t="shared" si="213"/>
        <v>-4.2546119266262394E-4</v>
      </c>
      <c r="R3397" s="3">
        <f t="shared" si="214"/>
        <v>4.8999999999999998E-3</v>
      </c>
      <c r="S3397">
        <f t="shared" si="215"/>
        <v>90</v>
      </c>
      <c r="T3397">
        <f>INDEX([1]IDEN_level_ids!$B:$B,MATCH(G3397,[1]IDEN_level_ids!$A:$A,0),1)</f>
        <v>1111</v>
      </c>
      <c r="U3397">
        <f>INDEX([1]IDEN_level_ids!$B:$B,MATCH(H3397,[1]IDEN_level_ids!$A:$A,0),1)</f>
        <v>1012</v>
      </c>
    </row>
    <row r="3398" spans="1:21" hidden="1" x14ac:dyDescent="0.25">
      <c r="A3398">
        <v>30644.198100000001</v>
      </c>
      <c r="B3398">
        <v>3263.2604999999999</v>
      </c>
      <c r="C3398">
        <v>22</v>
      </c>
      <c r="D3398" t="s">
        <v>707</v>
      </c>
      <c r="E3398" t="s">
        <v>678</v>
      </c>
      <c r="F3398">
        <v>1974</v>
      </c>
      <c r="G3398" s="1" t="s">
        <v>276</v>
      </c>
      <c r="H3398" s="1" t="s">
        <v>569</v>
      </c>
      <c r="I3398">
        <v>-1.0219</v>
      </c>
      <c r="J3398">
        <v>30644.2016</v>
      </c>
      <c r="K3398">
        <v>3.6999999999999999E-4</v>
      </c>
      <c r="L3398">
        <v>7.7600000000000004E-3</v>
      </c>
      <c r="M3398">
        <v>7.2800000000000004E-2</v>
      </c>
      <c r="N3398">
        <v>7.8399999999999997E-2</v>
      </c>
      <c r="O3398">
        <v>8.4200000000000004E-3</v>
      </c>
      <c r="P3398" s="3">
        <f t="shared" si="212"/>
        <v>3263.2604603871164</v>
      </c>
      <c r="Q3398" s="3">
        <f t="shared" si="213"/>
        <v>3.727103667188203E-4</v>
      </c>
      <c r="R3398" s="3">
        <f t="shared" si="214"/>
        <v>7.7600000000000004E-3</v>
      </c>
      <c r="S3398">
        <f t="shared" si="215"/>
        <v>90</v>
      </c>
      <c r="T3398">
        <f>INDEX([1]IDEN_level_ids!$B:$B,MATCH(G3398,[1]IDEN_level_ids!$A:$A,0),1)</f>
        <v>1131</v>
      </c>
      <c r="U3398">
        <f>INDEX([1]IDEN_level_ids!$B:$B,MATCH(H3398,[1]IDEN_level_ids!$A:$A,0),1)</f>
        <v>1049</v>
      </c>
    </row>
    <row r="3399" spans="1:21" hidden="1" x14ac:dyDescent="0.25">
      <c r="A3399">
        <v>30631.4722</v>
      </c>
      <c r="B3399">
        <v>3264.6161999999999</v>
      </c>
      <c r="C3399">
        <v>22</v>
      </c>
      <c r="D3399" t="s">
        <v>707</v>
      </c>
      <c r="E3399" t="s">
        <v>678</v>
      </c>
      <c r="F3399">
        <v>1974</v>
      </c>
      <c r="G3399" s="1" t="s">
        <v>276</v>
      </c>
      <c r="H3399" s="1" t="s">
        <v>438</v>
      </c>
      <c r="I3399">
        <v>-1.0219</v>
      </c>
      <c r="J3399">
        <v>30631.377199999999</v>
      </c>
      <c r="K3399">
        <v>-1.0120000000000001E-2</v>
      </c>
      <c r="L3399">
        <v>7.7600000000000004E-3</v>
      </c>
      <c r="M3399">
        <v>7.2800000000000004E-2</v>
      </c>
      <c r="N3399">
        <v>6.6100000000000006E-2</v>
      </c>
      <c r="O3399">
        <v>8.3099999999999997E-3</v>
      </c>
      <c r="P3399" s="3">
        <f t="shared" si="212"/>
        <v>3264.6161877913264</v>
      </c>
      <c r="Q3399" s="3">
        <f t="shared" si="213"/>
        <v>-1.012486431227444E-2</v>
      </c>
      <c r="R3399" s="3">
        <f t="shared" si="214"/>
        <v>7.7600000000000004E-3</v>
      </c>
      <c r="S3399">
        <f t="shared" si="215"/>
        <v>90</v>
      </c>
      <c r="T3399">
        <f>INDEX([1]IDEN_level_ids!$B:$B,MATCH(G3399,[1]IDEN_level_ids!$A:$A,0),1)</f>
        <v>1131</v>
      </c>
      <c r="U3399">
        <f>INDEX([1]IDEN_level_ids!$B:$B,MATCH(H3399,[1]IDEN_level_ids!$A:$A,0),1)</f>
        <v>1051</v>
      </c>
    </row>
    <row r="3400" spans="1:21" hidden="1" x14ac:dyDescent="0.25">
      <c r="A3400">
        <v>30627.328099999999</v>
      </c>
      <c r="B3400">
        <v>3265.0578999999998</v>
      </c>
      <c r="C3400">
        <v>22</v>
      </c>
      <c r="D3400" t="s">
        <v>707</v>
      </c>
      <c r="F3400">
        <v>1974</v>
      </c>
      <c r="G3400" s="1" t="s">
        <v>361</v>
      </c>
      <c r="H3400" s="1" t="s">
        <v>591</v>
      </c>
      <c r="I3400">
        <v>0</v>
      </c>
      <c r="J3400">
        <v>30627.293000000001</v>
      </c>
      <c r="K3400">
        <v>-3.7399999999999998E-3</v>
      </c>
      <c r="L3400">
        <v>4.9100000000000003E-3</v>
      </c>
      <c r="M3400">
        <v>4.6100000000000002E-2</v>
      </c>
      <c r="N3400">
        <v>0.23419999999999999</v>
      </c>
      <c r="O3400">
        <v>6.4099999999999999E-3</v>
      </c>
      <c r="P3400" s="3">
        <f t="shared" si="212"/>
        <v>3265.0579140790283</v>
      </c>
      <c r="Q3400" s="3">
        <f t="shared" si="213"/>
        <v>-3.7418760048240074E-3</v>
      </c>
      <c r="R3400" s="3">
        <f t="shared" si="214"/>
        <v>4.9100000000000003E-3</v>
      </c>
      <c r="S3400">
        <f t="shared" si="215"/>
        <v>90</v>
      </c>
      <c r="T3400">
        <f>INDEX([1]IDEN_level_ids!$B:$B,MATCH(G3400,[1]IDEN_level_ids!$A:$A,0),1)</f>
        <v>1133</v>
      </c>
      <c r="U3400">
        <f>INDEX([1]IDEN_level_ids!$B:$B,MATCH(H3400,[1]IDEN_level_ids!$A:$A,0),1)</f>
        <v>1053</v>
      </c>
    </row>
    <row r="3401" spans="1:21" hidden="1" x14ac:dyDescent="0.25">
      <c r="A3401">
        <v>30624.569</v>
      </c>
      <c r="B3401">
        <v>3265.3521000000001</v>
      </c>
      <c r="C3401">
        <v>22</v>
      </c>
      <c r="D3401" t="s">
        <v>707</v>
      </c>
      <c r="E3401" t="s">
        <v>66</v>
      </c>
      <c r="F3401">
        <v>1974</v>
      </c>
      <c r="G3401" s="1" t="s">
        <v>256</v>
      </c>
      <c r="H3401" s="1" t="s">
        <v>467</v>
      </c>
      <c r="I3401">
        <v>0</v>
      </c>
      <c r="J3401">
        <v>30624.578000000001</v>
      </c>
      <c r="K3401">
        <v>9.6000000000000002E-4</v>
      </c>
      <c r="L3401">
        <v>2.5200000000000001E-3</v>
      </c>
      <c r="M3401">
        <v>2.3599999999999999E-2</v>
      </c>
      <c r="N3401">
        <v>0.36109999999999998</v>
      </c>
      <c r="O3401">
        <v>3.9399999999999999E-3</v>
      </c>
      <c r="P3401" s="3">
        <f t="shared" si="212"/>
        <v>3265.3520772814795</v>
      </c>
      <c r="Q3401" s="3">
        <f t="shared" si="213"/>
        <v>9.5962689510997734E-4</v>
      </c>
      <c r="R3401" s="3">
        <f t="shared" si="214"/>
        <v>2.5200000000000001E-3</v>
      </c>
      <c r="S3401">
        <f t="shared" si="215"/>
        <v>90</v>
      </c>
      <c r="T3401">
        <f>INDEX([1]IDEN_level_ids!$B:$B,MATCH(G3401,[1]IDEN_level_ids!$A:$A,0),1)</f>
        <v>1120</v>
      </c>
      <c r="U3401">
        <f>INDEX([1]IDEN_level_ids!$B:$B,MATCH(H3401,[1]IDEN_level_ids!$A:$A,0),1)</f>
        <v>1025</v>
      </c>
    </row>
    <row r="3402" spans="1:21" hidden="1" x14ac:dyDescent="0.25">
      <c r="A3402">
        <v>30623.547699999999</v>
      </c>
      <c r="B3402">
        <v>3265.4609999999998</v>
      </c>
      <c r="C3402">
        <v>22</v>
      </c>
      <c r="D3402" t="s">
        <v>707</v>
      </c>
      <c r="E3402" t="s">
        <v>678</v>
      </c>
      <c r="F3402">
        <v>1974</v>
      </c>
      <c r="G3402" s="1" t="s">
        <v>326</v>
      </c>
      <c r="H3402" s="1" t="s">
        <v>446</v>
      </c>
      <c r="I3402">
        <v>-0.73660000000000003</v>
      </c>
      <c r="J3402">
        <v>30623.509099999999</v>
      </c>
      <c r="K3402">
        <v>-4.1099999999999999E-3</v>
      </c>
      <c r="L3402">
        <v>7.77E-3</v>
      </c>
      <c r="M3402">
        <v>7.2800000000000004E-2</v>
      </c>
      <c r="N3402">
        <v>9.0800000000000006E-2</v>
      </c>
      <c r="O3402">
        <v>8.5400000000000007E-3</v>
      </c>
      <c r="P3402" s="3">
        <f t="shared" si="212"/>
        <v>3265.4609772727281</v>
      </c>
      <c r="Q3402" s="3">
        <f t="shared" si="213"/>
        <v>-4.116014049941441E-3</v>
      </c>
      <c r="R3402" s="3">
        <f t="shared" si="214"/>
        <v>7.77E-3</v>
      </c>
      <c r="S3402">
        <f t="shared" si="215"/>
        <v>90</v>
      </c>
      <c r="T3402">
        <f>INDEX([1]IDEN_level_ids!$B:$B,MATCH(G3402,[1]IDEN_level_ids!$A:$A,0),1)</f>
        <v>1148</v>
      </c>
      <c r="U3402">
        <f>INDEX([1]IDEN_level_ids!$B:$B,MATCH(H3402,[1]IDEN_level_ids!$A:$A,0),1)</f>
        <v>1079</v>
      </c>
    </row>
    <row r="3403" spans="1:21" hidden="1" x14ac:dyDescent="0.25">
      <c r="A3403">
        <v>30611.101600000002</v>
      </c>
      <c r="B3403">
        <v>3266.7887000000001</v>
      </c>
      <c r="C3403">
        <v>22</v>
      </c>
      <c r="D3403" t="s">
        <v>707</v>
      </c>
      <c r="E3403" t="s">
        <v>681</v>
      </c>
      <c r="F3403">
        <v>1974</v>
      </c>
      <c r="G3403" s="1" t="s">
        <v>443</v>
      </c>
      <c r="H3403" s="1" t="s">
        <v>450</v>
      </c>
      <c r="I3403">
        <v>0.54149999999999998</v>
      </c>
      <c r="J3403">
        <v>30611.089899999999</v>
      </c>
      <c r="K3403">
        <v>-1.24E-3</v>
      </c>
      <c r="L3403">
        <v>8.5699999999999995E-3</v>
      </c>
      <c r="M3403">
        <v>8.0299999999999996E-2</v>
      </c>
      <c r="N3403">
        <v>6.5600000000000006E-2</v>
      </c>
      <c r="O3403">
        <v>9.1699999999999993E-3</v>
      </c>
      <c r="P3403" s="3">
        <f t="shared" si="212"/>
        <v>3266.7886738189127</v>
      </c>
      <c r="Q3403" s="3">
        <f t="shared" si="213"/>
        <v>-1.248613741609006E-3</v>
      </c>
      <c r="R3403" s="3">
        <f t="shared" si="214"/>
        <v>8.5699999999999995E-3</v>
      </c>
      <c r="S3403">
        <f t="shared" si="215"/>
        <v>90</v>
      </c>
      <c r="T3403">
        <f>INDEX([1]IDEN_level_ids!$B:$B,MATCH(G3403,[1]IDEN_level_ids!$A:$A,0),1)</f>
        <v>1145</v>
      </c>
      <c r="U3403">
        <f>INDEX([1]IDEN_level_ids!$B:$B,MATCH(H3403,[1]IDEN_level_ids!$A:$A,0),1)</f>
        <v>1077</v>
      </c>
    </row>
    <row r="3404" spans="1:21" hidden="1" x14ac:dyDescent="0.25">
      <c r="A3404">
        <v>30566.4503</v>
      </c>
      <c r="B3404">
        <v>3271.5608000000002</v>
      </c>
      <c r="C3404">
        <v>22</v>
      </c>
      <c r="D3404" t="s">
        <v>707</v>
      </c>
      <c r="E3404" t="s">
        <v>681</v>
      </c>
      <c r="F3404">
        <v>1974</v>
      </c>
      <c r="G3404" s="1" t="s">
        <v>383</v>
      </c>
      <c r="H3404" s="1" t="s">
        <v>590</v>
      </c>
      <c r="I3404">
        <v>0.34029999999999999</v>
      </c>
      <c r="J3404">
        <v>30566.395499999999</v>
      </c>
      <c r="K3404">
        <v>-5.8799999999999998E-3</v>
      </c>
      <c r="L3404">
        <v>8.6E-3</v>
      </c>
      <c r="M3404">
        <v>8.0299999999999996E-2</v>
      </c>
      <c r="N3404">
        <v>0.18709999999999999</v>
      </c>
      <c r="O3404">
        <v>1.057E-2</v>
      </c>
      <c r="P3404" s="3">
        <f t="shared" si="212"/>
        <v>3271.5607804809442</v>
      </c>
      <c r="Q3404" s="3">
        <f t="shared" si="213"/>
        <v>-5.8653147630138847E-3</v>
      </c>
      <c r="R3404" s="3">
        <f t="shared" si="214"/>
        <v>8.6E-3</v>
      </c>
      <c r="S3404">
        <f t="shared" si="215"/>
        <v>90</v>
      </c>
      <c r="T3404">
        <f>INDEX([1]IDEN_level_ids!$B:$B,MATCH(G3404,[1]IDEN_level_ids!$A:$A,0),1)</f>
        <v>1097</v>
      </c>
      <c r="U3404">
        <f>INDEX([1]IDEN_level_ids!$B:$B,MATCH(H3404,[1]IDEN_level_ids!$A:$A,0),1)</f>
        <v>974</v>
      </c>
    </row>
    <row r="3405" spans="1:21" hidden="1" x14ac:dyDescent="0.25">
      <c r="A3405">
        <v>30553.0285</v>
      </c>
      <c r="B3405">
        <v>3272.998</v>
      </c>
      <c r="C3405">
        <v>22</v>
      </c>
      <c r="D3405" t="s">
        <v>707</v>
      </c>
      <c r="F3405">
        <v>1974</v>
      </c>
      <c r="G3405" s="1" t="s">
        <v>172</v>
      </c>
      <c r="H3405" s="1" t="s">
        <v>593</v>
      </c>
      <c r="I3405">
        <v>0</v>
      </c>
      <c r="J3405">
        <v>30552.985799999999</v>
      </c>
      <c r="K3405">
        <v>-4.5700000000000003E-3</v>
      </c>
      <c r="L3405">
        <v>4.9300000000000004E-3</v>
      </c>
      <c r="M3405">
        <v>4.6100000000000002E-2</v>
      </c>
      <c r="N3405">
        <v>0.1898</v>
      </c>
      <c r="O3405">
        <v>6.0899999999999999E-3</v>
      </c>
      <c r="P3405" s="3">
        <f t="shared" si="212"/>
        <v>3272.9979615605043</v>
      </c>
      <c r="Q3405" s="3">
        <f t="shared" si="213"/>
        <v>-4.5742505785710819E-3</v>
      </c>
      <c r="R3405" s="3">
        <f t="shared" si="214"/>
        <v>4.9300000000000004E-3</v>
      </c>
      <c r="S3405">
        <f t="shared" si="215"/>
        <v>90</v>
      </c>
      <c r="T3405">
        <f>INDEX([1]IDEN_level_ids!$B:$B,MATCH(G3405,[1]IDEN_level_ids!$A:$A,0),1)</f>
        <v>1136</v>
      </c>
      <c r="U3405">
        <f>INDEX([1]IDEN_level_ids!$B:$B,MATCH(H3405,[1]IDEN_level_ids!$A:$A,0),1)</f>
        <v>1059</v>
      </c>
    </row>
    <row r="3406" spans="1:21" hidden="1" x14ac:dyDescent="0.25">
      <c r="A3406">
        <v>30525.219000000001</v>
      </c>
      <c r="B3406">
        <v>3275.9798000000001</v>
      </c>
      <c r="C3406">
        <v>22</v>
      </c>
      <c r="D3406" t="s">
        <v>708</v>
      </c>
      <c r="E3406" t="s">
        <v>681</v>
      </c>
      <c r="F3406">
        <v>1974</v>
      </c>
      <c r="G3406" s="1" t="s">
        <v>492</v>
      </c>
      <c r="H3406" s="1" t="s">
        <v>595</v>
      </c>
      <c r="I3406">
        <v>0.25629999999999997</v>
      </c>
      <c r="J3406">
        <v>30525.246800000001</v>
      </c>
      <c r="K3406">
        <v>2.98E-3</v>
      </c>
      <c r="L3406">
        <v>8.6199999999999992E-3</v>
      </c>
      <c r="M3406">
        <v>8.0299999999999996E-2</v>
      </c>
      <c r="N3406">
        <v>9.3299999999999994E-2</v>
      </c>
      <c r="O3406">
        <v>9.5099999999999994E-3</v>
      </c>
      <c r="P3406" s="3">
        <f t="shared" si="212"/>
        <v>3275.9797726594525</v>
      </c>
      <c r="Q3406" s="3">
        <f t="shared" si="213"/>
        <v>2.9835053678652912E-3</v>
      </c>
      <c r="R3406" s="3">
        <f t="shared" si="214"/>
        <v>8.6199999999999992E-3</v>
      </c>
      <c r="S3406">
        <f t="shared" si="215"/>
        <v>91</v>
      </c>
      <c r="T3406">
        <f>INDEX([1]IDEN_level_ids!$B:$B,MATCH(G3406,[1]IDEN_level_ids!$A:$A,0),1)</f>
        <v>1132</v>
      </c>
      <c r="U3406">
        <f>INDEX([1]IDEN_level_ids!$B:$B,MATCH(H3406,[1]IDEN_level_ids!$A:$A,0),1)</f>
        <v>1052</v>
      </c>
    </row>
    <row r="3407" spans="1:21" hidden="1" x14ac:dyDescent="0.25">
      <c r="A3407">
        <v>30511.618200000001</v>
      </c>
      <c r="B3407">
        <v>3277.4400999999998</v>
      </c>
      <c r="C3407">
        <v>22</v>
      </c>
      <c r="D3407" t="s">
        <v>708</v>
      </c>
      <c r="F3407">
        <v>1974</v>
      </c>
      <c r="G3407" s="1" t="s">
        <v>670</v>
      </c>
      <c r="H3407" s="1" t="s">
        <v>495</v>
      </c>
      <c r="I3407">
        <v>0.1328</v>
      </c>
      <c r="J3407">
        <v>30511.713299999999</v>
      </c>
      <c r="K3407">
        <v>1.021E-2</v>
      </c>
      <c r="L3407">
        <v>4.9500000000000004E-3</v>
      </c>
      <c r="M3407">
        <v>4.6100000000000002E-2</v>
      </c>
      <c r="N3407">
        <v>0.23319999999999999</v>
      </c>
      <c r="O3407">
        <v>6.45E-3</v>
      </c>
      <c r="P3407" s="3">
        <f t="shared" si="212"/>
        <v>3277.4400670758259</v>
      </c>
      <c r="Q3407" s="3">
        <f t="shared" si="213"/>
        <v>1.0215242497451982E-2</v>
      </c>
      <c r="R3407" s="3">
        <f t="shared" si="214"/>
        <v>4.9500000000000004E-3</v>
      </c>
      <c r="S3407">
        <f t="shared" si="215"/>
        <v>91</v>
      </c>
      <c r="T3407">
        <f>INDEX([1]IDEN_level_ids!$B:$B,MATCH(G3407,[1]IDEN_level_ids!$A:$A,0),1)</f>
        <v>1093</v>
      </c>
      <c r="U3407">
        <f>INDEX([1]IDEN_level_ids!$B:$B,MATCH(H3407,[1]IDEN_level_ids!$A:$A,0),1)</f>
        <v>960</v>
      </c>
    </row>
    <row r="3408" spans="1:21" hidden="1" x14ac:dyDescent="0.25">
      <c r="A3408">
        <v>30470.511699999999</v>
      </c>
      <c r="B3408">
        <v>3281.8615</v>
      </c>
      <c r="C3408">
        <v>22</v>
      </c>
      <c r="D3408" t="s">
        <v>708</v>
      </c>
      <c r="E3408" t="s">
        <v>678</v>
      </c>
      <c r="F3408">
        <v>1974</v>
      </c>
      <c r="G3408" s="1" t="s">
        <v>354</v>
      </c>
      <c r="H3408" s="1" t="s">
        <v>416</v>
      </c>
      <c r="I3408">
        <v>-0.54749999999999999</v>
      </c>
      <c r="J3408">
        <v>30470.4175</v>
      </c>
      <c r="K3408">
        <v>-1.0149999999999999E-2</v>
      </c>
      <c r="L3408">
        <v>7.8399999999999997E-3</v>
      </c>
      <c r="M3408">
        <v>7.2800000000000004E-2</v>
      </c>
      <c r="N3408">
        <v>7.2900000000000006E-2</v>
      </c>
      <c r="O3408">
        <v>8.4600000000000005E-3</v>
      </c>
      <c r="P3408" s="3">
        <f t="shared" si="212"/>
        <v>3281.8615251544988</v>
      </c>
      <c r="Q3408" s="3">
        <f t="shared" si="213"/>
        <v>-1.0145950762762368E-2</v>
      </c>
      <c r="R3408" s="3">
        <f t="shared" si="214"/>
        <v>7.8399999999999997E-3</v>
      </c>
      <c r="S3408">
        <f t="shared" si="215"/>
        <v>91</v>
      </c>
      <c r="T3408">
        <f>INDEX([1]IDEN_level_ids!$B:$B,MATCH(G3408,[1]IDEN_level_ids!$A:$A,0),1)</f>
        <v>1135</v>
      </c>
      <c r="U3408">
        <f>INDEX([1]IDEN_level_ids!$B:$B,MATCH(H3408,[1]IDEN_level_ids!$A:$A,0),1)</f>
        <v>1055</v>
      </c>
    </row>
    <row r="3409" spans="1:21" hidden="1" x14ac:dyDescent="0.25">
      <c r="A3409">
        <v>30454.967700000001</v>
      </c>
      <c r="B3409">
        <v>3283.5365999999999</v>
      </c>
      <c r="C3409">
        <v>22</v>
      </c>
      <c r="D3409" t="s">
        <v>708</v>
      </c>
      <c r="E3409" t="s">
        <v>427</v>
      </c>
      <c r="F3409">
        <v>1974</v>
      </c>
      <c r="G3409" s="1" t="s">
        <v>256</v>
      </c>
      <c r="H3409" s="1" t="s">
        <v>540</v>
      </c>
      <c r="I3409">
        <v>0.34399999999999997</v>
      </c>
      <c r="J3409">
        <v>30454.948899999999</v>
      </c>
      <c r="K3409">
        <v>-2.0200000000000001E-3</v>
      </c>
      <c r="L3409">
        <v>5.2500000000000003E-3</v>
      </c>
      <c r="M3409">
        <v>4.87E-2</v>
      </c>
      <c r="N3409">
        <v>9.1200000000000003E-2</v>
      </c>
      <c r="O3409">
        <v>5.7800000000000004E-3</v>
      </c>
      <c r="P3409" s="3">
        <f t="shared" si="212"/>
        <v>3283.536564052898</v>
      </c>
      <c r="Q3409" s="3">
        <f t="shared" si="213"/>
        <v>-2.0269443766665063E-3</v>
      </c>
      <c r="R3409" s="3">
        <f t="shared" si="214"/>
        <v>5.2500000000000003E-3</v>
      </c>
      <c r="S3409">
        <f t="shared" si="215"/>
        <v>91</v>
      </c>
      <c r="T3409">
        <f>INDEX([1]IDEN_level_ids!$B:$B,MATCH(G3409,[1]IDEN_level_ids!$A:$A,0),1)</f>
        <v>1120</v>
      </c>
      <c r="U3409">
        <f>INDEX([1]IDEN_level_ids!$B:$B,MATCH(H3409,[1]IDEN_level_ids!$A:$A,0),1)</f>
        <v>1027</v>
      </c>
    </row>
    <row r="3410" spans="1:21" hidden="1" x14ac:dyDescent="0.25">
      <c r="A3410">
        <v>30411.8403</v>
      </c>
      <c r="B3410">
        <v>3288.1930000000002</v>
      </c>
      <c r="C3410">
        <v>22</v>
      </c>
      <c r="D3410" t="s">
        <v>708</v>
      </c>
      <c r="E3410" t="s">
        <v>681</v>
      </c>
      <c r="F3410">
        <v>1974</v>
      </c>
      <c r="G3410" s="1" t="s">
        <v>534</v>
      </c>
      <c r="H3410" s="1" t="s">
        <v>461</v>
      </c>
      <c r="I3410">
        <v>0.58979999999999999</v>
      </c>
      <c r="J3410">
        <v>30411.741300000002</v>
      </c>
      <c r="K3410">
        <v>-1.0699999999999999E-2</v>
      </c>
      <c r="L3410">
        <v>8.6800000000000002E-3</v>
      </c>
      <c r="M3410">
        <v>8.0299999999999996E-2</v>
      </c>
      <c r="N3410">
        <v>7.0699999999999999E-2</v>
      </c>
      <c r="O3410">
        <v>9.3399999999999993E-3</v>
      </c>
      <c r="P3410" s="3">
        <f t="shared" si="212"/>
        <v>3288.1929871241628</v>
      </c>
      <c r="Q3410" s="3">
        <f t="shared" si="213"/>
        <v>-1.0704125834763545E-2</v>
      </c>
      <c r="R3410" s="3">
        <f t="shared" si="214"/>
        <v>8.6800000000000002E-3</v>
      </c>
      <c r="S3410">
        <f t="shared" si="215"/>
        <v>91</v>
      </c>
      <c r="T3410">
        <f>INDEX([1]IDEN_level_ids!$B:$B,MATCH(G3410,[1]IDEN_level_ids!$A:$A,0),1)</f>
        <v>1116</v>
      </c>
      <c r="U3410">
        <f>INDEX([1]IDEN_level_ids!$B:$B,MATCH(H3410,[1]IDEN_level_ids!$A:$A,0),1)</f>
        <v>1017</v>
      </c>
    </row>
    <row r="3411" spans="1:21" hidden="1" x14ac:dyDescent="0.25">
      <c r="A3411">
        <v>30408.7889</v>
      </c>
      <c r="B3411">
        <v>3288.5228999999999</v>
      </c>
      <c r="C3411">
        <v>22</v>
      </c>
      <c r="D3411" t="s">
        <v>708</v>
      </c>
      <c r="F3411">
        <v>1974</v>
      </c>
      <c r="G3411" s="1" t="s">
        <v>212</v>
      </c>
      <c r="H3411" s="1" t="s">
        <v>437</v>
      </c>
      <c r="I3411">
        <v>0.26329999999999998</v>
      </c>
      <c r="J3411">
        <v>30408.776699999999</v>
      </c>
      <c r="K3411">
        <v>-1.31E-3</v>
      </c>
      <c r="L3411">
        <v>4.9800000000000001E-3</v>
      </c>
      <c r="M3411">
        <v>4.6100000000000002E-2</v>
      </c>
      <c r="N3411">
        <v>8.9200000000000002E-2</v>
      </c>
      <c r="O3411">
        <v>5.47E-3</v>
      </c>
      <c r="P3411" s="3">
        <f t="shared" si="212"/>
        <v>3288.5229441018614</v>
      </c>
      <c r="Q3411" s="3">
        <f t="shared" si="213"/>
        <v>-1.3193552740631276E-3</v>
      </c>
      <c r="R3411" s="3">
        <f t="shared" si="214"/>
        <v>4.9800000000000001E-3</v>
      </c>
      <c r="S3411">
        <f t="shared" si="215"/>
        <v>91</v>
      </c>
      <c r="T3411">
        <f>INDEX([1]IDEN_level_ids!$B:$B,MATCH(G3411,[1]IDEN_level_ids!$A:$A,0),1)</f>
        <v>1123</v>
      </c>
      <c r="U3411">
        <f>INDEX([1]IDEN_level_ids!$B:$B,MATCH(H3411,[1]IDEN_level_ids!$A:$A,0),1)</f>
        <v>1039</v>
      </c>
    </row>
    <row r="3412" spans="1:21" hidden="1" x14ac:dyDescent="0.25">
      <c r="A3412">
        <v>30380.6116</v>
      </c>
      <c r="B3412">
        <v>3291.5729999999999</v>
      </c>
      <c r="C3412">
        <v>22</v>
      </c>
      <c r="D3412" t="s">
        <v>708</v>
      </c>
      <c r="E3412" t="s">
        <v>638</v>
      </c>
      <c r="F3412">
        <v>1974</v>
      </c>
      <c r="G3412" s="1" t="s">
        <v>492</v>
      </c>
      <c r="H3412" s="1" t="s">
        <v>591</v>
      </c>
      <c r="I3412">
        <v>4.7300000000000002E-2</v>
      </c>
      <c r="J3412">
        <v>30380.739099999999</v>
      </c>
      <c r="K3412">
        <v>1.3820000000000001E-2</v>
      </c>
      <c r="L3412">
        <v>1.8720000000000001E-2</v>
      </c>
      <c r="M3412">
        <v>0.17280000000000001</v>
      </c>
      <c r="N3412">
        <v>2.9600000000000001E-2</v>
      </c>
      <c r="O3412">
        <v>1.9290000000000002E-2</v>
      </c>
      <c r="P3412" s="3">
        <f t="shared" si="212"/>
        <v>3291.5729714934378</v>
      </c>
      <c r="Q3412" s="3">
        <f t="shared" si="213"/>
        <v>1.3813869125442579E-2</v>
      </c>
      <c r="R3412" s="3">
        <f t="shared" si="214"/>
        <v>1.8720000000000001E-2</v>
      </c>
      <c r="S3412">
        <f t="shared" si="215"/>
        <v>91</v>
      </c>
      <c r="T3412">
        <f>INDEX([1]IDEN_level_ids!$B:$B,MATCH(G3412,[1]IDEN_level_ids!$A:$A,0),1)</f>
        <v>1132</v>
      </c>
      <c r="U3412">
        <f>INDEX([1]IDEN_level_ids!$B:$B,MATCH(H3412,[1]IDEN_level_ids!$A:$A,0),1)</f>
        <v>1053</v>
      </c>
    </row>
    <row r="3413" spans="1:21" hidden="1" x14ac:dyDescent="0.25">
      <c r="A3413">
        <v>30362.5484</v>
      </c>
      <c r="B3413">
        <v>3293.5311999999999</v>
      </c>
      <c r="C3413">
        <v>22</v>
      </c>
      <c r="D3413" t="s">
        <v>708</v>
      </c>
      <c r="E3413" t="s">
        <v>681</v>
      </c>
      <c r="F3413">
        <v>1974</v>
      </c>
      <c r="G3413" s="1" t="s">
        <v>443</v>
      </c>
      <c r="H3413" s="1" t="s">
        <v>446</v>
      </c>
      <c r="I3413">
        <v>0.5605</v>
      </c>
      <c r="J3413">
        <v>30362.469000000001</v>
      </c>
      <c r="K3413">
        <v>-8.6099999999999996E-3</v>
      </c>
      <c r="L3413">
        <v>8.7100000000000007E-3</v>
      </c>
      <c r="M3413">
        <v>8.0299999999999996E-2</v>
      </c>
      <c r="N3413">
        <v>6.4199999999999993E-2</v>
      </c>
      <c r="O3413">
        <v>9.3100000000000006E-3</v>
      </c>
      <c r="P3413" s="3">
        <f t="shared" si="212"/>
        <v>3293.5311846221712</v>
      </c>
      <c r="Q3413" s="3">
        <f t="shared" si="213"/>
        <v>-8.612816568074777E-3</v>
      </c>
      <c r="R3413" s="3">
        <f t="shared" si="214"/>
        <v>8.7100000000000007E-3</v>
      </c>
      <c r="S3413">
        <f t="shared" si="215"/>
        <v>91</v>
      </c>
      <c r="T3413">
        <f>INDEX([1]IDEN_level_ids!$B:$B,MATCH(G3413,[1]IDEN_level_ids!$A:$A,0),1)</f>
        <v>1145</v>
      </c>
      <c r="U3413">
        <f>INDEX([1]IDEN_level_ids!$B:$B,MATCH(H3413,[1]IDEN_level_ids!$A:$A,0),1)</f>
        <v>1079</v>
      </c>
    </row>
    <row r="3414" spans="1:21" hidden="1" x14ac:dyDescent="0.25">
      <c r="A3414">
        <v>30353.3197</v>
      </c>
      <c r="B3414">
        <v>3294.5326</v>
      </c>
      <c r="C3414">
        <v>22</v>
      </c>
      <c r="D3414" t="s">
        <v>708</v>
      </c>
      <c r="E3414" t="s">
        <v>678</v>
      </c>
      <c r="F3414">
        <v>1974</v>
      </c>
      <c r="G3414" s="1" t="s">
        <v>504</v>
      </c>
      <c r="H3414" s="1" t="s">
        <v>536</v>
      </c>
      <c r="I3414">
        <v>-1.0155000000000001</v>
      </c>
      <c r="J3414">
        <v>30353.263900000002</v>
      </c>
      <c r="K3414">
        <v>-6.0600000000000003E-3</v>
      </c>
      <c r="L3414">
        <v>7.9000000000000008E-3</v>
      </c>
      <c r="M3414">
        <v>7.2800000000000004E-2</v>
      </c>
      <c r="N3414">
        <v>7.46E-2</v>
      </c>
      <c r="O3414">
        <v>8.5400000000000007E-3</v>
      </c>
      <c r="P3414" s="3">
        <f t="shared" si="212"/>
        <v>3294.5325581636462</v>
      </c>
      <c r="Q3414" s="3">
        <f t="shared" si="213"/>
        <v>-6.0565123194464832E-3</v>
      </c>
      <c r="R3414" s="3">
        <f t="shared" si="214"/>
        <v>7.9000000000000008E-3</v>
      </c>
      <c r="S3414">
        <f t="shared" si="215"/>
        <v>91</v>
      </c>
      <c r="T3414">
        <f>INDEX([1]IDEN_level_ids!$B:$B,MATCH(G3414,[1]IDEN_level_ids!$A:$A,0),1)</f>
        <v>1118</v>
      </c>
      <c r="U3414">
        <f>INDEX([1]IDEN_level_ids!$B:$B,MATCH(H3414,[1]IDEN_level_ids!$A:$A,0),1)</f>
        <v>1021</v>
      </c>
    </row>
    <row r="3415" spans="1:21" hidden="1" x14ac:dyDescent="0.25">
      <c r="A3415">
        <v>30350.552800000001</v>
      </c>
      <c r="B3415">
        <v>3294.8328999999999</v>
      </c>
      <c r="C3415">
        <v>22</v>
      </c>
      <c r="D3415" t="s">
        <v>708</v>
      </c>
      <c r="E3415" t="s">
        <v>681</v>
      </c>
      <c r="F3415">
        <v>1974</v>
      </c>
      <c r="G3415" s="1" t="s">
        <v>329</v>
      </c>
      <c r="H3415" s="1" t="s">
        <v>451</v>
      </c>
      <c r="I3415">
        <v>0.7036</v>
      </c>
      <c r="J3415">
        <v>30350.488499999999</v>
      </c>
      <c r="K3415">
        <v>-6.9699999999999996E-3</v>
      </c>
      <c r="L3415">
        <v>8.7200000000000003E-3</v>
      </c>
      <c r="M3415">
        <v>8.0299999999999996E-2</v>
      </c>
      <c r="N3415">
        <v>6.5000000000000002E-2</v>
      </c>
      <c r="O3415">
        <v>9.3200000000000002E-3</v>
      </c>
      <c r="P3415" s="3">
        <f t="shared" si="212"/>
        <v>3294.8329033400669</v>
      </c>
      <c r="Q3415" s="3">
        <f t="shared" si="213"/>
        <v>-6.9803738310838526E-3</v>
      </c>
      <c r="R3415" s="3">
        <f t="shared" si="214"/>
        <v>8.7200000000000003E-3</v>
      </c>
      <c r="S3415">
        <f t="shared" si="215"/>
        <v>91</v>
      </c>
      <c r="T3415">
        <f>INDEX([1]IDEN_level_ids!$B:$B,MATCH(G3415,[1]IDEN_level_ids!$A:$A,0),1)</f>
        <v>1138</v>
      </c>
      <c r="U3415">
        <f>INDEX([1]IDEN_level_ids!$B:$B,MATCH(H3415,[1]IDEN_level_ids!$A:$A,0),1)</f>
        <v>1066</v>
      </c>
    </row>
    <row r="3416" spans="1:21" hidden="1" x14ac:dyDescent="0.25">
      <c r="A3416">
        <v>30341.462</v>
      </c>
      <c r="B3416">
        <v>3295.8200999999999</v>
      </c>
      <c r="C3416">
        <v>22</v>
      </c>
      <c r="D3416" t="s">
        <v>708</v>
      </c>
      <c r="E3416" t="s">
        <v>681</v>
      </c>
      <c r="F3416">
        <v>1974</v>
      </c>
      <c r="G3416" s="1" t="s">
        <v>695</v>
      </c>
      <c r="H3416" s="1" t="s">
        <v>486</v>
      </c>
      <c r="I3416">
        <v>0.79510000000000003</v>
      </c>
      <c r="J3416">
        <v>30341.394</v>
      </c>
      <c r="K3416">
        <v>-7.3800000000000003E-3</v>
      </c>
      <c r="L3416">
        <v>8.7200000000000003E-3</v>
      </c>
      <c r="M3416">
        <v>8.0299999999999996E-2</v>
      </c>
      <c r="N3416">
        <v>0.1429</v>
      </c>
      <c r="O3416">
        <v>1.018E-2</v>
      </c>
      <c r="P3416" s="3">
        <f t="shared" si="212"/>
        <v>3295.8200893549561</v>
      </c>
      <c r="Q3416" s="3">
        <f t="shared" si="213"/>
        <v>-7.3864689957190421E-3</v>
      </c>
      <c r="R3416" s="3">
        <f t="shared" si="214"/>
        <v>8.7200000000000003E-3</v>
      </c>
      <c r="S3416">
        <f t="shared" si="215"/>
        <v>91</v>
      </c>
      <c r="T3416">
        <f>INDEX([1]IDEN_level_ids!$B:$B,MATCH(G3416,[1]IDEN_level_ids!$A:$A,0),1)</f>
        <v>1091</v>
      </c>
      <c r="U3416">
        <f>INDEX([1]IDEN_level_ids!$B:$B,MATCH(H3416,[1]IDEN_level_ids!$A:$A,0),1)</f>
        <v>958</v>
      </c>
    </row>
    <row r="3417" spans="1:21" hidden="1" x14ac:dyDescent="0.25">
      <c r="A3417">
        <v>30330.1983</v>
      </c>
      <c r="B3417">
        <v>3297.0441000000001</v>
      </c>
      <c r="C3417">
        <v>22</v>
      </c>
      <c r="D3417" t="s">
        <v>708</v>
      </c>
      <c r="E3417" t="s">
        <v>678</v>
      </c>
      <c r="F3417">
        <v>1974</v>
      </c>
      <c r="G3417" s="1" t="s">
        <v>597</v>
      </c>
      <c r="H3417" s="1" t="s">
        <v>486</v>
      </c>
      <c r="I3417">
        <v>-0.61970000000000003</v>
      </c>
      <c r="J3417">
        <v>30330.100600000002</v>
      </c>
      <c r="K3417">
        <v>-1.0619999999999999E-2</v>
      </c>
      <c r="L3417">
        <v>7.92E-3</v>
      </c>
      <c r="M3417">
        <v>7.2800000000000004E-2</v>
      </c>
      <c r="N3417">
        <v>0.1938</v>
      </c>
      <c r="O3417">
        <v>9.8200000000000006E-3</v>
      </c>
      <c r="P3417" s="3">
        <f t="shared" si="212"/>
        <v>3297.0440552642217</v>
      </c>
      <c r="Q3417" s="3">
        <f t="shared" si="213"/>
        <v>-1.0620512224249978E-2</v>
      </c>
      <c r="R3417" s="3">
        <f t="shared" si="214"/>
        <v>7.92E-3</v>
      </c>
      <c r="S3417">
        <f t="shared" si="215"/>
        <v>91</v>
      </c>
      <c r="T3417">
        <f>INDEX([1]IDEN_level_ids!$B:$B,MATCH(G3417,[1]IDEN_level_ids!$A:$A,0),1)</f>
        <v>1090</v>
      </c>
      <c r="U3417">
        <f>INDEX([1]IDEN_level_ids!$B:$B,MATCH(H3417,[1]IDEN_level_ids!$A:$A,0),1)</f>
        <v>958</v>
      </c>
    </row>
    <row r="3418" spans="1:21" hidden="1" x14ac:dyDescent="0.25">
      <c r="A3418">
        <v>30297.271400000001</v>
      </c>
      <c r="B3418">
        <v>3300.6273000000001</v>
      </c>
      <c r="C3418">
        <v>22</v>
      </c>
      <c r="D3418" t="s">
        <v>709</v>
      </c>
      <c r="F3418">
        <v>1974</v>
      </c>
      <c r="G3418" s="1" t="s">
        <v>172</v>
      </c>
      <c r="H3418" s="1" t="s">
        <v>600</v>
      </c>
      <c r="I3418">
        <v>0</v>
      </c>
      <c r="J3418">
        <v>30297.252199999999</v>
      </c>
      <c r="K3418">
        <v>-2.0999999999999999E-3</v>
      </c>
      <c r="L3418">
        <v>5.0200000000000002E-3</v>
      </c>
      <c r="M3418">
        <v>4.6100000000000002E-2</v>
      </c>
      <c r="N3418">
        <v>0.10970000000000001</v>
      </c>
      <c r="O3418">
        <v>5.64E-3</v>
      </c>
      <c r="P3418" s="3">
        <f t="shared" si="212"/>
        <v>3300.6272637475859</v>
      </c>
      <c r="Q3418" s="3">
        <f t="shared" si="213"/>
        <v>-2.0916762700835534E-3</v>
      </c>
      <c r="R3418" s="3">
        <f t="shared" si="214"/>
        <v>5.0200000000000002E-3</v>
      </c>
      <c r="S3418">
        <f t="shared" si="215"/>
        <v>92</v>
      </c>
      <c r="T3418">
        <f>INDEX([1]IDEN_level_ids!$B:$B,MATCH(G3418,[1]IDEN_level_ids!$A:$A,0),1)</f>
        <v>1136</v>
      </c>
      <c r="U3418">
        <f>INDEX([1]IDEN_level_ids!$B:$B,MATCH(H3418,[1]IDEN_level_ids!$A:$A,0),1)</f>
        <v>1058</v>
      </c>
    </row>
    <row r="3419" spans="1:21" hidden="1" x14ac:dyDescent="0.25">
      <c r="A3419">
        <v>30271.439600000002</v>
      </c>
      <c r="B3419">
        <v>3303.4438</v>
      </c>
      <c r="C3419">
        <v>22</v>
      </c>
      <c r="D3419" t="s">
        <v>709</v>
      </c>
      <c r="E3419" t="s">
        <v>427</v>
      </c>
      <c r="F3419">
        <v>1974</v>
      </c>
      <c r="G3419" s="1" t="s">
        <v>275</v>
      </c>
      <c r="H3419" s="1" t="s">
        <v>416</v>
      </c>
      <c r="I3419">
        <v>0.26750000000000002</v>
      </c>
      <c r="J3419">
        <v>30271.409</v>
      </c>
      <c r="K3419">
        <v>-3.3400000000000001E-3</v>
      </c>
      <c r="L3419">
        <v>5.3200000000000001E-3</v>
      </c>
      <c r="M3419">
        <v>4.87E-2</v>
      </c>
      <c r="N3419">
        <v>7.7600000000000002E-2</v>
      </c>
      <c r="O3419">
        <v>5.7600000000000004E-3</v>
      </c>
      <c r="P3419" s="3">
        <f t="shared" si="212"/>
        <v>3303.4438177165512</v>
      </c>
      <c r="Q3419" s="3">
        <f t="shared" si="213"/>
        <v>-3.3393021394658717E-3</v>
      </c>
      <c r="R3419" s="3">
        <f t="shared" si="214"/>
        <v>5.3200000000000001E-3</v>
      </c>
      <c r="S3419">
        <f t="shared" si="215"/>
        <v>92</v>
      </c>
      <c r="T3419">
        <f>INDEX([1]IDEN_level_ids!$B:$B,MATCH(G3419,[1]IDEN_level_ids!$A:$A,0),1)</f>
        <v>1134</v>
      </c>
      <c r="U3419">
        <f>INDEX([1]IDEN_level_ids!$B:$B,MATCH(H3419,[1]IDEN_level_ids!$A:$A,0),1)</f>
        <v>1055</v>
      </c>
    </row>
    <row r="3420" spans="1:21" hidden="1" x14ac:dyDescent="0.25">
      <c r="A3420">
        <v>30260.050200000001</v>
      </c>
      <c r="B3420">
        <v>3304.6871999999998</v>
      </c>
      <c r="C3420">
        <v>22</v>
      </c>
      <c r="D3420" t="s">
        <v>709</v>
      </c>
      <c r="E3420" t="s">
        <v>638</v>
      </c>
      <c r="F3420">
        <v>1974</v>
      </c>
      <c r="G3420" s="1" t="s">
        <v>534</v>
      </c>
      <c r="H3420" s="1" t="s">
        <v>585</v>
      </c>
      <c r="I3420">
        <v>6.0600000000000001E-2</v>
      </c>
      <c r="J3420">
        <v>30260.2601</v>
      </c>
      <c r="K3420">
        <v>2.2919999999999999E-2</v>
      </c>
      <c r="L3420">
        <v>1.8870000000000001E-2</v>
      </c>
      <c r="M3420">
        <v>0.17280000000000001</v>
      </c>
      <c r="N3420">
        <v>2.5499999999999998E-2</v>
      </c>
      <c r="O3420">
        <v>1.9369999999999998E-2</v>
      </c>
      <c r="P3420" s="3">
        <f t="shared" si="212"/>
        <v>3304.6871812525942</v>
      </c>
      <c r="Q3420" s="3">
        <f t="shared" si="213"/>
        <v>2.2922930505046679E-2</v>
      </c>
      <c r="R3420" s="3">
        <f t="shared" si="214"/>
        <v>1.8870000000000001E-2</v>
      </c>
      <c r="S3420">
        <f t="shared" si="215"/>
        <v>92</v>
      </c>
      <c r="T3420">
        <f>INDEX([1]IDEN_level_ids!$B:$B,MATCH(G3420,[1]IDEN_level_ids!$A:$A,0),1)</f>
        <v>1116</v>
      </c>
      <c r="U3420">
        <f>INDEX([1]IDEN_level_ids!$B:$B,MATCH(H3420,[1]IDEN_level_ids!$A:$A,0),1)</f>
        <v>1019</v>
      </c>
    </row>
    <row r="3421" spans="1:21" hidden="1" x14ac:dyDescent="0.25">
      <c r="A3421">
        <v>30251.599399999999</v>
      </c>
      <c r="B3421">
        <v>3305.6102999999998</v>
      </c>
      <c r="C3421">
        <v>22</v>
      </c>
      <c r="D3421" t="s">
        <v>709</v>
      </c>
      <c r="E3421" t="s">
        <v>638</v>
      </c>
      <c r="F3421">
        <v>1974</v>
      </c>
      <c r="G3421" s="1" t="s">
        <v>534</v>
      </c>
      <c r="H3421" s="1" t="s">
        <v>576</v>
      </c>
      <c r="I3421">
        <v>8.7599999999999997E-2</v>
      </c>
      <c r="J3421">
        <v>30251.6332</v>
      </c>
      <c r="K3421">
        <v>3.6900000000000001E-3</v>
      </c>
      <c r="L3421">
        <v>1.8880000000000001E-2</v>
      </c>
      <c r="M3421">
        <v>0.17280000000000001</v>
      </c>
      <c r="N3421">
        <v>3.4000000000000002E-2</v>
      </c>
      <c r="O3421">
        <v>1.9550000000000001E-2</v>
      </c>
      <c r="P3421" s="3">
        <f t="shared" si="212"/>
        <v>3305.6103473325779</v>
      </c>
      <c r="Q3421" s="3">
        <f t="shared" si="213"/>
        <v>3.6933420751665835E-3</v>
      </c>
      <c r="R3421" s="3">
        <f t="shared" si="214"/>
        <v>1.8880000000000001E-2</v>
      </c>
      <c r="S3421">
        <f t="shared" si="215"/>
        <v>92</v>
      </c>
      <c r="T3421">
        <f>INDEX([1]IDEN_level_ids!$B:$B,MATCH(G3421,[1]IDEN_level_ids!$A:$A,0),1)</f>
        <v>1116</v>
      </c>
      <c r="U3421">
        <f>INDEX([1]IDEN_level_ids!$B:$B,MATCH(H3421,[1]IDEN_level_ids!$A:$A,0),1)</f>
        <v>1024</v>
      </c>
    </row>
    <row r="3422" spans="1:21" hidden="1" x14ac:dyDescent="0.25">
      <c r="A3422">
        <v>30238.092100000002</v>
      </c>
      <c r="B3422">
        <v>3307.087</v>
      </c>
      <c r="C3422">
        <v>22</v>
      </c>
      <c r="D3422" t="s">
        <v>709</v>
      </c>
      <c r="E3422" t="s">
        <v>681</v>
      </c>
      <c r="F3422">
        <v>1974</v>
      </c>
      <c r="G3422" s="1" t="s">
        <v>515</v>
      </c>
      <c r="H3422" s="1" t="s">
        <v>419</v>
      </c>
      <c r="I3422">
        <v>0.60160000000000002</v>
      </c>
      <c r="J3422">
        <v>30237.930799999998</v>
      </c>
      <c r="K3422">
        <v>-1.7639999999999999E-2</v>
      </c>
      <c r="L3422">
        <v>8.7799999999999996E-3</v>
      </c>
      <c r="M3422">
        <v>8.0299999999999996E-2</v>
      </c>
      <c r="N3422">
        <v>0.11020000000000001</v>
      </c>
      <c r="O3422">
        <v>9.8700000000000003E-3</v>
      </c>
      <c r="P3422" s="3">
        <f t="shared" si="212"/>
        <v>3307.0869573811501</v>
      </c>
      <c r="Q3422" s="3">
        <f t="shared" si="213"/>
        <v>-1.7641191448092286E-2</v>
      </c>
      <c r="R3422" s="3">
        <f t="shared" si="214"/>
        <v>8.7799999999999996E-3</v>
      </c>
      <c r="S3422">
        <f t="shared" si="215"/>
        <v>92</v>
      </c>
      <c r="T3422">
        <f>INDEX([1]IDEN_level_ids!$B:$B,MATCH(G3422,[1]IDEN_level_ids!$A:$A,0),1)</f>
        <v>1140</v>
      </c>
      <c r="U3422">
        <f>INDEX([1]IDEN_level_ids!$B:$B,MATCH(H3422,[1]IDEN_level_ids!$A:$A,0),1)</f>
        <v>1068</v>
      </c>
    </row>
    <row r="3423" spans="1:21" hidden="1" x14ac:dyDescent="0.25">
      <c r="A3423">
        <v>30200.569800000001</v>
      </c>
      <c r="B3423">
        <v>3311.1958</v>
      </c>
      <c r="C3423">
        <v>22</v>
      </c>
      <c r="D3423" t="s">
        <v>709</v>
      </c>
      <c r="F3423">
        <v>1974</v>
      </c>
      <c r="G3423" s="1" t="s">
        <v>334</v>
      </c>
      <c r="H3423" s="1" t="s">
        <v>445</v>
      </c>
      <c r="I3423">
        <v>0</v>
      </c>
      <c r="J3423">
        <v>30200.573400000001</v>
      </c>
      <c r="K3423">
        <v>3.8999999999999999E-4</v>
      </c>
      <c r="L3423">
        <v>5.0499999999999998E-3</v>
      </c>
      <c r="M3423">
        <v>4.6100000000000002E-2</v>
      </c>
      <c r="N3423">
        <v>0.12759999999999999</v>
      </c>
      <c r="O3423">
        <v>5.79E-3</v>
      </c>
      <c r="P3423" s="3">
        <f t="shared" si="212"/>
        <v>3311.1958039944002</v>
      </c>
      <c r="Q3423" s="3">
        <f t="shared" si="213"/>
        <v>3.947045884160616E-4</v>
      </c>
      <c r="R3423" s="3">
        <f t="shared" si="214"/>
        <v>5.0499999999999998E-3</v>
      </c>
      <c r="S3423">
        <f t="shared" si="215"/>
        <v>92</v>
      </c>
      <c r="T3423">
        <f>INDEX([1]IDEN_level_ids!$B:$B,MATCH(G3423,[1]IDEN_level_ids!$A:$A,0),1)</f>
        <v>1124</v>
      </c>
      <c r="U3423">
        <f>INDEX([1]IDEN_level_ids!$B:$B,MATCH(H3423,[1]IDEN_level_ids!$A:$A,0),1)</f>
        <v>1041</v>
      </c>
    </row>
    <row r="3424" spans="1:21" hidden="1" x14ac:dyDescent="0.25">
      <c r="A3424">
        <v>30164.930799999998</v>
      </c>
      <c r="B3424">
        <v>3315.1079</v>
      </c>
      <c r="C3424">
        <v>22</v>
      </c>
      <c r="D3424" t="s">
        <v>709</v>
      </c>
      <c r="F3424">
        <v>1974</v>
      </c>
      <c r="G3424" s="1" t="s">
        <v>710</v>
      </c>
      <c r="H3424" s="1" t="s">
        <v>278</v>
      </c>
      <c r="I3424">
        <v>0</v>
      </c>
      <c r="J3424">
        <v>30164.926200000002</v>
      </c>
      <c r="K3424">
        <v>-5.1000000000000004E-4</v>
      </c>
      <c r="L3424">
        <v>5.0600000000000003E-3</v>
      </c>
      <c r="M3424">
        <v>4.6100000000000002E-2</v>
      </c>
      <c r="N3424">
        <v>0.14000000000000001</v>
      </c>
      <c r="O3424">
        <v>5.8900000000000003E-3</v>
      </c>
      <c r="P3424" s="3">
        <f t="shared" si="212"/>
        <v>3315.1078868047662</v>
      </c>
      <c r="Q3424" s="3">
        <f t="shared" si="213"/>
        <v>-5.0553733080960228E-4</v>
      </c>
      <c r="R3424" s="3">
        <f t="shared" si="214"/>
        <v>5.0600000000000003E-3</v>
      </c>
      <c r="S3424">
        <f t="shared" si="215"/>
        <v>92</v>
      </c>
      <c r="T3424">
        <f>INDEX([1]IDEN_level_ids!$B:$B,MATCH(G3424,[1]IDEN_level_ids!$A:$A,0),1)</f>
        <v>1246</v>
      </c>
      <c r="U3424">
        <f>INDEX([1]IDEN_level_ids!$B:$B,MATCH(H3424,[1]IDEN_level_ids!$A:$A,0),1)</f>
        <v>1102</v>
      </c>
    </row>
    <row r="3425" spans="1:21" hidden="1" x14ac:dyDescent="0.25">
      <c r="A3425">
        <v>30134.009399999999</v>
      </c>
      <c r="B3425">
        <v>3318.5095999999999</v>
      </c>
      <c r="C3425">
        <v>22</v>
      </c>
      <c r="D3425" t="s">
        <v>709</v>
      </c>
      <c r="E3425" t="s">
        <v>681</v>
      </c>
      <c r="F3425">
        <v>1974</v>
      </c>
      <c r="G3425" s="1" t="s">
        <v>279</v>
      </c>
      <c r="H3425" s="1" t="s">
        <v>569</v>
      </c>
      <c r="I3425">
        <v>0.27579999999999999</v>
      </c>
      <c r="J3425">
        <v>30134.077300000001</v>
      </c>
      <c r="K3425">
        <v>7.4799999999999997E-3</v>
      </c>
      <c r="L3425">
        <v>8.8400000000000006E-3</v>
      </c>
      <c r="M3425">
        <v>8.0299999999999996E-2</v>
      </c>
      <c r="N3425">
        <v>6.0699999999999997E-2</v>
      </c>
      <c r="O3425">
        <v>9.4199999999999996E-3</v>
      </c>
      <c r="P3425" s="3">
        <f t="shared" si="212"/>
        <v>3318.5096172433</v>
      </c>
      <c r="Q3425" s="3">
        <f t="shared" si="213"/>
        <v>7.477474779534532E-3</v>
      </c>
      <c r="R3425" s="3">
        <f t="shared" si="214"/>
        <v>8.8400000000000006E-3</v>
      </c>
      <c r="S3425">
        <f t="shared" si="215"/>
        <v>92</v>
      </c>
      <c r="T3425">
        <f>INDEX([1]IDEN_level_ids!$B:$B,MATCH(G3425,[1]IDEN_level_ids!$A:$A,0),1)</f>
        <v>1129</v>
      </c>
      <c r="U3425">
        <f>INDEX([1]IDEN_level_ids!$B:$B,MATCH(H3425,[1]IDEN_level_ids!$A:$A,0),1)</f>
        <v>1049</v>
      </c>
    </row>
    <row r="3426" spans="1:21" hidden="1" x14ac:dyDescent="0.25">
      <c r="A3426">
        <v>30108.7703</v>
      </c>
      <c r="B3426">
        <v>3321.2914000000001</v>
      </c>
      <c r="C3426">
        <v>22</v>
      </c>
      <c r="D3426" t="s">
        <v>709</v>
      </c>
      <c r="E3426" t="s">
        <v>678</v>
      </c>
      <c r="F3426">
        <v>1974</v>
      </c>
      <c r="G3426" s="1" t="s">
        <v>511</v>
      </c>
      <c r="H3426" s="1" t="s">
        <v>375</v>
      </c>
      <c r="I3426">
        <v>-0.52229999999999999</v>
      </c>
      <c r="J3426">
        <v>30108.686000000002</v>
      </c>
      <c r="K3426">
        <v>-9.2899999999999996E-3</v>
      </c>
      <c r="L3426">
        <v>8.0300000000000007E-3</v>
      </c>
      <c r="M3426">
        <v>7.2800000000000004E-2</v>
      </c>
      <c r="N3426">
        <v>7.4200000000000002E-2</v>
      </c>
      <c r="O3426">
        <v>8.6800000000000002E-3</v>
      </c>
      <c r="P3426" s="3">
        <f t="shared" si="212"/>
        <v>3321.2914045845305</v>
      </c>
      <c r="Q3426" s="3">
        <f t="shared" si="213"/>
        <v>-9.2991393048578175E-3</v>
      </c>
      <c r="R3426" s="3">
        <f t="shared" si="214"/>
        <v>8.0300000000000007E-3</v>
      </c>
      <c r="S3426">
        <f t="shared" si="215"/>
        <v>92</v>
      </c>
      <c r="T3426">
        <f>INDEX([1]IDEN_level_ids!$B:$B,MATCH(G3426,[1]IDEN_level_ids!$A:$A,0),1)</f>
        <v>1139</v>
      </c>
      <c r="U3426">
        <f>INDEX([1]IDEN_level_ids!$B:$B,MATCH(H3426,[1]IDEN_level_ids!$A:$A,0),1)</f>
        <v>1065</v>
      </c>
    </row>
    <row r="3427" spans="1:21" hidden="1" x14ac:dyDescent="0.25">
      <c r="A3427">
        <v>30108.261500000001</v>
      </c>
      <c r="B3427">
        <v>3321.3474999999999</v>
      </c>
      <c r="C3427">
        <v>22</v>
      </c>
      <c r="D3427" t="s">
        <v>709</v>
      </c>
      <c r="E3427" t="s">
        <v>681</v>
      </c>
      <c r="F3427">
        <v>1974</v>
      </c>
      <c r="G3427" s="1" t="s">
        <v>279</v>
      </c>
      <c r="H3427" s="1" t="s">
        <v>595</v>
      </c>
      <c r="I3427">
        <v>0.27579999999999999</v>
      </c>
      <c r="J3427">
        <v>30108.292399999998</v>
      </c>
      <c r="K3427">
        <v>3.4099999999999998E-3</v>
      </c>
      <c r="L3427">
        <v>8.8599999999999998E-3</v>
      </c>
      <c r="M3427">
        <v>8.0299999999999996E-2</v>
      </c>
      <c r="N3427">
        <v>6.7199999999999996E-2</v>
      </c>
      <c r="O3427">
        <v>9.4999999999999998E-3</v>
      </c>
      <c r="P3427" s="3">
        <f t="shared" si="212"/>
        <v>3321.3475311419093</v>
      </c>
      <c r="Q3427" s="3">
        <f t="shared" si="213"/>
        <v>3.4086834730260307E-3</v>
      </c>
      <c r="R3427" s="3">
        <f t="shared" si="214"/>
        <v>8.8599999999999998E-3</v>
      </c>
      <c r="S3427">
        <f t="shared" si="215"/>
        <v>92</v>
      </c>
      <c r="T3427">
        <f>INDEX([1]IDEN_level_ids!$B:$B,MATCH(G3427,[1]IDEN_level_ids!$A:$A,0),1)</f>
        <v>1129</v>
      </c>
      <c r="U3427">
        <f>INDEX([1]IDEN_level_ids!$B:$B,MATCH(H3427,[1]IDEN_level_ids!$A:$A,0),1)</f>
        <v>1052</v>
      </c>
    </row>
    <row r="3428" spans="1:21" hidden="1" x14ac:dyDescent="0.25">
      <c r="A3428">
        <v>30091.850299999998</v>
      </c>
      <c r="B3428">
        <v>3323.1588999999999</v>
      </c>
      <c r="C3428">
        <v>22</v>
      </c>
      <c r="D3428" t="s">
        <v>709</v>
      </c>
      <c r="E3428" t="s">
        <v>678</v>
      </c>
      <c r="F3428">
        <v>1974</v>
      </c>
      <c r="G3428" s="1" t="s">
        <v>693</v>
      </c>
      <c r="H3428" s="1" t="s">
        <v>509</v>
      </c>
      <c r="I3428">
        <v>-0.55159999999999998</v>
      </c>
      <c r="J3428">
        <v>30091.717499999999</v>
      </c>
      <c r="K3428">
        <v>-1.4659999999999999E-2</v>
      </c>
      <c r="L3428">
        <v>8.0400000000000003E-3</v>
      </c>
      <c r="M3428">
        <v>7.2800000000000004E-2</v>
      </c>
      <c r="N3428">
        <v>0.1734</v>
      </c>
      <c r="O3428">
        <v>9.7300000000000008E-3</v>
      </c>
      <c r="P3428" s="3">
        <f t="shared" si="212"/>
        <v>3323.1588952840166</v>
      </c>
      <c r="Q3428" s="3">
        <f t="shared" si="213"/>
        <v>-1.4665680059351871E-2</v>
      </c>
      <c r="R3428" s="3">
        <f t="shared" si="214"/>
        <v>8.0400000000000003E-3</v>
      </c>
      <c r="S3428">
        <f t="shared" si="215"/>
        <v>92</v>
      </c>
      <c r="T3428">
        <f>INDEX([1]IDEN_level_ids!$B:$B,MATCH(G3428,[1]IDEN_level_ids!$A:$A,0),1)</f>
        <v>1088</v>
      </c>
      <c r="U3428">
        <f>INDEX([1]IDEN_level_ids!$B:$B,MATCH(H3428,[1]IDEN_level_ids!$A:$A,0),1)</f>
        <v>956</v>
      </c>
    </row>
    <row r="3429" spans="1:21" hidden="1" x14ac:dyDescent="0.25">
      <c r="A3429">
        <v>30090.1394</v>
      </c>
      <c r="B3429">
        <v>3323.3479000000002</v>
      </c>
      <c r="C3429">
        <v>22</v>
      </c>
      <c r="D3429" t="s">
        <v>709</v>
      </c>
      <c r="F3429">
        <v>1974</v>
      </c>
      <c r="G3429" s="1" t="s">
        <v>670</v>
      </c>
      <c r="H3429" s="1" t="s">
        <v>615</v>
      </c>
      <c r="I3429">
        <v>-9.4000000000000004E-3</v>
      </c>
      <c r="J3429">
        <v>30090.121500000001</v>
      </c>
      <c r="K3429">
        <v>-1.97E-3</v>
      </c>
      <c r="L3429">
        <v>5.0899999999999999E-3</v>
      </c>
      <c r="M3429">
        <v>4.6100000000000002E-2</v>
      </c>
      <c r="N3429">
        <v>0.3009</v>
      </c>
      <c r="O3429">
        <v>7.28E-3</v>
      </c>
      <c r="P3429" s="3">
        <f t="shared" si="212"/>
        <v>3323.3478473017644</v>
      </c>
      <c r="Q3429" s="3">
        <f t="shared" si="213"/>
        <v>-1.9769918994825275E-3</v>
      </c>
      <c r="R3429" s="3">
        <f t="shared" si="214"/>
        <v>5.0899999999999999E-3</v>
      </c>
      <c r="S3429">
        <f t="shared" si="215"/>
        <v>92</v>
      </c>
      <c r="T3429">
        <f>INDEX([1]IDEN_level_ids!$B:$B,MATCH(G3429,[1]IDEN_level_ids!$A:$A,0),1)</f>
        <v>1093</v>
      </c>
      <c r="U3429">
        <f>INDEX([1]IDEN_level_ids!$B:$B,MATCH(H3429,[1]IDEN_level_ids!$A:$A,0),1)</f>
        <v>962</v>
      </c>
    </row>
    <row r="3430" spans="1:21" hidden="1" x14ac:dyDescent="0.25">
      <c r="A3430">
        <v>30067.5789</v>
      </c>
      <c r="B3430">
        <v>3325.8413999999998</v>
      </c>
      <c r="C3430">
        <v>22</v>
      </c>
      <c r="D3430" t="s">
        <v>711</v>
      </c>
      <c r="E3430" t="s">
        <v>427</v>
      </c>
      <c r="F3430">
        <v>1974</v>
      </c>
      <c r="G3430" s="1" t="s">
        <v>712</v>
      </c>
      <c r="H3430" s="1" t="s">
        <v>345</v>
      </c>
      <c r="I3430">
        <v>0</v>
      </c>
      <c r="J3430">
        <v>30067.570400000001</v>
      </c>
      <c r="K3430">
        <v>-9.3999999999999997E-4</v>
      </c>
      <c r="L3430">
        <v>5.3899999999999998E-3</v>
      </c>
      <c r="M3430">
        <v>4.87E-2</v>
      </c>
      <c r="N3430">
        <v>0.11940000000000001</v>
      </c>
      <c r="O3430">
        <v>6.1199999999999996E-3</v>
      </c>
      <c r="P3430" s="3">
        <f t="shared" si="212"/>
        <v>3325.8414431233105</v>
      </c>
      <c r="Q3430" s="3">
        <f t="shared" si="213"/>
        <v>-9.4020407686912222E-4</v>
      </c>
      <c r="R3430" s="3">
        <f t="shared" si="214"/>
        <v>5.3899999999999998E-3</v>
      </c>
      <c r="S3430">
        <f t="shared" si="215"/>
        <v>93</v>
      </c>
      <c r="T3430">
        <f>INDEX([1]IDEN_level_ids!$B:$B,MATCH(G3430,[1]IDEN_level_ids!$A:$A,0),1)</f>
        <v>1247</v>
      </c>
      <c r="U3430">
        <f>INDEX([1]IDEN_level_ids!$B:$B,MATCH(H3430,[1]IDEN_level_ids!$A:$A,0),1)</f>
        <v>1106</v>
      </c>
    </row>
    <row r="3431" spans="1:21" hidden="1" x14ac:dyDescent="0.25">
      <c r="A3431">
        <v>30044.049299999999</v>
      </c>
      <c r="B3431">
        <v>3328.4461000000001</v>
      </c>
      <c r="C3431">
        <v>22</v>
      </c>
      <c r="D3431" t="s">
        <v>711</v>
      </c>
      <c r="E3431" t="s">
        <v>678</v>
      </c>
      <c r="F3431">
        <v>1974</v>
      </c>
      <c r="G3431" s="1" t="s">
        <v>504</v>
      </c>
      <c r="H3431" s="1" t="s">
        <v>475</v>
      </c>
      <c r="I3431">
        <v>-0.81259999999999999</v>
      </c>
      <c r="J3431">
        <v>30044.047299999998</v>
      </c>
      <c r="K3431">
        <v>-2.2000000000000001E-4</v>
      </c>
      <c r="L3431">
        <v>8.0700000000000008E-3</v>
      </c>
      <c r="M3431">
        <v>7.2800000000000004E-2</v>
      </c>
      <c r="N3431">
        <v>7.2999999999999995E-2</v>
      </c>
      <c r="O3431">
        <v>8.6999999999999994E-3</v>
      </c>
      <c r="P3431" s="3">
        <f t="shared" si="212"/>
        <v>3328.4461425777254</v>
      </c>
      <c r="Q3431" s="3">
        <f t="shared" si="213"/>
        <v>-2.2157108924147906E-4</v>
      </c>
      <c r="R3431" s="3">
        <f t="shared" si="214"/>
        <v>8.0700000000000008E-3</v>
      </c>
      <c r="S3431">
        <f t="shared" si="215"/>
        <v>93</v>
      </c>
      <c r="T3431">
        <f>INDEX([1]IDEN_level_ids!$B:$B,MATCH(G3431,[1]IDEN_level_ids!$A:$A,0),1)</f>
        <v>1118</v>
      </c>
      <c r="U3431">
        <f>INDEX([1]IDEN_level_ids!$B:$B,MATCH(H3431,[1]IDEN_level_ids!$A:$A,0),1)</f>
        <v>1030</v>
      </c>
    </row>
    <row r="3432" spans="1:21" hidden="1" x14ac:dyDescent="0.25">
      <c r="A3432">
        <v>30040.737499999999</v>
      </c>
      <c r="B3432">
        <v>3328.8130999999998</v>
      </c>
      <c r="C3432">
        <v>22</v>
      </c>
      <c r="D3432" t="s">
        <v>711</v>
      </c>
      <c r="F3432">
        <v>1974</v>
      </c>
      <c r="G3432" s="1" t="s">
        <v>212</v>
      </c>
      <c r="H3432" s="1" t="s">
        <v>468</v>
      </c>
      <c r="I3432">
        <v>0.16639999999999999</v>
      </c>
      <c r="J3432">
        <v>30040.735799999999</v>
      </c>
      <c r="K3432">
        <v>-1.9000000000000001E-4</v>
      </c>
      <c r="L3432">
        <v>5.1000000000000004E-3</v>
      </c>
      <c r="M3432">
        <v>4.6100000000000002E-2</v>
      </c>
      <c r="N3432">
        <v>0.11260000000000001</v>
      </c>
      <c r="O3432">
        <v>5.7499999999999999E-3</v>
      </c>
      <c r="P3432" s="3">
        <f t="shared" si="212"/>
        <v>3328.8130825682961</v>
      </c>
      <c r="Q3432" s="3">
        <f t="shared" si="213"/>
        <v>-1.8837695188267389E-4</v>
      </c>
      <c r="R3432" s="3">
        <f t="shared" si="214"/>
        <v>5.1000000000000004E-3</v>
      </c>
      <c r="S3432">
        <f t="shared" si="215"/>
        <v>93</v>
      </c>
      <c r="T3432">
        <f>INDEX([1]IDEN_level_ids!$B:$B,MATCH(G3432,[1]IDEN_level_ids!$A:$A,0),1)</f>
        <v>1123</v>
      </c>
      <c r="U3432">
        <f>INDEX([1]IDEN_level_ids!$B:$B,MATCH(H3432,[1]IDEN_level_ids!$A:$A,0),1)</f>
        <v>1044</v>
      </c>
    </row>
    <row r="3433" spans="1:21" hidden="1" x14ac:dyDescent="0.25">
      <c r="A3433">
        <v>30031.800899999998</v>
      </c>
      <c r="B3433">
        <v>3329.8036000000002</v>
      </c>
      <c r="C3433">
        <v>22</v>
      </c>
      <c r="D3433" t="s">
        <v>711</v>
      </c>
      <c r="E3433" t="s">
        <v>678</v>
      </c>
      <c r="F3433">
        <v>1974</v>
      </c>
      <c r="G3433" s="1" t="s">
        <v>354</v>
      </c>
      <c r="H3433" s="1" t="s">
        <v>377</v>
      </c>
      <c r="I3433">
        <v>-0.47120000000000001</v>
      </c>
      <c r="J3433">
        <v>30031.671900000001</v>
      </c>
      <c r="K3433">
        <v>-1.431E-2</v>
      </c>
      <c r="L3433">
        <v>8.0700000000000008E-3</v>
      </c>
      <c r="M3433">
        <v>7.2800000000000004E-2</v>
      </c>
      <c r="N3433">
        <v>6.7100000000000007E-2</v>
      </c>
      <c r="O3433">
        <v>8.6599999999999993E-3</v>
      </c>
      <c r="P3433" s="3">
        <f t="shared" si="212"/>
        <v>3329.8036415791503</v>
      </c>
      <c r="Q3433" s="3">
        <f t="shared" si="213"/>
        <v>-1.4303055493655847E-2</v>
      </c>
      <c r="R3433" s="3">
        <f t="shared" si="214"/>
        <v>8.0700000000000008E-3</v>
      </c>
      <c r="S3433">
        <f t="shared" si="215"/>
        <v>93</v>
      </c>
      <c r="T3433">
        <f>INDEX([1]IDEN_level_ids!$B:$B,MATCH(G3433,[1]IDEN_level_ids!$A:$A,0),1)</f>
        <v>1135</v>
      </c>
      <c r="U3433">
        <f>INDEX([1]IDEN_level_ids!$B:$B,MATCH(H3433,[1]IDEN_level_ids!$A:$A,0),1)</f>
        <v>1057</v>
      </c>
    </row>
    <row r="3434" spans="1:21" hidden="1" x14ac:dyDescent="0.25">
      <c r="A3434">
        <v>30004.969499999999</v>
      </c>
      <c r="B3434">
        <v>3332.7813000000001</v>
      </c>
      <c r="C3434">
        <v>22</v>
      </c>
      <c r="D3434" t="s">
        <v>711</v>
      </c>
      <c r="E3434" t="s">
        <v>678</v>
      </c>
      <c r="F3434">
        <v>1974</v>
      </c>
      <c r="G3434" s="1" t="s">
        <v>276</v>
      </c>
      <c r="H3434" s="1" t="s">
        <v>416</v>
      </c>
      <c r="I3434">
        <v>-0.73599999999999999</v>
      </c>
      <c r="J3434">
        <v>30004.9002</v>
      </c>
      <c r="K3434">
        <v>-7.6899999999999998E-3</v>
      </c>
      <c r="L3434">
        <v>8.09E-3</v>
      </c>
      <c r="M3434">
        <v>7.2800000000000004E-2</v>
      </c>
      <c r="N3434">
        <v>6.0900000000000003E-2</v>
      </c>
      <c r="O3434">
        <v>8.6099999999999996E-3</v>
      </c>
      <c r="P3434" s="3">
        <f t="shared" si="212"/>
        <v>3332.781258117926</v>
      </c>
      <c r="Q3434" s="3">
        <f t="shared" si="213"/>
        <v>-7.6974674020675593E-3</v>
      </c>
      <c r="R3434" s="3">
        <f t="shared" si="214"/>
        <v>8.09E-3</v>
      </c>
      <c r="S3434">
        <f t="shared" si="215"/>
        <v>93</v>
      </c>
      <c r="T3434">
        <f>INDEX([1]IDEN_level_ids!$B:$B,MATCH(G3434,[1]IDEN_level_ids!$A:$A,0),1)</f>
        <v>1131</v>
      </c>
      <c r="U3434">
        <f>INDEX([1]IDEN_level_ids!$B:$B,MATCH(H3434,[1]IDEN_level_ids!$A:$A,0),1)</f>
        <v>1055</v>
      </c>
    </row>
    <row r="3435" spans="1:21" hidden="1" x14ac:dyDescent="0.25">
      <c r="A3435">
        <v>29992.051100000001</v>
      </c>
      <c r="B3435">
        <v>3334.2168000000001</v>
      </c>
      <c r="C3435">
        <v>22</v>
      </c>
      <c r="D3435" t="s">
        <v>711</v>
      </c>
      <c r="E3435" t="s">
        <v>678</v>
      </c>
      <c r="F3435">
        <v>1974</v>
      </c>
      <c r="G3435" s="1" t="s">
        <v>354</v>
      </c>
      <c r="H3435" s="1" t="s">
        <v>600</v>
      </c>
      <c r="I3435">
        <v>-0.83340000000000003</v>
      </c>
      <c r="J3435">
        <v>29992.027699999999</v>
      </c>
      <c r="K3435">
        <v>-2.5999999999999999E-3</v>
      </c>
      <c r="L3435">
        <v>8.0999999999999996E-3</v>
      </c>
      <c r="M3435">
        <v>7.2800000000000004E-2</v>
      </c>
      <c r="N3435">
        <v>8.2100000000000006E-2</v>
      </c>
      <c r="O3435">
        <v>8.8199999999999997E-3</v>
      </c>
      <c r="P3435" s="3">
        <f t="shared" si="212"/>
        <v>3334.2167785250272</v>
      </c>
      <c r="Q3435" s="3">
        <f t="shared" si="213"/>
        <v>-2.6013803867499519E-3</v>
      </c>
      <c r="R3435" s="3">
        <f t="shared" si="214"/>
        <v>8.0999999999999996E-3</v>
      </c>
      <c r="S3435">
        <f t="shared" si="215"/>
        <v>93</v>
      </c>
      <c r="T3435">
        <f>INDEX([1]IDEN_level_ids!$B:$B,MATCH(G3435,[1]IDEN_level_ids!$A:$A,0),1)</f>
        <v>1135</v>
      </c>
      <c r="U3435">
        <f>INDEX([1]IDEN_level_ids!$B:$B,MATCH(H3435,[1]IDEN_level_ids!$A:$A,0),1)</f>
        <v>1058</v>
      </c>
    </row>
    <row r="3436" spans="1:21" hidden="1" x14ac:dyDescent="0.25">
      <c r="A3436">
        <v>29960.478299999999</v>
      </c>
      <c r="B3436">
        <v>3337.7303999999999</v>
      </c>
      <c r="C3436">
        <v>22</v>
      </c>
      <c r="D3436" t="s">
        <v>711</v>
      </c>
      <c r="F3436">
        <v>1974</v>
      </c>
      <c r="G3436" s="1" t="s">
        <v>712</v>
      </c>
      <c r="H3436" s="1" t="s">
        <v>267</v>
      </c>
      <c r="I3436">
        <v>0</v>
      </c>
      <c r="J3436">
        <v>29960.4912</v>
      </c>
      <c r="K3436">
        <v>1.4400000000000001E-3</v>
      </c>
      <c r="L3436">
        <v>5.13E-3</v>
      </c>
      <c r="M3436">
        <v>4.6100000000000002E-2</v>
      </c>
      <c r="N3436">
        <v>0.11269999999999999</v>
      </c>
      <c r="O3436">
        <v>5.7800000000000004E-3</v>
      </c>
      <c r="P3436" s="3">
        <f t="shared" si="212"/>
        <v>3337.7304260192668</v>
      </c>
      <c r="Q3436" s="3">
        <f t="shared" si="213"/>
        <v>1.437116708530084E-3</v>
      </c>
      <c r="R3436" s="3">
        <f t="shared" si="214"/>
        <v>5.13E-3</v>
      </c>
      <c r="S3436">
        <f t="shared" si="215"/>
        <v>93</v>
      </c>
      <c r="T3436">
        <f>INDEX([1]IDEN_level_ids!$B:$B,MATCH(G3436,[1]IDEN_level_ids!$A:$A,0),1)</f>
        <v>1247</v>
      </c>
      <c r="U3436">
        <f>INDEX([1]IDEN_level_ids!$B:$B,MATCH(H3436,[1]IDEN_level_ids!$A:$A,0),1)</f>
        <v>1104</v>
      </c>
    </row>
    <row r="3437" spans="1:21" hidden="1" x14ac:dyDescent="0.25">
      <c r="A3437">
        <v>29953.2317</v>
      </c>
      <c r="B3437">
        <v>3338.5378999999998</v>
      </c>
      <c r="C3437">
        <v>22</v>
      </c>
      <c r="D3437" t="s">
        <v>711</v>
      </c>
      <c r="F3437">
        <v>1974</v>
      </c>
      <c r="G3437" s="1" t="s">
        <v>250</v>
      </c>
      <c r="H3437" s="1" t="s">
        <v>472</v>
      </c>
      <c r="I3437">
        <v>0</v>
      </c>
      <c r="J3437">
        <v>29953.214599999999</v>
      </c>
      <c r="K3437">
        <v>-1.9E-3</v>
      </c>
      <c r="L3437">
        <v>5.13E-3</v>
      </c>
      <c r="M3437">
        <v>4.6100000000000002E-2</v>
      </c>
      <c r="N3437">
        <v>0.11260000000000001</v>
      </c>
      <c r="O3437">
        <v>5.79E-3</v>
      </c>
      <c r="P3437" s="3">
        <f t="shared" si="212"/>
        <v>3338.5379247742408</v>
      </c>
      <c r="Q3437" s="3">
        <f t="shared" si="213"/>
        <v>-1.9059389542235294E-3</v>
      </c>
      <c r="R3437" s="3">
        <f t="shared" si="214"/>
        <v>5.13E-3</v>
      </c>
      <c r="S3437">
        <f t="shared" si="215"/>
        <v>93</v>
      </c>
      <c r="T3437">
        <f>INDEX([1]IDEN_level_ids!$B:$B,MATCH(G3437,[1]IDEN_level_ids!$A:$A,0),1)</f>
        <v>1107</v>
      </c>
      <c r="U3437">
        <f>INDEX([1]IDEN_level_ids!$B:$B,MATCH(H3437,[1]IDEN_level_ids!$A:$A,0),1)</f>
        <v>1012</v>
      </c>
    </row>
    <row r="3438" spans="1:21" hidden="1" x14ac:dyDescent="0.25">
      <c r="A3438">
        <v>29951.197800000002</v>
      </c>
      <c r="B3438">
        <v>3338.7646</v>
      </c>
      <c r="C3438">
        <v>22</v>
      </c>
      <c r="D3438" t="s">
        <v>711</v>
      </c>
      <c r="E3438" t="s">
        <v>427</v>
      </c>
      <c r="F3438">
        <v>1974</v>
      </c>
      <c r="G3438" s="1" t="s">
        <v>256</v>
      </c>
      <c r="H3438" s="1" t="s">
        <v>452</v>
      </c>
      <c r="I3438">
        <v>0.25619999999999998</v>
      </c>
      <c r="J3438">
        <v>29951.136200000001</v>
      </c>
      <c r="K3438">
        <v>-6.8700000000000002E-3</v>
      </c>
      <c r="L3438">
        <v>5.4299999999999999E-3</v>
      </c>
      <c r="M3438">
        <v>4.87E-2</v>
      </c>
      <c r="N3438">
        <v>0.1074</v>
      </c>
      <c r="O3438">
        <v>6.0899999999999999E-3</v>
      </c>
      <c r="P3438" s="3">
        <f t="shared" si="212"/>
        <v>3338.7646353161872</v>
      </c>
      <c r="Q3438" s="3">
        <f t="shared" si="213"/>
        <v>-6.8667812856801902E-3</v>
      </c>
      <c r="R3438" s="3">
        <f t="shared" si="214"/>
        <v>5.4299999999999999E-3</v>
      </c>
      <c r="S3438">
        <f t="shared" si="215"/>
        <v>93</v>
      </c>
      <c r="T3438">
        <f>INDEX([1]IDEN_level_ids!$B:$B,MATCH(G3438,[1]IDEN_level_ids!$A:$A,0),1)</f>
        <v>1120</v>
      </c>
      <c r="U3438">
        <f>INDEX([1]IDEN_level_ids!$B:$B,MATCH(H3438,[1]IDEN_level_ids!$A:$A,0),1)</f>
        <v>1033</v>
      </c>
    </row>
    <row r="3439" spans="1:21" hidden="1" x14ac:dyDescent="0.25">
      <c r="A3439">
        <v>29936.261900000001</v>
      </c>
      <c r="B3439">
        <v>3340.4304000000002</v>
      </c>
      <c r="C3439">
        <v>22</v>
      </c>
      <c r="D3439" t="s">
        <v>711</v>
      </c>
      <c r="E3439" t="s">
        <v>678</v>
      </c>
      <c r="F3439">
        <v>1974</v>
      </c>
      <c r="G3439" s="1" t="s">
        <v>691</v>
      </c>
      <c r="H3439" s="1" t="s">
        <v>495</v>
      </c>
      <c r="I3439">
        <v>-0.5958</v>
      </c>
      <c r="J3439">
        <v>29936.1417</v>
      </c>
      <c r="K3439">
        <v>-1.341E-2</v>
      </c>
      <c r="L3439">
        <v>8.1300000000000001E-3</v>
      </c>
      <c r="M3439">
        <v>7.2800000000000004E-2</v>
      </c>
      <c r="N3439">
        <v>0.1336</v>
      </c>
      <c r="O3439">
        <v>9.3799999999999994E-3</v>
      </c>
      <c r="P3439" s="3">
        <f t="shared" si="212"/>
        <v>3340.4304229446893</v>
      </c>
      <c r="Q3439" s="3">
        <f t="shared" si="213"/>
        <v>-1.3412541297839198E-2</v>
      </c>
      <c r="R3439" s="3">
        <f t="shared" si="214"/>
        <v>8.1300000000000001E-3</v>
      </c>
      <c r="S3439">
        <f t="shared" si="215"/>
        <v>93</v>
      </c>
      <c r="T3439">
        <f>INDEX([1]IDEN_level_ids!$B:$B,MATCH(G3439,[1]IDEN_level_ids!$A:$A,0),1)</f>
        <v>1092</v>
      </c>
      <c r="U3439">
        <f>INDEX([1]IDEN_level_ids!$B:$B,MATCH(H3439,[1]IDEN_level_ids!$A:$A,0),1)</f>
        <v>960</v>
      </c>
    </row>
    <row r="3440" spans="1:21" hidden="1" x14ac:dyDescent="0.25">
      <c r="A3440">
        <v>29926.299200000001</v>
      </c>
      <c r="B3440">
        <v>3341.5425</v>
      </c>
      <c r="C3440">
        <v>22</v>
      </c>
      <c r="D3440" t="s">
        <v>711</v>
      </c>
      <c r="E3440" t="s">
        <v>678</v>
      </c>
      <c r="F3440">
        <v>1974</v>
      </c>
      <c r="G3440" s="1" t="s">
        <v>504</v>
      </c>
      <c r="H3440" s="1" t="s">
        <v>540</v>
      </c>
      <c r="I3440">
        <v>-0.64790000000000003</v>
      </c>
      <c r="J3440">
        <v>29926.1813</v>
      </c>
      <c r="K3440">
        <v>-1.3169999999999999E-2</v>
      </c>
      <c r="L3440">
        <v>8.1300000000000001E-3</v>
      </c>
      <c r="M3440">
        <v>7.2800000000000004E-2</v>
      </c>
      <c r="N3440">
        <v>6.4399999999999999E-2</v>
      </c>
      <c r="O3440">
        <v>8.6899999999999998E-3</v>
      </c>
      <c r="P3440" s="3">
        <f t="shared" si="212"/>
        <v>3341.5424784632241</v>
      </c>
      <c r="Q3440" s="3">
        <f t="shared" si="213"/>
        <v>-1.3164655198124819E-2</v>
      </c>
      <c r="R3440" s="3">
        <f t="shared" si="214"/>
        <v>8.1300000000000001E-3</v>
      </c>
      <c r="S3440">
        <f t="shared" si="215"/>
        <v>93</v>
      </c>
      <c r="T3440">
        <f>INDEX([1]IDEN_level_ids!$B:$B,MATCH(G3440,[1]IDEN_level_ids!$A:$A,0),1)</f>
        <v>1118</v>
      </c>
      <c r="U3440">
        <f>INDEX([1]IDEN_level_ids!$B:$B,MATCH(H3440,[1]IDEN_level_ids!$A:$A,0),1)</f>
        <v>1027</v>
      </c>
    </row>
    <row r="3441" spans="1:21" hidden="1" x14ac:dyDescent="0.25">
      <c r="A3441">
        <v>29918.669000000002</v>
      </c>
      <c r="B3441">
        <v>3342.3946999999998</v>
      </c>
      <c r="C3441">
        <v>22</v>
      </c>
      <c r="D3441" t="s">
        <v>711</v>
      </c>
      <c r="E3441" t="s">
        <v>678</v>
      </c>
      <c r="F3441">
        <v>1974</v>
      </c>
      <c r="G3441" s="1" t="s">
        <v>319</v>
      </c>
      <c r="H3441" s="1" t="s">
        <v>396</v>
      </c>
      <c r="I3441">
        <v>-0.63060000000000005</v>
      </c>
      <c r="J3441">
        <v>29918.538199999999</v>
      </c>
      <c r="K3441">
        <v>-1.461E-2</v>
      </c>
      <c r="L3441">
        <v>8.1399999999999997E-3</v>
      </c>
      <c r="M3441">
        <v>7.2800000000000004E-2</v>
      </c>
      <c r="N3441">
        <v>0.10199999999999999</v>
      </c>
      <c r="O3441">
        <v>9.0600000000000003E-3</v>
      </c>
      <c r="P3441" s="3">
        <f t="shared" si="212"/>
        <v>3342.3946767150637</v>
      </c>
      <c r="Q3441" s="3">
        <f t="shared" si="213"/>
        <v>-1.4612519528782286E-2</v>
      </c>
      <c r="R3441" s="3">
        <f t="shared" si="214"/>
        <v>8.1399999999999997E-3</v>
      </c>
      <c r="S3441">
        <f t="shared" si="215"/>
        <v>93</v>
      </c>
      <c r="T3441">
        <f>INDEX([1]IDEN_level_ids!$B:$B,MATCH(G3441,[1]IDEN_level_ids!$A:$A,0),1)</f>
        <v>1141</v>
      </c>
      <c r="U3441">
        <f>INDEX([1]IDEN_level_ids!$B:$B,MATCH(H3441,[1]IDEN_level_ids!$A:$A,0),1)</f>
        <v>1072</v>
      </c>
    </row>
    <row r="3442" spans="1:21" hidden="1" x14ac:dyDescent="0.25">
      <c r="A3442">
        <v>29916.448799999998</v>
      </c>
      <c r="B3442">
        <v>3342.6426999999999</v>
      </c>
      <c r="C3442">
        <v>22</v>
      </c>
      <c r="D3442" t="s">
        <v>711</v>
      </c>
      <c r="E3442" t="s">
        <v>678</v>
      </c>
      <c r="F3442">
        <v>1974</v>
      </c>
      <c r="G3442" s="1" t="s">
        <v>511</v>
      </c>
      <c r="H3442" s="1" t="s">
        <v>419</v>
      </c>
      <c r="I3442">
        <v>-0.5252</v>
      </c>
      <c r="J3442">
        <v>29916.296300000002</v>
      </c>
      <c r="K3442">
        <v>-1.7049999999999999E-2</v>
      </c>
      <c r="L3442">
        <v>8.1399999999999997E-3</v>
      </c>
      <c r="M3442">
        <v>7.2800000000000004E-2</v>
      </c>
      <c r="N3442">
        <v>8.1600000000000006E-2</v>
      </c>
      <c r="O3442">
        <v>8.8599999999999998E-3</v>
      </c>
      <c r="P3442" s="3">
        <f t="shared" si="212"/>
        <v>3342.6427270338318</v>
      </c>
      <c r="Q3442" s="3">
        <f t="shared" si="213"/>
        <v>-1.7039308968833211E-2</v>
      </c>
      <c r="R3442" s="3">
        <f t="shared" si="214"/>
        <v>8.1399999999999997E-3</v>
      </c>
      <c r="S3442">
        <f t="shared" si="215"/>
        <v>93</v>
      </c>
      <c r="T3442">
        <f>INDEX([1]IDEN_level_ids!$B:$B,MATCH(G3442,[1]IDEN_level_ids!$A:$A,0),1)</f>
        <v>1139</v>
      </c>
      <c r="U3442">
        <f>INDEX([1]IDEN_level_ids!$B:$B,MATCH(H3442,[1]IDEN_level_ids!$A:$A,0),1)</f>
        <v>1068</v>
      </c>
    </row>
    <row r="3443" spans="1:21" hidden="1" x14ac:dyDescent="0.25">
      <c r="A3443">
        <v>29914.011699999999</v>
      </c>
      <c r="B3443">
        <v>3342.915</v>
      </c>
      <c r="C3443">
        <v>22</v>
      </c>
      <c r="D3443" t="s">
        <v>711</v>
      </c>
      <c r="F3443">
        <v>1974</v>
      </c>
      <c r="G3443" s="1" t="s">
        <v>108</v>
      </c>
      <c r="H3443" s="1" t="s">
        <v>384</v>
      </c>
      <c r="I3443">
        <v>0.45490000000000003</v>
      </c>
      <c r="J3443">
        <v>29914.018700000001</v>
      </c>
      <c r="K3443">
        <v>7.7999999999999999E-4</v>
      </c>
      <c r="L3443">
        <v>5.1500000000000001E-3</v>
      </c>
      <c r="M3443">
        <v>4.6100000000000002E-2</v>
      </c>
      <c r="N3443">
        <v>8.5300000000000001E-2</v>
      </c>
      <c r="O3443">
        <v>5.6299999999999996E-3</v>
      </c>
      <c r="P3443" s="3">
        <f t="shared" si="212"/>
        <v>3342.9150527476727</v>
      </c>
      <c r="Q3443" s="3">
        <f t="shared" si="213"/>
        <v>7.8225549032140407E-4</v>
      </c>
      <c r="R3443" s="3">
        <f t="shared" si="214"/>
        <v>5.1500000000000001E-3</v>
      </c>
      <c r="S3443">
        <f t="shared" si="215"/>
        <v>93</v>
      </c>
      <c r="T3443">
        <f>INDEX([1]IDEN_level_ids!$B:$B,MATCH(G3443,[1]IDEN_level_ids!$A:$A,0),1)</f>
        <v>1149</v>
      </c>
      <c r="U3443">
        <f>INDEX([1]IDEN_level_ids!$B:$B,MATCH(H3443,[1]IDEN_level_ids!$A:$A,0),1)</f>
        <v>1080</v>
      </c>
    </row>
    <row r="3444" spans="1:21" hidden="1" x14ac:dyDescent="0.25">
      <c r="A3444">
        <v>29911.7919</v>
      </c>
      <c r="B3444">
        <v>3343.1631000000002</v>
      </c>
      <c r="C3444">
        <v>22</v>
      </c>
      <c r="D3444" t="s">
        <v>711</v>
      </c>
      <c r="E3444" t="s">
        <v>681</v>
      </c>
      <c r="F3444">
        <v>1974</v>
      </c>
      <c r="G3444" s="1" t="s">
        <v>492</v>
      </c>
      <c r="H3444" s="1" t="s">
        <v>416</v>
      </c>
      <c r="I3444">
        <v>0.54220000000000002</v>
      </c>
      <c r="J3444">
        <v>29911.730299999999</v>
      </c>
      <c r="K3444">
        <v>-6.8900000000000003E-3</v>
      </c>
      <c r="L3444">
        <v>8.9800000000000001E-3</v>
      </c>
      <c r="M3444">
        <v>8.0299999999999996E-2</v>
      </c>
      <c r="N3444">
        <v>7.9899999999999999E-2</v>
      </c>
      <c r="O3444">
        <v>9.7599999999999996E-3</v>
      </c>
      <c r="P3444" s="3">
        <f t="shared" si="212"/>
        <v>3343.1631356060616</v>
      </c>
      <c r="Q3444" s="3">
        <f t="shared" si="213"/>
        <v>-6.884885865929391E-3</v>
      </c>
      <c r="R3444" s="3">
        <f t="shared" si="214"/>
        <v>8.9800000000000001E-3</v>
      </c>
      <c r="S3444">
        <f t="shared" si="215"/>
        <v>93</v>
      </c>
      <c r="T3444">
        <f>INDEX([1]IDEN_level_ids!$B:$B,MATCH(G3444,[1]IDEN_level_ids!$A:$A,0),1)</f>
        <v>1132</v>
      </c>
      <c r="U3444">
        <f>INDEX([1]IDEN_level_ids!$B:$B,MATCH(H3444,[1]IDEN_level_ids!$A:$A,0),1)</f>
        <v>1055</v>
      </c>
    </row>
    <row r="3445" spans="1:21" hidden="1" x14ac:dyDescent="0.25">
      <c r="A3445">
        <v>29883.3325</v>
      </c>
      <c r="B3445">
        <v>3346.3470000000002</v>
      </c>
      <c r="C3445">
        <v>22</v>
      </c>
      <c r="D3445" t="s">
        <v>711</v>
      </c>
      <c r="E3445" t="s">
        <v>678</v>
      </c>
      <c r="F3445">
        <v>1974</v>
      </c>
      <c r="G3445" s="1" t="s">
        <v>504</v>
      </c>
      <c r="H3445" s="1" t="s">
        <v>541</v>
      </c>
      <c r="I3445">
        <v>-1.0155000000000001</v>
      </c>
      <c r="J3445">
        <v>29883.357800000002</v>
      </c>
      <c r="K3445">
        <v>2.8300000000000001E-3</v>
      </c>
      <c r="L3445">
        <v>8.1600000000000006E-3</v>
      </c>
      <c r="M3445">
        <v>7.2800000000000004E-2</v>
      </c>
      <c r="N3445">
        <v>9.9599999999999994E-2</v>
      </c>
      <c r="O3445">
        <v>9.0600000000000003E-3</v>
      </c>
      <c r="P3445" s="3">
        <f t="shared" si="212"/>
        <v>3346.3469979460956</v>
      </c>
      <c r="Q3445" s="3">
        <f t="shared" si="213"/>
        <v>2.8331012736089178E-3</v>
      </c>
      <c r="R3445" s="3">
        <f t="shared" si="214"/>
        <v>8.1600000000000006E-3</v>
      </c>
      <c r="S3445">
        <f t="shared" si="215"/>
        <v>93</v>
      </c>
      <c r="T3445">
        <f>INDEX([1]IDEN_level_ids!$B:$B,MATCH(G3445,[1]IDEN_level_ids!$A:$A,0),1)</f>
        <v>1118</v>
      </c>
      <c r="U3445">
        <f>INDEX([1]IDEN_level_ids!$B:$B,MATCH(H3445,[1]IDEN_level_ids!$A:$A,0),1)</f>
        <v>1028</v>
      </c>
    </row>
    <row r="3446" spans="1:21" hidden="1" x14ac:dyDescent="0.25">
      <c r="A3446">
        <v>29882.832399999999</v>
      </c>
      <c r="B3446">
        <v>3346.4029999999998</v>
      </c>
      <c r="C3446">
        <v>22</v>
      </c>
      <c r="D3446" t="s">
        <v>711</v>
      </c>
      <c r="E3446" t="s">
        <v>681</v>
      </c>
      <c r="F3446">
        <v>1974</v>
      </c>
      <c r="G3446" s="1" t="s">
        <v>515</v>
      </c>
      <c r="H3446" s="1" t="s">
        <v>413</v>
      </c>
      <c r="I3446">
        <v>0.36580000000000001</v>
      </c>
      <c r="J3446">
        <v>29882.9277</v>
      </c>
      <c r="K3446">
        <v>1.0670000000000001E-2</v>
      </c>
      <c r="L3446">
        <v>8.9899999999999997E-3</v>
      </c>
      <c r="M3446">
        <v>8.0299999999999996E-2</v>
      </c>
      <c r="N3446">
        <v>0.1066</v>
      </c>
      <c r="O3446">
        <v>1.0070000000000001E-2</v>
      </c>
      <c r="P3446" s="3">
        <f t="shared" si="212"/>
        <v>3346.4030002724908</v>
      </c>
      <c r="Q3446" s="3">
        <f t="shared" si="213"/>
        <v>1.0672053592770681E-2</v>
      </c>
      <c r="R3446" s="3">
        <f t="shared" si="214"/>
        <v>8.9899999999999997E-3</v>
      </c>
      <c r="S3446">
        <f t="shared" si="215"/>
        <v>93</v>
      </c>
      <c r="T3446">
        <f>INDEX([1]IDEN_level_ids!$B:$B,MATCH(G3446,[1]IDEN_level_ids!$A:$A,0),1)</f>
        <v>1140</v>
      </c>
      <c r="U3446">
        <f>INDEX([1]IDEN_level_ids!$B:$B,MATCH(H3446,[1]IDEN_level_ids!$A:$A,0),1)</f>
        <v>1071</v>
      </c>
    </row>
    <row r="3447" spans="1:21" hidden="1" x14ac:dyDescent="0.25">
      <c r="A3447">
        <v>29880.78</v>
      </c>
      <c r="B3447">
        <v>3346.6327999999999</v>
      </c>
      <c r="C3447">
        <v>22</v>
      </c>
      <c r="D3447" t="s">
        <v>711</v>
      </c>
      <c r="F3447">
        <v>1974</v>
      </c>
      <c r="G3447" s="1" t="s">
        <v>172</v>
      </c>
      <c r="H3447" s="1" t="s">
        <v>401</v>
      </c>
      <c r="I3447">
        <v>6.8900000000000003E-2</v>
      </c>
      <c r="J3447">
        <v>29880.774600000001</v>
      </c>
      <c r="K3447">
        <v>-5.9999999999999995E-4</v>
      </c>
      <c r="L3447">
        <v>5.1599999999999997E-3</v>
      </c>
      <c r="M3447">
        <v>4.6100000000000002E-2</v>
      </c>
      <c r="N3447">
        <v>8.9499999999999996E-2</v>
      </c>
      <c r="O3447">
        <v>5.6699999999999997E-3</v>
      </c>
      <c r="P3447" s="3">
        <f t="shared" si="212"/>
        <v>3346.6328522883273</v>
      </c>
      <c r="Q3447" s="3">
        <f t="shared" si="213"/>
        <v>-6.0479748708530678E-4</v>
      </c>
      <c r="R3447" s="3">
        <f t="shared" si="214"/>
        <v>5.1599999999999997E-3</v>
      </c>
      <c r="S3447">
        <f t="shared" si="215"/>
        <v>93</v>
      </c>
      <c r="T3447">
        <f>INDEX([1]IDEN_level_ids!$B:$B,MATCH(G3447,[1]IDEN_level_ids!$A:$A,0),1)</f>
        <v>1136</v>
      </c>
      <c r="U3447">
        <f>INDEX([1]IDEN_level_ids!$B:$B,MATCH(H3447,[1]IDEN_level_ids!$A:$A,0),1)</f>
        <v>1063</v>
      </c>
    </row>
    <row r="3448" spans="1:21" hidden="1" x14ac:dyDescent="0.25">
      <c r="A3448">
        <v>29837.2886</v>
      </c>
      <c r="B3448">
        <v>3351.511</v>
      </c>
      <c r="C3448">
        <v>22</v>
      </c>
      <c r="D3448" t="s">
        <v>713</v>
      </c>
      <c r="F3448">
        <v>1974</v>
      </c>
      <c r="G3448" s="1" t="s">
        <v>714</v>
      </c>
      <c r="H3448" s="1" t="s">
        <v>273</v>
      </c>
      <c r="I3448">
        <v>0</v>
      </c>
      <c r="J3448">
        <v>29837.304800000002</v>
      </c>
      <c r="K3448">
        <v>1.82E-3</v>
      </c>
      <c r="L3448">
        <v>5.1700000000000001E-3</v>
      </c>
      <c r="M3448">
        <v>4.6100000000000002E-2</v>
      </c>
      <c r="N3448">
        <v>0.1255</v>
      </c>
      <c r="O3448">
        <v>5.9199999999999999E-3</v>
      </c>
      <c r="P3448" s="3">
        <f t="shared" si="212"/>
        <v>3351.5109680576002</v>
      </c>
      <c r="Q3448" s="3">
        <f t="shared" si="213"/>
        <v>1.8196843866462586E-3</v>
      </c>
      <c r="R3448" s="3">
        <f t="shared" si="214"/>
        <v>5.1700000000000001E-3</v>
      </c>
      <c r="S3448">
        <f t="shared" si="215"/>
        <v>94</v>
      </c>
      <c r="T3448">
        <f>INDEX([1]IDEN_level_ids!$B:$B,MATCH(G3448,[1]IDEN_level_ids!$A:$A,0),1)</f>
        <v>1248</v>
      </c>
      <c r="U3448">
        <f>INDEX([1]IDEN_level_ids!$B:$B,MATCH(H3448,[1]IDEN_level_ids!$A:$A,0),1)</f>
        <v>1105</v>
      </c>
    </row>
    <row r="3449" spans="1:21" hidden="1" x14ac:dyDescent="0.25">
      <c r="A3449">
        <v>29832.639999999999</v>
      </c>
      <c r="B3449">
        <v>3352.0331999999999</v>
      </c>
      <c r="C3449">
        <v>22</v>
      </c>
      <c r="D3449" t="s">
        <v>713</v>
      </c>
      <c r="E3449" t="s">
        <v>427</v>
      </c>
      <c r="F3449">
        <v>1974</v>
      </c>
      <c r="G3449" s="1" t="s">
        <v>275</v>
      </c>
      <c r="H3449" s="1" t="s">
        <v>377</v>
      </c>
      <c r="I3449">
        <v>0.33889999999999998</v>
      </c>
      <c r="J3449">
        <v>29832.6584</v>
      </c>
      <c r="K3449">
        <v>2.0799999999999998E-3</v>
      </c>
      <c r="L3449">
        <v>5.4799999999999996E-3</v>
      </c>
      <c r="M3449">
        <v>4.87E-2</v>
      </c>
      <c r="N3449">
        <v>6.3600000000000004E-2</v>
      </c>
      <c r="O3449">
        <v>5.8500000000000002E-3</v>
      </c>
      <c r="P3449" s="3">
        <f t="shared" si="212"/>
        <v>3352.0332092634108</v>
      </c>
      <c r="Q3449" s="3">
        <f t="shared" si="213"/>
        <v>2.0674460256486782E-3</v>
      </c>
      <c r="R3449" s="3">
        <f t="shared" si="214"/>
        <v>5.4799999999999996E-3</v>
      </c>
      <c r="S3449">
        <f t="shared" si="215"/>
        <v>94</v>
      </c>
      <c r="T3449">
        <f>INDEX([1]IDEN_level_ids!$B:$B,MATCH(G3449,[1]IDEN_level_ids!$A:$A,0),1)</f>
        <v>1134</v>
      </c>
      <c r="U3449">
        <f>INDEX([1]IDEN_level_ids!$B:$B,MATCH(H3449,[1]IDEN_level_ids!$A:$A,0),1)</f>
        <v>1057</v>
      </c>
    </row>
    <row r="3450" spans="1:21" hidden="1" x14ac:dyDescent="0.25">
      <c r="A3450">
        <v>29807.770199999999</v>
      </c>
      <c r="B3450">
        <v>3354.8299000000002</v>
      </c>
      <c r="C3450">
        <v>22</v>
      </c>
      <c r="D3450" t="s">
        <v>713</v>
      </c>
      <c r="E3450" t="s">
        <v>678</v>
      </c>
      <c r="F3450">
        <v>1974</v>
      </c>
      <c r="G3450" s="1" t="s">
        <v>425</v>
      </c>
      <c r="H3450" s="1" t="s">
        <v>513</v>
      </c>
      <c r="I3450">
        <v>-0.61739999999999995</v>
      </c>
      <c r="J3450">
        <v>29807.643599999999</v>
      </c>
      <c r="K3450">
        <v>-1.4239999999999999E-2</v>
      </c>
      <c r="L3450">
        <v>8.2000000000000007E-3</v>
      </c>
      <c r="M3450">
        <v>7.2800000000000004E-2</v>
      </c>
      <c r="N3450">
        <v>0.1217</v>
      </c>
      <c r="O3450">
        <v>9.3299999999999998E-3</v>
      </c>
      <c r="P3450" s="3">
        <f t="shared" si="212"/>
        <v>3354.8299429656768</v>
      </c>
      <c r="Q3450" s="3">
        <f t="shared" si="213"/>
        <v>-1.4248743593270774E-2</v>
      </c>
      <c r="R3450" s="3">
        <f t="shared" si="214"/>
        <v>8.2000000000000007E-3</v>
      </c>
      <c r="S3450">
        <f t="shared" si="215"/>
        <v>94</v>
      </c>
      <c r="T3450">
        <f>INDEX([1]IDEN_level_ids!$B:$B,MATCH(G3450,[1]IDEN_level_ids!$A:$A,0),1)</f>
        <v>1098</v>
      </c>
      <c r="U3450">
        <f>INDEX([1]IDEN_level_ids!$B:$B,MATCH(H3450,[1]IDEN_level_ids!$A:$A,0),1)</f>
        <v>979</v>
      </c>
    </row>
    <row r="3451" spans="1:21" hidden="1" x14ac:dyDescent="0.25">
      <c r="A3451">
        <v>29798.459599999998</v>
      </c>
      <c r="B3451">
        <v>3355.8782000000001</v>
      </c>
      <c r="C3451">
        <v>22</v>
      </c>
      <c r="D3451" t="s">
        <v>713</v>
      </c>
      <c r="E3451" t="s">
        <v>678</v>
      </c>
      <c r="F3451">
        <v>1974</v>
      </c>
      <c r="G3451" s="1" t="s">
        <v>319</v>
      </c>
      <c r="H3451" s="1" t="s">
        <v>407</v>
      </c>
      <c r="I3451">
        <v>-0.79610000000000003</v>
      </c>
      <c r="J3451">
        <v>29798.518199999999</v>
      </c>
      <c r="K3451">
        <v>6.6E-3</v>
      </c>
      <c r="L3451">
        <v>8.2000000000000007E-3</v>
      </c>
      <c r="M3451">
        <v>7.2800000000000004E-2</v>
      </c>
      <c r="N3451">
        <v>9.8599999999999993E-2</v>
      </c>
      <c r="O3451">
        <v>9.1000000000000004E-3</v>
      </c>
      <c r="P3451" s="3">
        <f t="shared" si="212"/>
        <v>3355.8781676083686</v>
      </c>
      <c r="Q3451" s="3">
        <f t="shared" si="213"/>
        <v>6.5994711312669097E-3</v>
      </c>
      <c r="R3451" s="3">
        <f t="shared" si="214"/>
        <v>8.2000000000000007E-3</v>
      </c>
      <c r="S3451">
        <f t="shared" si="215"/>
        <v>94</v>
      </c>
      <c r="T3451">
        <f>INDEX([1]IDEN_level_ids!$B:$B,MATCH(G3451,[1]IDEN_level_ids!$A:$A,0),1)</f>
        <v>1141</v>
      </c>
      <c r="U3451">
        <f>INDEX([1]IDEN_level_ids!$B:$B,MATCH(H3451,[1]IDEN_level_ids!$A:$A,0),1)</f>
        <v>1073</v>
      </c>
    </row>
    <row r="3452" spans="1:21" hidden="1" x14ac:dyDescent="0.25">
      <c r="A3452">
        <v>29793.031999999999</v>
      </c>
      <c r="B3452">
        <v>3356.4895000000001</v>
      </c>
      <c r="C3452">
        <v>22</v>
      </c>
      <c r="D3452" t="s">
        <v>713</v>
      </c>
      <c r="F3452">
        <v>1974</v>
      </c>
      <c r="G3452" s="1" t="s">
        <v>275</v>
      </c>
      <c r="H3452" s="1" t="s">
        <v>600</v>
      </c>
      <c r="I3452">
        <v>0</v>
      </c>
      <c r="J3452">
        <v>29793.037499999999</v>
      </c>
      <c r="K3452">
        <v>6.2E-4</v>
      </c>
      <c r="L3452">
        <v>5.1900000000000002E-3</v>
      </c>
      <c r="M3452">
        <v>4.6100000000000002E-2</v>
      </c>
      <c r="N3452">
        <v>0.10059999999999999</v>
      </c>
      <c r="O3452">
        <v>5.77E-3</v>
      </c>
      <c r="P3452" s="3">
        <f t="shared" si="212"/>
        <v>3356.4895308406344</v>
      </c>
      <c r="Q3452" s="3">
        <f t="shared" si="213"/>
        <v>6.196310941959382E-4</v>
      </c>
      <c r="R3452" s="3">
        <f t="shared" si="214"/>
        <v>5.1900000000000002E-3</v>
      </c>
      <c r="S3452">
        <f t="shared" si="215"/>
        <v>94</v>
      </c>
      <c r="T3452">
        <f>INDEX([1]IDEN_level_ids!$B:$B,MATCH(G3452,[1]IDEN_level_ids!$A:$A,0),1)</f>
        <v>1134</v>
      </c>
      <c r="U3452">
        <f>INDEX([1]IDEN_level_ids!$B:$B,MATCH(H3452,[1]IDEN_level_ids!$A:$A,0),1)</f>
        <v>1058</v>
      </c>
    </row>
    <row r="3453" spans="1:21" hidden="1" x14ac:dyDescent="0.25">
      <c r="A3453">
        <v>29774.950099999998</v>
      </c>
      <c r="B3453">
        <v>3358.5279</v>
      </c>
      <c r="C3453">
        <v>22</v>
      </c>
      <c r="D3453" t="s">
        <v>713</v>
      </c>
      <c r="E3453" t="s">
        <v>681</v>
      </c>
      <c r="F3453">
        <v>1974</v>
      </c>
      <c r="G3453" s="1" t="s">
        <v>480</v>
      </c>
      <c r="H3453" s="1" t="s">
        <v>379</v>
      </c>
      <c r="I3453">
        <v>0.73399999999999999</v>
      </c>
      <c r="J3453">
        <v>29774.759900000001</v>
      </c>
      <c r="K3453">
        <v>-2.146E-2</v>
      </c>
      <c r="L3453">
        <v>9.0600000000000003E-3</v>
      </c>
      <c r="M3453">
        <v>8.0299999999999996E-2</v>
      </c>
      <c r="N3453">
        <v>0.14130000000000001</v>
      </c>
      <c r="O3453">
        <v>1.055E-2</v>
      </c>
      <c r="P3453" s="3">
        <f t="shared" si="212"/>
        <v>3358.5278787755215</v>
      </c>
      <c r="Q3453" s="3">
        <f t="shared" si="213"/>
        <v>-2.1454144540257403E-2</v>
      </c>
      <c r="R3453" s="3">
        <f t="shared" si="214"/>
        <v>9.0600000000000003E-3</v>
      </c>
      <c r="S3453">
        <f t="shared" si="215"/>
        <v>94</v>
      </c>
      <c r="T3453">
        <f>INDEX([1]IDEN_level_ids!$B:$B,MATCH(G3453,[1]IDEN_level_ids!$A:$A,0),1)</f>
        <v>1156</v>
      </c>
      <c r="U3453">
        <f>INDEX([1]IDEN_level_ids!$B:$B,MATCH(H3453,[1]IDEN_level_ids!$A:$A,0),1)</f>
        <v>1083</v>
      </c>
    </row>
    <row r="3454" spans="1:21" hidden="1" x14ac:dyDescent="0.25">
      <c r="A3454">
        <v>29770.339800000002</v>
      </c>
      <c r="B3454">
        <v>3359.0479999999998</v>
      </c>
      <c r="C3454">
        <v>22</v>
      </c>
      <c r="D3454" t="s">
        <v>713</v>
      </c>
      <c r="E3454" t="s">
        <v>681</v>
      </c>
      <c r="F3454">
        <v>1974</v>
      </c>
      <c r="G3454" s="1" t="s">
        <v>383</v>
      </c>
      <c r="H3454" s="1" t="s">
        <v>513</v>
      </c>
      <c r="I3454">
        <v>0.61819999999999997</v>
      </c>
      <c r="J3454">
        <v>29770.202799999999</v>
      </c>
      <c r="K3454">
        <v>-1.546E-2</v>
      </c>
      <c r="L3454">
        <v>9.0600000000000003E-3</v>
      </c>
      <c r="M3454">
        <v>8.0299999999999996E-2</v>
      </c>
      <c r="N3454">
        <v>0.1124</v>
      </c>
      <c r="O3454">
        <v>1.021E-2</v>
      </c>
      <c r="P3454" s="3">
        <f t="shared" si="212"/>
        <v>3359.0479877559205</v>
      </c>
      <c r="Q3454" s="3">
        <f t="shared" si="213"/>
        <v>-1.5458059772754495E-2</v>
      </c>
      <c r="R3454" s="3">
        <f t="shared" si="214"/>
        <v>9.0600000000000003E-3</v>
      </c>
      <c r="S3454">
        <f t="shared" si="215"/>
        <v>94</v>
      </c>
      <c r="T3454">
        <f>INDEX([1]IDEN_level_ids!$B:$B,MATCH(G3454,[1]IDEN_level_ids!$A:$A,0),1)</f>
        <v>1097</v>
      </c>
      <c r="U3454">
        <f>INDEX([1]IDEN_level_ids!$B:$B,MATCH(H3454,[1]IDEN_level_ids!$A:$A,0),1)</f>
        <v>979</v>
      </c>
    </row>
    <row r="3455" spans="1:21" hidden="1" x14ac:dyDescent="0.25">
      <c r="A3455">
        <v>29765.908800000001</v>
      </c>
      <c r="B3455">
        <v>3359.5479999999998</v>
      </c>
      <c r="C3455">
        <v>22</v>
      </c>
      <c r="D3455" t="s">
        <v>713</v>
      </c>
      <c r="E3455" t="s">
        <v>681</v>
      </c>
      <c r="F3455">
        <v>1974</v>
      </c>
      <c r="G3455" s="1" t="s">
        <v>534</v>
      </c>
      <c r="H3455" s="1" t="s">
        <v>475</v>
      </c>
      <c r="I3455">
        <v>0.53069999999999995</v>
      </c>
      <c r="J3455">
        <v>29765.9035</v>
      </c>
      <c r="K3455">
        <v>-5.9999999999999995E-4</v>
      </c>
      <c r="L3455">
        <v>9.0600000000000003E-3</v>
      </c>
      <c r="M3455">
        <v>8.0299999999999996E-2</v>
      </c>
      <c r="N3455">
        <v>7.3400000000000007E-2</v>
      </c>
      <c r="O3455">
        <v>9.7800000000000005E-3</v>
      </c>
      <c r="P3455" s="3">
        <f t="shared" si="212"/>
        <v>3359.5480209225125</v>
      </c>
      <c r="Q3455" s="3">
        <f t="shared" si="213"/>
        <v>-5.9818794034072198E-4</v>
      </c>
      <c r="R3455" s="3">
        <f t="shared" si="214"/>
        <v>9.0600000000000003E-3</v>
      </c>
      <c r="S3455">
        <f t="shared" si="215"/>
        <v>94</v>
      </c>
      <c r="T3455">
        <f>INDEX([1]IDEN_level_ids!$B:$B,MATCH(G3455,[1]IDEN_level_ids!$A:$A,0),1)</f>
        <v>1116</v>
      </c>
      <c r="U3455">
        <f>INDEX([1]IDEN_level_ids!$B:$B,MATCH(H3455,[1]IDEN_level_ids!$A:$A,0),1)</f>
        <v>1030</v>
      </c>
    </row>
    <row r="3456" spans="1:21" hidden="1" x14ac:dyDescent="0.25">
      <c r="A3456">
        <v>29758.542799999999</v>
      </c>
      <c r="B3456">
        <v>3360.3796000000002</v>
      </c>
      <c r="C3456">
        <v>22</v>
      </c>
      <c r="D3456" t="s">
        <v>713</v>
      </c>
      <c r="E3456" t="s">
        <v>681</v>
      </c>
      <c r="F3456">
        <v>1974</v>
      </c>
      <c r="G3456" s="1" t="s">
        <v>480</v>
      </c>
      <c r="H3456" s="1" t="s">
        <v>381</v>
      </c>
      <c r="I3456">
        <v>0.47870000000000001</v>
      </c>
      <c r="J3456">
        <v>29758.6525</v>
      </c>
      <c r="K3456">
        <v>1.239E-2</v>
      </c>
      <c r="L3456">
        <v>9.0699999999999999E-3</v>
      </c>
      <c r="M3456">
        <v>8.0299999999999996E-2</v>
      </c>
      <c r="N3456">
        <v>0.1336</v>
      </c>
      <c r="O3456">
        <v>1.047E-2</v>
      </c>
      <c r="P3456" s="3">
        <f t="shared" si="212"/>
        <v>3360.3795949309724</v>
      </c>
      <c r="Q3456" s="3">
        <f t="shared" si="213"/>
        <v>1.2387444006890291E-2</v>
      </c>
      <c r="R3456" s="3">
        <f t="shared" si="214"/>
        <v>9.0699999999999999E-3</v>
      </c>
      <c r="S3456">
        <f t="shared" si="215"/>
        <v>94</v>
      </c>
      <c r="T3456">
        <f>INDEX([1]IDEN_level_ids!$B:$B,MATCH(G3456,[1]IDEN_level_ids!$A:$A,0),1)</f>
        <v>1156</v>
      </c>
      <c r="U3456">
        <f>INDEX([1]IDEN_level_ids!$B:$B,MATCH(H3456,[1]IDEN_level_ids!$A:$A,0),1)</f>
        <v>1084</v>
      </c>
    </row>
    <row r="3457" spans="1:21" hidden="1" x14ac:dyDescent="0.25">
      <c r="A3457">
        <v>29753.592400000001</v>
      </c>
      <c r="B3457">
        <v>3360.9387000000002</v>
      </c>
      <c r="C3457">
        <v>22</v>
      </c>
      <c r="D3457" t="s">
        <v>713</v>
      </c>
      <c r="E3457" t="s">
        <v>678</v>
      </c>
      <c r="F3457">
        <v>1974</v>
      </c>
      <c r="G3457" s="1" t="s">
        <v>425</v>
      </c>
      <c r="H3457" s="1" t="s">
        <v>589</v>
      </c>
      <c r="I3457">
        <v>-0.89529999999999998</v>
      </c>
      <c r="J3457">
        <v>29753.529399999999</v>
      </c>
      <c r="K3457">
        <v>-7.1199999999999996E-3</v>
      </c>
      <c r="L3457">
        <v>8.2299999999999995E-3</v>
      </c>
      <c r="M3457">
        <v>7.2800000000000004E-2</v>
      </c>
      <c r="N3457">
        <v>0.1111</v>
      </c>
      <c r="O3457">
        <v>9.2499999999999995E-3</v>
      </c>
      <c r="P3457" s="3">
        <f t="shared" si="212"/>
        <v>3360.9386945826413</v>
      </c>
      <c r="Q3457" s="3">
        <f t="shared" si="213"/>
        <v>-7.1164376809065288E-3</v>
      </c>
      <c r="R3457" s="3">
        <f t="shared" si="214"/>
        <v>8.2299999999999995E-3</v>
      </c>
      <c r="S3457">
        <f t="shared" si="215"/>
        <v>94</v>
      </c>
      <c r="T3457">
        <f>INDEX([1]IDEN_level_ids!$B:$B,MATCH(G3457,[1]IDEN_level_ids!$A:$A,0),1)</f>
        <v>1098</v>
      </c>
      <c r="U3457">
        <f>INDEX([1]IDEN_level_ids!$B:$B,MATCH(H3457,[1]IDEN_level_ids!$A:$A,0),1)</f>
        <v>984</v>
      </c>
    </row>
    <row r="3458" spans="1:21" hidden="1" x14ac:dyDescent="0.25">
      <c r="A3458">
        <v>29749.8027</v>
      </c>
      <c r="B3458">
        <v>3361.3667999999998</v>
      </c>
      <c r="C3458">
        <v>22</v>
      </c>
      <c r="D3458" t="s">
        <v>713</v>
      </c>
      <c r="E3458" t="s">
        <v>427</v>
      </c>
      <c r="F3458">
        <v>1974</v>
      </c>
      <c r="G3458" s="1" t="s">
        <v>715</v>
      </c>
      <c r="H3458" s="1" t="s">
        <v>350</v>
      </c>
      <c r="I3458">
        <v>0</v>
      </c>
      <c r="J3458">
        <v>29749.8272</v>
      </c>
      <c r="K3458">
        <v>2.7699999999999999E-3</v>
      </c>
      <c r="L3458">
        <v>5.5100000000000001E-3</v>
      </c>
      <c r="M3458">
        <v>4.87E-2</v>
      </c>
      <c r="N3458">
        <v>0.16159999999999999</v>
      </c>
      <c r="O3458">
        <v>6.5700000000000003E-3</v>
      </c>
      <c r="P3458" s="3">
        <f t="shared" ref="P3458:P3521" si="216">100000000/$A3458</f>
        <v>3361.3668301739694</v>
      </c>
      <c r="Q3458" s="3">
        <f t="shared" ref="Q3458:Q3521" si="217">100000000/($A3458)-100000000/$J3458</f>
        <v>2.7682005270435184E-3</v>
      </c>
      <c r="R3458" s="3">
        <f t="shared" si="214"/>
        <v>5.5100000000000001E-3</v>
      </c>
      <c r="S3458">
        <f t="shared" si="215"/>
        <v>94</v>
      </c>
      <c r="T3458">
        <f>INDEX([1]IDEN_level_ids!$B:$B,MATCH(G3458,[1]IDEN_level_ids!$A:$A,0),1)</f>
        <v>1249</v>
      </c>
      <c r="U3458">
        <f>INDEX([1]IDEN_level_ids!$B:$B,MATCH(H3458,[1]IDEN_level_ids!$A:$A,0),1)</f>
        <v>1112</v>
      </c>
    </row>
    <row r="3459" spans="1:21" hidden="1" x14ac:dyDescent="0.25">
      <c r="A3459">
        <v>29745.3982</v>
      </c>
      <c r="B3459">
        <v>3361.8645999999999</v>
      </c>
      <c r="C3459">
        <v>22</v>
      </c>
      <c r="D3459" t="s">
        <v>713</v>
      </c>
      <c r="F3459">
        <v>1974</v>
      </c>
      <c r="G3459" s="1" t="s">
        <v>293</v>
      </c>
      <c r="H3459" s="1" t="s">
        <v>582</v>
      </c>
      <c r="I3459">
        <v>-0.25890000000000002</v>
      </c>
      <c r="J3459">
        <v>29745.4022</v>
      </c>
      <c r="K3459">
        <v>4.4999999999999999E-4</v>
      </c>
      <c r="L3459">
        <v>5.2100000000000002E-3</v>
      </c>
      <c r="M3459">
        <v>4.6100000000000002E-2</v>
      </c>
      <c r="N3459">
        <v>0.1726</v>
      </c>
      <c r="O3459">
        <v>6.2899999999999996E-3</v>
      </c>
      <c r="P3459" s="3">
        <f t="shared" si="216"/>
        <v>3361.8645589353719</v>
      </c>
      <c r="Q3459" s="3">
        <f t="shared" si="217"/>
        <v>4.5208527171780588E-4</v>
      </c>
      <c r="R3459" s="3">
        <f t="shared" ref="R3459:R3522" si="218">$L3459</f>
        <v>5.2100000000000002E-3</v>
      </c>
      <c r="S3459">
        <f t="shared" si="215"/>
        <v>94</v>
      </c>
      <c r="T3459">
        <f>INDEX([1]IDEN_level_ids!$B:$B,MATCH(G3459,[1]IDEN_level_ids!$A:$A,0),1)</f>
        <v>1121</v>
      </c>
      <c r="U3459">
        <f>INDEX([1]IDEN_level_ids!$B:$B,MATCH(H3459,[1]IDEN_level_ids!$A:$A,0),1)</f>
        <v>1042</v>
      </c>
    </row>
    <row r="3460" spans="1:21" hidden="1" x14ac:dyDescent="0.25">
      <c r="A3460">
        <v>29726.117699999999</v>
      </c>
      <c r="B3460">
        <v>3364.0450999999998</v>
      </c>
      <c r="C3460">
        <v>22</v>
      </c>
      <c r="D3460" t="s">
        <v>713</v>
      </c>
      <c r="F3460">
        <v>1974</v>
      </c>
      <c r="G3460" s="1" t="s">
        <v>670</v>
      </c>
      <c r="H3460" s="1" t="s">
        <v>610</v>
      </c>
      <c r="I3460">
        <v>9.8000000000000004E-2</v>
      </c>
      <c r="J3460">
        <v>29726.0936</v>
      </c>
      <c r="K3460">
        <v>-2.7200000000000002E-3</v>
      </c>
      <c r="L3460">
        <v>5.2100000000000002E-3</v>
      </c>
      <c r="M3460">
        <v>4.6100000000000002E-2</v>
      </c>
      <c r="N3460">
        <v>0.2404</v>
      </c>
      <c r="O3460">
        <v>6.8599999999999998E-3</v>
      </c>
      <c r="P3460" s="3">
        <f t="shared" si="216"/>
        <v>3364.0450801283077</v>
      </c>
      <c r="Q3460" s="3">
        <f t="shared" si="217"/>
        <v>-2.7273508426333137E-3</v>
      </c>
      <c r="R3460" s="3">
        <f t="shared" si="218"/>
        <v>5.2100000000000002E-3</v>
      </c>
      <c r="S3460">
        <f t="shared" ref="S3460:S3523" si="219">IF(D3460=D3459,S3459,S3459+1)</f>
        <v>94</v>
      </c>
      <c r="T3460">
        <f>INDEX([1]IDEN_level_ids!$B:$B,MATCH(G3460,[1]IDEN_level_ids!$A:$A,0),1)</f>
        <v>1093</v>
      </c>
      <c r="U3460">
        <f>INDEX([1]IDEN_level_ids!$B:$B,MATCH(H3460,[1]IDEN_level_ids!$A:$A,0),1)</f>
        <v>964</v>
      </c>
    </row>
    <row r="3461" spans="1:21" hidden="1" x14ac:dyDescent="0.25">
      <c r="A3461">
        <v>29716.1309</v>
      </c>
      <c r="B3461">
        <v>3365.1756</v>
      </c>
      <c r="C3461">
        <v>22</v>
      </c>
      <c r="D3461" t="s">
        <v>713</v>
      </c>
      <c r="E3461" t="s">
        <v>681</v>
      </c>
      <c r="F3461">
        <v>1974</v>
      </c>
      <c r="G3461" s="1" t="s">
        <v>383</v>
      </c>
      <c r="H3461" s="1" t="s">
        <v>589</v>
      </c>
      <c r="I3461">
        <v>0.34029999999999999</v>
      </c>
      <c r="J3461">
        <v>29716.088500000002</v>
      </c>
      <c r="K3461">
        <v>-4.7999999999999996E-3</v>
      </c>
      <c r="L3461">
        <v>9.0900000000000009E-3</v>
      </c>
      <c r="M3461">
        <v>8.0299999999999996E-2</v>
      </c>
      <c r="N3461">
        <v>9.1499999999999998E-2</v>
      </c>
      <c r="O3461">
        <v>1.001E-2</v>
      </c>
      <c r="P3461" s="3">
        <f t="shared" si="216"/>
        <v>3365.1756460663591</v>
      </c>
      <c r="Q3461" s="3">
        <f t="shared" si="217"/>
        <v>-4.8015554734774923E-3</v>
      </c>
      <c r="R3461" s="3">
        <f t="shared" si="218"/>
        <v>9.0900000000000009E-3</v>
      </c>
      <c r="S3461">
        <f t="shared" si="219"/>
        <v>94</v>
      </c>
      <c r="T3461">
        <f>INDEX([1]IDEN_level_ids!$B:$B,MATCH(G3461,[1]IDEN_level_ids!$A:$A,0),1)</f>
        <v>1097</v>
      </c>
      <c r="U3461">
        <f>INDEX([1]IDEN_level_ids!$B:$B,MATCH(H3461,[1]IDEN_level_ids!$A:$A,0),1)</f>
        <v>984</v>
      </c>
    </row>
    <row r="3462" spans="1:21" hidden="1" x14ac:dyDescent="0.25">
      <c r="A3462">
        <v>29713.359100000001</v>
      </c>
      <c r="B3462">
        <v>3365.4895999999999</v>
      </c>
      <c r="C3462">
        <v>22</v>
      </c>
      <c r="D3462" t="s">
        <v>713</v>
      </c>
      <c r="E3462" t="s">
        <v>681</v>
      </c>
      <c r="F3462">
        <v>1974</v>
      </c>
      <c r="G3462" s="1" t="s">
        <v>695</v>
      </c>
      <c r="H3462" s="1" t="s">
        <v>474</v>
      </c>
      <c r="I3462">
        <v>0.52439999999999998</v>
      </c>
      <c r="J3462">
        <v>29713.4061</v>
      </c>
      <c r="K3462">
        <v>5.3299999999999997E-3</v>
      </c>
      <c r="L3462">
        <v>9.1000000000000004E-3</v>
      </c>
      <c r="M3462">
        <v>8.0299999999999996E-2</v>
      </c>
      <c r="N3462">
        <v>0.13700000000000001</v>
      </c>
      <c r="O3462">
        <v>1.0540000000000001E-2</v>
      </c>
      <c r="P3462" s="3">
        <f t="shared" si="216"/>
        <v>3365.4895652642649</v>
      </c>
      <c r="Q3462" s="3">
        <f t="shared" si="217"/>
        <v>5.3234559854899999E-3</v>
      </c>
      <c r="R3462" s="3">
        <f t="shared" si="218"/>
        <v>9.1000000000000004E-3</v>
      </c>
      <c r="S3462">
        <f t="shared" si="219"/>
        <v>94</v>
      </c>
      <c r="T3462">
        <f>INDEX([1]IDEN_level_ids!$B:$B,MATCH(G3462,[1]IDEN_level_ids!$A:$A,0),1)</f>
        <v>1091</v>
      </c>
      <c r="U3462">
        <f>INDEX([1]IDEN_level_ids!$B:$B,MATCH(H3462,[1]IDEN_level_ids!$A:$A,0),1)</f>
        <v>959</v>
      </c>
    </row>
    <row r="3463" spans="1:21" hidden="1" x14ac:dyDescent="0.25">
      <c r="A3463">
        <v>29708.008699999998</v>
      </c>
      <c r="B3463">
        <v>3366.0956999999999</v>
      </c>
      <c r="C3463">
        <v>22</v>
      </c>
      <c r="D3463" t="s">
        <v>713</v>
      </c>
      <c r="F3463">
        <v>1974</v>
      </c>
      <c r="G3463" s="1" t="s">
        <v>716</v>
      </c>
      <c r="H3463" s="1" t="s">
        <v>307</v>
      </c>
      <c r="I3463">
        <v>0</v>
      </c>
      <c r="J3463">
        <v>29707.9879</v>
      </c>
      <c r="K3463">
        <v>-2.3500000000000001E-3</v>
      </c>
      <c r="L3463">
        <v>5.2199999999999998E-3</v>
      </c>
      <c r="M3463">
        <v>4.6100000000000002E-2</v>
      </c>
      <c r="N3463">
        <v>0.22950000000000001</v>
      </c>
      <c r="O3463">
        <v>6.77E-3</v>
      </c>
      <c r="P3463" s="3">
        <f t="shared" si="216"/>
        <v>3366.095688533981</v>
      </c>
      <c r="Q3463" s="3">
        <f t="shared" si="217"/>
        <v>-2.3567664884467376E-3</v>
      </c>
      <c r="R3463" s="3">
        <f t="shared" si="218"/>
        <v>5.2199999999999998E-3</v>
      </c>
      <c r="S3463">
        <f t="shared" si="219"/>
        <v>94</v>
      </c>
      <c r="T3463">
        <f>INDEX([1]IDEN_level_ids!$B:$B,MATCH(G3463,[1]IDEN_level_ids!$A:$A,0),1)</f>
        <v>1219</v>
      </c>
      <c r="U3463">
        <f>INDEX([1]IDEN_level_ids!$B:$B,MATCH(H3463,[1]IDEN_level_ids!$A:$A,0),1)</f>
        <v>1095</v>
      </c>
    </row>
    <row r="3464" spans="1:21" hidden="1" x14ac:dyDescent="0.25">
      <c r="A3464">
        <v>29702.05</v>
      </c>
      <c r="B3464">
        <v>3366.7710000000002</v>
      </c>
      <c r="C3464">
        <v>22</v>
      </c>
      <c r="D3464" t="s">
        <v>713</v>
      </c>
      <c r="E3464" t="s">
        <v>678</v>
      </c>
      <c r="F3464">
        <v>1974</v>
      </c>
      <c r="G3464" s="1" t="s">
        <v>597</v>
      </c>
      <c r="H3464" s="1" t="s">
        <v>474</v>
      </c>
      <c r="I3464">
        <v>-0.89039999999999997</v>
      </c>
      <c r="J3464">
        <v>29702.112700000001</v>
      </c>
      <c r="K3464">
        <v>7.11E-3</v>
      </c>
      <c r="L3464">
        <v>8.26E-3</v>
      </c>
      <c r="M3464">
        <v>7.2800000000000004E-2</v>
      </c>
      <c r="N3464">
        <v>0.1933</v>
      </c>
      <c r="O3464">
        <v>1.023E-2</v>
      </c>
      <c r="P3464" s="3">
        <f t="shared" si="216"/>
        <v>3366.770980454211</v>
      </c>
      <c r="Q3464" s="3">
        <f t="shared" si="217"/>
        <v>7.107122062734561E-3</v>
      </c>
      <c r="R3464" s="3">
        <f t="shared" si="218"/>
        <v>8.26E-3</v>
      </c>
      <c r="S3464">
        <f t="shared" si="219"/>
        <v>94</v>
      </c>
      <c r="T3464">
        <f>INDEX([1]IDEN_level_ids!$B:$B,MATCH(G3464,[1]IDEN_level_ids!$A:$A,0),1)</f>
        <v>1090</v>
      </c>
      <c r="U3464">
        <f>INDEX([1]IDEN_level_ids!$B:$B,MATCH(H3464,[1]IDEN_level_ids!$A:$A,0),1)</f>
        <v>959</v>
      </c>
    </row>
    <row r="3465" spans="1:21" hidden="1" x14ac:dyDescent="0.25">
      <c r="A3465">
        <v>29688.412100000001</v>
      </c>
      <c r="B3465">
        <v>3368.3175999999999</v>
      </c>
      <c r="C3465">
        <v>22</v>
      </c>
      <c r="D3465" t="s">
        <v>713</v>
      </c>
      <c r="E3465" t="s">
        <v>678</v>
      </c>
      <c r="F3465">
        <v>1974</v>
      </c>
      <c r="G3465" s="1" t="s">
        <v>276</v>
      </c>
      <c r="H3465" s="1" t="s">
        <v>410</v>
      </c>
      <c r="I3465">
        <v>-0.91039999999999999</v>
      </c>
      <c r="J3465">
        <v>29688.5059</v>
      </c>
      <c r="K3465">
        <v>1.064E-2</v>
      </c>
      <c r="L3465">
        <v>8.26E-3</v>
      </c>
      <c r="M3465">
        <v>7.2800000000000004E-2</v>
      </c>
      <c r="N3465">
        <v>6.9099999999999995E-2</v>
      </c>
      <c r="O3465">
        <v>8.8800000000000007E-3</v>
      </c>
      <c r="P3465" s="3">
        <f t="shared" si="216"/>
        <v>3368.3175665700219</v>
      </c>
      <c r="Q3465" s="3">
        <f t="shared" si="217"/>
        <v>1.0642104685302911E-2</v>
      </c>
      <c r="R3465" s="3">
        <f t="shared" si="218"/>
        <v>8.26E-3</v>
      </c>
      <c r="S3465">
        <f t="shared" si="219"/>
        <v>94</v>
      </c>
      <c r="T3465">
        <f>INDEX([1]IDEN_level_ids!$B:$B,MATCH(G3465,[1]IDEN_level_ids!$A:$A,0),1)</f>
        <v>1131</v>
      </c>
      <c r="U3465">
        <f>INDEX([1]IDEN_level_ids!$B:$B,MATCH(H3465,[1]IDEN_level_ids!$A:$A,0),1)</f>
        <v>1056</v>
      </c>
    </row>
    <row r="3466" spans="1:21" hidden="1" x14ac:dyDescent="0.25">
      <c r="A3466">
        <v>29686.369200000001</v>
      </c>
      <c r="B3466">
        <v>3368.5493999999999</v>
      </c>
      <c r="C3466">
        <v>22</v>
      </c>
      <c r="D3466" t="s">
        <v>713</v>
      </c>
      <c r="E3466" t="s">
        <v>678</v>
      </c>
      <c r="F3466">
        <v>1974</v>
      </c>
      <c r="G3466" s="1" t="s">
        <v>326</v>
      </c>
      <c r="H3466" s="1" t="s">
        <v>384</v>
      </c>
      <c r="I3466">
        <v>-0.58889999999999998</v>
      </c>
      <c r="J3466">
        <v>29686.202000000001</v>
      </c>
      <c r="K3466">
        <v>-1.8970000000000001E-2</v>
      </c>
      <c r="L3466">
        <v>8.26E-3</v>
      </c>
      <c r="M3466">
        <v>7.2800000000000004E-2</v>
      </c>
      <c r="N3466">
        <v>8.72E-2</v>
      </c>
      <c r="O3466">
        <v>9.0500000000000008E-3</v>
      </c>
      <c r="P3466" s="3">
        <f t="shared" si="216"/>
        <v>3368.5493610313247</v>
      </c>
      <c r="Q3466" s="3">
        <f t="shared" si="217"/>
        <v>-1.8972499518895347E-2</v>
      </c>
      <c r="R3466" s="3">
        <f t="shared" si="218"/>
        <v>8.26E-3</v>
      </c>
      <c r="S3466">
        <f t="shared" si="219"/>
        <v>94</v>
      </c>
      <c r="T3466">
        <f>INDEX([1]IDEN_level_ids!$B:$B,MATCH(G3466,[1]IDEN_level_ids!$A:$A,0),1)</f>
        <v>1148</v>
      </c>
      <c r="U3466">
        <f>INDEX([1]IDEN_level_ids!$B:$B,MATCH(H3466,[1]IDEN_level_ids!$A:$A,0),1)</f>
        <v>1080</v>
      </c>
    </row>
    <row r="3467" spans="1:21" hidden="1" x14ac:dyDescent="0.25">
      <c r="A3467">
        <v>29679.707699999999</v>
      </c>
      <c r="B3467">
        <v>3369.3054000000002</v>
      </c>
      <c r="C3467">
        <v>22</v>
      </c>
      <c r="D3467" t="s">
        <v>713</v>
      </c>
      <c r="F3467">
        <v>1974</v>
      </c>
      <c r="G3467" s="1" t="s">
        <v>361</v>
      </c>
      <c r="H3467" s="1" t="s">
        <v>600</v>
      </c>
      <c r="I3467">
        <v>0</v>
      </c>
      <c r="J3467">
        <v>29679.685399999998</v>
      </c>
      <c r="K3467">
        <v>-2.5300000000000001E-3</v>
      </c>
      <c r="L3467">
        <v>5.2300000000000003E-3</v>
      </c>
      <c r="M3467">
        <v>4.6100000000000002E-2</v>
      </c>
      <c r="N3467">
        <v>0.1512</v>
      </c>
      <c r="O3467">
        <v>6.1599999999999997E-3</v>
      </c>
      <c r="P3467" s="3">
        <f t="shared" si="216"/>
        <v>3369.3054194061351</v>
      </c>
      <c r="Q3467" s="3">
        <f t="shared" si="217"/>
        <v>-2.5315467414657178E-3</v>
      </c>
      <c r="R3467" s="3">
        <f t="shared" si="218"/>
        <v>5.2300000000000003E-3</v>
      </c>
      <c r="S3467">
        <f t="shared" si="219"/>
        <v>94</v>
      </c>
      <c r="T3467">
        <f>INDEX([1]IDEN_level_ids!$B:$B,MATCH(G3467,[1]IDEN_level_ids!$A:$A,0),1)</f>
        <v>1133</v>
      </c>
      <c r="U3467">
        <f>INDEX([1]IDEN_level_ids!$B:$B,MATCH(H3467,[1]IDEN_level_ids!$A:$A,0),1)</f>
        <v>1058</v>
      </c>
    </row>
    <row r="3468" spans="1:21" hidden="1" x14ac:dyDescent="0.25">
      <c r="A3468">
        <v>29660.467799999999</v>
      </c>
      <c r="B3468">
        <v>3371.491</v>
      </c>
      <c r="C3468">
        <v>22</v>
      </c>
      <c r="D3468" t="s">
        <v>713</v>
      </c>
      <c r="F3468">
        <v>1974</v>
      </c>
      <c r="G3468" s="1" t="s">
        <v>108</v>
      </c>
      <c r="H3468" s="1" t="s">
        <v>386</v>
      </c>
      <c r="I3468">
        <v>0.22500000000000001</v>
      </c>
      <c r="J3468">
        <v>29660.481899999999</v>
      </c>
      <c r="K3468">
        <v>1.6000000000000001E-3</v>
      </c>
      <c r="L3468">
        <v>5.2399999999999999E-3</v>
      </c>
      <c r="M3468">
        <v>4.6100000000000002E-2</v>
      </c>
      <c r="N3468">
        <v>8.5800000000000001E-2</v>
      </c>
      <c r="O3468">
        <v>5.7299999999999999E-3</v>
      </c>
      <c r="P3468" s="3">
        <f t="shared" si="216"/>
        <v>3371.4909917907635</v>
      </c>
      <c r="Q3468" s="3">
        <f t="shared" si="217"/>
        <v>1.6027394008233387E-3</v>
      </c>
      <c r="R3468" s="3">
        <f t="shared" si="218"/>
        <v>5.2399999999999999E-3</v>
      </c>
      <c r="S3468">
        <f t="shared" si="219"/>
        <v>94</v>
      </c>
      <c r="T3468">
        <f>INDEX([1]IDEN_level_ids!$B:$B,MATCH(G3468,[1]IDEN_level_ids!$A:$A,0),1)</f>
        <v>1149</v>
      </c>
      <c r="U3468">
        <f>INDEX([1]IDEN_level_ids!$B:$B,MATCH(H3468,[1]IDEN_level_ids!$A:$A,0),1)</f>
        <v>1082</v>
      </c>
    </row>
    <row r="3469" spans="1:21" hidden="1" x14ac:dyDescent="0.25">
      <c r="A3469">
        <v>29648.141599999999</v>
      </c>
      <c r="B3469">
        <v>3372.8926999999999</v>
      </c>
      <c r="C3469">
        <v>22</v>
      </c>
      <c r="D3469" t="s">
        <v>713</v>
      </c>
      <c r="E3469" t="s">
        <v>681</v>
      </c>
      <c r="F3469">
        <v>1974</v>
      </c>
      <c r="G3469" s="1" t="s">
        <v>534</v>
      </c>
      <c r="H3469" s="1" t="s">
        <v>540</v>
      </c>
      <c r="I3469">
        <v>0.69540000000000002</v>
      </c>
      <c r="J3469">
        <v>29648.037499999999</v>
      </c>
      <c r="K3469">
        <v>-1.1849999999999999E-2</v>
      </c>
      <c r="L3469">
        <v>9.1400000000000006E-3</v>
      </c>
      <c r="M3469">
        <v>8.0299999999999996E-2</v>
      </c>
      <c r="N3469">
        <v>7.0900000000000005E-2</v>
      </c>
      <c r="O3469">
        <v>9.8300000000000002E-3</v>
      </c>
      <c r="P3469" s="3">
        <f t="shared" si="216"/>
        <v>3372.8926874796093</v>
      </c>
      <c r="Q3469" s="3">
        <f t="shared" si="217"/>
        <v>-1.1842879272080609E-2</v>
      </c>
      <c r="R3469" s="3">
        <f t="shared" si="218"/>
        <v>9.1400000000000006E-3</v>
      </c>
      <c r="S3469">
        <f t="shared" si="219"/>
        <v>94</v>
      </c>
      <c r="T3469">
        <f>INDEX([1]IDEN_level_ids!$B:$B,MATCH(G3469,[1]IDEN_level_ids!$A:$A,0),1)</f>
        <v>1116</v>
      </c>
      <c r="U3469">
        <f>INDEX([1]IDEN_level_ids!$B:$B,MATCH(H3469,[1]IDEN_level_ids!$A:$A,0),1)</f>
        <v>1027</v>
      </c>
    </row>
    <row r="3470" spans="1:21" hidden="1" x14ac:dyDescent="0.25">
      <c r="A3470">
        <v>29602.342199999999</v>
      </c>
      <c r="B3470">
        <v>3378.1111000000001</v>
      </c>
      <c r="C3470">
        <v>22</v>
      </c>
      <c r="D3470" t="s">
        <v>717</v>
      </c>
      <c r="E3470" t="s">
        <v>678</v>
      </c>
      <c r="F3470">
        <v>1974</v>
      </c>
      <c r="G3470" s="1" t="s">
        <v>425</v>
      </c>
      <c r="H3470" s="1" t="s">
        <v>577</v>
      </c>
      <c r="I3470">
        <v>-0.86050000000000004</v>
      </c>
      <c r="J3470">
        <v>29602.378100000002</v>
      </c>
      <c r="K3470">
        <v>4.0899999999999999E-3</v>
      </c>
      <c r="L3470">
        <v>8.3099999999999997E-3</v>
      </c>
      <c r="M3470">
        <v>7.2800000000000004E-2</v>
      </c>
      <c r="N3470">
        <v>9.5600000000000004E-2</v>
      </c>
      <c r="O3470">
        <v>9.1900000000000003E-3</v>
      </c>
      <c r="P3470" s="3">
        <f t="shared" si="216"/>
        <v>3378.1110739271166</v>
      </c>
      <c r="Q3470" s="3">
        <f t="shared" si="217"/>
        <v>4.0967717914099921E-3</v>
      </c>
      <c r="R3470" s="3">
        <f t="shared" si="218"/>
        <v>8.3099999999999997E-3</v>
      </c>
      <c r="S3470">
        <f t="shared" si="219"/>
        <v>95</v>
      </c>
      <c r="T3470">
        <f>INDEX([1]IDEN_level_ids!$B:$B,MATCH(G3470,[1]IDEN_level_ids!$A:$A,0),1)</f>
        <v>1098</v>
      </c>
      <c r="U3470">
        <f>INDEX([1]IDEN_level_ids!$B:$B,MATCH(H3470,[1]IDEN_level_ids!$A:$A,0),1)</f>
        <v>985</v>
      </c>
    </row>
    <row r="3471" spans="1:21" hidden="1" x14ac:dyDescent="0.25">
      <c r="A3471">
        <v>29595.061000000002</v>
      </c>
      <c r="B3471">
        <v>3378.9422</v>
      </c>
      <c r="C3471">
        <v>22</v>
      </c>
      <c r="D3471" t="s">
        <v>717</v>
      </c>
      <c r="E3471" t="s">
        <v>638</v>
      </c>
      <c r="F3471">
        <v>1974</v>
      </c>
      <c r="G3471" s="1" t="s">
        <v>492</v>
      </c>
      <c r="H3471" s="1" t="s">
        <v>410</v>
      </c>
      <c r="I3471">
        <v>6.7900000000000002E-2</v>
      </c>
      <c r="J3471">
        <v>29595.036199999999</v>
      </c>
      <c r="K3471">
        <v>-2.8300000000000001E-3</v>
      </c>
      <c r="L3471">
        <v>1.9730000000000001E-2</v>
      </c>
      <c r="M3471">
        <v>0.17280000000000001</v>
      </c>
      <c r="N3471">
        <v>2.7699999999999999E-2</v>
      </c>
      <c r="O3471">
        <v>2.0289999999999999E-2</v>
      </c>
      <c r="P3471" s="3">
        <f t="shared" si="216"/>
        <v>3378.9421822783197</v>
      </c>
      <c r="Q3471" s="3">
        <f t="shared" si="217"/>
        <v>-2.8314804403635208E-3</v>
      </c>
      <c r="R3471" s="3">
        <f t="shared" si="218"/>
        <v>1.9730000000000001E-2</v>
      </c>
      <c r="S3471">
        <f t="shared" si="219"/>
        <v>95</v>
      </c>
      <c r="T3471">
        <f>INDEX([1]IDEN_level_ids!$B:$B,MATCH(G3471,[1]IDEN_level_ids!$A:$A,0),1)</f>
        <v>1132</v>
      </c>
      <c r="U3471">
        <f>INDEX([1]IDEN_level_ids!$B:$B,MATCH(H3471,[1]IDEN_level_ids!$A:$A,0),1)</f>
        <v>1056</v>
      </c>
    </row>
    <row r="3472" spans="1:21" hidden="1" x14ac:dyDescent="0.25">
      <c r="A3472">
        <v>29584.910800000001</v>
      </c>
      <c r="B3472">
        <v>3380.1015000000002</v>
      </c>
      <c r="C3472">
        <v>22</v>
      </c>
      <c r="D3472" t="s">
        <v>717</v>
      </c>
      <c r="E3472" t="s">
        <v>678</v>
      </c>
      <c r="F3472">
        <v>1974</v>
      </c>
      <c r="G3472" s="1" t="s">
        <v>693</v>
      </c>
      <c r="H3472" s="1" t="s">
        <v>482</v>
      </c>
      <c r="I3472">
        <v>-0.78310000000000002</v>
      </c>
      <c r="J3472">
        <v>29584.998500000002</v>
      </c>
      <c r="K3472">
        <v>1.0019999999999999E-2</v>
      </c>
      <c r="L3472">
        <v>8.3199999999999993E-3</v>
      </c>
      <c r="M3472">
        <v>7.2800000000000004E-2</v>
      </c>
      <c r="N3472">
        <v>0.17380000000000001</v>
      </c>
      <c r="O3472">
        <v>1.0070000000000001E-2</v>
      </c>
      <c r="P3472" s="3">
        <f t="shared" si="216"/>
        <v>3380.101453609926</v>
      </c>
      <c r="Q3472" s="3">
        <f t="shared" si="217"/>
        <v>1.001977057694603E-2</v>
      </c>
      <c r="R3472" s="3">
        <f t="shared" si="218"/>
        <v>8.3199999999999993E-3</v>
      </c>
      <c r="S3472">
        <f t="shared" si="219"/>
        <v>95</v>
      </c>
      <c r="T3472">
        <f>INDEX([1]IDEN_level_ids!$B:$B,MATCH(G3472,[1]IDEN_level_ids!$A:$A,0),1)</f>
        <v>1088</v>
      </c>
      <c r="U3472">
        <f>INDEX([1]IDEN_level_ids!$B:$B,MATCH(H3472,[1]IDEN_level_ids!$A:$A,0),1)</f>
        <v>957</v>
      </c>
    </row>
    <row r="3473" spans="1:21" hidden="1" x14ac:dyDescent="0.25">
      <c r="A3473">
        <v>29575.440900000001</v>
      </c>
      <c r="B3473">
        <v>3381.1837</v>
      </c>
      <c r="C3473">
        <v>22</v>
      </c>
      <c r="D3473" t="s">
        <v>717</v>
      </c>
      <c r="E3473" t="s">
        <v>678</v>
      </c>
      <c r="F3473">
        <v>1974</v>
      </c>
      <c r="G3473" s="1" t="s">
        <v>354</v>
      </c>
      <c r="H3473" s="1" t="s">
        <v>401</v>
      </c>
      <c r="I3473">
        <v>-0.75970000000000004</v>
      </c>
      <c r="J3473">
        <v>29575.554899999999</v>
      </c>
      <c r="K3473">
        <v>1.303E-2</v>
      </c>
      <c r="L3473">
        <v>8.3300000000000006E-3</v>
      </c>
      <c r="M3473">
        <v>7.2800000000000004E-2</v>
      </c>
      <c r="N3473">
        <v>7.2999999999999995E-2</v>
      </c>
      <c r="O3473">
        <v>8.9800000000000001E-3</v>
      </c>
      <c r="P3473" s="3">
        <f t="shared" si="216"/>
        <v>3381.1837442463957</v>
      </c>
      <c r="Q3473" s="3">
        <f t="shared" si="217"/>
        <v>1.3032889767600864E-2</v>
      </c>
      <c r="R3473" s="3">
        <f t="shared" si="218"/>
        <v>8.3300000000000006E-3</v>
      </c>
      <c r="S3473">
        <f t="shared" si="219"/>
        <v>95</v>
      </c>
      <c r="T3473">
        <f>INDEX([1]IDEN_level_ids!$B:$B,MATCH(G3473,[1]IDEN_level_ids!$A:$A,0),1)</f>
        <v>1135</v>
      </c>
      <c r="U3473">
        <f>INDEX([1]IDEN_level_ids!$B:$B,MATCH(H3473,[1]IDEN_level_ids!$A:$A,0),1)</f>
        <v>1063</v>
      </c>
    </row>
    <row r="3474" spans="1:21" hidden="1" x14ac:dyDescent="0.25">
      <c r="A3474">
        <v>29566.291499999999</v>
      </c>
      <c r="B3474">
        <v>3382.2301000000002</v>
      </c>
      <c r="C3474">
        <v>22</v>
      </c>
      <c r="D3474" t="s">
        <v>717</v>
      </c>
      <c r="E3474" t="s">
        <v>678</v>
      </c>
      <c r="F3474">
        <v>1974</v>
      </c>
      <c r="G3474" s="1" t="s">
        <v>276</v>
      </c>
      <c r="H3474" s="1" t="s">
        <v>377</v>
      </c>
      <c r="I3474">
        <v>-0.65969999999999995</v>
      </c>
      <c r="J3474">
        <v>29566.154500000001</v>
      </c>
      <c r="K3474">
        <v>-1.567E-2</v>
      </c>
      <c r="L3474">
        <v>8.3300000000000006E-3</v>
      </c>
      <c r="M3474">
        <v>7.2800000000000004E-2</v>
      </c>
      <c r="N3474">
        <v>5.33E-2</v>
      </c>
      <c r="O3474">
        <v>8.8000000000000005E-3</v>
      </c>
      <c r="P3474" s="3">
        <f t="shared" si="216"/>
        <v>3382.2300642608493</v>
      </c>
      <c r="Q3474" s="3">
        <f t="shared" si="217"/>
        <v>-1.5672160503527266E-2</v>
      </c>
      <c r="R3474" s="3">
        <f t="shared" si="218"/>
        <v>8.3300000000000006E-3</v>
      </c>
      <c r="S3474">
        <f t="shared" si="219"/>
        <v>95</v>
      </c>
      <c r="T3474">
        <f>INDEX([1]IDEN_level_ids!$B:$B,MATCH(G3474,[1]IDEN_level_ids!$A:$A,0),1)</f>
        <v>1131</v>
      </c>
      <c r="U3474">
        <f>INDEX([1]IDEN_level_ids!$B:$B,MATCH(H3474,[1]IDEN_level_ids!$A:$A,0),1)</f>
        <v>1057</v>
      </c>
    </row>
    <row r="3475" spans="1:21" hidden="1" x14ac:dyDescent="0.25">
      <c r="A3475">
        <v>29564.882799999999</v>
      </c>
      <c r="B3475">
        <v>3382.3912</v>
      </c>
      <c r="C3475">
        <v>22</v>
      </c>
      <c r="D3475" t="s">
        <v>717</v>
      </c>
      <c r="E3475" t="s">
        <v>681</v>
      </c>
      <c r="F3475">
        <v>1974</v>
      </c>
      <c r="G3475" s="1" t="s">
        <v>383</v>
      </c>
      <c r="H3475" s="1" t="s">
        <v>577</v>
      </c>
      <c r="I3475">
        <v>0.37509999999999999</v>
      </c>
      <c r="J3475">
        <v>29564.9372</v>
      </c>
      <c r="K3475">
        <v>6.2199999999999998E-3</v>
      </c>
      <c r="L3475">
        <v>9.1900000000000003E-3</v>
      </c>
      <c r="M3475">
        <v>8.0299999999999996E-2</v>
      </c>
      <c r="N3475">
        <v>7.8399999999999997E-2</v>
      </c>
      <c r="O3475">
        <v>9.9699999999999997E-3</v>
      </c>
      <c r="P3475" s="3">
        <f t="shared" si="216"/>
        <v>3382.3912198968706</v>
      </c>
      <c r="Q3475" s="3">
        <f t="shared" si="217"/>
        <v>6.22365882691156E-3</v>
      </c>
      <c r="R3475" s="3">
        <f t="shared" si="218"/>
        <v>9.1900000000000003E-3</v>
      </c>
      <c r="S3475">
        <f t="shared" si="219"/>
        <v>95</v>
      </c>
      <c r="T3475">
        <f>INDEX([1]IDEN_level_ids!$B:$B,MATCH(G3475,[1]IDEN_level_ids!$A:$A,0),1)</f>
        <v>1097</v>
      </c>
      <c r="U3475">
        <f>INDEX([1]IDEN_level_ids!$B:$B,MATCH(H3475,[1]IDEN_level_ids!$A:$A,0),1)</f>
        <v>985</v>
      </c>
    </row>
    <row r="3476" spans="1:21" hidden="1" x14ac:dyDescent="0.25">
      <c r="A3476">
        <v>29561.197700000001</v>
      </c>
      <c r="B3476">
        <v>3382.8128999999999</v>
      </c>
      <c r="C3476">
        <v>22</v>
      </c>
      <c r="D3476" t="s">
        <v>717</v>
      </c>
      <c r="E3476" t="s">
        <v>678</v>
      </c>
      <c r="F3476">
        <v>1974</v>
      </c>
      <c r="G3476" s="1" t="s">
        <v>511</v>
      </c>
      <c r="H3476" s="1" t="s">
        <v>413</v>
      </c>
      <c r="I3476">
        <v>-0.7611</v>
      </c>
      <c r="J3476">
        <v>29561.2932</v>
      </c>
      <c r="K3476">
        <v>1.093E-2</v>
      </c>
      <c r="L3476">
        <v>8.3300000000000006E-3</v>
      </c>
      <c r="M3476">
        <v>7.2800000000000004E-2</v>
      </c>
      <c r="N3476">
        <v>8.1699999999999995E-2</v>
      </c>
      <c r="O3476">
        <v>9.0799999999999995E-3</v>
      </c>
      <c r="P3476" s="3">
        <f t="shared" si="216"/>
        <v>3382.8128689116002</v>
      </c>
      <c r="Q3476" s="3">
        <f t="shared" si="217"/>
        <v>1.0928433569915796E-2</v>
      </c>
      <c r="R3476" s="3">
        <f t="shared" si="218"/>
        <v>8.3300000000000006E-3</v>
      </c>
      <c r="S3476">
        <f t="shared" si="219"/>
        <v>95</v>
      </c>
      <c r="T3476">
        <f>INDEX([1]IDEN_level_ids!$B:$B,MATCH(G3476,[1]IDEN_level_ids!$A:$A,0),1)</f>
        <v>1139</v>
      </c>
      <c r="U3476">
        <f>INDEX([1]IDEN_level_ids!$B:$B,MATCH(H3476,[1]IDEN_level_ids!$A:$A,0),1)</f>
        <v>1071</v>
      </c>
    </row>
    <row r="3477" spans="1:21" hidden="1" x14ac:dyDescent="0.25">
      <c r="A3477">
        <v>29533.600299999998</v>
      </c>
      <c r="B3477">
        <v>3385.9739</v>
      </c>
      <c r="C3477">
        <v>22</v>
      </c>
      <c r="D3477" t="s">
        <v>717</v>
      </c>
      <c r="E3477" t="s">
        <v>638</v>
      </c>
      <c r="F3477">
        <v>1974</v>
      </c>
      <c r="G3477" s="1" t="s">
        <v>433</v>
      </c>
      <c r="H3477" s="1" t="s">
        <v>507</v>
      </c>
      <c r="I3477">
        <v>0</v>
      </c>
      <c r="J3477">
        <v>29533.557700000001</v>
      </c>
      <c r="K3477">
        <v>-4.8799999999999998E-3</v>
      </c>
      <c r="L3477">
        <v>1.9810000000000001E-2</v>
      </c>
      <c r="M3477">
        <v>0.17280000000000001</v>
      </c>
      <c r="N3477">
        <v>0.30470000000000003</v>
      </c>
      <c r="O3477">
        <v>2.8500000000000001E-2</v>
      </c>
      <c r="P3477" s="3">
        <f t="shared" si="216"/>
        <v>3385.9739071500881</v>
      </c>
      <c r="Q3477" s="3">
        <f t="shared" si="217"/>
        <v>-4.8840200661288691E-3</v>
      </c>
      <c r="R3477" s="3">
        <f t="shared" si="218"/>
        <v>1.9810000000000001E-2</v>
      </c>
      <c r="S3477">
        <f t="shared" si="219"/>
        <v>95</v>
      </c>
      <c r="T3477">
        <f>INDEX([1]IDEN_level_ids!$B:$B,MATCH(G3477,[1]IDEN_level_ids!$A:$A,0),1)</f>
        <v>918</v>
      </c>
      <c r="U3477">
        <f>INDEX([1]IDEN_level_ids!$B:$B,MATCH(H3477,[1]IDEN_level_ids!$A:$A,0),1)</f>
        <v>667</v>
      </c>
    </row>
    <row r="3478" spans="1:21" hidden="1" x14ac:dyDescent="0.25">
      <c r="A3478">
        <v>29519.9516</v>
      </c>
      <c r="B3478">
        <v>3387.5394000000001</v>
      </c>
      <c r="C3478">
        <v>22</v>
      </c>
      <c r="D3478" t="s">
        <v>717</v>
      </c>
      <c r="F3478">
        <v>1974</v>
      </c>
      <c r="G3478" s="1" t="s">
        <v>255</v>
      </c>
      <c r="H3478" s="1" t="s">
        <v>467</v>
      </c>
      <c r="I3478">
        <v>0</v>
      </c>
      <c r="J3478">
        <v>29519.8992</v>
      </c>
      <c r="K3478">
        <v>-6.0200000000000002E-3</v>
      </c>
      <c r="L3478">
        <v>5.2900000000000004E-3</v>
      </c>
      <c r="M3478">
        <v>4.6100000000000002E-2</v>
      </c>
      <c r="N3478">
        <v>0.11890000000000001</v>
      </c>
      <c r="O3478">
        <v>6.0000000000000001E-3</v>
      </c>
      <c r="P3478" s="3">
        <f t="shared" si="216"/>
        <v>3387.539429434566</v>
      </c>
      <c r="Q3478" s="3">
        <f t="shared" si="217"/>
        <v>-6.0131325276415737E-3</v>
      </c>
      <c r="R3478" s="3">
        <f t="shared" si="218"/>
        <v>5.2900000000000004E-3</v>
      </c>
      <c r="S3478">
        <f t="shared" si="219"/>
        <v>95</v>
      </c>
      <c r="T3478">
        <f>INDEX([1]IDEN_level_ids!$B:$B,MATCH(G3478,[1]IDEN_level_ids!$A:$A,0),1)</f>
        <v>1111</v>
      </c>
      <c r="U3478">
        <f>INDEX([1]IDEN_level_ids!$B:$B,MATCH(H3478,[1]IDEN_level_ids!$A:$A,0),1)</f>
        <v>1025</v>
      </c>
    </row>
    <row r="3479" spans="1:21" hidden="1" x14ac:dyDescent="0.25">
      <c r="A3479">
        <v>29514.531299999999</v>
      </c>
      <c r="B3479">
        <v>3388.1615999999999</v>
      </c>
      <c r="C3479">
        <v>22</v>
      </c>
      <c r="D3479" t="s">
        <v>717</v>
      </c>
      <c r="E3479" t="s">
        <v>678</v>
      </c>
      <c r="F3479">
        <v>1974</v>
      </c>
      <c r="G3479" s="1" t="s">
        <v>691</v>
      </c>
      <c r="H3479" s="1" t="s">
        <v>615</v>
      </c>
      <c r="I3479">
        <v>-0.74780000000000002</v>
      </c>
      <c r="J3479">
        <v>29514.540199999999</v>
      </c>
      <c r="K3479">
        <v>1.0200000000000001E-3</v>
      </c>
      <c r="L3479">
        <v>8.3599999999999994E-3</v>
      </c>
      <c r="M3479">
        <v>7.2800000000000004E-2</v>
      </c>
      <c r="N3479">
        <v>0.1673</v>
      </c>
      <c r="O3479">
        <v>1.004E-2</v>
      </c>
      <c r="P3479" s="3">
        <f t="shared" si="216"/>
        <v>3388.1615460381713</v>
      </c>
      <c r="Q3479" s="3">
        <f t="shared" si="217"/>
        <v>1.0216875325568253E-3</v>
      </c>
      <c r="R3479" s="3">
        <f t="shared" si="218"/>
        <v>8.3599999999999994E-3</v>
      </c>
      <c r="S3479">
        <f t="shared" si="219"/>
        <v>95</v>
      </c>
      <c r="T3479">
        <f>INDEX([1]IDEN_level_ids!$B:$B,MATCH(G3479,[1]IDEN_level_ids!$A:$A,0),1)</f>
        <v>1092</v>
      </c>
      <c r="U3479">
        <f>INDEX([1]IDEN_level_ids!$B:$B,MATCH(H3479,[1]IDEN_level_ids!$A:$A,0),1)</f>
        <v>962</v>
      </c>
    </row>
    <row r="3480" spans="1:21" hidden="1" x14ac:dyDescent="0.25">
      <c r="A3480">
        <v>29480.6921</v>
      </c>
      <c r="B3480">
        <v>3392.0506</v>
      </c>
      <c r="C3480">
        <v>22</v>
      </c>
      <c r="D3480" t="s">
        <v>717</v>
      </c>
      <c r="E3480" t="s">
        <v>678</v>
      </c>
      <c r="F3480">
        <v>1974</v>
      </c>
      <c r="G3480" s="1" t="s">
        <v>319</v>
      </c>
      <c r="H3480" s="1" t="s">
        <v>398</v>
      </c>
      <c r="I3480">
        <v>-0.74870000000000003</v>
      </c>
      <c r="J3480">
        <v>29480.6816</v>
      </c>
      <c r="K3480">
        <v>-1.2099999999999999E-3</v>
      </c>
      <c r="L3480">
        <v>8.3800000000000003E-3</v>
      </c>
      <c r="M3480">
        <v>7.2800000000000004E-2</v>
      </c>
      <c r="N3480">
        <v>0.1009</v>
      </c>
      <c r="O3480">
        <v>9.3200000000000002E-3</v>
      </c>
      <c r="P3480" s="3">
        <f t="shared" si="216"/>
        <v>3392.0506228549498</v>
      </c>
      <c r="Q3480" s="3">
        <f t="shared" si="217"/>
        <v>-1.2081312102054653E-3</v>
      </c>
      <c r="R3480" s="3">
        <f t="shared" si="218"/>
        <v>8.3800000000000003E-3</v>
      </c>
      <c r="S3480">
        <f t="shared" si="219"/>
        <v>95</v>
      </c>
      <c r="T3480">
        <f>INDEX([1]IDEN_level_ids!$B:$B,MATCH(G3480,[1]IDEN_level_ids!$A:$A,0),1)</f>
        <v>1141</v>
      </c>
      <c r="U3480">
        <f>INDEX([1]IDEN_level_ids!$B:$B,MATCH(H3480,[1]IDEN_level_ids!$A:$A,0),1)</f>
        <v>1075</v>
      </c>
    </row>
    <row r="3481" spans="1:21" hidden="1" x14ac:dyDescent="0.25">
      <c r="A3481">
        <v>29453.439600000002</v>
      </c>
      <c r="B3481">
        <v>3395.1891999999998</v>
      </c>
      <c r="C3481">
        <v>22</v>
      </c>
      <c r="D3481" t="s">
        <v>717</v>
      </c>
      <c r="E3481" t="s">
        <v>427</v>
      </c>
      <c r="F3481">
        <v>1974</v>
      </c>
      <c r="G3481" s="1" t="s">
        <v>141</v>
      </c>
      <c r="H3481" s="1" t="s">
        <v>379</v>
      </c>
      <c r="I3481">
        <v>0.47110000000000002</v>
      </c>
      <c r="J3481">
        <v>29453.465</v>
      </c>
      <c r="K3481">
        <v>2.9299999999999999E-3</v>
      </c>
      <c r="L3481">
        <v>5.62E-3</v>
      </c>
      <c r="M3481">
        <v>4.87E-2</v>
      </c>
      <c r="N3481">
        <v>9.2600000000000002E-2</v>
      </c>
      <c r="O3481">
        <v>6.1900000000000002E-3</v>
      </c>
      <c r="P3481" s="3">
        <f t="shared" si="216"/>
        <v>3395.1891988873176</v>
      </c>
      <c r="Q3481" s="3">
        <f t="shared" si="217"/>
        <v>2.9279341379151447E-3</v>
      </c>
      <c r="R3481" s="3">
        <f t="shared" si="218"/>
        <v>5.62E-3</v>
      </c>
      <c r="S3481">
        <f t="shared" si="219"/>
        <v>95</v>
      </c>
      <c r="T3481">
        <f>INDEX([1]IDEN_level_ids!$B:$B,MATCH(G3481,[1]IDEN_level_ids!$A:$A,0),1)</f>
        <v>1155</v>
      </c>
      <c r="U3481">
        <f>INDEX([1]IDEN_level_ids!$B:$B,MATCH(H3481,[1]IDEN_level_ids!$A:$A,0),1)</f>
        <v>1083</v>
      </c>
    </row>
    <row r="3482" spans="1:21" hidden="1" x14ac:dyDescent="0.25">
      <c r="A3482">
        <v>29437.360199999999</v>
      </c>
      <c r="B3482">
        <v>3397.0437000000002</v>
      </c>
      <c r="C3482">
        <v>22</v>
      </c>
      <c r="D3482" t="s">
        <v>717</v>
      </c>
      <c r="E3482" t="s">
        <v>661</v>
      </c>
      <c r="F3482">
        <v>1974</v>
      </c>
      <c r="G3482" s="1" t="s">
        <v>141</v>
      </c>
      <c r="H3482" s="1" t="s">
        <v>381</v>
      </c>
      <c r="I3482">
        <v>0.23219999999999999</v>
      </c>
      <c r="J3482">
        <v>29437.374100000001</v>
      </c>
      <c r="K3482">
        <v>1.6000000000000001E-3</v>
      </c>
      <c r="L3482">
        <v>5.8500000000000002E-3</v>
      </c>
      <c r="M3482">
        <v>5.0700000000000002E-2</v>
      </c>
      <c r="N3482">
        <v>6.8099999999999994E-2</v>
      </c>
      <c r="O3482">
        <v>6.2700000000000004E-3</v>
      </c>
      <c r="P3482" s="3">
        <f t="shared" si="216"/>
        <v>3397.0437335614083</v>
      </c>
      <c r="Q3482" s="3">
        <f t="shared" si="217"/>
        <v>1.6040461946431606E-3</v>
      </c>
      <c r="R3482" s="3">
        <f t="shared" si="218"/>
        <v>5.8500000000000002E-3</v>
      </c>
      <c r="S3482">
        <f t="shared" si="219"/>
        <v>95</v>
      </c>
      <c r="T3482">
        <f>INDEX([1]IDEN_level_ids!$B:$B,MATCH(G3482,[1]IDEN_level_ids!$A:$A,0),1)</f>
        <v>1155</v>
      </c>
      <c r="U3482">
        <f>INDEX([1]IDEN_level_ids!$B:$B,MATCH(H3482,[1]IDEN_level_ids!$A:$A,0),1)</f>
        <v>1084</v>
      </c>
    </row>
    <row r="3483" spans="1:21" hidden="1" x14ac:dyDescent="0.25">
      <c r="A3483">
        <v>29432.541099999999</v>
      </c>
      <c r="B3483">
        <v>3397.5999000000002</v>
      </c>
      <c r="C3483">
        <v>22</v>
      </c>
      <c r="D3483" t="s">
        <v>717</v>
      </c>
      <c r="E3483" t="s">
        <v>678</v>
      </c>
      <c r="F3483">
        <v>1974</v>
      </c>
      <c r="G3483" s="1" t="s">
        <v>326</v>
      </c>
      <c r="H3483" s="1" t="s">
        <v>386</v>
      </c>
      <c r="I3483">
        <v>-0.8347</v>
      </c>
      <c r="J3483">
        <v>29432.649300000001</v>
      </c>
      <c r="K3483">
        <v>1.2489999999999999E-2</v>
      </c>
      <c r="L3483">
        <v>8.4100000000000008E-3</v>
      </c>
      <c r="M3483">
        <v>7.2800000000000004E-2</v>
      </c>
      <c r="N3483">
        <v>8.7499999999999994E-2</v>
      </c>
      <c r="O3483">
        <v>9.2099999999999994E-3</v>
      </c>
      <c r="P3483" s="3">
        <f t="shared" si="216"/>
        <v>3397.5999442331536</v>
      </c>
      <c r="Q3483" s="3">
        <f t="shared" si="217"/>
        <v>1.2490221665757417E-2</v>
      </c>
      <c r="R3483" s="3">
        <f t="shared" si="218"/>
        <v>8.4100000000000008E-3</v>
      </c>
      <c r="S3483">
        <f t="shared" si="219"/>
        <v>95</v>
      </c>
      <c r="T3483">
        <f>INDEX([1]IDEN_level_ids!$B:$B,MATCH(G3483,[1]IDEN_level_ids!$A:$A,0),1)</f>
        <v>1148</v>
      </c>
      <c r="U3483">
        <f>INDEX([1]IDEN_level_ids!$B:$B,MATCH(H3483,[1]IDEN_level_ids!$A:$A,0),1)</f>
        <v>1082</v>
      </c>
    </row>
    <row r="3484" spans="1:21" hidden="1" x14ac:dyDescent="0.25">
      <c r="A3484">
        <v>29425.341799999998</v>
      </c>
      <c r="B3484">
        <v>3398.4312</v>
      </c>
      <c r="C3484">
        <v>22</v>
      </c>
      <c r="D3484" t="s">
        <v>717</v>
      </c>
      <c r="E3484" t="s">
        <v>681</v>
      </c>
      <c r="F3484">
        <v>1974</v>
      </c>
      <c r="G3484" s="1" t="s">
        <v>443</v>
      </c>
      <c r="H3484" s="1" t="s">
        <v>384</v>
      </c>
      <c r="I3484">
        <v>0.70820000000000005</v>
      </c>
      <c r="J3484">
        <v>29425.161899999999</v>
      </c>
      <c r="K3484">
        <v>-2.077E-2</v>
      </c>
      <c r="L3484">
        <v>9.2800000000000001E-3</v>
      </c>
      <c r="M3484">
        <v>8.0299999999999996E-2</v>
      </c>
      <c r="N3484">
        <v>6.25E-2</v>
      </c>
      <c r="O3484">
        <v>9.8899999999999995E-3</v>
      </c>
      <c r="P3484" s="3">
        <f t="shared" si="216"/>
        <v>3398.4312121057505</v>
      </c>
      <c r="Q3484" s="3">
        <f t="shared" si="217"/>
        <v>-2.077738015941577E-2</v>
      </c>
      <c r="R3484" s="3">
        <f t="shared" si="218"/>
        <v>9.2800000000000001E-3</v>
      </c>
      <c r="S3484">
        <f t="shared" si="219"/>
        <v>95</v>
      </c>
      <c r="T3484">
        <f>INDEX([1]IDEN_level_ids!$B:$B,MATCH(G3484,[1]IDEN_level_ids!$A:$A,0),1)</f>
        <v>1145</v>
      </c>
      <c r="U3484">
        <f>INDEX([1]IDEN_level_ids!$B:$B,MATCH(H3484,[1]IDEN_level_ids!$A:$A,0),1)</f>
        <v>1080</v>
      </c>
    </row>
    <row r="3485" spans="1:21" hidden="1" x14ac:dyDescent="0.25">
      <c r="A3485">
        <v>29422.4781</v>
      </c>
      <c r="B3485">
        <v>3398.7620000000002</v>
      </c>
      <c r="C3485">
        <v>22</v>
      </c>
      <c r="D3485" t="s">
        <v>717</v>
      </c>
      <c r="E3485" t="s">
        <v>678</v>
      </c>
      <c r="F3485">
        <v>1974</v>
      </c>
      <c r="G3485" s="1" t="s">
        <v>504</v>
      </c>
      <c r="H3485" s="1" t="s">
        <v>452</v>
      </c>
      <c r="I3485">
        <v>-0.74160000000000004</v>
      </c>
      <c r="J3485">
        <v>29422.362499999999</v>
      </c>
      <c r="K3485">
        <v>-1.3350000000000001E-2</v>
      </c>
      <c r="L3485">
        <v>8.4100000000000008E-3</v>
      </c>
      <c r="M3485">
        <v>7.2800000000000004E-2</v>
      </c>
      <c r="N3485">
        <v>7.3700000000000002E-2</v>
      </c>
      <c r="O3485">
        <v>9.0799999999999995E-3</v>
      </c>
      <c r="P3485" s="3">
        <f t="shared" si="216"/>
        <v>3398.7619825945253</v>
      </c>
      <c r="Q3485" s="3">
        <f t="shared" si="217"/>
        <v>-1.3353682430988556E-2</v>
      </c>
      <c r="R3485" s="3">
        <f t="shared" si="218"/>
        <v>8.4100000000000008E-3</v>
      </c>
      <c r="S3485">
        <f t="shared" si="219"/>
        <v>95</v>
      </c>
      <c r="T3485">
        <f>INDEX([1]IDEN_level_ids!$B:$B,MATCH(G3485,[1]IDEN_level_ids!$A:$A,0),1)</f>
        <v>1118</v>
      </c>
      <c r="U3485">
        <f>INDEX([1]IDEN_level_ids!$B:$B,MATCH(H3485,[1]IDEN_level_ids!$A:$A,0),1)</f>
        <v>1033</v>
      </c>
    </row>
    <row r="3486" spans="1:21" hidden="1" x14ac:dyDescent="0.25">
      <c r="A3486">
        <v>29415.550599999999</v>
      </c>
      <c r="B3486">
        <v>3399.5623999999998</v>
      </c>
      <c r="C3486">
        <v>22</v>
      </c>
      <c r="D3486" t="s">
        <v>717</v>
      </c>
      <c r="E3486" t="s">
        <v>427</v>
      </c>
      <c r="F3486">
        <v>1974</v>
      </c>
      <c r="G3486" s="1" t="s">
        <v>342</v>
      </c>
      <c r="H3486" s="1" t="s">
        <v>441</v>
      </c>
      <c r="I3486">
        <v>9.8500000000000004E-2</v>
      </c>
      <c r="J3486">
        <v>29415.577499999999</v>
      </c>
      <c r="K3486">
        <v>3.1099999999999999E-3</v>
      </c>
      <c r="L3486">
        <v>5.6299999999999996E-3</v>
      </c>
      <c r="M3486">
        <v>4.87E-2</v>
      </c>
      <c r="N3486">
        <v>0.16320000000000001</v>
      </c>
      <c r="O3486">
        <v>6.7299999999999999E-3</v>
      </c>
      <c r="P3486" s="3">
        <f t="shared" si="216"/>
        <v>3399.5624069671503</v>
      </c>
      <c r="Q3486" s="3">
        <f t="shared" si="217"/>
        <v>3.1088367632037262E-3</v>
      </c>
      <c r="R3486" s="3">
        <f t="shared" si="218"/>
        <v>5.6299999999999996E-3</v>
      </c>
      <c r="S3486">
        <f t="shared" si="219"/>
        <v>95</v>
      </c>
      <c r="T3486">
        <f>INDEX([1]IDEN_level_ids!$B:$B,MATCH(G3486,[1]IDEN_level_ids!$A:$A,0),1)</f>
        <v>1119</v>
      </c>
      <c r="U3486">
        <f>INDEX([1]IDEN_level_ids!$B:$B,MATCH(H3486,[1]IDEN_level_ids!$A:$A,0),1)</f>
        <v>1034</v>
      </c>
    </row>
    <row r="3487" spans="1:21" hidden="1" x14ac:dyDescent="0.25">
      <c r="A3487">
        <v>29410.187699999999</v>
      </c>
      <c r="B3487">
        <v>3400.1822999999999</v>
      </c>
      <c r="C3487">
        <v>22</v>
      </c>
      <c r="D3487" t="s">
        <v>718</v>
      </c>
      <c r="E3487" t="s">
        <v>678</v>
      </c>
      <c r="F3487">
        <v>1974</v>
      </c>
      <c r="G3487" s="1" t="s">
        <v>354</v>
      </c>
      <c r="H3487" s="1" t="s">
        <v>431</v>
      </c>
      <c r="I3487">
        <v>-0.5272</v>
      </c>
      <c r="J3487">
        <v>29410.146000000001</v>
      </c>
      <c r="K3487">
        <v>-4.8199999999999996E-3</v>
      </c>
      <c r="L3487">
        <v>8.4200000000000004E-3</v>
      </c>
      <c r="M3487">
        <v>7.2800000000000004E-2</v>
      </c>
      <c r="N3487">
        <v>7.1499999999999994E-2</v>
      </c>
      <c r="O3487">
        <v>9.0699999999999999E-3</v>
      </c>
      <c r="P3487" s="3">
        <f t="shared" si="216"/>
        <v>3400.1823116552227</v>
      </c>
      <c r="Q3487" s="3">
        <f t="shared" si="217"/>
        <v>-4.8210438126261579E-3</v>
      </c>
      <c r="R3487" s="3">
        <f t="shared" si="218"/>
        <v>8.4200000000000004E-3</v>
      </c>
      <c r="S3487">
        <f t="shared" si="219"/>
        <v>96</v>
      </c>
      <c r="T3487">
        <f>INDEX([1]IDEN_level_ids!$B:$B,MATCH(G3487,[1]IDEN_level_ids!$A:$A,0),1)</f>
        <v>1135</v>
      </c>
      <c r="U3487">
        <f>INDEX([1]IDEN_level_ids!$B:$B,MATCH(H3487,[1]IDEN_level_ids!$A:$A,0),1)</f>
        <v>1062</v>
      </c>
    </row>
    <row r="3488" spans="1:21" hidden="1" x14ac:dyDescent="0.25">
      <c r="A3488">
        <v>29405.160100000001</v>
      </c>
      <c r="B3488">
        <v>3400.7637</v>
      </c>
      <c r="C3488">
        <v>22</v>
      </c>
      <c r="D3488" t="s">
        <v>718</v>
      </c>
      <c r="F3488">
        <v>1974</v>
      </c>
      <c r="G3488" s="1" t="s">
        <v>250</v>
      </c>
      <c r="H3488" s="1" t="s">
        <v>461</v>
      </c>
      <c r="I3488">
        <v>0.24510000000000001</v>
      </c>
      <c r="J3488">
        <v>29405.229800000001</v>
      </c>
      <c r="K3488">
        <v>8.0700000000000008E-3</v>
      </c>
      <c r="L3488">
        <v>5.3299999999999997E-3</v>
      </c>
      <c r="M3488">
        <v>4.6100000000000002E-2</v>
      </c>
      <c r="N3488">
        <v>9.7000000000000003E-2</v>
      </c>
      <c r="O3488">
        <v>5.8999999999999999E-3</v>
      </c>
      <c r="P3488" s="3">
        <f t="shared" si="216"/>
        <v>3400.7636639257744</v>
      </c>
      <c r="Q3488" s="3">
        <f t="shared" si="217"/>
        <v>8.0609207607267308E-3</v>
      </c>
      <c r="R3488" s="3">
        <f t="shared" si="218"/>
        <v>5.3299999999999997E-3</v>
      </c>
      <c r="S3488">
        <f t="shared" si="219"/>
        <v>96</v>
      </c>
      <c r="T3488">
        <f>INDEX([1]IDEN_level_ids!$B:$B,MATCH(G3488,[1]IDEN_level_ids!$A:$A,0),1)</f>
        <v>1107</v>
      </c>
      <c r="U3488">
        <f>INDEX([1]IDEN_level_ids!$B:$B,MATCH(H3488,[1]IDEN_level_ids!$A:$A,0),1)</f>
        <v>1017</v>
      </c>
    </row>
    <row r="3489" spans="1:21" hidden="1" x14ac:dyDescent="0.25">
      <c r="A3489">
        <v>29377.672200000001</v>
      </c>
      <c r="B3489">
        <v>3403.9457000000002</v>
      </c>
      <c r="C3489">
        <v>22</v>
      </c>
      <c r="D3489" t="s">
        <v>718</v>
      </c>
      <c r="E3489" t="s">
        <v>681</v>
      </c>
      <c r="F3489">
        <v>1974</v>
      </c>
      <c r="G3489" s="1" t="s">
        <v>687</v>
      </c>
      <c r="H3489" s="1" t="s">
        <v>509</v>
      </c>
      <c r="I3489">
        <v>0.61209999999999998</v>
      </c>
      <c r="J3489">
        <v>29377.6018</v>
      </c>
      <c r="K3489">
        <v>-8.1600000000000006E-3</v>
      </c>
      <c r="L3489">
        <v>9.3100000000000006E-3</v>
      </c>
      <c r="M3489">
        <v>8.0299999999999996E-2</v>
      </c>
      <c r="N3489">
        <v>0.1158</v>
      </c>
      <c r="O3489">
        <v>1.052E-2</v>
      </c>
      <c r="P3489" s="3">
        <f t="shared" si="216"/>
        <v>3403.9456672812898</v>
      </c>
      <c r="Q3489" s="3">
        <f t="shared" si="217"/>
        <v>-8.1571592063482967E-3</v>
      </c>
      <c r="R3489" s="3">
        <f t="shared" si="218"/>
        <v>9.3100000000000006E-3</v>
      </c>
      <c r="S3489">
        <f t="shared" si="219"/>
        <v>96</v>
      </c>
      <c r="T3489">
        <f>INDEX([1]IDEN_level_ids!$B:$B,MATCH(G3489,[1]IDEN_level_ids!$A:$A,0),1)</f>
        <v>1087</v>
      </c>
      <c r="U3489">
        <f>INDEX([1]IDEN_level_ids!$B:$B,MATCH(H3489,[1]IDEN_level_ids!$A:$A,0),1)</f>
        <v>956</v>
      </c>
    </row>
    <row r="3490" spans="1:21" hidden="1" x14ac:dyDescent="0.25">
      <c r="A3490">
        <v>29294.708299999998</v>
      </c>
      <c r="B3490">
        <v>3413.5857999999998</v>
      </c>
      <c r="C3490">
        <v>22</v>
      </c>
      <c r="D3490" t="s">
        <v>718</v>
      </c>
      <c r="E3490" t="s">
        <v>681</v>
      </c>
      <c r="F3490">
        <v>1974</v>
      </c>
      <c r="G3490" s="1" t="s">
        <v>697</v>
      </c>
      <c r="H3490" s="1" t="s">
        <v>495</v>
      </c>
      <c r="I3490">
        <v>0.23619999999999999</v>
      </c>
      <c r="J3490">
        <v>29294.750800000002</v>
      </c>
      <c r="K3490">
        <v>4.96E-3</v>
      </c>
      <c r="L3490">
        <v>9.3600000000000003E-3</v>
      </c>
      <c r="M3490">
        <v>8.0299999999999996E-2</v>
      </c>
      <c r="N3490">
        <v>0.14949999999999999</v>
      </c>
      <c r="O3490">
        <v>1.0999999999999999E-2</v>
      </c>
      <c r="P3490" s="3">
        <f t="shared" si="216"/>
        <v>3413.5857908508347</v>
      </c>
      <c r="Q3490" s="3">
        <f t="shared" si="217"/>
        <v>4.9523341954227362E-3</v>
      </c>
      <c r="R3490" s="3">
        <f t="shared" si="218"/>
        <v>9.3600000000000003E-3</v>
      </c>
      <c r="S3490">
        <f t="shared" si="219"/>
        <v>96</v>
      </c>
      <c r="T3490">
        <f>INDEX([1]IDEN_level_ids!$B:$B,MATCH(G3490,[1]IDEN_level_ids!$A:$A,0),1)</f>
        <v>1089</v>
      </c>
      <c r="U3490">
        <f>INDEX([1]IDEN_level_ids!$B:$B,MATCH(H3490,[1]IDEN_level_ids!$A:$A,0),1)</f>
        <v>960</v>
      </c>
    </row>
    <row r="3491" spans="1:21" hidden="1" x14ac:dyDescent="0.25">
      <c r="A3491">
        <v>29289.530999999999</v>
      </c>
      <c r="B3491">
        <v>3414.1891999999998</v>
      </c>
      <c r="C3491">
        <v>22</v>
      </c>
      <c r="D3491" t="s">
        <v>718</v>
      </c>
      <c r="E3491" t="s">
        <v>638</v>
      </c>
      <c r="F3491">
        <v>1974</v>
      </c>
      <c r="G3491" s="1" t="s">
        <v>301</v>
      </c>
      <c r="H3491" s="1" t="s">
        <v>379</v>
      </c>
      <c r="I3491">
        <v>-0.1002</v>
      </c>
      <c r="J3491">
        <v>29289.473600000001</v>
      </c>
      <c r="K3491">
        <v>-6.6899999999999998E-3</v>
      </c>
      <c r="L3491">
        <v>2.0140000000000002E-2</v>
      </c>
      <c r="M3491">
        <v>0.17280000000000001</v>
      </c>
      <c r="N3491">
        <v>3.3300000000000003E-2</v>
      </c>
      <c r="O3491">
        <v>2.0840000000000001E-2</v>
      </c>
      <c r="P3491" s="3">
        <f t="shared" si="216"/>
        <v>3414.1891858903446</v>
      </c>
      <c r="Q3491" s="3">
        <f t="shared" si="217"/>
        <v>-6.6909519077853474E-3</v>
      </c>
      <c r="R3491" s="3">
        <f t="shared" si="218"/>
        <v>2.0140000000000002E-2</v>
      </c>
      <c r="S3491">
        <f t="shared" si="219"/>
        <v>96</v>
      </c>
      <c r="T3491">
        <f>INDEX([1]IDEN_level_ids!$B:$B,MATCH(G3491,[1]IDEN_level_ids!$A:$A,0),1)</f>
        <v>1154</v>
      </c>
      <c r="U3491">
        <f>INDEX([1]IDEN_level_ids!$B:$B,MATCH(H3491,[1]IDEN_level_ids!$A:$A,0),1)</f>
        <v>1083</v>
      </c>
    </row>
    <row r="3492" spans="1:21" hidden="1" x14ac:dyDescent="0.25">
      <c r="A3492">
        <v>29280.240900000001</v>
      </c>
      <c r="B3492">
        <v>3415.2723999999998</v>
      </c>
      <c r="C3492">
        <v>22</v>
      </c>
      <c r="D3492" t="s">
        <v>718</v>
      </c>
      <c r="E3492" t="s">
        <v>427</v>
      </c>
      <c r="F3492">
        <v>1974</v>
      </c>
      <c r="G3492" s="1" t="s">
        <v>138</v>
      </c>
      <c r="H3492" s="1" t="s">
        <v>438</v>
      </c>
      <c r="I3492">
        <v>0</v>
      </c>
      <c r="J3492">
        <v>29280.289499999999</v>
      </c>
      <c r="K3492">
        <v>5.6699999999999997E-3</v>
      </c>
      <c r="L3492">
        <v>5.6800000000000002E-3</v>
      </c>
      <c r="M3492">
        <v>4.87E-2</v>
      </c>
      <c r="N3492">
        <v>9.01E-2</v>
      </c>
      <c r="O3492">
        <v>6.2500000000000003E-3</v>
      </c>
      <c r="P3492" s="3">
        <f t="shared" si="216"/>
        <v>3415.2724474339961</v>
      </c>
      <c r="Q3492" s="3">
        <f t="shared" si="217"/>
        <v>5.6687363330638618E-3</v>
      </c>
      <c r="R3492" s="3">
        <f t="shared" si="218"/>
        <v>5.6800000000000002E-3</v>
      </c>
      <c r="S3492">
        <f t="shared" si="219"/>
        <v>96</v>
      </c>
      <c r="T3492">
        <f>INDEX([1]IDEN_level_ids!$B:$B,MATCH(G3492,[1]IDEN_level_ids!$A:$A,0),1)</f>
        <v>1126</v>
      </c>
      <c r="U3492">
        <f>INDEX([1]IDEN_level_ids!$B:$B,MATCH(H3492,[1]IDEN_level_ids!$A:$A,0),1)</f>
        <v>1051</v>
      </c>
    </row>
    <row r="3493" spans="1:21" hidden="1" x14ac:dyDescent="0.25">
      <c r="A3493">
        <v>29272.8783</v>
      </c>
      <c r="B3493">
        <v>3416.1314000000002</v>
      </c>
      <c r="C3493">
        <v>22</v>
      </c>
      <c r="D3493" t="s">
        <v>718</v>
      </c>
      <c r="E3493" t="s">
        <v>678</v>
      </c>
      <c r="F3493">
        <v>1974</v>
      </c>
      <c r="G3493" s="1" t="s">
        <v>301</v>
      </c>
      <c r="H3493" s="1" t="s">
        <v>381</v>
      </c>
      <c r="I3493">
        <v>-0.79749999999999999</v>
      </c>
      <c r="J3493">
        <v>29272.924299999999</v>
      </c>
      <c r="K3493">
        <v>5.3600000000000002E-3</v>
      </c>
      <c r="L3493">
        <v>8.5000000000000006E-3</v>
      </c>
      <c r="M3493">
        <v>7.2800000000000004E-2</v>
      </c>
      <c r="N3493">
        <v>7.0300000000000001E-2</v>
      </c>
      <c r="O3493">
        <v>9.1400000000000006E-3</v>
      </c>
      <c r="P3493" s="3">
        <f t="shared" si="216"/>
        <v>3416.1314434187361</v>
      </c>
      <c r="Q3493" s="3">
        <f t="shared" si="217"/>
        <v>5.3681704221162363E-3</v>
      </c>
      <c r="R3493" s="3">
        <f t="shared" si="218"/>
        <v>8.5000000000000006E-3</v>
      </c>
      <c r="S3493">
        <f t="shared" si="219"/>
        <v>96</v>
      </c>
      <c r="T3493">
        <f>INDEX([1]IDEN_level_ids!$B:$B,MATCH(G3493,[1]IDEN_level_ids!$A:$A,0),1)</f>
        <v>1154</v>
      </c>
      <c r="U3493">
        <f>INDEX([1]IDEN_level_ids!$B:$B,MATCH(H3493,[1]IDEN_level_ids!$A:$A,0),1)</f>
        <v>1084</v>
      </c>
    </row>
    <row r="3494" spans="1:21" hidden="1" x14ac:dyDescent="0.25">
      <c r="A3494">
        <v>29268.0605</v>
      </c>
      <c r="B3494">
        <v>3416.6938</v>
      </c>
      <c r="C3494">
        <v>22</v>
      </c>
      <c r="D3494" t="s">
        <v>718</v>
      </c>
      <c r="F3494">
        <v>1974</v>
      </c>
      <c r="G3494" s="1" t="s">
        <v>273</v>
      </c>
      <c r="H3494" s="1" t="s">
        <v>461</v>
      </c>
      <c r="I3494">
        <v>0.24510000000000001</v>
      </c>
      <c r="J3494">
        <v>29268.0455</v>
      </c>
      <c r="K3494">
        <v>-1.75E-3</v>
      </c>
      <c r="L3494">
        <v>5.3800000000000002E-3</v>
      </c>
      <c r="M3494">
        <v>4.6100000000000002E-2</v>
      </c>
      <c r="N3494">
        <v>0.1012</v>
      </c>
      <c r="O3494">
        <v>5.9800000000000001E-3</v>
      </c>
      <c r="P3494" s="3">
        <f t="shared" si="216"/>
        <v>3416.6937710136276</v>
      </c>
      <c r="Q3494" s="3">
        <f t="shared" si="217"/>
        <v>-1.7510703460175137E-3</v>
      </c>
      <c r="R3494" s="3">
        <f t="shared" si="218"/>
        <v>5.3800000000000002E-3</v>
      </c>
      <c r="S3494">
        <f t="shared" si="219"/>
        <v>96</v>
      </c>
      <c r="T3494">
        <f>INDEX([1]IDEN_level_ids!$B:$B,MATCH(G3494,[1]IDEN_level_ids!$A:$A,0),1)</f>
        <v>1105</v>
      </c>
      <c r="U3494">
        <f>INDEX([1]IDEN_level_ids!$B:$B,MATCH(H3494,[1]IDEN_level_ids!$A:$A,0),1)</f>
        <v>1017</v>
      </c>
    </row>
    <row r="3495" spans="1:21" hidden="1" x14ac:dyDescent="0.25">
      <c r="A3495">
        <v>29262.278999999999</v>
      </c>
      <c r="B3495">
        <v>3417.3688000000002</v>
      </c>
      <c r="C3495">
        <v>22</v>
      </c>
      <c r="D3495" t="s">
        <v>718</v>
      </c>
      <c r="E3495" t="s">
        <v>427</v>
      </c>
      <c r="F3495">
        <v>1974</v>
      </c>
      <c r="G3495" s="1" t="s">
        <v>719</v>
      </c>
      <c r="H3495" s="1" t="s">
        <v>278</v>
      </c>
      <c r="I3495">
        <v>0</v>
      </c>
      <c r="J3495">
        <v>29262.2929</v>
      </c>
      <c r="K3495">
        <v>1.6299999999999999E-3</v>
      </c>
      <c r="L3495">
        <v>5.6899999999999997E-3</v>
      </c>
      <c r="M3495">
        <v>4.87E-2</v>
      </c>
      <c r="N3495">
        <v>0.13789999999999999</v>
      </c>
      <c r="O3495">
        <v>6.6E-3</v>
      </c>
      <c r="P3495" s="3">
        <f t="shared" si="216"/>
        <v>3417.368824895696</v>
      </c>
      <c r="Q3495" s="3">
        <f t="shared" si="217"/>
        <v>1.6232981752182241E-3</v>
      </c>
      <c r="R3495" s="3">
        <f t="shared" si="218"/>
        <v>5.6899999999999997E-3</v>
      </c>
      <c r="S3495">
        <f t="shared" si="219"/>
        <v>96</v>
      </c>
      <c r="T3495">
        <f>INDEX([1]IDEN_level_ids!$B:$B,MATCH(G3495,[1]IDEN_level_ids!$A:$A,0),1)</f>
        <v>1244</v>
      </c>
      <c r="U3495">
        <f>INDEX([1]IDEN_level_ids!$B:$B,MATCH(H3495,[1]IDEN_level_ids!$A:$A,0),1)</f>
        <v>1102</v>
      </c>
    </row>
    <row r="3496" spans="1:21" hidden="1" x14ac:dyDescent="0.25">
      <c r="A3496">
        <v>29251.849900000001</v>
      </c>
      <c r="B3496">
        <v>3418.5871999999999</v>
      </c>
      <c r="C3496">
        <v>22</v>
      </c>
      <c r="D3496" t="s">
        <v>718</v>
      </c>
      <c r="F3496">
        <v>1974</v>
      </c>
      <c r="G3496" s="1" t="s">
        <v>203</v>
      </c>
      <c r="H3496" s="1" t="s">
        <v>438</v>
      </c>
      <c r="I3496">
        <v>0</v>
      </c>
      <c r="J3496">
        <v>29251.832699999999</v>
      </c>
      <c r="K3496">
        <v>-2.0100000000000001E-3</v>
      </c>
      <c r="L3496">
        <v>5.3800000000000002E-3</v>
      </c>
      <c r="M3496">
        <v>4.6100000000000002E-2</v>
      </c>
      <c r="N3496">
        <v>0.11840000000000001</v>
      </c>
      <c r="O3496">
        <v>6.11E-3</v>
      </c>
      <c r="P3496" s="3">
        <f t="shared" si="216"/>
        <v>3418.5872121544012</v>
      </c>
      <c r="Q3496" s="3">
        <f t="shared" si="217"/>
        <v>-2.0101202085243131E-3</v>
      </c>
      <c r="R3496" s="3">
        <f t="shared" si="218"/>
        <v>5.3800000000000002E-3</v>
      </c>
      <c r="S3496">
        <f t="shared" si="219"/>
        <v>96</v>
      </c>
      <c r="T3496">
        <f>INDEX([1]IDEN_level_ids!$B:$B,MATCH(G3496,[1]IDEN_level_ids!$A:$A,0),1)</f>
        <v>1127</v>
      </c>
      <c r="U3496">
        <f>INDEX([1]IDEN_level_ids!$B:$B,MATCH(H3496,[1]IDEN_level_ids!$A:$A,0),1)</f>
        <v>1051</v>
      </c>
    </row>
    <row r="3497" spans="1:21" hidden="1" x14ac:dyDescent="0.25">
      <c r="A3497">
        <v>29239.608400000001</v>
      </c>
      <c r="B3497">
        <v>3420.0183999999999</v>
      </c>
      <c r="C3497">
        <v>22</v>
      </c>
      <c r="D3497" t="s">
        <v>718</v>
      </c>
      <c r="F3497">
        <v>1974</v>
      </c>
      <c r="G3497" s="1" t="s">
        <v>710</v>
      </c>
      <c r="H3497" s="1" t="s">
        <v>267</v>
      </c>
      <c r="I3497">
        <v>0</v>
      </c>
      <c r="J3497">
        <v>29239.6145</v>
      </c>
      <c r="K3497">
        <v>7.1000000000000002E-4</v>
      </c>
      <c r="L3497">
        <v>5.3899999999999998E-3</v>
      </c>
      <c r="M3497">
        <v>4.6100000000000002E-2</v>
      </c>
      <c r="N3497">
        <v>0.1027</v>
      </c>
      <c r="O3497">
        <v>6.0000000000000001E-3</v>
      </c>
      <c r="P3497" s="3">
        <f t="shared" si="216"/>
        <v>3420.0184432018591</v>
      </c>
      <c r="Q3497" s="3">
        <f t="shared" si="217"/>
        <v>7.134879465411359E-4</v>
      </c>
      <c r="R3497" s="3">
        <f t="shared" si="218"/>
        <v>5.3899999999999998E-3</v>
      </c>
      <c r="S3497">
        <f t="shared" si="219"/>
        <v>96</v>
      </c>
      <c r="T3497">
        <f>INDEX([1]IDEN_level_ids!$B:$B,MATCH(G3497,[1]IDEN_level_ids!$A:$A,0),1)</f>
        <v>1246</v>
      </c>
      <c r="U3497">
        <f>INDEX([1]IDEN_level_ids!$B:$B,MATCH(H3497,[1]IDEN_level_ids!$A:$A,0),1)</f>
        <v>1104</v>
      </c>
    </row>
    <row r="3498" spans="1:21" hidden="1" x14ac:dyDescent="0.25">
      <c r="A3498">
        <v>29230.777600000001</v>
      </c>
      <c r="B3498">
        <v>3421.0515999999998</v>
      </c>
      <c r="C3498">
        <v>22</v>
      </c>
      <c r="D3498" t="s">
        <v>718</v>
      </c>
      <c r="E3498" t="s">
        <v>678</v>
      </c>
      <c r="F3498">
        <v>1974</v>
      </c>
      <c r="G3498" s="1" t="s">
        <v>504</v>
      </c>
      <c r="H3498" s="1" t="s">
        <v>587</v>
      </c>
      <c r="I3498">
        <v>-0.87039999999999995</v>
      </c>
      <c r="J3498">
        <v>29230.837</v>
      </c>
      <c r="K3498">
        <v>6.9499999999999996E-3</v>
      </c>
      <c r="L3498">
        <v>8.5199999999999998E-3</v>
      </c>
      <c r="M3498">
        <v>7.2800000000000004E-2</v>
      </c>
      <c r="N3498">
        <v>7.0900000000000005E-2</v>
      </c>
      <c r="O3498">
        <v>9.1699999999999993E-3</v>
      </c>
      <c r="P3498" s="3">
        <f t="shared" si="216"/>
        <v>3421.0516520778428</v>
      </c>
      <c r="Q3498" s="3">
        <f t="shared" si="217"/>
        <v>6.9519209500867873E-3</v>
      </c>
      <c r="R3498" s="3">
        <f t="shared" si="218"/>
        <v>8.5199999999999998E-3</v>
      </c>
      <c r="S3498">
        <f t="shared" si="219"/>
        <v>96</v>
      </c>
      <c r="T3498">
        <f>INDEX([1]IDEN_level_ids!$B:$B,MATCH(G3498,[1]IDEN_level_ids!$A:$A,0),1)</f>
        <v>1118</v>
      </c>
      <c r="U3498">
        <f>INDEX([1]IDEN_level_ids!$B:$B,MATCH(H3498,[1]IDEN_level_ids!$A:$A,0),1)</f>
        <v>1035</v>
      </c>
    </row>
    <row r="3499" spans="1:21" hidden="1" x14ac:dyDescent="0.25">
      <c r="A3499">
        <v>29212.4022</v>
      </c>
      <c r="B3499">
        <v>3423.2035999999998</v>
      </c>
      <c r="C3499">
        <v>22</v>
      </c>
      <c r="D3499" t="s">
        <v>718</v>
      </c>
      <c r="E3499" t="s">
        <v>681</v>
      </c>
      <c r="F3499">
        <v>1974</v>
      </c>
      <c r="G3499" s="1" t="s">
        <v>329</v>
      </c>
      <c r="H3499" s="1" t="s">
        <v>396</v>
      </c>
      <c r="I3499">
        <v>0.75180000000000002</v>
      </c>
      <c r="J3499">
        <v>29212.270799999998</v>
      </c>
      <c r="K3499">
        <v>-1.54E-2</v>
      </c>
      <c r="L3499">
        <v>9.41E-3</v>
      </c>
      <c r="M3499">
        <v>8.0299999999999996E-2</v>
      </c>
      <c r="N3499">
        <v>6.6100000000000006E-2</v>
      </c>
      <c r="O3499">
        <v>1.008E-2</v>
      </c>
      <c r="P3499" s="3">
        <f t="shared" si="216"/>
        <v>3423.2035871394378</v>
      </c>
      <c r="Q3499" s="3">
        <f t="shared" si="217"/>
        <v>-1.5397945419408643E-2</v>
      </c>
      <c r="R3499" s="3">
        <f t="shared" si="218"/>
        <v>9.41E-3</v>
      </c>
      <c r="S3499">
        <f t="shared" si="219"/>
        <v>96</v>
      </c>
      <c r="T3499">
        <f>INDEX([1]IDEN_level_ids!$B:$B,MATCH(G3499,[1]IDEN_level_ids!$A:$A,0),1)</f>
        <v>1138</v>
      </c>
      <c r="U3499">
        <f>INDEX([1]IDEN_level_ids!$B:$B,MATCH(H3499,[1]IDEN_level_ids!$A:$A,0),1)</f>
        <v>1072</v>
      </c>
    </row>
    <row r="3500" spans="1:21" hidden="1" x14ac:dyDescent="0.25">
      <c r="A3500">
        <v>29179.192599999998</v>
      </c>
      <c r="B3500">
        <v>3427.0996</v>
      </c>
      <c r="C3500">
        <v>22</v>
      </c>
      <c r="D3500" t="s">
        <v>720</v>
      </c>
      <c r="F3500">
        <v>1974</v>
      </c>
      <c r="G3500" s="1" t="s">
        <v>715</v>
      </c>
      <c r="H3500" s="1" t="s">
        <v>342</v>
      </c>
      <c r="I3500">
        <v>0</v>
      </c>
      <c r="J3500">
        <v>29179.2088</v>
      </c>
      <c r="K3500">
        <v>1.89E-3</v>
      </c>
      <c r="L3500">
        <v>5.4099999999999999E-3</v>
      </c>
      <c r="M3500">
        <v>4.6100000000000002E-2</v>
      </c>
      <c r="N3500">
        <v>0.18490000000000001</v>
      </c>
      <c r="O3500">
        <v>6.6400000000000001E-3</v>
      </c>
      <c r="P3500" s="3">
        <f t="shared" si="216"/>
        <v>3427.0996244083876</v>
      </c>
      <c r="Q3500" s="3">
        <f t="shared" si="217"/>
        <v>1.9026908612431725E-3</v>
      </c>
      <c r="R3500" s="3">
        <f t="shared" si="218"/>
        <v>5.4099999999999999E-3</v>
      </c>
      <c r="S3500">
        <f t="shared" si="219"/>
        <v>97</v>
      </c>
      <c r="T3500">
        <f>INDEX([1]IDEN_level_ids!$B:$B,MATCH(G3500,[1]IDEN_level_ids!$A:$A,0),1)</f>
        <v>1249</v>
      </c>
      <c r="U3500">
        <f>INDEX([1]IDEN_level_ids!$B:$B,MATCH(H3500,[1]IDEN_level_ids!$A:$A,0),1)</f>
        <v>1119</v>
      </c>
    </row>
    <row r="3501" spans="1:21" hidden="1" x14ac:dyDescent="0.25">
      <c r="A3501">
        <v>29177.918300000001</v>
      </c>
      <c r="B3501">
        <v>3427.2492999999999</v>
      </c>
      <c r="C3501">
        <v>22</v>
      </c>
      <c r="D3501" t="s">
        <v>720</v>
      </c>
      <c r="E3501" t="s">
        <v>638</v>
      </c>
      <c r="F3501">
        <v>1974</v>
      </c>
      <c r="G3501" s="1" t="s">
        <v>279</v>
      </c>
      <c r="H3501" s="1" t="s">
        <v>410</v>
      </c>
      <c r="I3501">
        <v>7.1599999999999997E-2</v>
      </c>
      <c r="J3501">
        <v>29178.065900000001</v>
      </c>
      <c r="K3501">
        <v>1.7330000000000002E-2</v>
      </c>
      <c r="L3501">
        <v>2.0299999999999999E-2</v>
      </c>
      <c r="M3501">
        <v>0.17280000000000001</v>
      </c>
      <c r="N3501">
        <v>2.3300000000000001E-2</v>
      </c>
      <c r="O3501">
        <v>2.078E-2</v>
      </c>
      <c r="P3501" s="3">
        <f t="shared" si="216"/>
        <v>3427.2492976306676</v>
      </c>
      <c r="Q3501" s="3">
        <f t="shared" si="217"/>
        <v>1.7337064015009673E-2</v>
      </c>
      <c r="R3501" s="3">
        <f t="shared" si="218"/>
        <v>2.0299999999999999E-2</v>
      </c>
      <c r="S3501">
        <f t="shared" si="219"/>
        <v>97</v>
      </c>
      <c r="T3501">
        <f>INDEX([1]IDEN_level_ids!$B:$B,MATCH(G3501,[1]IDEN_level_ids!$A:$A,0),1)</f>
        <v>1129</v>
      </c>
      <c r="U3501">
        <f>INDEX([1]IDEN_level_ids!$B:$B,MATCH(H3501,[1]IDEN_level_ids!$A:$A,0),1)</f>
        <v>1056</v>
      </c>
    </row>
    <row r="3502" spans="1:21" hidden="1" x14ac:dyDescent="0.25">
      <c r="A3502">
        <v>29171.5219</v>
      </c>
      <c r="B3502">
        <v>3428.0007999999998</v>
      </c>
      <c r="C3502">
        <v>22</v>
      </c>
      <c r="D3502" t="s">
        <v>720</v>
      </c>
      <c r="E3502" t="s">
        <v>681</v>
      </c>
      <c r="F3502">
        <v>1974</v>
      </c>
      <c r="G3502" s="1" t="s">
        <v>443</v>
      </c>
      <c r="H3502" s="1" t="s">
        <v>386</v>
      </c>
      <c r="I3502">
        <v>0.46250000000000002</v>
      </c>
      <c r="J3502">
        <v>29171.609199999999</v>
      </c>
      <c r="K3502">
        <v>1.027E-2</v>
      </c>
      <c r="L3502">
        <v>9.4400000000000005E-3</v>
      </c>
      <c r="M3502">
        <v>8.0299999999999996E-2</v>
      </c>
      <c r="N3502">
        <v>6.0600000000000001E-2</v>
      </c>
      <c r="O3502">
        <v>1.005E-2</v>
      </c>
      <c r="P3502" s="3">
        <f t="shared" si="216"/>
        <v>3428.0007859308844</v>
      </c>
      <c r="Q3502" s="3">
        <f t="shared" si="217"/>
        <v>1.0258757635256188E-2</v>
      </c>
      <c r="R3502" s="3">
        <f t="shared" si="218"/>
        <v>9.4400000000000005E-3</v>
      </c>
      <c r="S3502">
        <f t="shared" si="219"/>
        <v>97</v>
      </c>
      <c r="T3502">
        <f>INDEX([1]IDEN_level_ids!$B:$B,MATCH(G3502,[1]IDEN_level_ids!$A:$A,0),1)</f>
        <v>1145</v>
      </c>
      <c r="U3502">
        <f>INDEX([1]IDEN_level_ids!$B:$B,MATCH(H3502,[1]IDEN_level_ids!$A:$A,0),1)</f>
        <v>1082</v>
      </c>
    </row>
    <row r="3503" spans="1:21" hidden="1" x14ac:dyDescent="0.25">
      <c r="A3503">
        <v>29164.257600000001</v>
      </c>
      <c r="B3503">
        <v>3428.8546000000001</v>
      </c>
      <c r="C3503">
        <v>22</v>
      </c>
      <c r="D3503" t="s">
        <v>720</v>
      </c>
      <c r="E3503" t="s">
        <v>638</v>
      </c>
      <c r="F3503">
        <v>1974</v>
      </c>
      <c r="G3503" s="1" t="s">
        <v>393</v>
      </c>
      <c r="H3503" s="1" t="s">
        <v>575</v>
      </c>
      <c r="I3503">
        <v>0</v>
      </c>
      <c r="J3503">
        <v>29164.133999999998</v>
      </c>
      <c r="K3503">
        <v>-1.453E-2</v>
      </c>
      <c r="L3503">
        <v>2.0320000000000001E-2</v>
      </c>
      <c r="M3503">
        <v>0.17280000000000001</v>
      </c>
      <c r="N3503">
        <v>0.19470000000000001</v>
      </c>
      <c r="O3503">
        <v>2.5229999999999999E-2</v>
      </c>
      <c r="P3503" s="3">
        <f t="shared" si="216"/>
        <v>3428.8546402086367</v>
      </c>
      <c r="Q3503" s="3">
        <f t="shared" si="217"/>
        <v>-1.4531768148572155E-2</v>
      </c>
      <c r="R3503" s="3">
        <f t="shared" si="218"/>
        <v>2.0320000000000001E-2</v>
      </c>
      <c r="S3503">
        <f t="shared" si="219"/>
        <v>97</v>
      </c>
      <c r="T3503">
        <f>INDEX([1]IDEN_level_ids!$B:$B,MATCH(G3503,[1]IDEN_level_ids!$A:$A,0),1)</f>
        <v>938</v>
      </c>
      <c r="U3503">
        <f>INDEX([1]IDEN_level_ids!$B:$B,MATCH(H3503,[1]IDEN_level_ids!$A:$A,0),1)</f>
        <v>771</v>
      </c>
    </row>
    <row r="3504" spans="1:21" hidden="1" x14ac:dyDescent="0.25">
      <c r="A3504">
        <v>29151.1276</v>
      </c>
      <c r="B3504">
        <v>3430.3989999999999</v>
      </c>
      <c r="C3504">
        <v>22</v>
      </c>
      <c r="D3504" t="s">
        <v>720</v>
      </c>
      <c r="E3504" t="s">
        <v>681</v>
      </c>
      <c r="F3504">
        <v>1974</v>
      </c>
      <c r="G3504" s="1" t="s">
        <v>282</v>
      </c>
      <c r="H3504" s="1" t="s">
        <v>410</v>
      </c>
      <c r="I3504">
        <v>0.1115</v>
      </c>
      <c r="J3504">
        <v>29151.080099999999</v>
      </c>
      <c r="K3504">
        <v>-5.5900000000000004E-3</v>
      </c>
      <c r="L3504">
        <v>9.4500000000000001E-3</v>
      </c>
      <c r="M3504">
        <v>8.0299999999999996E-2</v>
      </c>
      <c r="N3504">
        <v>3.9800000000000002E-2</v>
      </c>
      <c r="O3504">
        <v>9.8399999999999998E-3</v>
      </c>
      <c r="P3504" s="3">
        <f t="shared" si="216"/>
        <v>3430.3990354047232</v>
      </c>
      <c r="Q3504" s="3">
        <f t="shared" si="217"/>
        <v>-5.5896369403853896E-3</v>
      </c>
      <c r="R3504" s="3">
        <f t="shared" si="218"/>
        <v>9.4500000000000001E-3</v>
      </c>
      <c r="S3504">
        <f t="shared" si="219"/>
        <v>97</v>
      </c>
      <c r="T3504">
        <f>INDEX([1]IDEN_level_ids!$B:$B,MATCH(G3504,[1]IDEN_level_ids!$A:$A,0),1)</f>
        <v>1128</v>
      </c>
      <c r="U3504">
        <f>INDEX([1]IDEN_level_ids!$B:$B,MATCH(H3504,[1]IDEN_level_ids!$A:$A,0),1)</f>
        <v>1056</v>
      </c>
    </row>
    <row r="3505" spans="1:21" hidden="1" x14ac:dyDescent="0.25">
      <c r="A3505">
        <v>29144.2323</v>
      </c>
      <c r="B3505">
        <v>3431.2105999999999</v>
      </c>
      <c r="C3505">
        <v>22</v>
      </c>
      <c r="D3505" t="s">
        <v>720</v>
      </c>
      <c r="E3505" t="s">
        <v>681</v>
      </c>
      <c r="F3505">
        <v>1974</v>
      </c>
      <c r="G3505" s="1" t="s">
        <v>534</v>
      </c>
      <c r="H3505" s="1" t="s">
        <v>452</v>
      </c>
      <c r="I3505">
        <v>0.60160000000000002</v>
      </c>
      <c r="J3505">
        <v>29144.218700000001</v>
      </c>
      <c r="K3505">
        <v>-1.5900000000000001E-3</v>
      </c>
      <c r="L3505">
        <v>9.4599999999999997E-3</v>
      </c>
      <c r="M3505">
        <v>8.0299999999999996E-2</v>
      </c>
      <c r="N3505">
        <v>7.5899999999999995E-2</v>
      </c>
      <c r="O3505">
        <v>1.023E-2</v>
      </c>
      <c r="P3505" s="3">
        <f t="shared" si="216"/>
        <v>3431.2106412904209</v>
      </c>
      <c r="Q3505" s="3">
        <f t="shared" si="217"/>
        <v>-1.6011568263820664E-3</v>
      </c>
      <c r="R3505" s="3">
        <f t="shared" si="218"/>
        <v>9.4599999999999997E-3</v>
      </c>
      <c r="S3505">
        <f t="shared" si="219"/>
        <v>97</v>
      </c>
      <c r="T3505">
        <f>INDEX([1]IDEN_level_ids!$B:$B,MATCH(G3505,[1]IDEN_level_ids!$A:$A,0),1)</f>
        <v>1116</v>
      </c>
      <c r="U3505">
        <f>INDEX([1]IDEN_level_ids!$B:$B,MATCH(H3505,[1]IDEN_level_ids!$A:$A,0),1)</f>
        <v>1033</v>
      </c>
    </row>
    <row r="3506" spans="1:21" hidden="1" x14ac:dyDescent="0.25">
      <c r="A3506">
        <v>29092.238600000001</v>
      </c>
      <c r="B3506">
        <v>3437.3429000000001</v>
      </c>
      <c r="C3506">
        <v>22</v>
      </c>
      <c r="D3506" t="s">
        <v>720</v>
      </c>
      <c r="E3506" t="s">
        <v>681</v>
      </c>
      <c r="F3506">
        <v>1974</v>
      </c>
      <c r="G3506" s="1" t="s">
        <v>329</v>
      </c>
      <c r="H3506" s="1" t="s">
        <v>407</v>
      </c>
      <c r="I3506">
        <v>0.58630000000000004</v>
      </c>
      <c r="J3506">
        <v>29092.250700000001</v>
      </c>
      <c r="K3506">
        <v>1.4300000000000001E-3</v>
      </c>
      <c r="L3506">
        <v>9.4900000000000002E-3</v>
      </c>
      <c r="M3506">
        <v>8.0299999999999996E-2</v>
      </c>
      <c r="N3506">
        <v>6.0199999999999997E-2</v>
      </c>
      <c r="O3506">
        <v>1.01E-2</v>
      </c>
      <c r="P3506" s="3">
        <f t="shared" si="216"/>
        <v>3437.3429069841327</v>
      </c>
      <c r="Q3506" s="3">
        <f t="shared" si="217"/>
        <v>1.4296538829512428E-3</v>
      </c>
      <c r="R3506" s="3">
        <f t="shared" si="218"/>
        <v>9.4900000000000002E-3</v>
      </c>
      <c r="S3506">
        <f t="shared" si="219"/>
        <v>97</v>
      </c>
      <c r="T3506">
        <f>INDEX([1]IDEN_level_ids!$B:$B,MATCH(G3506,[1]IDEN_level_ids!$A:$A,0),1)</f>
        <v>1138</v>
      </c>
      <c r="U3506">
        <f>INDEX([1]IDEN_level_ids!$B:$B,MATCH(H3506,[1]IDEN_level_ids!$A:$A,0),1)</f>
        <v>1073</v>
      </c>
    </row>
    <row r="3507" spans="1:21" hidden="1" x14ac:dyDescent="0.25">
      <c r="A3507">
        <v>29056.177599999999</v>
      </c>
      <c r="B3507">
        <v>3441.6089000000002</v>
      </c>
      <c r="C3507">
        <v>22</v>
      </c>
      <c r="D3507" t="s">
        <v>720</v>
      </c>
      <c r="E3507" t="s">
        <v>681</v>
      </c>
      <c r="F3507">
        <v>1974</v>
      </c>
      <c r="G3507" s="1" t="s">
        <v>279</v>
      </c>
      <c r="H3507" s="1" t="s">
        <v>377</v>
      </c>
      <c r="I3507">
        <v>0.63800000000000001</v>
      </c>
      <c r="J3507">
        <v>29056.030299999999</v>
      </c>
      <c r="K3507">
        <v>-1.746E-2</v>
      </c>
      <c r="L3507">
        <v>9.5099999999999994E-3</v>
      </c>
      <c r="M3507">
        <v>8.0299999999999996E-2</v>
      </c>
      <c r="N3507">
        <v>5.11E-2</v>
      </c>
      <c r="O3507">
        <v>1.0019999999999999E-2</v>
      </c>
      <c r="P3507" s="3">
        <f t="shared" si="216"/>
        <v>3441.6089196811627</v>
      </c>
      <c r="Q3507" s="3">
        <f t="shared" si="217"/>
        <v>-1.7447290240397706E-2</v>
      </c>
      <c r="R3507" s="3">
        <f t="shared" si="218"/>
        <v>9.5099999999999994E-3</v>
      </c>
      <c r="S3507">
        <f t="shared" si="219"/>
        <v>97</v>
      </c>
      <c r="T3507">
        <f>INDEX([1]IDEN_level_ids!$B:$B,MATCH(G3507,[1]IDEN_level_ids!$A:$A,0),1)</f>
        <v>1129</v>
      </c>
      <c r="U3507">
        <f>INDEX([1]IDEN_level_ids!$B:$B,MATCH(H3507,[1]IDEN_level_ids!$A:$A,0),1)</f>
        <v>1057</v>
      </c>
    </row>
    <row r="3508" spans="1:21" hidden="1" x14ac:dyDescent="0.25">
      <c r="A3508">
        <v>29016.832600000002</v>
      </c>
      <c r="B3508">
        <v>3446.2755000000002</v>
      </c>
      <c r="C3508">
        <v>22</v>
      </c>
      <c r="D3508" t="s">
        <v>720</v>
      </c>
      <c r="E3508" t="s">
        <v>681</v>
      </c>
      <c r="F3508">
        <v>1974</v>
      </c>
      <c r="G3508" s="1" t="s">
        <v>492</v>
      </c>
      <c r="H3508" s="1" t="s">
        <v>401</v>
      </c>
      <c r="I3508">
        <v>0.33</v>
      </c>
      <c r="J3508">
        <v>29016.867699999999</v>
      </c>
      <c r="K3508">
        <v>4.1700000000000001E-3</v>
      </c>
      <c r="L3508">
        <v>9.5399999999999999E-3</v>
      </c>
      <c r="M3508">
        <v>8.0299999999999996E-2</v>
      </c>
      <c r="N3508">
        <v>7.7499999999999999E-2</v>
      </c>
      <c r="O3508">
        <v>1.034E-2</v>
      </c>
      <c r="P3508" s="3">
        <f t="shared" si="216"/>
        <v>3446.2755249172164</v>
      </c>
      <c r="Q3508" s="3">
        <f t="shared" si="217"/>
        <v>4.1687570196700108E-3</v>
      </c>
      <c r="R3508" s="3">
        <f t="shared" si="218"/>
        <v>9.5399999999999999E-3</v>
      </c>
      <c r="S3508">
        <f t="shared" si="219"/>
        <v>97</v>
      </c>
      <c r="T3508">
        <f>INDEX([1]IDEN_level_ids!$B:$B,MATCH(G3508,[1]IDEN_level_ids!$A:$A,0),1)</f>
        <v>1132</v>
      </c>
      <c r="U3508">
        <f>INDEX([1]IDEN_level_ids!$B:$B,MATCH(H3508,[1]IDEN_level_ids!$A:$A,0),1)</f>
        <v>1063</v>
      </c>
    </row>
    <row r="3509" spans="1:21" hidden="1" x14ac:dyDescent="0.25">
      <c r="A3509">
        <v>28982.3112</v>
      </c>
      <c r="B3509">
        <v>3450.3805000000002</v>
      </c>
      <c r="C3509">
        <v>22</v>
      </c>
      <c r="D3509" t="s">
        <v>720</v>
      </c>
      <c r="F3509">
        <v>1974</v>
      </c>
      <c r="G3509" s="1" t="s">
        <v>712</v>
      </c>
      <c r="H3509" s="1" t="s">
        <v>350</v>
      </c>
      <c r="I3509">
        <v>0</v>
      </c>
      <c r="J3509">
        <v>28982.3161</v>
      </c>
      <c r="K3509">
        <v>5.9000000000000003E-4</v>
      </c>
      <c r="L3509">
        <v>5.4799999999999996E-3</v>
      </c>
      <c r="M3509">
        <v>4.6100000000000002E-2</v>
      </c>
      <c r="N3509">
        <v>0.14269999999999999</v>
      </c>
      <c r="O3509">
        <v>6.4000000000000003E-3</v>
      </c>
      <c r="P3509" s="3">
        <f t="shared" si="216"/>
        <v>3450.3804513699379</v>
      </c>
      <c r="Q3509" s="3">
        <f t="shared" si="217"/>
        <v>5.8335103949502809E-4</v>
      </c>
      <c r="R3509" s="3">
        <f t="shared" si="218"/>
        <v>5.4799999999999996E-3</v>
      </c>
      <c r="S3509">
        <f t="shared" si="219"/>
        <v>97</v>
      </c>
      <c r="T3509">
        <f>INDEX([1]IDEN_level_ids!$B:$B,MATCH(G3509,[1]IDEN_level_ids!$A:$A,0),1)</f>
        <v>1247</v>
      </c>
      <c r="U3509">
        <f>INDEX([1]IDEN_level_ids!$B:$B,MATCH(H3509,[1]IDEN_level_ids!$A:$A,0),1)</f>
        <v>1112</v>
      </c>
    </row>
    <row r="3510" spans="1:21" hidden="1" x14ac:dyDescent="0.25">
      <c r="A3510">
        <v>28952.641</v>
      </c>
      <c r="B3510">
        <v>3453.9162999999999</v>
      </c>
      <c r="C3510">
        <v>22</v>
      </c>
      <c r="D3510" t="s">
        <v>720</v>
      </c>
      <c r="E3510" t="s">
        <v>681</v>
      </c>
      <c r="F3510">
        <v>1974</v>
      </c>
      <c r="G3510" s="1" t="s">
        <v>534</v>
      </c>
      <c r="H3510" s="1" t="s">
        <v>587</v>
      </c>
      <c r="I3510">
        <v>0.47289999999999999</v>
      </c>
      <c r="J3510">
        <v>28952.693200000002</v>
      </c>
      <c r="K3510">
        <v>6.2300000000000003E-3</v>
      </c>
      <c r="L3510">
        <v>9.58E-3</v>
      </c>
      <c r="M3510">
        <v>8.0299999999999996E-2</v>
      </c>
      <c r="N3510">
        <v>7.0499999999999993E-2</v>
      </c>
      <c r="O3510">
        <v>1.031E-2</v>
      </c>
      <c r="P3510" s="3">
        <f t="shared" si="216"/>
        <v>3453.9163456625597</v>
      </c>
      <c r="Q3510" s="3">
        <f t="shared" si="217"/>
        <v>6.2272076729641412E-3</v>
      </c>
      <c r="R3510" s="3">
        <f t="shared" si="218"/>
        <v>9.58E-3</v>
      </c>
      <c r="S3510">
        <f t="shared" si="219"/>
        <v>97</v>
      </c>
      <c r="T3510">
        <f>INDEX([1]IDEN_level_ids!$B:$B,MATCH(G3510,[1]IDEN_level_ids!$A:$A,0),1)</f>
        <v>1116</v>
      </c>
      <c r="U3510">
        <f>INDEX([1]IDEN_level_ids!$B:$B,MATCH(H3510,[1]IDEN_level_ids!$A:$A,0),1)</f>
        <v>1035</v>
      </c>
    </row>
    <row r="3511" spans="1:21" hidden="1" x14ac:dyDescent="0.25">
      <c r="A3511">
        <v>28943.2202</v>
      </c>
      <c r="B3511">
        <v>3455.0405999999998</v>
      </c>
      <c r="C3511">
        <v>22</v>
      </c>
      <c r="D3511" t="s">
        <v>720</v>
      </c>
      <c r="E3511" t="s">
        <v>678</v>
      </c>
      <c r="F3511">
        <v>1974</v>
      </c>
      <c r="G3511" s="1" t="s">
        <v>354</v>
      </c>
      <c r="H3511" s="1" t="s">
        <v>375</v>
      </c>
      <c r="I3511">
        <v>-0.52569999999999995</v>
      </c>
      <c r="J3511">
        <v>28943.181700000001</v>
      </c>
      <c r="K3511">
        <v>-4.5900000000000003E-3</v>
      </c>
      <c r="L3511">
        <v>8.6899999999999998E-3</v>
      </c>
      <c r="M3511">
        <v>7.2800000000000004E-2</v>
      </c>
      <c r="N3511">
        <v>6.7500000000000004E-2</v>
      </c>
      <c r="O3511">
        <v>9.3200000000000002E-3</v>
      </c>
      <c r="P3511" s="3">
        <f t="shared" si="216"/>
        <v>3455.0405693973194</v>
      </c>
      <c r="Q3511" s="3">
        <f t="shared" si="217"/>
        <v>-4.5958686678204685E-3</v>
      </c>
      <c r="R3511" s="3">
        <f t="shared" si="218"/>
        <v>8.6899999999999998E-3</v>
      </c>
      <c r="S3511">
        <f t="shared" si="219"/>
        <v>97</v>
      </c>
      <c r="T3511">
        <f>INDEX([1]IDEN_level_ids!$B:$B,MATCH(G3511,[1]IDEN_level_ids!$A:$A,0),1)</f>
        <v>1135</v>
      </c>
      <c r="U3511">
        <f>INDEX([1]IDEN_level_ids!$B:$B,MATCH(H3511,[1]IDEN_level_ids!$A:$A,0),1)</f>
        <v>1065</v>
      </c>
    </row>
    <row r="3512" spans="1:21" hidden="1" x14ac:dyDescent="0.25">
      <c r="A3512">
        <v>28873.1623</v>
      </c>
      <c r="B3512">
        <v>3463.4238999999998</v>
      </c>
      <c r="C3512">
        <v>22</v>
      </c>
      <c r="D3512" t="s">
        <v>720</v>
      </c>
      <c r="E3512" t="s">
        <v>681</v>
      </c>
      <c r="F3512">
        <v>1974</v>
      </c>
      <c r="G3512" s="1" t="s">
        <v>697</v>
      </c>
      <c r="H3512" s="1" t="s">
        <v>615</v>
      </c>
      <c r="I3512">
        <v>8.4199999999999997E-2</v>
      </c>
      <c r="J3512">
        <v>28873.149300000001</v>
      </c>
      <c r="K3512">
        <v>-1.5499999999999999E-3</v>
      </c>
      <c r="L3512">
        <v>9.6299999999999997E-3</v>
      </c>
      <c r="M3512">
        <v>8.0299999999999996E-2</v>
      </c>
      <c r="N3512">
        <v>0.17180000000000001</v>
      </c>
      <c r="O3512">
        <v>1.163E-2</v>
      </c>
      <c r="P3512" s="3">
        <f t="shared" si="216"/>
        <v>3463.4238868944399</v>
      </c>
      <c r="Q3512" s="3">
        <f t="shared" si="217"/>
        <v>-1.5593903544868226E-3</v>
      </c>
      <c r="R3512" s="3">
        <f t="shared" si="218"/>
        <v>9.6299999999999997E-3</v>
      </c>
      <c r="S3512">
        <f t="shared" si="219"/>
        <v>97</v>
      </c>
      <c r="T3512">
        <f>INDEX([1]IDEN_level_ids!$B:$B,MATCH(G3512,[1]IDEN_level_ids!$A:$A,0),1)</f>
        <v>1089</v>
      </c>
      <c r="U3512">
        <f>INDEX([1]IDEN_level_ids!$B:$B,MATCH(H3512,[1]IDEN_level_ids!$A:$A,0),1)</f>
        <v>962</v>
      </c>
    </row>
    <row r="3513" spans="1:21" hidden="1" x14ac:dyDescent="0.25">
      <c r="A3513">
        <v>28870.929499999998</v>
      </c>
      <c r="B3513">
        <v>3463.6916999999999</v>
      </c>
      <c r="C3513">
        <v>22</v>
      </c>
      <c r="D3513" t="s">
        <v>720</v>
      </c>
      <c r="E3513" t="s">
        <v>681</v>
      </c>
      <c r="F3513">
        <v>1974</v>
      </c>
      <c r="G3513" s="1" t="s">
        <v>687</v>
      </c>
      <c r="H3513" s="1" t="s">
        <v>482</v>
      </c>
      <c r="I3513">
        <v>0.3805</v>
      </c>
      <c r="J3513">
        <v>28870.882799999999</v>
      </c>
      <c r="K3513">
        <v>-5.6100000000000004E-3</v>
      </c>
      <c r="L3513">
        <v>9.6399999999999993E-3</v>
      </c>
      <c r="M3513">
        <v>8.0299999999999996E-2</v>
      </c>
      <c r="N3513">
        <v>0.10639999999999999</v>
      </c>
      <c r="O3513">
        <v>1.078E-2</v>
      </c>
      <c r="P3513" s="3">
        <f t="shared" si="216"/>
        <v>3463.6917387782755</v>
      </c>
      <c r="Q3513" s="3">
        <f t="shared" si="217"/>
        <v>-5.6026829979600734E-3</v>
      </c>
      <c r="R3513" s="3">
        <f t="shared" si="218"/>
        <v>9.6399999999999993E-3</v>
      </c>
      <c r="S3513">
        <f t="shared" si="219"/>
        <v>97</v>
      </c>
      <c r="T3513">
        <f>INDEX([1]IDEN_level_ids!$B:$B,MATCH(G3513,[1]IDEN_level_ids!$A:$A,0),1)</f>
        <v>1087</v>
      </c>
      <c r="U3513">
        <f>INDEX([1]IDEN_level_ids!$B:$B,MATCH(H3513,[1]IDEN_level_ids!$A:$A,0),1)</f>
        <v>957</v>
      </c>
    </row>
    <row r="3514" spans="1:21" hidden="1" x14ac:dyDescent="0.25">
      <c r="A3514">
        <v>28774.448</v>
      </c>
      <c r="B3514">
        <v>3475.3056000000001</v>
      </c>
      <c r="C3514">
        <v>22</v>
      </c>
      <c r="D3514" t="s">
        <v>721</v>
      </c>
      <c r="E3514" t="s">
        <v>681</v>
      </c>
      <c r="F3514">
        <v>1974</v>
      </c>
      <c r="G3514" s="1" t="s">
        <v>329</v>
      </c>
      <c r="H3514" s="1" t="s">
        <v>398</v>
      </c>
      <c r="I3514">
        <v>0.63370000000000004</v>
      </c>
      <c r="J3514">
        <v>28774.414100000002</v>
      </c>
      <c r="K3514">
        <v>-4.1000000000000003E-3</v>
      </c>
      <c r="L3514">
        <v>9.7000000000000003E-3</v>
      </c>
      <c r="M3514">
        <v>8.0299999999999996E-2</v>
      </c>
      <c r="N3514">
        <v>6.25E-2</v>
      </c>
      <c r="O3514">
        <v>1.035E-2</v>
      </c>
      <c r="P3514" s="3">
        <f t="shared" si="216"/>
        <v>3475.3055905711899</v>
      </c>
      <c r="Q3514" s="3">
        <f t="shared" si="217"/>
        <v>-4.0943617168522906E-3</v>
      </c>
      <c r="R3514" s="3">
        <f t="shared" si="218"/>
        <v>9.7000000000000003E-3</v>
      </c>
      <c r="S3514">
        <f t="shared" si="219"/>
        <v>98</v>
      </c>
      <c r="T3514">
        <f>INDEX([1]IDEN_level_ids!$B:$B,MATCH(G3514,[1]IDEN_level_ids!$A:$A,0),1)</f>
        <v>1138</v>
      </c>
      <c r="U3514">
        <f>INDEX([1]IDEN_level_ids!$B:$B,MATCH(H3514,[1]IDEN_level_ids!$A:$A,0),1)</f>
        <v>1075</v>
      </c>
    </row>
    <row r="3515" spans="1:21" hidden="1" x14ac:dyDescent="0.25">
      <c r="A3515">
        <v>28767.907299999999</v>
      </c>
      <c r="B3515">
        <v>3476.0956999999999</v>
      </c>
      <c r="C3515">
        <v>22</v>
      </c>
      <c r="D3515" t="s">
        <v>721</v>
      </c>
      <c r="E3515" t="s">
        <v>678</v>
      </c>
      <c r="F3515">
        <v>1974</v>
      </c>
      <c r="G3515" s="1" t="s">
        <v>354</v>
      </c>
      <c r="H3515" s="1" t="s">
        <v>448</v>
      </c>
      <c r="I3515">
        <v>-0.51749999999999996</v>
      </c>
      <c r="J3515">
        <v>28767.8498</v>
      </c>
      <c r="K3515">
        <v>-6.96E-3</v>
      </c>
      <c r="L3515">
        <v>8.8000000000000005E-3</v>
      </c>
      <c r="M3515">
        <v>7.2800000000000004E-2</v>
      </c>
      <c r="N3515">
        <v>6.8500000000000005E-2</v>
      </c>
      <c r="O3515">
        <v>9.4500000000000001E-3</v>
      </c>
      <c r="P3515" s="3">
        <f t="shared" si="216"/>
        <v>3476.0957395048335</v>
      </c>
      <c r="Q3515" s="3">
        <f t="shared" si="217"/>
        <v>-6.9478778013944975E-3</v>
      </c>
      <c r="R3515" s="3">
        <f t="shared" si="218"/>
        <v>8.8000000000000005E-3</v>
      </c>
      <c r="S3515">
        <f t="shared" si="219"/>
        <v>98</v>
      </c>
      <c r="T3515">
        <f>INDEX([1]IDEN_level_ids!$B:$B,MATCH(G3515,[1]IDEN_level_ids!$A:$A,0),1)</f>
        <v>1135</v>
      </c>
      <c r="U3515">
        <f>INDEX([1]IDEN_level_ids!$B:$B,MATCH(H3515,[1]IDEN_level_ids!$A:$A,0),1)</f>
        <v>1067</v>
      </c>
    </row>
    <row r="3516" spans="1:21" hidden="1" x14ac:dyDescent="0.25">
      <c r="A3516">
        <v>28744.182199999999</v>
      </c>
      <c r="B3516">
        <v>3478.9648999999999</v>
      </c>
      <c r="C3516">
        <v>22</v>
      </c>
      <c r="D3516" t="s">
        <v>721</v>
      </c>
      <c r="F3516">
        <v>1974</v>
      </c>
      <c r="G3516" s="1" t="s">
        <v>275</v>
      </c>
      <c r="H3516" s="1" t="s">
        <v>375</v>
      </c>
      <c r="I3516">
        <v>0.28789999999999999</v>
      </c>
      <c r="J3516">
        <v>28744.1718</v>
      </c>
      <c r="K3516">
        <v>-1.2600000000000001E-3</v>
      </c>
      <c r="L3516">
        <v>5.5799999999999999E-3</v>
      </c>
      <c r="M3516">
        <v>4.6100000000000002E-2</v>
      </c>
      <c r="N3516">
        <v>7.1800000000000003E-2</v>
      </c>
      <c r="O3516">
        <v>6.0099999999999997E-3</v>
      </c>
      <c r="P3516" s="3">
        <f t="shared" si="216"/>
        <v>3478.9648668452987</v>
      </c>
      <c r="Q3516" s="3">
        <f t="shared" si="217"/>
        <v>-1.2587328960762534E-3</v>
      </c>
      <c r="R3516" s="3">
        <f t="shared" si="218"/>
        <v>5.5799999999999999E-3</v>
      </c>
      <c r="S3516">
        <f t="shared" si="219"/>
        <v>98</v>
      </c>
      <c r="T3516">
        <f>INDEX([1]IDEN_level_ids!$B:$B,MATCH(G3516,[1]IDEN_level_ids!$A:$A,0),1)</f>
        <v>1134</v>
      </c>
      <c r="U3516">
        <f>INDEX([1]IDEN_level_ids!$B:$B,MATCH(H3516,[1]IDEN_level_ids!$A:$A,0),1)</f>
        <v>1065</v>
      </c>
    </row>
    <row r="3517" spans="1:21" hidden="1" x14ac:dyDescent="0.25">
      <c r="A3517">
        <v>28718.488700000002</v>
      </c>
      <c r="B3517">
        <v>3482.0774000000001</v>
      </c>
      <c r="C3517">
        <v>22</v>
      </c>
      <c r="D3517" t="s">
        <v>721</v>
      </c>
      <c r="E3517" t="s">
        <v>678</v>
      </c>
      <c r="F3517">
        <v>1974</v>
      </c>
      <c r="G3517" s="1" t="s">
        <v>597</v>
      </c>
      <c r="H3517" s="1" t="s">
        <v>490</v>
      </c>
      <c r="I3517">
        <v>-1.1802999999999999</v>
      </c>
      <c r="J3517">
        <v>28718.4156</v>
      </c>
      <c r="K3517">
        <v>-8.8699999999999994E-3</v>
      </c>
      <c r="L3517">
        <v>8.8299999999999993E-3</v>
      </c>
      <c r="M3517">
        <v>7.2800000000000004E-2</v>
      </c>
      <c r="N3517">
        <v>0.39760000000000001</v>
      </c>
      <c r="O3517">
        <v>1.4659999999999999E-2</v>
      </c>
      <c r="P3517" s="3">
        <f t="shared" si="216"/>
        <v>3482.0773838283485</v>
      </c>
      <c r="Q3517" s="3">
        <f t="shared" si="217"/>
        <v>-8.8632973461244546E-3</v>
      </c>
      <c r="R3517" s="3">
        <f t="shared" si="218"/>
        <v>8.8299999999999993E-3</v>
      </c>
      <c r="S3517">
        <f t="shared" si="219"/>
        <v>98</v>
      </c>
      <c r="T3517">
        <f>INDEX([1]IDEN_level_ids!$B:$B,MATCH(G3517,[1]IDEN_level_ids!$A:$A,0),1)</f>
        <v>1090</v>
      </c>
      <c r="U3517">
        <f>INDEX([1]IDEN_level_ids!$B:$B,MATCH(H3517,[1]IDEN_level_ids!$A:$A,0),1)</f>
        <v>965</v>
      </c>
    </row>
    <row r="3518" spans="1:21" hidden="1" x14ac:dyDescent="0.25">
      <c r="A3518">
        <v>28701.018499999998</v>
      </c>
      <c r="B3518">
        <v>3484.1968999999999</v>
      </c>
      <c r="C3518">
        <v>22</v>
      </c>
      <c r="D3518" t="s">
        <v>721</v>
      </c>
      <c r="F3518">
        <v>1974</v>
      </c>
      <c r="G3518" s="1" t="s">
        <v>172</v>
      </c>
      <c r="H3518" s="1" t="s">
        <v>413</v>
      </c>
      <c r="I3518">
        <v>6.4600000000000005E-2</v>
      </c>
      <c r="J3518">
        <v>28701.008900000001</v>
      </c>
      <c r="K3518">
        <v>-1.17E-3</v>
      </c>
      <c r="L3518">
        <v>5.5900000000000004E-3</v>
      </c>
      <c r="M3518">
        <v>4.6100000000000002E-2</v>
      </c>
      <c r="N3518">
        <v>0.10150000000000001</v>
      </c>
      <c r="O3518">
        <v>6.2199999999999998E-3</v>
      </c>
      <c r="P3518" s="3">
        <f t="shared" si="216"/>
        <v>3484.1969109911556</v>
      </c>
      <c r="Q3518" s="3">
        <f t="shared" si="217"/>
        <v>-1.1654046884359559E-3</v>
      </c>
      <c r="R3518" s="3">
        <f t="shared" si="218"/>
        <v>5.5900000000000004E-3</v>
      </c>
      <c r="S3518">
        <f t="shared" si="219"/>
        <v>98</v>
      </c>
      <c r="T3518">
        <f>INDEX([1]IDEN_level_ids!$B:$B,MATCH(G3518,[1]IDEN_level_ids!$A:$A,0),1)</f>
        <v>1136</v>
      </c>
      <c r="U3518">
        <f>INDEX([1]IDEN_level_ids!$B:$B,MATCH(H3518,[1]IDEN_level_ids!$A:$A,0),1)</f>
        <v>1071</v>
      </c>
    </row>
    <row r="3519" spans="1:21" hidden="1" x14ac:dyDescent="0.25">
      <c r="A3519">
        <v>28654.972699999998</v>
      </c>
      <c r="B3519">
        <v>3489.7957000000001</v>
      </c>
      <c r="C3519">
        <v>22</v>
      </c>
      <c r="D3519" t="s">
        <v>721</v>
      </c>
      <c r="F3519">
        <v>1974</v>
      </c>
      <c r="G3519" s="1" t="s">
        <v>255</v>
      </c>
      <c r="H3519" s="1" t="s">
        <v>587</v>
      </c>
      <c r="I3519">
        <v>0.13569999999999999</v>
      </c>
      <c r="J3519">
        <v>28654.9401</v>
      </c>
      <c r="K3519">
        <v>-3.9699999999999996E-3</v>
      </c>
      <c r="L3519">
        <v>5.6100000000000004E-3</v>
      </c>
      <c r="M3519">
        <v>4.6100000000000002E-2</v>
      </c>
      <c r="N3519">
        <v>0.1158</v>
      </c>
      <c r="O3519">
        <v>6.3400000000000001E-3</v>
      </c>
      <c r="P3519" s="3">
        <f t="shared" si="216"/>
        <v>3489.7956821295456</v>
      </c>
      <c r="Q3519" s="3">
        <f t="shared" si="217"/>
        <v>-3.9702522090010461E-3</v>
      </c>
      <c r="R3519" s="3">
        <f t="shared" si="218"/>
        <v>5.6100000000000004E-3</v>
      </c>
      <c r="S3519">
        <f t="shared" si="219"/>
        <v>98</v>
      </c>
      <c r="T3519">
        <f>INDEX([1]IDEN_level_ids!$B:$B,MATCH(G3519,[1]IDEN_level_ids!$A:$A,0),1)</f>
        <v>1111</v>
      </c>
      <c r="U3519">
        <f>INDEX([1]IDEN_level_ids!$B:$B,MATCH(H3519,[1]IDEN_level_ids!$A:$A,0),1)</f>
        <v>1035</v>
      </c>
    </row>
    <row r="3520" spans="1:21" hidden="1" x14ac:dyDescent="0.25">
      <c r="A3520">
        <v>28599.497200000002</v>
      </c>
      <c r="B3520">
        <v>3496.5650000000001</v>
      </c>
      <c r="C3520">
        <v>22</v>
      </c>
      <c r="D3520" t="s">
        <v>721</v>
      </c>
      <c r="E3520" t="s">
        <v>638</v>
      </c>
      <c r="F3520">
        <v>1974</v>
      </c>
      <c r="G3520" s="1" t="s">
        <v>279</v>
      </c>
      <c r="H3520" s="1" t="s">
        <v>401</v>
      </c>
      <c r="I3520">
        <v>6.4600000000000005E-2</v>
      </c>
      <c r="J3520">
        <v>28599.6283</v>
      </c>
      <c r="K3520">
        <v>1.6039999999999999E-2</v>
      </c>
      <c r="L3520">
        <v>2.1129999999999999E-2</v>
      </c>
      <c r="M3520">
        <v>0.17280000000000001</v>
      </c>
      <c r="N3520">
        <v>1.9800000000000002E-2</v>
      </c>
      <c r="O3520">
        <v>2.1559999999999999E-2</v>
      </c>
      <c r="P3520" s="3">
        <f t="shared" si="216"/>
        <v>3496.5649675827167</v>
      </c>
      <c r="Q3520" s="3">
        <f t="shared" si="217"/>
        <v>1.6028168703542178E-2</v>
      </c>
      <c r="R3520" s="3">
        <f t="shared" si="218"/>
        <v>2.1129999999999999E-2</v>
      </c>
      <c r="S3520">
        <f t="shared" si="219"/>
        <v>98</v>
      </c>
      <c r="T3520">
        <f>INDEX([1]IDEN_level_ids!$B:$B,MATCH(G3520,[1]IDEN_level_ids!$A:$A,0),1)</f>
        <v>1129</v>
      </c>
      <c r="U3520">
        <f>INDEX([1]IDEN_level_ids!$B:$B,MATCH(H3520,[1]IDEN_level_ids!$A:$A,0),1)</f>
        <v>1063</v>
      </c>
    </row>
    <row r="3521" spans="1:21" hidden="1" x14ac:dyDescent="0.25">
      <c r="A3521">
        <v>28596.221799999999</v>
      </c>
      <c r="B3521">
        <v>3496.9654999999998</v>
      </c>
      <c r="C3521">
        <v>22</v>
      </c>
      <c r="D3521" t="s">
        <v>721</v>
      </c>
      <c r="E3521" t="s">
        <v>638</v>
      </c>
      <c r="F3521">
        <v>1974</v>
      </c>
      <c r="G3521" s="1" t="s">
        <v>329</v>
      </c>
      <c r="H3521" s="1" t="s">
        <v>464</v>
      </c>
      <c r="I3521">
        <v>5.3999999999999999E-2</v>
      </c>
      <c r="J3521">
        <v>28595.992200000001</v>
      </c>
      <c r="K3521">
        <v>-2.8080000000000001E-2</v>
      </c>
      <c r="L3521">
        <v>2.1129999999999999E-2</v>
      </c>
      <c r="M3521">
        <v>0.17280000000000001</v>
      </c>
      <c r="N3521">
        <v>2.2499999999999999E-2</v>
      </c>
      <c r="O3521">
        <v>2.162E-2</v>
      </c>
      <c r="P3521" s="3">
        <f t="shared" si="216"/>
        <v>3496.9654627591399</v>
      </c>
      <c r="Q3521" s="3">
        <f t="shared" si="217"/>
        <v>-2.8077475494683313E-2</v>
      </c>
      <c r="R3521" s="3">
        <f t="shared" si="218"/>
        <v>2.1129999999999999E-2</v>
      </c>
      <c r="S3521">
        <f t="shared" si="219"/>
        <v>98</v>
      </c>
      <c r="T3521">
        <f>INDEX([1]IDEN_level_ids!$B:$B,MATCH(G3521,[1]IDEN_level_ids!$A:$A,0),1)</f>
        <v>1138</v>
      </c>
      <c r="U3521">
        <f>INDEX([1]IDEN_level_ids!$B:$B,MATCH(H3521,[1]IDEN_level_ids!$A:$A,0),1)</f>
        <v>1076</v>
      </c>
    </row>
    <row r="3522" spans="1:21" hidden="1" x14ac:dyDescent="0.25">
      <c r="A3522">
        <v>28568.862499999999</v>
      </c>
      <c r="B3522">
        <v>3500.3144000000002</v>
      </c>
      <c r="C3522">
        <v>22</v>
      </c>
      <c r="D3522" t="s">
        <v>721</v>
      </c>
      <c r="F3522">
        <v>1974</v>
      </c>
      <c r="G3522" s="1" t="s">
        <v>275</v>
      </c>
      <c r="H3522" s="1" t="s">
        <v>448</v>
      </c>
      <c r="I3522">
        <v>0.29559999999999997</v>
      </c>
      <c r="J3522">
        <v>28568.8393</v>
      </c>
      <c r="K3522">
        <v>-2.8400000000000001E-3</v>
      </c>
      <c r="L3522">
        <v>5.64E-3</v>
      </c>
      <c r="M3522">
        <v>4.6100000000000002E-2</v>
      </c>
      <c r="N3522">
        <v>7.51E-2</v>
      </c>
      <c r="O3522">
        <v>6.1000000000000004E-3</v>
      </c>
      <c r="P3522" s="3">
        <f t="shared" ref="P3522:P3585" si="220">100000000/$A3522</f>
        <v>3500.3143719845339</v>
      </c>
      <c r="Q3522" s="3">
        <f t="shared" ref="Q3522:Q3585" si="221">100000000/($A3522)-100000000/$J3522</f>
        <v>-2.8425128712115111E-3</v>
      </c>
      <c r="R3522" s="3">
        <f t="shared" si="218"/>
        <v>5.64E-3</v>
      </c>
      <c r="S3522">
        <f t="shared" si="219"/>
        <v>98</v>
      </c>
      <c r="T3522">
        <f>INDEX([1]IDEN_level_ids!$B:$B,MATCH(G3522,[1]IDEN_level_ids!$A:$A,0),1)</f>
        <v>1134</v>
      </c>
      <c r="U3522">
        <f>INDEX([1]IDEN_level_ids!$B:$B,MATCH(H3522,[1]IDEN_level_ids!$A:$A,0),1)</f>
        <v>1067</v>
      </c>
    </row>
    <row r="3523" spans="1:21" hidden="1" x14ac:dyDescent="0.25">
      <c r="A3523">
        <v>28504.368999999999</v>
      </c>
      <c r="B3523">
        <v>3508.2341000000001</v>
      </c>
      <c r="C3523">
        <v>22</v>
      </c>
      <c r="D3523" t="s">
        <v>721</v>
      </c>
      <c r="F3523">
        <v>1974</v>
      </c>
      <c r="G3523" s="1" t="s">
        <v>273</v>
      </c>
      <c r="H3523" s="1" t="s">
        <v>540</v>
      </c>
      <c r="I3523">
        <v>0.34399999999999997</v>
      </c>
      <c r="J3523">
        <v>28504.334800000001</v>
      </c>
      <c r="K3523">
        <v>-4.1999999999999997E-3</v>
      </c>
      <c r="L3523">
        <v>5.6699999999999997E-3</v>
      </c>
      <c r="M3523">
        <v>4.6100000000000002E-2</v>
      </c>
      <c r="N3523">
        <v>9.7600000000000006E-2</v>
      </c>
      <c r="O3523">
        <v>6.28E-3</v>
      </c>
      <c r="P3523" s="3">
        <f t="shared" si="220"/>
        <v>3508.2341236881971</v>
      </c>
      <c r="Q3523" s="3">
        <f t="shared" si="221"/>
        <v>-4.2092407297786849E-3</v>
      </c>
      <c r="R3523" s="3">
        <f t="shared" ref="R3523:R3586" si="222">$L3523</f>
        <v>5.6699999999999997E-3</v>
      </c>
      <c r="S3523">
        <f t="shared" si="219"/>
        <v>98</v>
      </c>
      <c r="T3523">
        <f>INDEX([1]IDEN_level_ids!$B:$B,MATCH(G3523,[1]IDEN_level_ids!$A:$A,0),1)</f>
        <v>1105</v>
      </c>
      <c r="U3523">
        <f>INDEX([1]IDEN_level_ids!$B:$B,MATCH(H3523,[1]IDEN_level_ids!$A:$A,0),1)</f>
        <v>1027</v>
      </c>
    </row>
    <row r="3524" spans="1:21" hidden="1" x14ac:dyDescent="0.25">
      <c r="A3524">
        <v>28488.847600000001</v>
      </c>
      <c r="B3524">
        <v>3510.1455000000001</v>
      </c>
      <c r="C3524">
        <v>22</v>
      </c>
      <c r="D3524" t="s">
        <v>721</v>
      </c>
      <c r="E3524" t="s">
        <v>681</v>
      </c>
      <c r="F3524">
        <v>1974</v>
      </c>
      <c r="G3524" s="1" t="s">
        <v>695</v>
      </c>
      <c r="H3524" s="1" t="s">
        <v>491</v>
      </c>
      <c r="I3524">
        <v>0.23449999999999999</v>
      </c>
      <c r="J3524">
        <v>28488.802800000001</v>
      </c>
      <c r="K3524">
        <v>-5.5100000000000001E-3</v>
      </c>
      <c r="L3524">
        <v>9.9000000000000008E-3</v>
      </c>
      <c r="M3524">
        <v>8.0299999999999996E-2</v>
      </c>
      <c r="N3524">
        <v>0.14299999999999999</v>
      </c>
      <c r="O3524">
        <v>1.155E-2</v>
      </c>
      <c r="P3524" s="3">
        <f t="shared" si="220"/>
        <v>3510.1454928629687</v>
      </c>
      <c r="Q3524" s="3">
        <f t="shared" si="221"/>
        <v>-5.5198710588229005E-3</v>
      </c>
      <c r="R3524" s="3">
        <f t="shared" si="222"/>
        <v>9.9000000000000008E-3</v>
      </c>
      <c r="S3524">
        <f t="shared" ref="S3524:S3587" si="223">IF(D3524=D3523,S3523,S3523+1)</f>
        <v>98</v>
      </c>
      <c r="T3524">
        <f>INDEX([1]IDEN_level_ids!$B:$B,MATCH(G3524,[1]IDEN_level_ids!$A:$A,0),1)</f>
        <v>1091</v>
      </c>
      <c r="U3524">
        <f>INDEX([1]IDEN_level_ids!$B:$B,MATCH(H3524,[1]IDEN_level_ids!$A:$A,0),1)</f>
        <v>967</v>
      </c>
    </row>
    <row r="3525" spans="1:21" hidden="1" x14ac:dyDescent="0.25">
      <c r="A3525">
        <v>28470.828099999999</v>
      </c>
      <c r="B3525">
        <v>3512.3670999999999</v>
      </c>
      <c r="C3525">
        <v>22</v>
      </c>
      <c r="D3525" t="s">
        <v>721</v>
      </c>
      <c r="F3525">
        <v>1974</v>
      </c>
      <c r="G3525" s="1" t="s">
        <v>345</v>
      </c>
      <c r="H3525" s="1" t="s">
        <v>617</v>
      </c>
      <c r="I3525">
        <v>0</v>
      </c>
      <c r="J3525">
        <v>28470.805100000001</v>
      </c>
      <c r="K3525">
        <v>-2.8300000000000001E-3</v>
      </c>
      <c r="L3525">
        <v>5.6800000000000002E-3</v>
      </c>
      <c r="M3525">
        <v>4.6100000000000002E-2</v>
      </c>
      <c r="N3525">
        <v>0.1835</v>
      </c>
      <c r="O3525">
        <v>6.96E-3</v>
      </c>
      <c r="P3525" s="3">
        <f t="shared" si="220"/>
        <v>3512.3671025220374</v>
      </c>
      <c r="Q3525" s="3">
        <f t="shared" si="221"/>
        <v>-2.8374485045787878E-3</v>
      </c>
      <c r="R3525" s="3">
        <f t="shared" si="222"/>
        <v>5.6800000000000002E-3</v>
      </c>
      <c r="S3525">
        <f t="shared" si="223"/>
        <v>98</v>
      </c>
      <c r="T3525">
        <f>INDEX([1]IDEN_level_ids!$B:$B,MATCH(G3525,[1]IDEN_level_ids!$A:$A,0),1)</f>
        <v>1106</v>
      </c>
      <c r="U3525">
        <f>INDEX([1]IDEN_level_ids!$B:$B,MATCH(H3525,[1]IDEN_level_ids!$A:$A,0),1)</f>
        <v>1018</v>
      </c>
    </row>
    <row r="3526" spans="1:21" hidden="1" x14ac:dyDescent="0.25">
      <c r="A3526">
        <v>28461.552599999999</v>
      </c>
      <c r="B3526">
        <v>3513.5118000000002</v>
      </c>
      <c r="C3526">
        <v>22</v>
      </c>
      <c r="D3526" t="s">
        <v>721</v>
      </c>
      <c r="E3526" t="s">
        <v>427</v>
      </c>
      <c r="F3526">
        <v>1974</v>
      </c>
      <c r="G3526" s="1" t="s">
        <v>273</v>
      </c>
      <c r="H3526" s="1" t="s">
        <v>541</v>
      </c>
      <c r="I3526">
        <v>0</v>
      </c>
      <c r="J3526">
        <v>28461.534899999999</v>
      </c>
      <c r="K3526">
        <v>-2.1800000000000001E-3</v>
      </c>
      <c r="L3526">
        <v>6.0200000000000002E-3</v>
      </c>
      <c r="M3526">
        <v>4.87E-2</v>
      </c>
      <c r="N3526">
        <v>0.14749999999999999</v>
      </c>
      <c r="O3526">
        <v>7.0600000000000003E-3</v>
      </c>
      <c r="P3526" s="3">
        <f t="shared" si="220"/>
        <v>3513.5117681528027</v>
      </c>
      <c r="Q3526" s="3">
        <f t="shared" si="221"/>
        <v>-2.1850247544534795E-3</v>
      </c>
      <c r="R3526" s="3">
        <f t="shared" si="222"/>
        <v>6.0200000000000002E-3</v>
      </c>
      <c r="S3526">
        <f t="shared" si="223"/>
        <v>98</v>
      </c>
      <c r="T3526">
        <f>INDEX([1]IDEN_level_ids!$B:$B,MATCH(G3526,[1]IDEN_level_ids!$A:$A,0),1)</f>
        <v>1105</v>
      </c>
      <c r="U3526">
        <f>INDEX([1]IDEN_level_ids!$B:$B,MATCH(H3526,[1]IDEN_level_ids!$A:$A,0),1)</f>
        <v>1028</v>
      </c>
    </row>
    <row r="3527" spans="1:21" hidden="1" x14ac:dyDescent="0.25">
      <c r="A3527">
        <v>28434.460299999999</v>
      </c>
      <c r="B3527">
        <v>3516.8593999999998</v>
      </c>
      <c r="C3527">
        <v>22</v>
      </c>
      <c r="D3527" t="s">
        <v>721</v>
      </c>
      <c r="E3527" t="s">
        <v>681</v>
      </c>
      <c r="F3527">
        <v>1974</v>
      </c>
      <c r="G3527" s="1" t="s">
        <v>279</v>
      </c>
      <c r="H3527" s="1" t="s">
        <v>431</v>
      </c>
      <c r="I3527">
        <v>0.58199999999999996</v>
      </c>
      <c r="J3527">
        <v>28434.504400000002</v>
      </c>
      <c r="K3527">
        <v>5.45E-3</v>
      </c>
      <c r="L3527">
        <v>9.9299999999999996E-3</v>
      </c>
      <c r="M3527">
        <v>8.0299999999999996E-2</v>
      </c>
      <c r="N3527">
        <v>5.3199999999999997E-2</v>
      </c>
      <c r="O3527">
        <v>1.0489999999999999E-2</v>
      </c>
      <c r="P3527" s="3">
        <f t="shared" si="220"/>
        <v>3516.8594355209198</v>
      </c>
      <c r="Q3527" s="3">
        <f t="shared" si="221"/>
        <v>5.4544119684578618E-3</v>
      </c>
      <c r="R3527" s="3">
        <f t="shared" si="222"/>
        <v>9.9299999999999996E-3</v>
      </c>
      <c r="S3527">
        <f t="shared" si="223"/>
        <v>98</v>
      </c>
      <c r="T3527">
        <f>INDEX([1]IDEN_level_ids!$B:$B,MATCH(G3527,[1]IDEN_level_ids!$A:$A,0),1)</f>
        <v>1129</v>
      </c>
      <c r="U3527">
        <f>INDEX([1]IDEN_level_ids!$B:$B,MATCH(H3527,[1]IDEN_level_ids!$A:$A,0),1)</f>
        <v>1062</v>
      </c>
    </row>
    <row r="3528" spans="1:21" hidden="1" x14ac:dyDescent="0.25">
      <c r="A3528">
        <v>28420.992099999999</v>
      </c>
      <c r="B3528">
        <v>3518.5259999999998</v>
      </c>
      <c r="C3528">
        <v>22</v>
      </c>
      <c r="D3528" t="s">
        <v>721</v>
      </c>
      <c r="F3528">
        <v>1974</v>
      </c>
      <c r="G3528" s="1" t="s">
        <v>334</v>
      </c>
      <c r="H3528" s="1" t="s">
        <v>593</v>
      </c>
      <c r="I3528">
        <v>0</v>
      </c>
      <c r="J3528">
        <v>28420.9712</v>
      </c>
      <c r="K3528">
        <v>-2.5799999999999998E-3</v>
      </c>
      <c r="L3528">
        <v>5.7000000000000002E-3</v>
      </c>
      <c r="M3528">
        <v>4.6100000000000002E-2</v>
      </c>
      <c r="N3528">
        <v>0.1961</v>
      </c>
      <c r="O3528">
        <v>7.0899999999999999E-3</v>
      </c>
      <c r="P3528" s="3">
        <f t="shared" si="220"/>
        <v>3518.5260123273461</v>
      </c>
      <c r="Q3528" s="3">
        <f t="shared" si="221"/>
        <v>-2.5874271900647727E-3</v>
      </c>
      <c r="R3528" s="3">
        <f t="shared" si="222"/>
        <v>5.7000000000000002E-3</v>
      </c>
      <c r="S3528">
        <f t="shared" si="223"/>
        <v>98</v>
      </c>
      <c r="T3528">
        <f>INDEX([1]IDEN_level_ids!$B:$B,MATCH(G3528,[1]IDEN_level_ids!$A:$A,0),1)</f>
        <v>1124</v>
      </c>
      <c r="U3528">
        <f>INDEX([1]IDEN_level_ids!$B:$B,MATCH(H3528,[1]IDEN_level_ids!$A:$A,0),1)</f>
        <v>1059</v>
      </c>
    </row>
    <row r="3529" spans="1:21" hidden="1" x14ac:dyDescent="0.25">
      <c r="A3529">
        <v>28384.5605</v>
      </c>
      <c r="B3529">
        <v>3523.0419999999999</v>
      </c>
      <c r="C3529">
        <v>22</v>
      </c>
      <c r="D3529" t="s">
        <v>721</v>
      </c>
      <c r="E3529" t="s">
        <v>681</v>
      </c>
      <c r="F3529">
        <v>1974</v>
      </c>
      <c r="G3529" s="1" t="s">
        <v>492</v>
      </c>
      <c r="H3529" s="1" t="s">
        <v>375</v>
      </c>
      <c r="I3529">
        <v>0.56399999999999995</v>
      </c>
      <c r="J3529">
        <v>28384.494500000001</v>
      </c>
      <c r="K3529">
        <v>-8.1899999999999994E-3</v>
      </c>
      <c r="L3529">
        <v>9.9699999999999997E-3</v>
      </c>
      <c r="M3529">
        <v>8.0299999999999996E-2</v>
      </c>
      <c r="N3529">
        <v>7.6300000000000007E-2</v>
      </c>
      <c r="O3529">
        <v>1.0789999999999999E-2</v>
      </c>
      <c r="P3529" s="3">
        <f t="shared" si="220"/>
        <v>3523.042042521673</v>
      </c>
      <c r="Q3529" s="3">
        <f t="shared" si="221"/>
        <v>-8.191823701508838E-3</v>
      </c>
      <c r="R3529" s="3">
        <f t="shared" si="222"/>
        <v>9.9699999999999997E-3</v>
      </c>
      <c r="S3529">
        <f t="shared" si="223"/>
        <v>98</v>
      </c>
      <c r="T3529">
        <f>INDEX([1]IDEN_level_ids!$B:$B,MATCH(G3529,[1]IDEN_level_ids!$A:$A,0),1)</f>
        <v>1132</v>
      </c>
      <c r="U3529">
        <f>INDEX([1]IDEN_level_ids!$B:$B,MATCH(H3529,[1]IDEN_level_ids!$A:$A,0),1)</f>
        <v>1065</v>
      </c>
    </row>
    <row r="3530" spans="1:21" hidden="1" x14ac:dyDescent="0.25">
      <c r="A3530">
        <v>28379.727699999999</v>
      </c>
      <c r="B3530">
        <v>3523.6419999999998</v>
      </c>
      <c r="C3530">
        <v>22</v>
      </c>
      <c r="D3530" t="s">
        <v>721</v>
      </c>
      <c r="E3530" t="s">
        <v>681</v>
      </c>
      <c r="F3530">
        <v>1974</v>
      </c>
      <c r="G3530" s="1" t="s">
        <v>515</v>
      </c>
      <c r="H3530" s="1" t="s">
        <v>453</v>
      </c>
      <c r="I3530">
        <v>0.5837</v>
      </c>
      <c r="J3530">
        <v>28379.6276</v>
      </c>
      <c r="K3530">
        <v>-1.243E-2</v>
      </c>
      <c r="L3530">
        <v>9.9699999999999997E-3</v>
      </c>
      <c r="M3530">
        <v>8.0299999999999996E-2</v>
      </c>
      <c r="N3530">
        <v>0.10920000000000001</v>
      </c>
      <c r="O3530">
        <v>1.119E-2</v>
      </c>
      <c r="P3530" s="3">
        <f t="shared" si="220"/>
        <v>3523.6419833584241</v>
      </c>
      <c r="Q3530" s="3">
        <f t="shared" si="221"/>
        <v>-1.2428512716724072E-2</v>
      </c>
      <c r="R3530" s="3">
        <f t="shared" si="222"/>
        <v>9.9699999999999997E-3</v>
      </c>
      <c r="S3530">
        <f t="shared" si="223"/>
        <v>98</v>
      </c>
      <c r="T3530">
        <f>INDEX([1]IDEN_level_ids!$B:$B,MATCH(G3530,[1]IDEN_level_ids!$A:$A,0),1)</f>
        <v>1140</v>
      </c>
      <c r="U3530">
        <f>INDEX([1]IDEN_level_ids!$B:$B,MATCH(H3530,[1]IDEN_level_ids!$A:$A,0),1)</f>
        <v>1078</v>
      </c>
    </row>
    <row r="3531" spans="1:21" hidden="1" x14ac:dyDescent="0.25">
      <c r="A3531">
        <v>28304.782999999999</v>
      </c>
      <c r="B3531">
        <v>3532.9717999999998</v>
      </c>
      <c r="C3531">
        <v>22</v>
      </c>
      <c r="D3531" t="s">
        <v>722</v>
      </c>
      <c r="E3531" t="s">
        <v>427</v>
      </c>
      <c r="F3531">
        <v>1974</v>
      </c>
      <c r="G3531" s="1" t="s">
        <v>83</v>
      </c>
      <c r="H3531" s="1" t="s">
        <v>327</v>
      </c>
      <c r="I3531">
        <v>0</v>
      </c>
      <c r="J3531">
        <v>28304.794300000001</v>
      </c>
      <c r="K3531">
        <v>1.42E-3</v>
      </c>
      <c r="L3531">
        <v>6.0800000000000003E-3</v>
      </c>
      <c r="M3531">
        <v>4.87E-2</v>
      </c>
      <c r="N3531">
        <v>0.1356</v>
      </c>
      <c r="O3531">
        <v>7.0400000000000003E-3</v>
      </c>
      <c r="P3531" s="3">
        <f t="shared" si="220"/>
        <v>3532.9717949083024</v>
      </c>
      <c r="Q3531" s="3">
        <f t="shared" si="221"/>
        <v>1.4104529736869154E-3</v>
      </c>
      <c r="R3531" s="3">
        <f t="shared" si="222"/>
        <v>6.0800000000000003E-3</v>
      </c>
      <c r="S3531">
        <f t="shared" si="223"/>
        <v>99</v>
      </c>
      <c r="T3531">
        <f>INDEX([1]IDEN_level_ids!$B:$B,MATCH(G3531,[1]IDEN_level_ids!$A:$A,0),1)</f>
        <v>1175</v>
      </c>
      <c r="U3531">
        <f>INDEX([1]IDEN_level_ids!$B:$B,MATCH(H3531,[1]IDEN_level_ids!$A:$A,0),1)</f>
        <v>1086</v>
      </c>
    </row>
    <row r="3532" spans="1:21" hidden="1" x14ac:dyDescent="0.25">
      <c r="A3532">
        <v>28302.363000000001</v>
      </c>
      <c r="B3532">
        <v>3533.2739000000001</v>
      </c>
      <c r="C3532">
        <v>22</v>
      </c>
      <c r="D3532" t="s">
        <v>722</v>
      </c>
      <c r="E3532" t="s">
        <v>678</v>
      </c>
      <c r="F3532">
        <v>1974</v>
      </c>
      <c r="G3532" s="1" t="s">
        <v>276</v>
      </c>
      <c r="H3532" s="1" t="s">
        <v>448</v>
      </c>
      <c r="I3532">
        <v>-0.70609999999999995</v>
      </c>
      <c r="J3532">
        <v>28302.332399999999</v>
      </c>
      <c r="K3532">
        <v>-3.82E-3</v>
      </c>
      <c r="L3532">
        <v>9.0900000000000009E-3</v>
      </c>
      <c r="M3532">
        <v>7.2800000000000004E-2</v>
      </c>
      <c r="N3532">
        <v>5.6399999999999999E-2</v>
      </c>
      <c r="O3532">
        <v>9.6399999999999993E-3</v>
      </c>
      <c r="P3532" s="3">
        <f t="shared" si="220"/>
        <v>3533.2738824669868</v>
      </c>
      <c r="Q3532" s="3">
        <f t="shared" si="221"/>
        <v>-3.820115574853844E-3</v>
      </c>
      <c r="R3532" s="3">
        <f t="shared" si="222"/>
        <v>9.0900000000000009E-3</v>
      </c>
      <c r="S3532">
        <f t="shared" si="223"/>
        <v>99</v>
      </c>
      <c r="T3532">
        <f>INDEX([1]IDEN_level_ids!$B:$B,MATCH(G3532,[1]IDEN_level_ids!$A:$A,0),1)</f>
        <v>1131</v>
      </c>
      <c r="U3532">
        <f>INDEX([1]IDEN_level_ids!$B:$B,MATCH(H3532,[1]IDEN_level_ids!$A:$A,0),1)</f>
        <v>1067</v>
      </c>
    </row>
    <row r="3533" spans="1:21" hidden="1" x14ac:dyDescent="0.25">
      <c r="A3533">
        <v>28216.718199999999</v>
      </c>
      <c r="B3533">
        <v>3543.9983000000002</v>
      </c>
      <c r="C3533">
        <v>22</v>
      </c>
      <c r="D3533" t="s">
        <v>722</v>
      </c>
      <c r="E3533" t="s">
        <v>661</v>
      </c>
      <c r="F3533">
        <v>1974</v>
      </c>
      <c r="G3533" s="1" t="s">
        <v>212</v>
      </c>
      <c r="H3533" s="1" t="s">
        <v>377</v>
      </c>
      <c r="I3533">
        <v>0.33889999999999998</v>
      </c>
      <c r="J3533">
        <v>28216.747500000001</v>
      </c>
      <c r="K3533">
        <v>3.6800000000000001E-3</v>
      </c>
      <c r="L3533">
        <v>6.3600000000000002E-3</v>
      </c>
      <c r="M3533">
        <v>5.0700000000000002E-2</v>
      </c>
      <c r="N3533">
        <v>6.4899999999999999E-2</v>
      </c>
      <c r="O3533">
        <v>6.7999999999999996E-3</v>
      </c>
      <c r="P3533" s="3">
        <f t="shared" si="220"/>
        <v>3543.9982527805096</v>
      </c>
      <c r="Q3533" s="3">
        <f t="shared" si="221"/>
        <v>3.6800537982344395E-3</v>
      </c>
      <c r="R3533" s="3">
        <f t="shared" si="222"/>
        <v>6.3600000000000002E-3</v>
      </c>
      <c r="S3533">
        <f t="shared" si="223"/>
        <v>99</v>
      </c>
      <c r="T3533">
        <f>INDEX([1]IDEN_level_ids!$B:$B,MATCH(G3533,[1]IDEN_level_ids!$A:$A,0),1)</f>
        <v>1123</v>
      </c>
      <c r="U3533">
        <f>INDEX([1]IDEN_level_ids!$B:$B,MATCH(H3533,[1]IDEN_level_ids!$A:$A,0),1)</f>
        <v>1057</v>
      </c>
    </row>
    <row r="3534" spans="1:21" hidden="1" x14ac:dyDescent="0.25">
      <c r="A3534">
        <v>28207.7117</v>
      </c>
      <c r="B3534">
        <v>3545.1298000000002</v>
      </c>
      <c r="C3534">
        <v>22</v>
      </c>
      <c r="D3534" t="s">
        <v>722</v>
      </c>
      <c r="F3534">
        <v>1974</v>
      </c>
      <c r="G3534" s="1" t="s">
        <v>275</v>
      </c>
      <c r="H3534" s="1" t="s">
        <v>557</v>
      </c>
      <c r="I3534">
        <v>0</v>
      </c>
      <c r="J3534">
        <v>28207.692500000001</v>
      </c>
      <c r="K3534">
        <v>-2.4099999999999998E-3</v>
      </c>
      <c r="L3534">
        <v>5.79E-3</v>
      </c>
      <c r="M3534">
        <v>4.6100000000000002E-2</v>
      </c>
      <c r="N3534">
        <v>0.104</v>
      </c>
      <c r="O3534">
        <v>6.4599999999999996E-3</v>
      </c>
      <c r="P3534" s="3">
        <f t="shared" si="220"/>
        <v>3545.1298234872415</v>
      </c>
      <c r="Q3534" s="3">
        <f t="shared" si="221"/>
        <v>-2.4130471715579915E-3</v>
      </c>
      <c r="R3534" s="3">
        <f t="shared" si="222"/>
        <v>5.79E-3</v>
      </c>
      <c r="S3534">
        <f t="shared" si="223"/>
        <v>99</v>
      </c>
      <c r="T3534">
        <f>INDEX([1]IDEN_level_ids!$B:$B,MATCH(G3534,[1]IDEN_level_ids!$A:$A,0),1)</f>
        <v>1134</v>
      </c>
      <c r="U3534">
        <f>INDEX([1]IDEN_level_ids!$B:$B,MATCH(H3534,[1]IDEN_level_ids!$A:$A,0),1)</f>
        <v>1069</v>
      </c>
    </row>
    <row r="3535" spans="1:21" hidden="1" x14ac:dyDescent="0.25">
      <c r="A3535">
        <v>28192.232100000001</v>
      </c>
      <c r="B3535">
        <v>3547.0763999999999</v>
      </c>
      <c r="C3535">
        <v>22</v>
      </c>
      <c r="D3535" t="s">
        <v>722</v>
      </c>
      <c r="E3535" t="s">
        <v>681</v>
      </c>
      <c r="F3535">
        <v>1974</v>
      </c>
      <c r="G3535" s="1" t="s">
        <v>492</v>
      </c>
      <c r="H3535" s="1" t="s">
        <v>419</v>
      </c>
      <c r="I3535">
        <v>0.56110000000000004</v>
      </c>
      <c r="J3535">
        <v>28192.104800000001</v>
      </c>
      <c r="K3535">
        <v>-1.602E-2</v>
      </c>
      <c r="L3535">
        <v>1.01E-2</v>
      </c>
      <c r="M3535">
        <v>8.0299999999999996E-2</v>
      </c>
      <c r="N3535">
        <v>8.2799999999999999E-2</v>
      </c>
      <c r="O3535">
        <v>1.102E-2</v>
      </c>
      <c r="P3535" s="3">
        <f t="shared" si="220"/>
        <v>3547.0763593777306</v>
      </c>
      <c r="Q3535" s="3">
        <f t="shared" si="221"/>
        <v>-1.601664096233435E-2</v>
      </c>
      <c r="R3535" s="3">
        <f t="shared" si="222"/>
        <v>1.01E-2</v>
      </c>
      <c r="S3535">
        <f t="shared" si="223"/>
        <v>99</v>
      </c>
      <c r="T3535">
        <f>INDEX([1]IDEN_level_ids!$B:$B,MATCH(G3535,[1]IDEN_level_ids!$A:$A,0),1)</f>
        <v>1132</v>
      </c>
      <c r="U3535">
        <f>INDEX([1]IDEN_level_ids!$B:$B,MATCH(H3535,[1]IDEN_level_ids!$A:$A,0),1)</f>
        <v>1068</v>
      </c>
    </row>
    <row r="3536" spans="1:21" hidden="1" x14ac:dyDescent="0.25">
      <c r="A3536">
        <v>28177.151399999999</v>
      </c>
      <c r="B3536">
        <v>3548.9748</v>
      </c>
      <c r="C3536">
        <v>22</v>
      </c>
      <c r="D3536" t="s">
        <v>722</v>
      </c>
      <c r="F3536">
        <v>1974</v>
      </c>
      <c r="G3536" s="1" t="s">
        <v>212</v>
      </c>
      <c r="H3536" s="1" t="s">
        <v>600</v>
      </c>
      <c r="I3536">
        <v>0</v>
      </c>
      <c r="J3536">
        <v>28177.1266</v>
      </c>
      <c r="K3536">
        <v>-3.13E-3</v>
      </c>
      <c r="L3536">
        <v>5.7999999999999996E-3</v>
      </c>
      <c r="M3536">
        <v>4.6100000000000002E-2</v>
      </c>
      <c r="N3536">
        <v>0.1082</v>
      </c>
      <c r="O3536">
        <v>6.5100000000000002E-3</v>
      </c>
      <c r="P3536" s="3">
        <f t="shared" si="220"/>
        <v>3548.9747909719504</v>
      </c>
      <c r="Q3536" s="3">
        <f t="shared" si="221"/>
        <v>-3.1236178219842259E-3</v>
      </c>
      <c r="R3536" s="3">
        <f t="shared" si="222"/>
        <v>5.7999999999999996E-3</v>
      </c>
      <c r="S3536">
        <f t="shared" si="223"/>
        <v>99</v>
      </c>
      <c r="T3536">
        <f>INDEX([1]IDEN_level_ids!$B:$B,MATCH(G3536,[1]IDEN_level_ids!$A:$A,0),1)</f>
        <v>1123</v>
      </c>
      <c r="U3536">
        <f>INDEX([1]IDEN_level_ids!$B:$B,MATCH(H3536,[1]IDEN_level_ids!$A:$A,0),1)</f>
        <v>1058</v>
      </c>
    </row>
    <row r="3537" spans="1:21" hidden="1" x14ac:dyDescent="0.25">
      <c r="A3537">
        <v>28084.999400000001</v>
      </c>
      <c r="B3537">
        <v>3560.6196</v>
      </c>
      <c r="C3537">
        <v>22</v>
      </c>
      <c r="D3537" t="s">
        <v>722</v>
      </c>
      <c r="F3537">
        <v>1974</v>
      </c>
      <c r="G3537" s="1" t="s">
        <v>691</v>
      </c>
      <c r="H3537" s="1" t="s">
        <v>543</v>
      </c>
      <c r="I3537">
        <v>-0.65680000000000005</v>
      </c>
      <c r="J3537">
        <v>28085.024799999999</v>
      </c>
      <c r="K3537">
        <v>3.2200000000000002E-3</v>
      </c>
      <c r="L3537">
        <v>5.8399999999999997E-3</v>
      </c>
      <c r="M3537">
        <v>4.6100000000000002E-2</v>
      </c>
      <c r="N3537">
        <v>0.38080000000000003</v>
      </c>
      <c r="O3537">
        <v>9.4299999999999991E-3</v>
      </c>
      <c r="P3537" s="3">
        <f t="shared" si="220"/>
        <v>3560.6196238693883</v>
      </c>
      <c r="Q3537" s="3">
        <f t="shared" si="221"/>
        <v>3.2202121624322899E-3</v>
      </c>
      <c r="R3537" s="3">
        <f t="shared" si="222"/>
        <v>5.8399999999999997E-3</v>
      </c>
      <c r="S3537">
        <f t="shared" si="223"/>
        <v>99</v>
      </c>
      <c r="T3537">
        <f>INDEX([1]IDEN_level_ids!$B:$B,MATCH(G3537,[1]IDEN_level_ids!$A:$A,0),1)</f>
        <v>1092</v>
      </c>
      <c r="U3537">
        <f>INDEX([1]IDEN_level_ids!$B:$B,MATCH(H3537,[1]IDEN_level_ids!$A:$A,0),1)</f>
        <v>972</v>
      </c>
    </row>
    <row r="3538" spans="1:21" hidden="1" x14ac:dyDescent="0.25">
      <c r="A3538">
        <v>28058.072199999999</v>
      </c>
      <c r="B3538">
        <v>3564.0367000000001</v>
      </c>
      <c r="C3538">
        <v>22</v>
      </c>
      <c r="D3538" t="s">
        <v>722</v>
      </c>
      <c r="E3538" t="s">
        <v>678</v>
      </c>
      <c r="F3538">
        <v>1974</v>
      </c>
      <c r="G3538" s="1" t="s">
        <v>511</v>
      </c>
      <c r="H3538" s="1" t="s">
        <v>453</v>
      </c>
      <c r="I3538">
        <v>-0.54320000000000002</v>
      </c>
      <c r="J3538">
        <v>28057.9931</v>
      </c>
      <c r="K3538">
        <v>-1.005E-2</v>
      </c>
      <c r="L3538">
        <v>9.2499999999999995E-3</v>
      </c>
      <c r="M3538">
        <v>7.2800000000000004E-2</v>
      </c>
      <c r="N3538">
        <v>8.1299999999999997E-2</v>
      </c>
      <c r="O3538">
        <v>1.0070000000000001E-2</v>
      </c>
      <c r="P3538" s="3">
        <f t="shared" si="220"/>
        <v>3564.0367337852958</v>
      </c>
      <c r="Q3538" s="3">
        <f t="shared" si="221"/>
        <v>-1.0047593376839359E-2</v>
      </c>
      <c r="R3538" s="3">
        <f t="shared" si="222"/>
        <v>9.2499999999999995E-3</v>
      </c>
      <c r="S3538">
        <f t="shared" si="223"/>
        <v>99</v>
      </c>
      <c r="T3538">
        <f>INDEX([1]IDEN_level_ids!$B:$B,MATCH(G3538,[1]IDEN_level_ids!$A:$A,0),1)</f>
        <v>1139</v>
      </c>
      <c r="U3538">
        <f>INDEX([1]IDEN_level_ids!$B:$B,MATCH(H3538,[1]IDEN_level_ids!$A:$A,0),1)</f>
        <v>1078</v>
      </c>
    </row>
    <row r="3539" spans="1:21" hidden="1" x14ac:dyDescent="0.25">
      <c r="A3539">
        <v>28047.1623</v>
      </c>
      <c r="B3539">
        <v>3565.4231</v>
      </c>
      <c r="C3539">
        <v>22</v>
      </c>
      <c r="D3539" t="s">
        <v>722</v>
      </c>
      <c r="E3539" t="s">
        <v>681</v>
      </c>
      <c r="F3539">
        <v>1974</v>
      </c>
      <c r="G3539" s="1" t="s">
        <v>695</v>
      </c>
      <c r="H3539" s="1" t="s">
        <v>483</v>
      </c>
      <c r="I3539">
        <v>0.23449999999999999</v>
      </c>
      <c r="J3539">
        <v>28047.155699999999</v>
      </c>
      <c r="K3539">
        <v>-8.4000000000000003E-4</v>
      </c>
      <c r="L3539">
        <v>1.021E-2</v>
      </c>
      <c r="M3539">
        <v>8.0299999999999996E-2</v>
      </c>
      <c r="N3539">
        <v>0.1447</v>
      </c>
      <c r="O3539">
        <v>1.1939999999999999E-2</v>
      </c>
      <c r="P3539" s="3">
        <f t="shared" si="220"/>
        <v>3565.4230873830684</v>
      </c>
      <c r="Q3539" s="3">
        <f t="shared" si="221"/>
        <v>-8.3900815570814302E-4</v>
      </c>
      <c r="R3539" s="3">
        <f t="shared" si="222"/>
        <v>1.021E-2</v>
      </c>
      <c r="S3539">
        <f t="shared" si="223"/>
        <v>99</v>
      </c>
      <c r="T3539">
        <f>INDEX([1]IDEN_level_ids!$B:$B,MATCH(G3539,[1]IDEN_level_ids!$A:$A,0),1)</f>
        <v>1091</v>
      </c>
      <c r="U3539">
        <f>INDEX([1]IDEN_level_ids!$B:$B,MATCH(H3539,[1]IDEN_level_ids!$A:$A,0),1)</f>
        <v>970</v>
      </c>
    </row>
    <row r="3540" spans="1:21" hidden="1" x14ac:dyDescent="0.25">
      <c r="A3540">
        <v>28035.838599999999</v>
      </c>
      <c r="B3540">
        <v>3566.8631999999998</v>
      </c>
      <c r="C3540">
        <v>22</v>
      </c>
      <c r="D3540" t="s">
        <v>722</v>
      </c>
      <c r="E3540" t="s">
        <v>678</v>
      </c>
      <c r="F3540">
        <v>1974</v>
      </c>
      <c r="G3540" s="1" t="s">
        <v>597</v>
      </c>
      <c r="H3540" s="1" t="s">
        <v>483</v>
      </c>
      <c r="I3540">
        <v>-1.1802999999999999</v>
      </c>
      <c r="J3540">
        <v>28035.862300000001</v>
      </c>
      <c r="K3540">
        <v>3.0200000000000001E-3</v>
      </c>
      <c r="L3540">
        <v>9.2700000000000005E-3</v>
      </c>
      <c r="M3540">
        <v>7.2800000000000004E-2</v>
      </c>
      <c r="N3540">
        <v>0.20610000000000001</v>
      </c>
      <c r="O3540">
        <v>1.167E-2</v>
      </c>
      <c r="P3540" s="3">
        <f t="shared" si="220"/>
        <v>3566.8631649206313</v>
      </c>
      <c r="Q3540" s="3">
        <f t="shared" si="221"/>
        <v>3.0152329936754541E-3</v>
      </c>
      <c r="R3540" s="3">
        <f t="shared" si="222"/>
        <v>9.2700000000000005E-3</v>
      </c>
      <c r="S3540">
        <f t="shared" si="223"/>
        <v>99</v>
      </c>
      <c r="T3540">
        <f>INDEX([1]IDEN_level_ids!$B:$B,MATCH(G3540,[1]IDEN_level_ids!$A:$A,0),1)</f>
        <v>1090</v>
      </c>
      <c r="U3540">
        <f>INDEX([1]IDEN_level_ids!$B:$B,MATCH(H3540,[1]IDEN_level_ids!$A:$A,0),1)</f>
        <v>970</v>
      </c>
    </row>
    <row r="3541" spans="1:21" hidden="1" x14ac:dyDescent="0.25">
      <c r="A3541">
        <v>28019.7124</v>
      </c>
      <c r="B3541">
        <v>3568.9160000000002</v>
      </c>
      <c r="C3541">
        <v>22</v>
      </c>
      <c r="D3541" t="s">
        <v>722</v>
      </c>
      <c r="E3541" t="s">
        <v>638</v>
      </c>
      <c r="F3541">
        <v>1974</v>
      </c>
      <c r="G3541" s="1" t="s">
        <v>697</v>
      </c>
      <c r="H3541" s="1" t="s">
        <v>487</v>
      </c>
      <c r="I3541">
        <v>1.7399999999999999E-2</v>
      </c>
      <c r="J3541">
        <v>28019.7716</v>
      </c>
      <c r="K3541">
        <v>7.5399999999999998E-3</v>
      </c>
      <c r="L3541">
        <v>2.2009999999999998E-2</v>
      </c>
      <c r="M3541">
        <v>0.17280000000000001</v>
      </c>
      <c r="N3541">
        <v>3.4599999999999999E-2</v>
      </c>
      <c r="O3541">
        <v>2.2800000000000001E-2</v>
      </c>
      <c r="P3541" s="3">
        <f t="shared" si="220"/>
        <v>3568.9160035775385</v>
      </c>
      <c r="Q3541" s="3">
        <f t="shared" si="221"/>
        <v>7.5403836412988312E-3</v>
      </c>
      <c r="R3541" s="3">
        <f t="shared" si="222"/>
        <v>2.2009999999999998E-2</v>
      </c>
      <c r="S3541">
        <f t="shared" si="223"/>
        <v>99</v>
      </c>
      <c r="T3541">
        <f>INDEX([1]IDEN_level_ids!$B:$B,MATCH(G3541,[1]IDEN_level_ids!$A:$A,0),1)</f>
        <v>1089</v>
      </c>
      <c r="U3541">
        <f>INDEX([1]IDEN_level_ids!$B:$B,MATCH(H3541,[1]IDEN_level_ids!$A:$A,0),1)</f>
        <v>968</v>
      </c>
    </row>
    <row r="3542" spans="1:21" hidden="1" x14ac:dyDescent="0.25">
      <c r="A3542">
        <v>28015.621899999998</v>
      </c>
      <c r="B3542">
        <v>3569.4371000000001</v>
      </c>
      <c r="C3542">
        <v>22</v>
      </c>
      <c r="D3542" t="s">
        <v>722</v>
      </c>
      <c r="F3542">
        <v>1974</v>
      </c>
      <c r="G3542" s="1" t="s">
        <v>256</v>
      </c>
      <c r="H3542" s="1" t="s">
        <v>569</v>
      </c>
      <c r="I3542">
        <v>0</v>
      </c>
      <c r="J3542">
        <v>28015.6165</v>
      </c>
      <c r="K3542">
        <v>-6.8999999999999997E-4</v>
      </c>
      <c r="L3542">
        <v>5.8700000000000002E-3</v>
      </c>
      <c r="M3542">
        <v>4.6100000000000002E-2</v>
      </c>
      <c r="N3542">
        <v>0.1263</v>
      </c>
      <c r="O3542">
        <v>6.7200000000000003E-3</v>
      </c>
      <c r="P3542" s="3">
        <f t="shared" si="220"/>
        <v>3569.4370932383267</v>
      </c>
      <c r="Q3542" s="3">
        <f t="shared" si="221"/>
        <v>-6.8800771487076418E-4</v>
      </c>
      <c r="R3542" s="3">
        <f t="shared" si="222"/>
        <v>5.8700000000000002E-3</v>
      </c>
      <c r="S3542">
        <f t="shared" si="223"/>
        <v>99</v>
      </c>
      <c r="T3542">
        <f>INDEX([1]IDEN_level_ids!$B:$B,MATCH(G3542,[1]IDEN_level_ids!$A:$A,0),1)</f>
        <v>1120</v>
      </c>
      <c r="U3542">
        <f>INDEX([1]IDEN_level_ids!$B:$B,MATCH(H3542,[1]IDEN_level_ids!$A:$A,0),1)</f>
        <v>1049</v>
      </c>
    </row>
    <row r="3543" spans="1:21" hidden="1" x14ac:dyDescent="0.25">
      <c r="A3543">
        <v>27950.080900000001</v>
      </c>
      <c r="B3543">
        <v>3577.8072000000002</v>
      </c>
      <c r="C3543">
        <v>22</v>
      </c>
      <c r="D3543" t="s">
        <v>723</v>
      </c>
      <c r="F3543">
        <v>1974</v>
      </c>
      <c r="G3543" s="1" t="s">
        <v>134</v>
      </c>
      <c r="H3543" s="1" t="s">
        <v>477</v>
      </c>
      <c r="I3543">
        <v>0.32490000000000002</v>
      </c>
      <c r="J3543">
        <v>27950.077700000002</v>
      </c>
      <c r="K3543">
        <v>-4.0999999999999999E-4</v>
      </c>
      <c r="L3543">
        <v>5.8999999999999999E-3</v>
      </c>
      <c r="M3543">
        <v>4.6100000000000002E-2</v>
      </c>
      <c r="N3543">
        <v>0.1731</v>
      </c>
      <c r="O3543">
        <v>7.1300000000000001E-3</v>
      </c>
      <c r="P3543" s="3">
        <f t="shared" si="220"/>
        <v>3577.8071755062433</v>
      </c>
      <c r="Q3543" s="3">
        <f t="shared" si="221"/>
        <v>-4.0962258071886026E-4</v>
      </c>
      <c r="R3543" s="3">
        <f t="shared" si="222"/>
        <v>5.8999999999999999E-3</v>
      </c>
      <c r="S3543">
        <f t="shared" si="223"/>
        <v>100</v>
      </c>
      <c r="T3543">
        <f>INDEX([1]IDEN_level_ids!$B:$B,MATCH(G3543,[1]IDEN_level_ids!$A:$A,0),1)</f>
        <v>1114</v>
      </c>
      <c r="U3543">
        <f>INDEX([1]IDEN_level_ids!$B:$B,MATCH(H3543,[1]IDEN_level_ids!$A:$A,0),1)</f>
        <v>1045</v>
      </c>
    </row>
    <row r="3544" spans="1:21" hidden="1" x14ac:dyDescent="0.25">
      <c r="A3544">
        <v>27945.7827</v>
      </c>
      <c r="B3544">
        <v>3578.3575000000001</v>
      </c>
      <c r="C3544">
        <v>22</v>
      </c>
      <c r="D3544" t="s">
        <v>723</v>
      </c>
      <c r="E3544" t="s">
        <v>678</v>
      </c>
      <c r="F3544">
        <v>1974</v>
      </c>
      <c r="G3544" s="1" t="s">
        <v>511</v>
      </c>
      <c r="H3544" s="1" t="s">
        <v>450</v>
      </c>
      <c r="I3544">
        <v>-0.51060000000000005</v>
      </c>
      <c r="J3544">
        <v>27945.678500000002</v>
      </c>
      <c r="K3544">
        <v>-1.3339999999999999E-2</v>
      </c>
      <c r="L3544">
        <v>9.3299999999999998E-3</v>
      </c>
      <c r="M3544">
        <v>7.2800000000000004E-2</v>
      </c>
      <c r="N3544">
        <v>7.4999999999999997E-2</v>
      </c>
      <c r="O3544">
        <v>1.008E-2</v>
      </c>
      <c r="P3544" s="3">
        <f t="shared" si="220"/>
        <v>3578.3574599969961</v>
      </c>
      <c r="Q3544" s="3">
        <f t="shared" si="221"/>
        <v>-1.334248682951511E-2</v>
      </c>
      <c r="R3544" s="3">
        <f t="shared" si="222"/>
        <v>9.3299999999999998E-3</v>
      </c>
      <c r="S3544">
        <f t="shared" si="223"/>
        <v>100</v>
      </c>
      <c r="T3544">
        <f>INDEX([1]IDEN_level_ids!$B:$B,MATCH(G3544,[1]IDEN_level_ids!$A:$A,0),1)</f>
        <v>1139</v>
      </c>
      <c r="U3544">
        <f>INDEX([1]IDEN_level_ids!$B:$B,MATCH(H3544,[1]IDEN_level_ids!$A:$A,0),1)</f>
        <v>1077</v>
      </c>
    </row>
    <row r="3545" spans="1:21" hidden="1" x14ac:dyDescent="0.25">
      <c r="A3545">
        <v>27941.230599999999</v>
      </c>
      <c r="B3545">
        <v>3578.9404</v>
      </c>
      <c r="C3545">
        <v>22</v>
      </c>
      <c r="D3545" t="s">
        <v>723</v>
      </c>
      <c r="E3545" t="s">
        <v>678</v>
      </c>
      <c r="F3545">
        <v>1974</v>
      </c>
      <c r="G3545" s="1" t="s">
        <v>276</v>
      </c>
      <c r="H3545" s="1" t="s">
        <v>557</v>
      </c>
      <c r="I3545">
        <v>-1.0219</v>
      </c>
      <c r="J3545">
        <v>27941.165300000001</v>
      </c>
      <c r="K3545">
        <v>-8.3599999999999994E-3</v>
      </c>
      <c r="L3545">
        <v>9.3299999999999998E-3</v>
      </c>
      <c r="M3545">
        <v>7.2800000000000004E-2</v>
      </c>
      <c r="N3545">
        <v>7.5300000000000006E-2</v>
      </c>
      <c r="O3545">
        <v>1.009E-2</v>
      </c>
      <c r="P3545" s="3">
        <f t="shared" si="220"/>
        <v>3578.9404350716036</v>
      </c>
      <c r="Q3545" s="3">
        <f t="shared" si="221"/>
        <v>-8.364175505903404E-3</v>
      </c>
      <c r="R3545" s="3">
        <f t="shared" si="222"/>
        <v>9.3299999999999998E-3</v>
      </c>
      <c r="S3545">
        <f t="shared" si="223"/>
        <v>100</v>
      </c>
      <c r="T3545">
        <f>INDEX([1]IDEN_level_ids!$B:$B,MATCH(G3545,[1]IDEN_level_ids!$A:$A,0),1)</f>
        <v>1131</v>
      </c>
      <c r="U3545">
        <f>INDEX([1]IDEN_level_ids!$B:$B,MATCH(H3545,[1]IDEN_level_ids!$A:$A,0),1)</f>
        <v>1069</v>
      </c>
    </row>
    <row r="3546" spans="1:21" hidden="1" x14ac:dyDescent="0.25">
      <c r="A3546">
        <v>27888.649799999999</v>
      </c>
      <c r="B3546">
        <v>3585.6880999999998</v>
      </c>
      <c r="C3546">
        <v>22</v>
      </c>
      <c r="D3546" t="s">
        <v>723</v>
      </c>
      <c r="F3546">
        <v>1974</v>
      </c>
      <c r="G3546" s="1" t="s">
        <v>724</v>
      </c>
      <c r="H3546" s="1" t="s">
        <v>309</v>
      </c>
      <c r="I3546">
        <v>0</v>
      </c>
      <c r="J3546">
        <v>27888.642199999998</v>
      </c>
      <c r="K3546">
        <v>-9.7000000000000005E-4</v>
      </c>
      <c r="L3546">
        <v>5.9199999999999999E-3</v>
      </c>
      <c r="M3546">
        <v>4.6100000000000002E-2</v>
      </c>
      <c r="N3546">
        <v>0.23269999999999999</v>
      </c>
      <c r="O3546">
        <v>7.7200000000000003E-3</v>
      </c>
      <c r="P3546" s="3">
        <f t="shared" si="220"/>
        <v>3585.688110293529</v>
      </c>
      <c r="Q3546" s="3">
        <f t="shared" si="221"/>
        <v>-9.7714436742535327E-4</v>
      </c>
      <c r="R3546" s="3">
        <f t="shared" si="222"/>
        <v>5.9199999999999999E-3</v>
      </c>
      <c r="S3546">
        <f t="shared" si="223"/>
        <v>100</v>
      </c>
      <c r="T3546">
        <f>INDEX([1]IDEN_level_ids!$B:$B,MATCH(G3546,[1]IDEN_level_ids!$A:$A,0),1)</f>
        <v>1206</v>
      </c>
      <c r="U3546">
        <f>INDEX([1]IDEN_level_ids!$B:$B,MATCH(H3546,[1]IDEN_level_ids!$A:$A,0),1)</f>
        <v>1094</v>
      </c>
    </row>
    <row r="3547" spans="1:21" hidden="1" x14ac:dyDescent="0.25">
      <c r="A3547">
        <v>27848.051100000001</v>
      </c>
      <c r="B3547">
        <v>3590.9155999999998</v>
      </c>
      <c r="C3547">
        <v>22</v>
      </c>
      <c r="D3547" t="s">
        <v>723</v>
      </c>
      <c r="E3547" t="s">
        <v>681</v>
      </c>
      <c r="F3547">
        <v>1974</v>
      </c>
      <c r="G3547" s="1" t="s">
        <v>492</v>
      </c>
      <c r="H3547" s="1" t="s">
        <v>557</v>
      </c>
      <c r="I3547">
        <v>0.25629999999999997</v>
      </c>
      <c r="J3547">
        <v>27847.995500000001</v>
      </c>
      <c r="K3547">
        <v>-7.1700000000000002E-3</v>
      </c>
      <c r="L3547">
        <v>1.0359999999999999E-2</v>
      </c>
      <c r="M3547">
        <v>8.0299999999999996E-2</v>
      </c>
      <c r="N3547">
        <v>8.5500000000000007E-2</v>
      </c>
      <c r="O3547">
        <v>1.132E-2</v>
      </c>
      <c r="P3547" s="3">
        <f t="shared" si="220"/>
        <v>3590.9155596170244</v>
      </c>
      <c r="Q3547" s="3">
        <f t="shared" si="221"/>
        <v>-7.169453367623646E-3</v>
      </c>
      <c r="R3547" s="3">
        <f t="shared" si="222"/>
        <v>1.0359999999999999E-2</v>
      </c>
      <c r="S3547">
        <f t="shared" si="223"/>
        <v>100</v>
      </c>
      <c r="T3547">
        <f>INDEX([1]IDEN_level_ids!$B:$B,MATCH(G3547,[1]IDEN_level_ids!$A:$A,0),1)</f>
        <v>1132</v>
      </c>
      <c r="U3547">
        <f>INDEX([1]IDEN_level_ids!$B:$B,MATCH(H3547,[1]IDEN_level_ids!$A:$A,0),1)</f>
        <v>1069</v>
      </c>
    </row>
    <row r="3548" spans="1:21" hidden="1" x14ac:dyDescent="0.25">
      <c r="A3548">
        <v>27836.783200000002</v>
      </c>
      <c r="B3548">
        <v>3592.3690999999999</v>
      </c>
      <c r="C3548">
        <v>22</v>
      </c>
      <c r="D3548" t="s">
        <v>723</v>
      </c>
      <c r="E3548" t="s">
        <v>638</v>
      </c>
      <c r="F3548">
        <v>1974</v>
      </c>
      <c r="G3548" s="1" t="s">
        <v>492</v>
      </c>
      <c r="H3548" s="1" t="s">
        <v>413</v>
      </c>
      <c r="I3548">
        <v>6.0100000000000001E-2</v>
      </c>
      <c r="J3548">
        <v>27836.8364</v>
      </c>
      <c r="K3548">
        <v>6.8700000000000002E-3</v>
      </c>
      <c r="L3548">
        <v>2.23E-2</v>
      </c>
      <c r="M3548">
        <v>0.17280000000000001</v>
      </c>
      <c r="N3548">
        <v>2.53E-2</v>
      </c>
      <c r="O3548">
        <v>2.2880000000000001E-2</v>
      </c>
      <c r="P3548" s="3">
        <f t="shared" si="220"/>
        <v>3592.3691067867353</v>
      </c>
      <c r="Q3548" s="3">
        <f t="shared" si="221"/>
        <v>6.8655084842248471E-3</v>
      </c>
      <c r="R3548" s="3">
        <f t="shared" si="222"/>
        <v>2.23E-2</v>
      </c>
      <c r="S3548">
        <f t="shared" si="223"/>
        <v>100</v>
      </c>
      <c r="T3548">
        <f>INDEX([1]IDEN_level_ids!$B:$B,MATCH(G3548,[1]IDEN_level_ids!$A:$A,0),1)</f>
        <v>1132</v>
      </c>
      <c r="U3548">
        <f>INDEX([1]IDEN_level_ids!$B:$B,MATCH(H3548,[1]IDEN_level_ids!$A:$A,0),1)</f>
        <v>1071</v>
      </c>
    </row>
    <row r="3549" spans="1:21" hidden="1" x14ac:dyDescent="0.25">
      <c r="A3549">
        <v>27835.459900000002</v>
      </c>
      <c r="B3549">
        <v>3592.5399000000002</v>
      </c>
      <c r="C3549">
        <v>22</v>
      </c>
      <c r="D3549" t="s">
        <v>723</v>
      </c>
      <c r="F3549">
        <v>1974</v>
      </c>
      <c r="G3549" s="1" t="s">
        <v>710</v>
      </c>
      <c r="H3549" s="1" t="s">
        <v>259</v>
      </c>
      <c r="I3549">
        <v>0</v>
      </c>
      <c r="J3549">
        <v>27835.440900000001</v>
      </c>
      <c r="K3549">
        <v>-2.4499999999999999E-3</v>
      </c>
      <c r="L3549">
        <v>5.9500000000000004E-3</v>
      </c>
      <c r="M3549">
        <v>4.6100000000000002E-2</v>
      </c>
      <c r="N3549">
        <v>0.13650000000000001</v>
      </c>
      <c r="O3549">
        <v>6.8900000000000003E-3</v>
      </c>
      <c r="P3549" s="3">
        <f t="shared" si="220"/>
        <v>3592.5398883026896</v>
      </c>
      <c r="Q3549" s="3">
        <f t="shared" si="221"/>
        <v>-2.452206815178215E-3</v>
      </c>
      <c r="R3549" s="3">
        <f t="shared" si="222"/>
        <v>5.9500000000000004E-3</v>
      </c>
      <c r="S3549">
        <f t="shared" si="223"/>
        <v>100</v>
      </c>
      <c r="T3549">
        <f>INDEX([1]IDEN_level_ids!$B:$B,MATCH(G3549,[1]IDEN_level_ids!$A:$A,0),1)</f>
        <v>1246</v>
      </c>
      <c r="U3549">
        <f>INDEX([1]IDEN_level_ids!$B:$B,MATCH(H3549,[1]IDEN_level_ids!$A:$A,0),1)</f>
        <v>1117</v>
      </c>
    </row>
    <row r="3550" spans="1:21" hidden="1" x14ac:dyDescent="0.25">
      <c r="A3550">
        <v>27807.749800000001</v>
      </c>
      <c r="B3550">
        <v>3596.1197999999999</v>
      </c>
      <c r="C3550">
        <v>22</v>
      </c>
      <c r="D3550" t="s">
        <v>723</v>
      </c>
      <c r="F3550">
        <v>1974</v>
      </c>
      <c r="G3550" s="1" t="s">
        <v>725</v>
      </c>
      <c r="H3550" s="1" t="s">
        <v>302</v>
      </c>
      <c r="I3550">
        <v>0</v>
      </c>
      <c r="J3550">
        <v>27807.723999999998</v>
      </c>
      <c r="K3550">
        <v>-3.3400000000000001E-3</v>
      </c>
      <c r="L3550">
        <v>5.96E-3</v>
      </c>
      <c r="M3550">
        <v>4.6100000000000002E-2</v>
      </c>
      <c r="N3550">
        <v>0.1804</v>
      </c>
      <c r="O3550">
        <v>7.2700000000000004E-3</v>
      </c>
      <c r="P3550" s="3">
        <f t="shared" si="220"/>
        <v>3596.1198126142517</v>
      </c>
      <c r="Q3550" s="3">
        <f t="shared" si="221"/>
        <v>-3.3364791443091235E-3</v>
      </c>
      <c r="R3550" s="3">
        <f t="shared" si="222"/>
        <v>5.96E-3</v>
      </c>
      <c r="S3550">
        <f t="shared" si="223"/>
        <v>100</v>
      </c>
      <c r="T3550">
        <f>INDEX([1]IDEN_level_ids!$B:$B,MATCH(G3550,[1]IDEN_level_ids!$A:$A,0),1)</f>
        <v>1227</v>
      </c>
      <c r="U3550">
        <f>INDEX([1]IDEN_level_ids!$B:$B,MATCH(H3550,[1]IDEN_level_ids!$A:$A,0),1)</f>
        <v>1100</v>
      </c>
    </row>
    <row r="3551" spans="1:21" hidden="1" x14ac:dyDescent="0.25">
      <c r="A3551">
        <v>27760.662100000001</v>
      </c>
      <c r="B3551">
        <v>3602.2195999999999</v>
      </c>
      <c r="C3551">
        <v>22</v>
      </c>
      <c r="D3551" t="s">
        <v>723</v>
      </c>
      <c r="F3551">
        <v>1974</v>
      </c>
      <c r="G3551" s="1" t="s">
        <v>212</v>
      </c>
      <c r="H3551" s="1" t="s">
        <v>401</v>
      </c>
      <c r="I3551">
        <v>6.8900000000000003E-2</v>
      </c>
      <c r="J3551">
        <v>27760.649000000001</v>
      </c>
      <c r="K3551">
        <v>-1.6900000000000001E-3</v>
      </c>
      <c r="L3551">
        <v>5.9800000000000001E-3</v>
      </c>
      <c r="M3551">
        <v>4.6100000000000002E-2</v>
      </c>
      <c r="N3551">
        <v>8.7599999999999997E-2</v>
      </c>
      <c r="O3551">
        <v>6.5500000000000003E-3</v>
      </c>
      <c r="P3551" s="3">
        <f t="shared" si="220"/>
        <v>3602.2195594535187</v>
      </c>
      <c r="Q3551" s="3">
        <f t="shared" si="221"/>
        <v>-1.6998549358504533E-3</v>
      </c>
      <c r="R3551" s="3">
        <f t="shared" si="222"/>
        <v>5.9800000000000001E-3</v>
      </c>
      <c r="S3551">
        <f t="shared" si="223"/>
        <v>100</v>
      </c>
      <c r="T3551">
        <f>INDEX([1]IDEN_level_ids!$B:$B,MATCH(G3551,[1]IDEN_level_ids!$A:$A,0),1)</f>
        <v>1123</v>
      </c>
      <c r="U3551">
        <f>INDEX([1]IDEN_level_ids!$B:$B,MATCH(H3551,[1]IDEN_level_ids!$A:$A,0),1)</f>
        <v>1063</v>
      </c>
    </row>
    <row r="3552" spans="1:21" hidden="1" x14ac:dyDescent="0.25">
      <c r="A3552">
        <v>27744.2781</v>
      </c>
      <c r="B3552">
        <v>3604.3467999999998</v>
      </c>
      <c r="C3552">
        <v>22</v>
      </c>
      <c r="D3552" t="s">
        <v>723</v>
      </c>
      <c r="F3552">
        <v>1974</v>
      </c>
      <c r="G3552" s="1" t="s">
        <v>669</v>
      </c>
      <c r="H3552" s="1" t="s">
        <v>259</v>
      </c>
      <c r="I3552">
        <v>0</v>
      </c>
      <c r="J3552">
        <v>27744.238399999998</v>
      </c>
      <c r="K3552">
        <v>-5.1500000000000001E-3</v>
      </c>
      <c r="L3552">
        <v>5.9800000000000001E-3</v>
      </c>
      <c r="M3552">
        <v>4.6100000000000002E-2</v>
      </c>
      <c r="N3552">
        <v>0.14460000000000001</v>
      </c>
      <c r="O3552">
        <v>7.0000000000000001E-3</v>
      </c>
      <c r="P3552" s="3">
        <f t="shared" si="220"/>
        <v>3604.346800430897</v>
      </c>
      <c r="Q3552" s="3">
        <f t="shared" si="221"/>
        <v>-5.1575597753981128E-3</v>
      </c>
      <c r="R3552" s="3">
        <f t="shared" si="222"/>
        <v>5.9800000000000001E-3</v>
      </c>
      <c r="S3552">
        <f t="shared" si="223"/>
        <v>100</v>
      </c>
      <c r="T3552">
        <f>INDEX([1]IDEN_level_ids!$B:$B,MATCH(G3552,[1]IDEN_level_ids!$A:$A,0),1)</f>
        <v>1245</v>
      </c>
      <c r="U3552">
        <f>INDEX([1]IDEN_level_ids!$B:$B,MATCH(H3552,[1]IDEN_level_ids!$A:$A,0),1)</f>
        <v>1117</v>
      </c>
    </row>
    <row r="3553" spans="1:21" hidden="1" x14ac:dyDescent="0.25">
      <c r="A3553">
        <v>27715.4411</v>
      </c>
      <c r="B3553">
        <v>3608.0970000000002</v>
      </c>
      <c r="C3553">
        <v>22</v>
      </c>
      <c r="D3553" t="s">
        <v>723</v>
      </c>
      <c r="E3553" t="s">
        <v>681</v>
      </c>
      <c r="F3553">
        <v>1974</v>
      </c>
      <c r="G3553" s="1" t="s">
        <v>687</v>
      </c>
      <c r="H3553" s="1" t="s">
        <v>615</v>
      </c>
      <c r="I3553">
        <v>0.37080000000000002</v>
      </c>
      <c r="J3553">
        <v>27715.495200000001</v>
      </c>
      <c r="K3553">
        <v>7.0400000000000003E-3</v>
      </c>
      <c r="L3553">
        <v>1.0460000000000001E-2</v>
      </c>
      <c r="M3553">
        <v>8.0299999999999996E-2</v>
      </c>
      <c r="N3553">
        <v>0.13150000000000001</v>
      </c>
      <c r="O3553">
        <v>1.204E-2</v>
      </c>
      <c r="P3553" s="3">
        <f t="shared" si="220"/>
        <v>3608.097004092062</v>
      </c>
      <c r="Q3553" s="3">
        <f t="shared" si="221"/>
        <v>7.0429211718874285E-3</v>
      </c>
      <c r="R3553" s="3">
        <f t="shared" si="222"/>
        <v>1.0460000000000001E-2</v>
      </c>
      <c r="S3553">
        <f t="shared" si="223"/>
        <v>100</v>
      </c>
      <c r="T3553">
        <f>INDEX([1]IDEN_level_ids!$B:$B,MATCH(G3553,[1]IDEN_level_ids!$A:$A,0),1)</f>
        <v>1087</v>
      </c>
      <c r="U3553">
        <f>INDEX([1]IDEN_level_ids!$B:$B,MATCH(H3553,[1]IDEN_level_ids!$A:$A,0),1)</f>
        <v>962</v>
      </c>
    </row>
    <row r="3554" spans="1:21" hidden="1" x14ac:dyDescent="0.25">
      <c r="A3554">
        <v>27683.040199999999</v>
      </c>
      <c r="B3554">
        <v>3612.32</v>
      </c>
      <c r="C3554">
        <v>22</v>
      </c>
      <c r="D3554" t="s">
        <v>723</v>
      </c>
      <c r="F3554">
        <v>1974</v>
      </c>
      <c r="G3554" s="1" t="s">
        <v>216</v>
      </c>
      <c r="H3554" s="1" t="s">
        <v>327</v>
      </c>
      <c r="I3554">
        <v>0</v>
      </c>
      <c r="J3554">
        <v>27683.040400000002</v>
      </c>
      <c r="K3554">
        <v>3.0000000000000001E-5</v>
      </c>
      <c r="L3554">
        <v>6.0099999999999997E-3</v>
      </c>
      <c r="M3554">
        <v>4.6100000000000002E-2</v>
      </c>
      <c r="N3554">
        <v>0.14019999999999999</v>
      </c>
      <c r="O3554">
        <v>6.9899999999999997E-3</v>
      </c>
      <c r="P3554" s="3">
        <f t="shared" si="220"/>
        <v>3612.3200081181835</v>
      </c>
      <c r="Q3554" s="3">
        <f t="shared" si="221"/>
        <v>2.609771172501496E-5</v>
      </c>
      <c r="R3554" s="3">
        <f t="shared" si="222"/>
        <v>6.0099999999999997E-3</v>
      </c>
      <c r="S3554">
        <f t="shared" si="223"/>
        <v>100</v>
      </c>
      <c r="T3554">
        <f>INDEX([1]IDEN_level_ids!$B:$B,MATCH(G3554,[1]IDEN_level_ids!$A:$A,0),1)</f>
        <v>1170</v>
      </c>
      <c r="U3554">
        <f>INDEX([1]IDEN_level_ids!$B:$B,MATCH(H3554,[1]IDEN_level_ids!$A:$A,0),1)</f>
        <v>1086</v>
      </c>
    </row>
    <row r="3555" spans="1:21" hidden="1" x14ac:dyDescent="0.25">
      <c r="A3555">
        <v>27665.802299999999</v>
      </c>
      <c r="B3555">
        <v>3614.5708</v>
      </c>
      <c r="C3555">
        <v>22</v>
      </c>
      <c r="D3555" t="s">
        <v>723</v>
      </c>
      <c r="F3555">
        <v>1974</v>
      </c>
      <c r="G3555" s="1" t="s">
        <v>250</v>
      </c>
      <c r="H3555" s="1" t="s">
        <v>552</v>
      </c>
      <c r="I3555">
        <v>0</v>
      </c>
      <c r="J3555">
        <v>27665.778300000002</v>
      </c>
      <c r="K3555">
        <v>-3.13E-3</v>
      </c>
      <c r="L3555">
        <v>6.0200000000000002E-3</v>
      </c>
      <c r="M3555">
        <v>4.6100000000000002E-2</v>
      </c>
      <c r="N3555">
        <v>0.12820000000000001</v>
      </c>
      <c r="O3555">
        <v>6.8999999999999999E-3</v>
      </c>
      <c r="P3555" s="3">
        <f t="shared" si="220"/>
        <v>3614.5707583546205</v>
      </c>
      <c r="Q3555" s="3">
        <f t="shared" si="221"/>
        <v>-3.1356319441329106E-3</v>
      </c>
      <c r="R3555" s="3">
        <f t="shared" si="222"/>
        <v>6.0200000000000002E-3</v>
      </c>
      <c r="S3555">
        <f t="shared" si="223"/>
        <v>100</v>
      </c>
      <c r="T3555">
        <f>INDEX([1]IDEN_level_ids!$B:$B,MATCH(G3555,[1]IDEN_level_ids!$A:$A,0),1)</f>
        <v>1107</v>
      </c>
      <c r="U3555">
        <f>INDEX([1]IDEN_level_ids!$B:$B,MATCH(H3555,[1]IDEN_level_ids!$A:$A,0),1)</f>
        <v>1040</v>
      </c>
    </row>
    <row r="3556" spans="1:21" hidden="1" x14ac:dyDescent="0.25">
      <c r="A3556">
        <v>27659.727599999998</v>
      </c>
      <c r="B3556">
        <v>3615.3645999999999</v>
      </c>
      <c r="C3556">
        <v>22</v>
      </c>
      <c r="D3556" t="s">
        <v>723</v>
      </c>
      <c r="E3556" t="s">
        <v>678</v>
      </c>
      <c r="F3556">
        <v>1974</v>
      </c>
      <c r="G3556" s="1" t="s">
        <v>319</v>
      </c>
      <c r="H3556" s="1" t="s">
        <v>384</v>
      </c>
      <c r="I3556">
        <v>-0.6038</v>
      </c>
      <c r="J3556">
        <v>27659.588500000002</v>
      </c>
      <c r="K3556">
        <v>-1.8180000000000002E-2</v>
      </c>
      <c r="L3556">
        <v>9.5200000000000007E-3</v>
      </c>
      <c r="M3556">
        <v>7.2800000000000004E-2</v>
      </c>
      <c r="N3556">
        <v>0.1007</v>
      </c>
      <c r="O3556">
        <v>1.059E-2</v>
      </c>
      <c r="P3556" s="3">
        <f t="shared" si="220"/>
        <v>3615.364599613772</v>
      </c>
      <c r="Q3556" s="3">
        <f t="shared" si="221"/>
        <v>-1.8181659347646928E-2</v>
      </c>
      <c r="R3556" s="3">
        <f t="shared" si="222"/>
        <v>9.5200000000000007E-3</v>
      </c>
      <c r="S3556">
        <f t="shared" si="223"/>
        <v>100</v>
      </c>
      <c r="T3556">
        <f>INDEX([1]IDEN_level_ids!$B:$B,MATCH(G3556,[1]IDEN_level_ids!$A:$A,0),1)</f>
        <v>1141</v>
      </c>
      <c r="U3556">
        <f>INDEX([1]IDEN_level_ids!$B:$B,MATCH(H3556,[1]IDEN_level_ids!$A:$A,0),1)</f>
        <v>1080</v>
      </c>
    </row>
    <row r="3557" spans="1:21" hidden="1" x14ac:dyDescent="0.25">
      <c r="A3557">
        <v>27508.802199999998</v>
      </c>
      <c r="B3557">
        <v>3635.2001</v>
      </c>
      <c r="C3557">
        <v>22</v>
      </c>
      <c r="D3557" t="s">
        <v>726</v>
      </c>
      <c r="E3557" t="s">
        <v>661</v>
      </c>
      <c r="F3557">
        <v>1974</v>
      </c>
      <c r="G3557" s="1" t="s">
        <v>138</v>
      </c>
      <c r="H3557" s="1" t="s">
        <v>458</v>
      </c>
      <c r="I3557">
        <v>0</v>
      </c>
      <c r="J3557">
        <v>27508.7971</v>
      </c>
      <c r="K3557">
        <v>-6.8000000000000005E-4</v>
      </c>
      <c r="L3557">
        <v>6.6899999999999998E-3</v>
      </c>
      <c r="M3557">
        <v>5.0700000000000002E-2</v>
      </c>
      <c r="N3557">
        <v>9.7699999999999995E-2</v>
      </c>
      <c r="O3557">
        <v>7.4200000000000004E-3</v>
      </c>
      <c r="P3557" s="3">
        <f t="shared" si="220"/>
        <v>3635.2000815215433</v>
      </c>
      <c r="Q3557" s="3">
        <f t="shared" si="221"/>
        <v>-6.7394878578852513E-4</v>
      </c>
      <c r="R3557" s="3">
        <f t="shared" si="222"/>
        <v>6.6899999999999998E-3</v>
      </c>
      <c r="S3557">
        <f t="shared" si="223"/>
        <v>101</v>
      </c>
      <c r="T3557">
        <f>INDEX([1]IDEN_level_ids!$B:$B,MATCH(G3557,[1]IDEN_level_ids!$A:$A,0),1)</f>
        <v>1126</v>
      </c>
      <c r="U3557">
        <f>INDEX([1]IDEN_level_ids!$B:$B,MATCH(H3557,[1]IDEN_level_ids!$A:$A,0),1)</f>
        <v>1064</v>
      </c>
    </row>
    <row r="3558" spans="1:21" hidden="1" x14ac:dyDescent="0.25">
      <c r="A3558">
        <v>27446.761299999998</v>
      </c>
      <c r="B3558">
        <v>3643.4171000000001</v>
      </c>
      <c r="C3558">
        <v>22</v>
      </c>
      <c r="D3558" t="s">
        <v>726</v>
      </c>
      <c r="F3558">
        <v>1974</v>
      </c>
      <c r="G3558" s="1" t="s">
        <v>262</v>
      </c>
      <c r="H3558" s="1" t="s">
        <v>469</v>
      </c>
      <c r="I3558">
        <v>0.36720000000000003</v>
      </c>
      <c r="J3558">
        <v>27446.771400000001</v>
      </c>
      <c r="K3558">
        <v>1.3500000000000001E-3</v>
      </c>
      <c r="L3558">
        <v>6.1199999999999996E-3</v>
      </c>
      <c r="M3558">
        <v>4.6100000000000002E-2</v>
      </c>
      <c r="N3558">
        <v>0.115</v>
      </c>
      <c r="O3558">
        <v>6.9100000000000003E-3</v>
      </c>
      <c r="P3558" s="3">
        <f t="shared" si="220"/>
        <v>3643.4171196730599</v>
      </c>
      <c r="Q3558" s="3">
        <f t="shared" si="221"/>
        <v>1.3407228261712589E-3</v>
      </c>
      <c r="R3558" s="3">
        <f t="shared" si="222"/>
        <v>6.1199999999999996E-3</v>
      </c>
      <c r="S3558">
        <f t="shared" si="223"/>
        <v>101</v>
      </c>
      <c r="T3558">
        <f>INDEX([1]IDEN_level_ids!$B:$B,MATCH(G3558,[1]IDEN_level_ids!$A:$A,0),1)</f>
        <v>1115</v>
      </c>
      <c r="U3558">
        <f>INDEX([1]IDEN_level_ids!$B:$B,MATCH(H3558,[1]IDEN_level_ids!$A:$A,0),1)</f>
        <v>1048</v>
      </c>
    </row>
    <row r="3559" spans="1:21" hidden="1" x14ac:dyDescent="0.25">
      <c r="A3559">
        <v>27440.7886</v>
      </c>
      <c r="B3559">
        <v>3644.2100999999998</v>
      </c>
      <c r="C3559">
        <v>22</v>
      </c>
      <c r="D3559" t="s">
        <v>726</v>
      </c>
      <c r="E3559" t="s">
        <v>678</v>
      </c>
      <c r="F3559">
        <v>1974</v>
      </c>
      <c r="G3559" s="1" t="s">
        <v>326</v>
      </c>
      <c r="H3559" s="1" t="s">
        <v>379</v>
      </c>
      <c r="I3559">
        <v>-0.57169999999999999</v>
      </c>
      <c r="J3559">
        <v>27440.6404</v>
      </c>
      <c r="K3559">
        <v>-1.9689999999999999E-2</v>
      </c>
      <c r="L3559">
        <v>9.6699999999999998E-3</v>
      </c>
      <c r="M3559">
        <v>7.2800000000000004E-2</v>
      </c>
      <c r="N3559">
        <v>9.7000000000000003E-2</v>
      </c>
      <c r="O3559">
        <v>1.0710000000000001E-2</v>
      </c>
      <c r="P3559" s="3">
        <f t="shared" si="220"/>
        <v>3644.210137605156</v>
      </c>
      <c r="Q3559" s="3">
        <f t="shared" si="221"/>
        <v>-1.968146276931293E-2</v>
      </c>
      <c r="R3559" s="3">
        <f t="shared" si="222"/>
        <v>9.6699999999999998E-3</v>
      </c>
      <c r="S3559">
        <f t="shared" si="223"/>
        <v>101</v>
      </c>
      <c r="T3559">
        <f>INDEX([1]IDEN_level_ids!$B:$B,MATCH(G3559,[1]IDEN_level_ids!$A:$A,0),1)</f>
        <v>1148</v>
      </c>
      <c r="U3559">
        <f>INDEX([1]IDEN_level_ids!$B:$B,MATCH(H3559,[1]IDEN_level_ids!$A:$A,0),1)</f>
        <v>1083</v>
      </c>
    </row>
    <row r="3560" spans="1:21" hidden="1" x14ac:dyDescent="0.25">
      <c r="A3560">
        <v>27431.0131</v>
      </c>
      <c r="B3560">
        <v>3645.5088000000001</v>
      </c>
      <c r="C3560">
        <v>22</v>
      </c>
      <c r="D3560" t="s">
        <v>726</v>
      </c>
      <c r="E3560" t="s">
        <v>681</v>
      </c>
      <c r="F3560">
        <v>1974</v>
      </c>
      <c r="G3560" s="1" t="s">
        <v>279</v>
      </c>
      <c r="H3560" s="1" t="s">
        <v>557</v>
      </c>
      <c r="I3560">
        <v>0.27579999999999999</v>
      </c>
      <c r="J3560">
        <v>27431.041000000001</v>
      </c>
      <c r="K3560">
        <v>3.7100000000000002E-3</v>
      </c>
      <c r="L3560">
        <v>1.0670000000000001E-2</v>
      </c>
      <c r="M3560">
        <v>8.0299999999999996E-2</v>
      </c>
      <c r="N3560">
        <v>5.79E-2</v>
      </c>
      <c r="O3560">
        <v>1.133E-2</v>
      </c>
      <c r="P3560" s="3">
        <f t="shared" si="220"/>
        <v>3645.5088127970016</v>
      </c>
      <c r="Q3560" s="3">
        <f t="shared" si="221"/>
        <v>3.7078321556691662E-3</v>
      </c>
      <c r="R3560" s="3">
        <f t="shared" si="222"/>
        <v>1.0670000000000001E-2</v>
      </c>
      <c r="S3560">
        <f t="shared" si="223"/>
        <v>101</v>
      </c>
      <c r="T3560">
        <f>INDEX([1]IDEN_level_ids!$B:$B,MATCH(G3560,[1]IDEN_level_ids!$A:$A,0),1)</f>
        <v>1129</v>
      </c>
      <c r="U3560">
        <f>INDEX([1]IDEN_level_ids!$B:$B,MATCH(H3560,[1]IDEN_level_ids!$A:$A,0),1)</f>
        <v>1069</v>
      </c>
    </row>
    <row r="3561" spans="1:21" hidden="1" x14ac:dyDescent="0.25">
      <c r="A3561">
        <v>27389.1106</v>
      </c>
      <c r="B3561">
        <v>3651.0861</v>
      </c>
      <c r="C3561">
        <v>22</v>
      </c>
      <c r="D3561" t="s">
        <v>726</v>
      </c>
      <c r="F3561">
        <v>1974</v>
      </c>
      <c r="G3561" s="1" t="s">
        <v>289</v>
      </c>
      <c r="H3561" s="1" t="s">
        <v>401</v>
      </c>
      <c r="I3561">
        <v>6.8900000000000003E-2</v>
      </c>
      <c r="J3561">
        <v>27389.131000000001</v>
      </c>
      <c r="K3561">
        <v>2.7200000000000002E-3</v>
      </c>
      <c r="L3561">
        <v>6.1399999999999996E-3</v>
      </c>
      <c r="M3561">
        <v>4.6100000000000002E-2</v>
      </c>
      <c r="N3561">
        <v>0.11459999999999999</v>
      </c>
      <c r="O3561">
        <v>6.94E-3</v>
      </c>
      <c r="P3561" s="3">
        <f t="shared" si="220"/>
        <v>3651.0860633787793</v>
      </c>
      <c r="Q3561" s="3">
        <f t="shared" si="221"/>
        <v>2.719405580592138E-3</v>
      </c>
      <c r="R3561" s="3">
        <f t="shared" si="222"/>
        <v>6.1399999999999996E-3</v>
      </c>
      <c r="S3561">
        <f t="shared" si="223"/>
        <v>101</v>
      </c>
      <c r="T3561">
        <f>INDEX([1]IDEN_level_ids!$B:$B,MATCH(G3561,[1]IDEN_level_ids!$A:$A,0),1)</f>
        <v>1122</v>
      </c>
      <c r="U3561">
        <f>INDEX([1]IDEN_level_ids!$B:$B,MATCH(H3561,[1]IDEN_level_ids!$A:$A,0),1)</f>
        <v>1063</v>
      </c>
    </row>
    <row r="3562" spans="1:21" hidden="1" x14ac:dyDescent="0.25">
      <c r="A3562">
        <v>27380.319800000001</v>
      </c>
      <c r="B3562">
        <v>3652.2583</v>
      </c>
      <c r="C3562">
        <v>22</v>
      </c>
      <c r="D3562" t="s">
        <v>726</v>
      </c>
      <c r="F3562">
        <v>1974</v>
      </c>
      <c r="G3562" s="1" t="s">
        <v>125</v>
      </c>
      <c r="H3562" s="1" t="s">
        <v>268</v>
      </c>
      <c r="I3562">
        <v>0</v>
      </c>
      <c r="J3562">
        <v>27380.3223</v>
      </c>
      <c r="K3562">
        <v>3.4000000000000002E-4</v>
      </c>
      <c r="L3562">
        <v>6.1399999999999996E-3</v>
      </c>
      <c r="M3562">
        <v>4.6100000000000002E-2</v>
      </c>
      <c r="N3562">
        <v>0.11210000000000001</v>
      </c>
      <c r="O3562">
        <v>6.9199999999999999E-3</v>
      </c>
      <c r="P3562" s="3">
        <f t="shared" si="220"/>
        <v>3652.2582910079814</v>
      </c>
      <c r="Q3562" s="3">
        <f t="shared" si="221"/>
        <v>3.3347473481626366E-4</v>
      </c>
      <c r="R3562" s="3">
        <f t="shared" si="222"/>
        <v>6.1399999999999996E-3</v>
      </c>
      <c r="S3562">
        <f t="shared" si="223"/>
        <v>101</v>
      </c>
      <c r="T3562">
        <f>INDEX([1]IDEN_level_ids!$B:$B,MATCH(G3562,[1]IDEN_level_ids!$A:$A,0),1)</f>
        <v>1253</v>
      </c>
      <c r="U3562">
        <f>INDEX([1]IDEN_level_ids!$B:$B,MATCH(H3562,[1]IDEN_level_ids!$A:$A,0),1)</f>
        <v>1160</v>
      </c>
    </row>
    <row r="3563" spans="1:21" hidden="1" x14ac:dyDescent="0.25">
      <c r="A3563">
        <v>27362.6194</v>
      </c>
      <c r="B3563">
        <v>3654.6208999999999</v>
      </c>
      <c r="C3563">
        <v>22</v>
      </c>
      <c r="D3563" t="s">
        <v>726</v>
      </c>
      <c r="F3563">
        <v>1974</v>
      </c>
      <c r="G3563" s="1" t="s">
        <v>134</v>
      </c>
      <c r="H3563" s="1" t="s">
        <v>469</v>
      </c>
      <c r="I3563">
        <v>0.36720000000000003</v>
      </c>
      <c r="J3563">
        <v>27362.581399999999</v>
      </c>
      <c r="K3563">
        <v>-5.0699999999999999E-3</v>
      </c>
      <c r="L3563">
        <v>6.1500000000000001E-3</v>
      </c>
      <c r="M3563">
        <v>4.6100000000000002E-2</v>
      </c>
      <c r="N3563">
        <v>0.15559999999999999</v>
      </c>
      <c r="O3563">
        <v>7.2899999999999996E-3</v>
      </c>
      <c r="P3563" s="3">
        <f t="shared" si="220"/>
        <v>3654.6208730294293</v>
      </c>
      <c r="Q3563" s="3">
        <f t="shared" si="221"/>
        <v>-5.0753834643728624E-3</v>
      </c>
      <c r="R3563" s="3">
        <f t="shared" si="222"/>
        <v>6.1500000000000001E-3</v>
      </c>
      <c r="S3563">
        <f t="shared" si="223"/>
        <v>101</v>
      </c>
      <c r="T3563">
        <f>INDEX([1]IDEN_level_ids!$B:$B,MATCH(G3563,[1]IDEN_level_ids!$A:$A,0),1)</f>
        <v>1114</v>
      </c>
      <c r="U3563">
        <f>INDEX([1]IDEN_level_ids!$B:$B,MATCH(H3563,[1]IDEN_level_ids!$A:$A,0),1)</f>
        <v>1048</v>
      </c>
    </row>
    <row r="3564" spans="1:21" hidden="1" x14ac:dyDescent="0.25">
      <c r="A3564">
        <v>27357.528300000002</v>
      </c>
      <c r="B3564">
        <v>3655.3009999999999</v>
      </c>
      <c r="C3564">
        <v>22</v>
      </c>
      <c r="D3564" t="s">
        <v>726</v>
      </c>
      <c r="F3564">
        <v>1974</v>
      </c>
      <c r="G3564" s="1" t="s">
        <v>280</v>
      </c>
      <c r="H3564" s="1" t="s">
        <v>413</v>
      </c>
      <c r="I3564">
        <v>6.4600000000000005E-2</v>
      </c>
      <c r="J3564">
        <v>27357.549800000001</v>
      </c>
      <c r="K3564">
        <v>2.8600000000000001E-3</v>
      </c>
      <c r="L3564">
        <v>6.1599999999999997E-3</v>
      </c>
      <c r="M3564">
        <v>4.6100000000000002E-2</v>
      </c>
      <c r="N3564">
        <v>0.15429999999999999</v>
      </c>
      <c r="O3564">
        <v>7.28E-3</v>
      </c>
      <c r="P3564" s="3">
        <f t="shared" si="220"/>
        <v>3655.3009798037929</v>
      </c>
      <c r="Q3564" s="3">
        <f t="shared" si="221"/>
        <v>2.8726611717502237E-3</v>
      </c>
      <c r="R3564" s="3">
        <f t="shared" si="222"/>
        <v>6.1599999999999997E-3</v>
      </c>
      <c r="S3564">
        <f t="shared" si="223"/>
        <v>101</v>
      </c>
      <c r="T3564">
        <f>INDEX([1]IDEN_level_ids!$B:$B,MATCH(G3564,[1]IDEN_level_ids!$A:$A,0),1)</f>
        <v>1130</v>
      </c>
      <c r="U3564">
        <f>INDEX([1]IDEN_level_ids!$B:$B,MATCH(H3564,[1]IDEN_level_ids!$A:$A,0),1)</f>
        <v>1071</v>
      </c>
    </row>
    <row r="3565" spans="1:21" hidden="1" x14ac:dyDescent="0.25">
      <c r="A3565">
        <v>27351.479899999998</v>
      </c>
      <c r="B3565">
        <v>3656.1093000000001</v>
      </c>
      <c r="C3565">
        <v>22</v>
      </c>
      <c r="D3565" t="s">
        <v>726</v>
      </c>
      <c r="F3565">
        <v>1974</v>
      </c>
      <c r="G3565" s="1" t="s">
        <v>687</v>
      </c>
      <c r="H3565" s="1" t="s">
        <v>610</v>
      </c>
      <c r="I3565">
        <v>0.45440000000000003</v>
      </c>
      <c r="J3565">
        <v>27351.443599999999</v>
      </c>
      <c r="K3565">
        <v>-4.8500000000000001E-3</v>
      </c>
      <c r="L3565">
        <v>6.1599999999999997E-3</v>
      </c>
      <c r="M3565">
        <v>4.6100000000000002E-2</v>
      </c>
      <c r="N3565">
        <v>0.29289999999999999</v>
      </c>
      <c r="O3565">
        <v>8.7100000000000007E-3</v>
      </c>
      <c r="P3565" s="3">
        <f t="shared" si="220"/>
        <v>3656.1092988610098</v>
      </c>
      <c r="Q3565" s="3">
        <f t="shared" si="221"/>
        <v>-4.8522765191592043E-3</v>
      </c>
      <c r="R3565" s="3">
        <f t="shared" si="222"/>
        <v>6.1599999999999997E-3</v>
      </c>
      <c r="S3565">
        <f t="shared" si="223"/>
        <v>101</v>
      </c>
      <c r="T3565">
        <f>INDEX([1]IDEN_level_ids!$B:$B,MATCH(G3565,[1]IDEN_level_ids!$A:$A,0),1)</f>
        <v>1087</v>
      </c>
      <c r="U3565">
        <f>INDEX([1]IDEN_level_ids!$B:$B,MATCH(H3565,[1]IDEN_level_ids!$A:$A,0),1)</f>
        <v>964</v>
      </c>
    </row>
    <row r="3566" spans="1:21" hidden="1" x14ac:dyDescent="0.25">
      <c r="A3566">
        <v>27350.512900000002</v>
      </c>
      <c r="B3566">
        <v>3656.2386000000001</v>
      </c>
      <c r="C3566">
        <v>22</v>
      </c>
      <c r="D3566" t="s">
        <v>726</v>
      </c>
      <c r="F3566">
        <v>1974</v>
      </c>
      <c r="G3566" s="1" t="s">
        <v>278</v>
      </c>
      <c r="H3566" s="1" t="s">
        <v>540</v>
      </c>
      <c r="I3566">
        <v>0.34399999999999997</v>
      </c>
      <c r="J3566">
        <v>27350.567500000001</v>
      </c>
      <c r="K3566">
        <v>7.3000000000000001E-3</v>
      </c>
      <c r="L3566">
        <v>6.1599999999999997E-3</v>
      </c>
      <c r="M3566">
        <v>4.6100000000000002E-2</v>
      </c>
      <c r="N3566">
        <v>0.1328</v>
      </c>
      <c r="O3566">
        <v>7.1000000000000004E-3</v>
      </c>
      <c r="P3566" s="3">
        <f t="shared" si="220"/>
        <v>3656.2385636285453</v>
      </c>
      <c r="Q3566" s="3">
        <f t="shared" si="221"/>
        <v>7.2989573463928537E-3</v>
      </c>
      <c r="R3566" s="3">
        <f t="shared" si="222"/>
        <v>6.1599999999999997E-3</v>
      </c>
      <c r="S3566">
        <f t="shared" si="223"/>
        <v>101</v>
      </c>
      <c r="T3566">
        <f>INDEX([1]IDEN_level_ids!$B:$B,MATCH(G3566,[1]IDEN_level_ids!$A:$A,0),1)</f>
        <v>1102</v>
      </c>
      <c r="U3566">
        <f>INDEX([1]IDEN_level_ids!$B:$B,MATCH(H3566,[1]IDEN_level_ids!$A:$A,0),1)</f>
        <v>1027</v>
      </c>
    </row>
    <row r="3567" spans="1:21" hidden="1" x14ac:dyDescent="0.25">
      <c r="A3567">
        <v>27322.358199999999</v>
      </c>
      <c r="B3567">
        <v>3660.0061999999998</v>
      </c>
      <c r="C3567">
        <v>22</v>
      </c>
      <c r="D3567" t="s">
        <v>726</v>
      </c>
      <c r="F3567">
        <v>1974</v>
      </c>
      <c r="G3567" s="1" t="s">
        <v>115</v>
      </c>
      <c r="H3567" s="1" t="s">
        <v>141</v>
      </c>
      <c r="I3567">
        <v>0</v>
      </c>
      <c r="J3567">
        <v>27322.368299999998</v>
      </c>
      <c r="K3567">
        <v>1.3600000000000001E-3</v>
      </c>
      <c r="L3567">
        <v>6.1700000000000001E-3</v>
      </c>
      <c r="M3567">
        <v>4.6100000000000002E-2</v>
      </c>
      <c r="N3567">
        <v>0.1055</v>
      </c>
      <c r="O3567">
        <v>6.8999999999999999E-3</v>
      </c>
      <c r="P3567" s="3">
        <f t="shared" si="220"/>
        <v>3660.006184971252</v>
      </c>
      <c r="Q3567" s="3">
        <f t="shared" si="221"/>
        <v>1.352959672203724E-3</v>
      </c>
      <c r="R3567" s="3">
        <f t="shared" si="222"/>
        <v>6.1700000000000001E-3</v>
      </c>
      <c r="S3567">
        <f t="shared" si="223"/>
        <v>101</v>
      </c>
      <c r="T3567">
        <f>INDEX([1]IDEN_level_ids!$B:$B,MATCH(G3567,[1]IDEN_level_ids!$A:$A,0),1)</f>
        <v>1252</v>
      </c>
      <c r="U3567">
        <f>INDEX([1]IDEN_level_ids!$B:$B,MATCH(H3567,[1]IDEN_level_ids!$A:$A,0),1)</f>
        <v>1155</v>
      </c>
    </row>
    <row r="3568" spans="1:21" hidden="1" x14ac:dyDescent="0.25">
      <c r="A3568">
        <v>27312.152300000002</v>
      </c>
      <c r="B3568">
        <v>3661.3737999999998</v>
      </c>
      <c r="C3568">
        <v>22</v>
      </c>
      <c r="D3568" t="s">
        <v>726</v>
      </c>
      <c r="E3568" t="s">
        <v>638</v>
      </c>
      <c r="F3568">
        <v>1974</v>
      </c>
      <c r="G3568" s="1" t="s">
        <v>715</v>
      </c>
      <c r="H3568" s="1" t="s">
        <v>602</v>
      </c>
      <c r="I3568">
        <v>0</v>
      </c>
      <c r="J3568">
        <v>27312.576000000001</v>
      </c>
      <c r="K3568">
        <v>5.6800000000000003E-2</v>
      </c>
      <c r="L3568">
        <v>2.317E-2</v>
      </c>
      <c r="M3568">
        <v>0.17280000000000001</v>
      </c>
      <c r="N3568">
        <v>1.7500000000000002E-2</v>
      </c>
      <c r="O3568">
        <v>2.358E-2</v>
      </c>
      <c r="P3568" s="3">
        <f t="shared" si="220"/>
        <v>3661.3738420021914</v>
      </c>
      <c r="Q3568" s="3">
        <f t="shared" si="221"/>
        <v>5.6798893551786023E-2</v>
      </c>
      <c r="R3568" s="3">
        <f t="shared" si="222"/>
        <v>2.317E-2</v>
      </c>
      <c r="S3568">
        <f t="shared" si="223"/>
        <v>101</v>
      </c>
      <c r="T3568">
        <f>INDEX([1]IDEN_level_ids!$B:$B,MATCH(G3568,[1]IDEN_level_ids!$A:$A,0),1)</f>
        <v>1249</v>
      </c>
      <c r="U3568">
        <f>INDEX([1]IDEN_level_ids!$B:$B,MATCH(H3568,[1]IDEN_level_ids!$A:$A,0),1)</f>
        <v>1125</v>
      </c>
    </row>
    <row r="3569" spans="1:21" hidden="1" x14ac:dyDescent="0.25">
      <c r="A3569">
        <v>27298.5887</v>
      </c>
      <c r="B3569">
        <v>3663.1930000000002</v>
      </c>
      <c r="C3569">
        <v>22</v>
      </c>
      <c r="D3569" t="s">
        <v>726</v>
      </c>
      <c r="F3569">
        <v>1974</v>
      </c>
      <c r="G3569" s="1" t="s">
        <v>299</v>
      </c>
      <c r="H3569" s="1" t="s">
        <v>580</v>
      </c>
      <c r="I3569">
        <v>0.20710000000000001</v>
      </c>
      <c r="J3569">
        <v>27298.569</v>
      </c>
      <c r="K3569">
        <v>-2.64E-3</v>
      </c>
      <c r="L3569">
        <v>6.1799999999999997E-3</v>
      </c>
      <c r="M3569">
        <v>4.6100000000000002E-2</v>
      </c>
      <c r="N3569">
        <v>0.1081</v>
      </c>
      <c r="O3569">
        <v>6.9300000000000004E-3</v>
      </c>
      <c r="P3569" s="3">
        <f t="shared" si="220"/>
        <v>3663.1930353234707</v>
      </c>
      <c r="Q3569" s="3">
        <f t="shared" si="221"/>
        <v>-2.6435416011736379E-3</v>
      </c>
      <c r="R3569" s="3">
        <f t="shared" si="222"/>
        <v>6.1799999999999997E-3</v>
      </c>
      <c r="S3569">
        <f t="shared" si="223"/>
        <v>101</v>
      </c>
      <c r="T3569">
        <f>INDEX([1]IDEN_level_ids!$B:$B,MATCH(G3569,[1]IDEN_level_ids!$A:$A,0),1)</f>
        <v>1101</v>
      </c>
      <c r="U3569">
        <f>INDEX([1]IDEN_level_ids!$B:$B,MATCH(H3569,[1]IDEN_level_ids!$A:$A,0),1)</f>
        <v>1001</v>
      </c>
    </row>
    <row r="3570" spans="1:21" hidden="1" x14ac:dyDescent="0.25">
      <c r="A3570">
        <v>27267.659299999999</v>
      </c>
      <c r="B3570">
        <v>3667.3481999999999</v>
      </c>
      <c r="C3570">
        <v>22</v>
      </c>
      <c r="D3570" t="s">
        <v>726</v>
      </c>
      <c r="E3570" t="s">
        <v>678</v>
      </c>
      <c r="F3570">
        <v>1974</v>
      </c>
      <c r="G3570" s="1" t="s">
        <v>276</v>
      </c>
      <c r="H3570" s="1" t="s">
        <v>407</v>
      </c>
      <c r="I3570">
        <v>-0.72809999999999997</v>
      </c>
      <c r="J3570">
        <v>27267.658500000001</v>
      </c>
      <c r="K3570">
        <v>-1E-4</v>
      </c>
      <c r="L3570">
        <v>9.7999999999999997E-3</v>
      </c>
      <c r="M3570">
        <v>7.2800000000000004E-2</v>
      </c>
      <c r="N3570">
        <v>5.3900000000000003E-2</v>
      </c>
      <c r="O3570">
        <v>1.035E-2</v>
      </c>
      <c r="P3570" s="3">
        <f t="shared" si="220"/>
        <v>3667.3481540822977</v>
      </c>
      <c r="Q3570" s="3">
        <f t="shared" si="221"/>
        <v>-1.0759554288597428E-4</v>
      </c>
      <c r="R3570" s="3">
        <f t="shared" si="222"/>
        <v>9.7999999999999997E-3</v>
      </c>
      <c r="S3570">
        <f t="shared" si="223"/>
        <v>101</v>
      </c>
      <c r="T3570">
        <f>INDEX([1]IDEN_level_ids!$B:$B,MATCH(G3570,[1]IDEN_level_ids!$A:$A,0),1)</f>
        <v>1131</v>
      </c>
      <c r="U3570">
        <f>INDEX([1]IDEN_level_ids!$B:$B,MATCH(H3570,[1]IDEN_level_ids!$A:$A,0),1)</f>
        <v>1073</v>
      </c>
    </row>
    <row r="3571" spans="1:21" hidden="1" x14ac:dyDescent="0.25">
      <c r="A3571">
        <v>27265.561099999999</v>
      </c>
      <c r="B3571">
        <v>3667.6304</v>
      </c>
      <c r="C3571">
        <v>22</v>
      </c>
      <c r="D3571" t="s">
        <v>726</v>
      </c>
      <c r="F3571">
        <v>1974</v>
      </c>
      <c r="G3571" s="1" t="s">
        <v>262</v>
      </c>
      <c r="H3571" s="1" t="s">
        <v>516</v>
      </c>
      <c r="I3571">
        <v>0.36720000000000003</v>
      </c>
      <c r="J3571">
        <v>27265.528200000001</v>
      </c>
      <c r="K3571">
        <v>-4.4299999999999999E-3</v>
      </c>
      <c r="L3571">
        <v>6.1999999999999998E-3</v>
      </c>
      <c r="M3571">
        <v>4.6100000000000002E-2</v>
      </c>
      <c r="N3571">
        <v>0.18870000000000001</v>
      </c>
      <c r="O3571">
        <v>7.6400000000000001E-3</v>
      </c>
      <c r="P3571" s="3">
        <f t="shared" si="220"/>
        <v>3667.6303720006704</v>
      </c>
      <c r="Q3571" s="3">
        <f t="shared" si="221"/>
        <v>-4.4255529674046556E-3</v>
      </c>
      <c r="R3571" s="3">
        <f t="shared" si="222"/>
        <v>6.1999999999999998E-3</v>
      </c>
      <c r="S3571">
        <f t="shared" si="223"/>
        <v>101</v>
      </c>
      <c r="T3571">
        <f>INDEX([1]IDEN_level_ids!$B:$B,MATCH(G3571,[1]IDEN_level_ids!$A:$A,0),1)</f>
        <v>1115</v>
      </c>
      <c r="U3571">
        <f>INDEX([1]IDEN_level_ids!$B:$B,MATCH(H3571,[1]IDEN_level_ids!$A:$A,0),1)</f>
        <v>1050</v>
      </c>
    </row>
    <row r="3572" spans="1:21" hidden="1" x14ac:dyDescent="0.25">
      <c r="A3572">
        <v>27257.911400000001</v>
      </c>
      <c r="B3572">
        <v>3668.6597000000002</v>
      </c>
      <c r="C3572">
        <v>22</v>
      </c>
      <c r="D3572" t="s">
        <v>726</v>
      </c>
      <c r="F3572">
        <v>1974</v>
      </c>
      <c r="G3572" s="1" t="s">
        <v>491</v>
      </c>
      <c r="H3572" s="1" t="s">
        <v>333</v>
      </c>
      <c r="I3572">
        <v>0</v>
      </c>
      <c r="J3572">
        <v>27257.870999999999</v>
      </c>
      <c r="K3572">
        <v>-5.4400000000000004E-3</v>
      </c>
      <c r="L3572">
        <v>6.1999999999999998E-3</v>
      </c>
      <c r="M3572">
        <v>4.6100000000000002E-2</v>
      </c>
      <c r="N3572">
        <v>0.36180000000000001</v>
      </c>
      <c r="O3572">
        <v>9.7199999999999995E-3</v>
      </c>
      <c r="P3572" s="3">
        <f t="shared" si="220"/>
        <v>3668.6596611360324</v>
      </c>
      <c r="Q3572" s="3">
        <f t="shared" si="221"/>
        <v>-5.437469797925587E-3</v>
      </c>
      <c r="R3572" s="3">
        <f t="shared" si="222"/>
        <v>6.1999999999999998E-3</v>
      </c>
      <c r="S3572">
        <f t="shared" si="223"/>
        <v>101</v>
      </c>
      <c r="T3572">
        <f>INDEX([1]IDEN_level_ids!$B:$B,MATCH(G3572,[1]IDEN_level_ids!$A:$A,0),1)</f>
        <v>967</v>
      </c>
      <c r="U3572">
        <f>INDEX([1]IDEN_level_ids!$B:$B,MATCH(H3572,[1]IDEN_level_ids!$A:$A,0),1)</f>
        <v>848</v>
      </c>
    </row>
    <row r="3573" spans="1:21" hidden="1" x14ac:dyDescent="0.25">
      <c r="A3573">
        <v>27237.3874</v>
      </c>
      <c r="B3573">
        <v>3671.4241000000002</v>
      </c>
      <c r="C3573">
        <v>22</v>
      </c>
      <c r="D3573" t="s">
        <v>726</v>
      </c>
      <c r="F3573">
        <v>1974</v>
      </c>
      <c r="G3573" s="1" t="s">
        <v>309</v>
      </c>
      <c r="H3573" s="1" t="s">
        <v>553</v>
      </c>
      <c r="I3573">
        <v>0</v>
      </c>
      <c r="J3573">
        <v>27237.3802</v>
      </c>
      <c r="K3573">
        <v>-9.7999999999999997E-4</v>
      </c>
      <c r="L3573">
        <v>6.2100000000000002E-3</v>
      </c>
      <c r="M3573">
        <v>4.6100000000000002E-2</v>
      </c>
      <c r="N3573">
        <v>0.49909999999999999</v>
      </c>
      <c r="O3573">
        <v>1.24E-2</v>
      </c>
      <c r="P3573" s="3">
        <f t="shared" si="220"/>
        <v>3671.424080857329</v>
      </c>
      <c r="Q3573" s="3">
        <f t="shared" si="221"/>
        <v>-9.7051380089396844E-4</v>
      </c>
      <c r="R3573" s="3">
        <f t="shared" si="222"/>
        <v>6.2100000000000002E-3</v>
      </c>
      <c r="S3573">
        <f t="shared" si="223"/>
        <v>101</v>
      </c>
      <c r="T3573">
        <f>INDEX([1]IDEN_level_ids!$B:$B,MATCH(G3573,[1]IDEN_level_ids!$A:$A,0),1)</f>
        <v>1094</v>
      </c>
      <c r="U3573">
        <f>INDEX([1]IDEN_level_ids!$B:$B,MATCH(H3573,[1]IDEN_level_ids!$A:$A,0),1)</f>
        <v>976</v>
      </c>
    </row>
    <row r="3574" spans="1:21" hidden="1" x14ac:dyDescent="0.25">
      <c r="A3574">
        <v>27220.831999999999</v>
      </c>
      <c r="B3574">
        <v>3673.6570000000002</v>
      </c>
      <c r="C3574">
        <v>22</v>
      </c>
      <c r="D3574" t="s">
        <v>726</v>
      </c>
      <c r="F3574">
        <v>1974</v>
      </c>
      <c r="G3574" s="1" t="s">
        <v>262</v>
      </c>
      <c r="H3574" s="1" t="s">
        <v>438</v>
      </c>
      <c r="I3574">
        <v>0</v>
      </c>
      <c r="J3574">
        <v>27220.817200000001</v>
      </c>
      <c r="K3574">
        <v>-2E-3</v>
      </c>
      <c r="L3574">
        <v>6.2199999999999998E-3</v>
      </c>
      <c r="M3574">
        <v>4.6100000000000002E-2</v>
      </c>
      <c r="N3574">
        <v>9.7100000000000006E-2</v>
      </c>
      <c r="O3574">
        <v>6.8900000000000003E-3</v>
      </c>
      <c r="P3574" s="3">
        <f t="shared" si="220"/>
        <v>3673.6569991688721</v>
      </c>
      <c r="Q3574" s="3">
        <f t="shared" si="221"/>
        <v>-1.9973729363300663E-3</v>
      </c>
      <c r="R3574" s="3">
        <f t="shared" si="222"/>
        <v>6.2199999999999998E-3</v>
      </c>
      <c r="S3574">
        <f t="shared" si="223"/>
        <v>101</v>
      </c>
      <c r="T3574">
        <f>INDEX([1]IDEN_level_ids!$B:$B,MATCH(G3574,[1]IDEN_level_ids!$A:$A,0),1)</f>
        <v>1115</v>
      </c>
      <c r="U3574">
        <f>INDEX([1]IDEN_level_ids!$B:$B,MATCH(H3574,[1]IDEN_level_ids!$A:$A,0),1)</f>
        <v>1051</v>
      </c>
    </row>
    <row r="3575" spans="1:21" hidden="1" x14ac:dyDescent="0.25">
      <c r="A3575">
        <v>27208.707200000001</v>
      </c>
      <c r="B3575">
        <v>3675.2941000000001</v>
      </c>
      <c r="C3575">
        <v>22</v>
      </c>
      <c r="D3575" t="s">
        <v>727</v>
      </c>
      <c r="E3575" t="s">
        <v>681</v>
      </c>
      <c r="F3575">
        <v>1974</v>
      </c>
      <c r="G3575" s="1" t="s">
        <v>534</v>
      </c>
      <c r="H3575" s="1" t="s">
        <v>569</v>
      </c>
      <c r="I3575">
        <v>0.32779999999999998</v>
      </c>
      <c r="J3575">
        <v>27208.681499999999</v>
      </c>
      <c r="K3575">
        <v>-3.48E-3</v>
      </c>
      <c r="L3575">
        <v>1.085E-2</v>
      </c>
      <c r="M3575">
        <v>8.0299999999999996E-2</v>
      </c>
      <c r="N3575">
        <v>7.7399999999999997E-2</v>
      </c>
      <c r="O3575">
        <v>1.176E-2</v>
      </c>
      <c r="P3575" s="3">
        <f t="shared" si="220"/>
        <v>3675.2940617479981</v>
      </c>
      <c r="Q3575" s="3">
        <f t="shared" si="221"/>
        <v>-3.4715043943833734E-3</v>
      </c>
      <c r="R3575" s="3">
        <f t="shared" si="222"/>
        <v>1.085E-2</v>
      </c>
      <c r="S3575">
        <f t="shared" si="223"/>
        <v>102</v>
      </c>
      <c r="T3575">
        <f>INDEX([1]IDEN_level_ids!$B:$B,MATCH(G3575,[1]IDEN_level_ids!$A:$A,0),1)</f>
        <v>1116</v>
      </c>
      <c r="U3575">
        <f>INDEX([1]IDEN_level_ids!$B:$B,MATCH(H3575,[1]IDEN_level_ids!$A:$A,0),1)</f>
        <v>1049</v>
      </c>
    </row>
    <row r="3576" spans="1:21" hidden="1" x14ac:dyDescent="0.25">
      <c r="A3576">
        <v>27203.4411</v>
      </c>
      <c r="B3576">
        <v>3676.0055000000002</v>
      </c>
      <c r="C3576">
        <v>22</v>
      </c>
      <c r="D3576" t="s">
        <v>727</v>
      </c>
      <c r="F3576">
        <v>1974</v>
      </c>
      <c r="G3576" s="1" t="s">
        <v>293</v>
      </c>
      <c r="H3576" s="1" t="s">
        <v>401</v>
      </c>
      <c r="I3576">
        <v>6.8900000000000003E-2</v>
      </c>
      <c r="J3576">
        <v>27203.4146</v>
      </c>
      <c r="K3576">
        <v>-3.5899999999999999E-3</v>
      </c>
      <c r="L3576">
        <v>6.2199999999999998E-3</v>
      </c>
      <c r="M3576">
        <v>4.6100000000000002E-2</v>
      </c>
      <c r="N3576">
        <v>0.1147</v>
      </c>
      <c r="O3576">
        <v>7.0299999999999998E-3</v>
      </c>
      <c r="P3576" s="3">
        <f t="shared" si="220"/>
        <v>3676.005532991192</v>
      </c>
      <c r="Q3576" s="3">
        <f t="shared" si="221"/>
        <v>-3.5809529081234359E-3</v>
      </c>
      <c r="R3576" s="3">
        <f t="shared" si="222"/>
        <v>6.2199999999999998E-3</v>
      </c>
      <c r="S3576">
        <f t="shared" si="223"/>
        <v>102</v>
      </c>
      <c r="T3576">
        <f>INDEX([1]IDEN_level_ids!$B:$B,MATCH(G3576,[1]IDEN_level_ids!$A:$A,0),1)</f>
        <v>1121</v>
      </c>
      <c r="U3576">
        <f>INDEX([1]IDEN_level_ids!$B:$B,MATCH(H3576,[1]IDEN_level_ids!$A:$A,0),1)</f>
        <v>1063</v>
      </c>
    </row>
    <row r="3577" spans="1:21" hidden="1" x14ac:dyDescent="0.25">
      <c r="A3577">
        <v>27197.737300000001</v>
      </c>
      <c r="B3577">
        <v>3676.7764999999999</v>
      </c>
      <c r="C3577">
        <v>22</v>
      </c>
      <c r="D3577" t="s">
        <v>727</v>
      </c>
      <c r="F3577">
        <v>1974</v>
      </c>
      <c r="G3577" s="1" t="s">
        <v>172</v>
      </c>
      <c r="H3577" s="1" t="s">
        <v>453</v>
      </c>
      <c r="I3577">
        <v>0.26840000000000003</v>
      </c>
      <c r="J3577">
        <v>27197.694899999999</v>
      </c>
      <c r="K3577">
        <v>-5.7400000000000003E-3</v>
      </c>
      <c r="L3577">
        <v>6.2300000000000003E-3</v>
      </c>
      <c r="M3577">
        <v>4.6100000000000002E-2</v>
      </c>
      <c r="N3577">
        <v>0.1052</v>
      </c>
      <c r="O3577">
        <v>6.96E-3</v>
      </c>
      <c r="P3577" s="3">
        <f t="shared" si="220"/>
        <v>3676.7764500762346</v>
      </c>
      <c r="Q3577" s="3">
        <f t="shared" si="221"/>
        <v>-5.7319314032611146E-3</v>
      </c>
      <c r="R3577" s="3">
        <f t="shared" si="222"/>
        <v>6.2300000000000003E-3</v>
      </c>
      <c r="S3577">
        <f t="shared" si="223"/>
        <v>102</v>
      </c>
      <c r="T3577">
        <f>INDEX([1]IDEN_level_ids!$B:$B,MATCH(G3577,[1]IDEN_level_ids!$A:$A,0),1)</f>
        <v>1136</v>
      </c>
      <c r="U3577">
        <f>INDEX([1]IDEN_level_ids!$B:$B,MATCH(H3577,[1]IDEN_level_ids!$A:$A,0),1)</f>
        <v>1078</v>
      </c>
    </row>
    <row r="3578" spans="1:21" hidden="1" x14ac:dyDescent="0.25">
      <c r="A3578">
        <v>27179.819800000001</v>
      </c>
      <c r="B3578">
        <v>3679.2003</v>
      </c>
      <c r="C3578">
        <v>22</v>
      </c>
      <c r="D3578" t="s">
        <v>727</v>
      </c>
      <c r="E3578" t="s">
        <v>681</v>
      </c>
      <c r="F3578">
        <v>1974</v>
      </c>
      <c r="G3578" s="1" t="s">
        <v>443</v>
      </c>
      <c r="H3578" s="1" t="s">
        <v>379</v>
      </c>
      <c r="I3578">
        <v>0.72550000000000003</v>
      </c>
      <c r="J3578">
        <v>27179.600299999998</v>
      </c>
      <c r="K3578">
        <v>-2.971E-2</v>
      </c>
      <c r="L3578">
        <v>1.0869999999999999E-2</v>
      </c>
      <c r="M3578">
        <v>8.0299999999999996E-2</v>
      </c>
      <c r="N3578">
        <v>7.0300000000000001E-2</v>
      </c>
      <c r="O3578">
        <v>1.1690000000000001E-2</v>
      </c>
      <c r="P3578" s="3">
        <f t="shared" si="220"/>
        <v>3679.200257243795</v>
      </c>
      <c r="Q3578" s="3">
        <f t="shared" si="221"/>
        <v>-2.9712889356687811E-2</v>
      </c>
      <c r="R3578" s="3">
        <f t="shared" si="222"/>
        <v>1.0869999999999999E-2</v>
      </c>
      <c r="S3578">
        <f t="shared" si="223"/>
        <v>102</v>
      </c>
      <c r="T3578">
        <f>INDEX([1]IDEN_level_ids!$B:$B,MATCH(G3578,[1]IDEN_level_ids!$A:$A,0),1)</f>
        <v>1145</v>
      </c>
      <c r="U3578">
        <f>INDEX([1]IDEN_level_ids!$B:$B,MATCH(H3578,[1]IDEN_level_ids!$A:$A,0),1)</f>
        <v>1083</v>
      </c>
    </row>
    <row r="3579" spans="1:21" hidden="1" x14ac:dyDescent="0.25">
      <c r="A3579">
        <v>27174.780699999999</v>
      </c>
      <c r="B3579">
        <v>3679.8825000000002</v>
      </c>
      <c r="C3579">
        <v>22</v>
      </c>
      <c r="D3579" t="s">
        <v>727</v>
      </c>
      <c r="F3579">
        <v>1974</v>
      </c>
      <c r="G3579" s="1" t="s">
        <v>138</v>
      </c>
      <c r="H3579" s="1" t="s">
        <v>451</v>
      </c>
      <c r="I3579">
        <v>0.38469999999999999</v>
      </c>
      <c r="J3579">
        <v>27174.782299999999</v>
      </c>
      <c r="K3579">
        <v>2.1000000000000001E-4</v>
      </c>
      <c r="L3579">
        <v>6.2399999999999999E-3</v>
      </c>
      <c r="M3579">
        <v>4.6100000000000002E-2</v>
      </c>
      <c r="N3579">
        <v>9.4899999999999998E-2</v>
      </c>
      <c r="O3579">
        <v>6.8900000000000003E-3</v>
      </c>
      <c r="P3579" s="3">
        <f t="shared" si="220"/>
        <v>3679.8825022348756</v>
      </c>
      <c r="Q3579" s="3">
        <f t="shared" si="221"/>
        <v>2.1666455086233327E-4</v>
      </c>
      <c r="R3579" s="3">
        <f t="shared" si="222"/>
        <v>6.2399999999999999E-3</v>
      </c>
      <c r="S3579">
        <f t="shared" si="223"/>
        <v>102</v>
      </c>
      <c r="T3579">
        <f>INDEX([1]IDEN_level_ids!$B:$B,MATCH(G3579,[1]IDEN_level_ids!$A:$A,0),1)</f>
        <v>1126</v>
      </c>
      <c r="U3579">
        <f>INDEX([1]IDEN_level_ids!$B:$B,MATCH(H3579,[1]IDEN_level_ids!$A:$A,0),1)</f>
        <v>1066</v>
      </c>
    </row>
    <row r="3580" spans="1:21" hidden="1" x14ac:dyDescent="0.25">
      <c r="A3580">
        <v>27163.477999999999</v>
      </c>
      <c r="B3580">
        <v>3681.4137000000001</v>
      </c>
      <c r="C3580">
        <v>22</v>
      </c>
      <c r="D3580" t="s">
        <v>727</v>
      </c>
      <c r="E3580" t="s">
        <v>681</v>
      </c>
      <c r="F3580">
        <v>1974</v>
      </c>
      <c r="G3580" s="1" t="s">
        <v>443</v>
      </c>
      <c r="H3580" s="1" t="s">
        <v>381</v>
      </c>
      <c r="I3580">
        <v>0.47020000000000001</v>
      </c>
      <c r="J3580">
        <v>27163.492999999999</v>
      </c>
      <c r="K3580">
        <v>2.0300000000000001E-3</v>
      </c>
      <c r="L3580">
        <v>1.0880000000000001E-2</v>
      </c>
      <c r="M3580">
        <v>8.0299999999999996E-2</v>
      </c>
      <c r="N3580">
        <v>6.1899999999999997E-2</v>
      </c>
      <c r="O3580">
        <v>1.1599999999999999E-2</v>
      </c>
      <c r="P3580" s="3">
        <f t="shared" si="220"/>
        <v>3681.4136982016812</v>
      </c>
      <c r="Q3580" s="3">
        <f t="shared" si="221"/>
        <v>2.03291990010257E-3</v>
      </c>
      <c r="R3580" s="3">
        <f t="shared" si="222"/>
        <v>1.0880000000000001E-2</v>
      </c>
      <c r="S3580">
        <f t="shared" si="223"/>
        <v>102</v>
      </c>
      <c r="T3580">
        <f>INDEX([1]IDEN_level_ids!$B:$B,MATCH(G3580,[1]IDEN_level_ids!$A:$A,0),1)</f>
        <v>1145</v>
      </c>
      <c r="U3580">
        <f>INDEX([1]IDEN_level_ids!$B:$B,MATCH(H3580,[1]IDEN_level_ids!$A:$A,0),1)</f>
        <v>1084</v>
      </c>
    </row>
    <row r="3581" spans="1:21" hidden="1" x14ac:dyDescent="0.25">
      <c r="A3581">
        <v>27157.8099</v>
      </c>
      <c r="B3581">
        <v>3682.1819999999998</v>
      </c>
      <c r="C3581">
        <v>22</v>
      </c>
      <c r="D3581" t="s">
        <v>727</v>
      </c>
      <c r="F3581">
        <v>1974</v>
      </c>
      <c r="G3581" s="1" t="s">
        <v>239</v>
      </c>
      <c r="H3581" s="1" t="s">
        <v>327</v>
      </c>
      <c r="I3581">
        <v>0</v>
      </c>
      <c r="J3581">
        <v>27157.8158</v>
      </c>
      <c r="K3581">
        <v>8.0000000000000004E-4</v>
      </c>
      <c r="L3581">
        <v>6.2500000000000003E-3</v>
      </c>
      <c r="M3581">
        <v>4.6100000000000002E-2</v>
      </c>
      <c r="N3581">
        <v>0.14410000000000001</v>
      </c>
      <c r="O3581">
        <v>7.3000000000000001E-3</v>
      </c>
      <c r="P3581" s="3">
        <f t="shared" si="220"/>
        <v>3682.1820451729432</v>
      </c>
      <c r="Q3581" s="3">
        <f t="shared" si="221"/>
        <v>7.9994923862614087E-4</v>
      </c>
      <c r="R3581" s="3">
        <f t="shared" si="222"/>
        <v>6.2500000000000003E-3</v>
      </c>
      <c r="S3581">
        <f t="shared" si="223"/>
        <v>102</v>
      </c>
      <c r="T3581">
        <f>INDEX([1]IDEN_level_ids!$B:$B,MATCH(G3581,[1]IDEN_level_ids!$A:$A,0),1)</f>
        <v>1167</v>
      </c>
      <c r="U3581">
        <f>INDEX([1]IDEN_level_ids!$B:$B,MATCH(H3581,[1]IDEN_level_ids!$A:$A,0),1)</f>
        <v>1086</v>
      </c>
    </row>
    <row r="3582" spans="1:21" hidden="1" x14ac:dyDescent="0.25">
      <c r="A3582">
        <v>27150.988399999998</v>
      </c>
      <c r="B3582">
        <v>3683.1071999999999</v>
      </c>
      <c r="C3582">
        <v>22</v>
      </c>
      <c r="D3582" t="s">
        <v>727</v>
      </c>
      <c r="F3582">
        <v>1974</v>
      </c>
      <c r="G3582" s="1" t="s">
        <v>716</v>
      </c>
      <c r="H3582" s="1" t="s">
        <v>383</v>
      </c>
      <c r="I3582">
        <v>-0.31840000000000002</v>
      </c>
      <c r="J3582">
        <v>27151.0026</v>
      </c>
      <c r="K3582">
        <v>1.9300000000000001E-3</v>
      </c>
      <c r="L3582">
        <v>6.2500000000000003E-3</v>
      </c>
      <c r="M3582">
        <v>4.6100000000000002E-2</v>
      </c>
      <c r="N3582">
        <v>0.25779999999999997</v>
      </c>
      <c r="O3582">
        <v>8.4200000000000004E-3</v>
      </c>
      <c r="P3582" s="3">
        <f t="shared" si="220"/>
        <v>3683.1071682090219</v>
      </c>
      <c r="Q3582" s="3">
        <f t="shared" si="221"/>
        <v>1.9262685273133684E-3</v>
      </c>
      <c r="R3582" s="3">
        <f t="shared" si="222"/>
        <v>6.2500000000000003E-3</v>
      </c>
      <c r="S3582">
        <f t="shared" si="223"/>
        <v>102</v>
      </c>
      <c r="T3582">
        <f>INDEX([1]IDEN_level_ids!$B:$B,MATCH(G3582,[1]IDEN_level_ids!$A:$A,0),1)</f>
        <v>1219</v>
      </c>
      <c r="U3582">
        <f>INDEX([1]IDEN_level_ids!$B:$B,MATCH(H3582,[1]IDEN_level_ids!$A:$A,0),1)</f>
        <v>1097</v>
      </c>
    </row>
    <row r="3583" spans="1:21" hidden="1" x14ac:dyDescent="0.25">
      <c r="A3583">
        <v>27146.337100000001</v>
      </c>
      <c r="B3583">
        <v>3683.7381999999998</v>
      </c>
      <c r="C3583">
        <v>22</v>
      </c>
      <c r="D3583" t="s">
        <v>727</v>
      </c>
      <c r="F3583">
        <v>1974</v>
      </c>
      <c r="G3583" s="1" t="s">
        <v>203</v>
      </c>
      <c r="H3583" s="1" t="s">
        <v>451</v>
      </c>
      <c r="I3583">
        <v>0.38469999999999999</v>
      </c>
      <c r="J3583">
        <v>27146.325400000002</v>
      </c>
      <c r="K3583">
        <v>-1.5900000000000001E-3</v>
      </c>
      <c r="L3583">
        <v>6.2500000000000003E-3</v>
      </c>
      <c r="M3583">
        <v>4.6100000000000002E-2</v>
      </c>
      <c r="N3583">
        <v>0.11269999999999999</v>
      </c>
      <c r="O3583">
        <v>7.0499999999999998E-3</v>
      </c>
      <c r="P3583" s="3">
        <f t="shared" si="220"/>
        <v>3683.7382381139</v>
      </c>
      <c r="Q3583" s="3">
        <f t="shared" si="221"/>
        <v>-1.5876821908022976E-3</v>
      </c>
      <c r="R3583" s="3">
        <f t="shared" si="222"/>
        <v>6.2500000000000003E-3</v>
      </c>
      <c r="S3583">
        <f t="shared" si="223"/>
        <v>102</v>
      </c>
      <c r="T3583">
        <f>INDEX([1]IDEN_level_ids!$B:$B,MATCH(G3583,[1]IDEN_level_ids!$A:$A,0),1)</f>
        <v>1127</v>
      </c>
      <c r="U3583">
        <f>INDEX([1]IDEN_level_ids!$B:$B,MATCH(H3583,[1]IDEN_level_ids!$A:$A,0),1)</f>
        <v>1066</v>
      </c>
    </row>
    <row r="3584" spans="1:21" hidden="1" x14ac:dyDescent="0.25">
      <c r="A3584">
        <v>27138.560799999999</v>
      </c>
      <c r="B3584">
        <v>3684.7937999999999</v>
      </c>
      <c r="C3584">
        <v>22</v>
      </c>
      <c r="D3584" t="s">
        <v>727</v>
      </c>
      <c r="F3584">
        <v>1974</v>
      </c>
      <c r="G3584" s="1" t="s">
        <v>125</v>
      </c>
      <c r="H3584" s="1" t="s">
        <v>117</v>
      </c>
      <c r="I3584">
        <v>0</v>
      </c>
      <c r="J3584">
        <v>27138.568500000001</v>
      </c>
      <c r="K3584">
        <v>1.0499999999999999E-3</v>
      </c>
      <c r="L3584">
        <v>6.2500000000000003E-3</v>
      </c>
      <c r="M3584">
        <v>4.6100000000000002E-2</v>
      </c>
      <c r="N3584">
        <v>0.1123</v>
      </c>
      <c r="O3584">
        <v>7.0499999999999998E-3</v>
      </c>
      <c r="P3584" s="3">
        <f t="shared" si="220"/>
        <v>3684.7937787474716</v>
      </c>
      <c r="Q3584" s="3">
        <f t="shared" si="221"/>
        <v>1.045483003508707E-3</v>
      </c>
      <c r="R3584" s="3">
        <f t="shared" si="222"/>
        <v>6.2500000000000003E-3</v>
      </c>
      <c r="S3584">
        <f t="shared" si="223"/>
        <v>102</v>
      </c>
      <c r="T3584">
        <f>INDEX([1]IDEN_level_ids!$B:$B,MATCH(G3584,[1]IDEN_level_ids!$A:$A,0),1)</f>
        <v>1253</v>
      </c>
      <c r="U3584">
        <f>INDEX([1]IDEN_level_ids!$B:$B,MATCH(H3584,[1]IDEN_level_ids!$A:$A,0),1)</f>
        <v>1162</v>
      </c>
    </row>
    <row r="3585" spans="1:21" hidden="1" x14ac:dyDescent="0.25">
      <c r="A3585">
        <v>27116.360499999999</v>
      </c>
      <c r="B3585">
        <v>3687.8105</v>
      </c>
      <c r="C3585">
        <v>22</v>
      </c>
      <c r="D3585" t="s">
        <v>727</v>
      </c>
      <c r="E3585" t="s">
        <v>661</v>
      </c>
      <c r="F3585">
        <v>1974</v>
      </c>
      <c r="G3585" s="1" t="s">
        <v>334</v>
      </c>
      <c r="H3585" s="1" t="s">
        <v>375</v>
      </c>
      <c r="I3585">
        <v>0.28789999999999999</v>
      </c>
      <c r="J3585">
        <v>27116.371899999998</v>
      </c>
      <c r="K3585">
        <v>1.5499999999999999E-3</v>
      </c>
      <c r="L3585">
        <v>6.8900000000000003E-3</v>
      </c>
      <c r="M3585">
        <v>5.0700000000000002E-2</v>
      </c>
      <c r="N3585">
        <v>7.9699999999999993E-2</v>
      </c>
      <c r="O3585">
        <v>7.4900000000000001E-3</v>
      </c>
      <c r="P3585" s="3">
        <f t="shared" si="220"/>
        <v>3687.8105378485438</v>
      </c>
      <c r="Q3585" s="3">
        <f t="shared" si="221"/>
        <v>1.5503932563660783E-3</v>
      </c>
      <c r="R3585" s="3">
        <f t="shared" si="222"/>
        <v>6.8900000000000003E-3</v>
      </c>
      <c r="S3585">
        <f t="shared" si="223"/>
        <v>102</v>
      </c>
      <c r="T3585">
        <f>INDEX([1]IDEN_level_ids!$B:$B,MATCH(G3585,[1]IDEN_level_ids!$A:$A,0),1)</f>
        <v>1124</v>
      </c>
      <c r="U3585">
        <f>INDEX([1]IDEN_level_ids!$B:$B,MATCH(H3585,[1]IDEN_level_ids!$A:$A,0),1)</f>
        <v>1065</v>
      </c>
    </row>
    <row r="3586" spans="1:21" hidden="1" x14ac:dyDescent="0.25">
      <c r="A3586">
        <v>27094.033299999999</v>
      </c>
      <c r="B3586">
        <v>3690.8494999999998</v>
      </c>
      <c r="C3586">
        <v>22</v>
      </c>
      <c r="D3586" t="s">
        <v>727</v>
      </c>
      <c r="F3586">
        <v>1974</v>
      </c>
      <c r="G3586" s="1" t="s">
        <v>27</v>
      </c>
      <c r="H3586" s="1" t="s">
        <v>459</v>
      </c>
      <c r="I3586">
        <v>0</v>
      </c>
      <c r="J3586">
        <v>27094.087</v>
      </c>
      <c r="K3586">
        <v>7.3200000000000001E-3</v>
      </c>
      <c r="L3586">
        <v>6.28E-3</v>
      </c>
      <c r="M3586">
        <v>4.6100000000000002E-2</v>
      </c>
      <c r="N3586">
        <v>0.26840000000000003</v>
      </c>
      <c r="O3586">
        <v>8.5800000000000008E-3</v>
      </c>
      <c r="P3586" s="3">
        <f t="shared" ref="P3586:P3649" si="224">100000000/$A3586</f>
        <v>3690.8495273754611</v>
      </c>
      <c r="Q3586" s="3">
        <f t="shared" ref="Q3586:Q3649" si="225">100000000/($A3586)-100000000/$J3586</f>
        <v>7.3151983169736923E-3</v>
      </c>
      <c r="R3586" s="3">
        <f t="shared" si="222"/>
        <v>6.28E-3</v>
      </c>
      <c r="S3586">
        <f t="shared" si="223"/>
        <v>102</v>
      </c>
      <c r="T3586">
        <f>INDEX([1]IDEN_level_ids!$B:$B,MATCH(G3586,[1]IDEN_level_ids!$A:$A,0),1)</f>
        <v>1242</v>
      </c>
      <c r="U3586">
        <f>INDEX([1]IDEN_level_ids!$B:$B,MATCH(H3586,[1]IDEN_level_ids!$A:$A,0),1)</f>
        <v>1108</v>
      </c>
    </row>
    <row r="3587" spans="1:21" hidden="1" x14ac:dyDescent="0.25">
      <c r="A3587">
        <v>27085.380399999998</v>
      </c>
      <c r="B3587">
        <v>3692.0286000000001</v>
      </c>
      <c r="C3587">
        <v>22</v>
      </c>
      <c r="D3587" t="s">
        <v>727</v>
      </c>
      <c r="E3587" t="s">
        <v>661</v>
      </c>
      <c r="F3587">
        <v>1974</v>
      </c>
      <c r="G3587" s="1" t="s">
        <v>172</v>
      </c>
      <c r="H3587" s="1" t="s">
        <v>450</v>
      </c>
      <c r="I3587">
        <v>0.2989</v>
      </c>
      <c r="J3587">
        <v>27085.378199999999</v>
      </c>
      <c r="K3587">
        <v>-3.1E-4</v>
      </c>
      <c r="L3587">
        <v>6.8999999999999999E-3</v>
      </c>
      <c r="M3587">
        <v>5.0700000000000002E-2</v>
      </c>
      <c r="N3587">
        <v>7.3800000000000004E-2</v>
      </c>
      <c r="O3587">
        <v>7.4599999999999996E-3</v>
      </c>
      <c r="P3587" s="3">
        <f t="shared" si="224"/>
        <v>3692.0286340154194</v>
      </c>
      <c r="Q3587" s="3">
        <f t="shared" si="225"/>
        <v>-2.9988368351041572E-4</v>
      </c>
      <c r="R3587" s="3">
        <f t="shared" ref="R3587:R3650" si="226">$L3587</f>
        <v>6.8999999999999999E-3</v>
      </c>
      <c r="S3587">
        <f t="shared" si="223"/>
        <v>102</v>
      </c>
      <c r="T3587">
        <f>INDEX([1]IDEN_level_ids!$B:$B,MATCH(G3587,[1]IDEN_level_ids!$A:$A,0),1)</f>
        <v>1136</v>
      </c>
      <c r="U3587">
        <f>INDEX([1]IDEN_level_ids!$B:$B,MATCH(H3587,[1]IDEN_level_ids!$A:$A,0),1)</f>
        <v>1077</v>
      </c>
    </row>
    <row r="3588" spans="1:21" hidden="1" x14ac:dyDescent="0.25">
      <c r="A3588">
        <v>27075.081300000002</v>
      </c>
      <c r="B3588">
        <v>3693.4331000000002</v>
      </c>
      <c r="C3588">
        <v>22</v>
      </c>
      <c r="D3588" t="s">
        <v>727</v>
      </c>
      <c r="F3588">
        <v>1974</v>
      </c>
      <c r="G3588" s="1" t="s">
        <v>302</v>
      </c>
      <c r="H3588" s="1" t="s">
        <v>580</v>
      </c>
      <c r="I3588">
        <v>0.20710000000000001</v>
      </c>
      <c r="J3588">
        <v>27075.140299999999</v>
      </c>
      <c r="K3588">
        <v>8.0499999999999999E-3</v>
      </c>
      <c r="L3588">
        <v>6.28E-3</v>
      </c>
      <c r="M3588">
        <v>4.6100000000000002E-2</v>
      </c>
      <c r="N3588">
        <v>0.115</v>
      </c>
      <c r="O3588">
        <v>7.1000000000000004E-3</v>
      </c>
      <c r="P3588" s="3">
        <f t="shared" si="224"/>
        <v>3693.4330461271779</v>
      </c>
      <c r="Q3588" s="3">
        <f t="shared" si="225"/>
        <v>8.0484365839765815E-3</v>
      </c>
      <c r="R3588" s="3">
        <f t="shared" si="226"/>
        <v>6.28E-3</v>
      </c>
      <c r="S3588">
        <f t="shared" ref="S3588:S3651" si="227">IF(D3588=D3587,S3587,S3587+1)</f>
        <v>102</v>
      </c>
      <c r="T3588">
        <f>INDEX([1]IDEN_level_ids!$B:$B,MATCH(G3588,[1]IDEN_level_ids!$A:$A,0),1)</f>
        <v>1100</v>
      </c>
      <c r="U3588">
        <f>INDEX([1]IDEN_level_ids!$B:$B,MATCH(H3588,[1]IDEN_level_ids!$A:$A,0),1)</f>
        <v>1001</v>
      </c>
    </row>
    <row r="3589" spans="1:21" hidden="1" x14ac:dyDescent="0.25">
      <c r="A3589">
        <v>27059.919699999999</v>
      </c>
      <c r="B3589">
        <v>3695.5025000000001</v>
      </c>
      <c r="C3589">
        <v>22</v>
      </c>
      <c r="D3589" t="s">
        <v>727</v>
      </c>
      <c r="F3589">
        <v>1974</v>
      </c>
      <c r="G3589" s="1" t="s">
        <v>256</v>
      </c>
      <c r="H3589" s="1" t="s">
        <v>410</v>
      </c>
      <c r="I3589">
        <v>0.1043</v>
      </c>
      <c r="J3589">
        <v>27059.913700000001</v>
      </c>
      <c r="K3589">
        <v>-8.0999999999999996E-4</v>
      </c>
      <c r="L3589">
        <v>6.2899999999999996E-3</v>
      </c>
      <c r="M3589">
        <v>4.6100000000000002E-2</v>
      </c>
      <c r="N3589">
        <v>0.1167</v>
      </c>
      <c r="O3589">
        <v>7.1199999999999996E-3</v>
      </c>
      <c r="P3589" s="3">
        <f t="shared" si="224"/>
        <v>3695.5024666980075</v>
      </c>
      <c r="Q3589" s="3">
        <f t="shared" si="225"/>
        <v>-8.1940449035755591E-4</v>
      </c>
      <c r="R3589" s="3">
        <f t="shared" si="226"/>
        <v>6.2899999999999996E-3</v>
      </c>
      <c r="S3589">
        <f t="shared" si="227"/>
        <v>102</v>
      </c>
      <c r="T3589">
        <f>INDEX([1]IDEN_level_ids!$B:$B,MATCH(G3589,[1]IDEN_level_ids!$A:$A,0),1)</f>
        <v>1120</v>
      </c>
      <c r="U3589">
        <f>INDEX([1]IDEN_level_ids!$B:$B,MATCH(H3589,[1]IDEN_level_ids!$A:$A,0),1)</f>
        <v>1056</v>
      </c>
    </row>
    <row r="3590" spans="1:21" hidden="1" x14ac:dyDescent="0.25">
      <c r="A3590">
        <v>27059.467000000001</v>
      </c>
      <c r="B3590">
        <v>3695.5643</v>
      </c>
      <c r="C3590">
        <v>22</v>
      </c>
      <c r="D3590" t="s">
        <v>727</v>
      </c>
      <c r="F3590">
        <v>1974</v>
      </c>
      <c r="G3590" s="1" t="s">
        <v>712</v>
      </c>
      <c r="H3590" s="1" t="s">
        <v>293</v>
      </c>
      <c r="I3590">
        <v>0</v>
      </c>
      <c r="J3590">
        <v>27059.454699999998</v>
      </c>
      <c r="K3590">
        <v>-1.6800000000000001E-3</v>
      </c>
      <c r="L3590">
        <v>6.2899999999999996E-3</v>
      </c>
      <c r="M3590">
        <v>4.6100000000000002E-2</v>
      </c>
      <c r="N3590">
        <v>0.12089999999999999</v>
      </c>
      <c r="O3590">
        <v>7.1599999999999997E-3</v>
      </c>
      <c r="P3590" s="3">
        <f t="shared" si="224"/>
        <v>3695.5642917874175</v>
      </c>
      <c r="Q3590" s="3">
        <f t="shared" si="225"/>
        <v>-1.6798358024061599E-3</v>
      </c>
      <c r="R3590" s="3">
        <f t="shared" si="226"/>
        <v>6.2899999999999996E-3</v>
      </c>
      <c r="S3590">
        <f t="shared" si="227"/>
        <v>102</v>
      </c>
      <c r="T3590">
        <f>INDEX([1]IDEN_level_ids!$B:$B,MATCH(G3590,[1]IDEN_level_ids!$A:$A,0),1)</f>
        <v>1247</v>
      </c>
      <c r="U3590">
        <f>INDEX([1]IDEN_level_ids!$B:$B,MATCH(H3590,[1]IDEN_level_ids!$A:$A,0),1)</f>
        <v>1121</v>
      </c>
    </row>
    <row r="3591" spans="1:21" hidden="1" x14ac:dyDescent="0.25">
      <c r="A3591">
        <v>27057.0196</v>
      </c>
      <c r="B3591">
        <v>3695.8986</v>
      </c>
      <c r="C3591">
        <v>22</v>
      </c>
      <c r="D3591" t="s">
        <v>727</v>
      </c>
      <c r="F3591">
        <v>1974</v>
      </c>
      <c r="G3591" s="1" t="s">
        <v>343</v>
      </c>
      <c r="H3591" s="1" t="s">
        <v>519</v>
      </c>
      <c r="I3591">
        <v>0</v>
      </c>
      <c r="J3591">
        <v>27057.016500000002</v>
      </c>
      <c r="K3591">
        <v>-4.2000000000000002E-4</v>
      </c>
      <c r="L3591">
        <v>6.2899999999999996E-3</v>
      </c>
      <c r="M3591">
        <v>4.6100000000000002E-2</v>
      </c>
      <c r="N3591">
        <v>0.93820000000000003</v>
      </c>
      <c r="O3591">
        <v>0.10181</v>
      </c>
      <c r="P3591" s="3">
        <f t="shared" si="224"/>
        <v>3695.8985682222001</v>
      </c>
      <c r="Q3591" s="3">
        <f t="shared" si="225"/>
        <v>-4.2344970097474288E-4</v>
      </c>
      <c r="R3591" s="3">
        <f t="shared" si="226"/>
        <v>6.2899999999999996E-3</v>
      </c>
      <c r="S3591">
        <f t="shared" si="227"/>
        <v>102</v>
      </c>
      <c r="T3591">
        <f>INDEX([1]IDEN_level_ids!$B:$B,MATCH(G3591,[1]IDEN_level_ids!$A:$A,0),1)</f>
        <v>912</v>
      </c>
      <c r="U3591">
        <f>INDEX([1]IDEN_level_ids!$B:$B,MATCH(H3591,[1]IDEN_level_ids!$A:$A,0),1)</f>
        <v>660</v>
      </c>
    </row>
    <row r="3592" spans="1:21" hidden="1" x14ac:dyDescent="0.25">
      <c r="A3592">
        <v>27009.8701</v>
      </c>
      <c r="B3592">
        <v>3702.3503000000001</v>
      </c>
      <c r="C3592">
        <v>22</v>
      </c>
      <c r="D3592" t="s">
        <v>728</v>
      </c>
      <c r="E3592" t="s">
        <v>427</v>
      </c>
      <c r="F3592">
        <v>1974</v>
      </c>
      <c r="G3592" s="1" t="s">
        <v>272</v>
      </c>
      <c r="H3592" s="1" t="s">
        <v>477</v>
      </c>
      <c r="I3592">
        <v>0.32490000000000002</v>
      </c>
      <c r="J3592">
        <v>27009.844400000002</v>
      </c>
      <c r="K3592">
        <v>-3.5200000000000001E-3</v>
      </c>
      <c r="L3592">
        <v>6.6800000000000002E-3</v>
      </c>
      <c r="M3592">
        <v>4.87E-2</v>
      </c>
      <c r="N3592">
        <v>0.14660000000000001</v>
      </c>
      <c r="O3592">
        <v>7.8300000000000002E-3</v>
      </c>
      <c r="P3592" s="3">
        <f t="shared" si="224"/>
        <v>3702.3502752795544</v>
      </c>
      <c r="Q3592" s="3">
        <f t="shared" si="225"/>
        <v>-3.5228045248913986E-3</v>
      </c>
      <c r="R3592" s="3">
        <f t="shared" si="226"/>
        <v>6.6800000000000002E-3</v>
      </c>
      <c r="S3592">
        <f t="shared" si="227"/>
        <v>103</v>
      </c>
      <c r="T3592">
        <f>INDEX([1]IDEN_level_ids!$B:$B,MATCH(G3592,[1]IDEN_level_ids!$A:$A,0),1)</f>
        <v>1109</v>
      </c>
      <c r="U3592">
        <f>INDEX([1]IDEN_level_ids!$B:$B,MATCH(H3592,[1]IDEN_level_ids!$A:$A,0),1)</f>
        <v>1045</v>
      </c>
    </row>
    <row r="3593" spans="1:21" hidden="1" x14ac:dyDescent="0.25">
      <c r="A3593">
        <v>26982.6499</v>
      </c>
      <c r="B3593">
        <v>3706.0852</v>
      </c>
      <c r="C3593">
        <v>22</v>
      </c>
      <c r="D3593" t="s">
        <v>728</v>
      </c>
      <c r="F3593">
        <v>1974</v>
      </c>
      <c r="G3593" s="1" t="s">
        <v>273</v>
      </c>
      <c r="H3593" s="1" t="s">
        <v>445</v>
      </c>
      <c r="I3593">
        <v>0</v>
      </c>
      <c r="J3593">
        <v>26982.647000000001</v>
      </c>
      <c r="K3593">
        <v>-4.0000000000000002E-4</v>
      </c>
      <c r="L3593">
        <v>6.3299999999999997E-3</v>
      </c>
      <c r="M3593">
        <v>4.6100000000000002E-2</v>
      </c>
      <c r="N3593">
        <v>0.11550000000000001</v>
      </c>
      <c r="O3593">
        <v>7.1500000000000001E-3</v>
      </c>
      <c r="P3593" s="3">
        <f t="shared" si="224"/>
        <v>3706.0852203400527</v>
      </c>
      <c r="Q3593" s="3">
        <f t="shared" si="225"/>
        <v>-3.9831700496506528E-4</v>
      </c>
      <c r="R3593" s="3">
        <f t="shared" si="226"/>
        <v>6.3299999999999997E-3</v>
      </c>
      <c r="S3593">
        <f t="shared" si="227"/>
        <v>103</v>
      </c>
      <c r="T3593">
        <f>INDEX([1]IDEN_level_ids!$B:$B,MATCH(G3593,[1]IDEN_level_ids!$A:$A,0),1)</f>
        <v>1105</v>
      </c>
      <c r="U3593">
        <f>INDEX([1]IDEN_level_ids!$B:$B,MATCH(H3593,[1]IDEN_level_ids!$A:$A,0),1)</f>
        <v>1041</v>
      </c>
    </row>
    <row r="3594" spans="1:21" hidden="1" x14ac:dyDescent="0.25">
      <c r="A3594">
        <v>26979.038799999998</v>
      </c>
      <c r="B3594">
        <v>3706.5812999999998</v>
      </c>
      <c r="C3594">
        <v>22</v>
      </c>
      <c r="D3594" t="s">
        <v>728</v>
      </c>
      <c r="F3594">
        <v>1974</v>
      </c>
      <c r="G3594" s="1" t="s">
        <v>333</v>
      </c>
      <c r="H3594" s="1" t="s">
        <v>96</v>
      </c>
      <c r="I3594">
        <v>0</v>
      </c>
      <c r="J3594">
        <v>26979.0321</v>
      </c>
      <c r="K3594">
        <v>-9.2000000000000003E-4</v>
      </c>
      <c r="L3594">
        <v>6.3299999999999997E-3</v>
      </c>
      <c r="M3594">
        <v>4.6100000000000002E-2</v>
      </c>
      <c r="N3594">
        <v>0.93100000000000005</v>
      </c>
      <c r="O3594">
        <v>9.1719999999999996E-2</v>
      </c>
      <c r="P3594" s="3">
        <f t="shared" si="224"/>
        <v>3706.581273755387</v>
      </c>
      <c r="Q3594" s="3">
        <f t="shared" si="225"/>
        <v>-9.2049612567279837E-4</v>
      </c>
      <c r="R3594" s="3">
        <f t="shared" si="226"/>
        <v>6.3299999999999997E-3</v>
      </c>
      <c r="S3594">
        <f t="shared" si="227"/>
        <v>103</v>
      </c>
      <c r="T3594">
        <f>INDEX([1]IDEN_level_ids!$B:$B,MATCH(G3594,[1]IDEN_level_ids!$A:$A,0),1)</f>
        <v>848</v>
      </c>
      <c r="U3594">
        <f>INDEX([1]IDEN_level_ids!$B:$B,MATCH(H3594,[1]IDEN_level_ids!$A:$A,0),1)</f>
        <v>466</v>
      </c>
    </row>
    <row r="3595" spans="1:21" hidden="1" x14ac:dyDescent="0.25">
      <c r="A3595">
        <v>26953.478999999999</v>
      </c>
      <c r="B3595">
        <v>3710.0962</v>
      </c>
      <c r="C3595">
        <v>22</v>
      </c>
      <c r="D3595" t="s">
        <v>728</v>
      </c>
      <c r="E3595" t="s">
        <v>681</v>
      </c>
      <c r="F3595">
        <v>1974</v>
      </c>
      <c r="G3595" s="1" t="s">
        <v>329</v>
      </c>
      <c r="H3595" s="1" t="s">
        <v>384</v>
      </c>
      <c r="I3595">
        <v>0.77869999999999995</v>
      </c>
      <c r="J3595">
        <v>26953.321</v>
      </c>
      <c r="K3595">
        <v>-2.1739999999999999E-2</v>
      </c>
      <c r="L3595">
        <v>1.1050000000000001E-2</v>
      </c>
      <c r="M3595">
        <v>8.0299999999999996E-2</v>
      </c>
      <c r="N3595">
        <v>6.3799999999999996E-2</v>
      </c>
      <c r="O3595">
        <v>1.1809999999999999E-2</v>
      </c>
      <c r="P3595" s="3">
        <f t="shared" si="224"/>
        <v>3710.0961994553654</v>
      </c>
      <c r="Q3595" s="3">
        <f t="shared" si="225"/>
        <v>-2.1748533307345497E-2</v>
      </c>
      <c r="R3595" s="3">
        <f t="shared" si="226"/>
        <v>1.1050000000000001E-2</v>
      </c>
      <c r="S3595">
        <f t="shared" si="227"/>
        <v>103</v>
      </c>
      <c r="T3595">
        <f>INDEX([1]IDEN_level_ids!$B:$B,MATCH(G3595,[1]IDEN_level_ids!$A:$A,0),1)</f>
        <v>1138</v>
      </c>
      <c r="U3595">
        <f>INDEX([1]IDEN_level_ids!$B:$B,MATCH(H3595,[1]IDEN_level_ids!$A:$A,0),1)</f>
        <v>1080</v>
      </c>
    </row>
    <row r="3596" spans="1:21" hidden="1" x14ac:dyDescent="0.25">
      <c r="A3596">
        <v>26898.123299999999</v>
      </c>
      <c r="B3596">
        <v>3717.7314999999999</v>
      </c>
      <c r="C3596">
        <v>22</v>
      </c>
      <c r="D3596" t="s">
        <v>728</v>
      </c>
      <c r="E3596" t="s">
        <v>427</v>
      </c>
      <c r="F3596">
        <v>1974</v>
      </c>
      <c r="G3596" s="1" t="s">
        <v>255</v>
      </c>
      <c r="H3596" s="1" t="s">
        <v>438</v>
      </c>
      <c r="I3596">
        <v>0</v>
      </c>
      <c r="J3596">
        <v>26898.113300000001</v>
      </c>
      <c r="K3596">
        <v>-1.3799999999999999E-3</v>
      </c>
      <c r="L3596">
        <v>6.7299999999999999E-3</v>
      </c>
      <c r="M3596">
        <v>4.87E-2</v>
      </c>
      <c r="N3596">
        <v>9.4500000000000001E-2</v>
      </c>
      <c r="O3596">
        <v>7.4400000000000004E-3</v>
      </c>
      <c r="P3596" s="3">
        <f t="shared" si="224"/>
        <v>3717.7314894678916</v>
      </c>
      <c r="Q3596" s="3">
        <f t="shared" si="225"/>
        <v>-1.3821532565998496E-3</v>
      </c>
      <c r="R3596" s="3">
        <f t="shared" si="226"/>
        <v>6.7299999999999999E-3</v>
      </c>
      <c r="S3596">
        <f t="shared" si="227"/>
        <v>103</v>
      </c>
      <c r="T3596">
        <f>INDEX([1]IDEN_level_ids!$B:$B,MATCH(G3596,[1]IDEN_level_ids!$A:$A,0),1)</f>
        <v>1111</v>
      </c>
      <c r="U3596">
        <f>INDEX([1]IDEN_level_ids!$B:$B,MATCH(H3596,[1]IDEN_level_ids!$A:$A,0),1)</f>
        <v>1051</v>
      </c>
    </row>
    <row r="3597" spans="1:21" hidden="1" x14ac:dyDescent="0.25">
      <c r="A3597">
        <v>26756.7726</v>
      </c>
      <c r="B3597">
        <v>3737.3715000000002</v>
      </c>
      <c r="C3597">
        <v>22</v>
      </c>
      <c r="D3597" t="s">
        <v>728</v>
      </c>
      <c r="E3597" t="s">
        <v>638</v>
      </c>
      <c r="F3597">
        <v>1974</v>
      </c>
      <c r="G3597" s="1" t="s">
        <v>289</v>
      </c>
      <c r="H3597" s="1" t="s">
        <v>375</v>
      </c>
      <c r="I3597">
        <v>5.6800000000000003E-2</v>
      </c>
      <c r="J3597">
        <v>26756.511699999999</v>
      </c>
      <c r="K3597">
        <v>-3.644E-2</v>
      </c>
      <c r="L3597">
        <v>2.4140000000000002E-2</v>
      </c>
      <c r="M3597">
        <v>0.17280000000000001</v>
      </c>
      <c r="N3597">
        <v>1.61E-2</v>
      </c>
      <c r="O3597">
        <v>2.453E-2</v>
      </c>
      <c r="P3597" s="3">
        <f t="shared" si="224"/>
        <v>3737.3715243967804</v>
      </c>
      <c r="Q3597" s="3">
        <f t="shared" si="225"/>
        <v>-3.6442726228415268E-2</v>
      </c>
      <c r="R3597" s="3">
        <f t="shared" si="226"/>
        <v>2.4140000000000002E-2</v>
      </c>
      <c r="S3597">
        <f t="shared" si="227"/>
        <v>103</v>
      </c>
      <c r="T3597">
        <f>INDEX([1]IDEN_level_ids!$B:$B,MATCH(G3597,[1]IDEN_level_ids!$A:$A,0),1)</f>
        <v>1122</v>
      </c>
      <c r="U3597">
        <f>INDEX([1]IDEN_level_ids!$B:$B,MATCH(H3597,[1]IDEN_level_ids!$A:$A,0),1)</f>
        <v>1065</v>
      </c>
    </row>
    <row r="3598" spans="1:21" hidden="1" x14ac:dyDescent="0.25">
      <c r="A3598">
        <v>26730.247899999998</v>
      </c>
      <c r="B3598">
        <v>3741.0801999999999</v>
      </c>
      <c r="C3598">
        <v>22</v>
      </c>
      <c r="D3598" t="s">
        <v>728</v>
      </c>
      <c r="F3598">
        <v>1974</v>
      </c>
      <c r="G3598" s="1" t="s">
        <v>282</v>
      </c>
      <c r="H3598" s="1" t="s">
        <v>407</v>
      </c>
      <c r="I3598">
        <v>0.27489999999999998</v>
      </c>
      <c r="J3598">
        <v>26730.213800000001</v>
      </c>
      <c r="K3598">
        <v>-4.7699999999999999E-3</v>
      </c>
      <c r="L3598">
        <v>6.45E-3</v>
      </c>
      <c r="M3598">
        <v>4.6100000000000002E-2</v>
      </c>
      <c r="N3598">
        <v>8.2699999999999996E-2</v>
      </c>
      <c r="O3598">
        <v>7.0299999999999998E-3</v>
      </c>
      <c r="P3598" s="3">
        <f t="shared" si="224"/>
        <v>3741.0801566116415</v>
      </c>
      <c r="Q3598" s="3">
        <f t="shared" si="225"/>
        <v>-4.7725332196932868E-3</v>
      </c>
      <c r="R3598" s="3">
        <f t="shared" si="226"/>
        <v>6.45E-3</v>
      </c>
      <c r="S3598">
        <f t="shared" si="227"/>
        <v>103</v>
      </c>
      <c r="T3598">
        <f>INDEX([1]IDEN_level_ids!$B:$B,MATCH(G3598,[1]IDEN_level_ids!$A:$A,0),1)</f>
        <v>1128</v>
      </c>
      <c r="U3598">
        <f>INDEX([1]IDEN_level_ids!$B:$B,MATCH(H3598,[1]IDEN_level_ids!$A:$A,0),1)</f>
        <v>1073</v>
      </c>
    </row>
    <row r="3599" spans="1:21" hidden="1" x14ac:dyDescent="0.25">
      <c r="A3599">
        <v>26693.503400000001</v>
      </c>
      <c r="B3599">
        <v>3746.2298999999998</v>
      </c>
      <c r="C3599">
        <v>22</v>
      </c>
      <c r="D3599" t="s">
        <v>728</v>
      </c>
      <c r="F3599">
        <v>1974</v>
      </c>
      <c r="G3599" s="1" t="s">
        <v>275</v>
      </c>
      <c r="H3599" s="1" t="s">
        <v>453</v>
      </c>
      <c r="I3599">
        <v>0.26840000000000003</v>
      </c>
      <c r="J3599">
        <v>26693.480200000002</v>
      </c>
      <c r="K3599">
        <v>-3.2599999999999999E-3</v>
      </c>
      <c r="L3599">
        <v>6.4700000000000001E-3</v>
      </c>
      <c r="M3599">
        <v>4.6100000000000002E-2</v>
      </c>
      <c r="N3599">
        <v>9.8299999999999998E-2</v>
      </c>
      <c r="O3599">
        <v>7.1700000000000002E-3</v>
      </c>
      <c r="P3599" s="3">
        <f t="shared" si="224"/>
        <v>3746.2298785404091</v>
      </c>
      <c r="Q3599" s="3">
        <f t="shared" si="225"/>
        <v>-3.2559461160417413E-3</v>
      </c>
      <c r="R3599" s="3">
        <f t="shared" si="226"/>
        <v>6.4700000000000001E-3</v>
      </c>
      <c r="S3599">
        <f t="shared" si="227"/>
        <v>103</v>
      </c>
      <c r="T3599">
        <f>INDEX([1]IDEN_level_ids!$B:$B,MATCH(G3599,[1]IDEN_level_ids!$A:$A,0),1)</f>
        <v>1134</v>
      </c>
      <c r="U3599">
        <f>INDEX([1]IDEN_level_ids!$B:$B,MATCH(H3599,[1]IDEN_level_ids!$A:$A,0),1)</f>
        <v>1078</v>
      </c>
    </row>
    <row r="3600" spans="1:21" hidden="1" x14ac:dyDescent="0.25">
      <c r="A3600">
        <v>26645.843199999999</v>
      </c>
      <c r="B3600">
        <v>3752.9306000000001</v>
      </c>
      <c r="C3600">
        <v>22</v>
      </c>
      <c r="D3600" t="s">
        <v>728</v>
      </c>
      <c r="F3600">
        <v>1974</v>
      </c>
      <c r="G3600" s="1" t="s">
        <v>238</v>
      </c>
      <c r="H3600" s="1" t="s">
        <v>327</v>
      </c>
      <c r="I3600">
        <v>0</v>
      </c>
      <c r="J3600">
        <v>26645.830099999999</v>
      </c>
      <c r="K3600">
        <v>-1.8400000000000001E-3</v>
      </c>
      <c r="L3600">
        <v>6.4900000000000001E-3</v>
      </c>
      <c r="M3600">
        <v>4.6100000000000002E-2</v>
      </c>
      <c r="N3600">
        <v>0.13850000000000001</v>
      </c>
      <c r="O3600">
        <v>7.5300000000000002E-3</v>
      </c>
      <c r="P3600" s="3">
        <f t="shared" si="224"/>
        <v>3752.9305884378996</v>
      </c>
      <c r="Q3600" s="3">
        <f t="shared" si="225"/>
        <v>-1.8450688353368605E-3</v>
      </c>
      <c r="R3600" s="3">
        <f t="shared" si="226"/>
        <v>6.4900000000000001E-3</v>
      </c>
      <c r="S3600">
        <f t="shared" si="227"/>
        <v>103</v>
      </c>
      <c r="T3600">
        <f>INDEX([1]IDEN_level_ids!$B:$B,MATCH(G3600,[1]IDEN_level_ids!$A:$A,0),1)</f>
        <v>1165</v>
      </c>
      <c r="U3600">
        <f>INDEX([1]IDEN_level_ids!$B:$B,MATCH(H3600,[1]IDEN_level_ids!$A:$A,0),1)</f>
        <v>1086</v>
      </c>
    </row>
    <row r="3601" spans="1:21" hidden="1" x14ac:dyDescent="0.25">
      <c r="A3601">
        <v>26633.023300000001</v>
      </c>
      <c r="B3601">
        <v>3754.7370999999998</v>
      </c>
      <c r="C3601">
        <v>22</v>
      </c>
      <c r="D3601" t="s">
        <v>728</v>
      </c>
      <c r="F3601">
        <v>1974</v>
      </c>
      <c r="G3601" s="1" t="s">
        <v>302</v>
      </c>
      <c r="H3601" s="1" t="s">
        <v>565</v>
      </c>
      <c r="I3601">
        <v>0.1676</v>
      </c>
      <c r="J3601">
        <v>26633.001700000001</v>
      </c>
      <c r="K3601">
        <v>-3.0500000000000002E-3</v>
      </c>
      <c r="L3601">
        <v>6.4900000000000001E-3</v>
      </c>
      <c r="M3601">
        <v>4.6100000000000002E-2</v>
      </c>
      <c r="N3601">
        <v>0.13650000000000001</v>
      </c>
      <c r="O3601">
        <v>7.5199999999999998E-3</v>
      </c>
      <c r="P3601" s="3">
        <f t="shared" si="224"/>
        <v>3754.7370748554858</v>
      </c>
      <c r="Q3601" s="3">
        <f t="shared" si="225"/>
        <v>-3.0451813777290226E-3</v>
      </c>
      <c r="R3601" s="3">
        <f t="shared" si="226"/>
        <v>6.4900000000000001E-3</v>
      </c>
      <c r="S3601">
        <f t="shared" si="227"/>
        <v>103</v>
      </c>
      <c r="T3601">
        <f>INDEX([1]IDEN_level_ids!$B:$B,MATCH(G3601,[1]IDEN_level_ids!$A:$A,0),1)</f>
        <v>1100</v>
      </c>
      <c r="U3601">
        <f>INDEX([1]IDEN_level_ids!$B:$B,MATCH(H3601,[1]IDEN_level_ids!$A:$A,0),1)</f>
        <v>1004</v>
      </c>
    </row>
    <row r="3602" spans="1:21" hidden="1" x14ac:dyDescent="0.25">
      <c r="A3602">
        <v>26581.203099999999</v>
      </c>
      <c r="B3602">
        <v>3762.0569999999998</v>
      </c>
      <c r="C3602">
        <v>22</v>
      </c>
      <c r="D3602" t="s">
        <v>728</v>
      </c>
      <c r="F3602">
        <v>1974</v>
      </c>
      <c r="G3602" s="1" t="s">
        <v>275</v>
      </c>
      <c r="H3602" s="1" t="s">
        <v>450</v>
      </c>
      <c r="I3602">
        <v>0.2989</v>
      </c>
      <c r="J3602">
        <v>26581.163499999999</v>
      </c>
      <c r="K3602">
        <v>-5.5999999999999999E-3</v>
      </c>
      <c r="L3602">
        <v>6.5199999999999998E-3</v>
      </c>
      <c r="M3602">
        <v>4.6100000000000002E-2</v>
      </c>
      <c r="N3602">
        <v>7.9100000000000004E-2</v>
      </c>
      <c r="O3602">
        <v>7.0800000000000004E-3</v>
      </c>
      <c r="P3602" s="3">
        <f t="shared" si="224"/>
        <v>3762.0569552023026</v>
      </c>
      <c r="Q3602" s="3">
        <f t="shared" si="225"/>
        <v>-5.604625072919589E-3</v>
      </c>
      <c r="R3602" s="3">
        <f t="shared" si="226"/>
        <v>6.5199999999999998E-3</v>
      </c>
      <c r="S3602">
        <f t="shared" si="227"/>
        <v>103</v>
      </c>
      <c r="T3602">
        <f>INDEX([1]IDEN_level_ids!$B:$B,MATCH(G3602,[1]IDEN_level_ids!$A:$A,0),1)</f>
        <v>1134</v>
      </c>
      <c r="U3602">
        <f>INDEX([1]IDEN_level_ids!$B:$B,MATCH(H3602,[1]IDEN_level_ids!$A:$A,0),1)</f>
        <v>1077</v>
      </c>
    </row>
    <row r="3603" spans="1:21" hidden="1" x14ac:dyDescent="0.25">
      <c r="A3603">
        <v>26579.973300000001</v>
      </c>
      <c r="B3603">
        <v>3762.2310000000002</v>
      </c>
      <c r="C3603">
        <v>22</v>
      </c>
      <c r="D3603" t="s">
        <v>728</v>
      </c>
      <c r="E3603" t="s">
        <v>661</v>
      </c>
      <c r="F3603">
        <v>1974</v>
      </c>
      <c r="G3603" s="1" t="s">
        <v>334</v>
      </c>
      <c r="H3603" s="1" t="s">
        <v>557</v>
      </c>
      <c r="I3603">
        <v>0</v>
      </c>
      <c r="J3603">
        <v>26579.892599999999</v>
      </c>
      <c r="K3603">
        <v>-1.142E-2</v>
      </c>
      <c r="L3603">
        <v>7.1700000000000002E-3</v>
      </c>
      <c r="M3603">
        <v>5.0700000000000002E-2</v>
      </c>
      <c r="N3603">
        <v>0.1051</v>
      </c>
      <c r="O3603">
        <v>8.0099999999999998E-3</v>
      </c>
      <c r="P3603" s="3">
        <f t="shared" si="224"/>
        <v>3762.2310177414661</v>
      </c>
      <c r="Q3603" s="3">
        <f t="shared" si="225"/>
        <v>-1.1422621141264244E-2</v>
      </c>
      <c r="R3603" s="3">
        <f t="shared" si="226"/>
        <v>7.1700000000000002E-3</v>
      </c>
      <c r="S3603">
        <f t="shared" si="227"/>
        <v>103</v>
      </c>
      <c r="T3603">
        <f>INDEX([1]IDEN_level_ids!$B:$B,MATCH(G3603,[1]IDEN_level_ids!$A:$A,0),1)</f>
        <v>1124</v>
      </c>
      <c r="U3603">
        <f>INDEX([1]IDEN_level_ids!$B:$B,MATCH(H3603,[1]IDEN_level_ids!$A:$A,0),1)</f>
        <v>1069</v>
      </c>
    </row>
    <row r="3604" spans="1:21" hidden="1" x14ac:dyDescent="0.25">
      <c r="A3604">
        <v>26569.0193</v>
      </c>
      <c r="B3604">
        <v>3763.7820999999999</v>
      </c>
      <c r="C3604">
        <v>22</v>
      </c>
      <c r="D3604" t="s">
        <v>728</v>
      </c>
      <c r="F3604">
        <v>1974</v>
      </c>
      <c r="G3604" s="1" t="s">
        <v>334</v>
      </c>
      <c r="H3604" s="1" t="s">
        <v>413</v>
      </c>
      <c r="I3604">
        <v>6.4600000000000005E-2</v>
      </c>
      <c r="J3604">
        <v>26568.9944</v>
      </c>
      <c r="K3604">
        <v>-3.5300000000000002E-3</v>
      </c>
      <c r="L3604">
        <v>6.5300000000000002E-3</v>
      </c>
      <c r="M3604">
        <v>4.6100000000000002E-2</v>
      </c>
      <c r="N3604">
        <v>0.1135</v>
      </c>
      <c r="O3604">
        <v>7.3600000000000002E-3</v>
      </c>
      <c r="P3604" s="3">
        <f t="shared" si="224"/>
        <v>3763.7821280065086</v>
      </c>
      <c r="Q3604" s="3">
        <f t="shared" si="225"/>
        <v>-3.5273512266940088E-3</v>
      </c>
      <c r="R3604" s="3">
        <f t="shared" si="226"/>
        <v>6.5300000000000002E-3</v>
      </c>
      <c r="S3604">
        <f t="shared" si="227"/>
        <v>103</v>
      </c>
      <c r="T3604">
        <f>INDEX([1]IDEN_level_ids!$B:$B,MATCH(G3604,[1]IDEN_level_ids!$A:$A,0),1)</f>
        <v>1124</v>
      </c>
      <c r="U3604">
        <f>INDEX([1]IDEN_level_ids!$B:$B,MATCH(H3604,[1]IDEN_level_ids!$A:$A,0),1)</f>
        <v>1071</v>
      </c>
    </row>
    <row r="3605" spans="1:21" hidden="1" x14ac:dyDescent="0.25">
      <c r="A3605">
        <v>26564.31</v>
      </c>
      <c r="B3605">
        <v>3764.4494</v>
      </c>
      <c r="C3605">
        <v>22</v>
      </c>
      <c r="D3605" t="s">
        <v>728</v>
      </c>
      <c r="E3605" t="s">
        <v>638</v>
      </c>
      <c r="F3605">
        <v>1974</v>
      </c>
      <c r="G3605" s="1" t="s">
        <v>289</v>
      </c>
      <c r="H3605" s="1" t="s">
        <v>419</v>
      </c>
      <c r="I3605">
        <v>5.6300000000000003E-2</v>
      </c>
      <c r="J3605">
        <v>26564.124299999999</v>
      </c>
      <c r="K3605">
        <v>-2.632E-2</v>
      </c>
      <c r="L3605">
        <v>2.4490000000000001E-2</v>
      </c>
      <c r="M3605">
        <v>0.17280000000000001</v>
      </c>
      <c r="N3605">
        <v>1.7600000000000001E-2</v>
      </c>
      <c r="O3605">
        <v>2.4930000000000001E-2</v>
      </c>
      <c r="P3605" s="3">
        <f t="shared" si="224"/>
        <v>3764.4493683442179</v>
      </c>
      <c r="Q3605" s="3">
        <f t="shared" si="225"/>
        <v>-2.631587775385924E-2</v>
      </c>
      <c r="R3605" s="3">
        <f t="shared" si="226"/>
        <v>2.4490000000000001E-2</v>
      </c>
      <c r="S3605">
        <f t="shared" si="227"/>
        <v>103</v>
      </c>
      <c r="T3605">
        <f>INDEX([1]IDEN_level_ids!$B:$B,MATCH(G3605,[1]IDEN_level_ids!$A:$A,0),1)</f>
        <v>1122</v>
      </c>
      <c r="U3605">
        <f>INDEX([1]IDEN_level_ids!$B:$B,MATCH(H3605,[1]IDEN_level_ids!$A:$A,0),1)</f>
        <v>1068</v>
      </c>
    </row>
    <row r="3606" spans="1:21" hidden="1" x14ac:dyDescent="0.25">
      <c r="A3606">
        <v>26529.698799999998</v>
      </c>
      <c r="B3606">
        <v>3769.3604999999998</v>
      </c>
      <c r="C3606">
        <v>22</v>
      </c>
      <c r="D3606" t="s">
        <v>728</v>
      </c>
      <c r="F3606">
        <v>1974</v>
      </c>
      <c r="G3606" s="1" t="s">
        <v>729</v>
      </c>
      <c r="H3606" s="1" t="s">
        <v>255</v>
      </c>
      <c r="I3606">
        <v>0</v>
      </c>
      <c r="J3606">
        <v>26529.6541</v>
      </c>
      <c r="K3606">
        <v>-6.3499999999999997E-3</v>
      </c>
      <c r="L3606">
        <v>6.5500000000000003E-3</v>
      </c>
      <c r="M3606">
        <v>4.6100000000000002E-2</v>
      </c>
      <c r="N3606">
        <v>0.1457</v>
      </c>
      <c r="O3606">
        <v>7.6600000000000001E-3</v>
      </c>
      <c r="P3606" s="3">
        <f t="shared" si="224"/>
        <v>3769.3605477345263</v>
      </c>
      <c r="Q3606" s="3">
        <f t="shared" si="225"/>
        <v>-6.3510219861200312E-3</v>
      </c>
      <c r="R3606" s="3">
        <f t="shared" si="226"/>
        <v>6.5500000000000003E-3</v>
      </c>
      <c r="S3606">
        <f t="shared" si="227"/>
        <v>103</v>
      </c>
      <c r="T3606">
        <f>INDEX([1]IDEN_level_ids!$B:$B,MATCH(G3606,[1]IDEN_level_ids!$A:$A,0),1)</f>
        <v>1243</v>
      </c>
      <c r="U3606">
        <f>INDEX([1]IDEN_level_ids!$B:$B,MATCH(H3606,[1]IDEN_level_ids!$A:$A,0),1)</f>
        <v>1111</v>
      </c>
    </row>
    <row r="3607" spans="1:21" hidden="1" x14ac:dyDescent="0.25">
      <c r="A3607">
        <v>26507.730200000002</v>
      </c>
      <c r="B3607">
        <v>3772.4845</v>
      </c>
      <c r="C3607">
        <v>22</v>
      </c>
      <c r="D3607" t="s">
        <v>728</v>
      </c>
      <c r="E3607" t="s">
        <v>427</v>
      </c>
      <c r="F3607">
        <v>1974</v>
      </c>
      <c r="G3607" s="1" t="s">
        <v>338</v>
      </c>
      <c r="H3607" s="1" t="s">
        <v>523</v>
      </c>
      <c r="I3607">
        <v>0</v>
      </c>
      <c r="J3607">
        <v>26507.736099999998</v>
      </c>
      <c r="K3607">
        <v>8.4000000000000003E-4</v>
      </c>
      <c r="L3607">
        <v>6.9300000000000004E-3</v>
      </c>
      <c r="M3607">
        <v>4.87E-2</v>
      </c>
      <c r="N3607">
        <v>0.7843</v>
      </c>
      <c r="O3607">
        <v>3.2149999999999998E-2</v>
      </c>
      <c r="P3607" s="3">
        <f t="shared" si="224"/>
        <v>3772.4844505924539</v>
      </c>
      <c r="Q3607" s="3">
        <f t="shared" si="225"/>
        <v>8.3966650981892599E-4</v>
      </c>
      <c r="R3607" s="3">
        <f t="shared" si="226"/>
        <v>6.9300000000000004E-3</v>
      </c>
      <c r="S3607">
        <f t="shared" si="227"/>
        <v>103</v>
      </c>
      <c r="T3607">
        <f>INDEX([1]IDEN_level_ids!$B:$B,MATCH(G3607,[1]IDEN_level_ids!$A:$A,0),1)</f>
        <v>904</v>
      </c>
      <c r="U3607">
        <f>INDEX([1]IDEN_level_ids!$B:$B,MATCH(H3607,[1]IDEN_level_ids!$A:$A,0),1)</f>
        <v>627</v>
      </c>
    </row>
    <row r="3608" spans="1:21" hidden="1" x14ac:dyDescent="0.25">
      <c r="A3608">
        <v>26422.3871</v>
      </c>
      <c r="B3608">
        <v>3784.6694000000002</v>
      </c>
      <c r="C3608">
        <v>22</v>
      </c>
      <c r="D3608" t="s">
        <v>730</v>
      </c>
      <c r="E3608" t="s">
        <v>427</v>
      </c>
      <c r="F3608">
        <v>1974</v>
      </c>
      <c r="G3608" s="1" t="s">
        <v>272</v>
      </c>
      <c r="H3608" s="1" t="s">
        <v>469</v>
      </c>
      <c r="I3608">
        <v>0.36720000000000003</v>
      </c>
      <c r="J3608">
        <v>26422.348099999999</v>
      </c>
      <c r="K3608">
        <v>-5.5799999999999999E-3</v>
      </c>
      <c r="L3608">
        <v>6.9800000000000001E-3</v>
      </c>
      <c r="M3608">
        <v>4.87E-2</v>
      </c>
      <c r="N3608">
        <v>0.12970000000000001</v>
      </c>
      <c r="O3608">
        <v>8.0199999999999994E-3</v>
      </c>
      <c r="P3608" s="3">
        <f t="shared" si="224"/>
        <v>3784.6694025612851</v>
      </c>
      <c r="Q3608" s="3">
        <f t="shared" si="225"/>
        <v>-5.5862600152067898E-3</v>
      </c>
      <c r="R3608" s="3">
        <f t="shared" si="226"/>
        <v>6.9800000000000001E-3</v>
      </c>
      <c r="S3608">
        <f t="shared" si="227"/>
        <v>104</v>
      </c>
      <c r="T3608">
        <f>INDEX([1]IDEN_level_ids!$B:$B,MATCH(G3608,[1]IDEN_level_ids!$A:$A,0),1)</f>
        <v>1109</v>
      </c>
      <c r="U3608">
        <f>INDEX([1]IDEN_level_ids!$B:$B,MATCH(H3608,[1]IDEN_level_ids!$A:$A,0),1)</f>
        <v>1048</v>
      </c>
    </row>
    <row r="3609" spans="1:21" hidden="1" x14ac:dyDescent="0.25">
      <c r="A3609">
        <v>26415.332999999999</v>
      </c>
      <c r="B3609">
        <v>3785.6801</v>
      </c>
      <c r="C3609">
        <v>22</v>
      </c>
      <c r="D3609" t="s">
        <v>730</v>
      </c>
      <c r="F3609">
        <v>1974</v>
      </c>
      <c r="G3609" s="1" t="s">
        <v>250</v>
      </c>
      <c r="H3609" s="1" t="s">
        <v>469</v>
      </c>
      <c r="I3609">
        <v>0.36720000000000003</v>
      </c>
      <c r="J3609">
        <v>26415.316599999998</v>
      </c>
      <c r="K3609">
        <v>-2.3500000000000001E-3</v>
      </c>
      <c r="L3609">
        <v>6.6E-3</v>
      </c>
      <c r="M3609">
        <v>4.6100000000000002E-2</v>
      </c>
      <c r="N3609">
        <v>0.1072</v>
      </c>
      <c r="O3609">
        <v>7.3899999999999999E-3</v>
      </c>
      <c r="P3609" s="3">
        <f t="shared" si="224"/>
        <v>3785.6800820947442</v>
      </c>
      <c r="Q3609" s="3">
        <f t="shared" si="225"/>
        <v>-2.3503467432419711E-3</v>
      </c>
      <c r="R3609" s="3">
        <f t="shared" si="226"/>
        <v>6.6E-3</v>
      </c>
      <c r="S3609">
        <f t="shared" si="227"/>
        <v>104</v>
      </c>
      <c r="T3609">
        <f>INDEX([1]IDEN_level_ids!$B:$B,MATCH(G3609,[1]IDEN_level_ids!$A:$A,0),1)</f>
        <v>1107</v>
      </c>
      <c r="U3609">
        <f>INDEX([1]IDEN_level_ids!$B:$B,MATCH(H3609,[1]IDEN_level_ids!$A:$A,0),1)</f>
        <v>1048</v>
      </c>
    </row>
    <row r="3610" spans="1:21" hidden="1" x14ac:dyDescent="0.25">
      <c r="A3610">
        <v>26332.546999999999</v>
      </c>
      <c r="B3610">
        <v>3797.5817999999999</v>
      </c>
      <c r="C3610">
        <v>22</v>
      </c>
      <c r="D3610" t="s">
        <v>730</v>
      </c>
      <c r="E3610" t="s">
        <v>427</v>
      </c>
      <c r="F3610">
        <v>1974</v>
      </c>
      <c r="G3610" s="1" t="s">
        <v>275</v>
      </c>
      <c r="H3610" s="1" t="s">
        <v>446</v>
      </c>
      <c r="I3610">
        <v>0.31669999999999998</v>
      </c>
      <c r="J3610">
        <v>26332.541399999998</v>
      </c>
      <c r="K3610">
        <v>-8.0000000000000004E-4</v>
      </c>
      <c r="L3610">
        <v>7.0299999999999998E-3</v>
      </c>
      <c r="M3610">
        <v>4.87E-2</v>
      </c>
      <c r="N3610">
        <v>6.8000000000000005E-2</v>
      </c>
      <c r="O3610">
        <v>7.5399999999999998E-3</v>
      </c>
      <c r="P3610" s="3">
        <f t="shared" si="224"/>
        <v>3797.5817531057669</v>
      </c>
      <c r="Q3610" s="3">
        <f t="shared" si="225"/>
        <v>-8.0761129356687889E-4</v>
      </c>
      <c r="R3610" s="3">
        <f t="shared" si="226"/>
        <v>7.0299999999999998E-3</v>
      </c>
      <c r="S3610">
        <f t="shared" si="227"/>
        <v>104</v>
      </c>
      <c r="T3610">
        <f>INDEX([1]IDEN_level_ids!$B:$B,MATCH(G3610,[1]IDEN_level_ids!$A:$A,0),1)</f>
        <v>1134</v>
      </c>
      <c r="U3610">
        <f>INDEX([1]IDEN_level_ids!$B:$B,MATCH(H3610,[1]IDEN_level_ids!$A:$A,0),1)</f>
        <v>1079</v>
      </c>
    </row>
    <row r="3611" spans="1:21" hidden="1" x14ac:dyDescent="0.25">
      <c r="A3611">
        <v>26314.726999999999</v>
      </c>
      <c r="B3611">
        <v>3800.1534000000001</v>
      </c>
      <c r="C3611">
        <v>22</v>
      </c>
      <c r="D3611" t="s">
        <v>730</v>
      </c>
      <c r="F3611">
        <v>1974</v>
      </c>
      <c r="G3611" s="1" t="s">
        <v>276</v>
      </c>
      <c r="H3611" s="1" t="s">
        <v>450</v>
      </c>
      <c r="I3611">
        <v>-0.65739999999999998</v>
      </c>
      <c r="J3611">
        <v>26314.702000000001</v>
      </c>
      <c r="K3611">
        <v>-3.62E-3</v>
      </c>
      <c r="L3611">
        <v>6.6499999999999997E-3</v>
      </c>
      <c r="M3611">
        <v>4.6100000000000002E-2</v>
      </c>
      <c r="N3611">
        <v>0.15529999999999999</v>
      </c>
      <c r="O3611">
        <v>7.8799999999999999E-3</v>
      </c>
      <c r="P3611" s="3">
        <f t="shared" si="224"/>
        <v>3800.1534273944776</v>
      </c>
      <c r="Q3611" s="3">
        <f t="shared" si="225"/>
        <v>-3.6102949475207424E-3</v>
      </c>
      <c r="R3611" s="3">
        <f t="shared" si="226"/>
        <v>6.6499999999999997E-3</v>
      </c>
      <c r="S3611">
        <f t="shared" si="227"/>
        <v>104</v>
      </c>
      <c r="T3611">
        <f>INDEX([1]IDEN_level_ids!$B:$B,MATCH(G3611,[1]IDEN_level_ids!$A:$A,0),1)</f>
        <v>1131</v>
      </c>
      <c r="U3611">
        <f>INDEX([1]IDEN_level_ids!$B:$B,MATCH(H3611,[1]IDEN_level_ids!$A:$A,0),1)</f>
        <v>1077</v>
      </c>
    </row>
    <row r="3612" spans="1:21" hidden="1" x14ac:dyDescent="0.25">
      <c r="A3612">
        <v>26285.901099999999</v>
      </c>
      <c r="B3612">
        <v>3804.3208</v>
      </c>
      <c r="C3612">
        <v>22</v>
      </c>
      <c r="D3612" t="s">
        <v>730</v>
      </c>
      <c r="E3612" t="s">
        <v>681</v>
      </c>
      <c r="F3612">
        <v>1974</v>
      </c>
      <c r="G3612" s="1" t="s">
        <v>687</v>
      </c>
      <c r="H3612" s="1" t="s">
        <v>543</v>
      </c>
      <c r="I3612">
        <v>0.41670000000000001</v>
      </c>
      <c r="J3612">
        <v>26285.934799999999</v>
      </c>
      <c r="K3612">
        <v>4.8700000000000002E-3</v>
      </c>
      <c r="L3612">
        <v>1.162E-2</v>
      </c>
      <c r="M3612">
        <v>8.0299999999999996E-2</v>
      </c>
      <c r="N3612">
        <v>0.14030000000000001</v>
      </c>
      <c r="O3612">
        <v>1.3520000000000001E-2</v>
      </c>
      <c r="P3612" s="3">
        <f t="shared" si="224"/>
        <v>3804.3207885310048</v>
      </c>
      <c r="Q3612" s="3">
        <f t="shared" si="225"/>
        <v>4.8773464422993129E-3</v>
      </c>
      <c r="R3612" s="3">
        <f t="shared" si="226"/>
        <v>1.162E-2</v>
      </c>
      <c r="S3612">
        <f t="shared" si="227"/>
        <v>104</v>
      </c>
      <c r="T3612">
        <f>INDEX([1]IDEN_level_ids!$B:$B,MATCH(G3612,[1]IDEN_level_ids!$A:$A,0),1)</f>
        <v>1087</v>
      </c>
      <c r="U3612">
        <f>INDEX([1]IDEN_level_ids!$B:$B,MATCH(H3612,[1]IDEN_level_ids!$A:$A,0),1)</f>
        <v>972</v>
      </c>
    </row>
    <row r="3613" spans="1:21" hidden="1" x14ac:dyDescent="0.25">
      <c r="A3613">
        <v>26261.6306</v>
      </c>
      <c r="B3613">
        <v>3807.8366999999998</v>
      </c>
      <c r="C3613">
        <v>22</v>
      </c>
      <c r="D3613" t="s">
        <v>730</v>
      </c>
      <c r="E3613" t="s">
        <v>681</v>
      </c>
      <c r="F3613">
        <v>1974</v>
      </c>
      <c r="G3613" s="1" t="s">
        <v>279</v>
      </c>
      <c r="H3613" s="1" t="s">
        <v>464</v>
      </c>
      <c r="I3613">
        <v>0.27579999999999999</v>
      </c>
      <c r="J3613">
        <v>26261.514299999999</v>
      </c>
      <c r="K3613">
        <v>-1.6879999999999999E-2</v>
      </c>
      <c r="L3613">
        <v>1.1650000000000001E-2</v>
      </c>
      <c r="M3613">
        <v>8.0299999999999996E-2</v>
      </c>
      <c r="N3613">
        <v>5.6800000000000003E-2</v>
      </c>
      <c r="O3613">
        <v>1.235E-2</v>
      </c>
      <c r="P3613" s="3">
        <f t="shared" si="224"/>
        <v>3807.8366695173909</v>
      </c>
      <c r="Q3613" s="3">
        <f t="shared" si="225"/>
        <v>-1.6863132856997254E-2</v>
      </c>
      <c r="R3613" s="3">
        <f t="shared" si="226"/>
        <v>1.1650000000000001E-2</v>
      </c>
      <c r="S3613">
        <f t="shared" si="227"/>
        <v>104</v>
      </c>
      <c r="T3613">
        <f>INDEX([1]IDEN_level_ids!$B:$B,MATCH(G3613,[1]IDEN_level_ids!$A:$A,0),1)</f>
        <v>1129</v>
      </c>
      <c r="U3613">
        <f>INDEX([1]IDEN_level_ids!$B:$B,MATCH(H3613,[1]IDEN_level_ids!$A:$A,0),1)</f>
        <v>1076</v>
      </c>
    </row>
    <row r="3614" spans="1:21" hidden="1" x14ac:dyDescent="0.25">
      <c r="A3614">
        <v>26252.9411</v>
      </c>
      <c r="B3614">
        <v>3809.0970000000002</v>
      </c>
      <c r="C3614">
        <v>22</v>
      </c>
      <c r="D3614" t="s">
        <v>730</v>
      </c>
      <c r="F3614">
        <v>1974</v>
      </c>
      <c r="G3614" s="1" t="s">
        <v>534</v>
      </c>
      <c r="H3614" s="1" t="s">
        <v>410</v>
      </c>
      <c r="I3614">
        <v>0.41110000000000002</v>
      </c>
      <c r="J3614">
        <v>26252.957600000002</v>
      </c>
      <c r="K3614">
        <v>2.3999999999999998E-3</v>
      </c>
      <c r="L3614">
        <v>6.6800000000000002E-3</v>
      </c>
      <c r="M3614">
        <v>4.6100000000000002E-2</v>
      </c>
      <c r="N3614">
        <v>0.2258</v>
      </c>
      <c r="O3614">
        <v>8.6300000000000005E-3</v>
      </c>
      <c r="P3614" s="3">
        <f t="shared" si="224"/>
        <v>3809.0970310370294</v>
      </c>
      <c r="Q3614" s="3">
        <f t="shared" si="225"/>
        <v>2.3940198275340663E-3</v>
      </c>
      <c r="R3614" s="3">
        <f t="shared" si="226"/>
        <v>6.6800000000000002E-3</v>
      </c>
      <c r="S3614">
        <f t="shared" si="227"/>
        <v>104</v>
      </c>
      <c r="T3614">
        <f>INDEX([1]IDEN_level_ids!$B:$B,MATCH(G3614,[1]IDEN_level_ids!$A:$A,0),1)</f>
        <v>1116</v>
      </c>
      <c r="U3614">
        <f>INDEX([1]IDEN_level_ids!$B:$B,MATCH(H3614,[1]IDEN_level_ids!$A:$A,0),1)</f>
        <v>1056</v>
      </c>
    </row>
    <row r="3615" spans="1:21" hidden="1" x14ac:dyDescent="0.25">
      <c r="A3615">
        <v>26247.400099999999</v>
      </c>
      <c r="B3615">
        <v>3809.9011999999998</v>
      </c>
      <c r="C3615">
        <v>22</v>
      </c>
      <c r="D3615" t="s">
        <v>730</v>
      </c>
      <c r="F3615">
        <v>1974</v>
      </c>
      <c r="G3615" s="1" t="s">
        <v>669</v>
      </c>
      <c r="H3615" s="1" t="s">
        <v>293</v>
      </c>
      <c r="I3615">
        <v>0</v>
      </c>
      <c r="J3615">
        <v>26247.375599999999</v>
      </c>
      <c r="K3615">
        <v>-3.5599999999999998E-3</v>
      </c>
      <c r="L3615">
        <v>6.6899999999999998E-3</v>
      </c>
      <c r="M3615">
        <v>4.6100000000000002E-2</v>
      </c>
      <c r="N3615">
        <v>0.1198</v>
      </c>
      <c r="O3615">
        <v>7.6E-3</v>
      </c>
      <c r="P3615" s="3">
        <f t="shared" si="224"/>
        <v>3809.9011566482732</v>
      </c>
      <c r="Q3615" s="3">
        <f t="shared" si="225"/>
        <v>-3.5562632911023684E-3</v>
      </c>
      <c r="R3615" s="3">
        <f t="shared" si="226"/>
        <v>6.6899999999999998E-3</v>
      </c>
      <c r="S3615">
        <f t="shared" si="227"/>
        <v>104</v>
      </c>
      <c r="T3615">
        <f>INDEX([1]IDEN_level_ids!$B:$B,MATCH(G3615,[1]IDEN_level_ids!$A:$A,0),1)</f>
        <v>1245</v>
      </c>
      <c r="U3615">
        <f>INDEX([1]IDEN_level_ids!$B:$B,MATCH(H3615,[1]IDEN_level_ids!$A:$A,0),1)</f>
        <v>1121</v>
      </c>
    </row>
    <row r="3616" spans="1:21" hidden="1" x14ac:dyDescent="0.25">
      <c r="A3616">
        <v>26221.570199999998</v>
      </c>
      <c r="B3616">
        <v>3813.6541000000002</v>
      </c>
      <c r="C3616">
        <v>22</v>
      </c>
      <c r="D3616" t="s">
        <v>730</v>
      </c>
      <c r="E3616" t="s">
        <v>681</v>
      </c>
      <c r="F3616">
        <v>1974</v>
      </c>
      <c r="G3616" s="1" t="s">
        <v>492</v>
      </c>
      <c r="H3616" s="1" t="s">
        <v>450</v>
      </c>
      <c r="I3616">
        <v>0.57579999999999998</v>
      </c>
      <c r="J3616">
        <v>26221.487000000001</v>
      </c>
      <c r="K3616">
        <v>-1.21E-2</v>
      </c>
      <c r="L3616">
        <v>1.1679999999999999E-2</v>
      </c>
      <c r="M3616">
        <v>8.0299999999999996E-2</v>
      </c>
      <c r="N3616">
        <v>7.8700000000000006E-2</v>
      </c>
      <c r="O3616">
        <v>1.268E-2</v>
      </c>
      <c r="P3616" s="3">
        <f t="shared" si="224"/>
        <v>3813.6541495138995</v>
      </c>
      <c r="Q3616" s="3">
        <f t="shared" si="225"/>
        <v>-1.2100611426831165E-2</v>
      </c>
      <c r="R3616" s="3">
        <f t="shared" si="226"/>
        <v>1.1679999999999999E-2</v>
      </c>
      <c r="S3616">
        <f t="shared" si="227"/>
        <v>104</v>
      </c>
      <c r="T3616">
        <f>INDEX([1]IDEN_level_ids!$B:$B,MATCH(G3616,[1]IDEN_level_ids!$A:$A,0),1)</f>
        <v>1132</v>
      </c>
      <c r="U3616">
        <f>INDEX([1]IDEN_level_ids!$B:$B,MATCH(H3616,[1]IDEN_level_ids!$A:$A,0),1)</f>
        <v>1077</v>
      </c>
    </row>
    <row r="3617" spans="1:21" hidden="1" x14ac:dyDescent="0.25">
      <c r="A3617">
        <v>26211.107899999999</v>
      </c>
      <c r="B3617">
        <v>3815.1763999999998</v>
      </c>
      <c r="C3617">
        <v>22</v>
      </c>
      <c r="D3617" t="s">
        <v>730</v>
      </c>
      <c r="F3617">
        <v>1974</v>
      </c>
      <c r="G3617" s="1" t="s">
        <v>706</v>
      </c>
      <c r="H3617" s="1" t="s">
        <v>267</v>
      </c>
      <c r="I3617">
        <v>0</v>
      </c>
      <c r="J3617">
        <v>26211.0831</v>
      </c>
      <c r="K3617">
        <v>-3.6099999999999999E-3</v>
      </c>
      <c r="L3617">
        <v>6.7099999999999998E-3</v>
      </c>
      <c r="M3617">
        <v>4.6100000000000002E-2</v>
      </c>
      <c r="N3617">
        <v>0.1109</v>
      </c>
      <c r="O3617">
        <v>7.5399999999999998E-3</v>
      </c>
      <c r="P3617" s="3">
        <f t="shared" si="224"/>
        <v>3815.1763893963448</v>
      </c>
      <c r="Q3617" s="3">
        <f t="shared" si="225"/>
        <v>-3.6097849938414583E-3</v>
      </c>
      <c r="R3617" s="3">
        <f t="shared" si="226"/>
        <v>6.7099999999999998E-3</v>
      </c>
      <c r="S3617">
        <f t="shared" si="227"/>
        <v>104</v>
      </c>
      <c r="T3617">
        <f>INDEX([1]IDEN_level_ids!$B:$B,MATCH(G3617,[1]IDEN_level_ids!$A:$A,0),1)</f>
        <v>1240</v>
      </c>
      <c r="U3617">
        <f>INDEX([1]IDEN_level_ids!$B:$B,MATCH(H3617,[1]IDEN_level_ids!$A:$A,0),1)</f>
        <v>1104</v>
      </c>
    </row>
    <row r="3618" spans="1:21" hidden="1" x14ac:dyDescent="0.25">
      <c r="A3618">
        <v>26189.409599999999</v>
      </c>
      <c r="B3618">
        <v>3818.3373000000001</v>
      </c>
      <c r="C3618">
        <v>22</v>
      </c>
      <c r="D3618" t="s">
        <v>730</v>
      </c>
      <c r="F3618">
        <v>1974</v>
      </c>
      <c r="G3618" s="1" t="s">
        <v>250</v>
      </c>
      <c r="H3618" s="1" t="s">
        <v>438</v>
      </c>
      <c r="I3618">
        <v>0</v>
      </c>
      <c r="J3618">
        <v>26189.362400000002</v>
      </c>
      <c r="K3618">
        <v>-6.8700000000000002E-3</v>
      </c>
      <c r="L3618">
        <v>6.7200000000000003E-3</v>
      </c>
      <c r="M3618">
        <v>4.6100000000000002E-2</v>
      </c>
      <c r="N3618">
        <v>8.6599999999999996E-2</v>
      </c>
      <c r="O3618">
        <v>7.3499999999999998E-3</v>
      </c>
      <c r="P3618" s="3">
        <f t="shared" si="224"/>
        <v>3818.3373175392239</v>
      </c>
      <c r="Q3618" s="3">
        <f t="shared" si="225"/>
        <v>-6.8816307411907474E-3</v>
      </c>
      <c r="R3618" s="3">
        <f t="shared" si="226"/>
        <v>6.7200000000000003E-3</v>
      </c>
      <c r="S3618">
        <f t="shared" si="227"/>
        <v>104</v>
      </c>
      <c r="T3618">
        <f>INDEX([1]IDEN_level_ids!$B:$B,MATCH(G3618,[1]IDEN_level_ids!$A:$A,0),1)</f>
        <v>1107</v>
      </c>
      <c r="U3618">
        <f>INDEX([1]IDEN_level_ids!$B:$B,MATCH(H3618,[1]IDEN_level_ids!$A:$A,0),1)</f>
        <v>1051</v>
      </c>
    </row>
    <row r="3619" spans="1:21" hidden="1" x14ac:dyDescent="0.25">
      <c r="A3619">
        <v>26172.5625</v>
      </c>
      <c r="B3619">
        <v>3820.7952</v>
      </c>
      <c r="C3619">
        <v>22</v>
      </c>
      <c r="D3619" t="s">
        <v>730</v>
      </c>
      <c r="F3619">
        <v>1974</v>
      </c>
      <c r="G3619" s="1" t="s">
        <v>297</v>
      </c>
      <c r="H3619" s="1" t="s">
        <v>580</v>
      </c>
      <c r="I3619">
        <v>0.20710000000000001</v>
      </c>
      <c r="J3619">
        <v>26172.520700000001</v>
      </c>
      <c r="K3619">
        <v>-6.1000000000000004E-3</v>
      </c>
      <c r="L3619">
        <v>6.7299999999999999E-3</v>
      </c>
      <c r="M3619">
        <v>4.6100000000000002E-2</v>
      </c>
      <c r="N3619">
        <v>0.1409</v>
      </c>
      <c r="O3619">
        <v>7.8300000000000002E-3</v>
      </c>
      <c r="P3619" s="3">
        <f t="shared" si="224"/>
        <v>3820.7951552317431</v>
      </c>
      <c r="Q3619" s="3">
        <f t="shared" si="225"/>
        <v>-6.1021725541650085E-3</v>
      </c>
      <c r="R3619" s="3">
        <f t="shared" si="226"/>
        <v>6.7299999999999999E-3</v>
      </c>
      <c r="S3619">
        <f t="shared" si="227"/>
        <v>104</v>
      </c>
      <c r="T3619">
        <f>INDEX([1]IDEN_level_ids!$B:$B,MATCH(G3619,[1]IDEN_level_ids!$A:$A,0),1)</f>
        <v>1099</v>
      </c>
      <c r="U3619">
        <f>INDEX([1]IDEN_level_ids!$B:$B,MATCH(H3619,[1]IDEN_level_ids!$A:$A,0),1)</f>
        <v>1001</v>
      </c>
    </row>
    <row r="3620" spans="1:21" hidden="1" x14ac:dyDescent="0.25">
      <c r="A3620">
        <v>26163.578099999999</v>
      </c>
      <c r="B3620">
        <v>3822.1071999999999</v>
      </c>
      <c r="C3620">
        <v>22</v>
      </c>
      <c r="D3620" t="s">
        <v>730</v>
      </c>
      <c r="F3620">
        <v>1974</v>
      </c>
      <c r="G3620" s="1" t="s">
        <v>262</v>
      </c>
      <c r="H3620" s="1" t="s">
        <v>428</v>
      </c>
      <c r="I3620">
        <v>0.39950000000000002</v>
      </c>
      <c r="J3620">
        <v>26163.560399999998</v>
      </c>
      <c r="K3620">
        <v>-2.5799999999999998E-3</v>
      </c>
      <c r="L3620">
        <v>6.7299999999999999E-3</v>
      </c>
      <c r="M3620">
        <v>4.6100000000000002E-2</v>
      </c>
      <c r="N3620">
        <v>0.1157</v>
      </c>
      <c r="O3620">
        <v>7.6099999999999996E-3</v>
      </c>
      <c r="P3620" s="3">
        <f t="shared" si="224"/>
        <v>3822.1071910649716</v>
      </c>
      <c r="Q3620" s="3">
        <f t="shared" si="225"/>
        <v>-2.5857068476398126E-3</v>
      </c>
      <c r="R3620" s="3">
        <f t="shared" si="226"/>
        <v>6.7299999999999999E-3</v>
      </c>
      <c r="S3620">
        <f t="shared" si="227"/>
        <v>104</v>
      </c>
      <c r="T3620">
        <f>INDEX([1]IDEN_level_ids!$B:$B,MATCH(G3620,[1]IDEN_level_ids!$A:$A,0),1)</f>
        <v>1115</v>
      </c>
      <c r="U3620">
        <f>INDEX([1]IDEN_level_ids!$B:$B,MATCH(H3620,[1]IDEN_level_ids!$A:$A,0),1)</f>
        <v>1060</v>
      </c>
    </row>
    <row r="3621" spans="1:21" hidden="1" x14ac:dyDescent="0.25">
      <c r="A3621">
        <v>26152.887500000001</v>
      </c>
      <c r="B3621">
        <v>3823.6696000000002</v>
      </c>
      <c r="C3621">
        <v>22</v>
      </c>
      <c r="D3621" t="s">
        <v>730</v>
      </c>
      <c r="F3621">
        <v>1974</v>
      </c>
      <c r="G3621" s="1" t="s">
        <v>710</v>
      </c>
      <c r="H3621" s="1" t="s">
        <v>289</v>
      </c>
      <c r="I3621">
        <v>0</v>
      </c>
      <c r="J3621">
        <v>26152.861499999999</v>
      </c>
      <c r="K3621">
        <v>-3.8E-3</v>
      </c>
      <c r="L3621">
        <v>6.7400000000000003E-3</v>
      </c>
      <c r="M3621">
        <v>4.6100000000000002E-2</v>
      </c>
      <c r="N3621">
        <v>0.11609999999999999</v>
      </c>
      <c r="O3621">
        <v>7.62E-3</v>
      </c>
      <c r="P3621" s="3">
        <f t="shared" si="224"/>
        <v>3823.6695661234348</v>
      </c>
      <c r="Q3621" s="3">
        <f t="shared" si="225"/>
        <v>-3.8013205062270572E-3</v>
      </c>
      <c r="R3621" s="3">
        <f t="shared" si="226"/>
        <v>6.7400000000000003E-3</v>
      </c>
      <c r="S3621">
        <f t="shared" si="227"/>
        <v>104</v>
      </c>
      <c r="T3621">
        <f>INDEX([1]IDEN_level_ids!$B:$B,MATCH(G3621,[1]IDEN_level_ids!$A:$A,0),1)</f>
        <v>1246</v>
      </c>
      <c r="U3621">
        <f>INDEX([1]IDEN_level_ids!$B:$B,MATCH(H3621,[1]IDEN_level_ids!$A:$A,0),1)</f>
        <v>1122</v>
      </c>
    </row>
    <row r="3622" spans="1:21" hidden="1" x14ac:dyDescent="0.25">
      <c r="A3622">
        <v>26130.812600000001</v>
      </c>
      <c r="B3622">
        <v>3826.8996999999999</v>
      </c>
      <c r="C3622">
        <v>22</v>
      </c>
      <c r="D3622" t="s">
        <v>731</v>
      </c>
      <c r="E3622" t="s">
        <v>681</v>
      </c>
      <c r="F3622">
        <v>1974</v>
      </c>
      <c r="G3622" s="1" t="s">
        <v>534</v>
      </c>
      <c r="H3622" s="1" t="s">
        <v>377</v>
      </c>
      <c r="I3622">
        <v>0.69</v>
      </c>
      <c r="J3622">
        <v>26130.634399999999</v>
      </c>
      <c r="K3622">
        <v>-2.6089999999999999E-2</v>
      </c>
      <c r="L3622">
        <v>1.176E-2</v>
      </c>
      <c r="M3622">
        <v>8.0299999999999996E-2</v>
      </c>
      <c r="N3622">
        <v>6.8099999999999994E-2</v>
      </c>
      <c r="O3622">
        <v>1.2619999999999999E-2</v>
      </c>
      <c r="P3622" s="3">
        <f t="shared" si="224"/>
        <v>3826.8997421075223</v>
      </c>
      <c r="Q3622" s="3">
        <f t="shared" si="225"/>
        <v>-2.6097856011347176E-2</v>
      </c>
      <c r="R3622" s="3">
        <f t="shared" si="226"/>
        <v>1.176E-2</v>
      </c>
      <c r="S3622">
        <f t="shared" si="227"/>
        <v>105</v>
      </c>
      <c r="T3622">
        <f>INDEX([1]IDEN_level_ids!$B:$B,MATCH(G3622,[1]IDEN_level_ids!$A:$A,0),1)</f>
        <v>1116</v>
      </c>
      <c r="U3622">
        <f>INDEX([1]IDEN_level_ids!$B:$B,MATCH(H3622,[1]IDEN_level_ids!$A:$A,0),1)</f>
        <v>1057</v>
      </c>
    </row>
    <row r="3623" spans="1:21" hidden="1" x14ac:dyDescent="0.25">
      <c r="A3623">
        <v>26036.587899999999</v>
      </c>
      <c r="B3623">
        <v>3840.7489999999998</v>
      </c>
      <c r="C3623">
        <v>22</v>
      </c>
      <c r="D3623" t="s">
        <v>731</v>
      </c>
      <c r="F3623">
        <v>1974</v>
      </c>
      <c r="G3623" s="1" t="s">
        <v>138</v>
      </c>
      <c r="H3623" s="1" t="s">
        <v>396</v>
      </c>
      <c r="I3623">
        <v>0.42980000000000002</v>
      </c>
      <c r="J3623">
        <v>26036.561399999999</v>
      </c>
      <c r="K3623">
        <v>-3.9199999999999999E-3</v>
      </c>
      <c r="L3623">
        <v>6.7999999999999996E-3</v>
      </c>
      <c r="M3623">
        <v>4.6100000000000002E-2</v>
      </c>
      <c r="N3623">
        <v>9.8799999999999999E-2</v>
      </c>
      <c r="O3623">
        <v>7.5399999999999998E-3</v>
      </c>
      <c r="P3623" s="3">
        <f t="shared" si="224"/>
        <v>3840.7490406989928</v>
      </c>
      <c r="Q3623" s="3">
        <f t="shared" si="225"/>
        <v>-3.9091125750019273E-3</v>
      </c>
      <c r="R3623" s="3">
        <f t="shared" si="226"/>
        <v>6.7999999999999996E-3</v>
      </c>
      <c r="S3623">
        <f t="shared" si="227"/>
        <v>105</v>
      </c>
      <c r="T3623">
        <f>INDEX([1]IDEN_level_ids!$B:$B,MATCH(G3623,[1]IDEN_level_ids!$A:$A,0),1)</f>
        <v>1126</v>
      </c>
      <c r="U3623">
        <f>INDEX([1]IDEN_level_ids!$B:$B,MATCH(H3623,[1]IDEN_level_ids!$A:$A,0),1)</f>
        <v>1072</v>
      </c>
    </row>
    <row r="3624" spans="1:21" hidden="1" x14ac:dyDescent="0.25">
      <c r="A3624">
        <v>26008.111199999999</v>
      </c>
      <c r="B3624">
        <v>3844.9542999999999</v>
      </c>
      <c r="C3624">
        <v>22</v>
      </c>
      <c r="D3624" t="s">
        <v>731</v>
      </c>
      <c r="E3624" t="s">
        <v>661</v>
      </c>
      <c r="F3624">
        <v>1974</v>
      </c>
      <c r="G3624" s="1" t="s">
        <v>203</v>
      </c>
      <c r="H3624" s="1" t="s">
        <v>396</v>
      </c>
      <c r="I3624">
        <v>0.42980000000000002</v>
      </c>
      <c r="J3624">
        <v>26008.104500000001</v>
      </c>
      <c r="K3624">
        <v>-9.7999999999999997E-4</v>
      </c>
      <c r="L3624">
        <v>7.4900000000000001E-3</v>
      </c>
      <c r="M3624">
        <v>5.0700000000000002E-2</v>
      </c>
      <c r="N3624">
        <v>9.9299999999999999E-2</v>
      </c>
      <c r="O3624">
        <v>8.3099999999999997E-3</v>
      </c>
      <c r="P3624" s="3">
        <f t="shared" si="224"/>
        <v>3844.9543387064573</v>
      </c>
      <c r="Q3624" s="3">
        <f t="shared" si="225"/>
        <v>-9.9050640392306377E-4</v>
      </c>
      <c r="R3624" s="3">
        <f t="shared" si="226"/>
        <v>7.4900000000000001E-3</v>
      </c>
      <c r="S3624">
        <f t="shared" si="227"/>
        <v>105</v>
      </c>
      <c r="T3624">
        <f>INDEX([1]IDEN_level_ids!$B:$B,MATCH(G3624,[1]IDEN_level_ids!$A:$A,0),1)</f>
        <v>1127</v>
      </c>
      <c r="U3624">
        <f>INDEX([1]IDEN_level_ids!$B:$B,MATCH(H3624,[1]IDEN_level_ids!$A:$A,0),1)</f>
        <v>1072</v>
      </c>
    </row>
    <row r="3625" spans="1:21" hidden="1" x14ac:dyDescent="0.25">
      <c r="A3625">
        <v>26000.069599999999</v>
      </c>
      <c r="B3625">
        <v>3846.1435000000001</v>
      </c>
      <c r="C3625">
        <v>22</v>
      </c>
      <c r="D3625" t="s">
        <v>731</v>
      </c>
      <c r="E3625" t="s">
        <v>661</v>
      </c>
      <c r="F3625">
        <v>1974</v>
      </c>
      <c r="G3625" s="1" t="s">
        <v>172</v>
      </c>
      <c r="H3625" s="1" t="s">
        <v>545</v>
      </c>
      <c r="I3625">
        <v>0</v>
      </c>
      <c r="J3625">
        <v>26000.034899999999</v>
      </c>
      <c r="K3625">
        <v>-5.13E-3</v>
      </c>
      <c r="L3625">
        <v>7.4900000000000001E-3</v>
      </c>
      <c r="M3625">
        <v>5.0700000000000002E-2</v>
      </c>
      <c r="N3625">
        <v>8.8599999999999998E-2</v>
      </c>
      <c r="O3625">
        <v>8.2199999999999999E-3</v>
      </c>
      <c r="P3625" s="3">
        <f t="shared" si="224"/>
        <v>3846.1435503234193</v>
      </c>
      <c r="Q3625" s="3">
        <f t="shared" si="225"/>
        <v>-5.1331154636500287E-3</v>
      </c>
      <c r="R3625" s="3">
        <f t="shared" si="226"/>
        <v>7.4900000000000001E-3</v>
      </c>
      <c r="S3625">
        <f t="shared" si="227"/>
        <v>105</v>
      </c>
      <c r="T3625">
        <f>INDEX([1]IDEN_level_ids!$B:$B,MATCH(G3625,[1]IDEN_level_ids!$A:$A,0),1)</f>
        <v>1136</v>
      </c>
      <c r="U3625">
        <f>INDEX([1]IDEN_level_ids!$B:$B,MATCH(H3625,[1]IDEN_level_ids!$A:$A,0),1)</f>
        <v>1081</v>
      </c>
    </row>
    <row r="3626" spans="1:21" hidden="1" x14ac:dyDescent="0.25">
      <c r="A3626">
        <v>25916.539799999999</v>
      </c>
      <c r="B3626">
        <v>3858.5398</v>
      </c>
      <c r="C3626">
        <v>22</v>
      </c>
      <c r="D3626" t="s">
        <v>731</v>
      </c>
      <c r="F3626">
        <v>1974</v>
      </c>
      <c r="G3626" s="1" t="s">
        <v>138</v>
      </c>
      <c r="H3626" s="1" t="s">
        <v>407</v>
      </c>
      <c r="I3626">
        <v>0.27489999999999998</v>
      </c>
      <c r="J3626">
        <v>25916.552</v>
      </c>
      <c r="K3626">
        <v>1.81E-3</v>
      </c>
      <c r="L3626">
        <v>6.8599999999999998E-3</v>
      </c>
      <c r="M3626">
        <v>4.6100000000000002E-2</v>
      </c>
      <c r="N3626">
        <v>8.9099999999999999E-2</v>
      </c>
      <c r="O3626">
        <v>7.5300000000000002E-3</v>
      </c>
      <c r="P3626" s="3">
        <f t="shared" si="224"/>
        <v>3858.539788556187</v>
      </c>
      <c r="Q3626" s="3">
        <f t="shared" si="225"/>
        <v>1.8163753197768528E-3</v>
      </c>
      <c r="R3626" s="3">
        <f t="shared" si="226"/>
        <v>6.8599999999999998E-3</v>
      </c>
      <c r="S3626">
        <f t="shared" si="227"/>
        <v>105</v>
      </c>
      <c r="T3626">
        <f>INDEX([1]IDEN_level_ids!$B:$B,MATCH(G3626,[1]IDEN_level_ids!$A:$A,0),1)</f>
        <v>1126</v>
      </c>
      <c r="U3626">
        <f>INDEX([1]IDEN_level_ids!$B:$B,MATCH(H3626,[1]IDEN_level_ids!$A:$A,0),1)</f>
        <v>1073</v>
      </c>
    </row>
    <row r="3627" spans="1:21" hidden="1" x14ac:dyDescent="0.25">
      <c r="A3627">
        <v>25895.212</v>
      </c>
      <c r="B3627">
        <v>3861.7177999999999</v>
      </c>
      <c r="C3627">
        <v>22</v>
      </c>
      <c r="D3627" t="s">
        <v>731</v>
      </c>
      <c r="E3627" t="s">
        <v>427</v>
      </c>
      <c r="F3627">
        <v>1974</v>
      </c>
      <c r="G3627" s="1" t="s">
        <v>212</v>
      </c>
      <c r="H3627" s="1" t="s">
        <v>518</v>
      </c>
      <c r="I3627">
        <v>0</v>
      </c>
      <c r="J3627">
        <v>25895.217799999999</v>
      </c>
      <c r="K3627">
        <v>8.7000000000000001E-4</v>
      </c>
      <c r="L3627">
        <v>7.2700000000000004E-3</v>
      </c>
      <c r="M3627">
        <v>4.87E-2</v>
      </c>
      <c r="N3627">
        <v>0.14630000000000001</v>
      </c>
      <c r="O3627">
        <v>8.5100000000000002E-3</v>
      </c>
      <c r="P3627" s="3">
        <f t="shared" si="224"/>
        <v>3861.7177569351429</v>
      </c>
      <c r="Q3627" s="3">
        <f t="shared" si="225"/>
        <v>8.6494592005692539E-4</v>
      </c>
      <c r="R3627" s="3">
        <f t="shared" si="226"/>
        <v>7.2700000000000004E-3</v>
      </c>
      <c r="S3627">
        <f t="shared" si="227"/>
        <v>105</v>
      </c>
      <c r="T3627">
        <f>INDEX([1]IDEN_level_ids!$B:$B,MATCH(G3627,[1]IDEN_level_ids!$A:$A,0),1)</f>
        <v>1123</v>
      </c>
      <c r="U3627">
        <f>INDEX([1]IDEN_level_ids!$B:$B,MATCH(H3627,[1]IDEN_level_ids!$A:$A,0),1)</f>
        <v>1074</v>
      </c>
    </row>
    <row r="3628" spans="1:21" hidden="1" x14ac:dyDescent="0.25">
      <c r="A3628">
        <v>25887.3282</v>
      </c>
      <c r="B3628">
        <v>3862.8937999999998</v>
      </c>
      <c r="C3628">
        <v>22</v>
      </c>
      <c r="D3628" t="s">
        <v>731</v>
      </c>
      <c r="E3628" t="s">
        <v>681</v>
      </c>
      <c r="F3628">
        <v>1974</v>
      </c>
      <c r="G3628" s="1" t="s">
        <v>695</v>
      </c>
      <c r="H3628" s="1" t="s">
        <v>571</v>
      </c>
      <c r="I3628">
        <v>0.70789999999999997</v>
      </c>
      <c r="J3628">
        <v>25887.306799999998</v>
      </c>
      <c r="K3628">
        <v>-3.2000000000000002E-3</v>
      </c>
      <c r="L3628">
        <v>1.1979999999999999E-2</v>
      </c>
      <c r="M3628">
        <v>8.0299999999999996E-2</v>
      </c>
      <c r="N3628">
        <v>0.19600000000000001</v>
      </c>
      <c r="O3628">
        <v>1.491E-2</v>
      </c>
      <c r="P3628" s="3">
        <f t="shared" si="224"/>
        <v>3862.8938153609843</v>
      </c>
      <c r="Q3628" s="3">
        <f t="shared" si="225"/>
        <v>-3.1932996466821351E-3</v>
      </c>
      <c r="R3628" s="3">
        <f t="shared" si="226"/>
        <v>1.1979999999999999E-2</v>
      </c>
      <c r="S3628">
        <f t="shared" si="227"/>
        <v>105</v>
      </c>
      <c r="T3628">
        <f>INDEX([1]IDEN_level_ids!$B:$B,MATCH(G3628,[1]IDEN_level_ids!$A:$A,0),1)</f>
        <v>1091</v>
      </c>
      <c r="U3628">
        <f>INDEX([1]IDEN_level_ids!$B:$B,MATCH(H3628,[1]IDEN_level_ids!$A:$A,0),1)</f>
        <v>975</v>
      </c>
    </row>
    <row r="3629" spans="1:21" hidden="1" x14ac:dyDescent="0.25">
      <c r="A3629">
        <v>25876.022700000001</v>
      </c>
      <c r="B3629">
        <v>3864.5816</v>
      </c>
      <c r="C3629">
        <v>22</v>
      </c>
      <c r="D3629" t="s">
        <v>731</v>
      </c>
      <c r="E3629" t="s">
        <v>678</v>
      </c>
      <c r="F3629">
        <v>1974</v>
      </c>
      <c r="G3629" s="1" t="s">
        <v>597</v>
      </c>
      <c r="H3629" s="1" t="s">
        <v>571</v>
      </c>
      <c r="I3629">
        <v>-0.70689999999999997</v>
      </c>
      <c r="J3629">
        <v>25876.0134</v>
      </c>
      <c r="K3629">
        <v>-1.4E-3</v>
      </c>
      <c r="L3629">
        <v>1.0880000000000001E-2</v>
      </c>
      <c r="M3629">
        <v>7.2800000000000004E-2</v>
      </c>
      <c r="N3629">
        <v>0.2515</v>
      </c>
      <c r="O3629">
        <v>1.453E-2</v>
      </c>
      <c r="P3629" s="3">
        <f t="shared" si="224"/>
        <v>3864.5815533312234</v>
      </c>
      <c r="Q3629" s="3">
        <f t="shared" si="225"/>
        <v>-1.3889546235077432E-3</v>
      </c>
      <c r="R3629" s="3">
        <f t="shared" si="226"/>
        <v>1.0880000000000001E-2</v>
      </c>
      <c r="S3629">
        <f t="shared" si="227"/>
        <v>105</v>
      </c>
      <c r="T3629">
        <f>INDEX([1]IDEN_level_ids!$B:$B,MATCH(G3629,[1]IDEN_level_ids!$A:$A,0),1)</f>
        <v>1090</v>
      </c>
      <c r="U3629">
        <f>INDEX([1]IDEN_level_ids!$B:$B,MATCH(H3629,[1]IDEN_level_ids!$A:$A,0),1)</f>
        <v>975</v>
      </c>
    </row>
    <row r="3630" spans="1:21" hidden="1" x14ac:dyDescent="0.25">
      <c r="A3630">
        <v>25795.562900000001</v>
      </c>
      <c r="B3630">
        <v>3876.6356999999998</v>
      </c>
      <c r="C3630">
        <v>22</v>
      </c>
      <c r="D3630" t="s">
        <v>731</v>
      </c>
      <c r="E3630" t="s">
        <v>427</v>
      </c>
      <c r="F3630">
        <v>1974</v>
      </c>
      <c r="G3630" s="1" t="s">
        <v>714</v>
      </c>
      <c r="H3630" s="1" t="s">
        <v>282</v>
      </c>
      <c r="I3630">
        <v>0</v>
      </c>
      <c r="J3630">
        <v>25795.531500000001</v>
      </c>
      <c r="K3630">
        <v>-4.7099999999999998E-3</v>
      </c>
      <c r="L3630">
        <v>7.3200000000000001E-3</v>
      </c>
      <c r="M3630">
        <v>4.87E-2</v>
      </c>
      <c r="N3630">
        <v>9.7500000000000003E-2</v>
      </c>
      <c r="O3630">
        <v>8.1099999999999992E-3</v>
      </c>
      <c r="P3630" s="3">
        <f t="shared" si="224"/>
        <v>3876.6356984595982</v>
      </c>
      <c r="Q3630" s="3">
        <f t="shared" si="225"/>
        <v>-4.7188933062898286E-3</v>
      </c>
      <c r="R3630" s="3">
        <f t="shared" si="226"/>
        <v>7.3200000000000001E-3</v>
      </c>
      <c r="S3630">
        <f t="shared" si="227"/>
        <v>105</v>
      </c>
      <c r="T3630">
        <f>INDEX([1]IDEN_level_ids!$B:$B,MATCH(G3630,[1]IDEN_level_ids!$A:$A,0),1)</f>
        <v>1248</v>
      </c>
      <c r="U3630">
        <f>INDEX([1]IDEN_level_ids!$B:$B,MATCH(H3630,[1]IDEN_level_ids!$A:$A,0),1)</f>
        <v>1128</v>
      </c>
    </row>
    <row r="3631" spans="1:21" hidden="1" x14ac:dyDescent="0.25">
      <c r="A3631">
        <v>25787.287899999999</v>
      </c>
      <c r="B3631">
        <v>3877.8797</v>
      </c>
      <c r="C3631">
        <v>22</v>
      </c>
      <c r="D3631" t="s">
        <v>731</v>
      </c>
      <c r="F3631">
        <v>1974</v>
      </c>
      <c r="G3631" s="1" t="s">
        <v>504</v>
      </c>
      <c r="H3631" s="1" t="s">
        <v>431</v>
      </c>
      <c r="I3631">
        <v>-0.66379999999999995</v>
      </c>
      <c r="J3631">
        <v>25787.297900000001</v>
      </c>
      <c r="K3631">
        <v>1.5100000000000001E-3</v>
      </c>
      <c r="L3631">
        <v>6.9300000000000004E-3</v>
      </c>
      <c r="M3631">
        <v>4.6100000000000002E-2</v>
      </c>
      <c r="N3631">
        <v>0.1739</v>
      </c>
      <c r="O3631">
        <v>8.3899999999999999E-3</v>
      </c>
      <c r="P3631" s="3">
        <f t="shared" si="224"/>
        <v>3877.8796897055622</v>
      </c>
      <c r="Q3631" s="3">
        <f t="shared" si="225"/>
        <v>1.5037945058793412E-3</v>
      </c>
      <c r="R3631" s="3">
        <f t="shared" si="226"/>
        <v>6.9300000000000004E-3</v>
      </c>
      <c r="S3631">
        <f t="shared" si="227"/>
        <v>105</v>
      </c>
      <c r="T3631">
        <f>INDEX([1]IDEN_level_ids!$B:$B,MATCH(G3631,[1]IDEN_level_ids!$A:$A,0),1)</f>
        <v>1118</v>
      </c>
      <c r="U3631">
        <f>INDEX([1]IDEN_level_ids!$B:$B,MATCH(H3631,[1]IDEN_level_ids!$A:$A,0),1)</f>
        <v>1062</v>
      </c>
    </row>
    <row r="3632" spans="1:21" hidden="1" x14ac:dyDescent="0.25">
      <c r="A3632">
        <v>25757.329900000001</v>
      </c>
      <c r="B3632">
        <v>3882.39</v>
      </c>
      <c r="C3632">
        <v>22</v>
      </c>
      <c r="D3632" t="s">
        <v>731</v>
      </c>
      <c r="E3632" t="s">
        <v>427</v>
      </c>
      <c r="F3632">
        <v>1974</v>
      </c>
      <c r="G3632" s="1" t="s">
        <v>670</v>
      </c>
      <c r="H3632" s="1" t="s">
        <v>577</v>
      </c>
      <c r="I3632">
        <v>3.2599999999999997E-2</v>
      </c>
      <c r="J3632">
        <v>25757.254199999999</v>
      </c>
      <c r="K3632">
        <v>-1.141E-2</v>
      </c>
      <c r="L3632">
        <v>7.3400000000000002E-3</v>
      </c>
      <c r="M3632">
        <v>4.87E-2</v>
      </c>
      <c r="N3632">
        <v>0.17979999999999999</v>
      </c>
      <c r="O3632">
        <v>8.9499999999999996E-3</v>
      </c>
      <c r="P3632" s="3">
        <f t="shared" si="224"/>
        <v>3882.3899988173853</v>
      </c>
      <c r="Q3632" s="3">
        <f t="shared" si="225"/>
        <v>-1.1410258276100649E-2</v>
      </c>
      <c r="R3632" s="3">
        <f t="shared" si="226"/>
        <v>7.3400000000000002E-3</v>
      </c>
      <c r="S3632">
        <f t="shared" si="227"/>
        <v>105</v>
      </c>
      <c r="T3632">
        <f>INDEX([1]IDEN_level_ids!$B:$B,MATCH(G3632,[1]IDEN_level_ids!$A:$A,0),1)</f>
        <v>1093</v>
      </c>
      <c r="U3632">
        <f>INDEX([1]IDEN_level_ids!$B:$B,MATCH(H3632,[1]IDEN_level_ids!$A:$A,0),1)</f>
        <v>985</v>
      </c>
    </row>
    <row r="3633" spans="1:21" hidden="1" x14ac:dyDescent="0.25">
      <c r="A3633">
        <v>25732.983499999998</v>
      </c>
      <c r="B3633">
        <v>3886.0632000000001</v>
      </c>
      <c r="C3633">
        <v>22</v>
      </c>
      <c r="D3633" t="s">
        <v>731</v>
      </c>
      <c r="F3633">
        <v>1974</v>
      </c>
      <c r="G3633" s="1" t="s">
        <v>669</v>
      </c>
      <c r="H3633" s="1" t="s">
        <v>602</v>
      </c>
      <c r="I3633">
        <v>0</v>
      </c>
      <c r="J3633">
        <v>25732.985799999999</v>
      </c>
      <c r="K3633">
        <v>3.5E-4</v>
      </c>
      <c r="L3633">
        <v>6.96E-3</v>
      </c>
      <c r="M3633">
        <v>4.6100000000000002E-2</v>
      </c>
      <c r="N3633">
        <v>0.19420000000000001</v>
      </c>
      <c r="O3633">
        <v>8.6300000000000005E-3</v>
      </c>
      <c r="P3633" s="3">
        <f t="shared" si="224"/>
        <v>3886.0631920119176</v>
      </c>
      <c r="Q3633" s="3">
        <f t="shared" si="225"/>
        <v>3.4733417305687908E-4</v>
      </c>
      <c r="R3633" s="3">
        <f t="shared" si="226"/>
        <v>6.96E-3</v>
      </c>
      <c r="S3633">
        <f t="shared" si="227"/>
        <v>105</v>
      </c>
      <c r="T3633">
        <f>INDEX([1]IDEN_level_ids!$B:$B,MATCH(G3633,[1]IDEN_level_ids!$A:$A,0),1)</f>
        <v>1245</v>
      </c>
      <c r="U3633">
        <f>INDEX([1]IDEN_level_ids!$B:$B,MATCH(H3633,[1]IDEN_level_ids!$A:$A,0),1)</f>
        <v>1125</v>
      </c>
    </row>
    <row r="3634" spans="1:21" hidden="1" x14ac:dyDescent="0.25">
      <c r="A3634">
        <v>25691.767400000001</v>
      </c>
      <c r="B3634">
        <v>3892.2973999999999</v>
      </c>
      <c r="C3634">
        <v>22</v>
      </c>
      <c r="D3634" t="s">
        <v>731</v>
      </c>
      <c r="E3634" t="s">
        <v>681</v>
      </c>
      <c r="F3634">
        <v>1974</v>
      </c>
      <c r="G3634" s="1" t="s">
        <v>383</v>
      </c>
      <c r="H3634" s="1" t="s">
        <v>565</v>
      </c>
      <c r="I3634">
        <v>0.51929999999999998</v>
      </c>
      <c r="J3634">
        <v>25691.7438</v>
      </c>
      <c r="K3634">
        <v>-3.5899999999999999E-3</v>
      </c>
      <c r="L3634">
        <v>1.217E-2</v>
      </c>
      <c r="M3634">
        <v>8.0299999999999996E-2</v>
      </c>
      <c r="N3634">
        <v>7.9699999999999993E-2</v>
      </c>
      <c r="O3634">
        <v>1.3220000000000001E-2</v>
      </c>
      <c r="P3634" s="3">
        <f t="shared" si="224"/>
        <v>3892.297421313257</v>
      </c>
      <c r="Q3634" s="3">
        <f t="shared" si="225"/>
        <v>-3.5753983793256339E-3</v>
      </c>
      <c r="R3634" s="3">
        <f t="shared" si="226"/>
        <v>1.217E-2</v>
      </c>
      <c r="S3634">
        <f t="shared" si="227"/>
        <v>105</v>
      </c>
      <c r="T3634">
        <f>INDEX([1]IDEN_level_ids!$B:$B,MATCH(G3634,[1]IDEN_level_ids!$A:$A,0),1)</f>
        <v>1097</v>
      </c>
      <c r="U3634">
        <f>INDEX([1]IDEN_level_ids!$B:$B,MATCH(H3634,[1]IDEN_level_ids!$A:$A,0),1)</f>
        <v>1004</v>
      </c>
    </row>
    <row r="3635" spans="1:21" hidden="1" x14ac:dyDescent="0.25">
      <c r="A3635">
        <v>25640.338500000002</v>
      </c>
      <c r="B3635">
        <v>3900.1044999999999</v>
      </c>
      <c r="C3635">
        <v>22</v>
      </c>
      <c r="D3635" t="s">
        <v>732</v>
      </c>
      <c r="F3635">
        <v>1974</v>
      </c>
      <c r="G3635" s="1" t="s">
        <v>265</v>
      </c>
      <c r="H3635" s="1" t="s">
        <v>327</v>
      </c>
      <c r="I3635">
        <v>0</v>
      </c>
      <c r="J3635">
        <v>25640.353500000001</v>
      </c>
      <c r="K3635">
        <v>2.2799999999999999E-3</v>
      </c>
      <c r="L3635">
        <v>7.0099999999999997E-3</v>
      </c>
      <c r="M3635">
        <v>4.6100000000000002E-2</v>
      </c>
      <c r="N3635">
        <v>0.14949999999999999</v>
      </c>
      <c r="O3635">
        <v>8.2400000000000008E-3</v>
      </c>
      <c r="P3635" s="3">
        <f t="shared" si="224"/>
        <v>3900.1045169508971</v>
      </c>
      <c r="Q3635" s="3">
        <f t="shared" si="225"/>
        <v>2.2816209511802299E-3</v>
      </c>
      <c r="R3635" s="3">
        <f t="shared" si="226"/>
        <v>7.0099999999999997E-3</v>
      </c>
      <c r="S3635">
        <f t="shared" si="227"/>
        <v>106</v>
      </c>
      <c r="T3635">
        <f>INDEX([1]IDEN_level_ids!$B:$B,MATCH(G3635,[1]IDEN_level_ids!$A:$A,0),1)</f>
        <v>1161</v>
      </c>
      <c r="U3635">
        <f>INDEX([1]IDEN_level_ids!$B:$B,MATCH(H3635,[1]IDEN_level_ids!$A:$A,0),1)</f>
        <v>1086</v>
      </c>
    </row>
    <row r="3636" spans="1:21" hidden="1" x14ac:dyDescent="0.25">
      <c r="A3636">
        <v>25598.7081</v>
      </c>
      <c r="B3636">
        <v>3906.4470999999999</v>
      </c>
      <c r="C3636">
        <v>22</v>
      </c>
      <c r="D3636" t="s">
        <v>732</v>
      </c>
      <c r="F3636">
        <v>1974</v>
      </c>
      <c r="G3636" s="1" t="s">
        <v>138</v>
      </c>
      <c r="H3636" s="1" t="s">
        <v>398</v>
      </c>
      <c r="I3636">
        <v>0.31929999999999997</v>
      </c>
      <c r="J3636">
        <v>25598.712299999999</v>
      </c>
      <c r="K3636">
        <v>6.4999999999999997E-4</v>
      </c>
      <c r="L3636">
        <v>7.0299999999999998E-3</v>
      </c>
      <c r="M3636">
        <v>4.6100000000000002E-2</v>
      </c>
      <c r="N3636">
        <v>9.6100000000000005E-2</v>
      </c>
      <c r="O3636">
        <v>7.7799999999999996E-3</v>
      </c>
      <c r="P3636" s="3">
        <f t="shared" si="224"/>
        <v>3906.447138244449</v>
      </c>
      <c r="Q3636" s="3">
        <f t="shared" si="225"/>
        <v>6.4093372293427819E-4</v>
      </c>
      <c r="R3636" s="3">
        <f t="shared" si="226"/>
        <v>7.0299999999999998E-3</v>
      </c>
      <c r="S3636">
        <f t="shared" si="227"/>
        <v>106</v>
      </c>
      <c r="T3636">
        <f>INDEX([1]IDEN_level_ids!$B:$B,MATCH(G3636,[1]IDEN_level_ids!$A:$A,0),1)</f>
        <v>1126</v>
      </c>
      <c r="U3636">
        <f>INDEX([1]IDEN_level_ids!$B:$B,MATCH(H3636,[1]IDEN_level_ids!$A:$A,0),1)</f>
        <v>1075</v>
      </c>
    </row>
    <row r="3637" spans="1:21" hidden="1" x14ac:dyDescent="0.25">
      <c r="A3637">
        <v>25555.9702</v>
      </c>
      <c r="B3637">
        <v>3912.98</v>
      </c>
      <c r="C3637">
        <v>22</v>
      </c>
      <c r="D3637" t="s">
        <v>732</v>
      </c>
      <c r="F3637">
        <v>1974</v>
      </c>
      <c r="G3637" s="1" t="s">
        <v>279</v>
      </c>
      <c r="H3637" s="1" t="s">
        <v>446</v>
      </c>
      <c r="I3637">
        <v>0.57489999999999997</v>
      </c>
      <c r="J3637">
        <v>25555.872299999999</v>
      </c>
      <c r="K3637">
        <v>-1.499E-2</v>
      </c>
      <c r="L3637">
        <v>7.0499999999999998E-3</v>
      </c>
      <c r="M3637">
        <v>4.6100000000000002E-2</v>
      </c>
      <c r="N3637">
        <v>0.14799999999999999</v>
      </c>
      <c r="O3637">
        <v>8.2799999999999992E-3</v>
      </c>
      <c r="P3637" s="3">
        <f t="shared" si="224"/>
        <v>3912.9799893098952</v>
      </c>
      <c r="Q3637" s="3">
        <f t="shared" si="225"/>
        <v>-1.4989930160027143E-2</v>
      </c>
      <c r="R3637" s="3">
        <f t="shared" si="226"/>
        <v>7.0499999999999998E-3</v>
      </c>
      <c r="S3637">
        <f t="shared" si="227"/>
        <v>106</v>
      </c>
      <c r="T3637">
        <f>INDEX([1]IDEN_level_ids!$B:$B,MATCH(G3637,[1]IDEN_level_ids!$A:$A,0),1)</f>
        <v>1129</v>
      </c>
      <c r="U3637">
        <f>INDEX([1]IDEN_level_ids!$B:$B,MATCH(H3637,[1]IDEN_level_ids!$A:$A,0),1)</f>
        <v>1079</v>
      </c>
    </row>
    <row r="3638" spans="1:21" hidden="1" x14ac:dyDescent="0.25">
      <c r="A3638">
        <v>25495.789100000002</v>
      </c>
      <c r="B3638">
        <v>3922.2163</v>
      </c>
      <c r="C3638">
        <v>22</v>
      </c>
      <c r="D3638" t="s">
        <v>732</v>
      </c>
      <c r="F3638">
        <v>1974</v>
      </c>
      <c r="G3638" s="1" t="s">
        <v>275</v>
      </c>
      <c r="H3638" s="1" t="s">
        <v>545</v>
      </c>
      <c r="I3638">
        <v>0</v>
      </c>
      <c r="J3638">
        <v>25495.820299999999</v>
      </c>
      <c r="K3638">
        <v>4.7999999999999996E-3</v>
      </c>
      <c r="L3638">
        <v>7.0899999999999999E-3</v>
      </c>
      <c r="M3638">
        <v>4.6100000000000002E-2</v>
      </c>
      <c r="N3638">
        <v>9.8000000000000004E-2</v>
      </c>
      <c r="O3638">
        <v>7.8600000000000007E-3</v>
      </c>
      <c r="P3638" s="3">
        <f t="shared" si="224"/>
        <v>3922.2163161053131</v>
      </c>
      <c r="Q3638" s="3">
        <f t="shared" si="225"/>
        <v>4.7997337451306521E-3</v>
      </c>
      <c r="R3638" s="3">
        <f t="shared" si="226"/>
        <v>7.0899999999999999E-3</v>
      </c>
      <c r="S3638">
        <f t="shared" si="227"/>
        <v>106</v>
      </c>
      <c r="T3638">
        <f>INDEX([1]IDEN_level_ids!$B:$B,MATCH(G3638,[1]IDEN_level_ids!$A:$A,0),1)</f>
        <v>1134</v>
      </c>
      <c r="U3638">
        <f>INDEX([1]IDEN_level_ids!$B:$B,MATCH(H3638,[1]IDEN_level_ids!$A:$A,0),1)</f>
        <v>1081</v>
      </c>
    </row>
    <row r="3639" spans="1:21" hidden="1" x14ac:dyDescent="0.25">
      <c r="A3639">
        <v>25448.022300000001</v>
      </c>
      <c r="B3639">
        <v>3929.5783999999999</v>
      </c>
      <c r="C3639">
        <v>22</v>
      </c>
      <c r="D3639" t="s">
        <v>732</v>
      </c>
      <c r="E3639" t="s">
        <v>427</v>
      </c>
      <c r="F3639">
        <v>1974</v>
      </c>
      <c r="G3639" s="1" t="s">
        <v>228</v>
      </c>
      <c r="H3639" s="1" t="s">
        <v>733</v>
      </c>
      <c r="I3639">
        <v>0</v>
      </c>
      <c r="J3639">
        <v>25447.961599999999</v>
      </c>
      <c r="K3639">
        <v>-9.3699999999999999E-3</v>
      </c>
      <c r="L3639">
        <v>7.5199999999999998E-3</v>
      </c>
      <c r="M3639">
        <v>4.87E-2</v>
      </c>
      <c r="N3639">
        <v>0.46189999999999998</v>
      </c>
      <c r="O3639">
        <v>1.3979999999999999E-2</v>
      </c>
      <c r="P3639" s="3">
        <f t="shared" si="224"/>
        <v>3929.5784490097685</v>
      </c>
      <c r="Q3639" s="3">
        <f t="shared" si="225"/>
        <v>-9.373065536692593E-3</v>
      </c>
      <c r="R3639" s="3">
        <f t="shared" si="226"/>
        <v>7.5199999999999998E-3</v>
      </c>
      <c r="S3639">
        <f t="shared" si="227"/>
        <v>106</v>
      </c>
      <c r="T3639">
        <f>INDEX([1]IDEN_level_ids!$B:$B,MATCH(G3639,[1]IDEN_level_ids!$A:$A,0),1)</f>
        <v>804</v>
      </c>
      <c r="U3639">
        <f>INDEX([1]IDEN_level_ids!$B:$B,MATCH(H3639,[1]IDEN_level_ids!$A:$A,0),1)</f>
        <v>355</v>
      </c>
    </row>
    <row r="3640" spans="1:21" hidden="1" x14ac:dyDescent="0.25">
      <c r="A3640">
        <v>25429.659500000002</v>
      </c>
      <c r="B3640">
        <v>3932.4160000000002</v>
      </c>
      <c r="C3640">
        <v>22</v>
      </c>
      <c r="D3640" t="s">
        <v>732</v>
      </c>
      <c r="F3640">
        <v>1974</v>
      </c>
      <c r="G3640" s="1" t="s">
        <v>134</v>
      </c>
      <c r="H3640" s="1" t="s">
        <v>466</v>
      </c>
      <c r="I3640">
        <v>0.3876</v>
      </c>
      <c r="J3640">
        <v>25429.653699999999</v>
      </c>
      <c r="K3640">
        <v>-8.9999999999999998E-4</v>
      </c>
      <c r="L3640">
        <v>7.1199999999999996E-3</v>
      </c>
      <c r="M3640">
        <v>4.6100000000000002E-2</v>
      </c>
      <c r="N3640">
        <v>0.16109999999999999</v>
      </c>
      <c r="O3640">
        <v>8.4899999999999993E-3</v>
      </c>
      <c r="P3640" s="3">
        <f t="shared" si="224"/>
        <v>3932.4160042331669</v>
      </c>
      <c r="Q3640" s="3">
        <f t="shared" si="225"/>
        <v>-8.9690615141080343E-4</v>
      </c>
      <c r="R3640" s="3">
        <f t="shared" si="226"/>
        <v>7.1199999999999996E-3</v>
      </c>
      <c r="S3640">
        <f t="shared" si="227"/>
        <v>106</v>
      </c>
      <c r="T3640">
        <f>INDEX([1]IDEN_level_ids!$B:$B,MATCH(G3640,[1]IDEN_level_ids!$A:$A,0),1)</f>
        <v>1114</v>
      </c>
      <c r="U3640">
        <f>INDEX([1]IDEN_level_ids!$B:$B,MATCH(H3640,[1]IDEN_level_ids!$A:$A,0),1)</f>
        <v>1061</v>
      </c>
    </row>
    <row r="3641" spans="1:21" hidden="1" x14ac:dyDescent="0.25">
      <c r="A3641">
        <v>25409.8374</v>
      </c>
      <c r="B3641">
        <v>3935.4837000000002</v>
      </c>
      <c r="C3641">
        <v>22</v>
      </c>
      <c r="D3641" t="s">
        <v>732</v>
      </c>
      <c r="E3641" t="s">
        <v>638</v>
      </c>
      <c r="F3641">
        <v>1974</v>
      </c>
      <c r="G3641" s="1" t="s">
        <v>125</v>
      </c>
      <c r="H3641" s="1" t="s">
        <v>216</v>
      </c>
      <c r="I3641">
        <v>0</v>
      </c>
      <c r="J3641">
        <v>25409.779699999999</v>
      </c>
      <c r="K3641">
        <v>-8.9300000000000004E-3</v>
      </c>
      <c r="L3641">
        <v>2.6769999999999999E-2</v>
      </c>
      <c r="M3641">
        <v>0.17280000000000001</v>
      </c>
      <c r="N3641">
        <v>8.2000000000000007E-3</v>
      </c>
      <c r="O3641">
        <v>2.699E-2</v>
      </c>
      <c r="P3641" s="3">
        <f t="shared" si="224"/>
        <v>3935.4836642913738</v>
      </c>
      <c r="Q3641" s="3">
        <f t="shared" si="225"/>
        <v>-8.9366145680287445E-3</v>
      </c>
      <c r="R3641" s="3">
        <f t="shared" si="226"/>
        <v>2.6769999999999999E-2</v>
      </c>
      <c r="S3641">
        <f t="shared" si="227"/>
        <v>106</v>
      </c>
      <c r="T3641">
        <f>INDEX([1]IDEN_level_ids!$B:$B,MATCH(G3641,[1]IDEN_level_ids!$A:$A,0),1)</f>
        <v>1253</v>
      </c>
      <c r="U3641">
        <f>INDEX([1]IDEN_level_ids!$B:$B,MATCH(H3641,[1]IDEN_level_ids!$A:$A,0),1)</f>
        <v>1170</v>
      </c>
    </row>
    <row r="3642" spans="1:21" hidden="1" x14ac:dyDescent="0.25">
      <c r="A3642">
        <v>25340.662199999999</v>
      </c>
      <c r="B3642">
        <v>3946.2267999999999</v>
      </c>
      <c r="C3642">
        <v>22</v>
      </c>
      <c r="D3642" t="s">
        <v>732</v>
      </c>
      <c r="F3642">
        <v>1974</v>
      </c>
      <c r="G3642" s="1" t="s">
        <v>354</v>
      </c>
      <c r="H3642" s="1" t="s">
        <v>386</v>
      </c>
      <c r="I3642">
        <v>-0.55489999999999995</v>
      </c>
      <c r="J3642">
        <v>25340.731599999999</v>
      </c>
      <c r="K3642">
        <v>1.081E-2</v>
      </c>
      <c r="L3642">
        <v>7.1700000000000002E-3</v>
      </c>
      <c r="M3642">
        <v>4.6100000000000002E-2</v>
      </c>
      <c r="N3642">
        <v>0.18459999999999999</v>
      </c>
      <c r="O3642">
        <v>8.8000000000000005E-3</v>
      </c>
      <c r="P3642" s="3">
        <f t="shared" si="224"/>
        <v>3946.2267880276627</v>
      </c>
      <c r="Q3642" s="3">
        <f t="shared" si="225"/>
        <v>1.0807428270709352E-2</v>
      </c>
      <c r="R3642" s="3">
        <f t="shared" si="226"/>
        <v>7.1700000000000002E-3</v>
      </c>
      <c r="S3642">
        <f t="shared" si="227"/>
        <v>106</v>
      </c>
      <c r="T3642">
        <f>INDEX([1]IDEN_level_ids!$B:$B,MATCH(G3642,[1]IDEN_level_ids!$A:$A,0),1)</f>
        <v>1135</v>
      </c>
      <c r="U3642">
        <f>INDEX([1]IDEN_level_ids!$B:$B,MATCH(H3642,[1]IDEN_level_ids!$A:$A,0),1)</f>
        <v>1082</v>
      </c>
    </row>
    <row r="3643" spans="1:21" hidden="1" x14ac:dyDescent="0.25">
      <c r="A3643">
        <v>25318.869200000001</v>
      </c>
      <c r="B3643">
        <v>3949.6235000000001</v>
      </c>
      <c r="C3643">
        <v>22</v>
      </c>
      <c r="D3643" t="s">
        <v>732</v>
      </c>
      <c r="E3643" t="s">
        <v>638</v>
      </c>
      <c r="F3643">
        <v>1974</v>
      </c>
      <c r="G3643" s="1" t="s">
        <v>734</v>
      </c>
      <c r="H3643" s="1" t="s">
        <v>278</v>
      </c>
      <c r="I3643">
        <v>0</v>
      </c>
      <c r="J3643">
        <v>25318.857499999998</v>
      </c>
      <c r="K3643">
        <v>-1.82E-3</v>
      </c>
      <c r="L3643">
        <v>2.6960000000000001E-2</v>
      </c>
      <c r="M3643">
        <v>0.17280000000000001</v>
      </c>
      <c r="N3643">
        <v>1.06E-2</v>
      </c>
      <c r="O3643">
        <v>2.725E-2</v>
      </c>
      <c r="P3643" s="3">
        <f t="shared" si="224"/>
        <v>3949.6234689659836</v>
      </c>
      <c r="Q3643" s="3">
        <f t="shared" si="225"/>
        <v>-1.8251453325319744E-3</v>
      </c>
      <c r="R3643" s="3">
        <f t="shared" si="226"/>
        <v>2.6960000000000001E-2</v>
      </c>
      <c r="S3643">
        <f t="shared" si="227"/>
        <v>106</v>
      </c>
      <c r="T3643">
        <f>INDEX([1]IDEN_level_ids!$B:$B,MATCH(G3643,[1]IDEN_level_ids!$A:$A,0),1)</f>
        <v>1232</v>
      </c>
      <c r="U3643">
        <f>INDEX([1]IDEN_level_ids!$B:$B,MATCH(H3643,[1]IDEN_level_ids!$A:$A,0),1)</f>
        <v>1102</v>
      </c>
    </row>
    <row r="3644" spans="1:21" hidden="1" x14ac:dyDescent="0.25">
      <c r="A3644">
        <v>25155.622800000001</v>
      </c>
      <c r="B3644">
        <v>3975.2543999999998</v>
      </c>
      <c r="C3644">
        <v>22</v>
      </c>
      <c r="D3644" t="s">
        <v>732</v>
      </c>
      <c r="F3644">
        <v>1974</v>
      </c>
      <c r="G3644" s="1" t="s">
        <v>339</v>
      </c>
      <c r="H3644" s="1" t="s">
        <v>307</v>
      </c>
      <c r="I3644">
        <v>0</v>
      </c>
      <c r="J3644">
        <v>25155.649000000001</v>
      </c>
      <c r="K3644">
        <v>4.15E-3</v>
      </c>
      <c r="L3644">
        <v>7.28E-3</v>
      </c>
      <c r="M3644">
        <v>4.6100000000000002E-2</v>
      </c>
      <c r="N3644">
        <v>0.19489999999999999</v>
      </c>
      <c r="O3644">
        <v>9.0399999999999994E-3</v>
      </c>
      <c r="P3644" s="3">
        <f t="shared" si="224"/>
        <v>3975.2543912369365</v>
      </c>
      <c r="Q3644" s="3">
        <f t="shared" si="225"/>
        <v>4.1402893266422325E-3</v>
      </c>
      <c r="R3644" s="3">
        <f t="shared" si="226"/>
        <v>7.28E-3</v>
      </c>
      <c r="S3644">
        <f t="shared" si="227"/>
        <v>106</v>
      </c>
      <c r="T3644">
        <f>INDEX([1]IDEN_level_ids!$B:$B,MATCH(G3644,[1]IDEN_level_ids!$A:$A,0),1)</f>
        <v>1189</v>
      </c>
      <c r="U3644">
        <f>INDEX([1]IDEN_level_ids!$B:$B,MATCH(H3644,[1]IDEN_level_ids!$A:$A,0),1)</f>
        <v>1095</v>
      </c>
    </row>
    <row r="3645" spans="1:21" hidden="1" x14ac:dyDescent="0.25">
      <c r="A3645">
        <v>25132.1381</v>
      </c>
      <c r="B3645">
        <v>3978.9690999999998</v>
      </c>
      <c r="C3645">
        <v>22</v>
      </c>
      <c r="D3645" t="s">
        <v>732</v>
      </c>
      <c r="F3645">
        <v>1974</v>
      </c>
      <c r="G3645" s="1" t="s">
        <v>250</v>
      </c>
      <c r="H3645" s="1" t="s">
        <v>428</v>
      </c>
      <c r="I3645">
        <v>0.39950000000000002</v>
      </c>
      <c r="J3645">
        <v>25132.105599999999</v>
      </c>
      <c r="K3645">
        <v>-5.1399999999999996E-3</v>
      </c>
      <c r="L3645">
        <v>7.2899999999999996E-3</v>
      </c>
      <c r="M3645">
        <v>4.6100000000000002E-2</v>
      </c>
      <c r="N3645">
        <v>0.1071</v>
      </c>
      <c r="O3645">
        <v>8.1700000000000002E-3</v>
      </c>
      <c r="P3645" s="3">
        <f t="shared" si="224"/>
        <v>3978.9690635195102</v>
      </c>
      <c r="Q3645" s="3">
        <f t="shared" si="225"/>
        <v>-5.145469966919336E-3</v>
      </c>
      <c r="R3645" s="3">
        <f t="shared" si="226"/>
        <v>7.2899999999999996E-3</v>
      </c>
      <c r="S3645">
        <f t="shared" si="227"/>
        <v>106</v>
      </c>
      <c r="T3645">
        <f>INDEX([1]IDEN_level_ids!$B:$B,MATCH(G3645,[1]IDEN_level_ids!$A:$A,0),1)</f>
        <v>1107</v>
      </c>
      <c r="U3645">
        <f>INDEX([1]IDEN_level_ids!$B:$B,MATCH(H3645,[1]IDEN_level_ids!$A:$A,0),1)</f>
        <v>1060</v>
      </c>
    </row>
    <row r="3646" spans="1:21" hidden="1" x14ac:dyDescent="0.25">
      <c r="A3646">
        <v>25124.102500000001</v>
      </c>
      <c r="B3646">
        <v>3980.2417</v>
      </c>
      <c r="C3646">
        <v>22</v>
      </c>
      <c r="D3646" t="s">
        <v>732</v>
      </c>
      <c r="F3646">
        <v>1974</v>
      </c>
      <c r="G3646" s="1" t="s">
        <v>250</v>
      </c>
      <c r="H3646" s="1" t="s">
        <v>377</v>
      </c>
      <c r="I3646">
        <v>0.33889999999999998</v>
      </c>
      <c r="J3646">
        <v>25124.1165</v>
      </c>
      <c r="K3646">
        <v>2.2100000000000002E-3</v>
      </c>
      <c r="L3646">
        <v>7.3000000000000001E-3</v>
      </c>
      <c r="M3646">
        <v>4.6100000000000002E-2</v>
      </c>
      <c r="N3646">
        <v>8.3299999999999999E-2</v>
      </c>
      <c r="O3646">
        <v>7.9600000000000001E-3</v>
      </c>
      <c r="P3646" s="3">
        <f t="shared" si="224"/>
        <v>3980.241682265068</v>
      </c>
      <c r="Q3646" s="3">
        <f t="shared" si="225"/>
        <v>2.2179241032063146E-3</v>
      </c>
      <c r="R3646" s="3">
        <f t="shared" si="226"/>
        <v>7.3000000000000001E-3</v>
      </c>
      <c r="S3646">
        <f t="shared" si="227"/>
        <v>106</v>
      </c>
      <c r="T3646">
        <f>INDEX([1]IDEN_level_ids!$B:$B,MATCH(G3646,[1]IDEN_level_ids!$A:$A,0),1)</f>
        <v>1107</v>
      </c>
      <c r="U3646">
        <f>INDEX([1]IDEN_level_ids!$B:$B,MATCH(H3646,[1]IDEN_level_ids!$A:$A,0),1)</f>
        <v>1057</v>
      </c>
    </row>
    <row r="3647" spans="1:21" hidden="1" x14ac:dyDescent="0.25">
      <c r="A3647">
        <v>25115.279900000001</v>
      </c>
      <c r="B3647">
        <v>3981.6399000000001</v>
      </c>
      <c r="C3647">
        <v>22</v>
      </c>
      <c r="D3647" t="s">
        <v>732</v>
      </c>
      <c r="F3647">
        <v>1974</v>
      </c>
      <c r="G3647" s="1" t="s">
        <v>262</v>
      </c>
      <c r="H3647" s="1" t="s">
        <v>451</v>
      </c>
      <c r="I3647">
        <v>0.38469999999999999</v>
      </c>
      <c r="J3647">
        <v>25115.3099</v>
      </c>
      <c r="K3647">
        <v>4.7600000000000003E-3</v>
      </c>
      <c r="L3647">
        <v>7.3000000000000001E-3</v>
      </c>
      <c r="M3647">
        <v>4.6100000000000002E-2</v>
      </c>
      <c r="N3647">
        <v>9.5600000000000004E-2</v>
      </c>
      <c r="O3647">
        <v>8.0800000000000004E-3</v>
      </c>
      <c r="P3647" s="3">
        <f t="shared" si="224"/>
        <v>3981.6398781205698</v>
      </c>
      <c r="Q3647" s="3">
        <f t="shared" si="225"/>
        <v>4.7560311545566947E-3</v>
      </c>
      <c r="R3647" s="3">
        <f t="shared" si="226"/>
        <v>7.3000000000000001E-3</v>
      </c>
      <c r="S3647">
        <f t="shared" si="227"/>
        <v>106</v>
      </c>
      <c r="T3647">
        <f>INDEX([1]IDEN_level_ids!$B:$B,MATCH(G3647,[1]IDEN_level_ids!$A:$A,0),1)</f>
        <v>1115</v>
      </c>
      <c r="U3647">
        <f>INDEX([1]IDEN_level_ids!$B:$B,MATCH(H3647,[1]IDEN_level_ids!$A:$A,0),1)</f>
        <v>1066</v>
      </c>
    </row>
    <row r="3648" spans="1:21" hidden="1" x14ac:dyDescent="0.25">
      <c r="A3648">
        <v>25006.280200000001</v>
      </c>
      <c r="B3648">
        <v>3998.9953999999998</v>
      </c>
      <c r="C3648">
        <v>22</v>
      </c>
      <c r="D3648" t="s">
        <v>732</v>
      </c>
      <c r="F3648">
        <v>1974</v>
      </c>
      <c r="G3648" s="1" t="s">
        <v>299</v>
      </c>
      <c r="H3648" s="1" t="s">
        <v>472</v>
      </c>
      <c r="I3648">
        <v>0</v>
      </c>
      <c r="J3648">
        <v>25006.307199999999</v>
      </c>
      <c r="K3648">
        <v>4.3299999999999996E-3</v>
      </c>
      <c r="L3648">
        <v>7.3699999999999998E-3</v>
      </c>
      <c r="M3648">
        <v>4.6100000000000002E-2</v>
      </c>
      <c r="N3648">
        <v>0.1055</v>
      </c>
      <c r="O3648">
        <v>8.2400000000000008E-3</v>
      </c>
      <c r="P3648" s="3">
        <f t="shared" si="224"/>
        <v>3998.9954203584425</v>
      </c>
      <c r="Q3648" s="3">
        <f t="shared" si="225"/>
        <v>4.3178257183171809E-3</v>
      </c>
      <c r="R3648" s="3">
        <f t="shared" si="226"/>
        <v>7.3699999999999998E-3</v>
      </c>
      <c r="S3648">
        <f t="shared" si="227"/>
        <v>106</v>
      </c>
      <c r="T3648">
        <f>INDEX([1]IDEN_level_ids!$B:$B,MATCH(G3648,[1]IDEN_level_ids!$A:$A,0),1)</f>
        <v>1101</v>
      </c>
      <c r="U3648">
        <f>INDEX([1]IDEN_level_ids!$B:$B,MATCH(H3648,[1]IDEN_level_ids!$A:$A,0),1)</f>
        <v>1012</v>
      </c>
    </row>
    <row r="3649" spans="1:21" hidden="1" x14ac:dyDescent="0.25">
      <c r="A3649">
        <v>24991.6901</v>
      </c>
      <c r="B3649">
        <v>4001.33</v>
      </c>
      <c r="C3649">
        <v>22</v>
      </c>
      <c r="D3649" t="s">
        <v>735</v>
      </c>
      <c r="F3649">
        <v>1974</v>
      </c>
      <c r="G3649" s="1" t="s">
        <v>714</v>
      </c>
      <c r="H3649" s="1" t="s">
        <v>275</v>
      </c>
      <c r="I3649">
        <v>0</v>
      </c>
      <c r="J3649">
        <v>24991.5785</v>
      </c>
      <c r="K3649">
        <v>-1.787E-2</v>
      </c>
      <c r="L3649">
        <v>7.3800000000000003E-3</v>
      </c>
      <c r="M3649">
        <v>4.6100000000000002E-2</v>
      </c>
      <c r="N3649">
        <v>9.35E-2</v>
      </c>
      <c r="O3649">
        <v>8.1399999999999997E-3</v>
      </c>
      <c r="P3649" s="3">
        <f t="shared" si="224"/>
        <v>4001.3300260953542</v>
      </c>
      <c r="Q3649" s="3">
        <f t="shared" si="225"/>
        <v>-1.786795623593207E-2</v>
      </c>
      <c r="R3649" s="3">
        <f t="shared" si="226"/>
        <v>7.3800000000000003E-3</v>
      </c>
      <c r="S3649">
        <f t="shared" si="227"/>
        <v>107</v>
      </c>
      <c r="T3649">
        <f>INDEX([1]IDEN_level_ids!$B:$B,MATCH(G3649,[1]IDEN_level_ids!$A:$A,0),1)</f>
        <v>1248</v>
      </c>
      <c r="U3649">
        <f>INDEX([1]IDEN_level_ids!$B:$B,MATCH(H3649,[1]IDEN_level_ids!$A:$A,0),1)</f>
        <v>1134</v>
      </c>
    </row>
    <row r="3650" spans="1:21" hidden="1" x14ac:dyDescent="0.25">
      <c r="A3650">
        <v>24986.9185</v>
      </c>
      <c r="B3650">
        <v>4002.0940999999998</v>
      </c>
      <c r="C3650">
        <v>22</v>
      </c>
      <c r="D3650" t="s">
        <v>735</v>
      </c>
      <c r="F3650">
        <v>1974</v>
      </c>
      <c r="G3650" s="1" t="s">
        <v>273</v>
      </c>
      <c r="H3650" s="1" t="s">
        <v>377</v>
      </c>
      <c r="I3650">
        <v>0.33889999999999998</v>
      </c>
      <c r="J3650">
        <v>24986.932100000002</v>
      </c>
      <c r="K3650">
        <v>2.1800000000000001E-3</v>
      </c>
      <c r="L3650">
        <v>7.3800000000000003E-3</v>
      </c>
      <c r="M3650">
        <v>4.6100000000000002E-2</v>
      </c>
      <c r="N3650">
        <v>8.5500000000000007E-2</v>
      </c>
      <c r="O3650">
        <v>8.0700000000000008E-3</v>
      </c>
      <c r="P3650" s="3">
        <f t="shared" ref="P3650:P3713" si="228">100000000/$A3650</f>
        <v>4002.0941357774868</v>
      </c>
      <c r="Q3650" s="3">
        <f t="shared" ref="Q3650:Q3713" si="229">100000000/($A3650)-100000000/$J3650</f>
        <v>2.1782778308079287E-3</v>
      </c>
      <c r="R3650" s="3">
        <f t="shared" si="226"/>
        <v>7.3800000000000003E-3</v>
      </c>
      <c r="S3650">
        <f t="shared" si="227"/>
        <v>107</v>
      </c>
      <c r="T3650">
        <f>INDEX([1]IDEN_level_ids!$B:$B,MATCH(G3650,[1]IDEN_level_ids!$A:$A,0),1)</f>
        <v>1105</v>
      </c>
      <c r="U3650">
        <f>INDEX([1]IDEN_level_ids!$B:$B,MATCH(H3650,[1]IDEN_level_ids!$A:$A,0),1)</f>
        <v>1057</v>
      </c>
    </row>
    <row r="3651" spans="1:21" hidden="1" x14ac:dyDescent="0.25">
      <c r="A3651">
        <v>24913.503400000001</v>
      </c>
      <c r="B3651">
        <v>4013.8874999999998</v>
      </c>
      <c r="C3651">
        <v>22</v>
      </c>
      <c r="D3651" t="s">
        <v>735</v>
      </c>
      <c r="F3651">
        <v>1974</v>
      </c>
      <c r="G3651" s="1" t="s">
        <v>669</v>
      </c>
      <c r="H3651" s="1" t="s">
        <v>280</v>
      </c>
      <c r="I3651">
        <v>0</v>
      </c>
      <c r="J3651">
        <v>24913.474600000001</v>
      </c>
      <c r="K3651">
        <v>-4.6299999999999996E-3</v>
      </c>
      <c r="L3651">
        <v>7.4200000000000004E-3</v>
      </c>
      <c r="M3651">
        <v>4.6100000000000002E-2</v>
      </c>
      <c r="N3651">
        <v>0.14649999999999999</v>
      </c>
      <c r="O3651">
        <v>8.6999999999999994E-3</v>
      </c>
      <c r="P3651" s="3">
        <f t="shared" si="228"/>
        <v>4013.8875048781774</v>
      </c>
      <c r="Q3651" s="3">
        <f t="shared" si="229"/>
        <v>-4.6400577198255633E-3</v>
      </c>
      <c r="R3651" s="3">
        <f t="shared" ref="R3651:R3714" si="230">$L3651</f>
        <v>7.4200000000000004E-3</v>
      </c>
      <c r="S3651">
        <f t="shared" si="227"/>
        <v>107</v>
      </c>
      <c r="T3651">
        <f>INDEX([1]IDEN_level_ids!$B:$B,MATCH(G3651,[1]IDEN_level_ids!$A:$A,0),1)</f>
        <v>1245</v>
      </c>
      <c r="U3651">
        <f>INDEX([1]IDEN_level_ids!$B:$B,MATCH(H3651,[1]IDEN_level_ids!$A:$A,0),1)</f>
        <v>1130</v>
      </c>
    </row>
    <row r="3652" spans="1:21" hidden="1" x14ac:dyDescent="0.25">
      <c r="A3652">
        <v>24894.9493</v>
      </c>
      <c r="B3652">
        <v>4016.8789999999999</v>
      </c>
      <c r="C3652">
        <v>22</v>
      </c>
      <c r="D3652" t="s">
        <v>735</v>
      </c>
      <c r="E3652" t="s">
        <v>427</v>
      </c>
      <c r="F3652">
        <v>1974</v>
      </c>
      <c r="G3652" s="1" t="s">
        <v>118</v>
      </c>
      <c r="H3652" s="1" t="s">
        <v>459</v>
      </c>
      <c r="I3652">
        <v>0</v>
      </c>
      <c r="J3652">
        <v>24894.9015</v>
      </c>
      <c r="K3652">
        <v>-7.7000000000000002E-3</v>
      </c>
      <c r="L3652">
        <v>7.8600000000000007E-3</v>
      </c>
      <c r="M3652">
        <v>4.87E-2</v>
      </c>
      <c r="N3652">
        <v>0.32590000000000002</v>
      </c>
      <c r="O3652">
        <v>1.166E-2</v>
      </c>
      <c r="P3652" s="3">
        <f t="shared" si="228"/>
        <v>4016.8790381910921</v>
      </c>
      <c r="Q3652" s="3">
        <f t="shared" si="229"/>
        <v>-7.7126964338276593E-3</v>
      </c>
      <c r="R3652" s="3">
        <f t="shared" si="230"/>
        <v>7.8600000000000007E-3</v>
      </c>
      <c r="S3652">
        <f t="shared" ref="S3652:S3715" si="231">IF(D3652=D3651,S3651,S3651+1)</f>
        <v>107</v>
      </c>
      <c r="T3652">
        <f>INDEX([1]IDEN_level_ids!$B:$B,MATCH(G3652,[1]IDEN_level_ids!$A:$A,0),1)</f>
        <v>1237</v>
      </c>
      <c r="U3652">
        <f>INDEX([1]IDEN_level_ids!$B:$B,MATCH(H3652,[1]IDEN_level_ids!$A:$A,0),1)</f>
        <v>1108</v>
      </c>
    </row>
    <row r="3653" spans="1:21" hidden="1" x14ac:dyDescent="0.25">
      <c r="A3653">
        <v>24878.7228</v>
      </c>
      <c r="B3653">
        <v>4019.4989</v>
      </c>
      <c r="C3653">
        <v>22</v>
      </c>
      <c r="D3653" t="s">
        <v>735</v>
      </c>
      <c r="F3653">
        <v>1974</v>
      </c>
      <c r="G3653" s="1" t="s">
        <v>719</v>
      </c>
      <c r="H3653" s="1" t="s">
        <v>212</v>
      </c>
      <c r="I3653">
        <v>0</v>
      </c>
      <c r="J3653">
        <v>24878.710299999999</v>
      </c>
      <c r="K3653">
        <v>-2.0200000000000001E-3</v>
      </c>
      <c r="L3653">
        <v>7.4400000000000004E-3</v>
      </c>
      <c r="M3653">
        <v>4.6100000000000002E-2</v>
      </c>
      <c r="N3653">
        <v>0.1081</v>
      </c>
      <c r="O3653">
        <v>8.3400000000000002E-3</v>
      </c>
      <c r="P3653" s="3">
        <f t="shared" si="228"/>
        <v>4019.4989430888309</v>
      </c>
      <c r="Q3653" s="3">
        <f t="shared" si="229"/>
        <v>-2.0195474839965755E-3</v>
      </c>
      <c r="R3653" s="3">
        <f t="shared" si="230"/>
        <v>7.4400000000000004E-3</v>
      </c>
      <c r="S3653">
        <f t="shared" si="231"/>
        <v>107</v>
      </c>
      <c r="T3653">
        <f>INDEX([1]IDEN_level_ids!$B:$B,MATCH(G3653,[1]IDEN_level_ids!$A:$A,0),1)</f>
        <v>1244</v>
      </c>
      <c r="U3653">
        <f>INDEX([1]IDEN_level_ids!$B:$B,MATCH(H3653,[1]IDEN_level_ids!$A:$A,0),1)</f>
        <v>1123</v>
      </c>
    </row>
    <row r="3654" spans="1:21" hidden="1" x14ac:dyDescent="0.25">
      <c r="A3654">
        <v>24809.3226</v>
      </c>
      <c r="B3654">
        <v>4030.7429000000002</v>
      </c>
      <c r="C3654">
        <v>22</v>
      </c>
      <c r="D3654" t="s">
        <v>735</v>
      </c>
      <c r="F3654">
        <v>1974</v>
      </c>
      <c r="G3654" s="1" t="s">
        <v>120</v>
      </c>
      <c r="H3654" s="1" t="s">
        <v>288</v>
      </c>
      <c r="I3654">
        <v>0</v>
      </c>
      <c r="J3654">
        <v>24809.314200000001</v>
      </c>
      <c r="K3654">
        <v>-1.3600000000000001E-3</v>
      </c>
      <c r="L3654">
        <v>7.4799999999999997E-3</v>
      </c>
      <c r="M3654">
        <v>4.6100000000000002E-2</v>
      </c>
      <c r="N3654">
        <v>0.183</v>
      </c>
      <c r="O3654">
        <v>9.1599999999999997E-3</v>
      </c>
      <c r="P3654" s="3">
        <f t="shared" si="228"/>
        <v>4030.7428627656282</v>
      </c>
      <c r="Q3654" s="3">
        <f t="shared" si="229"/>
        <v>-1.3647390560436179E-3</v>
      </c>
      <c r="R3654" s="3">
        <f t="shared" si="230"/>
        <v>7.4799999999999997E-3</v>
      </c>
      <c r="S3654">
        <f t="shared" si="231"/>
        <v>107</v>
      </c>
      <c r="T3654">
        <f>INDEX([1]IDEN_level_ids!$B:$B,MATCH(G3654,[1]IDEN_level_ids!$A:$A,0),1)</f>
        <v>1250</v>
      </c>
      <c r="U3654">
        <f>INDEX([1]IDEN_level_ids!$B:$B,MATCH(H3654,[1]IDEN_level_ids!$A:$A,0),1)</f>
        <v>1151</v>
      </c>
    </row>
    <row r="3655" spans="1:21" hidden="1" x14ac:dyDescent="0.25">
      <c r="A3655">
        <v>24792.5209</v>
      </c>
      <c r="B3655">
        <v>4033.4744999999998</v>
      </c>
      <c r="C3655">
        <v>22</v>
      </c>
      <c r="D3655" t="s">
        <v>735</v>
      </c>
      <c r="F3655">
        <v>1974</v>
      </c>
      <c r="G3655" s="1" t="s">
        <v>714</v>
      </c>
      <c r="H3655" s="1" t="s">
        <v>354</v>
      </c>
      <c r="I3655">
        <v>0.77990000000000004</v>
      </c>
      <c r="J3655">
        <v>24792.534800000001</v>
      </c>
      <c r="K3655">
        <v>2.2699999999999999E-3</v>
      </c>
      <c r="L3655">
        <v>7.4900000000000001E-3</v>
      </c>
      <c r="M3655">
        <v>4.6100000000000002E-2</v>
      </c>
      <c r="N3655">
        <v>0.20180000000000001</v>
      </c>
      <c r="O3655">
        <v>9.3900000000000008E-3</v>
      </c>
      <c r="P3655" s="3">
        <f t="shared" si="228"/>
        <v>4033.4744660838423</v>
      </c>
      <c r="Q3655" s="3">
        <f t="shared" si="229"/>
        <v>2.2613780938627315E-3</v>
      </c>
      <c r="R3655" s="3">
        <f t="shared" si="230"/>
        <v>7.4900000000000001E-3</v>
      </c>
      <c r="S3655">
        <f t="shared" si="231"/>
        <v>107</v>
      </c>
      <c r="T3655">
        <f>INDEX([1]IDEN_level_ids!$B:$B,MATCH(G3655,[1]IDEN_level_ids!$A:$A,0),1)</f>
        <v>1248</v>
      </c>
      <c r="U3655">
        <f>INDEX([1]IDEN_level_ids!$B:$B,MATCH(H3655,[1]IDEN_level_ids!$A:$A,0),1)</f>
        <v>1135</v>
      </c>
    </row>
    <row r="3656" spans="1:21" hidden="1" x14ac:dyDescent="0.25">
      <c r="A3656">
        <v>24719.229599999999</v>
      </c>
      <c r="B3656">
        <v>4045.4335000000001</v>
      </c>
      <c r="C3656">
        <v>22</v>
      </c>
      <c r="D3656" t="s">
        <v>735</v>
      </c>
      <c r="F3656">
        <v>1974</v>
      </c>
      <c r="G3656" s="1" t="s">
        <v>279</v>
      </c>
      <c r="H3656" s="1" t="s">
        <v>545</v>
      </c>
      <c r="I3656">
        <v>0.2581</v>
      </c>
      <c r="J3656">
        <v>24719.151099999999</v>
      </c>
      <c r="K3656">
        <v>-1.285E-2</v>
      </c>
      <c r="L3656">
        <v>7.5399999999999998E-3</v>
      </c>
      <c r="M3656">
        <v>4.6100000000000002E-2</v>
      </c>
      <c r="N3656">
        <v>0.1671</v>
      </c>
      <c r="O3656">
        <v>9.0500000000000008E-3</v>
      </c>
      <c r="P3656" s="3">
        <f t="shared" si="228"/>
        <v>4045.4335194977116</v>
      </c>
      <c r="Q3656" s="3">
        <f t="shared" si="229"/>
        <v>-1.2846983700455894E-2</v>
      </c>
      <c r="R3656" s="3">
        <f t="shared" si="230"/>
        <v>7.5399999999999998E-3</v>
      </c>
      <c r="S3656">
        <f t="shared" si="231"/>
        <v>107</v>
      </c>
      <c r="T3656">
        <f>INDEX([1]IDEN_level_ids!$B:$B,MATCH(G3656,[1]IDEN_level_ids!$A:$A,0),1)</f>
        <v>1129</v>
      </c>
      <c r="U3656">
        <f>INDEX([1]IDEN_level_ids!$B:$B,MATCH(H3656,[1]IDEN_level_ids!$A:$A,0),1)</f>
        <v>1081</v>
      </c>
    </row>
    <row r="3657" spans="1:21" hidden="1" x14ac:dyDescent="0.25">
      <c r="A3657">
        <v>24686.4395</v>
      </c>
      <c r="B3657">
        <v>4050.8069</v>
      </c>
      <c r="C3657">
        <v>22</v>
      </c>
      <c r="D3657" t="s">
        <v>735</v>
      </c>
      <c r="F3657">
        <v>1974</v>
      </c>
      <c r="G3657" s="1" t="s">
        <v>203</v>
      </c>
      <c r="H3657" s="1" t="s">
        <v>446</v>
      </c>
      <c r="I3657">
        <v>0.31669999999999998</v>
      </c>
      <c r="J3657">
        <v>24686.469700000001</v>
      </c>
      <c r="K3657">
        <v>4.96E-3</v>
      </c>
      <c r="L3657">
        <v>7.5599999999999999E-3</v>
      </c>
      <c r="M3657">
        <v>4.6100000000000002E-2</v>
      </c>
      <c r="N3657">
        <v>0.1187</v>
      </c>
      <c r="O3657">
        <v>8.5800000000000008E-3</v>
      </c>
      <c r="P3657" s="3">
        <f t="shared" si="228"/>
        <v>4050.8069217515144</v>
      </c>
      <c r="Q3657" s="3">
        <f t="shared" si="229"/>
        <v>4.9555230261830729E-3</v>
      </c>
      <c r="R3657" s="3">
        <f t="shared" si="230"/>
        <v>7.5599999999999999E-3</v>
      </c>
      <c r="S3657">
        <f t="shared" si="231"/>
        <v>107</v>
      </c>
      <c r="T3657">
        <f>INDEX([1]IDEN_level_ids!$B:$B,MATCH(G3657,[1]IDEN_level_ids!$A:$A,0),1)</f>
        <v>1127</v>
      </c>
      <c r="U3657">
        <f>INDEX([1]IDEN_level_ids!$B:$B,MATCH(H3657,[1]IDEN_level_ids!$A:$A,0),1)</f>
        <v>1079</v>
      </c>
    </row>
    <row r="3658" spans="1:21" hidden="1" x14ac:dyDescent="0.25">
      <c r="A3658">
        <v>24671.372599999999</v>
      </c>
      <c r="B3658">
        <v>4053.2808</v>
      </c>
      <c r="C3658">
        <v>22</v>
      </c>
      <c r="D3658" t="s">
        <v>735</v>
      </c>
      <c r="F3658">
        <v>1974</v>
      </c>
      <c r="G3658" s="1" t="s">
        <v>342</v>
      </c>
      <c r="H3658" s="1" t="s">
        <v>413</v>
      </c>
      <c r="I3658">
        <v>6.4600000000000005E-2</v>
      </c>
      <c r="J3658">
        <v>24671.405900000002</v>
      </c>
      <c r="K3658">
        <v>5.4599999999999996E-3</v>
      </c>
      <c r="L3658">
        <v>7.5700000000000003E-3</v>
      </c>
      <c r="M3658">
        <v>4.6100000000000002E-2</v>
      </c>
      <c r="N3658">
        <v>0.1535</v>
      </c>
      <c r="O3658">
        <v>8.94E-3</v>
      </c>
      <c r="P3658" s="3">
        <f t="shared" si="228"/>
        <v>4053.2807647678269</v>
      </c>
      <c r="Q3658" s="3">
        <f t="shared" si="229"/>
        <v>5.4708779075554048E-3</v>
      </c>
      <c r="R3658" s="3">
        <f t="shared" si="230"/>
        <v>7.5700000000000003E-3</v>
      </c>
      <c r="S3658">
        <f t="shared" si="231"/>
        <v>107</v>
      </c>
      <c r="T3658">
        <f>INDEX([1]IDEN_level_ids!$B:$B,MATCH(G3658,[1]IDEN_level_ids!$A:$A,0),1)</f>
        <v>1119</v>
      </c>
      <c r="U3658">
        <f>INDEX([1]IDEN_level_ids!$B:$B,MATCH(H3658,[1]IDEN_level_ids!$A:$A,0),1)</f>
        <v>1071</v>
      </c>
    </row>
    <row r="3659" spans="1:21" hidden="1" x14ac:dyDescent="0.25">
      <c r="A3659">
        <v>24670.642199999998</v>
      </c>
      <c r="B3659">
        <v>4053.4007999999999</v>
      </c>
      <c r="C3659">
        <v>22</v>
      </c>
      <c r="D3659" t="s">
        <v>735</v>
      </c>
      <c r="F3659">
        <v>1974</v>
      </c>
      <c r="G3659" s="1" t="s">
        <v>425</v>
      </c>
      <c r="H3659" s="1" t="s">
        <v>579</v>
      </c>
      <c r="I3659">
        <v>-0.83779999999999999</v>
      </c>
      <c r="J3659">
        <v>24670.729899999998</v>
      </c>
      <c r="K3659">
        <v>1.44E-2</v>
      </c>
      <c r="L3659">
        <v>7.5700000000000003E-3</v>
      </c>
      <c r="M3659">
        <v>4.6100000000000002E-2</v>
      </c>
      <c r="N3659">
        <v>0.39529999999999998</v>
      </c>
      <c r="O3659">
        <v>1.252E-2</v>
      </c>
      <c r="P3659" s="3">
        <f t="shared" si="228"/>
        <v>4053.4007663570269</v>
      </c>
      <c r="Q3659" s="3">
        <f t="shared" si="229"/>
        <v>1.4409109444841306E-2</v>
      </c>
      <c r="R3659" s="3">
        <f t="shared" si="230"/>
        <v>7.5700000000000003E-3</v>
      </c>
      <c r="S3659">
        <f t="shared" si="231"/>
        <v>107</v>
      </c>
      <c r="T3659">
        <f>INDEX([1]IDEN_level_ids!$B:$B,MATCH(G3659,[1]IDEN_level_ids!$A:$A,0),1)</f>
        <v>1098</v>
      </c>
      <c r="U3659">
        <f>INDEX([1]IDEN_level_ids!$B:$B,MATCH(H3659,[1]IDEN_level_ids!$A:$A,0),1)</f>
        <v>1007</v>
      </c>
    </row>
    <row r="3660" spans="1:21" hidden="1" x14ac:dyDescent="0.25">
      <c r="A3660">
        <v>24498.063399999999</v>
      </c>
      <c r="B3660">
        <v>4081.9553000000001</v>
      </c>
      <c r="C3660">
        <v>22</v>
      </c>
      <c r="D3660" t="s">
        <v>735</v>
      </c>
      <c r="E3660" t="s">
        <v>678</v>
      </c>
      <c r="F3660">
        <v>1974</v>
      </c>
      <c r="G3660" s="1" t="s">
        <v>511</v>
      </c>
      <c r="H3660" s="1" t="s">
        <v>381</v>
      </c>
      <c r="I3660">
        <v>-0.58189999999999997</v>
      </c>
      <c r="J3660">
        <v>24498.081600000001</v>
      </c>
      <c r="K3660">
        <v>3.0300000000000001E-3</v>
      </c>
      <c r="L3660">
        <v>1.214E-2</v>
      </c>
      <c r="M3660">
        <v>7.2800000000000004E-2</v>
      </c>
      <c r="N3660">
        <v>7.5800000000000006E-2</v>
      </c>
      <c r="O3660">
        <v>1.3129999999999999E-2</v>
      </c>
      <c r="P3660" s="3">
        <f t="shared" si="228"/>
        <v>4081.955310802241</v>
      </c>
      <c r="Q3660" s="3">
        <f t="shared" si="229"/>
        <v>3.0325471143441973E-3</v>
      </c>
      <c r="R3660" s="3">
        <f t="shared" si="230"/>
        <v>1.214E-2</v>
      </c>
      <c r="S3660">
        <f t="shared" si="231"/>
        <v>107</v>
      </c>
      <c r="T3660">
        <f>INDEX([1]IDEN_level_ids!$B:$B,MATCH(G3660,[1]IDEN_level_ids!$A:$A,0),1)</f>
        <v>1139</v>
      </c>
      <c r="U3660">
        <f>INDEX([1]IDEN_level_ids!$B:$B,MATCH(H3660,[1]IDEN_level_ids!$A:$A,0),1)</f>
        <v>1084</v>
      </c>
    </row>
    <row r="3661" spans="1:21" hidden="1" x14ac:dyDescent="0.25">
      <c r="A3661">
        <v>24489.399399999998</v>
      </c>
      <c r="B3661">
        <v>4083.3993999999998</v>
      </c>
      <c r="C3661">
        <v>22</v>
      </c>
      <c r="D3661" t="s">
        <v>735</v>
      </c>
      <c r="F3661">
        <v>1974</v>
      </c>
      <c r="G3661" s="1" t="s">
        <v>272</v>
      </c>
      <c r="H3661" s="1" t="s">
        <v>466</v>
      </c>
      <c r="I3661">
        <v>0.3876</v>
      </c>
      <c r="J3661">
        <v>24489.420399999999</v>
      </c>
      <c r="K3661">
        <v>3.5000000000000001E-3</v>
      </c>
      <c r="L3661">
        <v>7.6800000000000002E-3</v>
      </c>
      <c r="M3661">
        <v>4.6100000000000002E-2</v>
      </c>
      <c r="N3661">
        <v>0.15229999999999999</v>
      </c>
      <c r="O3661">
        <v>9.0600000000000003E-3</v>
      </c>
      <c r="P3661" s="3">
        <f t="shared" si="228"/>
        <v>4083.3994483343681</v>
      </c>
      <c r="Q3661" s="3">
        <f t="shared" si="229"/>
        <v>3.5015687190025346E-3</v>
      </c>
      <c r="R3661" s="3">
        <f t="shared" si="230"/>
        <v>7.6800000000000002E-3</v>
      </c>
      <c r="S3661">
        <f t="shared" si="231"/>
        <v>107</v>
      </c>
      <c r="T3661">
        <f>INDEX([1]IDEN_level_ids!$B:$B,MATCH(G3661,[1]IDEN_level_ids!$A:$A,0),1)</f>
        <v>1109</v>
      </c>
      <c r="U3661">
        <f>INDEX([1]IDEN_level_ids!$B:$B,MATCH(H3661,[1]IDEN_level_ids!$A:$A,0),1)</f>
        <v>1061</v>
      </c>
    </row>
    <row r="3662" spans="1:21" hidden="1" x14ac:dyDescent="0.25">
      <c r="A3662">
        <v>24487.156900000002</v>
      </c>
      <c r="B3662">
        <v>4083.7734</v>
      </c>
      <c r="C3662">
        <v>22</v>
      </c>
      <c r="D3662" t="s">
        <v>735</v>
      </c>
      <c r="F3662">
        <v>1974</v>
      </c>
      <c r="G3662" s="1" t="s">
        <v>736</v>
      </c>
      <c r="H3662" s="1" t="s">
        <v>268</v>
      </c>
      <c r="I3662">
        <v>0</v>
      </c>
      <c r="J3662">
        <v>24487.186699999998</v>
      </c>
      <c r="K3662">
        <v>4.96E-3</v>
      </c>
      <c r="L3662">
        <v>7.6800000000000002E-3</v>
      </c>
      <c r="M3662">
        <v>4.6100000000000002E-2</v>
      </c>
      <c r="N3662">
        <v>0.1128</v>
      </c>
      <c r="O3662">
        <v>8.6599999999999993E-3</v>
      </c>
      <c r="P3662" s="3">
        <f t="shared" si="228"/>
        <v>4083.7734004146473</v>
      </c>
      <c r="Q3662" s="3">
        <f t="shared" si="229"/>
        <v>4.9698010966494621E-3</v>
      </c>
      <c r="R3662" s="3">
        <f t="shared" si="230"/>
        <v>7.6800000000000002E-3</v>
      </c>
      <c r="S3662">
        <f t="shared" si="231"/>
        <v>107</v>
      </c>
      <c r="T3662">
        <f>INDEX([1]IDEN_level_ids!$B:$B,MATCH(G3662,[1]IDEN_level_ids!$A:$A,0),1)</f>
        <v>1251</v>
      </c>
      <c r="U3662">
        <f>INDEX([1]IDEN_level_ids!$B:$B,MATCH(H3662,[1]IDEN_level_ids!$A:$A,0),1)</f>
        <v>1160</v>
      </c>
    </row>
    <row r="3663" spans="1:21" hidden="1" x14ac:dyDescent="0.25">
      <c r="A3663">
        <v>24458.2919</v>
      </c>
      <c r="B3663">
        <v>4088.5929999999998</v>
      </c>
      <c r="C3663">
        <v>22</v>
      </c>
      <c r="D3663" t="s">
        <v>735</v>
      </c>
      <c r="F3663">
        <v>1974</v>
      </c>
      <c r="G3663" s="1" t="s">
        <v>299</v>
      </c>
      <c r="H3663" s="1" t="s">
        <v>461</v>
      </c>
      <c r="I3663">
        <v>0.24510000000000001</v>
      </c>
      <c r="J3663">
        <v>24458.322499999998</v>
      </c>
      <c r="K3663">
        <v>5.1000000000000004E-3</v>
      </c>
      <c r="L3663">
        <v>7.7000000000000002E-3</v>
      </c>
      <c r="M3663">
        <v>4.6100000000000002E-2</v>
      </c>
      <c r="N3663">
        <v>8.9399999999999993E-2</v>
      </c>
      <c r="O3663">
        <v>8.4600000000000005E-3</v>
      </c>
      <c r="P3663" s="3">
        <f t="shared" si="228"/>
        <v>4088.5929568940992</v>
      </c>
      <c r="Q3663" s="3">
        <f t="shared" si="229"/>
        <v>5.1152708642803191E-3</v>
      </c>
      <c r="R3663" s="3">
        <f t="shared" si="230"/>
        <v>7.7000000000000002E-3</v>
      </c>
      <c r="S3663">
        <f t="shared" si="231"/>
        <v>107</v>
      </c>
      <c r="T3663">
        <f>INDEX([1]IDEN_level_ids!$B:$B,MATCH(G3663,[1]IDEN_level_ids!$A:$A,0),1)</f>
        <v>1101</v>
      </c>
      <c r="U3663">
        <f>INDEX([1]IDEN_level_ids!$B:$B,MATCH(H3663,[1]IDEN_level_ids!$A:$A,0),1)</f>
        <v>1017</v>
      </c>
    </row>
    <row r="3664" spans="1:21" hidden="1" x14ac:dyDescent="0.25">
      <c r="A3664">
        <v>24417.838800000001</v>
      </c>
      <c r="B3664">
        <v>4095.3665000000001</v>
      </c>
      <c r="C3664">
        <v>22</v>
      </c>
      <c r="D3664" t="s">
        <v>735</v>
      </c>
      <c r="F3664">
        <v>1974</v>
      </c>
      <c r="G3664" s="1" t="s">
        <v>250</v>
      </c>
      <c r="H3664" s="1" t="s">
        <v>458</v>
      </c>
      <c r="I3664">
        <v>0</v>
      </c>
      <c r="J3664">
        <v>24417.87</v>
      </c>
      <c r="K3664">
        <v>5.2300000000000003E-3</v>
      </c>
      <c r="L3664">
        <v>7.7299999999999999E-3</v>
      </c>
      <c r="M3664">
        <v>4.6100000000000002E-2</v>
      </c>
      <c r="N3664">
        <v>0.11</v>
      </c>
      <c r="O3664">
        <v>8.6800000000000002E-3</v>
      </c>
      <c r="P3664" s="3">
        <f t="shared" si="228"/>
        <v>4095.3665399740453</v>
      </c>
      <c r="Q3664" s="3">
        <f t="shared" si="229"/>
        <v>5.2328657675388968E-3</v>
      </c>
      <c r="R3664" s="3">
        <f t="shared" si="230"/>
        <v>7.7299999999999999E-3</v>
      </c>
      <c r="S3664">
        <f t="shared" si="231"/>
        <v>107</v>
      </c>
      <c r="T3664">
        <f>INDEX([1]IDEN_level_ids!$B:$B,MATCH(G3664,[1]IDEN_level_ids!$A:$A,0),1)</f>
        <v>1107</v>
      </c>
      <c r="U3664">
        <f>INDEX([1]IDEN_level_ids!$B:$B,MATCH(H3664,[1]IDEN_level_ids!$A:$A,0),1)</f>
        <v>1064</v>
      </c>
    </row>
    <row r="3665" spans="1:21" hidden="1" x14ac:dyDescent="0.25">
      <c r="A3665">
        <v>24365.4166</v>
      </c>
      <c r="B3665">
        <v>4104.1777000000002</v>
      </c>
      <c r="C3665">
        <v>22</v>
      </c>
      <c r="D3665" t="s">
        <v>737</v>
      </c>
      <c r="F3665">
        <v>1974</v>
      </c>
      <c r="G3665" s="1" t="s">
        <v>273</v>
      </c>
      <c r="H3665" s="1" t="s">
        <v>431</v>
      </c>
      <c r="I3665">
        <v>0.28649999999999998</v>
      </c>
      <c r="J3665">
        <v>24365.409800000001</v>
      </c>
      <c r="K3665">
        <v>-1.15E-3</v>
      </c>
      <c r="L3665">
        <v>7.7600000000000004E-3</v>
      </c>
      <c r="M3665">
        <v>4.6100000000000002E-2</v>
      </c>
      <c r="N3665">
        <v>9.8699999999999996E-2</v>
      </c>
      <c r="O3665">
        <v>8.6099999999999996E-3</v>
      </c>
      <c r="P3665" s="3">
        <f t="shared" si="228"/>
        <v>4104.1777221243983</v>
      </c>
      <c r="Q3665" s="3">
        <f t="shared" si="229"/>
        <v>-1.1454110044724075E-3</v>
      </c>
      <c r="R3665" s="3">
        <f t="shared" si="230"/>
        <v>7.7600000000000004E-3</v>
      </c>
      <c r="S3665">
        <f t="shared" si="231"/>
        <v>108</v>
      </c>
      <c r="T3665">
        <f>INDEX([1]IDEN_level_ids!$B:$B,MATCH(G3665,[1]IDEN_level_ids!$A:$A,0),1)</f>
        <v>1105</v>
      </c>
      <c r="U3665">
        <f>INDEX([1]IDEN_level_ids!$B:$B,MATCH(H3665,[1]IDEN_level_ids!$A:$A,0),1)</f>
        <v>1062</v>
      </c>
    </row>
    <row r="3666" spans="1:21" hidden="1" x14ac:dyDescent="0.25">
      <c r="A3666">
        <v>24364.921900000001</v>
      </c>
      <c r="B3666">
        <v>4104.2610999999997</v>
      </c>
      <c r="C3666">
        <v>22</v>
      </c>
      <c r="D3666" t="s">
        <v>737</v>
      </c>
      <c r="E3666" t="s">
        <v>681</v>
      </c>
      <c r="F3666">
        <v>1974</v>
      </c>
      <c r="G3666" s="1" t="s">
        <v>279</v>
      </c>
      <c r="H3666" s="1" t="s">
        <v>386</v>
      </c>
      <c r="I3666">
        <v>0.51619999999999999</v>
      </c>
      <c r="J3666">
        <v>24365.051899999999</v>
      </c>
      <c r="K3666">
        <v>2.1899999999999999E-2</v>
      </c>
      <c r="L3666">
        <v>1.353E-2</v>
      </c>
      <c r="M3666">
        <v>8.0299999999999996E-2</v>
      </c>
      <c r="N3666">
        <v>4.99E-2</v>
      </c>
      <c r="O3666">
        <v>1.4239999999999999E-2</v>
      </c>
      <c r="P3666" s="3">
        <f t="shared" si="228"/>
        <v>4104.261052443595</v>
      </c>
      <c r="Q3666" s="3">
        <f t="shared" si="229"/>
        <v>2.1898329582654696E-2</v>
      </c>
      <c r="R3666" s="3">
        <f t="shared" si="230"/>
        <v>1.353E-2</v>
      </c>
      <c r="S3666">
        <f t="shared" si="231"/>
        <v>108</v>
      </c>
      <c r="T3666">
        <f>INDEX([1]IDEN_level_ids!$B:$B,MATCH(G3666,[1]IDEN_level_ids!$A:$A,0),1)</f>
        <v>1129</v>
      </c>
      <c r="U3666">
        <f>INDEX([1]IDEN_level_ids!$B:$B,MATCH(H3666,[1]IDEN_level_ids!$A:$A,0),1)</f>
        <v>1082</v>
      </c>
    </row>
    <row r="3667" spans="1:21" hidden="1" x14ac:dyDescent="0.25">
      <c r="A3667">
        <v>24307.110499999999</v>
      </c>
      <c r="B3667">
        <v>4114.0225</v>
      </c>
      <c r="C3667">
        <v>22</v>
      </c>
      <c r="D3667" t="s">
        <v>737</v>
      </c>
      <c r="F3667">
        <v>1974</v>
      </c>
      <c r="G3667" s="1" t="s">
        <v>299</v>
      </c>
      <c r="H3667" s="1" t="s">
        <v>585</v>
      </c>
      <c r="I3667">
        <v>0</v>
      </c>
      <c r="J3667">
        <v>24307.1253</v>
      </c>
      <c r="K3667">
        <v>2.5100000000000001E-3</v>
      </c>
      <c r="L3667">
        <v>7.7999999999999996E-3</v>
      </c>
      <c r="M3667">
        <v>4.6100000000000002E-2</v>
      </c>
      <c r="N3667">
        <v>0.115</v>
      </c>
      <c r="O3667">
        <v>8.8100000000000001E-3</v>
      </c>
      <c r="P3667" s="3">
        <f t="shared" si="228"/>
        <v>4114.0225202826969</v>
      </c>
      <c r="Q3667" s="3">
        <f t="shared" si="229"/>
        <v>2.5049253072211286E-3</v>
      </c>
      <c r="R3667" s="3">
        <f t="shared" si="230"/>
        <v>7.7999999999999996E-3</v>
      </c>
      <c r="S3667">
        <f t="shared" si="231"/>
        <v>108</v>
      </c>
      <c r="T3667">
        <f>INDEX([1]IDEN_level_ids!$B:$B,MATCH(G3667,[1]IDEN_level_ids!$A:$A,0),1)</f>
        <v>1101</v>
      </c>
      <c r="U3667">
        <f>INDEX([1]IDEN_level_ids!$B:$B,MATCH(H3667,[1]IDEN_level_ids!$A:$A,0),1)</f>
        <v>1019</v>
      </c>
    </row>
    <row r="3668" spans="1:21" hidden="1" x14ac:dyDescent="0.25">
      <c r="A3668">
        <v>24259.977200000001</v>
      </c>
      <c r="B3668">
        <v>4122.0154000000002</v>
      </c>
      <c r="C3668">
        <v>22</v>
      </c>
      <c r="D3668" t="s">
        <v>737</v>
      </c>
      <c r="E3668" t="s">
        <v>661</v>
      </c>
      <c r="F3668">
        <v>1974</v>
      </c>
      <c r="G3668" s="1" t="s">
        <v>64</v>
      </c>
      <c r="H3668" s="1" t="s">
        <v>278</v>
      </c>
      <c r="I3668">
        <v>0</v>
      </c>
      <c r="J3668">
        <v>24259.999599999999</v>
      </c>
      <c r="K3668">
        <v>3.81E-3</v>
      </c>
      <c r="L3668">
        <v>8.6099999999999996E-3</v>
      </c>
      <c r="M3668">
        <v>5.0700000000000002E-2</v>
      </c>
      <c r="N3668">
        <v>0.156</v>
      </c>
      <c r="O3668">
        <v>1.0200000000000001E-2</v>
      </c>
      <c r="P3668" s="3">
        <f t="shared" si="228"/>
        <v>4122.0154155792034</v>
      </c>
      <c r="Q3668" s="3">
        <f t="shared" si="229"/>
        <v>3.805982968515309E-3</v>
      </c>
      <c r="R3668" s="3">
        <f t="shared" si="230"/>
        <v>8.6099999999999996E-3</v>
      </c>
      <c r="S3668">
        <f t="shared" si="231"/>
        <v>108</v>
      </c>
      <c r="T3668">
        <f>INDEX([1]IDEN_level_ids!$B:$B,MATCH(G3668,[1]IDEN_level_ids!$A:$A,0),1)</f>
        <v>1228</v>
      </c>
      <c r="U3668">
        <f>INDEX([1]IDEN_level_ids!$B:$B,MATCH(H3668,[1]IDEN_level_ids!$A:$A,0),1)</f>
        <v>1102</v>
      </c>
    </row>
    <row r="3669" spans="1:21" hidden="1" x14ac:dyDescent="0.25">
      <c r="A3669">
        <v>24195.250700000001</v>
      </c>
      <c r="B3669">
        <v>4133.0424999999996</v>
      </c>
      <c r="C3669">
        <v>22</v>
      </c>
      <c r="D3669" t="s">
        <v>737</v>
      </c>
      <c r="F3669">
        <v>1974</v>
      </c>
      <c r="G3669" s="1" t="s">
        <v>345</v>
      </c>
      <c r="H3669" s="1" t="s">
        <v>401</v>
      </c>
      <c r="I3669">
        <v>6.8900000000000003E-2</v>
      </c>
      <c r="J3669">
        <v>24195.2988</v>
      </c>
      <c r="K3669">
        <v>8.2199999999999999E-3</v>
      </c>
      <c r="L3669">
        <v>7.8700000000000003E-3</v>
      </c>
      <c r="M3669">
        <v>4.6100000000000002E-2</v>
      </c>
      <c r="N3669">
        <v>0.11990000000000001</v>
      </c>
      <c r="O3669">
        <v>8.94E-3</v>
      </c>
      <c r="P3669" s="3">
        <f t="shared" si="228"/>
        <v>4133.0425230931787</v>
      </c>
      <c r="Q3669" s="3">
        <f t="shared" si="229"/>
        <v>8.2164451450807974E-3</v>
      </c>
      <c r="R3669" s="3">
        <f t="shared" si="230"/>
        <v>7.8700000000000003E-3</v>
      </c>
      <c r="S3669">
        <f t="shared" si="231"/>
        <v>108</v>
      </c>
      <c r="T3669">
        <f>INDEX([1]IDEN_level_ids!$B:$B,MATCH(G3669,[1]IDEN_level_ids!$A:$A,0),1)</f>
        <v>1106</v>
      </c>
      <c r="U3669">
        <f>INDEX([1]IDEN_level_ids!$B:$B,MATCH(H3669,[1]IDEN_level_ids!$A:$A,0),1)</f>
        <v>1063</v>
      </c>
    </row>
    <row r="3670" spans="1:21" hidden="1" x14ac:dyDescent="0.25">
      <c r="A3670">
        <v>24187.581900000001</v>
      </c>
      <c r="B3670">
        <v>4134.3528999999999</v>
      </c>
      <c r="C3670">
        <v>22</v>
      </c>
      <c r="D3670" t="s">
        <v>737</v>
      </c>
      <c r="E3670" t="s">
        <v>661</v>
      </c>
      <c r="F3670">
        <v>1974</v>
      </c>
      <c r="G3670" s="1" t="s">
        <v>669</v>
      </c>
      <c r="H3670" s="1" t="s">
        <v>361</v>
      </c>
      <c r="I3670">
        <v>0</v>
      </c>
      <c r="J3670">
        <v>24187.582200000001</v>
      </c>
      <c r="K3670">
        <v>6.0000000000000002E-5</v>
      </c>
      <c r="L3670">
        <v>8.6599999999999993E-3</v>
      </c>
      <c r="M3670">
        <v>5.0700000000000002E-2</v>
      </c>
      <c r="N3670">
        <v>0.111</v>
      </c>
      <c r="O3670">
        <v>9.7400000000000004E-3</v>
      </c>
      <c r="P3670" s="3">
        <f t="shared" si="228"/>
        <v>4134.3529259532961</v>
      </c>
      <c r="Q3670" s="3">
        <f t="shared" si="229"/>
        <v>5.1278620958328247E-5</v>
      </c>
      <c r="R3670" s="3">
        <f t="shared" si="230"/>
        <v>8.6599999999999993E-3</v>
      </c>
      <c r="S3670">
        <f t="shared" si="231"/>
        <v>108</v>
      </c>
      <c r="T3670">
        <f>INDEX([1]IDEN_level_ids!$B:$B,MATCH(G3670,[1]IDEN_level_ids!$A:$A,0),1)</f>
        <v>1245</v>
      </c>
      <c r="U3670">
        <f>INDEX([1]IDEN_level_ids!$B:$B,MATCH(H3670,[1]IDEN_level_ids!$A:$A,0),1)</f>
        <v>1133</v>
      </c>
    </row>
    <row r="3671" spans="1:21" hidden="1" x14ac:dyDescent="0.25">
      <c r="A3671">
        <v>24171.991000000002</v>
      </c>
      <c r="B3671">
        <v>4137.0195999999996</v>
      </c>
      <c r="C3671">
        <v>22</v>
      </c>
      <c r="D3671" t="s">
        <v>737</v>
      </c>
      <c r="F3671">
        <v>1974</v>
      </c>
      <c r="G3671" s="1" t="s">
        <v>297</v>
      </c>
      <c r="H3671" s="1" t="s">
        <v>544</v>
      </c>
      <c r="I3671">
        <v>0</v>
      </c>
      <c r="J3671">
        <v>24172.050899999998</v>
      </c>
      <c r="K3671">
        <v>1.025E-2</v>
      </c>
      <c r="L3671">
        <v>7.8799999999999999E-3</v>
      </c>
      <c r="M3671">
        <v>4.6100000000000002E-2</v>
      </c>
      <c r="N3671">
        <v>0.19589999999999999</v>
      </c>
      <c r="O3671">
        <v>9.8099999999999993E-3</v>
      </c>
      <c r="P3671" s="3">
        <f t="shared" si="228"/>
        <v>4137.0195777418576</v>
      </c>
      <c r="Q3671" s="3">
        <f t="shared" si="229"/>
        <v>1.0251818254801037E-2</v>
      </c>
      <c r="R3671" s="3">
        <f t="shared" si="230"/>
        <v>7.8799999999999999E-3</v>
      </c>
      <c r="S3671">
        <f t="shared" si="231"/>
        <v>108</v>
      </c>
      <c r="T3671">
        <f>INDEX([1]IDEN_level_ids!$B:$B,MATCH(G3671,[1]IDEN_level_ids!$A:$A,0),1)</f>
        <v>1099</v>
      </c>
      <c r="U3671">
        <f>INDEX([1]IDEN_level_ids!$B:$B,MATCH(H3671,[1]IDEN_level_ids!$A:$A,0),1)</f>
        <v>1011</v>
      </c>
    </row>
    <row r="3672" spans="1:21" hidden="1" x14ac:dyDescent="0.25">
      <c r="A3672">
        <v>24170.172900000001</v>
      </c>
      <c r="B3672">
        <v>4137.3307999999997</v>
      </c>
      <c r="C3672">
        <v>22</v>
      </c>
      <c r="D3672" t="s">
        <v>737</v>
      </c>
      <c r="E3672" t="s">
        <v>661</v>
      </c>
      <c r="F3672">
        <v>1974</v>
      </c>
      <c r="G3672" s="1" t="s">
        <v>205</v>
      </c>
      <c r="H3672" s="1" t="s">
        <v>89</v>
      </c>
      <c r="I3672">
        <v>0</v>
      </c>
      <c r="J3672">
        <v>24170.2261</v>
      </c>
      <c r="K3672">
        <v>9.1000000000000004E-3</v>
      </c>
      <c r="L3672">
        <v>8.6700000000000006E-3</v>
      </c>
      <c r="M3672">
        <v>5.0700000000000002E-2</v>
      </c>
      <c r="N3672">
        <v>0.69720000000000004</v>
      </c>
      <c r="O3672">
        <v>2.8639999999999999E-2</v>
      </c>
      <c r="P3672" s="3">
        <f t="shared" si="228"/>
        <v>4137.3307677083267</v>
      </c>
      <c r="Q3672" s="3">
        <f t="shared" si="229"/>
        <v>9.1064930848006043E-3</v>
      </c>
      <c r="R3672" s="3">
        <f t="shared" si="230"/>
        <v>8.6700000000000006E-3</v>
      </c>
      <c r="S3672">
        <f t="shared" si="231"/>
        <v>108</v>
      </c>
      <c r="T3672">
        <f>INDEX([1]IDEN_level_ids!$B:$B,MATCH(G3672,[1]IDEN_level_ids!$A:$A,0),1)</f>
        <v>770</v>
      </c>
      <c r="U3672">
        <f>INDEX([1]IDEN_level_ids!$B:$B,MATCH(H3672,[1]IDEN_level_ids!$A:$A,0),1)</f>
        <v>278</v>
      </c>
    </row>
    <row r="3673" spans="1:21" hidden="1" x14ac:dyDescent="0.25">
      <c r="A3673">
        <v>24133.421200000001</v>
      </c>
      <c r="B3673">
        <v>4143.6313</v>
      </c>
      <c r="C3673">
        <v>22</v>
      </c>
      <c r="D3673" t="s">
        <v>737</v>
      </c>
      <c r="F3673">
        <v>1974</v>
      </c>
      <c r="G3673" s="1" t="s">
        <v>200</v>
      </c>
      <c r="H3673" s="1" t="s">
        <v>738</v>
      </c>
      <c r="I3673">
        <v>0</v>
      </c>
      <c r="J3673">
        <v>24133.423500000001</v>
      </c>
      <c r="K3673">
        <v>3.8999999999999999E-4</v>
      </c>
      <c r="L3673">
        <v>7.9100000000000004E-3</v>
      </c>
      <c r="M3673">
        <v>4.6100000000000002E-2</v>
      </c>
      <c r="N3673">
        <v>0.65939999999999999</v>
      </c>
      <c r="O3673">
        <v>2.3220000000000001E-2</v>
      </c>
      <c r="P3673" s="3">
        <f t="shared" si="228"/>
        <v>4143.6313223588868</v>
      </c>
      <c r="Q3673" s="3">
        <f t="shared" si="229"/>
        <v>3.9490261406172067E-4</v>
      </c>
      <c r="R3673" s="3">
        <f t="shared" si="230"/>
        <v>7.9100000000000004E-3</v>
      </c>
      <c r="S3673">
        <f t="shared" si="231"/>
        <v>108</v>
      </c>
      <c r="T3673">
        <f>INDEX([1]IDEN_level_ids!$B:$B,MATCH(G3673,[1]IDEN_level_ids!$A:$A,0),1)</f>
        <v>817</v>
      </c>
      <c r="U3673">
        <f>INDEX([1]IDEN_level_ids!$B:$B,MATCH(H3673,[1]IDEN_level_ids!$A:$A,0),1)</f>
        <v>426</v>
      </c>
    </row>
    <row r="3674" spans="1:21" hidden="1" x14ac:dyDescent="0.25">
      <c r="A3674">
        <v>24121.693200000002</v>
      </c>
      <c r="B3674">
        <v>4145.6459999999997</v>
      </c>
      <c r="C3674">
        <v>22</v>
      </c>
      <c r="D3674" t="s">
        <v>737</v>
      </c>
      <c r="F3674">
        <v>1974</v>
      </c>
      <c r="G3674" s="1" t="s">
        <v>299</v>
      </c>
      <c r="H3674" s="1" t="s">
        <v>536</v>
      </c>
      <c r="I3674">
        <v>0</v>
      </c>
      <c r="J3674">
        <v>24121.718000000001</v>
      </c>
      <c r="K3674">
        <v>4.2700000000000004E-3</v>
      </c>
      <c r="L3674">
        <v>7.92E-3</v>
      </c>
      <c r="M3674">
        <v>4.6100000000000002E-2</v>
      </c>
      <c r="N3674">
        <v>8.9700000000000002E-2</v>
      </c>
      <c r="O3674">
        <v>8.6999999999999994E-3</v>
      </c>
      <c r="P3674" s="3">
        <f t="shared" si="228"/>
        <v>4145.6459615363983</v>
      </c>
      <c r="Q3674" s="3">
        <f t="shared" si="229"/>
        <v>4.2622179671525373E-3</v>
      </c>
      <c r="R3674" s="3">
        <f t="shared" si="230"/>
        <v>7.92E-3</v>
      </c>
      <c r="S3674">
        <f t="shared" si="231"/>
        <v>108</v>
      </c>
      <c r="T3674">
        <f>INDEX([1]IDEN_level_ids!$B:$B,MATCH(G3674,[1]IDEN_level_ids!$A:$A,0),1)</f>
        <v>1101</v>
      </c>
      <c r="U3674">
        <f>INDEX([1]IDEN_level_ids!$B:$B,MATCH(H3674,[1]IDEN_level_ids!$A:$A,0),1)</f>
        <v>1021</v>
      </c>
    </row>
    <row r="3675" spans="1:21" hidden="1" x14ac:dyDescent="0.25">
      <c r="A3675">
        <v>24111.571199999998</v>
      </c>
      <c r="B3675">
        <v>4147.3863000000001</v>
      </c>
      <c r="C3675">
        <v>22</v>
      </c>
      <c r="D3675" t="s">
        <v>737</v>
      </c>
      <c r="E3675" t="s">
        <v>661</v>
      </c>
      <c r="F3675">
        <v>1974</v>
      </c>
      <c r="G3675" s="1" t="s">
        <v>200</v>
      </c>
      <c r="H3675" s="1" t="s">
        <v>739</v>
      </c>
      <c r="I3675">
        <v>0</v>
      </c>
      <c r="J3675">
        <v>24111.598300000001</v>
      </c>
      <c r="K3675">
        <v>4.6600000000000001E-3</v>
      </c>
      <c r="L3675">
        <v>8.7100000000000007E-3</v>
      </c>
      <c r="M3675">
        <v>5.0700000000000002E-2</v>
      </c>
      <c r="N3675">
        <v>0.46939999999999998</v>
      </c>
      <c r="O3675">
        <v>1.6420000000000001E-2</v>
      </c>
      <c r="P3675" s="3">
        <f t="shared" si="228"/>
        <v>4147.3862972480201</v>
      </c>
      <c r="Q3675" s="3">
        <f t="shared" si="229"/>
        <v>4.661415110604139E-3</v>
      </c>
      <c r="R3675" s="3">
        <f t="shared" si="230"/>
        <v>8.7100000000000007E-3</v>
      </c>
      <c r="S3675">
        <f t="shared" si="231"/>
        <v>108</v>
      </c>
      <c r="T3675">
        <f>INDEX([1]IDEN_level_ids!$B:$B,MATCH(G3675,[1]IDEN_level_ids!$A:$A,0),1)</f>
        <v>817</v>
      </c>
      <c r="U3675">
        <f>INDEX([1]IDEN_level_ids!$B:$B,MATCH(H3675,[1]IDEN_level_ids!$A:$A,0),1)</f>
        <v>429</v>
      </c>
    </row>
    <row r="3676" spans="1:21" hidden="1" x14ac:dyDescent="0.25">
      <c r="A3676">
        <v>24107.717499999999</v>
      </c>
      <c r="B3676">
        <v>4148.0492999999997</v>
      </c>
      <c r="C3676">
        <v>22</v>
      </c>
      <c r="D3676" t="s">
        <v>737</v>
      </c>
      <c r="E3676" t="s">
        <v>427</v>
      </c>
      <c r="F3676">
        <v>1974</v>
      </c>
      <c r="G3676" s="1" t="s">
        <v>200</v>
      </c>
      <c r="H3676" s="1" t="s">
        <v>65</v>
      </c>
      <c r="I3676">
        <v>0</v>
      </c>
      <c r="J3676">
        <v>24107.707399999999</v>
      </c>
      <c r="K3676">
        <v>-1.75E-3</v>
      </c>
      <c r="L3676">
        <v>8.3800000000000003E-3</v>
      </c>
      <c r="M3676">
        <v>4.87E-2</v>
      </c>
      <c r="N3676">
        <v>0.68279999999999996</v>
      </c>
      <c r="O3676">
        <v>2.6429999999999999E-2</v>
      </c>
      <c r="P3676" s="3">
        <f t="shared" si="228"/>
        <v>4148.049270944045</v>
      </c>
      <c r="Q3676" s="3">
        <f t="shared" si="229"/>
        <v>-1.7378383163304534E-3</v>
      </c>
      <c r="R3676" s="3">
        <f t="shared" si="230"/>
        <v>8.3800000000000003E-3</v>
      </c>
      <c r="S3676">
        <f t="shared" si="231"/>
        <v>108</v>
      </c>
      <c r="T3676">
        <f>INDEX([1]IDEN_level_ids!$B:$B,MATCH(G3676,[1]IDEN_level_ids!$A:$A,0),1)</f>
        <v>817</v>
      </c>
      <c r="U3676">
        <f>INDEX([1]IDEN_level_ids!$B:$B,MATCH(H3676,[1]IDEN_level_ids!$A:$A,0),1)</f>
        <v>427</v>
      </c>
    </row>
    <row r="3677" spans="1:21" hidden="1" x14ac:dyDescent="0.25">
      <c r="A3677">
        <v>24106.787499999999</v>
      </c>
      <c r="B3677">
        <v>4148.2093000000004</v>
      </c>
      <c r="C3677">
        <v>22</v>
      </c>
      <c r="D3677" t="s">
        <v>737</v>
      </c>
      <c r="E3677" t="s">
        <v>661</v>
      </c>
      <c r="F3677">
        <v>1974</v>
      </c>
      <c r="G3677" s="1" t="s">
        <v>200</v>
      </c>
      <c r="H3677" s="1" t="s">
        <v>740</v>
      </c>
      <c r="I3677">
        <v>0</v>
      </c>
      <c r="J3677">
        <v>24106.818200000002</v>
      </c>
      <c r="K3677">
        <v>5.2900000000000004E-3</v>
      </c>
      <c r="L3677">
        <v>8.7200000000000003E-3</v>
      </c>
      <c r="M3677">
        <v>5.0700000000000002E-2</v>
      </c>
      <c r="N3677">
        <v>0.48309999999999997</v>
      </c>
      <c r="O3677">
        <v>1.686E-2</v>
      </c>
      <c r="P3677" s="3">
        <f t="shared" si="228"/>
        <v>4148.2092958259163</v>
      </c>
      <c r="Q3677" s="3">
        <f t="shared" si="229"/>
        <v>5.2827388635705574E-3</v>
      </c>
      <c r="R3677" s="3">
        <f t="shared" si="230"/>
        <v>8.7200000000000003E-3</v>
      </c>
      <c r="S3677">
        <f t="shared" si="231"/>
        <v>108</v>
      </c>
      <c r="T3677">
        <f>INDEX([1]IDEN_level_ids!$B:$B,MATCH(G3677,[1]IDEN_level_ids!$A:$A,0),1)</f>
        <v>817</v>
      </c>
      <c r="U3677">
        <f>INDEX([1]IDEN_level_ids!$B:$B,MATCH(H3677,[1]IDEN_level_ids!$A:$A,0),1)</f>
        <v>430</v>
      </c>
    </row>
    <row r="3678" spans="1:21" hidden="1" x14ac:dyDescent="0.25">
      <c r="A3678">
        <v>24102.079300000001</v>
      </c>
      <c r="B3678">
        <v>4149.0195999999996</v>
      </c>
      <c r="C3678">
        <v>22</v>
      </c>
      <c r="D3678" t="s">
        <v>737</v>
      </c>
      <c r="F3678">
        <v>1974</v>
      </c>
      <c r="G3678" s="1" t="s">
        <v>205</v>
      </c>
      <c r="H3678" s="1" t="s">
        <v>741</v>
      </c>
      <c r="I3678">
        <v>0</v>
      </c>
      <c r="J3678">
        <v>24102.0893</v>
      </c>
      <c r="K3678">
        <v>1.72E-3</v>
      </c>
      <c r="L3678">
        <v>7.9299999999999995E-3</v>
      </c>
      <c r="M3678">
        <v>4.6100000000000002E-2</v>
      </c>
      <c r="N3678">
        <v>0.96850000000000003</v>
      </c>
      <c r="O3678">
        <v>0.25180999999999998</v>
      </c>
      <c r="P3678" s="3">
        <f t="shared" si="228"/>
        <v>4149.0196242114262</v>
      </c>
      <c r="Q3678" s="3">
        <f t="shared" si="229"/>
        <v>1.7214356694239541E-3</v>
      </c>
      <c r="R3678" s="3">
        <f t="shared" si="230"/>
        <v>7.9299999999999995E-3</v>
      </c>
      <c r="S3678">
        <f t="shared" si="231"/>
        <v>108</v>
      </c>
      <c r="T3678">
        <f>INDEX([1]IDEN_level_ids!$B:$B,MATCH(G3678,[1]IDEN_level_ids!$A:$A,0),1)</f>
        <v>770</v>
      </c>
      <c r="U3678">
        <f>INDEX([1]IDEN_level_ids!$B:$B,MATCH(H3678,[1]IDEN_level_ids!$A:$A,0),1)</f>
        <v>286</v>
      </c>
    </row>
    <row r="3679" spans="1:21" hidden="1" x14ac:dyDescent="0.25">
      <c r="A3679">
        <v>24092.413</v>
      </c>
      <c r="B3679">
        <v>4150.6842999999999</v>
      </c>
      <c r="C3679">
        <v>22</v>
      </c>
      <c r="D3679" t="s">
        <v>742</v>
      </c>
      <c r="F3679">
        <v>1974</v>
      </c>
      <c r="G3679" s="1" t="s">
        <v>234</v>
      </c>
      <c r="H3679" s="1" t="s">
        <v>743</v>
      </c>
      <c r="I3679">
        <v>0</v>
      </c>
      <c r="J3679">
        <v>24092.443299999999</v>
      </c>
      <c r="K3679">
        <v>5.2100000000000002E-3</v>
      </c>
      <c r="L3679">
        <v>7.9399999999999991E-3</v>
      </c>
      <c r="M3679">
        <v>4.6100000000000002E-2</v>
      </c>
      <c r="N3679">
        <v>0.71630000000000005</v>
      </c>
      <c r="O3679">
        <v>2.7980000000000001E-2</v>
      </c>
      <c r="P3679" s="3">
        <f t="shared" si="228"/>
        <v>4150.6842838863831</v>
      </c>
      <c r="Q3679" s="3">
        <f t="shared" si="229"/>
        <v>5.2201319813320879E-3</v>
      </c>
      <c r="R3679" s="3">
        <f t="shared" si="230"/>
        <v>7.9399999999999991E-3</v>
      </c>
      <c r="S3679">
        <f t="shared" si="231"/>
        <v>109</v>
      </c>
      <c r="T3679">
        <f>INDEX([1]IDEN_level_ids!$B:$B,MATCH(G3679,[1]IDEN_level_ids!$A:$A,0),1)</f>
        <v>818</v>
      </c>
      <c r="U3679">
        <f>INDEX([1]IDEN_level_ids!$B:$B,MATCH(H3679,[1]IDEN_level_ids!$A:$A,0),1)</f>
        <v>423</v>
      </c>
    </row>
    <row r="3680" spans="1:21" hidden="1" x14ac:dyDescent="0.25">
      <c r="A3680">
        <v>24087.2889</v>
      </c>
      <c r="B3680">
        <v>4151.5672999999997</v>
      </c>
      <c r="C3680">
        <v>22</v>
      </c>
      <c r="D3680" t="s">
        <v>742</v>
      </c>
      <c r="F3680">
        <v>1974</v>
      </c>
      <c r="G3680" s="1" t="s">
        <v>504</v>
      </c>
      <c r="H3680" s="1" t="s">
        <v>518</v>
      </c>
      <c r="I3680">
        <v>-0.95020000000000004</v>
      </c>
      <c r="J3680">
        <v>24087.290499999999</v>
      </c>
      <c r="K3680">
        <v>2.9E-4</v>
      </c>
      <c r="L3680">
        <v>7.9399999999999991E-3</v>
      </c>
      <c r="M3680">
        <v>4.6100000000000002E-2</v>
      </c>
      <c r="N3680">
        <v>0.2359</v>
      </c>
      <c r="O3680">
        <v>1.039E-2</v>
      </c>
      <c r="P3680" s="3">
        <f t="shared" si="228"/>
        <v>4151.567260855164</v>
      </c>
      <c r="Q3680" s="3">
        <f t="shared" si="229"/>
        <v>2.7576815318752779E-4</v>
      </c>
      <c r="R3680" s="3">
        <f t="shared" si="230"/>
        <v>7.9399999999999991E-3</v>
      </c>
      <c r="S3680">
        <f t="shared" si="231"/>
        <v>109</v>
      </c>
      <c r="T3680">
        <f>INDEX([1]IDEN_level_ids!$B:$B,MATCH(G3680,[1]IDEN_level_ids!$A:$A,0),1)</f>
        <v>1118</v>
      </c>
      <c r="U3680">
        <f>INDEX([1]IDEN_level_ids!$B:$B,MATCH(H3680,[1]IDEN_level_ids!$A:$A,0),1)</f>
        <v>1074</v>
      </c>
    </row>
    <row r="3681" spans="1:21" hidden="1" x14ac:dyDescent="0.25">
      <c r="A3681">
        <v>24083.812000000002</v>
      </c>
      <c r="B3681">
        <v>4152.1665999999996</v>
      </c>
      <c r="C3681">
        <v>22</v>
      </c>
      <c r="D3681" t="s">
        <v>742</v>
      </c>
      <c r="F3681">
        <v>1974</v>
      </c>
      <c r="G3681" s="1" t="s">
        <v>250</v>
      </c>
      <c r="H3681" s="1" t="s">
        <v>451</v>
      </c>
      <c r="I3681">
        <v>0.38469999999999999</v>
      </c>
      <c r="J3681">
        <v>24083.855200000002</v>
      </c>
      <c r="K3681">
        <v>7.4400000000000004E-3</v>
      </c>
      <c r="L3681">
        <v>7.9399999999999991E-3</v>
      </c>
      <c r="M3681">
        <v>4.6100000000000002E-2</v>
      </c>
      <c r="N3681">
        <v>8.77E-2</v>
      </c>
      <c r="O3681">
        <v>8.7100000000000007E-3</v>
      </c>
      <c r="P3681" s="3">
        <f t="shared" si="228"/>
        <v>4152.1666088408265</v>
      </c>
      <c r="Q3681" s="3">
        <f t="shared" si="229"/>
        <v>7.4478772612565081E-3</v>
      </c>
      <c r="R3681" s="3">
        <f t="shared" si="230"/>
        <v>7.9399999999999991E-3</v>
      </c>
      <c r="S3681">
        <f t="shared" si="231"/>
        <v>109</v>
      </c>
      <c r="T3681">
        <f>INDEX([1]IDEN_level_ids!$B:$B,MATCH(G3681,[1]IDEN_level_ids!$A:$A,0),1)</f>
        <v>1107</v>
      </c>
      <c r="U3681">
        <f>INDEX([1]IDEN_level_ids!$B:$B,MATCH(H3681,[1]IDEN_level_ids!$A:$A,0),1)</f>
        <v>1066</v>
      </c>
    </row>
    <row r="3682" spans="1:21" hidden="1" x14ac:dyDescent="0.25">
      <c r="A3682">
        <v>24075.148399999998</v>
      </c>
      <c r="B3682">
        <v>4153.6607999999997</v>
      </c>
      <c r="C3682">
        <v>22</v>
      </c>
      <c r="D3682" t="s">
        <v>742</v>
      </c>
      <c r="F3682">
        <v>1974</v>
      </c>
      <c r="G3682" s="1" t="s">
        <v>302</v>
      </c>
      <c r="H3682" s="1" t="s">
        <v>576</v>
      </c>
      <c r="I3682">
        <v>0.13669999999999999</v>
      </c>
      <c r="J3682">
        <v>24075.179400000001</v>
      </c>
      <c r="K3682">
        <v>5.3400000000000001E-3</v>
      </c>
      <c r="L3682">
        <v>7.9500000000000005E-3</v>
      </c>
      <c r="M3682">
        <v>4.6100000000000002E-2</v>
      </c>
      <c r="N3682">
        <v>0.1201</v>
      </c>
      <c r="O3682">
        <v>9.0299999999999998E-3</v>
      </c>
      <c r="P3682" s="3">
        <f t="shared" si="228"/>
        <v>4153.6607932186207</v>
      </c>
      <c r="Q3682" s="3">
        <f t="shared" si="229"/>
        <v>5.3483914889511652E-3</v>
      </c>
      <c r="R3682" s="3">
        <f t="shared" si="230"/>
        <v>7.9500000000000005E-3</v>
      </c>
      <c r="S3682">
        <f t="shared" si="231"/>
        <v>109</v>
      </c>
      <c r="T3682">
        <f>INDEX([1]IDEN_level_ids!$B:$B,MATCH(G3682,[1]IDEN_level_ids!$A:$A,0),1)</f>
        <v>1100</v>
      </c>
      <c r="U3682">
        <f>INDEX([1]IDEN_level_ids!$B:$B,MATCH(H3682,[1]IDEN_level_ids!$A:$A,0),1)</f>
        <v>1024</v>
      </c>
    </row>
    <row r="3683" spans="1:21" hidden="1" x14ac:dyDescent="0.25">
      <c r="A3683">
        <v>24071.937300000001</v>
      </c>
      <c r="B3683">
        <v>4154.2148999999999</v>
      </c>
      <c r="C3683">
        <v>22</v>
      </c>
      <c r="D3683" t="s">
        <v>742</v>
      </c>
      <c r="F3683">
        <v>1974</v>
      </c>
      <c r="G3683" s="1" t="s">
        <v>234</v>
      </c>
      <c r="H3683" s="1" t="s">
        <v>744</v>
      </c>
      <c r="I3683">
        <v>0</v>
      </c>
      <c r="J3683">
        <v>24071.948400000001</v>
      </c>
      <c r="K3683">
        <v>1.92E-3</v>
      </c>
      <c r="L3683">
        <v>7.9500000000000005E-3</v>
      </c>
      <c r="M3683">
        <v>4.6100000000000002E-2</v>
      </c>
      <c r="N3683">
        <v>0.71679999999999999</v>
      </c>
      <c r="O3683">
        <v>2.8080000000000001E-2</v>
      </c>
      <c r="P3683" s="3">
        <f t="shared" si="228"/>
        <v>4154.2148749282424</v>
      </c>
      <c r="Q3683" s="3">
        <f t="shared" si="229"/>
        <v>1.915581752655271E-3</v>
      </c>
      <c r="R3683" s="3">
        <f t="shared" si="230"/>
        <v>7.9500000000000005E-3</v>
      </c>
      <c r="S3683">
        <f t="shared" si="231"/>
        <v>109</v>
      </c>
      <c r="T3683">
        <f>INDEX([1]IDEN_level_ids!$B:$B,MATCH(G3683,[1]IDEN_level_ids!$A:$A,0),1)</f>
        <v>818</v>
      </c>
      <c r="U3683">
        <f>INDEX([1]IDEN_level_ids!$B:$B,MATCH(H3683,[1]IDEN_level_ids!$A:$A,0),1)</f>
        <v>428</v>
      </c>
    </row>
    <row r="3684" spans="1:21" hidden="1" x14ac:dyDescent="0.25">
      <c r="A3684">
        <v>24070.87</v>
      </c>
      <c r="B3684">
        <v>4154.3990999999996</v>
      </c>
      <c r="C3684">
        <v>22</v>
      </c>
      <c r="D3684" t="s">
        <v>742</v>
      </c>
      <c r="F3684">
        <v>1974</v>
      </c>
      <c r="G3684" s="1" t="s">
        <v>205</v>
      </c>
      <c r="H3684" s="1" t="s">
        <v>745</v>
      </c>
      <c r="I3684">
        <v>0</v>
      </c>
      <c r="J3684">
        <v>24070.8694</v>
      </c>
      <c r="K3684">
        <v>-1.1E-4</v>
      </c>
      <c r="L3684">
        <v>7.9500000000000005E-3</v>
      </c>
      <c r="M3684">
        <v>4.6100000000000002E-2</v>
      </c>
      <c r="N3684">
        <v>0.6139</v>
      </c>
      <c r="O3684">
        <v>2.0590000000000001E-2</v>
      </c>
      <c r="P3684" s="3">
        <f t="shared" si="228"/>
        <v>4154.3990724057749</v>
      </c>
      <c r="Q3684" s="3">
        <f t="shared" si="229"/>
        <v>-1.0355419271945721E-4</v>
      </c>
      <c r="R3684" s="3">
        <f t="shared" si="230"/>
        <v>7.9500000000000005E-3</v>
      </c>
      <c r="S3684">
        <f t="shared" si="231"/>
        <v>109</v>
      </c>
      <c r="T3684">
        <f>INDEX([1]IDEN_level_ids!$B:$B,MATCH(G3684,[1]IDEN_level_ids!$A:$A,0),1)</f>
        <v>770</v>
      </c>
      <c r="U3684">
        <f>INDEX([1]IDEN_level_ids!$B:$B,MATCH(H3684,[1]IDEN_level_ids!$A:$A,0),1)</f>
        <v>291</v>
      </c>
    </row>
    <row r="3685" spans="1:21" hidden="1" x14ac:dyDescent="0.25">
      <c r="A3685">
        <v>24062.323400000001</v>
      </c>
      <c r="B3685">
        <v>4155.8747000000003</v>
      </c>
      <c r="C3685">
        <v>22</v>
      </c>
      <c r="D3685" t="s">
        <v>742</v>
      </c>
      <c r="E3685" t="s">
        <v>427</v>
      </c>
      <c r="F3685">
        <v>1974</v>
      </c>
      <c r="G3685" s="1" t="s">
        <v>205</v>
      </c>
      <c r="H3685" s="1" t="s">
        <v>746</v>
      </c>
      <c r="I3685">
        <v>0</v>
      </c>
      <c r="J3685">
        <v>24062.3007</v>
      </c>
      <c r="K3685">
        <v>-3.9100000000000003E-3</v>
      </c>
      <c r="L3685">
        <v>8.4200000000000004E-3</v>
      </c>
      <c r="M3685">
        <v>4.87E-2</v>
      </c>
      <c r="N3685">
        <v>0.53059999999999996</v>
      </c>
      <c r="O3685">
        <v>1.7930000000000001E-2</v>
      </c>
      <c r="P3685" s="3">
        <f t="shared" si="228"/>
        <v>4155.8746567257922</v>
      </c>
      <c r="Q3685" s="3">
        <f t="shared" si="229"/>
        <v>-3.9205874736580881E-3</v>
      </c>
      <c r="R3685" s="3">
        <f t="shared" si="230"/>
        <v>8.4200000000000004E-3</v>
      </c>
      <c r="S3685">
        <f t="shared" si="231"/>
        <v>109</v>
      </c>
      <c r="T3685">
        <f>INDEX([1]IDEN_level_ids!$B:$B,MATCH(G3685,[1]IDEN_level_ids!$A:$A,0),1)</f>
        <v>770</v>
      </c>
      <c r="U3685">
        <f>INDEX([1]IDEN_level_ids!$B:$B,MATCH(H3685,[1]IDEN_level_ids!$A:$A,0),1)</f>
        <v>294</v>
      </c>
    </row>
    <row r="3686" spans="1:21" hidden="1" x14ac:dyDescent="0.25">
      <c r="A3686">
        <v>24039.481100000001</v>
      </c>
      <c r="B3686">
        <v>4159.8235999999997</v>
      </c>
      <c r="C3686">
        <v>22</v>
      </c>
      <c r="D3686" t="s">
        <v>742</v>
      </c>
      <c r="F3686">
        <v>1974</v>
      </c>
      <c r="G3686" s="1" t="s">
        <v>719</v>
      </c>
      <c r="H3686" s="1" t="s">
        <v>279</v>
      </c>
      <c r="I3686">
        <v>-0.2581</v>
      </c>
      <c r="J3686">
        <v>24039.468499999999</v>
      </c>
      <c r="K3686">
        <v>-2.1900000000000001E-3</v>
      </c>
      <c r="L3686">
        <v>7.9699999999999997E-3</v>
      </c>
      <c r="M3686">
        <v>4.6100000000000002E-2</v>
      </c>
      <c r="N3686">
        <v>0.16919999999999999</v>
      </c>
      <c r="O3686">
        <v>9.5999999999999992E-3</v>
      </c>
      <c r="P3686" s="3">
        <f t="shared" si="228"/>
        <v>4159.8235662416191</v>
      </c>
      <c r="Q3686" s="3">
        <f t="shared" si="229"/>
        <v>-2.1803217878186842E-3</v>
      </c>
      <c r="R3686" s="3">
        <f t="shared" si="230"/>
        <v>7.9699999999999997E-3</v>
      </c>
      <c r="S3686">
        <f t="shared" si="231"/>
        <v>109</v>
      </c>
      <c r="T3686">
        <f>INDEX([1]IDEN_level_ids!$B:$B,MATCH(G3686,[1]IDEN_level_ids!$A:$A,0),1)</f>
        <v>1244</v>
      </c>
      <c r="U3686">
        <f>INDEX([1]IDEN_level_ids!$B:$B,MATCH(H3686,[1]IDEN_level_ids!$A:$A,0),1)</f>
        <v>1129</v>
      </c>
    </row>
    <row r="3687" spans="1:21" hidden="1" x14ac:dyDescent="0.25">
      <c r="A3687">
        <v>24031.980599999999</v>
      </c>
      <c r="B3687">
        <v>4161.1219000000001</v>
      </c>
      <c r="C3687">
        <v>22</v>
      </c>
      <c r="D3687" t="s">
        <v>742</v>
      </c>
      <c r="E3687" t="s">
        <v>427</v>
      </c>
      <c r="F3687">
        <v>1974</v>
      </c>
      <c r="G3687" s="1" t="s">
        <v>706</v>
      </c>
      <c r="H3687" s="1" t="s">
        <v>256</v>
      </c>
      <c r="I3687">
        <v>0</v>
      </c>
      <c r="J3687">
        <v>24032.013500000001</v>
      </c>
      <c r="K3687">
        <v>5.6899999999999997E-3</v>
      </c>
      <c r="L3687">
        <v>8.4399999999999996E-3</v>
      </c>
      <c r="M3687">
        <v>4.87E-2</v>
      </c>
      <c r="N3687">
        <v>0.10349999999999999</v>
      </c>
      <c r="O3687">
        <v>9.41E-3</v>
      </c>
      <c r="P3687" s="3">
        <f t="shared" si="228"/>
        <v>4161.1218677498437</v>
      </c>
      <c r="Q3687" s="3">
        <f t="shared" si="229"/>
        <v>5.6966058818943566E-3</v>
      </c>
      <c r="R3687" s="3">
        <f t="shared" si="230"/>
        <v>8.4399999999999996E-3</v>
      </c>
      <c r="S3687">
        <f t="shared" si="231"/>
        <v>109</v>
      </c>
      <c r="T3687">
        <f>INDEX([1]IDEN_level_ids!$B:$B,MATCH(G3687,[1]IDEN_level_ids!$A:$A,0),1)</f>
        <v>1240</v>
      </c>
      <c r="U3687">
        <f>INDEX([1]IDEN_level_ids!$B:$B,MATCH(H3687,[1]IDEN_level_ids!$A:$A,0),1)</f>
        <v>1120</v>
      </c>
    </row>
    <row r="3688" spans="1:21" hidden="1" x14ac:dyDescent="0.25">
      <c r="A3688">
        <v>24025.3171</v>
      </c>
      <c r="B3688">
        <v>4162.2759999999998</v>
      </c>
      <c r="C3688">
        <v>22</v>
      </c>
      <c r="D3688" t="s">
        <v>742</v>
      </c>
      <c r="F3688">
        <v>1974</v>
      </c>
      <c r="G3688" s="1" t="s">
        <v>150</v>
      </c>
      <c r="H3688" s="1" t="s">
        <v>747</v>
      </c>
      <c r="I3688">
        <v>0</v>
      </c>
      <c r="J3688">
        <v>24025.31</v>
      </c>
      <c r="K3688">
        <v>-1.23E-3</v>
      </c>
      <c r="L3688">
        <v>7.9799999999999992E-3</v>
      </c>
      <c r="M3688">
        <v>4.6100000000000002E-2</v>
      </c>
      <c r="N3688">
        <v>0.65590000000000004</v>
      </c>
      <c r="O3688">
        <v>2.3189999999999999E-2</v>
      </c>
      <c r="P3688" s="3">
        <f t="shared" si="228"/>
        <v>4162.2759684616194</v>
      </c>
      <c r="Q3688" s="3">
        <f t="shared" si="229"/>
        <v>-1.23004279066663E-3</v>
      </c>
      <c r="R3688" s="3">
        <f t="shared" si="230"/>
        <v>7.9799999999999992E-3</v>
      </c>
      <c r="S3688">
        <f t="shared" si="231"/>
        <v>109</v>
      </c>
      <c r="T3688">
        <f>INDEX([1]IDEN_level_ids!$B:$B,MATCH(G3688,[1]IDEN_level_ids!$A:$A,0),1)</f>
        <v>769</v>
      </c>
      <c r="U3688">
        <f>INDEX([1]IDEN_level_ids!$B:$B,MATCH(H3688,[1]IDEN_level_ids!$A:$A,0),1)</f>
        <v>283</v>
      </c>
    </row>
    <row r="3689" spans="1:21" hidden="1" x14ac:dyDescent="0.25">
      <c r="A3689">
        <v>24002.271799999999</v>
      </c>
      <c r="B3689">
        <v>4166.2722999999996</v>
      </c>
      <c r="C3689">
        <v>22</v>
      </c>
      <c r="D3689" t="s">
        <v>742</v>
      </c>
      <c r="E3689" t="s">
        <v>427</v>
      </c>
      <c r="F3689">
        <v>1974</v>
      </c>
      <c r="G3689" s="1" t="s">
        <v>150</v>
      </c>
      <c r="H3689" s="1" t="s">
        <v>748</v>
      </c>
      <c r="I3689">
        <v>0</v>
      </c>
      <c r="J3689">
        <v>24002.313600000001</v>
      </c>
      <c r="K3689">
        <v>7.2500000000000004E-3</v>
      </c>
      <c r="L3689">
        <v>8.4600000000000005E-3</v>
      </c>
      <c r="M3689">
        <v>4.87E-2</v>
      </c>
      <c r="N3689">
        <v>0.4516</v>
      </c>
      <c r="O3689">
        <v>1.542E-2</v>
      </c>
      <c r="P3689" s="3">
        <f t="shared" si="228"/>
        <v>4166.2722942750779</v>
      </c>
      <c r="Q3689" s="3">
        <f t="shared" si="229"/>
        <v>7.2555581436972716E-3</v>
      </c>
      <c r="R3689" s="3">
        <f t="shared" si="230"/>
        <v>8.4600000000000005E-3</v>
      </c>
      <c r="S3689">
        <f t="shared" si="231"/>
        <v>109</v>
      </c>
      <c r="T3689">
        <f>INDEX([1]IDEN_level_ids!$B:$B,MATCH(G3689,[1]IDEN_level_ids!$A:$A,0),1)</f>
        <v>769</v>
      </c>
      <c r="U3689">
        <f>INDEX([1]IDEN_level_ids!$B:$B,MATCH(H3689,[1]IDEN_level_ids!$A:$A,0),1)</f>
        <v>289</v>
      </c>
    </row>
    <row r="3690" spans="1:21" hidden="1" x14ac:dyDescent="0.25">
      <c r="A3690">
        <v>23997.468000000001</v>
      </c>
      <c r="B3690">
        <v>4167.1063000000004</v>
      </c>
      <c r="C3690">
        <v>22</v>
      </c>
      <c r="D3690" t="s">
        <v>742</v>
      </c>
      <c r="F3690">
        <v>1974</v>
      </c>
      <c r="G3690" s="1" t="s">
        <v>150</v>
      </c>
      <c r="H3690" s="1" t="s">
        <v>749</v>
      </c>
      <c r="I3690">
        <v>0</v>
      </c>
      <c r="J3690">
        <v>23997.497500000001</v>
      </c>
      <c r="K3690">
        <v>5.11E-3</v>
      </c>
      <c r="L3690">
        <v>8.0000000000000002E-3</v>
      </c>
      <c r="M3690">
        <v>4.6100000000000002E-2</v>
      </c>
      <c r="N3690">
        <v>0.46800000000000003</v>
      </c>
      <c r="O3690">
        <v>1.504E-2</v>
      </c>
      <c r="P3690" s="3">
        <f t="shared" si="228"/>
        <v>4167.1062963809345</v>
      </c>
      <c r="Q3690" s="3">
        <f t="shared" si="229"/>
        <v>5.1226022942501004E-3</v>
      </c>
      <c r="R3690" s="3">
        <f t="shared" si="230"/>
        <v>8.0000000000000002E-3</v>
      </c>
      <c r="S3690">
        <f t="shared" si="231"/>
        <v>109</v>
      </c>
      <c r="T3690">
        <f>INDEX([1]IDEN_level_ids!$B:$B,MATCH(G3690,[1]IDEN_level_ids!$A:$A,0),1)</f>
        <v>769</v>
      </c>
      <c r="U3690">
        <f>INDEX([1]IDEN_level_ids!$B:$B,MATCH(H3690,[1]IDEN_level_ids!$A:$A,0),1)</f>
        <v>292</v>
      </c>
    </row>
    <row r="3691" spans="1:21" hidden="1" x14ac:dyDescent="0.25">
      <c r="A3691">
        <v>23990.8171</v>
      </c>
      <c r="B3691">
        <v>4168.2614999999996</v>
      </c>
      <c r="C3691">
        <v>22</v>
      </c>
      <c r="D3691" t="s">
        <v>742</v>
      </c>
      <c r="E3691" t="s">
        <v>427</v>
      </c>
      <c r="F3691">
        <v>1974</v>
      </c>
      <c r="G3691" s="1" t="s">
        <v>150</v>
      </c>
      <c r="H3691" s="1" t="s">
        <v>746</v>
      </c>
      <c r="I3691">
        <v>0</v>
      </c>
      <c r="J3691">
        <v>23990.851500000001</v>
      </c>
      <c r="K3691">
        <v>5.9899999999999997E-3</v>
      </c>
      <c r="L3691">
        <v>8.4700000000000001E-3</v>
      </c>
      <c r="M3691">
        <v>4.87E-2</v>
      </c>
      <c r="N3691">
        <v>0.39839999999999998</v>
      </c>
      <c r="O3691">
        <v>1.4069999999999999E-2</v>
      </c>
      <c r="P3691" s="3">
        <f t="shared" si="228"/>
        <v>4168.2615303669672</v>
      </c>
      <c r="Q3691" s="3">
        <f t="shared" si="229"/>
        <v>5.9767864704554086E-3</v>
      </c>
      <c r="R3691" s="3">
        <f t="shared" si="230"/>
        <v>8.4700000000000001E-3</v>
      </c>
      <c r="S3691">
        <f t="shared" si="231"/>
        <v>109</v>
      </c>
      <c r="T3691">
        <f>INDEX([1]IDEN_level_ids!$B:$B,MATCH(G3691,[1]IDEN_level_ids!$A:$A,0),1)</f>
        <v>769</v>
      </c>
      <c r="U3691">
        <f>INDEX([1]IDEN_level_ids!$B:$B,MATCH(H3691,[1]IDEN_level_ids!$A:$A,0),1)</f>
        <v>294</v>
      </c>
    </row>
    <row r="3692" spans="1:21" hidden="1" x14ac:dyDescent="0.25">
      <c r="A3692">
        <v>23961.720399999998</v>
      </c>
      <c r="B3692">
        <v>4173.3230999999996</v>
      </c>
      <c r="C3692">
        <v>22</v>
      </c>
      <c r="D3692" t="s">
        <v>742</v>
      </c>
      <c r="F3692">
        <v>1974</v>
      </c>
      <c r="G3692" s="1" t="s">
        <v>206</v>
      </c>
      <c r="H3692" s="1" t="s">
        <v>750</v>
      </c>
      <c r="I3692">
        <v>0</v>
      </c>
      <c r="J3692">
        <v>23961.7307</v>
      </c>
      <c r="K3692">
        <v>1.81E-3</v>
      </c>
      <c r="L3692">
        <v>8.0199999999999994E-3</v>
      </c>
      <c r="M3692">
        <v>4.6100000000000002E-2</v>
      </c>
      <c r="N3692">
        <v>1</v>
      </c>
      <c r="P3692" s="3">
        <f t="shared" si="228"/>
        <v>4173.3230473718413</v>
      </c>
      <c r="Q3692" s="3">
        <f t="shared" si="229"/>
        <v>1.7939116314664716E-3</v>
      </c>
      <c r="R3692" s="3">
        <f t="shared" si="230"/>
        <v>8.0199999999999994E-3</v>
      </c>
      <c r="S3692">
        <f t="shared" si="231"/>
        <v>109</v>
      </c>
      <c r="T3692">
        <f>INDEX([1]IDEN_level_ids!$B:$B,MATCH(G3692,[1]IDEN_level_ids!$A:$A,0),1)</f>
        <v>816</v>
      </c>
      <c r="U3692">
        <f>INDEX([1]IDEN_level_ids!$B:$B,MATCH(H3692,[1]IDEN_level_ids!$A:$A,0),1)</f>
        <v>417</v>
      </c>
    </row>
    <row r="3693" spans="1:21" hidden="1" x14ac:dyDescent="0.25">
      <c r="A3693">
        <v>23953.543799999999</v>
      </c>
      <c r="B3693">
        <v>4174.7475999999997</v>
      </c>
      <c r="C3693">
        <v>22</v>
      </c>
      <c r="D3693" t="s">
        <v>742</v>
      </c>
      <c r="E3693" t="s">
        <v>427</v>
      </c>
      <c r="F3693">
        <v>1974</v>
      </c>
      <c r="G3693" s="1" t="s">
        <v>179</v>
      </c>
      <c r="H3693" s="1" t="s">
        <v>751</v>
      </c>
      <c r="I3693">
        <v>0</v>
      </c>
      <c r="J3693">
        <v>23953.540799999999</v>
      </c>
      <c r="K3693">
        <v>-5.1999999999999995E-4</v>
      </c>
      <c r="L3693">
        <v>8.4899999999999993E-3</v>
      </c>
      <c r="M3693">
        <v>4.87E-2</v>
      </c>
      <c r="N3693">
        <v>0.43330000000000002</v>
      </c>
      <c r="O3693">
        <v>1.499E-2</v>
      </c>
      <c r="P3693" s="3">
        <f t="shared" si="228"/>
        <v>4174.747621268466</v>
      </c>
      <c r="Q3693" s="3">
        <f t="shared" si="229"/>
        <v>-5.2285559650044888E-4</v>
      </c>
      <c r="R3693" s="3">
        <f t="shared" si="230"/>
        <v>8.4899999999999993E-3</v>
      </c>
      <c r="S3693">
        <f t="shared" si="231"/>
        <v>109</v>
      </c>
      <c r="T3693">
        <f>INDEX([1]IDEN_level_ids!$B:$B,MATCH(G3693,[1]IDEN_level_ids!$A:$A,0),1)</f>
        <v>791</v>
      </c>
      <c r="U3693">
        <f>INDEX([1]IDEN_level_ids!$B:$B,MATCH(H3693,[1]IDEN_level_ids!$A:$A,0),1)</f>
        <v>344</v>
      </c>
    </row>
    <row r="3694" spans="1:21" hidden="1" x14ac:dyDescent="0.25">
      <c r="A3694">
        <v>23946.642</v>
      </c>
      <c r="B3694">
        <v>4175.9507999999996</v>
      </c>
      <c r="C3694">
        <v>22</v>
      </c>
      <c r="D3694" t="s">
        <v>752</v>
      </c>
      <c r="F3694">
        <v>1974</v>
      </c>
      <c r="G3694" s="1" t="s">
        <v>273</v>
      </c>
      <c r="H3694" s="1" t="s">
        <v>451</v>
      </c>
      <c r="I3694">
        <v>0.38469999999999999</v>
      </c>
      <c r="J3694">
        <v>23946.6708</v>
      </c>
      <c r="K3694">
        <v>5.0200000000000002E-3</v>
      </c>
      <c r="L3694">
        <v>8.0300000000000007E-3</v>
      </c>
      <c r="M3694">
        <v>4.6100000000000002E-2</v>
      </c>
      <c r="N3694">
        <v>9.3100000000000002E-2</v>
      </c>
      <c r="O3694">
        <v>8.8599999999999998E-3</v>
      </c>
      <c r="P3694" s="3">
        <f t="shared" si="228"/>
        <v>4175.9508493925787</v>
      </c>
      <c r="Q3694" s="3">
        <f t="shared" si="229"/>
        <v>5.0223008229295374E-3</v>
      </c>
      <c r="R3694" s="3">
        <f t="shared" si="230"/>
        <v>8.0300000000000007E-3</v>
      </c>
      <c r="S3694">
        <f t="shared" si="231"/>
        <v>110</v>
      </c>
      <c r="T3694">
        <f>INDEX([1]IDEN_level_ids!$B:$B,MATCH(G3694,[1]IDEN_level_ids!$A:$A,0),1)</f>
        <v>1105</v>
      </c>
      <c r="U3694">
        <f>INDEX([1]IDEN_level_ids!$B:$B,MATCH(H3694,[1]IDEN_level_ids!$A:$A,0),1)</f>
        <v>1066</v>
      </c>
    </row>
    <row r="3695" spans="1:21" hidden="1" x14ac:dyDescent="0.25">
      <c r="A3695">
        <v>23927.693599999999</v>
      </c>
      <c r="B3695">
        <v>4179.2578000000003</v>
      </c>
      <c r="C3695">
        <v>22</v>
      </c>
      <c r="D3695" t="s">
        <v>752</v>
      </c>
      <c r="F3695">
        <v>1974</v>
      </c>
      <c r="G3695" s="1" t="s">
        <v>179</v>
      </c>
      <c r="H3695" s="1" t="s">
        <v>753</v>
      </c>
      <c r="I3695">
        <v>0</v>
      </c>
      <c r="J3695">
        <v>23927.705699999999</v>
      </c>
      <c r="K3695">
        <v>2.1199999999999999E-3</v>
      </c>
      <c r="L3695">
        <v>8.0499999999999999E-3</v>
      </c>
      <c r="M3695">
        <v>4.6100000000000002E-2</v>
      </c>
      <c r="N3695">
        <v>0.43109999999999998</v>
      </c>
      <c r="O3695">
        <v>1.414E-2</v>
      </c>
      <c r="P3695" s="3">
        <f t="shared" si="228"/>
        <v>4179.257795243584</v>
      </c>
      <c r="Q3695" s="3">
        <f t="shared" si="229"/>
        <v>2.1134086136953556E-3</v>
      </c>
      <c r="R3695" s="3">
        <f t="shared" si="230"/>
        <v>8.0499999999999999E-3</v>
      </c>
      <c r="S3695">
        <f t="shared" si="231"/>
        <v>110</v>
      </c>
      <c r="T3695">
        <f>INDEX([1]IDEN_level_ids!$B:$B,MATCH(G3695,[1]IDEN_level_ids!$A:$A,0),1)</f>
        <v>791</v>
      </c>
      <c r="U3695">
        <f>INDEX([1]IDEN_level_ids!$B:$B,MATCH(H3695,[1]IDEN_level_ids!$A:$A,0),1)</f>
        <v>350</v>
      </c>
    </row>
    <row r="3696" spans="1:21" hidden="1" x14ac:dyDescent="0.25">
      <c r="A3696">
        <v>23918.026999999998</v>
      </c>
      <c r="B3696">
        <v>4180.9468999999999</v>
      </c>
      <c r="C3696">
        <v>22</v>
      </c>
      <c r="D3696" t="s">
        <v>752</v>
      </c>
      <c r="F3696">
        <v>1974</v>
      </c>
      <c r="G3696" s="1" t="s">
        <v>246</v>
      </c>
      <c r="H3696" s="1" t="s">
        <v>754</v>
      </c>
      <c r="I3696">
        <v>0</v>
      </c>
      <c r="J3696">
        <v>23918.0376</v>
      </c>
      <c r="K3696">
        <v>1.8500000000000001E-3</v>
      </c>
      <c r="L3696">
        <v>8.0499999999999999E-3</v>
      </c>
      <c r="M3696">
        <v>4.6100000000000002E-2</v>
      </c>
      <c r="N3696">
        <v>1</v>
      </c>
      <c r="P3696" s="3">
        <f t="shared" si="228"/>
        <v>4180.9468648898173</v>
      </c>
      <c r="Q3696" s="3">
        <f t="shared" si="229"/>
        <v>1.8529127473811968E-3</v>
      </c>
      <c r="R3696" s="3">
        <f t="shared" si="230"/>
        <v>8.0499999999999999E-3</v>
      </c>
      <c r="S3696">
        <f t="shared" si="231"/>
        <v>110</v>
      </c>
      <c r="T3696">
        <f>INDEX([1]IDEN_level_ids!$B:$B,MATCH(G3696,[1]IDEN_level_ids!$A:$A,0),1)</f>
        <v>767</v>
      </c>
      <c r="U3696">
        <f>INDEX([1]IDEN_level_ids!$B:$B,MATCH(H3696,[1]IDEN_level_ids!$A:$A,0),1)</f>
        <v>279</v>
      </c>
    </row>
    <row r="3697" spans="1:21" hidden="1" x14ac:dyDescent="0.25">
      <c r="A3697">
        <v>23914.919399999999</v>
      </c>
      <c r="B3697">
        <v>4181.4901</v>
      </c>
      <c r="C3697">
        <v>22</v>
      </c>
      <c r="D3697" t="s">
        <v>752</v>
      </c>
      <c r="F3697">
        <v>1974</v>
      </c>
      <c r="G3697" s="1" t="s">
        <v>179</v>
      </c>
      <c r="H3697" s="1" t="s">
        <v>733</v>
      </c>
      <c r="I3697">
        <v>0</v>
      </c>
      <c r="J3697">
        <v>23914.932000000001</v>
      </c>
      <c r="K3697">
        <v>2.1900000000000001E-3</v>
      </c>
      <c r="L3697">
        <v>8.0499999999999999E-3</v>
      </c>
      <c r="M3697">
        <v>4.6100000000000002E-2</v>
      </c>
      <c r="N3697">
        <v>0.44519999999999998</v>
      </c>
      <c r="O3697">
        <v>1.452E-2</v>
      </c>
      <c r="P3697" s="3">
        <f t="shared" si="228"/>
        <v>4181.4901537991391</v>
      </c>
      <c r="Q3697" s="3">
        <f t="shared" si="229"/>
        <v>2.2030911877664039E-3</v>
      </c>
      <c r="R3697" s="3">
        <f t="shared" si="230"/>
        <v>8.0499999999999999E-3</v>
      </c>
      <c r="S3697">
        <f t="shared" si="231"/>
        <v>110</v>
      </c>
      <c r="T3697">
        <f>INDEX([1]IDEN_level_ids!$B:$B,MATCH(G3697,[1]IDEN_level_ids!$A:$A,0),1)</f>
        <v>791</v>
      </c>
      <c r="U3697">
        <f>INDEX([1]IDEN_level_ids!$B:$B,MATCH(H3697,[1]IDEN_level_ids!$A:$A,0),1)</f>
        <v>355</v>
      </c>
    </row>
    <row r="3698" spans="1:21" hidden="1" x14ac:dyDescent="0.25">
      <c r="A3698">
        <v>23911.863600000001</v>
      </c>
      <c r="B3698">
        <v>4182.0245000000004</v>
      </c>
      <c r="C3698">
        <v>22</v>
      </c>
      <c r="D3698" t="s">
        <v>752</v>
      </c>
      <c r="F3698">
        <v>1974</v>
      </c>
      <c r="G3698" s="1" t="s">
        <v>179</v>
      </c>
      <c r="H3698" s="1" t="s">
        <v>755</v>
      </c>
      <c r="I3698">
        <v>0</v>
      </c>
      <c r="J3698">
        <v>23911.894400000001</v>
      </c>
      <c r="K3698">
        <v>5.3800000000000002E-3</v>
      </c>
      <c r="L3698">
        <v>8.0599999999999995E-3</v>
      </c>
      <c r="M3698">
        <v>4.6100000000000002E-2</v>
      </c>
      <c r="N3698">
        <v>0.63390000000000002</v>
      </c>
      <c r="O3698">
        <v>2.2009999999999998E-2</v>
      </c>
      <c r="P3698" s="3">
        <f t="shared" si="228"/>
        <v>4182.0245244289536</v>
      </c>
      <c r="Q3698" s="3">
        <f t="shared" si="229"/>
        <v>5.3867064316364122E-3</v>
      </c>
      <c r="R3698" s="3">
        <f t="shared" si="230"/>
        <v>8.0599999999999995E-3</v>
      </c>
      <c r="S3698">
        <f t="shared" si="231"/>
        <v>110</v>
      </c>
      <c r="T3698">
        <f>INDEX([1]IDEN_level_ids!$B:$B,MATCH(G3698,[1]IDEN_level_ids!$A:$A,0),1)</f>
        <v>791</v>
      </c>
      <c r="U3698">
        <f>INDEX([1]IDEN_level_ids!$B:$B,MATCH(H3698,[1]IDEN_level_ids!$A:$A,0),1)</f>
        <v>352</v>
      </c>
    </row>
    <row r="3699" spans="1:21" hidden="1" x14ac:dyDescent="0.25">
      <c r="A3699">
        <v>23897.671699999999</v>
      </c>
      <c r="B3699">
        <v>4184.5081</v>
      </c>
      <c r="C3699">
        <v>22</v>
      </c>
      <c r="D3699" t="s">
        <v>752</v>
      </c>
      <c r="F3699">
        <v>1974</v>
      </c>
      <c r="G3699" s="1" t="s">
        <v>206</v>
      </c>
      <c r="H3699" s="1" t="s">
        <v>738</v>
      </c>
      <c r="I3699">
        <v>0</v>
      </c>
      <c r="J3699">
        <v>23897.685399999998</v>
      </c>
      <c r="K3699">
        <v>2.3900000000000002E-3</v>
      </c>
      <c r="L3699">
        <v>8.0700000000000008E-3</v>
      </c>
      <c r="M3699">
        <v>4.6100000000000002E-2</v>
      </c>
      <c r="N3699">
        <v>0.88919999999999999</v>
      </c>
      <c r="O3699">
        <v>7.2789999999999994E-2</v>
      </c>
      <c r="P3699" s="3">
        <f t="shared" si="228"/>
        <v>4184.5080665326905</v>
      </c>
      <c r="Q3699" s="3">
        <f t="shared" si="229"/>
        <v>2.3988833872863324E-3</v>
      </c>
      <c r="R3699" s="3">
        <f t="shared" si="230"/>
        <v>8.0700000000000008E-3</v>
      </c>
      <c r="S3699">
        <f t="shared" si="231"/>
        <v>110</v>
      </c>
      <c r="T3699">
        <f>INDEX([1]IDEN_level_ids!$B:$B,MATCH(G3699,[1]IDEN_level_ids!$A:$A,0),1)</f>
        <v>816</v>
      </c>
      <c r="U3699">
        <f>INDEX([1]IDEN_level_ids!$B:$B,MATCH(H3699,[1]IDEN_level_ids!$A:$A,0),1)</f>
        <v>426</v>
      </c>
    </row>
    <row r="3700" spans="1:21" hidden="1" x14ac:dyDescent="0.25">
      <c r="A3700">
        <v>23892.833600000002</v>
      </c>
      <c r="B3700">
        <v>4185.3554000000004</v>
      </c>
      <c r="C3700">
        <v>22</v>
      </c>
      <c r="D3700" t="s">
        <v>752</v>
      </c>
      <c r="F3700">
        <v>1974</v>
      </c>
      <c r="G3700" s="1" t="s">
        <v>134</v>
      </c>
      <c r="H3700" s="1" t="s">
        <v>396</v>
      </c>
      <c r="I3700">
        <v>0.42980000000000002</v>
      </c>
      <c r="J3700">
        <v>23892.899099999999</v>
      </c>
      <c r="K3700">
        <v>1.1469999999999999E-2</v>
      </c>
      <c r="L3700">
        <v>8.0700000000000008E-3</v>
      </c>
      <c r="M3700">
        <v>4.6100000000000002E-2</v>
      </c>
      <c r="N3700">
        <v>0.14410000000000001</v>
      </c>
      <c r="O3700">
        <v>9.4299999999999991E-3</v>
      </c>
      <c r="P3700" s="3">
        <f t="shared" si="228"/>
        <v>4185.3553945983194</v>
      </c>
      <c r="Q3700" s="3">
        <f t="shared" si="229"/>
        <v>1.1473734400169633E-2</v>
      </c>
      <c r="R3700" s="3">
        <f t="shared" si="230"/>
        <v>8.0700000000000008E-3</v>
      </c>
      <c r="S3700">
        <f t="shared" si="231"/>
        <v>110</v>
      </c>
      <c r="T3700">
        <f>INDEX([1]IDEN_level_ids!$B:$B,MATCH(G3700,[1]IDEN_level_ids!$A:$A,0),1)</f>
        <v>1114</v>
      </c>
      <c r="U3700">
        <f>INDEX([1]IDEN_level_ids!$B:$B,MATCH(H3700,[1]IDEN_level_ids!$A:$A,0),1)</f>
        <v>1072</v>
      </c>
    </row>
    <row r="3701" spans="1:21" hidden="1" x14ac:dyDescent="0.25">
      <c r="A3701">
        <v>23875.837200000002</v>
      </c>
      <c r="B3701">
        <v>4188.3347999999996</v>
      </c>
      <c r="C3701">
        <v>22</v>
      </c>
      <c r="D3701" t="s">
        <v>752</v>
      </c>
      <c r="E3701" t="s">
        <v>638</v>
      </c>
      <c r="F3701">
        <v>1974</v>
      </c>
      <c r="G3701" s="1" t="s">
        <v>206</v>
      </c>
      <c r="H3701" s="1" t="s">
        <v>739</v>
      </c>
      <c r="I3701">
        <v>0</v>
      </c>
      <c r="J3701">
        <v>23875.860199999999</v>
      </c>
      <c r="K3701">
        <v>4.0400000000000002E-3</v>
      </c>
      <c r="L3701">
        <v>3.032E-2</v>
      </c>
      <c r="M3701">
        <v>0.17280000000000001</v>
      </c>
      <c r="N3701">
        <v>0.1183</v>
      </c>
      <c r="O3701">
        <v>3.4380000000000001E-2</v>
      </c>
      <c r="P3701" s="3">
        <f t="shared" si="228"/>
        <v>4188.3348073758852</v>
      </c>
      <c r="Q3701" s="3">
        <f t="shared" si="229"/>
        <v>4.0346902587771183E-3</v>
      </c>
      <c r="R3701" s="3">
        <f t="shared" si="230"/>
        <v>3.032E-2</v>
      </c>
      <c r="S3701">
        <f t="shared" si="231"/>
        <v>110</v>
      </c>
      <c r="T3701">
        <f>INDEX([1]IDEN_level_ids!$B:$B,MATCH(G3701,[1]IDEN_level_ids!$A:$A,0),1)</f>
        <v>816</v>
      </c>
      <c r="U3701">
        <f>INDEX([1]IDEN_level_ids!$B:$B,MATCH(H3701,[1]IDEN_level_ids!$A:$A,0),1)</f>
        <v>429</v>
      </c>
    </row>
    <row r="3702" spans="1:21" hidden="1" x14ac:dyDescent="0.25">
      <c r="A3702">
        <v>23864.203099999999</v>
      </c>
      <c r="B3702">
        <v>4190.3766999999998</v>
      </c>
      <c r="C3702">
        <v>22</v>
      </c>
      <c r="D3702" t="s">
        <v>752</v>
      </c>
      <c r="F3702">
        <v>1974</v>
      </c>
      <c r="G3702" s="1" t="s">
        <v>299</v>
      </c>
      <c r="H3702" s="1" t="s">
        <v>467</v>
      </c>
      <c r="I3702">
        <v>0</v>
      </c>
      <c r="J3702">
        <v>23864.241000000002</v>
      </c>
      <c r="K3702">
        <v>6.6600000000000001E-3</v>
      </c>
      <c r="L3702">
        <v>8.09E-3</v>
      </c>
      <c r="M3702">
        <v>4.6100000000000002E-2</v>
      </c>
      <c r="N3702">
        <v>0.1007</v>
      </c>
      <c r="O3702">
        <v>8.9899999999999997E-3</v>
      </c>
      <c r="P3702" s="3">
        <f t="shared" si="228"/>
        <v>4190.3766734201154</v>
      </c>
      <c r="Q3702" s="3">
        <f t="shared" si="229"/>
        <v>6.6549477078297059E-3</v>
      </c>
      <c r="R3702" s="3">
        <f t="shared" si="230"/>
        <v>8.09E-3</v>
      </c>
      <c r="S3702">
        <f t="shared" si="231"/>
        <v>110</v>
      </c>
      <c r="T3702">
        <f>INDEX([1]IDEN_level_ids!$B:$B,MATCH(G3702,[1]IDEN_level_ids!$A:$A,0),1)</f>
        <v>1101</v>
      </c>
      <c r="U3702">
        <f>INDEX([1]IDEN_level_ids!$B:$B,MATCH(H3702,[1]IDEN_level_ids!$A:$A,0),1)</f>
        <v>1025</v>
      </c>
    </row>
    <row r="3703" spans="1:21" hidden="1" x14ac:dyDescent="0.25">
      <c r="A3703">
        <v>23858.958999999999</v>
      </c>
      <c r="B3703">
        <v>4191.2977000000001</v>
      </c>
      <c r="C3703">
        <v>22</v>
      </c>
      <c r="D3703" t="s">
        <v>752</v>
      </c>
      <c r="F3703">
        <v>1974</v>
      </c>
      <c r="G3703" s="1" t="s">
        <v>335</v>
      </c>
      <c r="H3703" s="1" t="s">
        <v>309</v>
      </c>
      <c r="I3703">
        <v>0</v>
      </c>
      <c r="J3703">
        <v>23858.9791</v>
      </c>
      <c r="K3703">
        <v>3.5300000000000002E-3</v>
      </c>
      <c r="L3703">
        <v>8.09E-3</v>
      </c>
      <c r="M3703">
        <v>4.6100000000000002E-2</v>
      </c>
      <c r="N3703">
        <v>0.25019999999999998</v>
      </c>
      <c r="O3703">
        <v>1.0789999999999999E-2</v>
      </c>
      <c r="P3703" s="3">
        <f t="shared" si="228"/>
        <v>4191.2977007923946</v>
      </c>
      <c r="Q3703" s="3">
        <f t="shared" si="229"/>
        <v>3.5309592858538963E-3</v>
      </c>
      <c r="R3703" s="3">
        <f t="shared" si="230"/>
        <v>8.09E-3</v>
      </c>
      <c r="S3703">
        <f t="shared" si="231"/>
        <v>110</v>
      </c>
      <c r="T3703">
        <f>INDEX([1]IDEN_level_ids!$B:$B,MATCH(G3703,[1]IDEN_level_ids!$A:$A,0),1)</f>
        <v>1174</v>
      </c>
      <c r="U3703">
        <f>INDEX([1]IDEN_level_ids!$B:$B,MATCH(H3703,[1]IDEN_level_ids!$A:$A,0),1)</f>
        <v>1094</v>
      </c>
    </row>
    <row r="3704" spans="1:21" hidden="1" x14ac:dyDescent="0.25">
      <c r="A3704">
        <v>23856.8295</v>
      </c>
      <c r="B3704">
        <v>4191.6718000000001</v>
      </c>
      <c r="C3704">
        <v>22</v>
      </c>
      <c r="D3704" t="s">
        <v>752</v>
      </c>
      <c r="E3704" t="s">
        <v>661</v>
      </c>
      <c r="F3704">
        <v>1974</v>
      </c>
      <c r="G3704" s="1" t="s">
        <v>246</v>
      </c>
      <c r="H3704" s="1" t="s">
        <v>741</v>
      </c>
      <c r="I3704">
        <v>0</v>
      </c>
      <c r="J3704">
        <v>23856.840100000001</v>
      </c>
      <c r="K3704">
        <v>1.8699999999999999E-3</v>
      </c>
      <c r="L3704">
        <v>8.8999999999999999E-3</v>
      </c>
      <c r="M3704">
        <v>5.0700000000000002E-2</v>
      </c>
      <c r="N3704">
        <v>0.96189999999999998</v>
      </c>
      <c r="O3704">
        <v>0.23372999999999999</v>
      </c>
      <c r="P3704" s="3">
        <f t="shared" si="228"/>
        <v>4191.6718229469679</v>
      </c>
      <c r="Q3704" s="3">
        <f t="shared" si="229"/>
        <v>1.8624311160237994E-3</v>
      </c>
      <c r="R3704" s="3">
        <f t="shared" si="230"/>
        <v>8.8999999999999999E-3</v>
      </c>
      <c r="S3704">
        <f t="shared" si="231"/>
        <v>110</v>
      </c>
      <c r="T3704">
        <f>INDEX([1]IDEN_level_ids!$B:$B,MATCH(G3704,[1]IDEN_level_ids!$A:$A,0),1)</f>
        <v>767</v>
      </c>
      <c r="U3704">
        <f>INDEX([1]IDEN_level_ids!$B:$B,MATCH(H3704,[1]IDEN_level_ids!$A:$A,0),1)</f>
        <v>286</v>
      </c>
    </row>
    <row r="3705" spans="1:21" hidden="1" x14ac:dyDescent="0.25">
      <c r="A3705">
        <v>23819.773399999998</v>
      </c>
      <c r="B3705">
        <v>4198.1927999999998</v>
      </c>
      <c r="C3705">
        <v>22</v>
      </c>
      <c r="D3705" t="s">
        <v>752</v>
      </c>
      <c r="F3705">
        <v>1974</v>
      </c>
      <c r="G3705" s="1" t="s">
        <v>189</v>
      </c>
      <c r="H3705" s="1" t="s">
        <v>756</v>
      </c>
      <c r="I3705">
        <v>0</v>
      </c>
      <c r="J3705">
        <v>23819.808300000001</v>
      </c>
      <c r="K3705">
        <v>6.1399999999999996E-3</v>
      </c>
      <c r="L3705">
        <v>8.1200000000000005E-3</v>
      </c>
      <c r="M3705">
        <v>4.6100000000000002E-2</v>
      </c>
      <c r="N3705">
        <v>0.62749999999999995</v>
      </c>
      <c r="O3705">
        <v>2.18E-2</v>
      </c>
      <c r="P3705" s="3">
        <f t="shared" si="228"/>
        <v>4198.1927502299413</v>
      </c>
      <c r="Q3705" s="3">
        <f t="shared" si="229"/>
        <v>6.1510539944720222E-3</v>
      </c>
      <c r="R3705" s="3">
        <f t="shared" si="230"/>
        <v>8.1200000000000005E-3</v>
      </c>
      <c r="S3705">
        <f t="shared" si="231"/>
        <v>110</v>
      </c>
      <c r="T3705">
        <f>INDEX([1]IDEN_level_ids!$B:$B,MATCH(G3705,[1]IDEN_level_ids!$A:$A,0),1)</f>
        <v>789</v>
      </c>
      <c r="U3705">
        <f>INDEX([1]IDEN_level_ids!$B:$B,MATCH(H3705,[1]IDEN_level_ids!$A:$A,0),1)</f>
        <v>349</v>
      </c>
    </row>
    <row r="3706" spans="1:21" hidden="1" x14ac:dyDescent="0.25">
      <c r="A3706">
        <v>23812.489699999998</v>
      </c>
      <c r="B3706">
        <v>4199.4768999999997</v>
      </c>
      <c r="C3706">
        <v>22</v>
      </c>
      <c r="D3706" t="s">
        <v>752</v>
      </c>
      <c r="F3706">
        <v>1974</v>
      </c>
      <c r="G3706" s="1" t="s">
        <v>299</v>
      </c>
      <c r="H3706" s="1" t="s">
        <v>475</v>
      </c>
      <c r="I3706">
        <v>0.18990000000000001</v>
      </c>
      <c r="J3706">
        <v>23812.488399999998</v>
      </c>
      <c r="K3706">
        <v>-2.4000000000000001E-4</v>
      </c>
      <c r="L3706">
        <v>8.1200000000000005E-3</v>
      </c>
      <c r="M3706">
        <v>4.6100000000000002E-2</v>
      </c>
      <c r="N3706">
        <v>9.98E-2</v>
      </c>
      <c r="O3706">
        <v>9.0200000000000002E-3</v>
      </c>
      <c r="P3706" s="3">
        <f t="shared" si="228"/>
        <v>4199.4768820834388</v>
      </c>
      <c r="Q3706" s="3">
        <f t="shared" si="229"/>
        <v>-2.2926289148017531E-4</v>
      </c>
      <c r="R3706" s="3">
        <f t="shared" si="230"/>
        <v>8.1200000000000005E-3</v>
      </c>
      <c r="S3706">
        <f t="shared" si="231"/>
        <v>110</v>
      </c>
      <c r="T3706">
        <f>INDEX([1]IDEN_level_ids!$B:$B,MATCH(G3706,[1]IDEN_level_ids!$A:$A,0),1)</f>
        <v>1101</v>
      </c>
      <c r="U3706">
        <f>INDEX([1]IDEN_level_ids!$B:$B,MATCH(H3706,[1]IDEN_level_ids!$A:$A,0),1)</f>
        <v>1030</v>
      </c>
    </row>
    <row r="3707" spans="1:21" hidden="1" x14ac:dyDescent="0.25">
      <c r="A3707">
        <v>23792.497100000001</v>
      </c>
      <c r="B3707">
        <v>4203.0056999999997</v>
      </c>
      <c r="C3707">
        <v>22</v>
      </c>
      <c r="D3707" t="s">
        <v>757</v>
      </c>
      <c r="F3707">
        <v>1974</v>
      </c>
      <c r="G3707" s="1" t="s">
        <v>504</v>
      </c>
      <c r="H3707" s="1" t="s">
        <v>398</v>
      </c>
      <c r="I3707">
        <v>-0.63090000000000002</v>
      </c>
      <c r="J3707">
        <v>23792.4889</v>
      </c>
      <c r="K3707">
        <v>-1.4400000000000001E-3</v>
      </c>
      <c r="L3707">
        <v>8.1399999999999997E-3</v>
      </c>
      <c r="M3707">
        <v>4.6100000000000002E-2</v>
      </c>
      <c r="N3707">
        <v>0.17230000000000001</v>
      </c>
      <c r="O3707">
        <v>9.8300000000000002E-3</v>
      </c>
      <c r="P3707" s="3">
        <f t="shared" si="228"/>
        <v>4203.0056609736857</v>
      </c>
      <c r="Q3707" s="3">
        <f t="shared" si="229"/>
        <v>-1.4485515393971582E-3</v>
      </c>
      <c r="R3707" s="3">
        <f t="shared" si="230"/>
        <v>8.1399999999999997E-3</v>
      </c>
      <c r="S3707">
        <f t="shared" si="231"/>
        <v>111</v>
      </c>
      <c r="T3707">
        <f>INDEX([1]IDEN_level_ids!$B:$B,MATCH(G3707,[1]IDEN_level_ids!$A:$A,0),1)</f>
        <v>1118</v>
      </c>
      <c r="U3707">
        <f>INDEX([1]IDEN_level_ids!$B:$B,MATCH(H3707,[1]IDEN_level_ids!$A:$A,0),1)</f>
        <v>1075</v>
      </c>
    </row>
    <row r="3708" spans="1:21" hidden="1" x14ac:dyDescent="0.25">
      <c r="A3708">
        <v>23789.909100000001</v>
      </c>
      <c r="B3708">
        <v>4203.4629000000004</v>
      </c>
      <c r="C3708">
        <v>22</v>
      </c>
      <c r="D3708" t="s">
        <v>757</v>
      </c>
      <c r="F3708">
        <v>1974</v>
      </c>
      <c r="G3708" s="1" t="s">
        <v>189</v>
      </c>
      <c r="H3708" s="1" t="s">
        <v>758</v>
      </c>
      <c r="I3708">
        <v>0</v>
      </c>
      <c r="J3708">
        <v>23789.9401</v>
      </c>
      <c r="K3708">
        <v>5.4900000000000001E-3</v>
      </c>
      <c r="L3708">
        <v>8.1399999999999997E-3</v>
      </c>
      <c r="M3708">
        <v>4.6100000000000002E-2</v>
      </c>
      <c r="N3708">
        <v>0.49130000000000001</v>
      </c>
      <c r="O3708">
        <v>1.6E-2</v>
      </c>
      <c r="P3708" s="3">
        <f t="shared" si="228"/>
        <v>4203.4628875484013</v>
      </c>
      <c r="Q3708" s="3">
        <f t="shared" si="229"/>
        <v>5.4774139389337506E-3</v>
      </c>
      <c r="R3708" s="3">
        <f t="shared" si="230"/>
        <v>8.1399999999999997E-3</v>
      </c>
      <c r="S3708">
        <f t="shared" si="231"/>
        <v>111</v>
      </c>
      <c r="T3708">
        <f>INDEX([1]IDEN_level_ids!$B:$B,MATCH(G3708,[1]IDEN_level_ids!$A:$A,0),1)</f>
        <v>789</v>
      </c>
      <c r="U3708">
        <f>INDEX([1]IDEN_level_ids!$B:$B,MATCH(H3708,[1]IDEN_level_ids!$A:$A,0),1)</f>
        <v>353</v>
      </c>
    </row>
    <row r="3709" spans="1:21" hidden="1" x14ac:dyDescent="0.25">
      <c r="A3709">
        <v>23788.3076</v>
      </c>
      <c r="B3709">
        <v>4203.7458999999999</v>
      </c>
      <c r="C3709">
        <v>22</v>
      </c>
      <c r="D3709" t="s">
        <v>757</v>
      </c>
      <c r="F3709">
        <v>1974</v>
      </c>
      <c r="G3709" s="1" t="s">
        <v>189</v>
      </c>
      <c r="H3709" s="1" t="s">
        <v>733</v>
      </c>
      <c r="I3709">
        <v>0</v>
      </c>
      <c r="J3709">
        <v>23788.336500000001</v>
      </c>
      <c r="K3709">
        <v>5.1000000000000004E-3</v>
      </c>
      <c r="L3709">
        <v>8.1399999999999997E-3</v>
      </c>
      <c r="M3709">
        <v>4.6100000000000002E-2</v>
      </c>
      <c r="N3709">
        <v>0.41420000000000001</v>
      </c>
      <c r="O3709">
        <v>1.3899999999999999E-2</v>
      </c>
      <c r="P3709" s="3">
        <f t="shared" si="228"/>
        <v>4203.7458772392874</v>
      </c>
      <c r="Q3709" s="3">
        <f t="shared" si="229"/>
        <v>5.1070513427475817E-3</v>
      </c>
      <c r="R3709" s="3">
        <f t="shared" si="230"/>
        <v>8.1399999999999997E-3</v>
      </c>
      <c r="S3709">
        <f t="shared" si="231"/>
        <v>111</v>
      </c>
      <c r="T3709">
        <f>INDEX([1]IDEN_level_ids!$B:$B,MATCH(G3709,[1]IDEN_level_ids!$A:$A,0),1)</f>
        <v>789</v>
      </c>
      <c r="U3709">
        <f>INDEX([1]IDEN_level_ids!$B:$B,MATCH(H3709,[1]IDEN_level_ids!$A:$A,0),1)</f>
        <v>355</v>
      </c>
    </row>
    <row r="3710" spans="1:21" hidden="1" x14ac:dyDescent="0.25">
      <c r="A3710">
        <v>23785.3079</v>
      </c>
      <c r="B3710">
        <v>4204.2759999999998</v>
      </c>
      <c r="C3710">
        <v>22</v>
      </c>
      <c r="D3710" t="s">
        <v>757</v>
      </c>
      <c r="F3710">
        <v>1974</v>
      </c>
      <c r="G3710" s="1" t="s">
        <v>189</v>
      </c>
      <c r="H3710" s="1" t="s">
        <v>755</v>
      </c>
      <c r="I3710">
        <v>0</v>
      </c>
      <c r="J3710">
        <v>23785.298900000002</v>
      </c>
      <c r="K3710">
        <v>-1.6000000000000001E-3</v>
      </c>
      <c r="L3710">
        <v>8.1399999999999997E-3</v>
      </c>
      <c r="M3710">
        <v>4.6100000000000002E-2</v>
      </c>
      <c r="N3710">
        <v>0.63390000000000002</v>
      </c>
      <c r="O3710">
        <v>2.2239999999999999E-2</v>
      </c>
      <c r="P3710" s="3">
        <f t="shared" si="228"/>
        <v>4204.2760354596885</v>
      </c>
      <c r="Q3710" s="3">
        <f t="shared" si="229"/>
        <v>-1.5908349296296365E-3</v>
      </c>
      <c r="R3710" s="3">
        <f t="shared" si="230"/>
        <v>8.1399999999999997E-3</v>
      </c>
      <c r="S3710">
        <f t="shared" si="231"/>
        <v>111</v>
      </c>
      <c r="T3710">
        <f>INDEX([1]IDEN_level_ids!$B:$B,MATCH(G3710,[1]IDEN_level_ids!$A:$A,0),1)</f>
        <v>789</v>
      </c>
      <c r="U3710">
        <f>INDEX([1]IDEN_level_ids!$B:$B,MATCH(H3710,[1]IDEN_level_ids!$A:$A,0),1)</f>
        <v>352</v>
      </c>
    </row>
    <row r="3711" spans="1:21" hidden="1" x14ac:dyDescent="0.25">
      <c r="A3711">
        <v>23777.562099999999</v>
      </c>
      <c r="B3711">
        <v>4205.6455999999998</v>
      </c>
      <c r="C3711">
        <v>22</v>
      </c>
      <c r="D3711" t="s">
        <v>757</v>
      </c>
      <c r="F3711">
        <v>1974</v>
      </c>
      <c r="G3711" s="1" t="s">
        <v>138</v>
      </c>
      <c r="H3711" s="1" t="s">
        <v>384</v>
      </c>
      <c r="I3711">
        <v>0.45490000000000003</v>
      </c>
      <c r="J3711">
        <v>23777.609899999999</v>
      </c>
      <c r="K3711">
        <v>8.4700000000000001E-3</v>
      </c>
      <c r="L3711">
        <v>8.1499999999999993E-3</v>
      </c>
      <c r="M3711">
        <v>4.6100000000000002E-2</v>
      </c>
      <c r="N3711">
        <v>9.6799999999999997E-2</v>
      </c>
      <c r="O3711">
        <v>9.0200000000000002E-3</v>
      </c>
      <c r="P3711" s="3">
        <f t="shared" si="228"/>
        <v>4205.645624199632</v>
      </c>
      <c r="Q3711" s="3">
        <f t="shared" si="229"/>
        <v>8.4545865502150264E-3</v>
      </c>
      <c r="R3711" s="3">
        <f t="shared" si="230"/>
        <v>8.1499999999999993E-3</v>
      </c>
      <c r="S3711">
        <f t="shared" si="231"/>
        <v>111</v>
      </c>
      <c r="T3711">
        <f>INDEX([1]IDEN_level_ids!$B:$B,MATCH(G3711,[1]IDEN_level_ids!$A:$A,0),1)</f>
        <v>1126</v>
      </c>
      <c r="U3711">
        <f>INDEX([1]IDEN_level_ids!$B:$B,MATCH(H3711,[1]IDEN_level_ids!$A:$A,0),1)</f>
        <v>1080</v>
      </c>
    </row>
    <row r="3712" spans="1:21" hidden="1" x14ac:dyDescent="0.25">
      <c r="A3712">
        <v>23773.162899999999</v>
      </c>
      <c r="B3712">
        <v>4206.4238999999998</v>
      </c>
      <c r="C3712">
        <v>22</v>
      </c>
      <c r="D3712" t="s">
        <v>757</v>
      </c>
      <c r="F3712">
        <v>1974</v>
      </c>
      <c r="G3712" s="1" t="s">
        <v>302</v>
      </c>
      <c r="H3712" s="1" t="s">
        <v>617</v>
      </c>
      <c r="I3712">
        <v>0</v>
      </c>
      <c r="J3712">
        <v>23773.188200000001</v>
      </c>
      <c r="K3712">
        <v>4.4799999999999996E-3</v>
      </c>
      <c r="L3712">
        <v>8.1499999999999993E-3</v>
      </c>
      <c r="M3712">
        <v>4.6100000000000002E-2</v>
      </c>
      <c r="N3712">
        <v>0.16450000000000001</v>
      </c>
      <c r="O3712">
        <v>9.7599999999999996E-3</v>
      </c>
      <c r="P3712" s="3">
        <f t="shared" si="228"/>
        <v>4206.4238747129439</v>
      </c>
      <c r="Q3712" s="3">
        <f t="shared" si="229"/>
        <v>4.4765776947315317E-3</v>
      </c>
      <c r="R3712" s="3">
        <f t="shared" si="230"/>
        <v>8.1499999999999993E-3</v>
      </c>
      <c r="S3712">
        <f t="shared" si="231"/>
        <v>111</v>
      </c>
      <c r="T3712">
        <f>INDEX([1]IDEN_level_ids!$B:$B,MATCH(G3712,[1]IDEN_level_ids!$A:$A,0),1)</f>
        <v>1100</v>
      </c>
      <c r="U3712">
        <f>INDEX([1]IDEN_level_ids!$B:$B,MATCH(H3712,[1]IDEN_level_ids!$A:$A,0),1)</f>
        <v>1018</v>
      </c>
    </row>
    <row r="3713" spans="1:21" hidden="1" x14ac:dyDescent="0.25">
      <c r="A3713">
        <v>23754.5687</v>
      </c>
      <c r="B3713">
        <v>4209.7165000000005</v>
      </c>
      <c r="C3713">
        <v>22</v>
      </c>
      <c r="D3713" t="s">
        <v>757</v>
      </c>
      <c r="E3713" t="s">
        <v>661</v>
      </c>
      <c r="F3713">
        <v>1974</v>
      </c>
      <c r="G3713" s="1" t="s">
        <v>201</v>
      </c>
      <c r="H3713" s="1" t="s">
        <v>759</v>
      </c>
      <c r="I3713">
        <v>0</v>
      </c>
      <c r="J3713">
        <v>23754.5838</v>
      </c>
      <c r="K3713">
        <v>2.6700000000000001E-3</v>
      </c>
      <c r="L3713">
        <v>8.9800000000000001E-3</v>
      </c>
      <c r="M3713">
        <v>5.0700000000000002E-2</v>
      </c>
      <c r="N3713">
        <v>0.88480000000000003</v>
      </c>
      <c r="O3713">
        <v>7.7939999999999995E-2</v>
      </c>
      <c r="P3713" s="3">
        <f t="shared" si="228"/>
        <v>4209.7165081342855</v>
      </c>
      <c r="Q3713" s="3">
        <f t="shared" si="229"/>
        <v>2.6759769734781003E-3</v>
      </c>
      <c r="R3713" s="3">
        <f t="shared" si="230"/>
        <v>8.9800000000000001E-3</v>
      </c>
      <c r="S3713">
        <f t="shared" si="231"/>
        <v>111</v>
      </c>
      <c r="T3713">
        <f>INDEX([1]IDEN_level_ids!$B:$B,MATCH(G3713,[1]IDEN_level_ids!$A:$A,0),1)</f>
        <v>788</v>
      </c>
      <c r="U3713">
        <f>INDEX([1]IDEN_level_ids!$B:$B,MATCH(H3713,[1]IDEN_level_ids!$A:$A,0),1)</f>
        <v>333</v>
      </c>
    </row>
    <row r="3714" spans="1:21" hidden="1" x14ac:dyDescent="0.25">
      <c r="A3714">
        <v>23749.139800000001</v>
      </c>
      <c r="B3714">
        <v>4210.6787999999997</v>
      </c>
      <c r="C3714">
        <v>22</v>
      </c>
      <c r="D3714" t="s">
        <v>757</v>
      </c>
      <c r="F3714">
        <v>1974</v>
      </c>
      <c r="G3714" s="1" t="s">
        <v>203</v>
      </c>
      <c r="H3714" s="1" t="s">
        <v>384</v>
      </c>
      <c r="I3714">
        <v>0.45490000000000003</v>
      </c>
      <c r="J3714">
        <v>23749.1531</v>
      </c>
      <c r="K3714">
        <v>2.3600000000000001E-3</v>
      </c>
      <c r="L3714">
        <v>8.1700000000000002E-3</v>
      </c>
      <c r="M3714">
        <v>4.6100000000000002E-2</v>
      </c>
      <c r="N3714">
        <v>0.11509999999999999</v>
      </c>
      <c r="O3714">
        <v>9.2300000000000004E-3</v>
      </c>
      <c r="P3714" s="3">
        <f t="shared" ref="P3714:P3777" si="232">100000000/$A3714</f>
        <v>4210.6788221441184</v>
      </c>
      <c r="Q3714" s="3">
        <f t="shared" ref="Q3714:Q3777" si="233">100000000/($A3714)-100000000/$J3714</f>
        <v>2.358064226427814E-3</v>
      </c>
      <c r="R3714" s="3">
        <f t="shared" si="230"/>
        <v>8.1700000000000002E-3</v>
      </c>
      <c r="S3714">
        <f t="shared" si="231"/>
        <v>111</v>
      </c>
      <c r="T3714">
        <f>INDEX([1]IDEN_level_ids!$B:$B,MATCH(G3714,[1]IDEN_level_ids!$A:$A,0),1)</f>
        <v>1127</v>
      </c>
      <c r="U3714">
        <f>INDEX([1]IDEN_level_ids!$B:$B,MATCH(H3714,[1]IDEN_level_ids!$A:$A,0),1)</f>
        <v>1080</v>
      </c>
    </row>
    <row r="3715" spans="1:21" hidden="1" x14ac:dyDescent="0.25">
      <c r="A3715">
        <v>23694.871800000001</v>
      </c>
      <c r="B3715">
        <v>4220.3225000000002</v>
      </c>
      <c r="C3715">
        <v>22</v>
      </c>
      <c r="D3715" t="s">
        <v>757</v>
      </c>
      <c r="E3715" t="s">
        <v>427</v>
      </c>
      <c r="F3715">
        <v>1974</v>
      </c>
      <c r="G3715" s="1" t="s">
        <v>233</v>
      </c>
      <c r="H3715" s="1" t="s">
        <v>760</v>
      </c>
      <c r="I3715">
        <v>0</v>
      </c>
      <c r="J3715">
        <v>23694.875</v>
      </c>
      <c r="K3715">
        <v>5.5999999999999995E-4</v>
      </c>
      <c r="L3715">
        <v>8.6800000000000002E-3</v>
      </c>
      <c r="M3715">
        <v>4.87E-2</v>
      </c>
      <c r="N3715">
        <v>0.61780000000000002</v>
      </c>
      <c r="O3715">
        <v>2.2710000000000001E-2</v>
      </c>
      <c r="P3715" s="3">
        <f t="shared" si="232"/>
        <v>4220.3224750091285</v>
      </c>
      <c r="Q3715" s="3">
        <f t="shared" si="233"/>
        <v>5.6995582053787075E-4</v>
      </c>
      <c r="R3715" s="3">
        <f t="shared" ref="R3715:R3778" si="234">$L3715</f>
        <v>8.6800000000000002E-3</v>
      </c>
      <c r="S3715">
        <f t="shared" si="231"/>
        <v>111</v>
      </c>
      <c r="T3715">
        <f>INDEX([1]IDEN_level_ids!$B:$B,MATCH(G3715,[1]IDEN_level_ids!$A:$A,0),1)</f>
        <v>766</v>
      </c>
      <c r="U3715">
        <f>INDEX([1]IDEN_level_ids!$B:$B,MATCH(H3715,[1]IDEN_level_ids!$A:$A,0),1)</f>
        <v>281</v>
      </c>
    </row>
    <row r="3716" spans="1:21" hidden="1" x14ac:dyDescent="0.25">
      <c r="A3716">
        <v>23693.1093</v>
      </c>
      <c r="B3716">
        <v>4220.6364000000003</v>
      </c>
      <c r="C3716">
        <v>22</v>
      </c>
      <c r="D3716" t="s">
        <v>757</v>
      </c>
      <c r="F3716">
        <v>1974</v>
      </c>
      <c r="G3716" s="1" t="s">
        <v>201</v>
      </c>
      <c r="H3716" s="1" t="s">
        <v>761</v>
      </c>
      <c r="I3716">
        <v>0</v>
      </c>
      <c r="J3716">
        <v>23693.119200000001</v>
      </c>
      <c r="K3716">
        <v>1.75E-3</v>
      </c>
      <c r="L3716">
        <v>8.2100000000000003E-3</v>
      </c>
      <c r="M3716">
        <v>4.6100000000000002E-2</v>
      </c>
      <c r="N3716">
        <v>0.92769999999999997</v>
      </c>
      <c r="O3716">
        <v>0.11354</v>
      </c>
      <c r="P3716" s="3">
        <f t="shared" si="232"/>
        <v>4220.6364193829131</v>
      </c>
      <c r="Q3716" s="3">
        <f t="shared" si="233"/>
        <v>1.7635626700212015E-3</v>
      </c>
      <c r="R3716" s="3">
        <f t="shared" si="234"/>
        <v>8.2100000000000003E-3</v>
      </c>
      <c r="S3716">
        <f t="shared" ref="S3716:S3779" si="235">IF(D3716=D3715,S3715,S3715+1)</f>
        <v>111</v>
      </c>
      <c r="T3716">
        <f>INDEX([1]IDEN_level_ids!$B:$B,MATCH(G3716,[1]IDEN_level_ids!$A:$A,0),1)</f>
        <v>788</v>
      </c>
      <c r="U3716">
        <f>INDEX([1]IDEN_level_ids!$B:$B,MATCH(H3716,[1]IDEN_level_ids!$A:$A,0),1)</f>
        <v>347</v>
      </c>
    </row>
    <row r="3717" spans="1:21" hidden="1" x14ac:dyDescent="0.25">
      <c r="A3717">
        <v>23665.599200000001</v>
      </c>
      <c r="B3717">
        <v>4225.5427</v>
      </c>
      <c r="C3717">
        <v>22</v>
      </c>
      <c r="D3717" t="s">
        <v>757</v>
      </c>
      <c r="F3717">
        <v>1974</v>
      </c>
      <c r="G3717" s="1" t="s">
        <v>107</v>
      </c>
      <c r="H3717" s="1" t="s">
        <v>762</v>
      </c>
      <c r="I3717">
        <v>0</v>
      </c>
      <c r="J3717">
        <v>23665.616300000002</v>
      </c>
      <c r="K3717">
        <v>3.0400000000000002E-3</v>
      </c>
      <c r="L3717">
        <v>8.2299999999999995E-3</v>
      </c>
      <c r="M3717">
        <v>4.6100000000000002E-2</v>
      </c>
      <c r="N3717">
        <v>0.70330000000000004</v>
      </c>
      <c r="O3717">
        <v>2.7720000000000002E-2</v>
      </c>
      <c r="P3717" s="3">
        <f t="shared" si="232"/>
        <v>4225.5427025063454</v>
      </c>
      <c r="Q3717" s="3">
        <f t="shared" si="233"/>
        <v>3.0532388973369962E-3</v>
      </c>
      <c r="R3717" s="3">
        <f t="shared" si="234"/>
        <v>8.2299999999999995E-3</v>
      </c>
      <c r="S3717">
        <f t="shared" si="235"/>
        <v>111</v>
      </c>
      <c r="T3717">
        <f>INDEX([1]IDEN_level_ids!$B:$B,MATCH(G3717,[1]IDEN_level_ids!$A:$A,0),1)</f>
        <v>714</v>
      </c>
      <c r="U3717">
        <f>INDEX([1]IDEN_level_ids!$B:$B,MATCH(H3717,[1]IDEN_level_ids!$A:$A,0),1)</f>
        <v>186</v>
      </c>
    </row>
    <row r="3718" spans="1:21" hidden="1" x14ac:dyDescent="0.25">
      <c r="A3718">
        <v>23661.179800000002</v>
      </c>
      <c r="B3718">
        <v>4226.3319000000001</v>
      </c>
      <c r="C3718">
        <v>22</v>
      </c>
      <c r="D3718" t="s">
        <v>757</v>
      </c>
      <c r="F3718">
        <v>1974</v>
      </c>
      <c r="G3718" s="1" t="s">
        <v>710</v>
      </c>
      <c r="H3718" s="1" t="s">
        <v>172</v>
      </c>
      <c r="I3718">
        <v>0</v>
      </c>
      <c r="J3718">
        <v>23661.2179</v>
      </c>
      <c r="K3718">
        <v>6.7999999999999996E-3</v>
      </c>
      <c r="L3718">
        <v>8.2299999999999995E-3</v>
      </c>
      <c r="M3718">
        <v>4.6100000000000002E-2</v>
      </c>
      <c r="N3718">
        <v>9.0499999999999997E-2</v>
      </c>
      <c r="O3718">
        <v>9.0500000000000008E-3</v>
      </c>
      <c r="P3718" s="3">
        <f t="shared" si="232"/>
        <v>4226.3319430927104</v>
      </c>
      <c r="Q3718" s="3">
        <f t="shared" si="233"/>
        <v>6.8053659661018173E-3</v>
      </c>
      <c r="R3718" s="3">
        <f t="shared" si="234"/>
        <v>8.2299999999999995E-3</v>
      </c>
      <c r="S3718">
        <f t="shared" si="235"/>
        <v>111</v>
      </c>
      <c r="T3718">
        <f>INDEX([1]IDEN_level_ids!$B:$B,MATCH(G3718,[1]IDEN_level_ids!$A:$A,0),1)</f>
        <v>1246</v>
      </c>
      <c r="U3718">
        <f>INDEX([1]IDEN_level_ids!$B:$B,MATCH(H3718,[1]IDEN_level_ids!$A:$A,0),1)</f>
        <v>1136</v>
      </c>
    </row>
    <row r="3719" spans="1:21" hidden="1" x14ac:dyDescent="0.25">
      <c r="A3719">
        <v>23643.877899999999</v>
      </c>
      <c r="B3719">
        <v>4229.4246000000003</v>
      </c>
      <c r="C3719">
        <v>22</v>
      </c>
      <c r="D3719" t="s">
        <v>757</v>
      </c>
      <c r="F3719">
        <v>1974</v>
      </c>
      <c r="G3719" s="1" t="s">
        <v>310</v>
      </c>
      <c r="H3719" s="1" t="s">
        <v>250</v>
      </c>
      <c r="I3719">
        <v>0</v>
      </c>
      <c r="J3719">
        <v>23643.914100000002</v>
      </c>
      <c r="K3719">
        <v>6.4700000000000001E-3</v>
      </c>
      <c r="L3719">
        <v>8.2400000000000008E-3</v>
      </c>
      <c r="M3719">
        <v>4.6100000000000002E-2</v>
      </c>
      <c r="N3719">
        <v>0.14949999999999999</v>
      </c>
      <c r="O3719">
        <v>9.6900000000000007E-3</v>
      </c>
      <c r="P3719" s="3">
        <f t="shared" si="232"/>
        <v>4229.4246494988038</v>
      </c>
      <c r="Q3719" s="3">
        <f t="shared" si="233"/>
        <v>6.4754579843793181E-3</v>
      </c>
      <c r="R3719" s="3">
        <f t="shared" si="234"/>
        <v>8.2400000000000008E-3</v>
      </c>
      <c r="S3719">
        <f t="shared" si="235"/>
        <v>111</v>
      </c>
      <c r="T3719">
        <f>INDEX([1]IDEN_level_ids!$B:$B,MATCH(G3719,[1]IDEN_level_ids!$A:$A,0),1)</f>
        <v>1230</v>
      </c>
      <c r="U3719">
        <f>INDEX([1]IDEN_level_ids!$B:$B,MATCH(H3719,[1]IDEN_level_ids!$A:$A,0),1)</f>
        <v>1107</v>
      </c>
    </row>
    <row r="3720" spans="1:21" hidden="1" x14ac:dyDescent="0.25">
      <c r="A3720">
        <v>23637.750199999999</v>
      </c>
      <c r="B3720">
        <v>4230.5210999999999</v>
      </c>
      <c r="C3720">
        <v>22</v>
      </c>
      <c r="D3720" t="s">
        <v>757</v>
      </c>
      <c r="F3720">
        <v>1974</v>
      </c>
      <c r="G3720" s="1" t="s">
        <v>172</v>
      </c>
      <c r="H3720" s="1" t="s">
        <v>381</v>
      </c>
      <c r="I3720">
        <v>0.23219999999999999</v>
      </c>
      <c r="J3720">
        <v>23637.785800000001</v>
      </c>
      <c r="K3720">
        <v>6.3699999999999998E-3</v>
      </c>
      <c r="L3720">
        <v>8.2400000000000008E-3</v>
      </c>
      <c r="M3720">
        <v>4.6100000000000002E-2</v>
      </c>
      <c r="N3720">
        <v>9.1899999999999996E-2</v>
      </c>
      <c r="O3720">
        <v>9.0799999999999995E-3</v>
      </c>
      <c r="P3720" s="3">
        <f t="shared" si="232"/>
        <v>4230.5210586411904</v>
      </c>
      <c r="Q3720" s="3">
        <f t="shared" si="233"/>
        <v>6.3714322050145711E-3</v>
      </c>
      <c r="R3720" s="3">
        <f t="shared" si="234"/>
        <v>8.2400000000000008E-3</v>
      </c>
      <c r="S3720">
        <f t="shared" si="235"/>
        <v>111</v>
      </c>
      <c r="T3720">
        <f>INDEX([1]IDEN_level_ids!$B:$B,MATCH(G3720,[1]IDEN_level_ids!$A:$A,0),1)</f>
        <v>1136</v>
      </c>
      <c r="U3720">
        <f>INDEX([1]IDEN_level_ids!$B:$B,MATCH(H3720,[1]IDEN_level_ids!$A:$A,0),1)</f>
        <v>1084</v>
      </c>
    </row>
    <row r="3721" spans="1:21" hidden="1" x14ac:dyDescent="0.25">
      <c r="A3721">
        <v>23636.867900000001</v>
      </c>
      <c r="B3721">
        <v>4230.6790000000001</v>
      </c>
      <c r="C3721">
        <v>22</v>
      </c>
      <c r="D3721" t="s">
        <v>757</v>
      </c>
      <c r="F3721">
        <v>1974</v>
      </c>
      <c r="G3721" s="1" t="s">
        <v>310</v>
      </c>
      <c r="H3721" s="1" t="s">
        <v>272</v>
      </c>
      <c r="I3721">
        <v>0</v>
      </c>
      <c r="J3721">
        <v>23636.882600000001</v>
      </c>
      <c r="K3721">
        <v>2.63E-3</v>
      </c>
      <c r="L3721">
        <v>8.2500000000000004E-3</v>
      </c>
      <c r="M3721">
        <v>4.6100000000000002E-2</v>
      </c>
      <c r="N3721">
        <v>0.18060000000000001</v>
      </c>
      <c r="O3721">
        <v>1.0059999999999999E-2</v>
      </c>
      <c r="P3721" s="3">
        <f t="shared" si="232"/>
        <v>4230.6789724877208</v>
      </c>
      <c r="Q3721" s="3">
        <f t="shared" si="233"/>
        <v>2.6310991152058705E-3</v>
      </c>
      <c r="R3721" s="3">
        <f t="shared" si="234"/>
        <v>8.2500000000000004E-3</v>
      </c>
      <c r="S3721">
        <f t="shared" si="235"/>
        <v>111</v>
      </c>
      <c r="T3721">
        <f>INDEX([1]IDEN_level_ids!$B:$B,MATCH(G3721,[1]IDEN_level_ids!$A:$A,0),1)</f>
        <v>1230</v>
      </c>
      <c r="U3721">
        <f>INDEX([1]IDEN_level_ids!$B:$B,MATCH(H3721,[1]IDEN_level_ids!$A:$A,0),1)</f>
        <v>1109</v>
      </c>
    </row>
    <row r="3722" spans="1:21" hidden="1" x14ac:dyDescent="0.25">
      <c r="A3722">
        <v>23635.5488</v>
      </c>
      <c r="B3722">
        <v>4230.9151000000002</v>
      </c>
      <c r="C3722">
        <v>22</v>
      </c>
      <c r="D3722" t="s">
        <v>757</v>
      </c>
      <c r="E3722" t="s">
        <v>661</v>
      </c>
      <c r="F3722">
        <v>1974</v>
      </c>
      <c r="G3722" s="1" t="s">
        <v>115</v>
      </c>
      <c r="H3722" s="1" t="s">
        <v>73</v>
      </c>
      <c r="I3722">
        <v>0</v>
      </c>
      <c r="J3722">
        <v>23635.575400000002</v>
      </c>
      <c r="K3722">
        <v>4.7600000000000003E-3</v>
      </c>
      <c r="L3722">
        <v>9.0699999999999999E-3</v>
      </c>
      <c r="M3722">
        <v>5.0700000000000002E-2</v>
      </c>
      <c r="N3722">
        <v>8.8599999999999998E-2</v>
      </c>
      <c r="O3722">
        <v>9.9500000000000005E-3</v>
      </c>
      <c r="P3722" s="3">
        <f t="shared" si="232"/>
        <v>4230.9150866850187</v>
      </c>
      <c r="Q3722" s="3">
        <f t="shared" si="233"/>
        <v>4.7615655385015998E-3</v>
      </c>
      <c r="R3722" s="3">
        <f t="shared" si="234"/>
        <v>9.0699999999999999E-3</v>
      </c>
      <c r="S3722">
        <f t="shared" si="235"/>
        <v>111</v>
      </c>
      <c r="T3722">
        <f>INDEX([1]IDEN_level_ids!$B:$B,MATCH(G3722,[1]IDEN_level_ids!$A:$A,0),1)</f>
        <v>1252</v>
      </c>
      <c r="U3722">
        <f>INDEX([1]IDEN_level_ids!$B:$B,MATCH(H3722,[1]IDEN_level_ids!$A:$A,0),1)</f>
        <v>1173</v>
      </c>
    </row>
    <row r="3723" spans="1:21" hidden="1" x14ac:dyDescent="0.25">
      <c r="A3723">
        <v>23625.886500000001</v>
      </c>
      <c r="B3723">
        <v>4232.6454000000003</v>
      </c>
      <c r="C3723">
        <v>22</v>
      </c>
      <c r="D3723" t="s">
        <v>757</v>
      </c>
      <c r="F3723">
        <v>1974</v>
      </c>
      <c r="G3723" s="1" t="s">
        <v>242</v>
      </c>
      <c r="H3723" s="1" t="s">
        <v>763</v>
      </c>
      <c r="I3723">
        <v>0</v>
      </c>
      <c r="J3723">
        <v>23625.898300000001</v>
      </c>
      <c r="K3723">
        <v>2.1099999999999999E-3</v>
      </c>
      <c r="L3723">
        <v>8.2500000000000004E-3</v>
      </c>
      <c r="M3723">
        <v>4.6100000000000002E-2</v>
      </c>
      <c r="N3723">
        <v>1</v>
      </c>
      <c r="P3723" s="3">
        <f t="shared" si="232"/>
        <v>4232.6454078241677</v>
      </c>
      <c r="Q3723" s="3">
        <f t="shared" si="233"/>
        <v>2.1140028275112854E-3</v>
      </c>
      <c r="R3723" s="3">
        <f t="shared" si="234"/>
        <v>8.2500000000000004E-3</v>
      </c>
      <c r="S3723">
        <f t="shared" si="235"/>
        <v>111</v>
      </c>
      <c r="T3723">
        <f>INDEX([1]IDEN_level_ids!$B:$B,MATCH(G3723,[1]IDEN_level_ids!$A:$A,0),1)</f>
        <v>786</v>
      </c>
      <c r="U3723">
        <f>INDEX([1]IDEN_level_ids!$B:$B,MATCH(H3723,[1]IDEN_level_ids!$A:$A,0),1)</f>
        <v>334</v>
      </c>
    </row>
    <row r="3724" spans="1:21" hidden="1" x14ac:dyDescent="0.25">
      <c r="A3724">
        <v>23623.8374</v>
      </c>
      <c r="B3724">
        <v>4233.0126</v>
      </c>
      <c r="C3724">
        <v>22</v>
      </c>
      <c r="D3724" t="s">
        <v>757</v>
      </c>
      <c r="F3724">
        <v>1974</v>
      </c>
      <c r="G3724" s="1" t="s">
        <v>425</v>
      </c>
      <c r="H3724" s="1" t="s">
        <v>570</v>
      </c>
      <c r="I3724">
        <v>-0.83779999999999999</v>
      </c>
      <c r="J3724">
        <v>23623.862499999999</v>
      </c>
      <c r="K3724">
        <v>4.5100000000000001E-3</v>
      </c>
      <c r="L3724">
        <v>8.2500000000000004E-3</v>
      </c>
      <c r="M3724">
        <v>4.6100000000000002E-2</v>
      </c>
      <c r="N3724">
        <v>0.1925</v>
      </c>
      <c r="O3724">
        <v>1.022E-2</v>
      </c>
      <c r="P3724" s="3">
        <f t="shared" si="232"/>
        <v>4233.0125418150737</v>
      </c>
      <c r="Q3724" s="3">
        <f t="shared" si="233"/>
        <v>4.4975124110351317E-3</v>
      </c>
      <c r="R3724" s="3">
        <f t="shared" si="234"/>
        <v>8.2500000000000004E-3</v>
      </c>
      <c r="S3724">
        <f t="shared" si="235"/>
        <v>111</v>
      </c>
      <c r="T3724">
        <f>INDEX([1]IDEN_level_ids!$B:$B,MATCH(G3724,[1]IDEN_level_ids!$A:$A,0),1)</f>
        <v>1098</v>
      </c>
      <c r="U3724">
        <f>INDEX([1]IDEN_level_ids!$B:$B,MATCH(H3724,[1]IDEN_level_ids!$A:$A,0),1)</f>
        <v>1015</v>
      </c>
    </row>
    <row r="3725" spans="1:21" hidden="1" x14ac:dyDescent="0.25">
      <c r="A3725">
        <v>23580.758699999998</v>
      </c>
      <c r="B3725">
        <v>4240.7457000000004</v>
      </c>
      <c r="C3725">
        <v>22</v>
      </c>
      <c r="D3725" t="s">
        <v>757</v>
      </c>
      <c r="F3725">
        <v>1974</v>
      </c>
      <c r="G3725" s="1" t="s">
        <v>764</v>
      </c>
      <c r="H3725" s="1" t="s">
        <v>255</v>
      </c>
      <c r="I3725">
        <v>0</v>
      </c>
      <c r="J3725">
        <v>23580.797399999999</v>
      </c>
      <c r="K3725">
        <v>6.9499999999999996E-3</v>
      </c>
      <c r="L3725">
        <v>8.2799999999999992E-3</v>
      </c>
      <c r="M3725">
        <v>4.6100000000000002E-2</v>
      </c>
      <c r="N3725">
        <v>0.13569999999999999</v>
      </c>
      <c r="O3725">
        <v>9.5899999999999996E-3</v>
      </c>
      <c r="P3725" s="3">
        <f t="shared" si="232"/>
        <v>4240.7456550581646</v>
      </c>
      <c r="Q3725" s="3">
        <f t="shared" si="233"/>
        <v>6.9597670544681023E-3</v>
      </c>
      <c r="R3725" s="3">
        <f t="shared" si="234"/>
        <v>8.2799999999999992E-3</v>
      </c>
      <c r="S3725">
        <f t="shared" si="235"/>
        <v>111</v>
      </c>
      <c r="T3725">
        <f>INDEX([1]IDEN_level_ids!$B:$B,MATCH(G3725,[1]IDEN_level_ids!$A:$A,0),1)</f>
        <v>1234</v>
      </c>
      <c r="U3725">
        <f>INDEX([1]IDEN_level_ids!$B:$B,MATCH(H3725,[1]IDEN_level_ids!$A:$A,0),1)</f>
        <v>1111</v>
      </c>
    </row>
    <row r="3726" spans="1:21" hidden="1" x14ac:dyDescent="0.25">
      <c r="A3726">
        <v>23569.928899999999</v>
      </c>
      <c r="B3726">
        <v>4242.6941999999999</v>
      </c>
      <c r="C3726">
        <v>22</v>
      </c>
      <c r="D3726" t="s">
        <v>757</v>
      </c>
      <c r="F3726">
        <v>1974</v>
      </c>
      <c r="G3726" s="1" t="s">
        <v>133</v>
      </c>
      <c r="H3726" s="1" t="s">
        <v>765</v>
      </c>
      <c r="I3726">
        <v>0</v>
      </c>
      <c r="J3726">
        <v>23569.918900000001</v>
      </c>
      <c r="K3726">
        <v>-1.8E-3</v>
      </c>
      <c r="L3726">
        <v>8.2900000000000005E-3</v>
      </c>
      <c r="M3726">
        <v>4.6100000000000002E-2</v>
      </c>
      <c r="N3726">
        <v>0.29899999999999999</v>
      </c>
      <c r="O3726">
        <v>1.183E-2</v>
      </c>
      <c r="P3726" s="3">
        <f t="shared" si="232"/>
        <v>4242.6941729128421</v>
      </c>
      <c r="Q3726" s="3">
        <f t="shared" si="233"/>
        <v>-1.800046148673573E-3</v>
      </c>
      <c r="R3726" s="3">
        <f t="shared" si="234"/>
        <v>8.2900000000000005E-3</v>
      </c>
      <c r="S3726">
        <f t="shared" si="235"/>
        <v>111</v>
      </c>
      <c r="T3726">
        <f>INDEX([1]IDEN_level_ids!$B:$B,MATCH(G3726,[1]IDEN_level_ids!$A:$A,0),1)</f>
        <v>765</v>
      </c>
      <c r="U3726">
        <f>INDEX([1]IDEN_level_ids!$B:$B,MATCH(H3726,[1]IDEN_level_ids!$A:$A,0),1)</f>
        <v>293</v>
      </c>
    </row>
    <row r="3727" spans="1:21" hidden="1" x14ac:dyDescent="0.25">
      <c r="A3727">
        <v>23565.761200000001</v>
      </c>
      <c r="B3727">
        <v>4243.4444999999996</v>
      </c>
      <c r="C3727">
        <v>22</v>
      </c>
      <c r="D3727" t="s">
        <v>757</v>
      </c>
      <c r="F3727">
        <v>1974</v>
      </c>
      <c r="G3727" s="1" t="s">
        <v>242</v>
      </c>
      <c r="H3727" s="1" t="s">
        <v>761</v>
      </c>
      <c r="I3727">
        <v>0</v>
      </c>
      <c r="J3727">
        <v>23565.7749</v>
      </c>
      <c r="K3727">
        <v>2.4599999999999999E-3</v>
      </c>
      <c r="L3727">
        <v>8.3000000000000001E-3</v>
      </c>
      <c r="M3727">
        <v>4.6100000000000002E-2</v>
      </c>
      <c r="N3727">
        <v>0.92769999999999997</v>
      </c>
      <c r="O3727">
        <v>0.11477</v>
      </c>
      <c r="P3727" s="3">
        <f t="shared" si="232"/>
        <v>4243.4445105045024</v>
      </c>
      <c r="Q3727" s="3">
        <f t="shared" si="233"/>
        <v>2.46693308599788E-3</v>
      </c>
      <c r="R3727" s="3">
        <f t="shared" si="234"/>
        <v>8.3000000000000001E-3</v>
      </c>
      <c r="S3727">
        <f t="shared" si="235"/>
        <v>111</v>
      </c>
      <c r="T3727">
        <f>INDEX([1]IDEN_level_ids!$B:$B,MATCH(G3727,[1]IDEN_level_ids!$A:$A,0),1)</f>
        <v>786</v>
      </c>
      <c r="U3727">
        <f>INDEX([1]IDEN_level_ids!$B:$B,MATCH(H3727,[1]IDEN_level_ids!$A:$A,0),1)</f>
        <v>347</v>
      </c>
    </row>
    <row r="3728" spans="1:21" hidden="1" x14ac:dyDescent="0.25">
      <c r="A3728">
        <v>23557.738099999999</v>
      </c>
      <c r="B3728">
        <v>4244.8896999999997</v>
      </c>
      <c r="C3728">
        <v>22</v>
      </c>
      <c r="D3728" t="s">
        <v>757</v>
      </c>
      <c r="F3728">
        <v>1974</v>
      </c>
      <c r="G3728" s="1" t="s">
        <v>331</v>
      </c>
      <c r="H3728" s="1" t="s">
        <v>695</v>
      </c>
      <c r="I3728">
        <v>-0.2195</v>
      </c>
      <c r="J3728">
        <v>23557.748899999999</v>
      </c>
      <c r="K3728">
        <v>1.9499999999999999E-3</v>
      </c>
      <c r="L3728">
        <v>8.3000000000000001E-3</v>
      </c>
      <c r="M3728">
        <v>4.6100000000000002E-2</v>
      </c>
      <c r="N3728">
        <v>0.43719999999999998</v>
      </c>
      <c r="O3728">
        <v>1.4749999999999999E-2</v>
      </c>
      <c r="P3728" s="3">
        <f t="shared" si="232"/>
        <v>4244.8897078111249</v>
      </c>
      <c r="Q3728" s="3">
        <f t="shared" si="233"/>
        <v>1.9460606799839297E-3</v>
      </c>
      <c r="R3728" s="3">
        <f t="shared" si="234"/>
        <v>8.3000000000000001E-3</v>
      </c>
      <c r="S3728">
        <f t="shared" si="235"/>
        <v>111</v>
      </c>
      <c r="T3728">
        <f>INDEX([1]IDEN_level_ids!$B:$B,MATCH(G3728,[1]IDEN_level_ids!$A:$A,0),1)</f>
        <v>1163</v>
      </c>
      <c r="U3728">
        <f>INDEX([1]IDEN_level_ids!$B:$B,MATCH(H3728,[1]IDEN_level_ids!$A:$A,0),1)</f>
        <v>1091</v>
      </c>
    </row>
    <row r="3729" spans="1:21" hidden="1" x14ac:dyDescent="0.25">
      <c r="A3729">
        <v>23550.433400000002</v>
      </c>
      <c r="B3729">
        <v>4246.2064</v>
      </c>
      <c r="C3729">
        <v>22</v>
      </c>
      <c r="D3729" t="s">
        <v>757</v>
      </c>
      <c r="F3729">
        <v>1974</v>
      </c>
      <c r="G3729" s="1" t="s">
        <v>131</v>
      </c>
      <c r="H3729" s="1" t="s">
        <v>766</v>
      </c>
      <c r="I3729">
        <v>0</v>
      </c>
      <c r="J3729">
        <v>23550.449100000002</v>
      </c>
      <c r="K3729">
        <v>2.82E-3</v>
      </c>
      <c r="L3729">
        <v>8.3099999999999997E-3</v>
      </c>
      <c r="M3729">
        <v>4.6100000000000002E-2</v>
      </c>
      <c r="N3729">
        <v>0.60060000000000002</v>
      </c>
      <c r="O3729">
        <v>2.0799999999999999E-2</v>
      </c>
      <c r="P3729" s="3">
        <f t="shared" si="232"/>
        <v>4246.2063564401324</v>
      </c>
      <c r="Q3729" s="3">
        <f t="shared" si="233"/>
        <v>2.8307502552706865E-3</v>
      </c>
      <c r="R3729" s="3">
        <f t="shared" si="234"/>
        <v>8.3099999999999997E-3</v>
      </c>
      <c r="S3729">
        <f t="shared" si="235"/>
        <v>111</v>
      </c>
      <c r="T3729">
        <f>INDEX([1]IDEN_level_ids!$B:$B,MATCH(G3729,[1]IDEN_level_ids!$A:$A,0),1)</f>
        <v>764</v>
      </c>
      <c r="U3729">
        <f>INDEX([1]IDEN_level_ids!$B:$B,MATCH(H3729,[1]IDEN_level_ids!$A:$A,0),1)</f>
        <v>280</v>
      </c>
    </row>
    <row r="3730" spans="1:21" hidden="1" x14ac:dyDescent="0.25">
      <c r="A3730">
        <v>23547.7215</v>
      </c>
      <c r="B3730">
        <v>4246.6953999999996</v>
      </c>
      <c r="C3730">
        <v>22</v>
      </c>
      <c r="D3730" t="s">
        <v>757</v>
      </c>
      <c r="F3730">
        <v>1974</v>
      </c>
      <c r="G3730" s="1" t="s">
        <v>184</v>
      </c>
      <c r="H3730" s="1" t="s">
        <v>738</v>
      </c>
      <c r="I3730">
        <v>0</v>
      </c>
      <c r="J3730">
        <v>23547.738000000001</v>
      </c>
      <c r="K3730">
        <v>2.97E-3</v>
      </c>
      <c r="L3730">
        <v>8.3099999999999997E-3</v>
      </c>
      <c r="M3730">
        <v>4.6100000000000002E-2</v>
      </c>
      <c r="N3730">
        <v>0.6744</v>
      </c>
      <c r="O3730">
        <v>2.5510000000000001E-2</v>
      </c>
      <c r="P3730" s="3">
        <f t="shared" si="232"/>
        <v>4246.6953756014145</v>
      </c>
      <c r="Q3730" s="3">
        <f t="shared" si="233"/>
        <v>2.9756774811176001E-3</v>
      </c>
      <c r="R3730" s="3">
        <f t="shared" si="234"/>
        <v>8.3099999999999997E-3</v>
      </c>
      <c r="S3730">
        <f t="shared" si="235"/>
        <v>111</v>
      </c>
      <c r="T3730">
        <f>INDEX([1]IDEN_level_ids!$B:$B,MATCH(G3730,[1]IDEN_level_ids!$A:$A,0),1)</f>
        <v>810</v>
      </c>
      <c r="U3730">
        <f>INDEX([1]IDEN_level_ids!$B:$B,MATCH(H3730,[1]IDEN_level_ids!$A:$A,0),1)</f>
        <v>426</v>
      </c>
    </row>
    <row r="3731" spans="1:21" hidden="1" x14ac:dyDescent="0.25">
      <c r="A3731">
        <v>23539.189299999998</v>
      </c>
      <c r="B3731">
        <v>4248.2347</v>
      </c>
      <c r="C3731">
        <v>22</v>
      </c>
      <c r="D3731" t="s">
        <v>757</v>
      </c>
      <c r="F3731">
        <v>1974</v>
      </c>
      <c r="G3731" s="1" t="s">
        <v>262</v>
      </c>
      <c r="H3731" s="1" t="s">
        <v>398</v>
      </c>
      <c r="I3731">
        <v>0.31929999999999997</v>
      </c>
      <c r="J3731">
        <v>23539.24</v>
      </c>
      <c r="K3731">
        <v>9.1400000000000006E-3</v>
      </c>
      <c r="L3731">
        <v>8.3099999999999997E-3</v>
      </c>
      <c r="M3731">
        <v>4.6100000000000002E-2</v>
      </c>
      <c r="N3731">
        <v>9.9599999999999994E-2</v>
      </c>
      <c r="O3731">
        <v>9.2300000000000004E-3</v>
      </c>
      <c r="P3731" s="3">
        <f t="shared" si="232"/>
        <v>4248.2346662635491</v>
      </c>
      <c r="Q3731" s="3">
        <f t="shared" si="233"/>
        <v>9.150061667241971E-3</v>
      </c>
      <c r="R3731" s="3">
        <f t="shared" si="234"/>
        <v>8.3099999999999997E-3</v>
      </c>
      <c r="S3731">
        <f t="shared" si="235"/>
        <v>111</v>
      </c>
      <c r="T3731">
        <f>INDEX([1]IDEN_level_ids!$B:$B,MATCH(G3731,[1]IDEN_level_ids!$A:$A,0),1)</f>
        <v>1115</v>
      </c>
      <c r="U3731">
        <f>INDEX([1]IDEN_level_ids!$B:$B,MATCH(H3731,[1]IDEN_level_ids!$A:$A,0),1)</f>
        <v>1075</v>
      </c>
    </row>
    <row r="3732" spans="1:21" hidden="1" x14ac:dyDescent="0.25">
      <c r="A3732">
        <v>23533.748299999999</v>
      </c>
      <c r="B3732">
        <v>4249.2169000000004</v>
      </c>
      <c r="C3732">
        <v>22</v>
      </c>
      <c r="D3732" t="s">
        <v>757</v>
      </c>
      <c r="F3732">
        <v>1974</v>
      </c>
      <c r="G3732" s="1" t="s">
        <v>687</v>
      </c>
      <c r="H3732" s="1" t="s">
        <v>589</v>
      </c>
      <c r="I3732">
        <v>0.35639999999999999</v>
      </c>
      <c r="J3732">
        <v>23533.757699999998</v>
      </c>
      <c r="K3732">
        <v>1.6900000000000001E-3</v>
      </c>
      <c r="L3732">
        <v>8.3199999999999993E-3</v>
      </c>
      <c r="M3732">
        <v>4.6100000000000002E-2</v>
      </c>
      <c r="N3732">
        <v>0.29299999999999998</v>
      </c>
      <c r="O3732">
        <v>1.1769999999999999E-2</v>
      </c>
      <c r="P3732" s="3">
        <f t="shared" si="232"/>
        <v>4249.2168576477889</v>
      </c>
      <c r="Q3732" s="3">
        <f t="shared" si="233"/>
        <v>1.6972486482700333E-3</v>
      </c>
      <c r="R3732" s="3">
        <f t="shared" si="234"/>
        <v>8.3199999999999993E-3</v>
      </c>
      <c r="S3732">
        <f t="shared" si="235"/>
        <v>111</v>
      </c>
      <c r="T3732">
        <f>INDEX([1]IDEN_level_ids!$B:$B,MATCH(G3732,[1]IDEN_level_ids!$A:$A,0),1)</f>
        <v>1087</v>
      </c>
      <c r="U3732">
        <f>INDEX([1]IDEN_level_ids!$B:$B,MATCH(H3732,[1]IDEN_level_ids!$A:$A,0),1)</f>
        <v>984</v>
      </c>
    </row>
    <row r="3733" spans="1:21" hidden="1" x14ac:dyDescent="0.25">
      <c r="A3733">
        <v>23529.3109</v>
      </c>
      <c r="B3733">
        <v>4250.0182000000004</v>
      </c>
      <c r="C3733">
        <v>22</v>
      </c>
      <c r="D3733" t="s">
        <v>767</v>
      </c>
      <c r="F3733">
        <v>1974</v>
      </c>
      <c r="G3733" s="1" t="s">
        <v>719</v>
      </c>
      <c r="H3733" s="1" t="s">
        <v>276</v>
      </c>
      <c r="I3733">
        <v>0.95630000000000004</v>
      </c>
      <c r="J3733">
        <v>23529.260900000001</v>
      </c>
      <c r="K3733">
        <v>-9.0399999999999994E-3</v>
      </c>
      <c r="L3733">
        <v>8.3199999999999993E-3</v>
      </c>
      <c r="M3733">
        <v>4.6100000000000002E-2</v>
      </c>
      <c r="N3733">
        <v>0.17430000000000001</v>
      </c>
      <c r="O3733">
        <v>1.008E-2</v>
      </c>
      <c r="P3733" s="3">
        <f t="shared" si="232"/>
        <v>4250.0182187655992</v>
      </c>
      <c r="Q3733" s="3">
        <f t="shared" si="233"/>
        <v>-9.0313466216684901E-3</v>
      </c>
      <c r="R3733" s="3">
        <f t="shared" si="234"/>
        <v>8.3199999999999993E-3</v>
      </c>
      <c r="S3733">
        <f t="shared" si="235"/>
        <v>112</v>
      </c>
      <c r="T3733">
        <f>INDEX([1]IDEN_level_ids!$B:$B,MATCH(G3733,[1]IDEN_level_ids!$A:$A,0),1)</f>
        <v>1244</v>
      </c>
      <c r="U3733">
        <f>INDEX([1]IDEN_level_ids!$B:$B,MATCH(H3733,[1]IDEN_level_ids!$A:$A,0),1)</f>
        <v>1131</v>
      </c>
    </row>
    <row r="3734" spans="1:21" hidden="1" x14ac:dyDescent="0.25">
      <c r="A3734">
        <v>23525.807199999999</v>
      </c>
      <c r="B3734">
        <v>4250.6512000000002</v>
      </c>
      <c r="C3734">
        <v>22</v>
      </c>
      <c r="D3734" t="s">
        <v>767</v>
      </c>
      <c r="F3734">
        <v>1974</v>
      </c>
      <c r="G3734" s="1" t="s">
        <v>212</v>
      </c>
      <c r="H3734" s="1" t="s">
        <v>386</v>
      </c>
      <c r="I3734">
        <v>0.22500000000000001</v>
      </c>
      <c r="J3734">
        <v>23525.776999999998</v>
      </c>
      <c r="K3734">
        <v>-5.4599999999999996E-3</v>
      </c>
      <c r="L3734">
        <v>8.3199999999999993E-3</v>
      </c>
      <c r="M3734">
        <v>4.6100000000000002E-2</v>
      </c>
      <c r="N3734">
        <v>8.9800000000000005E-2</v>
      </c>
      <c r="O3734">
        <v>9.1400000000000006E-3</v>
      </c>
      <c r="P3734" s="3">
        <f t="shared" si="232"/>
        <v>4250.6511742559887</v>
      </c>
      <c r="Q3734" s="3">
        <f t="shared" si="233"/>
        <v>-5.4565536975133E-3</v>
      </c>
      <c r="R3734" s="3">
        <f t="shared" si="234"/>
        <v>8.3199999999999993E-3</v>
      </c>
      <c r="S3734">
        <f t="shared" si="235"/>
        <v>112</v>
      </c>
      <c r="T3734">
        <f>INDEX([1]IDEN_level_ids!$B:$B,MATCH(G3734,[1]IDEN_level_ids!$A:$A,0),1)</f>
        <v>1123</v>
      </c>
      <c r="U3734">
        <f>INDEX([1]IDEN_level_ids!$B:$B,MATCH(H3734,[1]IDEN_level_ids!$A:$A,0),1)</f>
        <v>1082</v>
      </c>
    </row>
    <row r="3735" spans="1:21" hidden="1" x14ac:dyDescent="0.25">
      <c r="A3735">
        <v>23521.133699999998</v>
      </c>
      <c r="B3735">
        <v>4251.4957999999997</v>
      </c>
      <c r="C3735">
        <v>22</v>
      </c>
      <c r="D3735" t="s">
        <v>767</v>
      </c>
      <c r="F3735">
        <v>1974</v>
      </c>
      <c r="G3735" s="1" t="s">
        <v>184</v>
      </c>
      <c r="H3735" s="1" t="s">
        <v>740</v>
      </c>
      <c r="I3735">
        <v>0</v>
      </c>
      <c r="J3735">
        <v>23521.132699999998</v>
      </c>
      <c r="K3735">
        <v>-1.7000000000000001E-4</v>
      </c>
      <c r="L3735">
        <v>8.3300000000000006E-3</v>
      </c>
      <c r="M3735">
        <v>4.6100000000000002E-2</v>
      </c>
      <c r="N3735">
        <v>0.60219999999999996</v>
      </c>
      <c r="O3735">
        <v>2.0930000000000001E-2</v>
      </c>
      <c r="P3735" s="3">
        <f t="shared" si="232"/>
        <v>4251.4957516694876</v>
      </c>
      <c r="Q3735" s="3">
        <f t="shared" si="233"/>
        <v>-1.8075216848956188E-4</v>
      </c>
      <c r="R3735" s="3">
        <f t="shared" si="234"/>
        <v>8.3300000000000006E-3</v>
      </c>
      <c r="S3735">
        <f t="shared" si="235"/>
        <v>112</v>
      </c>
      <c r="T3735">
        <f>INDEX([1]IDEN_level_ids!$B:$B,MATCH(G3735,[1]IDEN_level_ids!$A:$A,0),1)</f>
        <v>810</v>
      </c>
      <c r="U3735">
        <f>INDEX([1]IDEN_level_ids!$B:$B,MATCH(H3735,[1]IDEN_level_ids!$A:$A,0),1)</f>
        <v>430</v>
      </c>
    </row>
    <row r="3736" spans="1:21" hidden="1" x14ac:dyDescent="0.25">
      <c r="A3736">
        <v>23484.551500000001</v>
      </c>
      <c r="B3736">
        <v>4258.1184000000003</v>
      </c>
      <c r="C3736">
        <v>22</v>
      </c>
      <c r="D3736" t="s">
        <v>767</v>
      </c>
      <c r="F3736">
        <v>1974</v>
      </c>
      <c r="G3736" s="1" t="s">
        <v>226</v>
      </c>
      <c r="H3736" s="1" t="s">
        <v>739</v>
      </c>
      <c r="I3736">
        <v>0</v>
      </c>
      <c r="J3736">
        <v>23484.559600000001</v>
      </c>
      <c r="K3736">
        <v>1.48E-3</v>
      </c>
      <c r="L3736">
        <v>8.3499999999999998E-3</v>
      </c>
      <c r="M3736">
        <v>4.6100000000000002E-2</v>
      </c>
      <c r="N3736">
        <v>0.63329999999999997</v>
      </c>
      <c r="O3736">
        <v>2.2780000000000002E-2</v>
      </c>
      <c r="P3736" s="3">
        <f t="shared" si="232"/>
        <v>4258.1183634697045</v>
      </c>
      <c r="Q3736" s="3">
        <f t="shared" si="233"/>
        <v>1.468656824727077E-3</v>
      </c>
      <c r="R3736" s="3">
        <f t="shared" si="234"/>
        <v>8.3499999999999998E-3</v>
      </c>
      <c r="S3736">
        <f t="shared" si="235"/>
        <v>112</v>
      </c>
      <c r="T3736">
        <f>INDEX([1]IDEN_level_ids!$B:$B,MATCH(G3736,[1]IDEN_level_ids!$A:$A,0),1)</f>
        <v>811</v>
      </c>
      <c r="U3736">
        <f>INDEX([1]IDEN_level_ids!$B:$B,MATCH(H3736,[1]IDEN_level_ids!$A:$A,0),1)</f>
        <v>429</v>
      </c>
    </row>
    <row r="3737" spans="1:21" hidden="1" x14ac:dyDescent="0.25">
      <c r="A3737">
        <v>23480.651699999999</v>
      </c>
      <c r="B3737">
        <v>4258.8256000000001</v>
      </c>
      <c r="C3737">
        <v>22</v>
      </c>
      <c r="D3737" t="s">
        <v>767</v>
      </c>
      <c r="E3737" t="s">
        <v>661</v>
      </c>
      <c r="F3737">
        <v>1974</v>
      </c>
      <c r="G3737" s="1" t="s">
        <v>226</v>
      </c>
      <c r="H3737" s="1" t="s">
        <v>65</v>
      </c>
      <c r="I3737">
        <v>0</v>
      </c>
      <c r="J3737">
        <v>23480.668699999998</v>
      </c>
      <c r="K3737">
        <v>3.0899999999999999E-3</v>
      </c>
      <c r="L3737">
        <v>9.1900000000000003E-3</v>
      </c>
      <c r="M3737">
        <v>5.0700000000000002E-2</v>
      </c>
      <c r="N3737">
        <v>0.66169999999999995</v>
      </c>
      <c r="O3737">
        <v>2.716E-2</v>
      </c>
      <c r="P3737" s="3">
        <f t="shared" si="232"/>
        <v>4258.8255759528174</v>
      </c>
      <c r="Q3737" s="3">
        <f t="shared" si="233"/>
        <v>3.0833889659334091E-3</v>
      </c>
      <c r="R3737" s="3">
        <f t="shared" si="234"/>
        <v>9.1900000000000003E-3</v>
      </c>
      <c r="S3737">
        <f t="shared" si="235"/>
        <v>112</v>
      </c>
      <c r="T3737">
        <f>INDEX([1]IDEN_level_ids!$B:$B,MATCH(G3737,[1]IDEN_level_ids!$A:$A,0),1)</f>
        <v>811</v>
      </c>
      <c r="U3737">
        <f>INDEX([1]IDEN_level_ids!$B:$B,MATCH(H3737,[1]IDEN_level_ids!$A:$A,0),1)</f>
        <v>427</v>
      </c>
    </row>
    <row r="3738" spans="1:21" hidden="1" x14ac:dyDescent="0.25">
      <c r="A3738">
        <v>23475.4588</v>
      </c>
      <c r="B3738">
        <v>4259.7677000000003</v>
      </c>
      <c r="C3738">
        <v>22</v>
      </c>
      <c r="D3738" t="s">
        <v>767</v>
      </c>
      <c r="F3738">
        <v>1974</v>
      </c>
      <c r="G3738" s="1" t="s">
        <v>131</v>
      </c>
      <c r="H3738" s="1" t="s">
        <v>768</v>
      </c>
      <c r="I3738">
        <v>0</v>
      </c>
      <c r="J3738">
        <v>23475.4964</v>
      </c>
      <c r="K3738">
        <v>6.8300000000000001E-3</v>
      </c>
      <c r="L3738">
        <v>8.3599999999999994E-3</v>
      </c>
      <c r="M3738">
        <v>4.6100000000000002E-2</v>
      </c>
      <c r="N3738">
        <v>0.58209999999999995</v>
      </c>
      <c r="O3738">
        <v>0.02</v>
      </c>
      <c r="P3738" s="3">
        <f t="shared" si="232"/>
        <v>4259.7676514846216</v>
      </c>
      <c r="Q3738" s="3">
        <f t="shared" si="233"/>
        <v>6.8227423589632963E-3</v>
      </c>
      <c r="R3738" s="3">
        <f t="shared" si="234"/>
        <v>8.3599999999999994E-3</v>
      </c>
      <c r="S3738">
        <f t="shared" si="235"/>
        <v>112</v>
      </c>
      <c r="T3738">
        <f>INDEX([1]IDEN_level_ids!$B:$B,MATCH(G3738,[1]IDEN_level_ids!$A:$A,0),1)</f>
        <v>764</v>
      </c>
      <c r="U3738">
        <f>INDEX([1]IDEN_level_ids!$B:$B,MATCH(H3738,[1]IDEN_level_ids!$A:$A,0),1)</f>
        <v>288</v>
      </c>
    </row>
    <row r="3739" spans="1:21" hidden="1" x14ac:dyDescent="0.25">
      <c r="A3739">
        <v>23462.936399999999</v>
      </c>
      <c r="B3739">
        <v>4262.0411000000004</v>
      </c>
      <c r="C3739">
        <v>22</v>
      </c>
      <c r="D3739" t="s">
        <v>767</v>
      </c>
      <c r="F3739">
        <v>1974</v>
      </c>
      <c r="G3739" s="1" t="s">
        <v>192</v>
      </c>
      <c r="H3739" s="1" t="s">
        <v>769</v>
      </c>
      <c r="I3739">
        <v>0</v>
      </c>
      <c r="J3739">
        <v>23462.897799999999</v>
      </c>
      <c r="K3739">
        <v>-7.0299999999999998E-3</v>
      </c>
      <c r="L3739">
        <v>8.3700000000000007E-3</v>
      </c>
      <c r="M3739">
        <v>4.6100000000000002E-2</v>
      </c>
      <c r="N3739">
        <v>0.71799999999999997</v>
      </c>
      <c r="O3739">
        <v>2.9680000000000002E-2</v>
      </c>
      <c r="P3739" s="3">
        <f t="shared" si="232"/>
        <v>4262.0411313905279</v>
      </c>
      <c r="Q3739" s="3">
        <f t="shared" si="233"/>
        <v>-7.0116994529598742E-3</v>
      </c>
      <c r="R3739" s="3">
        <f t="shared" si="234"/>
        <v>8.3700000000000007E-3</v>
      </c>
      <c r="S3739">
        <f t="shared" si="235"/>
        <v>112</v>
      </c>
      <c r="T3739">
        <f>INDEX([1]IDEN_level_ids!$B:$B,MATCH(G3739,[1]IDEN_level_ids!$A:$A,0),1)</f>
        <v>762</v>
      </c>
      <c r="U3739">
        <f>INDEX([1]IDEN_level_ids!$B:$B,MATCH(H3739,[1]IDEN_level_ids!$A:$A,0),1)</f>
        <v>276</v>
      </c>
    </row>
    <row r="3740" spans="1:21" hidden="1" x14ac:dyDescent="0.25">
      <c r="A3740">
        <v>23453.996999999999</v>
      </c>
      <c r="B3740">
        <v>4263.6656000000003</v>
      </c>
      <c r="C3740">
        <v>22</v>
      </c>
      <c r="D3740" t="s">
        <v>767</v>
      </c>
      <c r="E3740" t="s">
        <v>427</v>
      </c>
      <c r="F3740">
        <v>1974</v>
      </c>
      <c r="G3740" s="1" t="s">
        <v>192</v>
      </c>
      <c r="H3740" s="1" t="s">
        <v>766</v>
      </c>
      <c r="I3740">
        <v>0</v>
      </c>
      <c r="J3740">
        <v>23454.033500000001</v>
      </c>
      <c r="K3740">
        <v>6.6299999999999996E-3</v>
      </c>
      <c r="L3740">
        <v>8.8599999999999998E-3</v>
      </c>
      <c r="M3740">
        <v>4.87E-2</v>
      </c>
      <c r="N3740">
        <v>0.56399999999999995</v>
      </c>
      <c r="O3740">
        <v>2.0320000000000001E-2</v>
      </c>
      <c r="P3740" s="3">
        <f t="shared" si="232"/>
        <v>4263.665591839208</v>
      </c>
      <c r="Q3740" s="3">
        <f t="shared" si="233"/>
        <v>6.6352678368275519E-3</v>
      </c>
      <c r="R3740" s="3">
        <f t="shared" si="234"/>
        <v>8.8599999999999998E-3</v>
      </c>
      <c r="S3740">
        <f t="shared" si="235"/>
        <v>112</v>
      </c>
      <c r="T3740">
        <f>INDEX([1]IDEN_level_ids!$B:$B,MATCH(G3740,[1]IDEN_level_ids!$A:$A,0),1)</f>
        <v>762</v>
      </c>
      <c r="U3740">
        <f>INDEX([1]IDEN_level_ids!$B:$B,MATCH(H3740,[1]IDEN_level_ids!$A:$A,0),1)</f>
        <v>280</v>
      </c>
    </row>
    <row r="3741" spans="1:21" hidden="1" x14ac:dyDescent="0.25">
      <c r="A3741">
        <v>23438.082399999999</v>
      </c>
      <c r="B3741">
        <v>4266.5605999999998</v>
      </c>
      <c r="C3741">
        <v>22</v>
      </c>
      <c r="D3741" t="s">
        <v>767</v>
      </c>
      <c r="F3741">
        <v>1974</v>
      </c>
      <c r="G3741" s="1" t="s">
        <v>161</v>
      </c>
      <c r="H3741" s="1" t="s">
        <v>751</v>
      </c>
      <c r="I3741">
        <v>0</v>
      </c>
      <c r="J3741">
        <v>23438.113099999999</v>
      </c>
      <c r="K3741">
        <v>5.5799999999999999E-3</v>
      </c>
      <c r="L3741">
        <v>8.3899999999999999E-3</v>
      </c>
      <c r="M3741">
        <v>4.6100000000000002E-2</v>
      </c>
      <c r="N3741">
        <v>0.374</v>
      </c>
      <c r="O3741">
        <v>1.3390000000000001E-2</v>
      </c>
      <c r="P3741" s="3">
        <f t="shared" si="232"/>
        <v>4266.5606466167219</v>
      </c>
      <c r="Q3741" s="3">
        <f t="shared" si="233"/>
        <v>5.5884793837321922E-3</v>
      </c>
      <c r="R3741" s="3">
        <f t="shared" si="234"/>
        <v>8.3899999999999999E-3</v>
      </c>
      <c r="S3741">
        <f t="shared" si="235"/>
        <v>112</v>
      </c>
      <c r="T3741">
        <f>INDEX([1]IDEN_level_ids!$B:$B,MATCH(G3741,[1]IDEN_level_ids!$A:$A,0),1)</f>
        <v>785</v>
      </c>
      <c r="U3741">
        <f>INDEX([1]IDEN_level_ids!$B:$B,MATCH(H3741,[1]IDEN_level_ids!$A:$A,0),1)</f>
        <v>344</v>
      </c>
    </row>
    <row r="3742" spans="1:21" hidden="1" x14ac:dyDescent="0.25">
      <c r="A3742">
        <v>23413.706699999999</v>
      </c>
      <c r="B3742">
        <v>4271.0024999999996</v>
      </c>
      <c r="C3742">
        <v>22</v>
      </c>
      <c r="D3742" t="s">
        <v>767</v>
      </c>
      <c r="F3742">
        <v>1974</v>
      </c>
      <c r="G3742" s="1" t="s">
        <v>161</v>
      </c>
      <c r="H3742" s="1" t="s">
        <v>770</v>
      </c>
      <c r="I3742">
        <v>0</v>
      </c>
      <c r="J3742">
        <v>23413.668300000001</v>
      </c>
      <c r="K3742">
        <v>-7.0099999999999997E-3</v>
      </c>
      <c r="L3742">
        <v>8.3999999999999995E-3</v>
      </c>
      <c r="M3742">
        <v>4.6100000000000002E-2</v>
      </c>
      <c r="N3742">
        <v>0.37640000000000001</v>
      </c>
      <c r="O3742">
        <v>1.3480000000000001E-2</v>
      </c>
      <c r="P3742" s="3">
        <f t="shared" si="232"/>
        <v>4271.0025064079236</v>
      </c>
      <c r="Q3742" s="3">
        <f t="shared" si="233"/>
        <v>-7.0047330536908703E-3</v>
      </c>
      <c r="R3742" s="3">
        <f t="shared" si="234"/>
        <v>8.3999999999999995E-3</v>
      </c>
      <c r="S3742">
        <f t="shared" si="235"/>
        <v>112</v>
      </c>
      <c r="T3742">
        <f>INDEX([1]IDEN_level_ids!$B:$B,MATCH(G3742,[1]IDEN_level_ids!$A:$A,0),1)</f>
        <v>785</v>
      </c>
      <c r="U3742">
        <f>INDEX([1]IDEN_level_ids!$B:$B,MATCH(H3742,[1]IDEN_level_ids!$A:$A,0),1)</f>
        <v>351</v>
      </c>
    </row>
    <row r="3743" spans="1:21" hidden="1" x14ac:dyDescent="0.25">
      <c r="A3743">
        <v>23412.2736</v>
      </c>
      <c r="B3743">
        <v>4271.2638999999999</v>
      </c>
      <c r="C3743">
        <v>22</v>
      </c>
      <c r="D3743" t="s">
        <v>767</v>
      </c>
      <c r="F3743">
        <v>1974</v>
      </c>
      <c r="G3743" s="1" t="s">
        <v>161</v>
      </c>
      <c r="H3743" s="1" t="s">
        <v>753</v>
      </c>
      <c r="I3743">
        <v>0</v>
      </c>
      <c r="J3743">
        <v>23412.277999999998</v>
      </c>
      <c r="K3743">
        <v>8.0000000000000004E-4</v>
      </c>
      <c r="L3743">
        <v>8.3999999999999995E-3</v>
      </c>
      <c r="M3743">
        <v>4.6100000000000002E-2</v>
      </c>
      <c r="N3743">
        <v>0.37030000000000002</v>
      </c>
      <c r="O3743">
        <v>1.3350000000000001E-2</v>
      </c>
      <c r="P3743" s="3">
        <f t="shared" si="232"/>
        <v>4271.2639408075256</v>
      </c>
      <c r="Q3743" s="3">
        <f t="shared" si="233"/>
        <v>8.0272245759260841E-4</v>
      </c>
      <c r="R3743" s="3">
        <f t="shared" si="234"/>
        <v>8.3999999999999995E-3</v>
      </c>
      <c r="S3743">
        <f t="shared" si="235"/>
        <v>112</v>
      </c>
      <c r="T3743">
        <f>INDEX([1]IDEN_level_ids!$B:$B,MATCH(G3743,[1]IDEN_level_ids!$A:$A,0),1)</f>
        <v>785</v>
      </c>
      <c r="U3743">
        <f>INDEX([1]IDEN_level_ids!$B:$B,MATCH(H3743,[1]IDEN_level_ids!$A:$A,0),1)</f>
        <v>350</v>
      </c>
    </row>
    <row r="3744" spans="1:21" hidden="1" x14ac:dyDescent="0.25">
      <c r="A3744">
        <v>23396.867900000001</v>
      </c>
      <c r="B3744">
        <v>4274.0763999999999</v>
      </c>
      <c r="C3744">
        <v>22</v>
      </c>
      <c r="D3744" t="s">
        <v>767</v>
      </c>
      <c r="E3744" t="s">
        <v>427</v>
      </c>
      <c r="F3744">
        <v>1974</v>
      </c>
      <c r="G3744" s="1" t="s">
        <v>161</v>
      </c>
      <c r="H3744" s="1" t="s">
        <v>771</v>
      </c>
      <c r="I3744">
        <v>0</v>
      </c>
      <c r="J3744">
        <v>23396.9372</v>
      </c>
      <c r="K3744">
        <v>1.2659999999999999E-2</v>
      </c>
      <c r="L3744">
        <v>8.8999999999999999E-3</v>
      </c>
      <c r="M3744">
        <v>4.87E-2</v>
      </c>
      <c r="N3744">
        <v>0.3397</v>
      </c>
      <c r="O3744">
        <v>1.3480000000000001E-2</v>
      </c>
      <c r="P3744" s="3">
        <f t="shared" si="232"/>
        <v>4274.0763604516478</v>
      </c>
      <c r="Q3744" s="3">
        <f t="shared" si="233"/>
        <v>1.2659498515859013E-2</v>
      </c>
      <c r="R3744" s="3">
        <f t="shared" si="234"/>
        <v>8.8999999999999999E-3</v>
      </c>
      <c r="S3744">
        <f t="shared" si="235"/>
        <v>112</v>
      </c>
      <c r="T3744">
        <f>INDEX([1]IDEN_level_ids!$B:$B,MATCH(G3744,[1]IDEN_level_ids!$A:$A,0),1)</f>
        <v>785</v>
      </c>
      <c r="U3744">
        <f>INDEX([1]IDEN_level_ids!$B:$B,MATCH(H3744,[1]IDEN_level_ids!$A:$A,0),1)</f>
        <v>354</v>
      </c>
    </row>
    <row r="3745" spans="1:21" hidden="1" x14ac:dyDescent="0.25">
      <c r="A3745">
        <v>23391.491099999999</v>
      </c>
      <c r="B3745">
        <v>4275.0587999999998</v>
      </c>
      <c r="C3745">
        <v>22</v>
      </c>
      <c r="D3745" t="s">
        <v>772</v>
      </c>
      <c r="F3745">
        <v>1974</v>
      </c>
      <c r="G3745" s="1" t="s">
        <v>174</v>
      </c>
      <c r="H3745" s="1" t="s">
        <v>768</v>
      </c>
      <c r="I3745">
        <v>0</v>
      </c>
      <c r="J3745">
        <v>23391.517100000001</v>
      </c>
      <c r="K3745">
        <v>4.7600000000000003E-3</v>
      </c>
      <c r="L3745">
        <v>8.4200000000000004E-3</v>
      </c>
      <c r="M3745">
        <v>4.6100000000000002E-2</v>
      </c>
      <c r="N3745">
        <v>0.45989999999999998</v>
      </c>
      <c r="O3745">
        <v>1.559E-2</v>
      </c>
      <c r="P3745" s="3">
        <f t="shared" si="232"/>
        <v>4275.0588054645223</v>
      </c>
      <c r="Q3745" s="3">
        <f t="shared" si="233"/>
        <v>4.7517879438601085E-3</v>
      </c>
      <c r="R3745" s="3">
        <f t="shared" si="234"/>
        <v>8.4200000000000004E-3</v>
      </c>
      <c r="S3745">
        <f t="shared" si="235"/>
        <v>113</v>
      </c>
      <c r="T3745">
        <f>INDEX([1]IDEN_level_ids!$B:$B,MATCH(G3745,[1]IDEN_level_ids!$A:$A,0),1)</f>
        <v>758</v>
      </c>
      <c r="U3745">
        <f>INDEX([1]IDEN_level_ids!$B:$B,MATCH(H3745,[1]IDEN_level_ids!$A:$A,0),1)</f>
        <v>288</v>
      </c>
    </row>
    <row r="3746" spans="1:21" hidden="1" x14ac:dyDescent="0.25">
      <c r="A3746">
        <v>23391.0164</v>
      </c>
      <c r="B3746">
        <v>4275.1455999999998</v>
      </c>
      <c r="C3746">
        <v>22</v>
      </c>
      <c r="D3746" t="s">
        <v>772</v>
      </c>
      <c r="F3746">
        <v>1974</v>
      </c>
      <c r="G3746" s="1" t="s">
        <v>174</v>
      </c>
      <c r="H3746" s="1" t="s">
        <v>748</v>
      </c>
      <c r="I3746">
        <v>0</v>
      </c>
      <c r="J3746">
        <v>23391.014999999999</v>
      </c>
      <c r="K3746">
        <v>-2.5999999999999998E-4</v>
      </c>
      <c r="L3746">
        <v>8.4200000000000004E-3</v>
      </c>
      <c r="M3746">
        <v>4.6100000000000002E-2</v>
      </c>
      <c r="N3746">
        <v>0.46710000000000002</v>
      </c>
      <c r="O3746">
        <v>1.5800000000000002E-2</v>
      </c>
      <c r="P3746" s="3">
        <f t="shared" si="232"/>
        <v>4275.1455640037939</v>
      </c>
      <c r="Q3746" s="3">
        <f t="shared" si="233"/>
        <v>-2.5587618983990978E-4</v>
      </c>
      <c r="R3746" s="3">
        <f t="shared" si="234"/>
        <v>8.4200000000000004E-3</v>
      </c>
      <c r="S3746">
        <f t="shared" si="235"/>
        <v>113</v>
      </c>
      <c r="T3746">
        <f>INDEX([1]IDEN_level_ids!$B:$B,MATCH(G3746,[1]IDEN_level_ids!$A:$A,0),1)</f>
        <v>758</v>
      </c>
      <c r="U3746">
        <f>INDEX([1]IDEN_level_ids!$B:$B,MATCH(H3746,[1]IDEN_level_ids!$A:$A,0),1)</f>
        <v>289</v>
      </c>
    </row>
    <row r="3747" spans="1:21" hidden="1" x14ac:dyDescent="0.25">
      <c r="A3747">
        <v>23386.1787</v>
      </c>
      <c r="B3747">
        <v>4276.0299000000005</v>
      </c>
      <c r="C3747">
        <v>22</v>
      </c>
      <c r="D3747" t="s">
        <v>772</v>
      </c>
      <c r="F3747">
        <v>1974</v>
      </c>
      <c r="G3747" s="1" t="s">
        <v>174</v>
      </c>
      <c r="H3747" s="1" t="s">
        <v>749</v>
      </c>
      <c r="I3747">
        <v>0</v>
      </c>
      <c r="J3747">
        <v>23386.198899999999</v>
      </c>
      <c r="K3747">
        <v>3.6900000000000001E-3</v>
      </c>
      <c r="L3747">
        <v>8.4200000000000004E-3</v>
      </c>
      <c r="M3747">
        <v>4.6100000000000002E-2</v>
      </c>
      <c r="N3747">
        <v>0.41320000000000001</v>
      </c>
      <c r="O3747">
        <v>1.435E-2</v>
      </c>
      <c r="P3747" s="3">
        <f t="shared" si="232"/>
        <v>4276.0299270269406</v>
      </c>
      <c r="Q3747" s="3">
        <f t="shared" si="233"/>
        <v>3.6934520603608689E-3</v>
      </c>
      <c r="R3747" s="3">
        <f t="shared" si="234"/>
        <v>8.4200000000000004E-3</v>
      </c>
      <c r="S3747">
        <f t="shared" si="235"/>
        <v>113</v>
      </c>
      <c r="T3747">
        <f>INDEX([1]IDEN_level_ids!$B:$B,MATCH(G3747,[1]IDEN_level_ids!$A:$A,0),1)</f>
        <v>758</v>
      </c>
      <c r="U3747">
        <f>INDEX([1]IDEN_level_ids!$B:$B,MATCH(H3747,[1]IDEN_level_ids!$A:$A,0),1)</f>
        <v>292</v>
      </c>
    </row>
    <row r="3748" spans="1:21" hidden="1" x14ac:dyDescent="0.25">
      <c r="A3748">
        <v>23385.397000000001</v>
      </c>
      <c r="B3748">
        <v>4276.1728999999996</v>
      </c>
      <c r="C3748">
        <v>22</v>
      </c>
      <c r="D3748" t="s">
        <v>772</v>
      </c>
      <c r="F3748">
        <v>1974</v>
      </c>
      <c r="G3748" s="1" t="s">
        <v>130</v>
      </c>
      <c r="H3748" s="1" t="s">
        <v>765</v>
      </c>
      <c r="I3748">
        <v>0</v>
      </c>
      <c r="J3748">
        <v>23385.4195</v>
      </c>
      <c r="K3748">
        <v>4.13E-3</v>
      </c>
      <c r="L3748">
        <v>8.4200000000000004E-3</v>
      </c>
      <c r="M3748">
        <v>4.6100000000000002E-2</v>
      </c>
      <c r="N3748">
        <v>0.73440000000000005</v>
      </c>
      <c r="O3748">
        <v>3.1710000000000002E-2</v>
      </c>
      <c r="P3748" s="3">
        <f t="shared" si="232"/>
        <v>4276.1728612090701</v>
      </c>
      <c r="Q3748" s="3">
        <f t="shared" si="233"/>
        <v>4.1142682675854303E-3</v>
      </c>
      <c r="R3748" s="3">
        <f t="shared" si="234"/>
        <v>8.4200000000000004E-3</v>
      </c>
      <c r="S3748">
        <f t="shared" si="235"/>
        <v>113</v>
      </c>
      <c r="T3748">
        <f>INDEX([1]IDEN_level_ids!$B:$B,MATCH(G3748,[1]IDEN_level_ids!$A:$A,0),1)</f>
        <v>761</v>
      </c>
      <c r="U3748">
        <f>INDEX([1]IDEN_level_ids!$B:$B,MATCH(H3748,[1]IDEN_level_ids!$A:$A,0),1)</f>
        <v>293</v>
      </c>
    </row>
    <row r="3749" spans="1:21" hidden="1" x14ac:dyDescent="0.25">
      <c r="A3749">
        <v>23384.838500000002</v>
      </c>
      <c r="B3749">
        <v>4276.2749999999996</v>
      </c>
      <c r="C3749">
        <v>22</v>
      </c>
      <c r="D3749" t="s">
        <v>772</v>
      </c>
      <c r="F3749">
        <v>1974</v>
      </c>
      <c r="G3749" s="1" t="s">
        <v>308</v>
      </c>
      <c r="H3749" s="1" t="s">
        <v>284</v>
      </c>
      <c r="I3749">
        <v>0</v>
      </c>
      <c r="J3749">
        <v>23384.839</v>
      </c>
      <c r="K3749">
        <v>9.0000000000000006E-5</v>
      </c>
      <c r="L3749">
        <v>8.4200000000000004E-3</v>
      </c>
      <c r="M3749">
        <v>4.6100000000000002E-2</v>
      </c>
      <c r="N3749">
        <v>0.45500000000000002</v>
      </c>
      <c r="O3749">
        <v>1.546E-2</v>
      </c>
      <c r="P3749" s="3">
        <f t="shared" si="232"/>
        <v>4276.2749890276127</v>
      </c>
      <c r="Q3749" s="3">
        <f t="shared" si="233"/>
        <v>9.1432636509125587E-5</v>
      </c>
      <c r="R3749" s="3">
        <f t="shared" si="234"/>
        <v>8.4200000000000004E-3</v>
      </c>
      <c r="S3749">
        <f t="shared" si="235"/>
        <v>113</v>
      </c>
      <c r="T3749">
        <f>INDEX([1]IDEN_level_ids!$B:$B,MATCH(G3749,[1]IDEN_level_ids!$A:$A,0),1)</f>
        <v>1222</v>
      </c>
      <c r="U3749">
        <f>INDEX([1]IDEN_level_ids!$B:$B,MATCH(H3749,[1]IDEN_level_ids!$A:$A,0),1)</f>
        <v>1103</v>
      </c>
    </row>
    <row r="3750" spans="1:21" hidden="1" x14ac:dyDescent="0.25">
      <c r="A3750">
        <v>23380.157500000001</v>
      </c>
      <c r="B3750">
        <v>4277.1311999999998</v>
      </c>
      <c r="C3750">
        <v>22</v>
      </c>
      <c r="D3750" t="s">
        <v>772</v>
      </c>
      <c r="E3750" t="s">
        <v>427</v>
      </c>
      <c r="F3750">
        <v>1974</v>
      </c>
      <c r="G3750" s="1" t="s">
        <v>174</v>
      </c>
      <c r="H3750" s="1" t="s">
        <v>765</v>
      </c>
      <c r="I3750">
        <v>0</v>
      </c>
      <c r="J3750">
        <v>23380.179700000001</v>
      </c>
      <c r="K3750">
        <v>4.0600000000000002E-3</v>
      </c>
      <c r="L3750">
        <v>8.9099999999999995E-3</v>
      </c>
      <c r="M3750">
        <v>4.87E-2</v>
      </c>
      <c r="N3750">
        <v>0.2427</v>
      </c>
      <c r="O3750">
        <v>1.1769999999999999E-2</v>
      </c>
      <c r="P3750" s="3">
        <f t="shared" si="232"/>
        <v>4277.131152773457</v>
      </c>
      <c r="Q3750" s="3">
        <f t="shared" si="233"/>
        <v>4.0612310422147857E-3</v>
      </c>
      <c r="R3750" s="3">
        <f t="shared" si="234"/>
        <v>8.9099999999999995E-3</v>
      </c>
      <c r="S3750">
        <f t="shared" si="235"/>
        <v>113</v>
      </c>
      <c r="T3750">
        <f>INDEX([1]IDEN_level_ids!$B:$B,MATCH(G3750,[1]IDEN_level_ids!$A:$A,0),1)</f>
        <v>758</v>
      </c>
      <c r="U3750">
        <f>INDEX([1]IDEN_level_ids!$B:$B,MATCH(H3750,[1]IDEN_level_ids!$A:$A,0),1)</f>
        <v>293</v>
      </c>
    </row>
    <row r="3751" spans="1:21" hidden="1" x14ac:dyDescent="0.25">
      <c r="A3751">
        <v>23379.549900000002</v>
      </c>
      <c r="B3751">
        <v>4277.2422999999999</v>
      </c>
      <c r="C3751">
        <v>22</v>
      </c>
      <c r="D3751" t="s">
        <v>772</v>
      </c>
      <c r="F3751">
        <v>1974</v>
      </c>
      <c r="G3751" s="1" t="s">
        <v>174</v>
      </c>
      <c r="H3751" s="1" t="s">
        <v>746</v>
      </c>
      <c r="I3751">
        <v>0</v>
      </c>
      <c r="J3751">
        <v>23379.552899999999</v>
      </c>
      <c r="K3751">
        <v>5.5000000000000003E-4</v>
      </c>
      <c r="L3751">
        <v>8.43E-3</v>
      </c>
      <c r="M3751">
        <v>4.6100000000000002E-2</v>
      </c>
      <c r="N3751">
        <v>0.3508</v>
      </c>
      <c r="O3751">
        <v>1.298E-2</v>
      </c>
      <c r="P3751" s="3">
        <f t="shared" si="232"/>
        <v>4277.2423091002274</v>
      </c>
      <c r="Q3751" s="3">
        <f t="shared" si="233"/>
        <v>5.4884398196008988E-4</v>
      </c>
      <c r="R3751" s="3">
        <f t="shared" si="234"/>
        <v>8.43E-3</v>
      </c>
      <c r="S3751">
        <f t="shared" si="235"/>
        <v>113</v>
      </c>
      <c r="T3751">
        <f>INDEX([1]IDEN_level_ids!$B:$B,MATCH(G3751,[1]IDEN_level_ids!$A:$A,0),1)</f>
        <v>758</v>
      </c>
      <c r="U3751">
        <f>INDEX([1]IDEN_level_ids!$B:$B,MATCH(H3751,[1]IDEN_level_ids!$A:$A,0),1)</f>
        <v>294</v>
      </c>
    </row>
    <row r="3752" spans="1:21" hidden="1" x14ac:dyDescent="0.25">
      <c r="A3752">
        <v>23375.252499999999</v>
      </c>
      <c r="B3752">
        <v>4278.0286999999998</v>
      </c>
      <c r="C3752">
        <v>22</v>
      </c>
      <c r="D3752" t="s">
        <v>772</v>
      </c>
      <c r="E3752" t="s">
        <v>427</v>
      </c>
      <c r="F3752">
        <v>1974</v>
      </c>
      <c r="G3752" s="1" t="s">
        <v>127</v>
      </c>
      <c r="H3752" s="1" t="s">
        <v>766</v>
      </c>
      <c r="I3752">
        <v>0</v>
      </c>
      <c r="J3752">
        <v>23375.249299999999</v>
      </c>
      <c r="K3752">
        <v>-5.6999999999999998E-4</v>
      </c>
      <c r="L3752">
        <v>8.9200000000000008E-3</v>
      </c>
      <c r="M3752">
        <v>4.87E-2</v>
      </c>
      <c r="N3752">
        <v>0.56340000000000001</v>
      </c>
      <c r="O3752">
        <v>2.043E-2</v>
      </c>
      <c r="P3752" s="3">
        <f t="shared" si="232"/>
        <v>4278.0286544498294</v>
      </c>
      <c r="Q3752" s="3">
        <f t="shared" si="233"/>
        <v>-5.8564901337376796E-4</v>
      </c>
      <c r="R3752" s="3">
        <f t="shared" si="234"/>
        <v>8.9200000000000008E-3</v>
      </c>
      <c r="S3752">
        <f t="shared" si="235"/>
        <v>113</v>
      </c>
      <c r="T3752">
        <f>INDEX([1]IDEN_level_ids!$B:$B,MATCH(G3752,[1]IDEN_level_ids!$A:$A,0),1)</f>
        <v>760</v>
      </c>
      <c r="U3752">
        <f>INDEX([1]IDEN_level_ids!$B:$B,MATCH(H3752,[1]IDEN_level_ids!$A:$A,0),1)</f>
        <v>280</v>
      </c>
    </row>
    <row r="3753" spans="1:21" hidden="1" x14ac:dyDescent="0.25">
      <c r="A3753">
        <v>23361.969099999998</v>
      </c>
      <c r="B3753">
        <v>4280.4611000000004</v>
      </c>
      <c r="C3753">
        <v>22</v>
      </c>
      <c r="D3753" t="s">
        <v>772</v>
      </c>
      <c r="F3753">
        <v>1974</v>
      </c>
      <c r="G3753" s="1" t="s">
        <v>273</v>
      </c>
      <c r="H3753" s="1" t="s">
        <v>557</v>
      </c>
      <c r="I3753">
        <v>0</v>
      </c>
      <c r="J3753">
        <v>23361.966199999999</v>
      </c>
      <c r="K3753">
        <v>-5.2999999999999998E-4</v>
      </c>
      <c r="L3753">
        <v>8.4399999999999996E-3</v>
      </c>
      <c r="M3753">
        <v>4.6100000000000002E-2</v>
      </c>
      <c r="N3753">
        <v>0.1237</v>
      </c>
      <c r="O3753">
        <v>9.6299999999999997E-3</v>
      </c>
      <c r="P3753" s="3">
        <f t="shared" si="232"/>
        <v>4280.4611020566754</v>
      </c>
      <c r="Q3753" s="3">
        <f t="shared" si="233"/>
        <v>-5.3134813606448006E-4</v>
      </c>
      <c r="R3753" s="3">
        <f t="shared" si="234"/>
        <v>8.4399999999999996E-3</v>
      </c>
      <c r="S3753">
        <f t="shared" si="235"/>
        <v>113</v>
      </c>
      <c r="T3753">
        <f>INDEX([1]IDEN_level_ids!$B:$B,MATCH(G3753,[1]IDEN_level_ids!$A:$A,0),1)</f>
        <v>1105</v>
      </c>
      <c r="U3753">
        <f>INDEX([1]IDEN_level_ids!$B:$B,MATCH(H3753,[1]IDEN_level_ids!$A:$A,0),1)</f>
        <v>1069</v>
      </c>
    </row>
    <row r="3754" spans="1:21" hidden="1" x14ac:dyDescent="0.25">
      <c r="A3754">
        <v>23351.5834</v>
      </c>
      <c r="B3754">
        <v>4282.3648000000003</v>
      </c>
      <c r="C3754">
        <v>22</v>
      </c>
      <c r="D3754" t="s">
        <v>772</v>
      </c>
      <c r="F3754">
        <v>1974</v>
      </c>
      <c r="G3754" s="1" t="s">
        <v>444</v>
      </c>
      <c r="H3754" s="1" t="s">
        <v>533</v>
      </c>
      <c r="I3754">
        <v>0</v>
      </c>
      <c r="J3754">
        <v>23351.575499999999</v>
      </c>
      <c r="K3754">
        <v>-1.4499999999999999E-3</v>
      </c>
      <c r="L3754">
        <v>8.4499999999999992E-3</v>
      </c>
      <c r="M3754">
        <v>4.6100000000000002E-2</v>
      </c>
      <c r="N3754">
        <v>0.92410000000000003</v>
      </c>
      <c r="O3754">
        <v>0.11128</v>
      </c>
      <c r="P3754" s="3">
        <f t="shared" si="232"/>
        <v>4282.3648523979746</v>
      </c>
      <c r="Q3754" s="3">
        <f t="shared" si="233"/>
        <v>-1.4487537400782458E-3</v>
      </c>
      <c r="R3754" s="3">
        <f t="shared" si="234"/>
        <v>8.4499999999999992E-3</v>
      </c>
      <c r="S3754">
        <f t="shared" si="235"/>
        <v>113</v>
      </c>
      <c r="T3754">
        <f>INDEX([1]IDEN_level_ids!$B:$B,MATCH(G3754,[1]IDEN_level_ids!$A:$A,0),1)</f>
        <v>898</v>
      </c>
      <c r="U3754">
        <f>INDEX([1]IDEN_level_ids!$B:$B,MATCH(H3754,[1]IDEN_level_ids!$A:$A,0),1)</f>
        <v>615</v>
      </c>
    </row>
    <row r="3755" spans="1:21" hidden="1" x14ac:dyDescent="0.25">
      <c r="A3755">
        <v>23350.132799999999</v>
      </c>
      <c r="B3755">
        <v>4282.6309000000001</v>
      </c>
      <c r="C3755">
        <v>22</v>
      </c>
      <c r="D3755" t="s">
        <v>772</v>
      </c>
      <c r="E3755" t="s">
        <v>427</v>
      </c>
      <c r="F3755">
        <v>1974</v>
      </c>
      <c r="G3755" s="1" t="s">
        <v>249</v>
      </c>
      <c r="H3755" s="1" t="s">
        <v>773</v>
      </c>
      <c r="I3755">
        <v>0</v>
      </c>
      <c r="J3755">
        <v>23350.095399999998</v>
      </c>
      <c r="K3755">
        <v>-6.8700000000000002E-3</v>
      </c>
      <c r="L3755">
        <v>8.94E-3</v>
      </c>
      <c r="M3755">
        <v>4.87E-2</v>
      </c>
      <c r="N3755">
        <v>0.76070000000000004</v>
      </c>
      <c r="O3755">
        <v>3.7350000000000001E-2</v>
      </c>
      <c r="P3755" s="3">
        <f t="shared" si="232"/>
        <v>4282.630889362651</v>
      </c>
      <c r="Q3755" s="3">
        <f t="shared" si="233"/>
        <v>-6.8595178099712939E-3</v>
      </c>
      <c r="R3755" s="3">
        <f t="shared" si="234"/>
        <v>8.94E-3</v>
      </c>
      <c r="S3755">
        <f t="shared" si="235"/>
        <v>113</v>
      </c>
      <c r="T3755">
        <f>INDEX([1]IDEN_level_ids!$B:$B,MATCH(G3755,[1]IDEN_level_ids!$A:$A,0),1)</f>
        <v>784</v>
      </c>
      <c r="U3755">
        <f>INDEX([1]IDEN_level_ids!$B:$B,MATCH(H3755,[1]IDEN_level_ids!$A:$A,0),1)</f>
        <v>330</v>
      </c>
    </row>
    <row r="3756" spans="1:21" hidden="1" x14ac:dyDescent="0.25">
      <c r="A3756">
        <v>23346.762900000002</v>
      </c>
      <c r="B3756">
        <v>4283.2491</v>
      </c>
      <c r="C3756">
        <v>22</v>
      </c>
      <c r="D3756" t="s">
        <v>772</v>
      </c>
      <c r="F3756">
        <v>1974</v>
      </c>
      <c r="G3756" s="1" t="s">
        <v>249</v>
      </c>
      <c r="H3756" s="1" t="s">
        <v>774</v>
      </c>
      <c r="I3756">
        <v>0</v>
      </c>
      <c r="J3756">
        <v>23346.7958</v>
      </c>
      <c r="K3756">
        <v>6.0499999999999998E-3</v>
      </c>
      <c r="L3756">
        <v>8.4499999999999992E-3</v>
      </c>
      <c r="M3756">
        <v>4.6100000000000002E-2</v>
      </c>
      <c r="N3756">
        <v>0.51119999999999999</v>
      </c>
      <c r="O3756">
        <v>1.729E-2</v>
      </c>
      <c r="P3756" s="3">
        <f t="shared" si="232"/>
        <v>4283.2490494859994</v>
      </c>
      <c r="Q3756" s="3">
        <f t="shared" si="233"/>
        <v>6.0358986702340189E-3</v>
      </c>
      <c r="R3756" s="3">
        <f t="shared" si="234"/>
        <v>8.4499999999999992E-3</v>
      </c>
      <c r="S3756">
        <f t="shared" si="235"/>
        <v>113</v>
      </c>
      <c r="T3756">
        <f>INDEX([1]IDEN_level_ids!$B:$B,MATCH(G3756,[1]IDEN_level_ids!$A:$A,0),1)</f>
        <v>784</v>
      </c>
      <c r="U3756">
        <f>INDEX([1]IDEN_level_ids!$B:$B,MATCH(H3756,[1]IDEN_level_ids!$A:$A,0),1)</f>
        <v>337</v>
      </c>
    </row>
    <row r="3757" spans="1:21" hidden="1" x14ac:dyDescent="0.25">
      <c r="A3757">
        <v>23333.821599999999</v>
      </c>
      <c r="B3757">
        <v>4285.6246000000001</v>
      </c>
      <c r="C3757">
        <v>22</v>
      </c>
      <c r="D3757" t="s">
        <v>772</v>
      </c>
      <c r="F3757">
        <v>1974</v>
      </c>
      <c r="G3757" s="1" t="s">
        <v>729</v>
      </c>
      <c r="H3757" s="1" t="s">
        <v>282</v>
      </c>
      <c r="I3757">
        <v>0</v>
      </c>
      <c r="J3757">
        <v>23333.815999999999</v>
      </c>
      <c r="K3757">
        <v>-1.0200000000000001E-3</v>
      </c>
      <c r="L3757">
        <v>8.4600000000000005E-3</v>
      </c>
      <c r="M3757">
        <v>4.6100000000000002E-2</v>
      </c>
      <c r="N3757">
        <v>0.1298</v>
      </c>
      <c r="O3757">
        <v>9.7199999999999995E-3</v>
      </c>
      <c r="P3757" s="3">
        <f t="shared" si="232"/>
        <v>4285.6246059582454</v>
      </c>
      <c r="Q3757" s="3">
        <f t="shared" si="233"/>
        <v>-1.0285286298312712E-3</v>
      </c>
      <c r="R3757" s="3">
        <f t="shared" si="234"/>
        <v>8.4600000000000005E-3</v>
      </c>
      <c r="S3757">
        <f t="shared" si="235"/>
        <v>113</v>
      </c>
      <c r="T3757">
        <f>INDEX([1]IDEN_level_ids!$B:$B,MATCH(G3757,[1]IDEN_level_ids!$A:$A,0),1)</f>
        <v>1243</v>
      </c>
      <c r="U3757">
        <f>INDEX([1]IDEN_level_ids!$B:$B,MATCH(H3757,[1]IDEN_level_ids!$A:$A,0),1)</f>
        <v>1128</v>
      </c>
    </row>
    <row r="3758" spans="1:21" hidden="1" x14ac:dyDescent="0.25">
      <c r="A3758">
        <v>23332.263500000001</v>
      </c>
      <c r="B3758">
        <v>4285.9107999999997</v>
      </c>
      <c r="C3758">
        <v>22</v>
      </c>
      <c r="D3758" t="s">
        <v>772</v>
      </c>
      <c r="F3758">
        <v>1974</v>
      </c>
      <c r="G3758" s="1" t="s">
        <v>297</v>
      </c>
      <c r="H3758" s="1" t="s">
        <v>461</v>
      </c>
      <c r="I3758">
        <v>0.24510000000000001</v>
      </c>
      <c r="J3758">
        <v>23332.2742</v>
      </c>
      <c r="K3758">
        <v>1.9499999999999999E-3</v>
      </c>
      <c r="L3758">
        <v>8.4600000000000005E-3</v>
      </c>
      <c r="M3758">
        <v>4.6100000000000002E-2</v>
      </c>
      <c r="N3758">
        <v>0.12640000000000001</v>
      </c>
      <c r="O3758">
        <v>9.6900000000000007E-3</v>
      </c>
      <c r="P3758" s="3">
        <f t="shared" si="232"/>
        <v>4285.9107947242237</v>
      </c>
      <c r="Q3758" s="3">
        <f t="shared" si="233"/>
        <v>1.9654854522741516E-3</v>
      </c>
      <c r="R3758" s="3">
        <f t="shared" si="234"/>
        <v>8.4600000000000005E-3</v>
      </c>
      <c r="S3758">
        <f t="shared" si="235"/>
        <v>113</v>
      </c>
      <c r="T3758">
        <f>INDEX([1]IDEN_level_ids!$B:$B,MATCH(G3758,[1]IDEN_level_ids!$A:$A,0),1)</f>
        <v>1099</v>
      </c>
      <c r="U3758">
        <f>INDEX([1]IDEN_level_ids!$B:$B,MATCH(H3758,[1]IDEN_level_ids!$A:$A,0),1)</f>
        <v>1017</v>
      </c>
    </row>
    <row r="3759" spans="1:21" hidden="1" x14ac:dyDescent="0.25">
      <c r="A3759">
        <v>23323.462100000001</v>
      </c>
      <c r="B3759">
        <v>4287.5281000000004</v>
      </c>
      <c r="C3759">
        <v>22</v>
      </c>
      <c r="D3759" t="s">
        <v>772</v>
      </c>
      <c r="F3759">
        <v>1974</v>
      </c>
      <c r="G3759" s="1" t="s">
        <v>228</v>
      </c>
      <c r="H3759" s="1" t="s">
        <v>775</v>
      </c>
      <c r="I3759">
        <v>0</v>
      </c>
      <c r="J3759">
        <v>23323.502100000002</v>
      </c>
      <c r="K3759">
        <v>7.3600000000000002E-3</v>
      </c>
      <c r="L3759">
        <v>8.4700000000000001E-3</v>
      </c>
      <c r="M3759">
        <v>4.6100000000000002E-2</v>
      </c>
      <c r="N3759">
        <v>0.5484</v>
      </c>
      <c r="O3759">
        <v>1.8749999999999999E-2</v>
      </c>
      <c r="P3759" s="3">
        <f t="shared" si="232"/>
        <v>4287.5281367426151</v>
      </c>
      <c r="Q3759" s="3">
        <f t="shared" si="233"/>
        <v>7.3531463986000745E-3</v>
      </c>
      <c r="R3759" s="3">
        <f t="shared" si="234"/>
        <v>8.4700000000000001E-3</v>
      </c>
      <c r="S3759">
        <f t="shared" si="235"/>
        <v>113</v>
      </c>
      <c r="T3759">
        <f>INDEX([1]IDEN_level_ids!$B:$B,MATCH(G3759,[1]IDEN_level_ids!$A:$A,0),1)</f>
        <v>804</v>
      </c>
      <c r="U3759">
        <f>INDEX([1]IDEN_level_ids!$B:$B,MATCH(H3759,[1]IDEN_level_ids!$A:$A,0),1)</f>
        <v>424</v>
      </c>
    </row>
    <row r="3760" spans="1:21" hidden="1" x14ac:dyDescent="0.25">
      <c r="A3760">
        <v>23319.138200000001</v>
      </c>
      <c r="B3760">
        <v>4288.3230999999996</v>
      </c>
      <c r="C3760">
        <v>22</v>
      </c>
      <c r="D3760" t="s">
        <v>772</v>
      </c>
      <c r="F3760">
        <v>1974</v>
      </c>
      <c r="G3760" s="1" t="s">
        <v>734</v>
      </c>
      <c r="H3760" s="1" t="s">
        <v>255</v>
      </c>
      <c r="I3760">
        <v>0</v>
      </c>
      <c r="J3760">
        <v>23319.154999999999</v>
      </c>
      <c r="K3760">
        <v>3.0799999999999998E-3</v>
      </c>
      <c r="L3760">
        <v>8.4700000000000001E-3</v>
      </c>
      <c r="M3760">
        <v>4.6100000000000002E-2</v>
      </c>
      <c r="N3760">
        <v>0.1205</v>
      </c>
      <c r="O3760">
        <v>9.6299999999999997E-3</v>
      </c>
      <c r="P3760" s="3">
        <f t="shared" si="232"/>
        <v>4288.3231422334466</v>
      </c>
      <c r="Q3760" s="3">
        <f t="shared" si="233"/>
        <v>3.0894699566488271E-3</v>
      </c>
      <c r="R3760" s="3">
        <f t="shared" si="234"/>
        <v>8.4700000000000001E-3</v>
      </c>
      <c r="S3760">
        <f t="shared" si="235"/>
        <v>113</v>
      </c>
      <c r="T3760">
        <f>INDEX([1]IDEN_level_ids!$B:$B,MATCH(G3760,[1]IDEN_level_ids!$A:$A,0),1)</f>
        <v>1232</v>
      </c>
      <c r="U3760">
        <f>INDEX([1]IDEN_level_ids!$B:$B,MATCH(H3760,[1]IDEN_level_ids!$A:$A,0),1)</f>
        <v>1111</v>
      </c>
    </row>
    <row r="3761" spans="1:21" hidden="1" x14ac:dyDescent="0.25">
      <c r="A3761">
        <v>23304.988399999998</v>
      </c>
      <c r="B3761">
        <v>4290.9268000000002</v>
      </c>
      <c r="C3761">
        <v>22</v>
      </c>
      <c r="D3761" t="s">
        <v>772</v>
      </c>
      <c r="F3761">
        <v>1974</v>
      </c>
      <c r="G3761" s="1" t="s">
        <v>249</v>
      </c>
      <c r="H3761" s="1" t="s">
        <v>751</v>
      </c>
      <c r="I3761">
        <v>0</v>
      </c>
      <c r="J3761">
        <v>23304.999400000001</v>
      </c>
      <c r="K3761">
        <v>2.0200000000000001E-3</v>
      </c>
      <c r="L3761">
        <v>8.4799999999999997E-3</v>
      </c>
      <c r="M3761">
        <v>4.6100000000000002E-2</v>
      </c>
      <c r="N3761">
        <v>0.44180000000000003</v>
      </c>
      <c r="O3761">
        <v>1.52E-2</v>
      </c>
      <c r="P3761" s="3">
        <f t="shared" si="232"/>
        <v>4290.9268300687081</v>
      </c>
      <c r="Q3761" s="3">
        <f t="shared" si="233"/>
        <v>2.0253248812878155E-3</v>
      </c>
      <c r="R3761" s="3">
        <f t="shared" si="234"/>
        <v>8.4799999999999997E-3</v>
      </c>
      <c r="S3761">
        <f t="shared" si="235"/>
        <v>113</v>
      </c>
      <c r="T3761">
        <f>INDEX([1]IDEN_level_ids!$B:$B,MATCH(G3761,[1]IDEN_level_ids!$A:$A,0),1)</f>
        <v>784</v>
      </c>
      <c r="U3761">
        <f>INDEX([1]IDEN_level_ids!$B:$B,MATCH(H3761,[1]IDEN_level_ids!$A:$A,0),1)</f>
        <v>344</v>
      </c>
    </row>
    <row r="3762" spans="1:21" hidden="1" x14ac:dyDescent="0.25">
      <c r="A3762">
        <v>23300.289700000001</v>
      </c>
      <c r="B3762">
        <v>4291.7920999999997</v>
      </c>
      <c r="C3762">
        <v>22</v>
      </c>
      <c r="D3762" t="s">
        <v>772</v>
      </c>
      <c r="E3762" t="s">
        <v>661</v>
      </c>
      <c r="F3762">
        <v>1974</v>
      </c>
      <c r="G3762" s="1" t="s">
        <v>127</v>
      </c>
      <c r="H3762" s="1" t="s">
        <v>768</v>
      </c>
      <c r="I3762">
        <v>0</v>
      </c>
      <c r="J3762">
        <v>23300.296699999999</v>
      </c>
      <c r="K3762">
        <v>1.2800000000000001E-3</v>
      </c>
      <c r="L3762">
        <v>9.3299999999999998E-3</v>
      </c>
      <c r="M3762">
        <v>5.0700000000000002E-2</v>
      </c>
      <c r="N3762">
        <v>0.51539999999999997</v>
      </c>
      <c r="O3762">
        <v>1.925E-2</v>
      </c>
      <c r="P3762" s="3">
        <f t="shared" si="232"/>
        <v>4291.7921316660704</v>
      </c>
      <c r="Q3762" s="3">
        <f t="shared" si="233"/>
        <v>1.2893631910628756E-3</v>
      </c>
      <c r="R3762" s="3">
        <f t="shared" si="234"/>
        <v>9.3299999999999998E-3</v>
      </c>
      <c r="S3762">
        <f t="shared" si="235"/>
        <v>113</v>
      </c>
      <c r="T3762">
        <f>INDEX([1]IDEN_level_ids!$B:$B,MATCH(G3762,[1]IDEN_level_ids!$A:$A,0),1)</f>
        <v>760</v>
      </c>
      <c r="U3762">
        <f>INDEX([1]IDEN_level_ids!$B:$B,MATCH(H3762,[1]IDEN_level_ids!$A:$A,0),1)</f>
        <v>288</v>
      </c>
    </row>
    <row r="3763" spans="1:21" hidden="1" x14ac:dyDescent="0.25">
      <c r="A3763">
        <v>23292.0664</v>
      </c>
      <c r="B3763">
        <v>4293.3073000000004</v>
      </c>
      <c r="C3763">
        <v>22</v>
      </c>
      <c r="D3763" t="s">
        <v>772</v>
      </c>
      <c r="F3763">
        <v>1974</v>
      </c>
      <c r="G3763" s="1" t="s">
        <v>228</v>
      </c>
      <c r="H3763" s="1" t="s">
        <v>740</v>
      </c>
      <c r="I3763">
        <v>0</v>
      </c>
      <c r="J3763">
        <v>23292.0959</v>
      </c>
      <c r="K3763">
        <v>5.4299999999999999E-3</v>
      </c>
      <c r="L3763">
        <v>8.4899999999999993E-3</v>
      </c>
      <c r="M3763">
        <v>4.6100000000000002E-2</v>
      </c>
      <c r="N3763">
        <v>0.57730000000000004</v>
      </c>
      <c r="O3763">
        <v>2.009E-2</v>
      </c>
      <c r="P3763" s="3">
        <f t="shared" si="232"/>
        <v>4293.3073555036754</v>
      </c>
      <c r="Q3763" s="3">
        <f t="shared" si="233"/>
        <v>5.4375770878323237E-3</v>
      </c>
      <c r="R3763" s="3">
        <f t="shared" si="234"/>
        <v>8.4899999999999993E-3</v>
      </c>
      <c r="S3763">
        <f t="shared" si="235"/>
        <v>113</v>
      </c>
      <c r="T3763">
        <f>INDEX([1]IDEN_level_ids!$B:$B,MATCH(G3763,[1]IDEN_level_ids!$A:$A,0),1)</f>
        <v>804</v>
      </c>
      <c r="U3763">
        <f>INDEX([1]IDEN_level_ids!$B:$B,MATCH(H3763,[1]IDEN_level_ids!$A:$A,0),1)</f>
        <v>430</v>
      </c>
    </row>
    <row r="3764" spans="1:21" hidden="1" x14ac:dyDescent="0.25">
      <c r="A3764">
        <v>23280.533200000002</v>
      </c>
      <c r="B3764">
        <v>4295.4342999999999</v>
      </c>
      <c r="C3764">
        <v>22</v>
      </c>
      <c r="D3764" t="s">
        <v>772</v>
      </c>
      <c r="E3764" t="s">
        <v>427</v>
      </c>
      <c r="F3764">
        <v>1974</v>
      </c>
      <c r="G3764" s="1" t="s">
        <v>249</v>
      </c>
      <c r="H3764" s="1" t="s">
        <v>770</v>
      </c>
      <c r="I3764">
        <v>0</v>
      </c>
      <c r="J3764">
        <v>23280.554599999999</v>
      </c>
      <c r="K3764">
        <v>3.96E-3</v>
      </c>
      <c r="L3764">
        <v>8.9899999999999997E-3</v>
      </c>
      <c r="M3764">
        <v>4.87E-2</v>
      </c>
      <c r="N3764">
        <v>0.40720000000000001</v>
      </c>
      <c r="O3764">
        <v>1.5169999999999999E-2</v>
      </c>
      <c r="P3764" s="3">
        <f t="shared" si="232"/>
        <v>4295.4342643664186</v>
      </c>
      <c r="Q3764" s="3">
        <f t="shared" si="233"/>
        <v>3.9484580511270906E-3</v>
      </c>
      <c r="R3764" s="3">
        <f t="shared" si="234"/>
        <v>8.9899999999999997E-3</v>
      </c>
      <c r="S3764">
        <f t="shared" si="235"/>
        <v>113</v>
      </c>
      <c r="T3764">
        <f>INDEX([1]IDEN_level_ids!$B:$B,MATCH(G3764,[1]IDEN_level_ids!$A:$A,0),1)</f>
        <v>784</v>
      </c>
      <c r="U3764">
        <f>INDEX([1]IDEN_level_ids!$B:$B,MATCH(H3764,[1]IDEN_level_ids!$A:$A,0),1)</f>
        <v>351</v>
      </c>
    </row>
    <row r="3765" spans="1:21" hidden="1" x14ac:dyDescent="0.25">
      <c r="A3765">
        <v>23262.771000000001</v>
      </c>
      <c r="B3765">
        <v>4298.7139999999999</v>
      </c>
      <c r="C3765">
        <v>22</v>
      </c>
      <c r="D3765" t="s">
        <v>772</v>
      </c>
      <c r="F3765">
        <v>1974</v>
      </c>
      <c r="G3765" s="1" t="s">
        <v>719</v>
      </c>
      <c r="H3765" s="1" t="s">
        <v>275</v>
      </c>
      <c r="I3765">
        <v>0</v>
      </c>
      <c r="J3765">
        <v>23262.799299999999</v>
      </c>
      <c r="K3765">
        <v>5.2300000000000003E-3</v>
      </c>
      <c r="L3765">
        <v>8.5100000000000002E-3</v>
      </c>
      <c r="M3765">
        <v>4.6100000000000002E-2</v>
      </c>
      <c r="N3765">
        <v>9.8500000000000004E-2</v>
      </c>
      <c r="O3765">
        <v>9.4400000000000005E-3</v>
      </c>
      <c r="P3765" s="3">
        <f t="shared" si="232"/>
        <v>4298.7140268027397</v>
      </c>
      <c r="Q3765" s="3">
        <f t="shared" si="233"/>
        <v>5.2295343039077125E-3</v>
      </c>
      <c r="R3765" s="3">
        <f t="shared" si="234"/>
        <v>8.5100000000000002E-3</v>
      </c>
      <c r="S3765">
        <f t="shared" si="235"/>
        <v>113</v>
      </c>
      <c r="T3765">
        <f>INDEX([1]IDEN_level_ids!$B:$B,MATCH(G3765,[1]IDEN_level_ids!$A:$A,0),1)</f>
        <v>1244</v>
      </c>
      <c r="U3765">
        <f>INDEX([1]IDEN_level_ids!$B:$B,MATCH(H3765,[1]IDEN_level_ids!$A:$A,0),1)</f>
        <v>1134</v>
      </c>
    </row>
    <row r="3766" spans="1:21" hidden="1" x14ac:dyDescent="0.25">
      <c r="A3766">
        <v>23248.353599999999</v>
      </c>
      <c r="B3766">
        <v>4301.3798999999999</v>
      </c>
      <c r="C3766">
        <v>22</v>
      </c>
      <c r="D3766" t="s">
        <v>776</v>
      </c>
      <c r="F3766">
        <v>1974</v>
      </c>
      <c r="G3766" s="1" t="s">
        <v>669</v>
      </c>
      <c r="H3766" s="1" t="s">
        <v>269</v>
      </c>
      <c r="I3766">
        <v>0</v>
      </c>
      <c r="J3766">
        <v>23248.345300000001</v>
      </c>
      <c r="K3766">
        <v>-1.5399999999999999E-3</v>
      </c>
      <c r="L3766">
        <v>8.5199999999999998E-3</v>
      </c>
      <c r="M3766">
        <v>4.6100000000000002E-2</v>
      </c>
      <c r="N3766">
        <v>0.1981</v>
      </c>
      <c r="O3766">
        <v>1.0630000000000001E-2</v>
      </c>
      <c r="P3766" s="3">
        <f t="shared" si="232"/>
        <v>4301.3798620131111</v>
      </c>
      <c r="Q3766" s="3">
        <f t="shared" si="233"/>
        <v>-1.5356556514234398E-3</v>
      </c>
      <c r="R3766" s="3">
        <f t="shared" si="234"/>
        <v>8.5199999999999998E-3</v>
      </c>
      <c r="S3766">
        <f t="shared" si="235"/>
        <v>114</v>
      </c>
      <c r="T3766">
        <f>INDEX([1]IDEN_level_ids!$B:$B,MATCH(G3766,[1]IDEN_level_ids!$A:$A,0),1)</f>
        <v>1245</v>
      </c>
      <c r="U3766">
        <f>INDEX([1]IDEN_level_ids!$B:$B,MATCH(H3766,[1]IDEN_level_ids!$A:$A,0),1)</f>
        <v>1137</v>
      </c>
    </row>
    <row r="3767" spans="1:21" hidden="1" x14ac:dyDescent="0.25">
      <c r="A3767">
        <v>23232.9725</v>
      </c>
      <c r="B3767">
        <v>4304.2275</v>
      </c>
      <c r="C3767">
        <v>22</v>
      </c>
      <c r="D3767" t="s">
        <v>776</v>
      </c>
      <c r="F3767">
        <v>1974</v>
      </c>
      <c r="G3767" s="1" t="s">
        <v>309</v>
      </c>
      <c r="H3767" s="1" t="s">
        <v>580</v>
      </c>
      <c r="I3767">
        <v>0.20710000000000001</v>
      </c>
      <c r="J3767">
        <v>23233.001</v>
      </c>
      <c r="K3767">
        <v>5.3E-3</v>
      </c>
      <c r="L3767">
        <v>8.5299999999999994E-3</v>
      </c>
      <c r="M3767">
        <v>4.6100000000000002E-2</v>
      </c>
      <c r="N3767">
        <v>0.14940000000000001</v>
      </c>
      <c r="O3767">
        <v>1.0030000000000001E-2</v>
      </c>
      <c r="P3767" s="3">
        <f t="shared" si="232"/>
        <v>4304.2275369628233</v>
      </c>
      <c r="Q3767" s="3">
        <f t="shared" si="233"/>
        <v>5.2800103103436413E-3</v>
      </c>
      <c r="R3767" s="3">
        <f t="shared" si="234"/>
        <v>8.5299999999999994E-3</v>
      </c>
      <c r="S3767">
        <f t="shared" si="235"/>
        <v>114</v>
      </c>
      <c r="T3767">
        <f>INDEX([1]IDEN_level_ids!$B:$B,MATCH(G3767,[1]IDEN_level_ids!$A:$A,0),1)</f>
        <v>1094</v>
      </c>
      <c r="U3767">
        <f>INDEX([1]IDEN_level_ids!$B:$B,MATCH(H3767,[1]IDEN_level_ids!$A:$A,0),1)</f>
        <v>1001</v>
      </c>
    </row>
    <row r="3768" spans="1:21" hidden="1" x14ac:dyDescent="0.25">
      <c r="A3768">
        <v>23225.183799999999</v>
      </c>
      <c r="B3768">
        <v>4305.6710000000003</v>
      </c>
      <c r="C3768">
        <v>22</v>
      </c>
      <c r="D3768" t="s">
        <v>776</v>
      </c>
      <c r="E3768" t="s">
        <v>638</v>
      </c>
      <c r="F3768">
        <v>1974</v>
      </c>
      <c r="G3768" s="1" t="s">
        <v>357</v>
      </c>
      <c r="H3768" s="1" t="s">
        <v>575</v>
      </c>
      <c r="I3768">
        <v>0</v>
      </c>
      <c r="J3768">
        <v>23225.214199999999</v>
      </c>
      <c r="K3768">
        <v>5.6499999999999996E-3</v>
      </c>
      <c r="L3768">
        <v>3.2039999999999999E-2</v>
      </c>
      <c r="M3768">
        <v>0.17280000000000001</v>
      </c>
      <c r="N3768">
        <v>0.24759999999999999</v>
      </c>
      <c r="O3768">
        <v>4.258E-2</v>
      </c>
      <c r="P3768" s="3">
        <f t="shared" si="232"/>
        <v>4305.670984614555</v>
      </c>
      <c r="Q3768" s="3">
        <f t="shared" si="233"/>
        <v>5.6357886223850073E-3</v>
      </c>
      <c r="R3768" s="3">
        <f t="shared" si="234"/>
        <v>3.2039999999999999E-2</v>
      </c>
      <c r="S3768">
        <f t="shared" si="235"/>
        <v>114</v>
      </c>
      <c r="T3768">
        <f>INDEX([1]IDEN_level_ids!$B:$B,MATCH(G3768,[1]IDEN_level_ids!$A:$A,0),1)</f>
        <v>916</v>
      </c>
      <c r="U3768">
        <f>INDEX([1]IDEN_level_ids!$B:$B,MATCH(H3768,[1]IDEN_level_ids!$A:$A,0),1)</f>
        <v>771</v>
      </c>
    </row>
    <row r="3769" spans="1:21" hidden="1" x14ac:dyDescent="0.25">
      <c r="A3769">
        <v>23211.607599999999</v>
      </c>
      <c r="B3769">
        <v>4308.1893</v>
      </c>
      <c r="C3769">
        <v>22</v>
      </c>
      <c r="D3769" t="s">
        <v>776</v>
      </c>
      <c r="E3769" t="s">
        <v>427</v>
      </c>
      <c r="F3769">
        <v>1974</v>
      </c>
      <c r="G3769" s="1" t="s">
        <v>303</v>
      </c>
      <c r="H3769" s="1" t="s">
        <v>777</v>
      </c>
      <c r="I3769">
        <v>0</v>
      </c>
      <c r="J3769">
        <v>23211.582699999999</v>
      </c>
      <c r="K3769">
        <v>-4.6100000000000004E-3</v>
      </c>
      <c r="L3769">
        <v>9.0399999999999994E-3</v>
      </c>
      <c r="M3769">
        <v>4.87E-2</v>
      </c>
      <c r="N3769">
        <v>0.71499999999999997</v>
      </c>
      <c r="O3769">
        <v>3.1739999999999997E-2</v>
      </c>
      <c r="P3769" s="3">
        <f t="shared" si="232"/>
        <v>4308.1893216219978</v>
      </c>
      <c r="Q3769" s="3">
        <f t="shared" si="233"/>
        <v>-4.6215682696129079E-3</v>
      </c>
      <c r="R3769" s="3">
        <f t="shared" si="234"/>
        <v>9.0399999999999994E-3</v>
      </c>
      <c r="S3769">
        <f t="shared" si="235"/>
        <v>114</v>
      </c>
      <c r="T3769">
        <f>INDEX([1]IDEN_level_ids!$B:$B,MATCH(G3769,[1]IDEN_level_ids!$A:$A,0),1)</f>
        <v>805</v>
      </c>
      <c r="U3769">
        <f>INDEX([1]IDEN_level_ids!$B:$B,MATCH(H3769,[1]IDEN_level_ids!$A:$A,0),1)</f>
        <v>414</v>
      </c>
    </row>
    <row r="3770" spans="1:21" hidden="1" x14ac:dyDescent="0.25">
      <c r="A3770">
        <v>23202.088500000002</v>
      </c>
      <c r="B3770">
        <v>4309.9567999999999</v>
      </c>
      <c r="C3770">
        <v>22</v>
      </c>
      <c r="D3770" t="s">
        <v>776</v>
      </c>
      <c r="E3770" t="s">
        <v>427</v>
      </c>
      <c r="F3770">
        <v>1974</v>
      </c>
      <c r="G3770" s="1" t="s">
        <v>736</v>
      </c>
      <c r="H3770" s="1" t="s">
        <v>245</v>
      </c>
      <c r="I3770">
        <v>0</v>
      </c>
      <c r="J3770">
        <v>23202.1086</v>
      </c>
      <c r="K3770">
        <v>3.7399999999999998E-3</v>
      </c>
      <c r="L3770">
        <v>9.0500000000000008E-3</v>
      </c>
      <c r="M3770">
        <v>4.87E-2</v>
      </c>
      <c r="N3770">
        <v>0.10680000000000001</v>
      </c>
      <c r="O3770">
        <v>1.013E-2</v>
      </c>
      <c r="P3770" s="3">
        <f t="shared" si="232"/>
        <v>4309.9568385837329</v>
      </c>
      <c r="Q3770" s="3">
        <f t="shared" si="233"/>
        <v>3.7337180829126737E-3</v>
      </c>
      <c r="R3770" s="3">
        <f t="shared" si="234"/>
        <v>9.0500000000000008E-3</v>
      </c>
      <c r="S3770">
        <f t="shared" si="235"/>
        <v>114</v>
      </c>
      <c r="T3770">
        <f>INDEX([1]IDEN_level_ids!$B:$B,MATCH(G3770,[1]IDEN_level_ids!$A:$A,0),1)</f>
        <v>1251</v>
      </c>
      <c r="U3770">
        <f>INDEX([1]IDEN_level_ids!$B:$B,MATCH(H3770,[1]IDEN_level_ids!$A:$A,0),1)</f>
        <v>1169</v>
      </c>
    </row>
    <row r="3771" spans="1:21" hidden="1" x14ac:dyDescent="0.25">
      <c r="A3771">
        <v>23185.708699999999</v>
      </c>
      <c r="B3771">
        <v>4313.0015999999996</v>
      </c>
      <c r="C3771">
        <v>22</v>
      </c>
      <c r="D3771" t="s">
        <v>776</v>
      </c>
      <c r="E3771" t="s">
        <v>427</v>
      </c>
      <c r="F3771">
        <v>1974</v>
      </c>
      <c r="G3771" s="1" t="s">
        <v>303</v>
      </c>
      <c r="H3771" s="1" t="s">
        <v>778</v>
      </c>
      <c r="I3771">
        <v>0</v>
      </c>
      <c r="J3771">
        <v>23185.749100000001</v>
      </c>
      <c r="K3771">
        <v>7.5100000000000002E-3</v>
      </c>
      <c r="L3771">
        <v>9.0600000000000003E-3</v>
      </c>
      <c r="M3771">
        <v>4.87E-2</v>
      </c>
      <c r="N3771">
        <v>0.71179999999999999</v>
      </c>
      <c r="O3771">
        <v>3.1449999999999999E-2</v>
      </c>
      <c r="P3771" s="3">
        <f t="shared" si="232"/>
        <v>4313.0016551963326</v>
      </c>
      <c r="Q3771" s="3">
        <f t="shared" si="233"/>
        <v>7.5151881501369644E-3</v>
      </c>
      <c r="R3771" s="3">
        <f t="shared" si="234"/>
        <v>9.0600000000000003E-3</v>
      </c>
      <c r="S3771">
        <f t="shared" si="235"/>
        <v>114</v>
      </c>
      <c r="T3771">
        <f>INDEX([1]IDEN_level_ids!$B:$B,MATCH(G3771,[1]IDEN_level_ids!$A:$A,0),1)</f>
        <v>805</v>
      </c>
      <c r="U3771">
        <f>INDEX([1]IDEN_level_ids!$B:$B,MATCH(H3771,[1]IDEN_level_ids!$A:$A,0),1)</f>
        <v>419</v>
      </c>
    </row>
    <row r="3772" spans="1:21" hidden="1" x14ac:dyDescent="0.25">
      <c r="A3772">
        <v>23171.919000000002</v>
      </c>
      <c r="B3772">
        <v>4315.5682999999999</v>
      </c>
      <c r="C3772">
        <v>22</v>
      </c>
      <c r="D3772" t="s">
        <v>776</v>
      </c>
      <c r="F3772">
        <v>1974</v>
      </c>
      <c r="G3772" s="1" t="s">
        <v>202</v>
      </c>
      <c r="H3772" s="1" t="s">
        <v>779</v>
      </c>
      <c r="I3772">
        <v>0</v>
      </c>
      <c r="J3772">
        <v>23171.925200000001</v>
      </c>
      <c r="K3772">
        <v>1.15E-3</v>
      </c>
      <c r="L3772">
        <v>8.5800000000000008E-3</v>
      </c>
      <c r="M3772">
        <v>4.6100000000000002E-2</v>
      </c>
      <c r="N3772">
        <v>0.85540000000000005</v>
      </c>
      <c r="O3772">
        <v>5.9310000000000002E-2</v>
      </c>
      <c r="P3772" s="3">
        <f t="shared" si="232"/>
        <v>4315.5683394197949</v>
      </c>
      <c r="Q3772" s="3">
        <f t="shared" si="233"/>
        <v>1.1546957566679339E-3</v>
      </c>
      <c r="R3772" s="3">
        <f t="shared" si="234"/>
        <v>8.5800000000000008E-3</v>
      </c>
      <c r="S3772">
        <f t="shared" si="235"/>
        <v>114</v>
      </c>
      <c r="T3772">
        <f>INDEX([1]IDEN_level_ids!$B:$B,MATCH(G3772,[1]IDEN_level_ids!$A:$A,0),1)</f>
        <v>781</v>
      </c>
      <c r="U3772">
        <f>INDEX([1]IDEN_level_ids!$B:$B,MATCH(H3772,[1]IDEN_level_ids!$A:$A,0),1)</f>
        <v>332</v>
      </c>
    </row>
    <row r="3773" spans="1:21" hidden="1" x14ac:dyDescent="0.25">
      <c r="A3773">
        <v>23138.292099999999</v>
      </c>
      <c r="B3773">
        <v>4321.8401999999996</v>
      </c>
      <c r="C3773">
        <v>22</v>
      </c>
      <c r="D3773" t="s">
        <v>776</v>
      </c>
      <c r="E3773" t="s">
        <v>427</v>
      </c>
      <c r="F3773">
        <v>1974</v>
      </c>
      <c r="G3773" s="1" t="s">
        <v>165</v>
      </c>
      <c r="H3773" s="1" t="s">
        <v>780</v>
      </c>
      <c r="I3773">
        <v>0</v>
      </c>
      <c r="J3773">
        <v>23138.292000000001</v>
      </c>
      <c r="K3773">
        <v>-2.0000000000000002E-5</v>
      </c>
      <c r="L3773">
        <v>9.1000000000000004E-3</v>
      </c>
      <c r="M3773">
        <v>4.87E-2</v>
      </c>
      <c r="N3773">
        <v>0.55530000000000002</v>
      </c>
      <c r="O3773">
        <v>2.0459999999999999E-2</v>
      </c>
      <c r="P3773" s="3">
        <f t="shared" si="232"/>
        <v>4321.840158634699</v>
      </c>
      <c r="Q3773" s="3">
        <f t="shared" si="233"/>
        <v>-1.8678301785257645E-5</v>
      </c>
      <c r="R3773" s="3">
        <f t="shared" si="234"/>
        <v>9.1000000000000004E-3</v>
      </c>
      <c r="S3773">
        <f t="shared" si="235"/>
        <v>114</v>
      </c>
      <c r="T3773">
        <f>INDEX([1]IDEN_level_ids!$B:$B,MATCH(G3773,[1]IDEN_level_ids!$A:$A,0),1)</f>
        <v>802</v>
      </c>
      <c r="U3773">
        <f>INDEX([1]IDEN_level_ids!$B:$B,MATCH(H3773,[1]IDEN_level_ids!$A:$A,0),1)</f>
        <v>413</v>
      </c>
    </row>
    <row r="3774" spans="1:21" hidden="1" x14ac:dyDescent="0.25">
      <c r="A3774">
        <v>23134.689399999999</v>
      </c>
      <c r="B3774">
        <v>4322.5132000000003</v>
      </c>
      <c r="C3774">
        <v>22</v>
      </c>
      <c r="D3774" t="s">
        <v>776</v>
      </c>
      <c r="F3774">
        <v>1974</v>
      </c>
      <c r="G3774" s="1" t="s">
        <v>307</v>
      </c>
      <c r="H3774" s="1" t="s">
        <v>565</v>
      </c>
      <c r="I3774">
        <v>0.1676</v>
      </c>
      <c r="J3774">
        <v>23134.7251</v>
      </c>
      <c r="K3774">
        <v>6.6699999999999997E-3</v>
      </c>
      <c r="L3774">
        <v>8.6099999999999996E-3</v>
      </c>
      <c r="M3774">
        <v>4.6100000000000002E-2</v>
      </c>
      <c r="N3774">
        <v>0.1918</v>
      </c>
      <c r="O3774">
        <v>1.065E-2</v>
      </c>
      <c r="P3774" s="3">
        <f t="shared" si="232"/>
        <v>4322.5131866261409</v>
      </c>
      <c r="Q3774" s="3">
        <f t="shared" si="233"/>
        <v>6.6702206358968397E-3</v>
      </c>
      <c r="R3774" s="3">
        <f t="shared" si="234"/>
        <v>8.6099999999999996E-3</v>
      </c>
      <c r="S3774">
        <f t="shared" si="235"/>
        <v>114</v>
      </c>
      <c r="T3774">
        <f>INDEX([1]IDEN_level_ids!$B:$B,MATCH(G3774,[1]IDEN_level_ids!$A:$A,0),1)</f>
        <v>1095</v>
      </c>
      <c r="U3774">
        <f>INDEX([1]IDEN_level_ids!$B:$B,MATCH(H3774,[1]IDEN_level_ids!$A:$A,0),1)</f>
        <v>1004</v>
      </c>
    </row>
    <row r="3775" spans="1:21" hidden="1" x14ac:dyDescent="0.25">
      <c r="A3775">
        <v>23133.918699999998</v>
      </c>
      <c r="B3775">
        <v>4322.6571999999996</v>
      </c>
      <c r="C3775">
        <v>22</v>
      </c>
      <c r="D3775" t="s">
        <v>776</v>
      </c>
      <c r="F3775">
        <v>1974</v>
      </c>
      <c r="G3775" s="1" t="s">
        <v>383</v>
      </c>
      <c r="H3775" s="1" t="s">
        <v>576</v>
      </c>
      <c r="I3775">
        <v>0.45519999999999999</v>
      </c>
      <c r="J3775">
        <v>23133.8881</v>
      </c>
      <c r="K3775">
        <v>-5.7200000000000003E-3</v>
      </c>
      <c r="L3775">
        <v>8.6099999999999996E-3</v>
      </c>
      <c r="M3775">
        <v>4.6100000000000002E-2</v>
      </c>
      <c r="N3775">
        <v>0.2059</v>
      </c>
      <c r="O3775">
        <v>1.0840000000000001E-2</v>
      </c>
      <c r="P3775" s="3">
        <f t="shared" si="232"/>
        <v>4322.657189938167</v>
      </c>
      <c r="Q3775" s="3">
        <f t="shared" si="233"/>
        <v>-5.7177293083441327E-3</v>
      </c>
      <c r="R3775" s="3">
        <f t="shared" si="234"/>
        <v>8.6099999999999996E-3</v>
      </c>
      <c r="S3775">
        <f t="shared" si="235"/>
        <v>114</v>
      </c>
      <c r="T3775">
        <f>INDEX([1]IDEN_level_ids!$B:$B,MATCH(G3775,[1]IDEN_level_ids!$A:$A,0),1)</f>
        <v>1097</v>
      </c>
      <c r="U3775">
        <f>INDEX([1]IDEN_level_ids!$B:$B,MATCH(H3775,[1]IDEN_level_ids!$A:$A,0),1)</f>
        <v>1024</v>
      </c>
    </row>
    <row r="3776" spans="1:21" hidden="1" x14ac:dyDescent="0.25">
      <c r="A3776">
        <v>23133.447899999999</v>
      </c>
      <c r="B3776">
        <v>4322.7452000000003</v>
      </c>
      <c r="C3776">
        <v>22</v>
      </c>
      <c r="D3776" t="s">
        <v>776</v>
      </c>
      <c r="F3776">
        <v>1974</v>
      </c>
      <c r="G3776" s="1" t="s">
        <v>267</v>
      </c>
      <c r="H3776" s="1" t="s">
        <v>557</v>
      </c>
      <c r="I3776">
        <v>0</v>
      </c>
      <c r="J3776">
        <v>23133.510600000001</v>
      </c>
      <c r="K3776">
        <v>1.171E-2</v>
      </c>
      <c r="L3776">
        <v>8.6099999999999996E-3</v>
      </c>
      <c r="M3776">
        <v>4.6100000000000002E-2</v>
      </c>
      <c r="N3776">
        <v>0.13070000000000001</v>
      </c>
      <c r="O3776">
        <v>9.9000000000000008E-3</v>
      </c>
      <c r="P3776" s="3">
        <f t="shared" si="232"/>
        <v>4322.7451624277764</v>
      </c>
      <c r="Q3776" s="3">
        <f t="shared" si="233"/>
        <v>1.1716169084138528E-2</v>
      </c>
      <c r="R3776" s="3">
        <f t="shared" si="234"/>
        <v>8.6099999999999996E-3</v>
      </c>
      <c r="S3776">
        <f t="shared" si="235"/>
        <v>114</v>
      </c>
      <c r="T3776">
        <f>INDEX([1]IDEN_level_ids!$B:$B,MATCH(G3776,[1]IDEN_level_ids!$A:$A,0),1)</f>
        <v>1104</v>
      </c>
      <c r="U3776">
        <f>INDEX([1]IDEN_level_ids!$B:$B,MATCH(H3776,[1]IDEN_level_ids!$A:$A,0),1)</f>
        <v>1069</v>
      </c>
    </row>
    <row r="3777" spans="1:21" hidden="1" x14ac:dyDescent="0.25">
      <c r="A3777">
        <v>23122.333500000001</v>
      </c>
      <c r="B3777">
        <v>4324.8230000000003</v>
      </c>
      <c r="C3777">
        <v>22</v>
      </c>
      <c r="D3777" t="s">
        <v>776</v>
      </c>
      <c r="F3777">
        <v>1974</v>
      </c>
      <c r="G3777" s="1" t="s">
        <v>162</v>
      </c>
      <c r="H3777" s="1" t="s">
        <v>749</v>
      </c>
      <c r="I3777">
        <v>0</v>
      </c>
      <c r="J3777">
        <v>23122.344799999999</v>
      </c>
      <c r="K3777">
        <v>2.1099999999999999E-3</v>
      </c>
      <c r="L3777">
        <v>8.6199999999999992E-3</v>
      </c>
      <c r="M3777">
        <v>4.6100000000000002E-2</v>
      </c>
      <c r="N3777">
        <v>0.46800000000000003</v>
      </c>
      <c r="O3777">
        <v>1.6199999999999999E-2</v>
      </c>
      <c r="P3777" s="3">
        <f t="shared" si="232"/>
        <v>4324.8230114836806</v>
      </c>
      <c r="Q3777" s="3">
        <f t="shared" si="233"/>
        <v>2.1135615979801514E-3</v>
      </c>
      <c r="R3777" s="3">
        <f t="shared" si="234"/>
        <v>8.6199999999999992E-3</v>
      </c>
      <c r="S3777">
        <f t="shared" si="235"/>
        <v>114</v>
      </c>
      <c r="T3777">
        <f>INDEX([1]IDEN_level_ids!$B:$B,MATCH(G3777,[1]IDEN_level_ids!$A:$A,0),1)</f>
        <v>754</v>
      </c>
      <c r="U3777">
        <f>INDEX([1]IDEN_level_ids!$B:$B,MATCH(H3777,[1]IDEN_level_ids!$A:$A,0),1)</f>
        <v>292</v>
      </c>
    </row>
    <row r="3778" spans="1:21" hidden="1" x14ac:dyDescent="0.25">
      <c r="A3778">
        <v>23116.298699999999</v>
      </c>
      <c r="B3778">
        <v>4325.9521000000004</v>
      </c>
      <c r="C3778">
        <v>22</v>
      </c>
      <c r="D3778" t="s">
        <v>781</v>
      </c>
      <c r="F3778">
        <v>1974</v>
      </c>
      <c r="G3778" s="1" t="s">
        <v>162</v>
      </c>
      <c r="H3778" s="1" t="s">
        <v>765</v>
      </c>
      <c r="I3778">
        <v>0</v>
      </c>
      <c r="J3778">
        <v>23116.325700000001</v>
      </c>
      <c r="K3778">
        <v>5.0400000000000002E-3</v>
      </c>
      <c r="L3778">
        <v>8.6199999999999992E-3</v>
      </c>
      <c r="M3778">
        <v>4.6100000000000002E-2</v>
      </c>
      <c r="N3778">
        <v>0.39279999999999998</v>
      </c>
      <c r="O3778">
        <v>1.4200000000000001E-2</v>
      </c>
      <c r="P3778" s="3">
        <f t="shared" ref="P3778:P3841" si="236">100000000/$A3778</f>
        <v>4325.9520608288385</v>
      </c>
      <c r="Q3778" s="3">
        <f t="shared" ref="Q3778:Q3841" si="237">100000000/($A3778)-100000000/$J3778</f>
        <v>5.0527366311143851E-3</v>
      </c>
      <c r="R3778" s="3">
        <f t="shared" si="234"/>
        <v>8.6199999999999992E-3</v>
      </c>
      <c r="S3778">
        <f t="shared" si="235"/>
        <v>115</v>
      </c>
      <c r="T3778">
        <f>INDEX([1]IDEN_level_ids!$B:$B,MATCH(G3778,[1]IDEN_level_ids!$A:$A,0),1)</f>
        <v>754</v>
      </c>
      <c r="U3778">
        <f>INDEX([1]IDEN_level_ids!$B:$B,MATCH(H3778,[1]IDEN_level_ids!$A:$A,0),1)</f>
        <v>293</v>
      </c>
    </row>
    <row r="3779" spans="1:21" hidden="1" x14ac:dyDescent="0.25">
      <c r="A3779">
        <v>23115.6787</v>
      </c>
      <c r="B3779">
        <v>4326.0681000000004</v>
      </c>
      <c r="C3779">
        <v>22</v>
      </c>
      <c r="D3779" t="s">
        <v>781</v>
      </c>
      <c r="F3779">
        <v>1974</v>
      </c>
      <c r="G3779" s="1" t="s">
        <v>162</v>
      </c>
      <c r="H3779" s="1" t="s">
        <v>746</v>
      </c>
      <c r="I3779">
        <v>0</v>
      </c>
      <c r="J3779">
        <v>23115.698799999998</v>
      </c>
      <c r="K3779">
        <v>3.7699999999999999E-3</v>
      </c>
      <c r="L3779">
        <v>8.6199999999999992E-3</v>
      </c>
      <c r="M3779">
        <v>4.6100000000000002E-2</v>
      </c>
      <c r="N3779">
        <v>0.4239</v>
      </c>
      <c r="O3779">
        <v>1.4970000000000001E-2</v>
      </c>
      <c r="P3779" s="3">
        <f t="shared" si="236"/>
        <v>4326.068089880484</v>
      </c>
      <c r="Q3779" s="3">
        <f t="shared" si="237"/>
        <v>3.7616846166201867E-3</v>
      </c>
      <c r="R3779" s="3">
        <f t="shared" ref="R3779:R3842" si="238">$L3779</f>
        <v>8.6199999999999992E-3</v>
      </c>
      <c r="S3779">
        <f t="shared" si="235"/>
        <v>115</v>
      </c>
      <c r="T3779">
        <f>INDEX([1]IDEN_level_ids!$B:$B,MATCH(G3779,[1]IDEN_level_ids!$A:$A,0),1)</f>
        <v>754</v>
      </c>
      <c r="U3779">
        <f>INDEX([1]IDEN_level_ids!$B:$B,MATCH(H3779,[1]IDEN_level_ids!$A:$A,0),1)</f>
        <v>294</v>
      </c>
    </row>
    <row r="3780" spans="1:21" hidden="1" x14ac:dyDescent="0.25">
      <c r="A3780">
        <v>23112.3282</v>
      </c>
      <c r="B3780">
        <v>4326.6952000000001</v>
      </c>
      <c r="C3780">
        <v>22</v>
      </c>
      <c r="D3780" t="s">
        <v>781</v>
      </c>
      <c r="F3780">
        <v>1974</v>
      </c>
      <c r="G3780" s="1" t="s">
        <v>165</v>
      </c>
      <c r="H3780" s="1" t="s">
        <v>782</v>
      </c>
      <c r="I3780">
        <v>0</v>
      </c>
      <c r="J3780">
        <v>23112.334200000001</v>
      </c>
      <c r="K3780">
        <v>1.1199999999999999E-3</v>
      </c>
      <c r="L3780">
        <v>8.6199999999999992E-3</v>
      </c>
      <c r="M3780">
        <v>4.6100000000000002E-2</v>
      </c>
      <c r="N3780">
        <v>0.67220000000000002</v>
      </c>
      <c r="O3780">
        <v>2.631E-2</v>
      </c>
      <c r="P3780" s="3">
        <f t="shared" si="236"/>
        <v>4326.6952223359303</v>
      </c>
      <c r="Q3780" s="3">
        <f t="shared" si="237"/>
        <v>1.1232172009840724E-3</v>
      </c>
      <c r="R3780" s="3">
        <f t="shared" si="238"/>
        <v>8.6199999999999992E-3</v>
      </c>
      <c r="S3780">
        <f t="shared" ref="S3780:S3843" si="239">IF(D3780=D3779,S3779,S3779+1)</f>
        <v>115</v>
      </c>
      <c r="T3780">
        <f>INDEX([1]IDEN_level_ids!$B:$B,MATCH(G3780,[1]IDEN_level_ids!$A:$A,0),1)</f>
        <v>802</v>
      </c>
      <c r="U3780">
        <f>INDEX([1]IDEN_level_ids!$B:$B,MATCH(H3780,[1]IDEN_level_ids!$A:$A,0),1)</f>
        <v>420</v>
      </c>
    </row>
    <row r="3781" spans="1:21" hidden="1" x14ac:dyDescent="0.25">
      <c r="A3781">
        <v>23110.093499999999</v>
      </c>
      <c r="B3781">
        <v>4327.1135999999997</v>
      </c>
      <c r="C3781">
        <v>22</v>
      </c>
      <c r="D3781" t="s">
        <v>781</v>
      </c>
      <c r="F3781">
        <v>1974</v>
      </c>
      <c r="G3781" s="1" t="s">
        <v>725</v>
      </c>
      <c r="H3781" s="1" t="s">
        <v>345</v>
      </c>
      <c r="I3781">
        <v>0</v>
      </c>
      <c r="J3781">
        <v>23110.107100000001</v>
      </c>
      <c r="K3781">
        <v>2.5600000000000002E-3</v>
      </c>
      <c r="L3781">
        <v>8.6300000000000005E-3</v>
      </c>
      <c r="M3781">
        <v>4.6100000000000002E-2</v>
      </c>
      <c r="N3781">
        <v>0.1807</v>
      </c>
      <c r="O3781">
        <v>1.0529999999999999E-2</v>
      </c>
      <c r="P3781" s="3">
        <f t="shared" si="236"/>
        <v>4327.1136051440035</v>
      </c>
      <c r="Q3781" s="3">
        <f t="shared" si="237"/>
        <v>2.5464505542913685E-3</v>
      </c>
      <c r="R3781" s="3">
        <f t="shared" si="238"/>
        <v>8.6300000000000005E-3</v>
      </c>
      <c r="S3781">
        <f t="shared" si="239"/>
        <v>115</v>
      </c>
      <c r="T3781">
        <f>INDEX([1]IDEN_level_ids!$B:$B,MATCH(G3781,[1]IDEN_level_ids!$A:$A,0),1)</f>
        <v>1227</v>
      </c>
      <c r="U3781">
        <f>INDEX([1]IDEN_level_ids!$B:$B,MATCH(H3781,[1]IDEN_level_ids!$A:$A,0),1)</f>
        <v>1106</v>
      </c>
    </row>
    <row r="3782" spans="1:21" hidden="1" x14ac:dyDescent="0.25">
      <c r="A3782">
        <v>23098.539799999999</v>
      </c>
      <c r="B3782">
        <v>4329.2780000000002</v>
      </c>
      <c r="C3782">
        <v>22</v>
      </c>
      <c r="D3782" t="s">
        <v>781</v>
      </c>
      <c r="F3782">
        <v>1974</v>
      </c>
      <c r="G3782" s="1" t="s">
        <v>232</v>
      </c>
      <c r="H3782" s="1" t="s">
        <v>775</v>
      </c>
      <c r="I3782">
        <v>0</v>
      </c>
      <c r="J3782">
        <v>23098.5651</v>
      </c>
      <c r="K3782">
        <v>4.7299999999999998E-3</v>
      </c>
      <c r="L3782">
        <v>8.6300000000000005E-3</v>
      </c>
      <c r="M3782">
        <v>4.6100000000000002E-2</v>
      </c>
      <c r="N3782">
        <v>0.82179999999999997</v>
      </c>
      <c r="O3782">
        <v>4.8439999999999997E-2</v>
      </c>
      <c r="P3782" s="3">
        <f t="shared" si="236"/>
        <v>4329.2779918495107</v>
      </c>
      <c r="Q3782" s="3">
        <f t="shared" si="237"/>
        <v>4.7418847325388924E-3</v>
      </c>
      <c r="R3782" s="3">
        <f t="shared" si="238"/>
        <v>8.6300000000000005E-3</v>
      </c>
      <c r="S3782">
        <f t="shared" si="239"/>
        <v>115</v>
      </c>
      <c r="T3782">
        <f>INDEX([1]IDEN_level_ids!$B:$B,MATCH(G3782,[1]IDEN_level_ids!$A:$A,0),1)</f>
        <v>801</v>
      </c>
      <c r="U3782">
        <f>INDEX([1]IDEN_level_ids!$B:$B,MATCH(H3782,[1]IDEN_level_ids!$A:$A,0),1)</f>
        <v>424</v>
      </c>
    </row>
    <row r="3783" spans="1:21" hidden="1" x14ac:dyDescent="0.25">
      <c r="A3783">
        <v>23085.162100000001</v>
      </c>
      <c r="B3783">
        <v>4331.7867999999999</v>
      </c>
      <c r="C3783">
        <v>22</v>
      </c>
      <c r="D3783" t="s">
        <v>781</v>
      </c>
      <c r="F3783">
        <v>1974</v>
      </c>
      <c r="G3783" s="1" t="s">
        <v>165</v>
      </c>
      <c r="H3783" s="1" t="s">
        <v>783</v>
      </c>
      <c r="I3783">
        <v>0</v>
      </c>
      <c r="J3783">
        <v>23085.177199999998</v>
      </c>
      <c r="K3783">
        <v>2.8300000000000001E-3</v>
      </c>
      <c r="L3783">
        <v>8.6400000000000001E-3</v>
      </c>
      <c r="M3783">
        <v>4.6100000000000002E-2</v>
      </c>
      <c r="N3783">
        <v>0.61509999999999998</v>
      </c>
      <c r="O3783">
        <v>2.2460000000000001E-2</v>
      </c>
      <c r="P3783" s="3">
        <f t="shared" si="236"/>
        <v>4331.7867800460454</v>
      </c>
      <c r="Q3783" s="3">
        <f t="shared" si="237"/>
        <v>2.8334190292298445E-3</v>
      </c>
      <c r="R3783" s="3">
        <f t="shared" si="238"/>
        <v>8.6400000000000001E-3</v>
      </c>
      <c r="S3783">
        <f t="shared" si="239"/>
        <v>115</v>
      </c>
      <c r="T3783">
        <f>INDEX([1]IDEN_level_ids!$B:$B,MATCH(G3783,[1]IDEN_level_ids!$A:$A,0),1)</f>
        <v>802</v>
      </c>
      <c r="U3783">
        <f>INDEX([1]IDEN_level_ids!$B:$B,MATCH(H3783,[1]IDEN_level_ids!$A:$A,0),1)</f>
        <v>422</v>
      </c>
    </row>
    <row r="3784" spans="1:21" hidden="1" x14ac:dyDescent="0.25">
      <c r="A3784">
        <v>23083.642800000001</v>
      </c>
      <c r="B3784">
        <v>4332.0718999999999</v>
      </c>
      <c r="C3784">
        <v>22</v>
      </c>
      <c r="D3784" t="s">
        <v>781</v>
      </c>
      <c r="F3784">
        <v>1974</v>
      </c>
      <c r="G3784" s="1" t="s">
        <v>258</v>
      </c>
      <c r="H3784" s="1" t="s">
        <v>769</v>
      </c>
      <c r="I3784">
        <v>0</v>
      </c>
      <c r="J3784">
        <v>23083.731199999998</v>
      </c>
      <c r="K3784">
        <v>1.6590000000000001E-2</v>
      </c>
      <c r="L3784">
        <v>8.6499999999999997E-3</v>
      </c>
      <c r="M3784">
        <v>4.6100000000000002E-2</v>
      </c>
      <c r="N3784">
        <v>0.76600000000000001</v>
      </c>
      <c r="O3784">
        <v>3.6949999999999997E-2</v>
      </c>
      <c r="P3784" s="3">
        <f t="shared" si="236"/>
        <v>4332.0718859849967</v>
      </c>
      <c r="Q3784" s="3">
        <f t="shared" si="237"/>
        <v>1.6589829061558703E-2</v>
      </c>
      <c r="R3784" s="3">
        <f t="shared" si="238"/>
        <v>8.6499999999999997E-3</v>
      </c>
      <c r="S3784">
        <f t="shared" si="239"/>
        <v>115</v>
      </c>
      <c r="T3784">
        <f>INDEX([1]IDEN_level_ids!$B:$B,MATCH(G3784,[1]IDEN_level_ids!$A:$A,0),1)</f>
        <v>755</v>
      </c>
      <c r="U3784">
        <f>INDEX([1]IDEN_level_ids!$B:$B,MATCH(H3784,[1]IDEN_level_ids!$A:$A,0),1)</f>
        <v>276</v>
      </c>
    </row>
    <row r="3785" spans="1:21" hidden="1" x14ac:dyDescent="0.25">
      <c r="A3785">
        <v>23010.281200000001</v>
      </c>
      <c r="B3785">
        <v>4345.8833999999997</v>
      </c>
      <c r="C3785">
        <v>22</v>
      </c>
      <c r="D3785" t="s">
        <v>781</v>
      </c>
      <c r="E3785" t="s">
        <v>427</v>
      </c>
      <c r="F3785">
        <v>1974</v>
      </c>
      <c r="G3785" s="1" t="s">
        <v>313</v>
      </c>
      <c r="H3785" s="1" t="s">
        <v>293</v>
      </c>
      <c r="I3785">
        <v>0</v>
      </c>
      <c r="J3785">
        <v>23010.3043</v>
      </c>
      <c r="K3785">
        <v>4.3499999999999997E-3</v>
      </c>
      <c r="L3785">
        <v>9.1999999999999998E-3</v>
      </c>
      <c r="M3785">
        <v>4.87E-2</v>
      </c>
      <c r="N3785">
        <v>0.1633</v>
      </c>
      <c r="O3785">
        <v>1.0999999999999999E-2</v>
      </c>
      <c r="P3785" s="3">
        <f t="shared" si="236"/>
        <v>4345.8834392688777</v>
      </c>
      <c r="Q3785" s="3">
        <f t="shared" si="237"/>
        <v>4.362823982773989E-3</v>
      </c>
      <c r="R3785" s="3">
        <f t="shared" si="238"/>
        <v>9.1999999999999998E-3</v>
      </c>
      <c r="S3785">
        <f t="shared" si="239"/>
        <v>115</v>
      </c>
      <c r="T3785">
        <f>INDEX([1]IDEN_level_ids!$B:$B,MATCH(G3785,[1]IDEN_level_ids!$A:$A,0),1)</f>
        <v>1239</v>
      </c>
      <c r="U3785">
        <f>INDEX([1]IDEN_level_ids!$B:$B,MATCH(H3785,[1]IDEN_level_ids!$A:$A,0),1)</f>
        <v>1121</v>
      </c>
    </row>
    <row r="3786" spans="1:21" hidden="1" x14ac:dyDescent="0.25">
      <c r="A3786">
        <v>23007.580699999999</v>
      </c>
      <c r="B3786">
        <v>4346.3935000000001</v>
      </c>
      <c r="C3786">
        <v>22</v>
      </c>
      <c r="D3786" t="s">
        <v>781</v>
      </c>
      <c r="F3786">
        <v>1974</v>
      </c>
      <c r="G3786" s="1" t="s">
        <v>198</v>
      </c>
      <c r="H3786" s="1" t="s">
        <v>774</v>
      </c>
      <c r="I3786">
        <v>0</v>
      </c>
      <c r="J3786">
        <v>23007.5694</v>
      </c>
      <c r="K3786">
        <v>-2.1299999999999999E-3</v>
      </c>
      <c r="L3786">
        <v>8.6999999999999994E-3</v>
      </c>
      <c r="M3786">
        <v>4.6100000000000002E-2</v>
      </c>
      <c r="N3786">
        <v>0.49370000000000003</v>
      </c>
      <c r="O3786">
        <v>1.719E-2</v>
      </c>
      <c r="P3786" s="3">
        <f t="shared" si="236"/>
        <v>4346.393534544899</v>
      </c>
      <c r="Q3786" s="3">
        <f t="shared" si="237"/>
        <v>-2.1346995017665904E-3</v>
      </c>
      <c r="R3786" s="3">
        <f t="shared" si="238"/>
        <v>8.6999999999999994E-3</v>
      </c>
      <c r="S3786">
        <f t="shared" si="239"/>
        <v>115</v>
      </c>
      <c r="T3786">
        <f>INDEX([1]IDEN_level_ids!$B:$B,MATCH(G3786,[1]IDEN_level_ids!$A:$A,0),1)</f>
        <v>780</v>
      </c>
      <c r="U3786">
        <f>INDEX([1]IDEN_level_ids!$B:$B,MATCH(H3786,[1]IDEN_level_ids!$A:$A,0),1)</f>
        <v>337</v>
      </c>
    </row>
    <row r="3787" spans="1:21" hidden="1" x14ac:dyDescent="0.25">
      <c r="A3787">
        <v>22999.260300000002</v>
      </c>
      <c r="B3787">
        <v>4347.9659000000001</v>
      </c>
      <c r="C3787">
        <v>22</v>
      </c>
      <c r="D3787" t="s">
        <v>781</v>
      </c>
      <c r="F3787">
        <v>1974</v>
      </c>
      <c r="G3787" s="1" t="s">
        <v>299</v>
      </c>
      <c r="H3787" s="1" t="s">
        <v>587</v>
      </c>
      <c r="I3787">
        <v>0.13569999999999999</v>
      </c>
      <c r="J3787">
        <v>22999.281800000001</v>
      </c>
      <c r="K3787">
        <v>4.0800000000000003E-3</v>
      </c>
      <c r="L3787">
        <v>8.7100000000000007E-3</v>
      </c>
      <c r="M3787">
        <v>4.6100000000000002E-2</v>
      </c>
      <c r="N3787">
        <v>9.5899999999999999E-2</v>
      </c>
      <c r="O3787">
        <v>9.6299999999999997E-3</v>
      </c>
      <c r="P3787" s="3">
        <f t="shared" si="236"/>
        <v>4347.9659213213909</v>
      </c>
      <c r="Q3787" s="3">
        <f t="shared" si="237"/>
        <v>4.0645298449817346E-3</v>
      </c>
      <c r="R3787" s="3">
        <f t="shared" si="238"/>
        <v>8.7100000000000007E-3</v>
      </c>
      <c r="S3787">
        <f t="shared" si="239"/>
        <v>115</v>
      </c>
      <c r="T3787">
        <f>INDEX([1]IDEN_level_ids!$B:$B,MATCH(G3787,[1]IDEN_level_ids!$A:$A,0),1)</f>
        <v>1101</v>
      </c>
      <c r="U3787">
        <f>INDEX([1]IDEN_level_ids!$B:$B,MATCH(H3787,[1]IDEN_level_ids!$A:$A,0),1)</f>
        <v>1035</v>
      </c>
    </row>
    <row r="3788" spans="1:21" hidden="1" x14ac:dyDescent="0.25">
      <c r="A3788">
        <v>22994.537199999999</v>
      </c>
      <c r="B3788">
        <v>4348.8590000000004</v>
      </c>
      <c r="C3788">
        <v>22</v>
      </c>
      <c r="D3788" t="s">
        <v>781</v>
      </c>
      <c r="F3788">
        <v>1974</v>
      </c>
      <c r="G3788" s="1" t="s">
        <v>425</v>
      </c>
      <c r="H3788" s="1" t="s">
        <v>536</v>
      </c>
      <c r="I3788">
        <v>-0.83779999999999999</v>
      </c>
      <c r="J3788">
        <v>22994.518199999999</v>
      </c>
      <c r="K3788">
        <v>-3.5999999999999999E-3</v>
      </c>
      <c r="L3788">
        <v>8.7100000000000007E-3</v>
      </c>
      <c r="M3788">
        <v>4.6100000000000002E-2</v>
      </c>
      <c r="N3788">
        <v>0.16719999999999999</v>
      </c>
      <c r="O3788">
        <v>1.0460000000000001E-2</v>
      </c>
      <c r="P3788" s="3">
        <f t="shared" si="236"/>
        <v>4348.8589976927215</v>
      </c>
      <c r="Q3788" s="3">
        <f t="shared" si="237"/>
        <v>-3.5933921399191604E-3</v>
      </c>
      <c r="R3788" s="3">
        <f t="shared" si="238"/>
        <v>8.7100000000000007E-3</v>
      </c>
      <c r="S3788">
        <f t="shared" si="239"/>
        <v>115</v>
      </c>
      <c r="T3788">
        <f>INDEX([1]IDEN_level_ids!$B:$B,MATCH(G3788,[1]IDEN_level_ids!$A:$A,0),1)</f>
        <v>1098</v>
      </c>
      <c r="U3788">
        <f>INDEX([1]IDEN_level_ids!$B:$B,MATCH(H3788,[1]IDEN_level_ids!$A:$A,0),1)</f>
        <v>1021</v>
      </c>
    </row>
    <row r="3789" spans="1:21" hidden="1" x14ac:dyDescent="0.25">
      <c r="A3789">
        <v>22986.157299999999</v>
      </c>
      <c r="B3789">
        <v>4350.4444000000003</v>
      </c>
      <c r="C3789">
        <v>22</v>
      </c>
      <c r="D3789" t="s">
        <v>781</v>
      </c>
      <c r="F3789">
        <v>1974</v>
      </c>
      <c r="G3789" s="1" t="s">
        <v>222</v>
      </c>
      <c r="H3789" s="1" t="s">
        <v>780</v>
      </c>
      <c r="I3789">
        <v>0</v>
      </c>
      <c r="J3789">
        <v>22986.179499999998</v>
      </c>
      <c r="K3789">
        <v>4.1999999999999997E-3</v>
      </c>
      <c r="L3789">
        <v>8.7200000000000003E-3</v>
      </c>
      <c r="M3789">
        <v>4.6100000000000002E-2</v>
      </c>
      <c r="N3789">
        <v>0.59950000000000003</v>
      </c>
      <c r="O3789">
        <v>2.1770000000000001E-2</v>
      </c>
      <c r="P3789" s="3">
        <f t="shared" si="236"/>
        <v>4350.4444303093669</v>
      </c>
      <c r="Q3789" s="3">
        <f t="shared" si="237"/>
        <v>4.2016493580376846E-3</v>
      </c>
      <c r="R3789" s="3">
        <f t="shared" si="238"/>
        <v>8.7200000000000003E-3</v>
      </c>
      <c r="S3789">
        <f t="shared" si="239"/>
        <v>115</v>
      </c>
      <c r="T3789">
        <f>INDEX([1]IDEN_level_ids!$B:$B,MATCH(G3789,[1]IDEN_level_ids!$A:$A,0),1)</f>
        <v>800</v>
      </c>
      <c r="U3789">
        <f>INDEX([1]IDEN_level_ids!$B:$B,MATCH(H3789,[1]IDEN_level_ids!$A:$A,0),1)</f>
        <v>413</v>
      </c>
    </row>
    <row r="3790" spans="1:21" hidden="1" x14ac:dyDescent="0.25">
      <c r="A3790">
        <v>22970.681499999999</v>
      </c>
      <c r="B3790">
        <v>4353.3753999999999</v>
      </c>
      <c r="C3790">
        <v>22</v>
      </c>
      <c r="D3790" t="s">
        <v>781</v>
      </c>
      <c r="F3790">
        <v>1974</v>
      </c>
      <c r="G3790" s="1" t="s">
        <v>158</v>
      </c>
      <c r="H3790" s="1" t="s">
        <v>753</v>
      </c>
      <c r="I3790">
        <v>0</v>
      </c>
      <c r="J3790">
        <v>22970.6561</v>
      </c>
      <c r="K3790">
        <v>-4.81E-3</v>
      </c>
      <c r="L3790">
        <v>8.7299999999999999E-3</v>
      </c>
      <c r="M3790">
        <v>4.6100000000000002E-2</v>
      </c>
      <c r="N3790">
        <v>0.45290000000000002</v>
      </c>
      <c r="O3790">
        <v>1.5959999999999998E-2</v>
      </c>
      <c r="P3790" s="3">
        <f t="shared" si="236"/>
        <v>4353.3754103029114</v>
      </c>
      <c r="Q3790" s="3">
        <f t="shared" si="237"/>
        <v>-4.8137821986529161E-3</v>
      </c>
      <c r="R3790" s="3">
        <f t="shared" si="238"/>
        <v>8.7299999999999999E-3</v>
      </c>
      <c r="S3790">
        <f t="shared" si="239"/>
        <v>115</v>
      </c>
      <c r="T3790">
        <f>INDEX([1]IDEN_level_ids!$B:$B,MATCH(G3790,[1]IDEN_level_ids!$A:$A,0),1)</f>
        <v>779</v>
      </c>
      <c r="U3790">
        <f>INDEX([1]IDEN_level_ids!$B:$B,MATCH(H3790,[1]IDEN_level_ids!$A:$A,0),1)</f>
        <v>350</v>
      </c>
    </row>
    <row r="3791" spans="1:21" hidden="1" x14ac:dyDescent="0.25">
      <c r="A3791">
        <v>22965.731800000001</v>
      </c>
      <c r="B3791">
        <v>4354.3136999999997</v>
      </c>
      <c r="C3791">
        <v>22</v>
      </c>
      <c r="D3791" t="s">
        <v>781</v>
      </c>
      <c r="F3791">
        <v>1974</v>
      </c>
      <c r="G3791" s="1" t="s">
        <v>198</v>
      </c>
      <c r="H3791" s="1" t="s">
        <v>751</v>
      </c>
      <c r="I3791">
        <v>0</v>
      </c>
      <c r="J3791">
        <v>22965.773000000001</v>
      </c>
      <c r="K3791">
        <v>7.8100000000000001E-3</v>
      </c>
      <c r="L3791">
        <v>8.7299999999999999E-3</v>
      </c>
      <c r="M3791">
        <v>4.6100000000000002E-2</v>
      </c>
      <c r="N3791">
        <v>0.4083</v>
      </c>
      <c r="O3791">
        <v>1.4760000000000001E-2</v>
      </c>
      <c r="P3791" s="3">
        <f t="shared" si="236"/>
        <v>4354.3136735577482</v>
      </c>
      <c r="Q3791" s="3">
        <f t="shared" si="237"/>
        <v>7.8115255846569198E-3</v>
      </c>
      <c r="R3791" s="3">
        <f t="shared" si="238"/>
        <v>8.7299999999999999E-3</v>
      </c>
      <c r="S3791">
        <f t="shared" si="239"/>
        <v>115</v>
      </c>
      <c r="T3791">
        <f>INDEX([1]IDEN_level_ids!$B:$B,MATCH(G3791,[1]IDEN_level_ids!$A:$A,0),1)</f>
        <v>780</v>
      </c>
      <c r="U3791">
        <f>INDEX([1]IDEN_level_ids!$B:$B,MATCH(H3791,[1]IDEN_level_ids!$A:$A,0),1)</f>
        <v>344</v>
      </c>
    </row>
    <row r="3792" spans="1:21" hidden="1" x14ac:dyDescent="0.25">
      <c r="A3792">
        <v>22960.1996</v>
      </c>
      <c r="B3792">
        <v>4355.3627999999999</v>
      </c>
      <c r="C3792">
        <v>22</v>
      </c>
      <c r="D3792" t="s">
        <v>781</v>
      </c>
      <c r="F3792">
        <v>1974</v>
      </c>
      <c r="G3792" s="1" t="s">
        <v>222</v>
      </c>
      <c r="H3792" s="1" t="s">
        <v>782</v>
      </c>
      <c r="I3792">
        <v>0</v>
      </c>
      <c r="J3792">
        <v>22960.221699999998</v>
      </c>
      <c r="K3792">
        <v>4.1900000000000001E-3</v>
      </c>
      <c r="L3792">
        <v>8.7399999999999995E-3</v>
      </c>
      <c r="M3792">
        <v>4.6100000000000002E-2</v>
      </c>
      <c r="N3792">
        <v>0.67220000000000002</v>
      </c>
      <c r="O3792">
        <v>2.666E-2</v>
      </c>
      <c r="P3792" s="3">
        <f t="shared" si="236"/>
        <v>4355.3628340408677</v>
      </c>
      <c r="Q3792" s="3">
        <f t="shared" si="237"/>
        <v>4.1921859410649631E-3</v>
      </c>
      <c r="R3792" s="3">
        <f t="shared" si="238"/>
        <v>8.7399999999999995E-3</v>
      </c>
      <c r="S3792">
        <f t="shared" si="239"/>
        <v>115</v>
      </c>
      <c r="T3792">
        <f>INDEX([1]IDEN_level_ids!$B:$B,MATCH(G3792,[1]IDEN_level_ids!$A:$A,0),1)</f>
        <v>800</v>
      </c>
      <c r="U3792">
        <f>INDEX([1]IDEN_level_ids!$B:$B,MATCH(H3792,[1]IDEN_level_ids!$A:$A,0),1)</f>
        <v>420</v>
      </c>
    </row>
    <row r="3793" spans="1:21" hidden="1" x14ac:dyDescent="0.25">
      <c r="A3793">
        <v>22959.4673</v>
      </c>
      <c r="B3793">
        <v>4355.5018</v>
      </c>
      <c r="C3793">
        <v>22</v>
      </c>
      <c r="D3793" t="s">
        <v>781</v>
      </c>
      <c r="F3793">
        <v>1974</v>
      </c>
      <c r="G3793" s="1" t="s">
        <v>158</v>
      </c>
      <c r="H3793" s="1" t="s">
        <v>758</v>
      </c>
      <c r="I3793">
        <v>0</v>
      </c>
      <c r="J3793">
        <v>22959.486000000001</v>
      </c>
      <c r="K3793">
        <v>3.5500000000000002E-3</v>
      </c>
      <c r="L3793">
        <v>8.7399999999999995E-3</v>
      </c>
      <c r="M3793">
        <v>4.6100000000000002E-2</v>
      </c>
      <c r="N3793">
        <v>0.51380000000000003</v>
      </c>
      <c r="O3793">
        <v>1.797E-2</v>
      </c>
      <c r="P3793" s="3">
        <f t="shared" si="236"/>
        <v>4355.5017498162943</v>
      </c>
      <c r="Q3793" s="3">
        <f t="shared" si="237"/>
        <v>3.5474610676828888E-3</v>
      </c>
      <c r="R3793" s="3">
        <f t="shared" si="238"/>
        <v>8.7399999999999995E-3</v>
      </c>
      <c r="S3793">
        <f t="shared" si="239"/>
        <v>115</v>
      </c>
      <c r="T3793">
        <f>INDEX([1]IDEN_level_ids!$B:$B,MATCH(G3793,[1]IDEN_level_ids!$A:$A,0),1)</f>
        <v>779</v>
      </c>
      <c r="U3793">
        <f>INDEX([1]IDEN_level_ids!$B:$B,MATCH(H3793,[1]IDEN_level_ids!$A:$A,0),1)</f>
        <v>353</v>
      </c>
    </row>
    <row r="3794" spans="1:21" hidden="1" x14ac:dyDescent="0.25">
      <c r="A3794">
        <v>22957.842000000001</v>
      </c>
      <c r="B3794">
        <v>4355.8100999999997</v>
      </c>
      <c r="C3794">
        <v>22</v>
      </c>
      <c r="D3794" t="s">
        <v>781</v>
      </c>
      <c r="E3794" t="s">
        <v>427</v>
      </c>
      <c r="F3794">
        <v>1974</v>
      </c>
      <c r="G3794" s="1" t="s">
        <v>158</v>
      </c>
      <c r="H3794" s="1" t="s">
        <v>733</v>
      </c>
      <c r="I3794">
        <v>0</v>
      </c>
      <c r="J3794">
        <v>22957.882300000001</v>
      </c>
      <c r="K3794">
        <v>7.6400000000000001E-3</v>
      </c>
      <c r="L3794">
        <v>9.2499999999999995E-3</v>
      </c>
      <c r="M3794">
        <v>4.87E-2</v>
      </c>
      <c r="N3794">
        <v>0.38769999999999999</v>
      </c>
      <c r="O3794">
        <v>1.5100000000000001E-2</v>
      </c>
      <c r="P3794" s="3">
        <f t="shared" si="236"/>
        <v>4355.8100974821591</v>
      </c>
      <c r="Q3794" s="3">
        <f t="shared" si="237"/>
        <v>7.6461384651338449E-3</v>
      </c>
      <c r="R3794" s="3">
        <f t="shared" si="238"/>
        <v>9.2499999999999995E-3</v>
      </c>
      <c r="S3794">
        <f t="shared" si="239"/>
        <v>115</v>
      </c>
      <c r="T3794">
        <f>INDEX([1]IDEN_level_ids!$B:$B,MATCH(G3794,[1]IDEN_level_ids!$A:$A,0),1)</f>
        <v>779</v>
      </c>
      <c r="U3794">
        <f>INDEX([1]IDEN_level_ids!$B:$B,MATCH(H3794,[1]IDEN_level_ids!$A:$A,0),1)</f>
        <v>355</v>
      </c>
    </row>
    <row r="3795" spans="1:21" hidden="1" x14ac:dyDescent="0.25">
      <c r="A3795">
        <v>22952.613099999999</v>
      </c>
      <c r="B3795">
        <v>4356.8023999999996</v>
      </c>
      <c r="C3795">
        <v>22</v>
      </c>
      <c r="D3795" t="s">
        <v>781</v>
      </c>
      <c r="F3795">
        <v>1974</v>
      </c>
      <c r="G3795" s="1" t="s">
        <v>272</v>
      </c>
      <c r="H3795" s="1" t="s">
        <v>396</v>
      </c>
      <c r="I3795">
        <v>0.42980000000000002</v>
      </c>
      <c r="J3795">
        <v>22952.665799999999</v>
      </c>
      <c r="K3795">
        <v>0.01</v>
      </c>
      <c r="L3795">
        <v>8.7399999999999995E-3</v>
      </c>
      <c r="M3795">
        <v>4.6100000000000002E-2</v>
      </c>
      <c r="N3795">
        <v>0.1361</v>
      </c>
      <c r="O3795">
        <v>1.0120000000000001E-2</v>
      </c>
      <c r="P3795" s="3">
        <f t="shared" si="236"/>
        <v>4356.8024069555722</v>
      </c>
      <c r="Q3795" s="3">
        <f t="shared" si="237"/>
        <v>1.0003347272686369E-2</v>
      </c>
      <c r="R3795" s="3">
        <f t="shared" si="238"/>
        <v>8.7399999999999995E-3</v>
      </c>
      <c r="S3795">
        <f t="shared" si="239"/>
        <v>115</v>
      </c>
      <c r="T3795">
        <f>INDEX([1]IDEN_level_ids!$B:$B,MATCH(G3795,[1]IDEN_level_ids!$A:$A,0),1)</f>
        <v>1109</v>
      </c>
      <c r="U3795">
        <f>INDEX([1]IDEN_level_ids!$B:$B,MATCH(H3795,[1]IDEN_level_ids!$A:$A,0),1)</f>
        <v>1072</v>
      </c>
    </row>
    <row r="3796" spans="1:21" hidden="1" x14ac:dyDescent="0.25">
      <c r="A3796">
        <v>22941.294000000002</v>
      </c>
      <c r="B3796">
        <v>4358.9520000000002</v>
      </c>
      <c r="C3796">
        <v>22</v>
      </c>
      <c r="D3796" t="s">
        <v>781</v>
      </c>
      <c r="F3796">
        <v>1974</v>
      </c>
      <c r="G3796" s="1" t="s">
        <v>198</v>
      </c>
      <c r="H3796" s="1" t="s">
        <v>770</v>
      </c>
      <c r="I3796">
        <v>0</v>
      </c>
      <c r="J3796">
        <v>22941.3282</v>
      </c>
      <c r="K3796">
        <v>6.4900000000000001E-3</v>
      </c>
      <c r="L3796">
        <v>8.7500000000000008E-3</v>
      </c>
      <c r="M3796">
        <v>4.6100000000000002E-2</v>
      </c>
      <c r="N3796">
        <v>0.40400000000000003</v>
      </c>
      <c r="O3796">
        <v>1.469E-2</v>
      </c>
      <c r="P3796" s="3">
        <f t="shared" si="236"/>
        <v>4358.952027727817</v>
      </c>
      <c r="Q3796" s="3">
        <f t="shared" si="237"/>
        <v>6.4981485838870867E-3</v>
      </c>
      <c r="R3796" s="3">
        <f t="shared" si="238"/>
        <v>8.7500000000000008E-3</v>
      </c>
      <c r="S3796">
        <f t="shared" si="239"/>
        <v>115</v>
      </c>
      <c r="T3796">
        <f>INDEX([1]IDEN_level_ids!$B:$B,MATCH(G3796,[1]IDEN_level_ids!$A:$A,0),1)</f>
        <v>780</v>
      </c>
      <c r="U3796">
        <f>INDEX([1]IDEN_level_ids!$B:$B,MATCH(H3796,[1]IDEN_level_ids!$A:$A,0),1)</f>
        <v>351</v>
      </c>
    </row>
    <row r="3797" spans="1:21" hidden="1" x14ac:dyDescent="0.25">
      <c r="A3797">
        <v>22937.8521</v>
      </c>
      <c r="B3797">
        <v>4359.6061</v>
      </c>
      <c r="C3797">
        <v>22</v>
      </c>
      <c r="D3797" t="s">
        <v>781</v>
      </c>
      <c r="E3797" t="s">
        <v>661</v>
      </c>
      <c r="F3797">
        <v>1974</v>
      </c>
      <c r="G3797" s="1" t="s">
        <v>122</v>
      </c>
      <c r="H3797" s="1" t="s">
        <v>760</v>
      </c>
      <c r="I3797">
        <v>0</v>
      </c>
      <c r="J3797">
        <v>22937.875599999999</v>
      </c>
      <c r="K3797">
        <v>4.45E-3</v>
      </c>
      <c r="L3797">
        <v>9.6299999999999997E-3</v>
      </c>
      <c r="M3797">
        <v>5.0700000000000002E-2</v>
      </c>
      <c r="N3797">
        <v>0.58689999999999998</v>
      </c>
      <c r="O3797">
        <v>2.3310000000000001E-2</v>
      </c>
      <c r="P3797" s="3">
        <f t="shared" si="236"/>
        <v>4359.6061027876276</v>
      </c>
      <c r="Q3797" s="3">
        <f t="shared" si="237"/>
        <v>4.4664442866633181E-3</v>
      </c>
      <c r="R3797" s="3">
        <f t="shared" si="238"/>
        <v>9.6299999999999997E-3</v>
      </c>
      <c r="S3797">
        <f t="shared" si="239"/>
        <v>115</v>
      </c>
      <c r="T3797">
        <f>INDEX([1]IDEN_level_ids!$B:$B,MATCH(G3797,[1]IDEN_level_ids!$A:$A,0),1)</f>
        <v>750</v>
      </c>
      <c r="U3797">
        <f>INDEX([1]IDEN_level_ids!$B:$B,MATCH(H3797,[1]IDEN_level_ids!$A:$A,0),1)</f>
        <v>281</v>
      </c>
    </row>
    <row r="3798" spans="1:21" hidden="1" x14ac:dyDescent="0.25">
      <c r="A3798">
        <v>22931.422600000002</v>
      </c>
      <c r="B3798">
        <v>4360.8284000000003</v>
      </c>
      <c r="C3798">
        <v>22</v>
      </c>
      <c r="D3798" t="s">
        <v>781</v>
      </c>
      <c r="F3798">
        <v>1974</v>
      </c>
      <c r="G3798" s="1" t="s">
        <v>222</v>
      </c>
      <c r="H3798" s="1" t="s">
        <v>743</v>
      </c>
      <c r="I3798">
        <v>0</v>
      </c>
      <c r="J3798">
        <v>22931.404200000001</v>
      </c>
      <c r="K3798">
        <v>-3.5000000000000001E-3</v>
      </c>
      <c r="L3798">
        <v>8.7600000000000004E-3</v>
      </c>
      <c r="M3798">
        <v>4.6100000000000002E-2</v>
      </c>
      <c r="N3798">
        <v>0.69199999999999995</v>
      </c>
      <c r="O3798">
        <v>2.845E-2</v>
      </c>
      <c r="P3798" s="3">
        <f t="shared" si="236"/>
        <v>4360.8284468142847</v>
      </c>
      <c r="Q3798" s="3">
        <f t="shared" si="237"/>
        <v>-3.4990985604963498E-3</v>
      </c>
      <c r="R3798" s="3">
        <f t="shared" si="238"/>
        <v>8.7600000000000004E-3</v>
      </c>
      <c r="S3798">
        <f t="shared" si="239"/>
        <v>115</v>
      </c>
      <c r="T3798">
        <f>INDEX([1]IDEN_level_ids!$B:$B,MATCH(G3798,[1]IDEN_level_ids!$A:$A,0),1)</f>
        <v>800</v>
      </c>
      <c r="U3798">
        <f>INDEX([1]IDEN_level_ids!$B:$B,MATCH(H3798,[1]IDEN_level_ids!$A:$A,0),1)</f>
        <v>423</v>
      </c>
    </row>
    <row r="3799" spans="1:21" hidden="1" x14ac:dyDescent="0.25">
      <c r="A3799">
        <v>22906.250700000001</v>
      </c>
      <c r="B3799">
        <v>4365.6206000000002</v>
      </c>
      <c r="C3799">
        <v>22</v>
      </c>
      <c r="D3799" t="s">
        <v>781</v>
      </c>
      <c r="F3799">
        <v>1974</v>
      </c>
      <c r="G3799" s="1" t="s">
        <v>157</v>
      </c>
      <c r="H3799" s="1" t="s">
        <v>753</v>
      </c>
      <c r="I3799">
        <v>0</v>
      </c>
      <c r="J3799">
        <v>22906.3004</v>
      </c>
      <c r="K3799">
        <v>9.4800000000000006E-3</v>
      </c>
      <c r="L3799">
        <v>8.7799999999999996E-3</v>
      </c>
      <c r="M3799">
        <v>4.6100000000000002E-2</v>
      </c>
      <c r="N3799">
        <v>0.39389999999999997</v>
      </c>
      <c r="O3799">
        <v>1.448E-2</v>
      </c>
      <c r="P3799" s="3">
        <f t="shared" si="236"/>
        <v>4365.6206032879927</v>
      </c>
      <c r="Q3799" s="3">
        <f t="shared" si="237"/>
        <v>9.4721251443843357E-3</v>
      </c>
      <c r="R3799" s="3">
        <f t="shared" si="238"/>
        <v>8.7799999999999996E-3</v>
      </c>
      <c r="S3799">
        <f t="shared" si="239"/>
        <v>115</v>
      </c>
      <c r="T3799">
        <f>INDEX([1]IDEN_level_ids!$B:$B,MATCH(G3799,[1]IDEN_level_ids!$A:$A,0),1)</f>
        <v>778</v>
      </c>
      <c r="U3799">
        <f>INDEX([1]IDEN_level_ids!$B:$B,MATCH(H3799,[1]IDEN_level_ids!$A:$A,0),1)</f>
        <v>350</v>
      </c>
    </row>
    <row r="3800" spans="1:21" hidden="1" x14ac:dyDescent="0.25">
      <c r="A3800">
        <v>22905.610499999999</v>
      </c>
      <c r="B3800">
        <v>4365.7425999999996</v>
      </c>
      <c r="C3800">
        <v>22</v>
      </c>
      <c r="D3800" t="s">
        <v>781</v>
      </c>
      <c r="F3800">
        <v>1974</v>
      </c>
      <c r="G3800" s="1" t="s">
        <v>241</v>
      </c>
      <c r="H3800" s="1" t="s">
        <v>779</v>
      </c>
      <c r="I3800">
        <v>0</v>
      </c>
      <c r="J3800">
        <v>22905.634099999999</v>
      </c>
      <c r="K3800">
        <v>4.5100000000000001E-3</v>
      </c>
      <c r="L3800">
        <v>8.7799999999999996E-3</v>
      </c>
      <c r="M3800">
        <v>4.6100000000000002E-2</v>
      </c>
      <c r="N3800">
        <v>0.88680000000000003</v>
      </c>
      <c r="O3800">
        <v>7.7579999999999996E-2</v>
      </c>
      <c r="P3800" s="3">
        <f t="shared" si="236"/>
        <v>4365.7426201323033</v>
      </c>
      <c r="Q3800" s="3">
        <f t="shared" si="237"/>
        <v>4.4980866005062126E-3</v>
      </c>
      <c r="R3800" s="3">
        <f t="shared" si="238"/>
        <v>8.7799999999999996E-3</v>
      </c>
      <c r="S3800">
        <f t="shared" si="239"/>
        <v>115</v>
      </c>
      <c r="T3800">
        <f>INDEX([1]IDEN_level_ids!$B:$B,MATCH(G3800,[1]IDEN_level_ids!$A:$A,0),1)</f>
        <v>777</v>
      </c>
      <c r="U3800">
        <f>INDEX([1]IDEN_level_ids!$B:$B,MATCH(H3800,[1]IDEN_level_ids!$A:$A,0),1)</f>
        <v>332</v>
      </c>
    </row>
    <row r="3801" spans="1:21" hidden="1" x14ac:dyDescent="0.25">
      <c r="A3801">
        <v>22890.940999999999</v>
      </c>
      <c r="B3801">
        <v>4368.5403999999999</v>
      </c>
      <c r="C3801">
        <v>22</v>
      </c>
      <c r="D3801" t="s">
        <v>781</v>
      </c>
      <c r="F3801">
        <v>1974</v>
      </c>
      <c r="G3801" s="1" t="s">
        <v>157</v>
      </c>
      <c r="H3801" s="1" t="s">
        <v>771</v>
      </c>
      <c r="I3801">
        <v>0</v>
      </c>
      <c r="J3801">
        <v>22890.959599999998</v>
      </c>
      <c r="K3801">
        <v>3.5599999999999998E-3</v>
      </c>
      <c r="L3801">
        <v>8.7899999999999992E-3</v>
      </c>
      <c r="M3801">
        <v>4.6100000000000002E-2</v>
      </c>
      <c r="N3801">
        <v>0.39029999999999998</v>
      </c>
      <c r="O3801">
        <v>1.4420000000000001E-2</v>
      </c>
      <c r="P3801" s="3">
        <f t="shared" si="236"/>
        <v>4368.5403758630982</v>
      </c>
      <c r="Q3801" s="3">
        <f t="shared" si="237"/>
        <v>3.5496480886649806E-3</v>
      </c>
      <c r="R3801" s="3">
        <f t="shared" si="238"/>
        <v>8.7899999999999992E-3</v>
      </c>
      <c r="S3801">
        <f t="shared" si="239"/>
        <v>115</v>
      </c>
      <c r="T3801">
        <f>INDEX([1]IDEN_level_ids!$B:$B,MATCH(G3801,[1]IDEN_level_ids!$A:$A,0),1)</f>
        <v>778</v>
      </c>
      <c r="U3801">
        <f>INDEX([1]IDEN_level_ids!$B:$B,MATCH(H3801,[1]IDEN_level_ids!$A:$A,0),1)</f>
        <v>354</v>
      </c>
    </row>
    <row r="3802" spans="1:21" hidden="1" x14ac:dyDescent="0.25">
      <c r="A3802">
        <v>22889.227999999999</v>
      </c>
      <c r="B3802">
        <v>4368.8672999999999</v>
      </c>
      <c r="C3802">
        <v>22</v>
      </c>
      <c r="D3802" t="s">
        <v>781</v>
      </c>
      <c r="E3802" t="s">
        <v>661</v>
      </c>
      <c r="F3802">
        <v>1974</v>
      </c>
      <c r="G3802" s="1" t="s">
        <v>122</v>
      </c>
      <c r="H3802" s="1" t="s">
        <v>747</v>
      </c>
      <c r="I3802">
        <v>0</v>
      </c>
      <c r="J3802">
        <v>22889.2634</v>
      </c>
      <c r="K3802">
        <v>6.77E-3</v>
      </c>
      <c r="L3802">
        <v>9.6699999999999998E-3</v>
      </c>
      <c r="M3802">
        <v>5.0700000000000002E-2</v>
      </c>
      <c r="N3802">
        <v>0.58389999999999997</v>
      </c>
      <c r="O3802">
        <v>2.324E-2</v>
      </c>
      <c r="P3802" s="3">
        <f t="shared" si="236"/>
        <v>4368.8673117328381</v>
      </c>
      <c r="Q3802" s="3">
        <f t="shared" si="237"/>
        <v>6.7567881123977713E-3</v>
      </c>
      <c r="R3802" s="3">
        <f t="shared" si="238"/>
        <v>9.6699999999999998E-3</v>
      </c>
      <c r="S3802">
        <f t="shared" si="239"/>
        <v>115</v>
      </c>
      <c r="T3802">
        <f>INDEX([1]IDEN_level_ids!$B:$B,MATCH(G3802,[1]IDEN_level_ids!$A:$A,0),1)</f>
        <v>750</v>
      </c>
      <c r="U3802">
        <f>INDEX([1]IDEN_level_ids!$B:$B,MATCH(H3802,[1]IDEN_level_ids!$A:$A,0),1)</f>
        <v>283</v>
      </c>
    </row>
    <row r="3803" spans="1:21" hidden="1" x14ac:dyDescent="0.25">
      <c r="A3803">
        <v>22866.2664</v>
      </c>
      <c r="B3803">
        <v>4373.2543999999998</v>
      </c>
      <c r="C3803">
        <v>22</v>
      </c>
      <c r="D3803" t="s">
        <v>781</v>
      </c>
      <c r="F3803">
        <v>1974</v>
      </c>
      <c r="G3803" s="1" t="s">
        <v>122</v>
      </c>
      <c r="H3803" s="1" t="s">
        <v>748</v>
      </c>
      <c r="I3803">
        <v>0</v>
      </c>
      <c r="J3803">
        <v>22866.267</v>
      </c>
      <c r="K3803">
        <v>1.2E-4</v>
      </c>
      <c r="L3803">
        <v>8.8100000000000001E-3</v>
      </c>
      <c r="M3803">
        <v>4.6100000000000002E-2</v>
      </c>
      <c r="N3803">
        <v>0.51700000000000002</v>
      </c>
      <c r="O3803">
        <v>1.8239999999999999E-2</v>
      </c>
      <c r="P3803" s="3">
        <f t="shared" si="236"/>
        <v>4373.2543936425054</v>
      </c>
      <c r="Q3803" s="3">
        <f t="shared" si="237"/>
        <v>1.1475212068035034E-4</v>
      </c>
      <c r="R3803" s="3">
        <f t="shared" si="238"/>
        <v>8.8100000000000001E-3</v>
      </c>
      <c r="S3803">
        <f t="shared" si="239"/>
        <v>115</v>
      </c>
      <c r="T3803">
        <f>INDEX([1]IDEN_level_ids!$B:$B,MATCH(G3803,[1]IDEN_level_ids!$A:$A,0),1)</f>
        <v>750</v>
      </c>
      <c r="U3803">
        <f>INDEX([1]IDEN_level_ids!$B:$B,MATCH(H3803,[1]IDEN_level_ids!$A:$A,0),1)</f>
        <v>289</v>
      </c>
    </row>
    <row r="3804" spans="1:21" hidden="1" x14ac:dyDescent="0.25">
      <c r="A3804">
        <v>22858.136600000002</v>
      </c>
      <c r="B3804">
        <v>4374.8098</v>
      </c>
      <c r="C3804">
        <v>22</v>
      </c>
      <c r="D3804" t="s">
        <v>781</v>
      </c>
      <c r="F3804">
        <v>1974</v>
      </c>
      <c r="G3804" s="1" t="s">
        <v>124</v>
      </c>
      <c r="H3804" s="1" t="s">
        <v>774</v>
      </c>
      <c r="I3804">
        <v>0</v>
      </c>
      <c r="J3804">
        <v>22858.156599999998</v>
      </c>
      <c r="K3804">
        <v>3.8400000000000001E-3</v>
      </c>
      <c r="L3804">
        <v>8.8199999999999997E-3</v>
      </c>
      <c r="M3804">
        <v>4.6100000000000002E-2</v>
      </c>
      <c r="N3804">
        <v>0.47699999999999998</v>
      </c>
      <c r="O3804">
        <v>1.686E-2</v>
      </c>
      <c r="P3804" s="3">
        <f t="shared" si="236"/>
        <v>4374.8097996754468</v>
      </c>
      <c r="Q3804" s="3">
        <f t="shared" si="237"/>
        <v>3.8277888070297195E-3</v>
      </c>
      <c r="R3804" s="3">
        <f t="shared" si="238"/>
        <v>8.8199999999999997E-3</v>
      </c>
      <c r="S3804">
        <f t="shared" si="239"/>
        <v>115</v>
      </c>
      <c r="T3804">
        <f>INDEX([1]IDEN_level_ids!$B:$B,MATCH(G3804,[1]IDEN_level_ids!$A:$A,0),1)</f>
        <v>776</v>
      </c>
      <c r="U3804">
        <f>INDEX([1]IDEN_level_ids!$B:$B,MATCH(H3804,[1]IDEN_level_ids!$A:$A,0),1)</f>
        <v>337</v>
      </c>
    </row>
    <row r="3805" spans="1:21" hidden="1" x14ac:dyDescent="0.25">
      <c r="A3805">
        <v>22855.418600000001</v>
      </c>
      <c r="B3805">
        <v>4375.33</v>
      </c>
      <c r="C3805">
        <v>22</v>
      </c>
      <c r="D3805" t="s">
        <v>784</v>
      </c>
      <c r="F3805">
        <v>1974</v>
      </c>
      <c r="G3805" s="1" t="s">
        <v>122</v>
      </c>
      <c r="H3805" s="1" t="s">
        <v>765</v>
      </c>
      <c r="I3805">
        <v>0</v>
      </c>
      <c r="J3805">
        <v>22855.431799999998</v>
      </c>
      <c r="K3805">
        <v>2.5200000000000001E-3</v>
      </c>
      <c r="L3805">
        <v>8.8199999999999997E-3</v>
      </c>
      <c r="M3805">
        <v>4.6100000000000002E-2</v>
      </c>
      <c r="N3805">
        <v>0.45329999999999998</v>
      </c>
      <c r="O3805">
        <v>1.6129999999999999E-2</v>
      </c>
      <c r="P3805" s="3">
        <f t="shared" si="236"/>
        <v>4375.3300584921244</v>
      </c>
      <c r="Q3805" s="3">
        <f t="shared" si="237"/>
        <v>2.5269422712881351E-3</v>
      </c>
      <c r="R3805" s="3">
        <f t="shared" si="238"/>
        <v>8.8199999999999997E-3</v>
      </c>
      <c r="S3805">
        <f t="shared" si="239"/>
        <v>116</v>
      </c>
      <c r="T3805">
        <f>INDEX([1]IDEN_level_ids!$B:$B,MATCH(G3805,[1]IDEN_level_ids!$A:$A,0),1)</f>
        <v>750</v>
      </c>
      <c r="U3805">
        <f>INDEX([1]IDEN_level_ids!$B:$B,MATCH(H3805,[1]IDEN_level_ids!$A:$A,0),1)</f>
        <v>293</v>
      </c>
    </row>
    <row r="3806" spans="1:21" hidden="1" x14ac:dyDescent="0.25">
      <c r="A3806">
        <v>22853.133999999998</v>
      </c>
      <c r="B3806">
        <v>4375.7673999999997</v>
      </c>
      <c r="C3806">
        <v>22</v>
      </c>
      <c r="D3806" t="s">
        <v>784</v>
      </c>
      <c r="F3806">
        <v>1974</v>
      </c>
      <c r="G3806" s="1" t="s">
        <v>191</v>
      </c>
      <c r="H3806" s="1" t="s">
        <v>766</v>
      </c>
      <c r="I3806">
        <v>0</v>
      </c>
      <c r="J3806">
        <v>22853.137900000002</v>
      </c>
      <c r="K3806">
        <v>7.3999999999999999E-4</v>
      </c>
      <c r="L3806">
        <v>8.8199999999999997E-3</v>
      </c>
      <c r="M3806">
        <v>4.6100000000000002E-2</v>
      </c>
      <c r="N3806">
        <v>0.77580000000000005</v>
      </c>
      <c r="O3806">
        <v>3.934E-2</v>
      </c>
      <c r="P3806" s="3">
        <f t="shared" si="236"/>
        <v>4375.7674549144995</v>
      </c>
      <c r="Q3806" s="3">
        <f t="shared" si="237"/>
        <v>7.4674616553238593E-4</v>
      </c>
      <c r="R3806" s="3">
        <f t="shared" si="238"/>
        <v>8.8199999999999997E-3</v>
      </c>
      <c r="S3806">
        <f t="shared" si="239"/>
        <v>116</v>
      </c>
      <c r="T3806">
        <f>INDEX([1]IDEN_level_ids!$B:$B,MATCH(G3806,[1]IDEN_level_ids!$A:$A,0),1)</f>
        <v>749</v>
      </c>
      <c r="U3806">
        <f>INDEX([1]IDEN_level_ids!$B:$B,MATCH(H3806,[1]IDEN_level_ids!$A:$A,0),1)</f>
        <v>280</v>
      </c>
    </row>
    <row r="3807" spans="1:21" hidden="1" x14ac:dyDescent="0.25">
      <c r="A3807">
        <v>22829.901099999999</v>
      </c>
      <c r="B3807">
        <v>4380.2205000000004</v>
      </c>
      <c r="C3807">
        <v>22</v>
      </c>
      <c r="D3807" t="s">
        <v>784</v>
      </c>
      <c r="F3807">
        <v>1974</v>
      </c>
      <c r="G3807" s="1" t="s">
        <v>99</v>
      </c>
      <c r="H3807" s="1" t="s">
        <v>762</v>
      </c>
      <c r="I3807">
        <v>0</v>
      </c>
      <c r="J3807">
        <v>22829.910500000002</v>
      </c>
      <c r="K3807">
        <v>1.8E-3</v>
      </c>
      <c r="L3807">
        <v>8.8400000000000006E-3</v>
      </c>
      <c r="M3807">
        <v>4.6100000000000002E-2</v>
      </c>
      <c r="N3807">
        <v>0.70330000000000004</v>
      </c>
      <c r="O3807">
        <v>2.9780000000000001E-2</v>
      </c>
      <c r="P3807" s="3">
        <f t="shared" si="236"/>
        <v>4380.2204644679778</v>
      </c>
      <c r="Q3807" s="3">
        <f t="shared" si="237"/>
        <v>1.8035144012173987E-3</v>
      </c>
      <c r="R3807" s="3">
        <f t="shared" si="238"/>
        <v>8.8400000000000006E-3</v>
      </c>
      <c r="S3807">
        <f t="shared" si="239"/>
        <v>116</v>
      </c>
      <c r="T3807">
        <f>INDEX([1]IDEN_level_ids!$B:$B,MATCH(G3807,[1]IDEN_level_ids!$A:$A,0),1)</f>
        <v>689</v>
      </c>
      <c r="U3807">
        <f>INDEX([1]IDEN_level_ids!$B:$B,MATCH(H3807,[1]IDEN_level_ids!$A:$A,0),1)</f>
        <v>186</v>
      </c>
    </row>
    <row r="3808" spans="1:21" hidden="1" x14ac:dyDescent="0.25">
      <c r="A3808">
        <v>22825.574000000001</v>
      </c>
      <c r="B3808">
        <v>4381.0508</v>
      </c>
      <c r="C3808">
        <v>22</v>
      </c>
      <c r="D3808" t="s">
        <v>784</v>
      </c>
      <c r="F3808">
        <v>1974</v>
      </c>
      <c r="G3808" s="1" t="s">
        <v>250</v>
      </c>
      <c r="H3808" s="1" t="s">
        <v>407</v>
      </c>
      <c r="I3808">
        <v>0.27489999999999998</v>
      </c>
      <c r="J3808">
        <v>22825.624899999999</v>
      </c>
      <c r="K3808">
        <v>9.7599999999999996E-3</v>
      </c>
      <c r="L3808">
        <v>8.8400000000000006E-3</v>
      </c>
      <c r="M3808">
        <v>4.6100000000000002E-2</v>
      </c>
      <c r="N3808">
        <v>8.4099999999999994E-2</v>
      </c>
      <c r="O3808">
        <v>9.6500000000000006E-3</v>
      </c>
      <c r="P3808" s="3">
        <f t="shared" si="236"/>
        <v>4381.0508335956847</v>
      </c>
      <c r="Q3808" s="3">
        <f t="shared" si="237"/>
        <v>9.7695238746382529E-3</v>
      </c>
      <c r="R3808" s="3">
        <f t="shared" si="238"/>
        <v>8.8400000000000006E-3</v>
      </c>
      <c r="S3808">
        <f t="shared" si="239"/>
        <v>116</v>
      </c>
      <c r="T3808">
        <f>INDEX([1]IDEN_level_ids!$B:$B,MATCH(G3808,[1]IDEN_level_ids!$A:$A,0),1)</f>
        <v>1107</v>
      </c>
      <c r="U3808">
        <f>INDEX([1]IDEN_level_ids!$B:$B,MATCH(H3808,[1]IDEN_level_ids!$A:$A,0),1)</f>
        <v>1073</v>
      </c>
    </row>
    <row r="3809" spans="1:21" hidden="1" x14ac:dyDescent="0.25">
      <c r="A3809">
        <v>22816.9899</v>
      </c>
      <c r="B3809">
        <v>4382.6990999999998</v>
      </c>
      <c r="C3809">
        <v>22</v>
      </c>
      <c r="D3809" t="s">
        <v>784</v>
      </c>
      <c r="F3809">
        <v>1974</v>
      </c>
      <c r="G3809" s="1" t="s">
        <v>171</v>
      </c>
      <c r="H3809" s="1" t="s">
        <v>759</v>
      </c>
      <c r="I3809">
        <v>0</v>
      </c>
      <c r="J3809">
        <v>22817.0016</v>
      </c>
      <c r="K3809">
        <v>2.2499999999999998E-3</v>
      </c>
      <c r="L3809">
        <v>8.8500000000000002E-3</v>
      </c>
      <c r="M3809">
        <v>4.6100000000000002E-2</v>
      </c>
      <c r="N3809">
        <v>0.90469999999999995</v>
      </c>
      <c r="O3809">
        <v>9.289E-2</v>
      </c>
      <c r="P3809" s="3">
        <f t="shared" si="236"/>
        <v>4382.6990518148932</v>
      </c>
      <c r="Q3809" s="3">
        <f t="shared" si="237"/>
        <v>2.2473408116638893E-3</v>
      </c>
      <c r="R3809" s="3">
        <f t="shared" si="238"/>
        <v>8.8500000000000002E-3</v>
      </c>
      <c r="S3809">
        <f t="shared" si="239"/>
        <v>116</v>
      </c>
      <c r="T3809">
        <f>INDEX([1]IDEN_level_ids!$B:$B,MATCH(G3809,[1]IDEN_level_ids!$A:$A,0),1)</f>
        <v>774</v>
      </c>
      <c r="U3809">
        <f>INDEX([1]IDEN_level_ids!$B:$B,MATCH(H3809,[1]IDEN_level_ids!$A:$A,0),1)</f>
        <v>333</v>
      </c>
    </row>
    <row r="3810" spans="1:21" hidden="1" x14ac:dyDescent="0.25">
      <c r="A3810">
        <v>22816.376400000001</v>
      </c>
      <c r="B3810">
        <v>4382.8168999999998</v>
      </c>
      <c r="C3810">
        <v>22</v>
      </c>
      <c r="D3810" t="s">
        <v>784</v>
      </c>
      <c r="F3810">
        <v>1974</v>
      </c>
      <c r="G3810" s="1" t="s">
        <v>124</v>
      </c>
      <c r="H3810" s="1" t="s">
        <v>751</v>
      </c>
      <c r="I3810">
        <v>0</v>
      </c>
      <c r="J3810">
        <v>22816.360199999999</v>
      </c>
      <c r="K3810">
        <v>-3.1099999999999999E-3</v>
      </c>
      <c r="L3810">
        <v>8.8500000000000002E-3</v>
      </c>
      <c r="M3810">
        <v>4.6100000000000002E-2</v>
      </c>
      <c r="N3810">
        <v>0.35520000000000002</v>
      </c>
      <c r="O3810">
        <v>1.372E-2</v>
      </c>
      <c r="P3810" s="3">
        <f t="shared" si="236"/>
        <v>4382.8168963762364</v>
      </c>
      <c r="Q3810" s="3">
        <f t="shared" si="237"/>
        <v>-3.1118738088480313E-3</v>
      </c>
      <c r="R3810" s="3">
        <f t="shared" si="238"/>
        <v>8.8500000000000002E-3</v>
      </c>
      <c r="S3810">
        <f t="shared" si="239"/>
        <v>116</v>
      </c>
      <c r="T3810">
        <f>INDEX([1]IDEN_level_ids!$B:$B,MATCH(G3810,[1]IDEN_level_ids!$A:$A,0),1)</f>
        <v>776</v>
      </c>
      <c r="U3810">
        <f>INDEX([1]IDEN_level_ids!$B:$B,MATCH(H3810,[1]IDEN_level_ids!$A:$A,0),1)</f>
        <v>344</v>
      </c>
    </row>
    <row r="3811" spans="1:21" hidden="1" x14ac:dyDescent="0.25">
      <c r="A3811">
        <v>22814.6371</v>
      </c>
      <c r="B3811">
        <v>4383.1509999999998</v>
      </c>
      <c r="C3811">
        <v>22</v>
      </c>
      <c r="D3811" t="s">
        <v>784</v>
      </c>
      <c r="E3811" t="s">
        <v>638</v>
      </c>
      <c r="F3811">
        <v>1974</v>
      </c>
      <c r="G3811" s="1" t="s">
        <v>237</v>
      </c>
      <c r="H3811" s="1" t="s">
        <v>779</v>
      </c>
      <c r="I3811">
        <v>0</v>
      </c>
      <c r="J3811">
        <v>22814.627799999998</v>
      </c>
      <c r="K3811">
        <v>-1.7899999999999999E-3</v>
      </c>
      <c r="L3811">
        <v>3.32E-2</v>
      </c>
      <c r="M3811">
        <v>0.17280000000000001</v>
      </c>
      <c r="N3811">
        <v>0.1678</v>
      </c>
      <c r="O3811">
        <v>3.9899999999999998E-2</v>
      </c>
      <c r="P3811" s="3">
        <f t="shared" si="236"/>
        <v>4383.1510254441</v>
      </c>
      <c r="Q3811" s="3">
        <f t="shared" si="237"/>
        <v>-1.7867179294626112E-3</v>
      </c>
      <c r="R3811" s="3">
        <f t="shared" si="238"/>
        <v>3.32E-2</v>
      </c>
      <c r="S3811">
        <f t="shared" si="239"/>
        <v>116</v>
      </c>
      <c r="T3811">
        <f>INDEX([1]IDEN_level_ids!$B:$B,MATCH(G3811,[1]IDEN_level_ids!$A:$A,0),1)</f>
        <v>773</v>
      </c>
      <c r="U3811">
        <f>INDEX([1]IDEN_level_ids!$B:$B,MATCH(H3811,[1]IDEN_level_ids!$A:$A,0),1)</f>
        <v>332</v>
      </c>
    </row>
    <row r="3812" spans="1:21" hidden="1" x14ac:dyDescent="0.25">
      <c r="A3812">
        <v>22800.9719</v>
      </c>
      <c r="B3812">
        <v>4385.7780000000002</v>
      </c>
      <c r="C3812">
        <v>22</v>
      </c>
      <c r="D3812" t="s">
        <v>784</v>
      </c>
      <c r="F3812">
        <v>1974</v>
      </c>
      <c r="G3812" s="1" t="s">
        <v>710</v>
      </c>
      <c r="H3812" s="1" t="s">
        <v>511</v>
      </c>
      <c r="I3812">
        <v>0.77669999999999995</v>
      </c>
      <c r="J3812">
        <v>22800.8848</v>
      </c>
      <c r="K3812">
        <v>-1.6750000000000001E-2</v>
      </c>
      <c r="L3812">
        <v>8.8599999999999998E-3</v>
      </c>
      <c r="M3812">
        <v>4.6100000000000002E-2</v>
      </c>
      <c r="N3812">
        <v>0.2117</v>
      </c>
      <c r="O3812">
        <v>1.124E-2</v>
      </c>
      <c r="P3812" s="3">
        <f t="shared" si="236"/>
        <v>4385.7779588772701</v>
      </c>
      <c r="Q3812" s="3">
        <f t="shared" si="237"/>
        <v>-1.6753791073824686E-2</v>
      </c>
      <c r="R3812" s="3">
        <f t="shared" si="238"/>
        <v>8.8599999999999998E-3</v>
      </c>
      <c r="S3812">
        <f t="shared" si="239"/>
        <v>116</v>
      </c>
      <c r="T3812">
        <f>INDEX([1]IDEN_level_ids!$B:$B,MATCH(G3812,[1]IDEN_level_ids!$A:$A,0),1)</f>
        <v>1246</v>
      </c>
      <c r="U3812">
        <f>INDEX([1]IDEN_level_ids!$B:$B,MATCH(H3812,[1]IDEN_level_ids!$A:$A,0),1)</f>
        <v>1139</v>
      </c>
    </row>
    <row r="3813" spans="1:21" hidden="1" x14ac:dyDescent="0.25">
      <c r="A3813">
        <v>22791.907500000001</v>
      </c>
      <c r="B3813">
        <v>4387.5222000000003</v>
      </c>
      <c r="C3813">
        <v>22</v>
      </c>
      <c r="D3813" t="s">
        <v>784</v>
      </c>
      <c r="F3813">
        <v>1974</v>
      </c>
      <c r="G3813" s="1" t="s">
        <v>124</v>
      </c>
      <c r="H3813" s="1" t="s">
        <v>770</v>
      </c>
      <c r="I3813">
        <v>0</v>
      </c>
      <c r="J3813">
        <v>22791.915400000002</v>
      </c>
      <c r="K3813">
        <v>1.5299999999999999E-3</v>
      </c>
      <c r="L3813">
        <v>8.8699999999999994E-3</v>
      </c>
      <c r="M3813">
        <v>4.6100000000000002E-2</v>
      </c>
      <c r="N3813">
        <v>0.34670000000000001</v>
      </c>
      <c r="O3813">
        <v>1.357E-2</v>
      </c>
      <c r="P3813" s="3">
        <f t="shared" si="236"/>
        <v>4387.5221940067977</v>
      </c>
      <c r="Q3813" s="3">
        <f t="shared" si="237"/>
        <v>1.5207772021312849E-3</v>
      </c>
      <c r="R3813" s="3">
        <f t="shared" si="238"/>
        <v>8.8699999999999994E-3</v>
      </c>
      <c r="S3813">
        <f t="shared" si="239"/>
        <v>116</v>
      </c>
      <c r="T3813">
        <f>INDEX([1]IDEN_level_ids!$B:$B,MATCH(G3813,[1]IDEN_level_ids!$A:$A,0),1)</f>
        <v>776</v>
      </c>
      <c r="U3813">
        <f>INDEX([1]IDEN_level_ids!$B:$B,MATCH(H3813,[1]IDEN_level_ids!$A:$A,0),1)</f>
        <v>351</v>
      </c>
    </row>
    <row r="3814" spans="1:21" hidden="1" x14ac:dyDescent="0.25">
      <c r="A3814">
        <v>22790.810399999998</v>
      </c>
      <c r="B3814">
        <v>4387.7334000000001</v>
      </c>
      <c r="C3814">
        <v>22</v>
      </c>
      <c r="D3814" t="s">
        <v>784</v>
      </c>
      <c r="F3814">
        <v>1974</v>
      </c>
      <c r="G3814" s="1" t="s">
        <v>309</v>
      </c>
      <c r="H3814" s="1" t="s">
        <v>565</v>
      </c>
      <c r="I3814">
        <v>0.1676</v>
      </c>
      <c r="J3814">
        <v>22790.862499999999</v>
      </c>
      <c r="K3814">
        <v>1.0030000000000001E-2</v>
      </c>
      <c r="L3814">
        <v>8.8699999999999994E-3</v>
      </c>
      <c r="M3814">
        <v>4.6100000000000002E-2</v>
      </c>
      <c r="N3814">
        <v>0.16750000000000001</v>
      </c>
      <c r="O3814">
        <v>1.065E-2</v>
      </c>
      <c r="P3814" s="3">
        <f t="shared" si="236"/>
        <v>4387.733399774148</v>
      </c>
      <c r="Q3814" s="3">
        <f t="shared" si="237"/>
        <v>1.0030375556198123E-2</v>
      </c>
      <c r="R3814" s="3">
        <f t="shared" si="238"/>
        <v>8.8699999999999994E-3</v>
      </c>
      <c r="S3814">
        <f t="shared" si="239"/>
        <v>116</v>
      </c>
      <c r="T3814">
        <f>INDEX([1]IDEN_level_ids!$B:$B,MATCH(G3814,[1]IDEN_level_ids!$A:$A,0),1)</f>
        <v>1094</v>
      </c>
      <c r="U3814">
        <f>INDEX([1]IDEN_level_ids!$B:$B,MATCH(H3814,[1]IDEN_level_ids!$A:$A,0),1)</f>
        <v>1004</v>
      </c>
    </row>
    <row r="3815" spans="1:21" hidden="1" x14ac:dyDescent="0.25">
      <c r="A3815">
        <v>22790.499</v>
      </c>
      <c r="B3815">
        <v>4387.7933999999996</v>
      </c>
      <c r="C3815">
        <v>22</v>
      </c>
      <c r="D3815" t="s">
        <v>784</v>
      </c>
      <c r="F3815">
        <v>1974</v>
      </c>
      <c r="G3815" s="1" t="s">
        <v>124</v>
      </c>
      <c r="H3815" s="1" t="s">
        <v>753</v>
      </c>
      <c r="I3815">
        <v>0</v>
      </c>
      <c r="J3815">
        <v>22790.525099999999</v>
      </c>
      <c r="K3815">
        <v>5.0200000000000002E-3</v>
      </c>
      <c r="L3815">
        <v>8.8699999999999994E-3</v>
      </c>
      <c r="M3815">
        <v>4.6100000000000002E-2</v>
      </c>
      <c r="N3815">
        <v>0.37790000000000001</v>
      </c>
      <c r="O3815">
        <v>1.426E-2</v>
      </c>
      <c r="P3815" s="3">
        <f t="shared" si="236"/>
        <v>4387.7933519577609</v>
      </c>
      <c r="Q3815" s="3">
        <f t="shared" si="237"/>
        <v>5.0249569057996268E-3</v>
      </c>
      <c r="R3815" s="3">
        <f t="shared" si="238"/>
        <v>8.8699999999999994E-3</v>
      </c>
      <c r="S3815">
        <f t="shared" si="239"/>
        <v>116</v>
      </c>
      <c r="T3815">
        <f>INDEX([1]IDEN_level_ids!$B:$B,MATCH(G3815,[1]IDEN_level_ids!$A:$A,0),1)</f>
        <v>776</v>
      </c>
      <c r="U3815">
        <f>INDEX([1]IDEN_level_ids!$B:$B,MATCH(H3815,[1]IDEN_level_ids!$A:$A,0),1)</f>
        <v>350</v>
      </c>
    </row>
    <row r="3816" spans="1:21" hidden="1" x14ac:dyDescent="0.25">
      <c r="A3816">
        <v>22775.8308</v>
      </c>
      <c r="B3816">
        <v>4390.6192000000001</v>
      </c>
      <c r="C3816">
        <v>22</v>
      </c>
      <c r="D3816" t="s">
        <v>784</v>
      </c>
      <c r="F3816">
        <v>1974</v>
      </c>
      <c r="G3816" s="1" t="s">
        <v>302</v>
      </c>
      <c r="H3816" s="1" t="s">
        <v>587</v>
      </c>
      <c r="I3816">
        <v>0.13569999999999999</v>
      </c>
      <c r="J3816">
        <v>22775.8531</v>
      </c>
      <c r="K3816">
        <v>4.2900000000000004E-3</v>
      </c>
      <c r="L3816">
        <v>8.8800000000000007E-3</v>
      </c>
      <c r="M3816">
        <v>4.6100000000000002E-2</v>
      </c>
      <c r="N3816">
        <v>0.1061</v>
      </c>
      <c r="O3816">
        <v>9.9299999999999996E-3</v>
      </c>
      <c r="P3816" s="3">
        <f t="shared" si="236"/>
        <v>4390.6191997176238</v>
      </c>
      <c r="Q3816" s="3">
        <f t="shared" si="237"/>
        <v>4.2988865325241932E-3</v>
      </c>
      <c r="R3816" s="3">
        <f t="shared" si="238"/>
        <v>8.8800000000000007E-3</v>
      </c>
      <c r="S3816">
        <f t="shared" si="239"/>
        <v>116</v>
      </c>
      <c r="T3816">
        <f>INDEX([1]IDEN_level_ids!$B:$B,MATCH(G3816,[1]IDEN_level_ids!$A:$A,0),1)</f>
        <v>1100</v>
      </c>
      <c r="U3816">
        <f>INDEX([1]IDEN_level_ids!$B:$B,MATCH(H3816,[1]IDEN_level_ids!$A:$A,0),1)</f>
        <v>1035</v>
      </c>
    </row>
    <row r="3817" spans="1:21" hidden="1" x14ac:dyDescent="0.25">
      <c r="A3817">
        <v>22775.188200000001</v>
      </c>
      <c r="B3817">
        <v>4390.7430999999997</v>
      </c>
      <c r="C3817">
        <v>22</v>
      </c>
      <c r="D3817" t="s">
        <v>784</v>
      </c>
      <c r="F3817">
        <v>1974</v>
      </c>
      <c r="G3817" s="1" t="s">
        <v>124</v>
      </c>
      <c r="H3817" s="1" t="s">
        <v>771</v>
      </c>
      <c r="I3817">
        <v>0</v>
      </c>
      <c r="J3817">
        <v>22775.1842</v>
      </c>
      <c r="K3817">
        <v>-7.6000000000000004E-4</v>
      </c>
      <c r="L3817">
        <v>8.8800000000000007E-3</v>
      </c>
      <c r="M3817">
        <v>4.6100000000000002E-2</v>
      </c>
      <c r="N3817">
        <v>0.36770000000000003</v>
      </c>
      <c r="O3817">
        <v>1.405E-2</v>
      </c>
      <c r="P3817" s="3">
        <f t="shared" si="236"/>
        <v>4390.7430806653001</v>
      </c>
      <c r="Q3817" s="3">
        <f t="shared" si="237"/>
        <v>-7.7114512805565028E-4</v>
      </c>
      <c r="R3817" s="3">
        <f t="shared" si="238"/>
        <v>8.8800000000000007E-3</v>
      </c>
      <c r="S3817">
        <f t="shared" si="239"/>
        <v>116</v>
      </c>
      <c r="T3817">
        <f>INDEX([1]IDEN_level_ids!$B:$B,MATCH(G3817,[1]IDEN_level_ids!$A:$A,0),1)</f>
        <v>776</v>
      </c>
      <c r="U3817">
        <f>INDEX([1]IDEN_level_ids!$B:$B,MATCH(H3817,[1]IDEN_level_ids!$A:$A,0),1)</f>
        <v>354</v>
      </c>
    </row>
    <row r="3818" spans="1:21" hidden="1" x14ac:dyDescent="0.25">
      <c r="A3818">
        <v>22773.896700000001</v>
      </c>
      <c r="B3818">
        <v>4390.9921000000004</v>
      </c>
      <c r="C3818">
        <v>22</v>
      </c>
      <c r="D3818" t="s">
        <v>784</v>
      </c>
      <c r="E3818" t="s">
        <v>681</v>
      </c>
      <c r="F3818">
        <v>1974</v>
      </c>
      <c r="G3818" s="1" t="s">
        <v>492</v>
      </c>
      <c r="H3818" s="1" t="s">
        <v>381</v>
      </c>
      <c r="I3818">
        <v>0.50449999999999995</v>
      </c>
      <c r="J3818">
        <v>22773.890100000001</v>
      </c>
      <c r="K3818">
        <v>-1.2800000000000001E-3</v>
      </c>
      <c r="L3818">
        <v>1.549E-2</v>
      </c>
      <c r="M3818">
        <v>8.0299999999999996E-2</v>
      </c>
      <c r="N3818">
        <v>8.0799999999999997E-2</v>
      </c>
      <c r="O3818">
        <v>1.685E-2</v>
      </c>
      <c r="P3818" s="3">
        <f t="shared" si="236"/>
        <v>4390.9920782243644</v>
      </c>
      <c r="Q3818" s="3">
        <f t="shared" si="237"/>
        <v>-1.2725339238386368E-3</v>
      </c>
      <c r="R3818" s="3">
        <f t="shared" si="238"/>
        <v>1.549E-2</v>
      </c>
      <c r="S3818">
        <f t="shared" si="239"/>
        <v>116</v>
      </c>
      <c r="T3818">
        <f>INDEX([1]IDEN_level_ids!$B:$B,MATCH(G3818,[1]IDEN_level_ids!$A:$A,0),1)</f>
        <v>1132</v>
      </c>
      <c r="U3818">
        <f>INDEX([1]IDEN_level_ids!$B:$B,MATCH(H3818,[1]IDEN_level_ids!$A:$A,0),1)</f>
        <v>1084</v>
      </c>
    </row>
    <row r="3819" spans="1:21" hidden="1" x14ac:dyDescent="0.25">
      <c r="A3819">
        <v>22764.697100000001</v>
      </c>
      <c r="B3819">
        <v>4392.7665999999999</v>
      </c>
      <c r="C3819">
        <v>22</v>
      </c>
      <c r="D3819" t="s">
        <v>784</v>
      </c>
      <c r="E3819" t="s">
        <v>427</v>
      </c>
      <c r="F3819">
        <v>1974</v>
      </c>
      <c r="G3819" s="1" t="s">
        <v>706</v>
      </c>
      <c r="H3819" s="1" t="s">
        <v>334</v>
      </c>
      <c r="I3819">
        <v>0</v>
      </c>
      <c r="J3819">
        <v>22764.701099999998</v>
      </c>
      <c r="K3819">
        <v>7.7999999999999999E-4</v>
      </c>
      <c r="L3819">
        <v>9.4000000000000004E-3</v>
      </c>
      <c r="M3819">
        <v>4.87E-2</v>
      </c>
      <c r="N3819">
        <v>0.1032</v>
      </c>
      <c r="O3819">
        <v>1.048E-2</v>
      </c>
      <c r="P3819" s="3">
        <f t="shared" si="236"/>
        <v>4392.7665525582588</v>
      </c>
      <c r="Q3819" s="3">
        <f t="shared" si="237"/>
        <v>7.718557835687534E-4</v>
      </c>
      <c r="R3819" s="3">
        <f t="shared" si="238"/>
        <v>9.4000000000000004E-3</v>
      </c>
      <c r="S3819">
        <f t="shared" si="239"/>
        <v>116</v>
      </c>
      <c r="T3819">
        <f>INDEX([1]IDEN_level_ids!$B:$B,MATCH(G3819,[1]IDEN_level_ids!$A:$A,0),1)</f>
        <v>1240</v>
      </c>
      <c r="U3819">
        <f>INDEX([1]IDEN_level_ids!$B:$B,MATCH(H3819,[1]IDEN_level_ids!$A:$A,0),1)</f>
        <v>1124</v>
      </c>
    </row>
    <row r="3820" spans="1:21" hidden="1" x14ac:dyDescent="0.25">
      <c r="A3820">
        <v>22727.631000000001</v>
      </c>
      <c r="B3820">
        <v>4399.9305999999997</v>
      </c>
      <c r="C3820">
        <v>22</v>
      </c>
      <c r="D3820" t="s">
        <v>784</v>
      </c>
      <c r="E3820" t="s">
        <v>427</v>
      </c>
      <c r="F3820">
        <v>1974</v>
      </c>
      <c r="G3820" s="1" t="s">
        <v>237</v>
      </c>
      <c r="H3820" s="1" t="s">
        <v>773</v>
      </c>
      <c r="I3820">
        <v>0</v>
      </c>
      <c r="J3820">
        <v>22727.696400000001</v>
      </c>
      <c r="K3820">
        <v>1.268E-2</v>
      </c>
      <c r="L3820">
        <v>9.4299999999999991E-3</v>
      </c>
      <c r="M3820">
        <v>4.87E-2</v>
      </c>
      <c r="N3820">
        <v>0.76070000000000004</v>
      </c>
      <c r="O3820">
        <v>3.9419999999999997E-2</v>
      </c>
      <c r="P3820" s="3">
        <f t="shared" si="236"/>
        <v>4399.9306394933992</v>
      </c>
      <c r="Q3820" s="3">
        <f t="shared" si="237"/>
        <v>1.2661004387155117E-2</v>
      </c>
      <c r="R3820" s="3">
        <f t="shared" si="238"/>
        <v>9.4299999999999991E-3</v>
      </c>
      <c r="S3820">
        <f t="shared" si="239"/>
        <v>116</v>
      </c>
      <c r="T3820">
        <f>INDEX([1]IDEN_level_ids!$B:$B,MATCH(G3820,[1]IDEN_level_ids!$A:$A,0),1)</f>
        <v>773</v>
      </c>
      <c r="U3820">
        <f>INDEX([1]IDEN_level_ids!$B:$B,MATCH(H3820,[1]IDEN_level_ids!$A:$A,0),1)</f>
        <v>330</v>
      </c>
    </row>
    <row r="3821" spans="1:21" hidden="1" x14ac:dyDescent="0.25">
      <c r="A3821">
        <v>22715.837100000001</v>
      </c>
      <c r="B3821">
        <v>4402.2151000000003</v>
      </c>
      <c r="C3821">
        <v>22</v>
      </c>
      <c r="D3821" t="s">
        <v>785</v>
      </c>
      <c r="F3821">
        <v>1974</v>
      </c>
      <c r="G3821" s="1" t="s">
        <v>292</v>
      </c>
      <c r="H3821" s="1" t="s">
        <v>786</v>
      </c>
      <c r="I3821">
        <v>0</v>
      </c>
      <c r="J3821">
        <v>22715.8524</v>
      </c>
      <c r="K3821">
        <v>2.9499999999999999E-3</v>
      </c>
      <c r="L3821">
        <v>8.9300000000000004E-3</v>
      </c>
      <c r="M3821">
        <v>4.6100000000000002E-2</v>
      </c>
      <c r="N3821">
        <v>1</v>
      </c>
      <c r="P3821" s="3">
        <f t="shared" si="236"/>
        <v>4402.2150519823899</v>
      </c>
      <c r="Q3821" s="3">
        <f t="shared" si="237"/>
        <v>2.9650610995304305E-3</v>
      </c>
      <c r="R3821" s="3">
        <f t="shared" si="238"/>
        <v>8.9300000000000004E-3</v>
      </c>
      <c r="S3821">
        <f t="shared" si="239"/>
        <v>117</v>
      </c>
      <c r="T3821">
        <f>INDEX([1]IDEN_level_ids!$B:$B,MATCH(G3821,[1]IDEN_level_ids!$A:$A,0),1)</f>
        <v>796</v>
      </c>
      <c r="U3821">
        <f>INDEX([1]IDEN_level_ids!$B:$B,MATCH(H3821,[1]IDEN_level_ids!$A:$A,0),1)</f>
        <v>411</v>
      </c>
    </row>
    <row r="3822" spans="1:21" hidden="1" x14ac:dyDescent="0.25">
      <c r="A3822">
        <v>22715.367399999999</v>
      </c>
      <c r="B3822">
        <v>4402.3060999999998</v>
      </c>
      <c r="C3822">
        <v>22</v>
      </c>
      <c r="D3822" t="s">
        <v>785</v>
      </c>
      <c r="F3822">
        <v>1974</v>
      </c>
      <c r="G3822" s="1" t="s">
        <v>299</v>
      </c>
      <c r="H3822" s="1" t="s">
        <v>454</v>
      </c>
      <c r="I3822">
        <v>0</v>
      </c>
      <c r="J3822">
        <v>22715.366600000001</v>
      </c>
      <c r="K3822">
        <v>-1.3999999999999999E-4</v>
      </c>
      <c r="L3822">
        <v>8.9300000000000004E-3</v>
      </c>
      <c r="M3822">
        <v>4.6100000000000002E-2</v>
      </c>
      <c r="N3822">
        <v>9.8799999999999999E-2</v>
      </c>
      <c r="O3822">
        <v>9.9100000000000004E-3</v>
      </c>
      <c r="P3822" s="3">
        <f t="shared" si="236"/>
        <v>4402.3060793636996</v>
      </c>
      <c r="Q3822" s="3">
        <f t="shared" si="237"/>
        <v>-1.550423958178726E-4</v>
      </c>
      <c r="R3822" s="3">
        <f t="shared" si="238"/>
        <v>8.9300000000000004E-3</v>
      </c>
      <c r="S3822">
        <f t="shared" si="239"/>
        <v>117</v>
      </c>
      <c r="T3822">
        <f>INDEX([1]IDEN_level_ids!$B:$B,MATCH(G3822,[1]IDEN_level_ids!$A:$A,0),1)</f>
        <v>1101</v>
      </c>
      <c r="U3822">
        <f>INDEX([1]IDEN_level_ids!$B:$B,MATCH(H3822,[1]IDEN_level_ids!$A:$A,0),1)</f>
        <v>1036</v>
      </c>
    </row>
    <row r="3823" spans="1:21" hidden="1" x14ac:dyDescent="0.25">
      <c r="A3823">
        <v>22709.9797</v>
      </c>
      <c r="B3823">
        <v>4403.3504999999996</v>
      </c>
      <c r="C3823">
        <v>22</v>
      </c>
      <c r="D3823" t="s">
        <v>785</v>
      </c>
      <c r="F3823">
        <v>1974</v>
      </c>
      <c r="G3823" s="1" t="s">
        <v>170</v>
      </c>
      <c r="H3823" s="1" t="s">
        <v>765</v>
      </c>
      <c r="I3823">
        <v>0</v>
      </c>
      <c r="J3823">
        <v>22709.999400000001</v>
      </c>
      <c r="K3823">
        <v>3.82E-3</v>
      </c>
      <c r="L3823">
        <v>8.9300000000000004E-3</v>
      </c>
      <c r="M3823">
        <v>4.6100000000000002E-2</v>
      </c>
      <c r="N3823">
        <v>0.41799999999999998</v>
      </c>
      <c r="O3823">
        <v>1.5350000000000001E-2</v>
      </c>
      <c r="P3823" s="3">
        <f t="shared" si="236"/>
        <v>4403.3504794370201</v>
      </c>
      <c r="Q3823" s="3">
        <f t="shared" si="237"/>
        <v>3.8197272888282896E-3</v>
      </c>
      <c r="R3823" s="3">
        <f t="shared" si="238"/>
        <v>8.9300000000000004E-3</v>
      </c>
      <c r="S3823">
        <f t="shared" si="239"/>
        <v>117</v>
      </c>
      <c r="T3823">
        <f>INDEX([1]IDEN_level_ids!$B:$B,MATCH(G3823,[1]IDEN_level_ids!$A:$A,0),1)</f>
        <v>746</v>
      </c>
      <c r="U3823">
        <f>INDEX([1]IDEN_level_ids!$B:$B,MATCH(H3823,[1]IDEN_level_ids!$A:$A,0),1)</f>
        <v>293</v>
      </c>
    </row>
    <row r="3824" spans="1:21" hidden="1" x14ac:dyDescent="0.25">
      <c r="A3824">
        <v>22708.121999999999</v>
      </c>
      <c r="B3824">
        <v>4403.7106999999996</v>
      </c>
      <c r="C3824">
        <v>22</v>
      </c>
      <c r="D3824" t="s">
        <v>785</v>
      </c>
      <c r="E3824" t="s">
        <v>427</v>
      </c>
      <c r="F3824">
        <v>1974</v>
      </c>
      <c r="G3824" s="1" t="s">
        <v>292</v>
      </c>
      <c r="H3824" s="1" t="s">
        <v>780</v>
      </c>
      <c r="I3824">
        <v>0</v>
      </c>
      <c r="J3824">
        <v>22708.123200000002</v>
      </c>
      <c r="K3824">
        <v>2.3000000000000001E-4</v>
      </c>
      <c r="L3824">
        <v>9.4500000000000001E-3</v>
      </c>
      <c r="M3824">
        <v>4.87E-2</v>
      </c>
      <c r="N3824">
        <v>0.85270000000000001</v>
      </c>
      <c r="O3824">
        <v>6.4140000000000003E-2</v>
      </c>
      <c r="P3824" s="3">
        <f t="shared" si="236"/>
        <v>4403.7107075609338</v>
      </c>
      <c r="Q3824" s="3">
        <f t="shared" si="237"/>
        <v>2.3271200461749686E-4</v>
      </c>
      <c r="R3824" s="3">
        <f t="shared" si="238"/>
        <v>9.4500000000000001E-3</v>
      </c>
      <c r="S3824">
        <f t="shared" si="239"/>
        <v>117</v>
      </c>
      <c r="T3824">
        <f>INDEX([1]IDEN_level_ids!$B:$B,MATCH(G3824,[1]IDEN_level_ids!$A:$A,0),1)</f>
        <v>796</v>
      </c>
      <c r="U3824">
        <f>INDEX([1]IDEN_level_ids!$B:$B,MATCH(H3824,[1]IDEN_level_ids!$A:$A,0),1)</f>
        <v>413</v>
      </c>
    </row>
    <row r="3825" spans="1:21" hidden="1" x14ac:dyDescent="0.25">
      <c r="A3825">
        <v>22706.012500000001</v>
      </c>
      <c r="B3825">
        <v>4404.1198000000004</v>
      </c>
      <c r="C3825">
        <v>22</v>
      </c>
      <c r="D3825" t="s">
        <v>785</v>
      </c>
      <c r="E3825" t="s">
        <v>427</v>
      </c>
      <c r="F3825">
        <v>1974</v>
      </c>
      <c r="G3825" s="1" t="s">
        <v>237</v>
      </c>
      <c r="H3825" s="1" t="s">
        <v>442</v>
      </c>
      <c r="I3825">
        <v>0</v>
      </c>
      <c r="J3825">
        <v>22706.0095</v>
      </c>
      <c r="K3825">
        <v>-5.9000000000000003E-4</v>
      </c>
      <c r="L3825">
        <v>9.4500000000000001E-3</v>
      </c>
      <c r="M3825">
        <v>4.87E-2</v>
      </c>
      <c r="N3825">
        <v>0.96399999999999997</v>
      </c>
      <c r="O3825">
        <v>0.26245000000000002</v>
      </c>
      <c r="P3825" s="3">
        <f t="shared" si="236"/>
        <v>4404.1198338986205</v>
      </c>
      <c r="Q3825" s="3">
        <f t="shared" si="237"/>
        <v>-5.8188822185911704E-4</v>
      </c>
      <c r="R3825" s="3">
        <f t="shared" si="238"/>
        <v>9.4500000000000001E-3</v>
      </c>
      <c r="S3825">
        <f t="shared" si="239"/>
        <v>117</v>
      </c>
      <c r="T3825">
        <f>INDEX([1]IDEN_level_ids!$B:$B,MATCH(G3825,[1]IDEN_level_ids!$A:$A,0),1)</f>
        <v>773</v>
      </c>
      <c r="U3825">
        <f>INDEX([1]IDEN_level_ids!$B:$B,MATCH(H3825,[1]IDEN_level_ids!$A:$A,0),1)</f>
        <v>336</v>
      </c>
    </row>
    <row r="3826" spans="1:21" hidden="1" x14ac:dyDescent="0.25">
      <c r="A3826">
        <v>22703.208500000001</v>
      </c>
      <c r="B3826">
        <v>4404.6638000000003</v>
      </c>
      <c r="C3826">
        <v>22</v>
      </c>
      <c r="D3826" t="s">
        <v>785</v>
      </c>
      <c r="E3826" t="s">
        <v>427</v>
      </c>
      <c r="F3826">
        <v>1974</v>
      </c>
      <c r="G3826" s="1" t="s">
        <v>149</v>
      </c>
      <c r="H3826" s="1" t="s">
        <v>733</v>
      </c>
      <c r="I3826">
        <v>0</v>
      </c>
      <c r="J3826">
        <v>22703.240399999999</v>
      </c>
      <c r="K3826">
        <v>6.1799999999999997E-3</v>
      </c>
      <c r="L3826">
        <v>9.4500000000000001E-3</v>
      </c>
      <c r="M3826">
        <v>4.87E-2</v>
      </c>
      <c r="N3826">
        <v>0.41520000000000001</v>
      </c>
      <c r="O3826">
        <v>1.617E-2</v>
      </c>
      <c r="P3826" s="3">
        <f t="shared" si="236"/>
        <v>4404.663772523606</v>
      </c>
      <c r="Q3826" s="3">
        <f t="shared" si="237"/>
        <v>6.1889303842690424E-3</v>
      </c>
      <c r="R3826" s="3">
        <f t="shared" si="238"/>
        <v>9.4500000000000001E-3</v>
      </c>
      <c r="S3826">
        <f t="shared" si="239"/>
        <v>117</v>
      </c>
      <c r="T3826">
        <f>INDEX([1]IDEN_level_ids!$B:$B,MATCH(G3826,[1]IDEN_level_ids!$A:$A,0),1)</f>
        <v>772</v>
      </c>
      <c r="U3826">
        <f>INDEX([1]IDEN_level_ids!$B:$B,MATCH(H3826,[1]IDEN_level_ids!$A:$A,0),1)</f>
        <v>355</v>
      </c>
    </row>
    <row r="3827" spans="1:21" hidden="1" x14ac:dyDescent="0.25">
      <c r="A3827">
        <v>22700.698100000001</v>
      </c>
      <c r="B3827">
        <v>4405.1508999999996</v>
      </c>
      <c r="C3827">
        <v>22</v>
      </c>
      <c r="D3827" t="s">
        <v>785</v>
      </c>
      <c r="E3827" t="s">
        <v>427</v>
      </c>
      <c r="F3827">
        <v>1974</v>
      </c>
      <c r="G3827" s="1" t="s">
        <v>149</v>
      </c>
      <c r="H3827" s="1" t="s">
        <v>771</v>
      </c>
      <c r="I3827">
        <v>0</v>
      </c>
      <c r="J3827">
        <v>22700.673299999999</v>
      </c>
      <c r="K3827">
        <v>-4.8199999999999996E-3</v>
      </c>
      <c r="L3827">
        <v>9.4599999999999997E-3</v>
      </c>
      <c r="M3827">
        <v>4.87E-2</v>
      </c>
      <c r="N3827">
        <v>0.3841</v>
      </c>
      <c r="O3827">
        <v>1.5350000000000001E-2</v>
      </c>
      <c r="P3827" s="3">
        <f t="shared" si="236"/>
        <v>4405.1508706685981</v>
      </c>
      <c r="Q3827" s="3">
        <f t="shared" si="237"/>
        <v>-4.8125330986295012E-3</v>
      </c>
      <c r="R3827" s="3">
        <f t="shared" si="238"/>
        <v>9.4599999999999997E-3</v>
      </c>
      <c r="S3827">
        <f t="shared" si="239"/>
        <v>117</v>
      </c>
      <c r="T3827">
        <f>INDEX([1]IDEN_level_ids!$B:$B,MATCH(G3827,[1]IDEN_level_ids!$A:$A,0),1)</f>
        <v>772</v>
      </c>
      <c r="U3827">
        <f>INDEX([1]IDEN_level_ids!$B:$B,MATCH(H3827,[1]IDEN_level_ids!$A:$A,0),1)</f>
        <v>354</v>
      </c>
    </row>
    <row r="3828" spans="1:21" hidden="1" x14ac:dyDescent="0.25">
      <c r="A3828">
        <v>22696.616699999999</v>
      </c>
      <c r="B3828">
        <v>4405.9430000000002</v>
      </c>
      <c r="C3828">
        <v>22</v>
      </c>
      <c r="D3828" t="s">
        <v>785</v>
      </c>
      <c r="F3828">
        <v>1974</v>
      </c>
      <c r="G3828" s="1" t="s">
        <v>310</v>
      </c>
      <c r="H3828" s="1" t="s">
        <v>134</v>
      </c>
      <c r="I3828">
        <v>0</v>
      </c>
      <c r="J3828">
        <v>22696.649300000001</v>
      </c>
      <c r="K3828">
        <v>6.3200000000000001E-3</v>
      </c>
      <c r="L3828">
        <v>8.94E-3</v>
      </c>
      <c r="M3828">
        <v>4.6100000000000002E-2</v>
      </c>
      <c r="N3828">
        <v>0.19059999999999999</v>
      </c>
      <c r="O3828">
        <v>1.1050000000000001E-2</v>
      </c>
      <c r="P3828" s="3">
        <f t="shared" si="236"/>
        <v>4405.9430232172008</v>
      </c>
      <c r="Q3828" s="3">
        <f t="shared" si="237"/>
        <v>6.3284117695729947E-3</v>
      </c>
      <c r="R3828" s="3">
        <f t="shared" si="238"/>
        <v>8.94E-3</v>
      </c>
      <c r="S3828">
        <f t="shared" si="239"/>
        <v>117</v>
      </c>
      <c r="T3828">
        <f>INDEX([1]IDEN_level_ids!$B:$B,MATCH(G3828,[1]IDEN_level_ids!$A:$A,0),1)</f>
        <v>1230</v>
      </c>
      <c r="U3828">
        <f>INDEX([1]IDEN_level_ids!$B:$B,MATCH(H3828,[1]IDEN_level_ids!$A:$A,0),1)</f>
        <v>1114</v>
      </c>
    </row>
    <row r="3829" spans="1:21" hidden="1" x14ac:dyDescent="0.25">
      <c r="A3829">
        <v>22686.398000000001</v>
      </c>
      <c r="B3829">
        <v>4407.9276</v>
      </c>
      <c r="C3829">
        <v>22</v>
      </c>
      <c r="D3829" t="s">
        <v>785</v>
      </c>
      <c r="F3829">
        <v>1974</v>
      </c>
      <c r="G3829" s="1" t="s">
        <v>297</v>
      </c>
      <c r="H3829" s="1" t="s">
        <v>475</v>
      </c>
      <c r="I3829">
        <v>0.18990000000000001</v>
      </c>
      <c r="J3829">
        <v>22686.4401</v>
      </c>
      <c r="K3829">
        <v>8.1799999999999998E-3</v>
      </c>
      <c r="L3829">
        <v>8.9499999999999996E-3</v>
      </c>
      <c r="M3829">
        <v>4.6100000000000002E-2</v>
      </c>
      <c r="N3829">
        <v>0.1386</v>
      </c>
      <c r="O3829">
        <v>1.039E-2</v>
      </c>
      <c r="P3829" s="3">
        <f t="shared" si="236"/>
        <v>4407.9276049022856</v>
      </c>
      <c r="Q3829" s="3">
        <f t="shared" si="237"/>
        <v>8.1799414692795835E-3</v>
      </c>
      <c r="R3829" s="3">
        <f t="shared" si="238"/>
        <v>8.9499999999999996E-3</v>
      </c>
      <c r="S3829">
        <f t="shared" si="239"/>
        <v>117</v>
      </c>
      <c r="T3829">
        <f>INDEX([1]IDEN_level_ids!$B:$B,MATCH(G3829,[1]IDEN_level_ids!$A:$A,0),1)</f>
        <v>1099</v>
      </c>
      <c r="U3829">
        <f>INDEX([1]IDEN_level_ids!$B:$B,MATCH(H3829,[1]IDEN_level_ids!$A:$A,0),1)</f>
        <v>1030</v>
      </c>
    </row>
    <row r="3830" spans="1:21" hidden="1" x14ac:dyDescent="0.25">
      <c r="A3830">
        <v>22685.233199999999</v>
      </c>
      <c r="B3830">
        <v>4408.1539000000002</v>
      </c>
      <c r="C3830">
        <v>22</v>
      </c>
      <c r="D3830" t="s">
        <v>785</v>
      </c>
      <c r="F3830">
        <v>1974</v>
      </c>
      <c r="G3830" s="1" t="s">
        <v>425</v>
      </c>
      <c r="H3830" s="1" t="s">
        <v>475</v>
      </c>
      <c r="I3830">
        <v>-0.64800000000000002</v>
      </c>
      <c r="J3830">
        <v>22685.288499999999</v>
      </c>
      <c r="K3830">
        <v>1.0749999999999999E-2</v>
      </c>
      <c r="L3830">
        <v>8.9499999999999996E-3</v>
      </c>
      <c r="M3830">
        <v>4.6100000000000002E-2</v>
      </c>
      <c r="N3830">
        <v>0.17480000000000001</v>
      </c>
      <c r="O3830">
        <v>1.085E-2</v>
      </c>
      <c r="P3830" s="3">
        <f t="shared" si="236"/>
        <v>4408.1539351334504</v>
      </c>
      <c r="Q3830" s="3">
        <f t="shared" si="237"/>
        <v>1.0745770881840144E-2</v>
      </c>
      <c r="R3830" s="3">
        <f t="shared" si="238"/>
        <v>8.9499999999999996E-3</v>
      </c>
      <c r="S3830">
        <f t="shared" si="239"/>
        <v>117</v>
      </c>
      <c r="T3830">
        <f>INDEX([1]IDEN_level_ids!$B:$B,MATCH(G3830,[1]IDEN_level_ids!$A:$A,0),1)</f>
        <v>1098</v>
      </c>
      <c r="U3830">
        <f>INDEX([1]IDEN_level_ids!$B:$B,MATCH(H3830,[1]IDEN_level_ids!$A:$A,0),1)</f>
        <v>1030</v>
      </c>
    </row>
    <row r="3831" spans="1:21" hidden="1" x14ac:dyDescent="0.25">
      <c r="A3831">
        <v>22677.4836</v>
      </c>
      <c r="B3831">
        <v>4409.6602999999996</v>
      </c>
      <c r="C3831">
        <v>22</v>
      </c>
      <c r="D3831" t="s">
        <v>785</v>
      </c>
      <c r="F3831">
        <v>1974</v>
      </c>
      <c r="G3831" s="1" t="s">
        <v>123</v>
      </c>
      <c r="H3831" s="1" t="s">
        <v>770</v>
      </c>
      <c r="I3831">
        <v>0</v>
      </c>
      <c r="J3831">
        <v>22677.5298</v>
      </c>
      <c r="K3831">
        <v>8.9999999999999993E-3</v>
      </c>
      <c r="L3831">
        <v>8.9599999999999992E-3</v>
      </c>
      <c r="M3831">
        <v>4.6100000000000002E-2</v>
      </c>
      <c r="N3831">
        <v>0.42180000000000001</v>
      </c>
      <c r="O3831">
        <v>1.549E-2</v>
      </c>
      <c r="P3831" s="3">
        <f t="shared" si="236"/>
        <v>4409.6603381514515</v>
      </c>
      <c r="Q3831" s="3">
        <f t="shared" si="237"/>
        <v>8.9836198831108049E-3</v>
      </c>
      <c r="R3831" s="3">
        <f t="shared" si="238"/>
        <v>8.9599999999999992E-3</v>
      </c>
      <c r="S3831">
        <f t="shared" si="239"/>
        <v>117</v>
      </c>
      <c r="T3831">
        <f>INDEX([1]IDEN_level_ids!$B:$B,MATCH(G3831,[1]IDEN_level_ids!$A:$A,0),1)</f>
        <v>775</v>
      </c>
      <c r="U3831">
        <f>INDEX([1]IDEN_level_ids!$B:$B,MATCH(H3831,[1]IDEN_level_ids!$A:$A,0),1)</f>
        <v>351</v>
      </c>
    </row>
    <row r="3832" spans="1:21" hidden="1" x14ac:dyDescent="0.25">
      <c r="A3832">
        <v>22660.782999999999</v>
      </c>
      <c r="B3832">
        <v>4412.9102000000003</v>
      </c>
      <c r="C3832">
        <v>22</v>
      </c>
      <c r="D3832" t="s">
        <v>785</v>
      </c>
      <c r="E3832" t="s">
        <v>427</v>
      </c>
      <c r="F3832">
        <v>1974</v>
      </c>
      <c r="G3832" s="1" t="s">
        <v>123</v>
      </c>
      <c r="H3832" s="1" t="s">
        <v>771</v>
      </c>
      <c r="I3832">
        <v>0</v>
      </c>
      <c r="J3832">
        <v>22660.798699999999</v>
      </c>
      <c r="K3832">
        <v>3.0400000000000002E-3</v>
      </c>
      <c r="L3832">
        <v>9.4900000000000002E-3</v>
      </c>
      <c r="M3832">
        <v>4.87E-2</v>
      </c>
      <c r="N3832">
        <v>0.38109999999999999</v>
      </c>
      <c r="O3832">
        <v>1.533E-2</v>
      </c>
      <c r="P3832" s="3">
        <f t="shared" si="236"/>
        <v>4412.9101805528962</v>
      </c>
      <c r="Q3832" s="3">
        <f t="shared" si="237"/>
        <v>3.0573807543987641E-3</v>
      </c>
      <c r="R3832" s="3">
        <f t="shared" si="238"/>
        <v>9.4900000000000002E-3</v>
      </c>
      <c r="S3832">
        <f t="shared" si="239"/>
        <v>117</v>
      </c>
      <c r="T3832">
        <f>INDEX([1]IDEN_level_ids!$B:$B,MATCH(G3832,[1]IDEN_level_ids!$A:$A,0),1)</f>
        <v>775</v>
      </c>
      <c r="U3832">
        <f>INDEX([1]IDEN_level_ids!$B:$B,MATCH(H3832,[1]IDEN_level_ids!$A:$A,0),1)</f>
        <v>354</v>
      </c>
    </row>
    <row r="3833" spans="1:21" hidden="1" x14ac:dyDescent="0.25">
      <c r="A3833">
        <v>22630.662100000001</v>
      </c>
      <c r="B3833">
        <v>4418.7837</v>
      </c>
      <c r="C3833">
        <v>22</v>
      </c>
      <c r="D3833" t="s">
        <v>785</v>
      </c>
      <c r="E3833" t="s">
        <v>661</v>
      </c>
      <c r="F3833">
        <v>1974</v>
      </c>
      <c r="G3833" s="1" t="s">
        <v>346</v>
      </c>
      <c r="H3833" s="1" t="s">
        <v>691</v>
      </c>
      <c r="I3833">
        <v>0.69030000000000002</v>
      </c>
      <c r="J3833">
        <v>22630.707399999999</v>
      </c>
      <c r="K3833">
        <v>8.8500000000000002E-3</v>
      </c>
      <c r="L3833">
        <v>9.8899999999999995E-3</v>
      </c>
      <c r="M3833">
        <v>5.0700000000000002E-2</v>
      </c>
      <c r="N3833">
        <v>0.2792</v>
      </c>
      <c r="O3833">
        <v>1.372E-2</v>
      </c>
      <c r="P3833" s="3">
        <f t="shared" si="236"/>
        <v>4418.7836643100245</v>
      </c>
      <c r="Q3833" s="3">
        <f t="shared" si="237"/>
        <v>8.8451013234589482E-3</v>
      </c>
      <c r="R3833" s="3">
        <f t="shared" si="238"/>
        <v>9.8899999999999995E-3</v>
      </c>
      <c r="S3833">
        <f t="shared" si="239"/>
        <v>117</v>
      </c>
      <c r="T3833">
        <f>INDEX([1]IDEN_level_ids!$B:$B,MATCH(G3833,[1]IDEN_level_ids!$A:$A,0),1)</f>
        <v>1159</v>
      </c>
      <c r="U3833">
        <f>INDEX([1]IDEN_level_ids!$B:$B,MATCH(H3833,[1]IDEN_level_ids!$A:$A,0),1)</f>
        <v>1092</v>
      </c>
    </row>
    <row r="3834" spans="1:21" hidden="1" x14ac:dyDescent="0.25">
      <c r="A3834">
        <v>22612.429899999999</v>
      </c>
      <c r="B3834">
        <v>4422.3464999999997</v>
      </c>
      <c r="C3834">
        <v>22</v>
      </c>
      <c r="D3834" t="s">
        <v>785</v>
      </c>
      <c r="F3834">
        <v>1974</v>
      </c>
      <c r="G3834" s="1" t="s">
        <v>310</v>
      </c>
      <c r="H3834" s="1" t="s">
        <v>262</v>
      </c>
      <c r="I3834">
        <v>0</v>
      </c>
      <c r="J3834">
        <v>22612.459299999999</v>
      </c>
      <c r="K3834">
        <v>5.7600000000000004E-3</v>
      </c>
      <c r="L3834">
        <v>9.0100000000000006E-3</v>
      </c>
      <c r="M3834">
        <v>4.6100000000000002E-2</v>
      </c>
      <c r="N3834">
        <v>0.15540000000000001</v>
      </c>
      <c r="O3834">
        <v>1.0670000000000001E-2</v>
      </c>
      <c r="P3834" s="3">
        <f t="shared" si="236"/>
        <v>4422.3464900603185</v>
      </c>
      <c r="Q3834" s="3">
        <f t="shared" si="237"/>
        <v>5.749794176153955E-3</v>
      </c>
      <c r="R3834" s="3">
        <f t="shared" si="238"/>
        <v>9.0100000000000006E-3</v>
      </c>
      <c r="S3834">
        <f t="shared" si="239"/>
        <v>117</v>
      </c>
      <c r="T3834">
        <f>INDEX([1]IDEN_level_ids!$B:$B,MATCH(G3834,[1]IDEN_level_ids!$A:$A,0),1)</f>
        <v>1230</v>
      </c>
      <c r="U3834">
        <f>INDEX([1]IDEN_level_ids!$B:$B,MATCH(H3834,[1]IDEN_level_ids!$A:$A,0),1)</f>
        <v>1115</v>
      </c>
    </row>
    <row r="3835" spans="1:21" hidden="1" x14ac:dyDescent="0.25">
      <c r="A3835">
        <v>22577.098000000002</v>
      </c>
      <c r="B3835">
        <v>4429.2672000000002</v>
      </c>
      <c r="C3835">
        <v>22</v>
      </c>
      <c r="D3835" t="s">
        <v>787</v>
      </c>
      <c r="E3835" t="s">
        <v>661</v>
      </c>
      <c r="F3835">
        <v>1974</v>
      </c>
      <c r="G3835" s="1" t="s">
        <v>214</v>
      </c>
      <c r="H3835" s="1" t="s">
        <v>777</v>
      </c>
      <c r="I3835">
        <v>0</v>
      </c>
      <c r="J3835">
        <v>22577.154999999999</v>
      </c>
      <c r="K3835">
        <v>1.12E-2</v>
      </c>
      <c r="L3835">
        <v>9.9399999999999992E-3</v>
      </c>
      <c r="M3835">
        <v>5.0700000000000002E-2</v>
      </c>
      <c r="N3835">
        <v>0.69210000000000005</v>
      </c>
      <c r="O3835">
        <v>3.227E-2</v>
      </c>
      <c r="P3835" s="3">
        <f t="shared" si="236"/>
        <v>4429.2672158308387</v>
      </c>
      <c r="Q3835" s="3">
        <f t="shared" si="237"/>
        <v>1.1182464367266221E-2</v>
      </c>
      <c r="R3835" s="3">
        <f t="shared" si="238"/>
        <v>9.9399999999999992E-3</v>
      </c>
      <c r="S3835">
        <f t="shared" si="239"/>
        <v>118</v>
      </c>
      <c r="T3835">
        <f>INDEX([1]IDEN_level_ids!$B:$B,MATCH(G3835,[1]IDEN_level_ids!$A:$A,0),1)</f>
        <v>794</v>
      </c>
      <c r="U3835">
        <f>INDEX([1]IDEN_level_ids!$B:$B,MATCH(H3835,[1]IDEN_level_ids!$A:$A,0),1)</f>
        <v>414</v>
      </c>
    </row>
    <row r="3836" spans="1:21" hidden="1" x14ac:dyDescent="0.25">
      <c r="A3836">
        <v>22560.421600000001</v>
      </c>
      <c r="B3836">
        <v>4432.5412999999999</v>
      </c>
      <c r="C3836">
        <v>22</v>
      </c>
      <c r="D3836" t="s">
        <v>787</v>
      </c>
      <c r="E3836" t="s">
        <v>427</v>
      </c>
      <c r="F3836">
        <v>1974</v>
      </c>
      <c r="G3836" s="1" t="s">
        <v>299</v>
      </c>
      <c r="H3836" s="1" t="s">
        <v>476</v>
      </c>
      <c r="I3836">
        <v>0</v>
      </c>
      <c r="J3836">
        <v>22560.3887</v>
      </c>
      <c r="K3836">
        <v>-6.4700000000000001E-3</v>
      </c>
      <c r="L3836">
        <v>9.5700000000000004E-3</v>
      </c>
      <c r="M3836">
        <v>4.87E-2</v>
      </c>
      <c r="N3836">
        <v>8.9599999999999999E-2</v>
      </c>
      <c r="O3836">
        <v>1.052E-2</v>
      </c>
      <c r="P3836" s="3">
        <f t="shared" si="236"/>
        <v>4432.5412783952579</v>
      </c>
      <c r="Q3836" s="3">
        <f t="shared" si="237"/>
        <v>-6.4640113259883947E-3</v>
      </c>
      <c r="R3836" s="3">
        <f t="shared" si="238"/>
        <v>9.5700000000000004E-3</v>
      </c>
      <c r="S3836">
        <f t="shared" si="239"/>
        <v>118</v>
      </c>
      <c r="T3836">
        <f>INDEX([1]IDEN_level_ids!$B:$B,MATCH(G3836,[1]IDEN_level_ids!$A:$A,0),1)</f>
        <v>1101</v>
      </c>
      <c r="U3836">
        <f>INDEX([1]IDEN_level_ids!$B:$B,MATCH(H3836,[1]IDEN_level_ids!$A:$A,0),1)</f>
        <v>1037</v>
      </c>
    </row>
    <row r="3837" spans="1:21" hidden="1" x14ac:dyDescent="0.25">
      <c r="A3837">
        <v>22557.627899999999</v>
      </c>
      <c r="B3837">
        <v>4433.0901999999996</v>
      </c>
      <c r="C3837">
        <v>22</v>
      </c>
      <c r="D3837" t="s">
        <v>787</v>
      </c>
      <c r="F3837">
        <v>1974</v>
      </c>
      <c r="G3837" s="1" t="s">
        <v>211</v>
      </c>
      <c r="H3837" s="1" t="s">
        <v>745</v>
      </c>
      <c r="I3837">
        <v>0</v>
      </c>
      <c r="J3837">
        <v>22557.654900000001</v>
      </c>
      <c r="K3837">
        <v>5.3E-3</v>
      </c>
      <c r="L3837">
        <v>9.0500000000000008E-3</v>
      </c>
      <c r="M3837">
        <v>4.6100000000000002E-2</v>
      </c>
      <c r="N3837">
        <v>0.57609999999999995</v>
      </c>
      <c r="O3837">
        <v>2.1350000000000001E-2</v>
      </c>
      <c r="P3837" s="3">
        <f t="shared" si="236"/>
        <v>4433.090236407349</v>
      </c>
      <c r="Q3837" s="3">
        <f t="shared" si="237"/>
        <v>5.3061116914250306E-3</v>
      </c>
      <c r="R3837" s="3">
        <f t="shared" si="238"/>
        <v>9.0500000000000008E-3</v>
      </c>
      <c r="S3837">
        <f t="shared" si="239"/>
        <v>118</v>
      </c>
      <c r="T3837">
        <f>INDEX([1]IDEN_level_ids!$B:$B,MATCH(G3837,[1]IDEN_level_ids!$A:$A,0),1)</f>
        <v>744</v>
      </c>
      <c r="U3837">
        <f>INDEX([1]IDEN_level_ids!$B:$B,MATCH(H3837,[1]IDEN_level_ids!$A:$A,0),1)</f>
        <v>291</v>
      </c>
    </row>
    <row r="3838" spans="1:21" hidden="1" x14ac:dyDescent="0.25">
      <c r="A3838">
        <v>22551.332399999999</v>
      </c>
      <c r="B3838">
        <v>4434.3278</v>
      </c>
      <c r="C3838">
        <v>22</v>
      </c>
      <c r="D3838" t="s">
        <v>787</v>
      </c>
      <c r="E3838" t="s">
        <v>427</v>
      </c>
      <c r="F3838">
        <v>1974</v>
      </c>
      <c r="G3838" s="1" t="s">
        <v>214</v>
      </c>
      <c r="H3838" s="1" t="s">
        <v>778</v>
      </c>
      <c r="I3838">
        <v>0</v>
      </c>
      <c r="J3838">
        <v>22551.321400000001</v>
      </c>
      <c r="K3838">
        <v>-2.1700000000000001E-3</v>
      </c>
      <c r="L3838">
        <v>9.58E-3</v>
      </c>
      <c r="M3838">
        <v>4.87E-2</v>
      </c>
      <c r="N3838">
        <v>0.71179999999999999</v>
      </c>
      <c r="O3838">
        <v>3.3239999999999999E-2</v>
      </c>
      <c r="P3838" s="3">
        <f t="shared" si="236"/>
        <v>4434.3277916474681</v>
      </c>
      <c r="Q3838" s="3">
        <f t="shared" si="237"/>
        <v>-2.1629599814332323E-3</v>
      </c>
      <c r="R3838" s="3">
        <f t="shared" si="238"/>
        <v>9.58E-3</v>
      </c>
      <c r="S3838">
        <f t="shared" si="239"/>
        <v>118</v>
      </c>
      <c r="T3838">
        <f>INDEX([1]IDEN_level_ids!$B:$B,MATCH(G3838,[1]IDEN_level_ids!$A:$A,0),1)</f>
        <v>794</v>
      </c>
      <c r="U3838">
        <f>INDEX([1]IDEN_level_ids!$B:$B,MATCH(H3838,[1]IDEN_level_ids!$A:$A,0),1)</f>
        <v>419</v>
      </c>
    </row>
    <row r="3839" spans="1:21" hidden="1" x14ac:dyDescent="0.25">
      <c r="A3839">
        <v>22549.059499999999</v>
      </c>
      <c r="B3839">
        <v>4434.7748000000001</v>
      </c>
      <c r="C3839">
        <v>22</v>
      </c>
      <c r="D3839" t="s">
        <v>787</v>
      </c>
      <c r="F3839">
        <v>1974</v>
      </c>
      <c r="G3839" s="1" t="s">
        <v>211</v>
      </c>
      <c r="H3839" s="1" t="s">
        <v>746</v>
      </c>
      <c r="I3839">
        <v>0</v>
      </c>
      <c r="J3839">
        <v>22549.086299999999</v>
      </c>
      <c r="K3839">
        <v>5.2599999999999999E-3</v>
      </c>
      <c r="L3839">
        <v>9.0600000000000003E-3</v>
      </c>
      <c r="M3839">
        <v>4.6100000000000002E-2</v>
      </c>
      <c r="N3839">
        <v>0.48749999999999999</v>
      </c>
      <c r="O3839">
        <v>1.7680000000000001E-2</v>
      </c>
      <c r="P3839" s="3">
        <f t="shared" si="236"/>
        <v>4434.7747630006479</v>
      </c>
      <c r="Q3839" s="3">
        <f t="shared" si="237"/>
        <v>5.2708106250065612E-3</v>
      </c>
      <c r="R3839" s="3">
        <f t="shared" si="238"/>
        <v>9.0600000000000003E-3</v>
      </c>
      <c r="S3839">
        <f t="shared" si="239"/>
        <v>118</v>
      </c>
      <c r="T3839">
        <f>INDEX([1]IDEN_level_ids!$B:$B,MATCH(G3839,[1]IDEN_level_ids!$A:$A,0),1)</f>
        <v>744</v>
      </c>
      <c r="U3839">
        <f>INDEX([1]IDEN_level_ids!$B:$B,MATCH(H3839,[1]IDEN_level_ids!$A:$A,0),1)</f>
        <v>294</v>
      </c>
    </row>
    <row r="3840" spans="1:21" hidden="1" x14ac:dyDescent="0.25">
      <c r="A3840">
        <v>22545.651900000001</v>
      </c>
      <c r="B3840">
        <v>4435.4450999999999</v>
      </c>
      <c r="C3840">
        <v>22</v>
      </c>
      <c r="D3840" t="s">
        <v>787</v>
      </c>
      <c r="F3840">
        <v>1974</v>
      </c>
      <c r="G3840" s="1" t="s">
        <v>337</v>
      </c>
      <c r="H3840" s="1" t="s">
        <v>695</v>
      </c>
      <c r="I3840">
        <v>-0.2195</v>
      </c>
      <c r="J3840">
        <v>22545.663799999998</v>
      </c>
      <c r="K3840">
        <v>2.3500000000000001E-3</v>
      </c>
      <c r="L3840">
        <v>9.0600000000000003E-3</v>
      </c>
      <c r="M3840">
        <v>4.6100000000000002E-2</v>
      </c>
      <c r="N3840">
        <v>0.34689999999999999</v>
      </c>
      <c r="O3840">
        <v>1.388E-2</v>
      </c>
      <c r="P3840" s="3">
        <f t="shared" si="236"/>
        <v>4435.4450447272275</v>
      </c>
      <c r="Q3840" s="3">
        <f t="shared" si="237"/>
        <v>2.3411063202729565E-3</v>
      </c>
      <c r="R3840" s="3">
        <f t="shared" si="238"/>
        <v>9.0600000000000003E-3</v>
      </c>
      <c r="S3840">
        <f t="shared" si="239"/>
        <v>118</v>
      </c>
      <c r="T3840">
        <f>INDEX([1]IDEN_level_ids!$B:$B,MATCH(G3840,[1]IDEN_level_ids!$A:$A,0),1)</f>
        <v>1157</v>
      </c>
      <c r="U3840">
        <f>INDEX([1]IDEN_level_ids!$B:$B,MATCH(H3840,[1]IDEN_level_ids!$A:$A,0),1)</f>
        <v>1091</v>
      </c>
    </row>
    <row r="3841" spans="1:21" hidden="1" x14ac:dyDescent="0.25">
      <c r="A3841">
        <v>22527.702700000002</v>
      </c>
      <c r="B3841">
        <v>4438.9790000000003</v>
      </c>
      <c r="C3841">
        <v>22</v>
      </c>
      <c r="D3841" t="s">
        <v>787</v>
      </c>
      <c r="E3841" t="s">
        <v>427</v>
      </c>
      <c r="F3841">
        <v>1974</v>
      </c>
      <c r="G3841" s="1" t="s">
        <v>125</v>
      </c>
      <c r="H3841" s="1" t="s">
        <v>82</v>
      </c>
      <c r="I3841">
        <v>0</v>
      </c>
      <c r="J3841">
        <v>22527.7402</v>
      </c>
      <c r="K3841">
        <v>7.3800000000000003E-3</v>
      </c>
      <c r="L3841">
        <v>9.5999999999999992E-3</v>
      </c>
      <c r="M3841">
        <v>4.87E-2</v>
      </c>
      <c r="N3841">
        <v>0.1052</v>
      </c>
      <c r="O3841">
        <v>1.073E-2</v>
      </c>
      <c r="P3841" s="3">
        <f t="shared" si="236"/>
        <v>4438.9790353545459</v>
      </c>
      <c r="Q3841" s="3">
        <f t="shared" si="237"/>
        <v>7.3891882784664631E-3</v>
      </c>
      <c r="R3841" s="3">
        <f t="shared" si="238"/>
        <v>9.5999999999999992E-3</v>
      </c>
      <c r="S3841">
        <f t="shared" si="239"/>
        <v>118</v>
      </c>
      <c r="T3841">
        <f>INDEX([1]IDEN_level_ids!$B:$B,MATCH(G3841,[1]IDEN_level_ids!$A:$A,0),1)</f>
        <v>1253</v>
      </c>
      <c r="U3841">
        <f>INDEX([1]IDEN_level_ids!$B:$B,MATCH(H3841,[1]IDEN_level_ids!$A:$A,0),1)</f>
        <v>1193</v>
      </c>
    </row>
    <row r="3842" spans="1:21" hidden="1" x14ac:dyDescent="0.25">
      <c r="A3842">
        <v>22523.003000000001</v>
      </c>
      <c r="B3842">
        <v>4439.9053000000004</v>
      </c>
      <c r="C3842">
        <v>22</v>
      </c>
      <c r="D3842" t="s">
        <v>787</v>
      </c>
      <c r="E3842" t="s">
        <v>427</v>
      </c>
      <c r="F3842">
        <v>1974</v>
      </c>
      <c r="G3842" s="1" t="s">
        <v>214</v>
      </c>
      <c r="H3842" s="1" t="s">
        <v>743</v>
      </c>
      <c r="I3842">
        <v>0</v>
      </c>
      <c r="J3842">
        <v>22523.032899999998</v>
      </c>
      <c r="K3842">
        <v>5.8900000000000003E-3</v>
      </c>
      <c r="L3842">
        <v>9.6100000000000005E-3</v>
      </c>
      <c r="M3842">
        <v>4.87E-2</v>
      </c>
      <c r="N3842">
        <v>0.75880000000000003</v>
      </c>
      <c r="O3842">
        <v>3.9820000000000001E-2</v>
      </c>
      <c r="P3842" s="3">
        <f t="shared" ref="P3842:P3905" si="240">100000000/$A3842</f>
        <v>4439.9052826126244</v>
      </c>
      <c r="Q3842" s="3">
        <f t="shared" ref="Q3842:Q3905" si="241">100000000/($A3842)-100000000/$J3842</f>
        <v>5.8941070910805138E-3</v>
      </c>
      <c r="R3842" s="3">
        <f t="shared" si="238"/>
        <v>9.6100000000000005E-3</v>
      </c>
      <c r="S3842">
        <f t="shared" si="239"/>
        <v>118</v>
      </c>
      <c r="T3842">
        <f>INDEX([1]IDEN_level_ids!$B:$B,MATCH(G3842,[1]IDEN_level_ids!$A:$A,0),1)</f>
        <v>794</v>
      </c>
      <c r="U3842">
        <f>INDEX([1]IDEN_level_ids!$B:$B,MATCH(H3842,[1]IDEN_level_ids!$A:$A,0),1)</f>
        <v>423</v>
      </c>
    </row>
    <row r="3843" spans="1:21" hidden="1" x14ac:dyDescent="0.25">
      <c r="A3843">
        <v>22491.901099999999</v>
      </c>
      <c r="B3843">
        <v>4446.0447999999997</v>
      </c>
      <c r="C3843">
        <v>22</v>
      </c>
      <c r="D3843" t="s">
        <v>787</v>
      </c>
      <c r="F3843">
        <v>1974</v>
      </c>
      <c r="G3843" s="1" t="s">
        <v>302</v>
      </c>
      <c r="H3843" s="1" t="s">
        <v>454</v>
      </c>
      <c r="I3843">
        <v>0</v>
      </c>
      <c r="J3843">
        <v>22491.937900000001</v>
      </c>
      <c r="K3843">
        <v>7.2700000000000004E-3</v>
      </c>
      <c r="L3843">
        <v>9.11E-3</v>
      </c>
      <c r="M3843">
        <v>4.6100000000000002E-2</v>
      </c>
      <c r="N3843">
        <v>0.1076</v>
      </c>
      <c r="O3843">
        <v>1.0200000000000001E-2</v>
      </c>
      <c r="P3843" s="3">
        <f t="shared" si="240"/>
        <v>4446.04480321141</v>
      </c>
      <c r="Q3843" s="3">
        <f t="shared" si="241"/>
        <v>7.2743597947919625E-3</v>
      </c>
      <c r="R3843" s="3">
        <f t="shared" ref="R3843:R3906" si="242">$L3843</f>
        <v>9.11E-3</v>
      </c>
      <c r="S3843">
        <f t="shared" si="239"/>
        <v>118</v>
      </c>
      <c r="T3843">
        <f>INDEX([1]IDEN_level_ids!$B:$B,MATCH(G3843,[1]IDEN_level_ids!$A:$A,0),1)</f>
        <v>1100</v>
      </c>
      <c r="U3843">
        <f>INDEX([1]IDEN_level_ids!$B:$B,MATCH(H3843,[1]IDEN_level_ids!$A:$A,0),1)</f>
        <v>1036</v>
      </c>
    </row>
    <row r="3844" spans="1:21" hidden="1" x14ac:dyDescent="0.25">
      <c r="A3844">
        <v>22490.758300000001</v>
      </c>
      <c r="B3844">
        <v>4446.2707</v>
      </c>
      <c r="C3844">
        <v>22</v>
      </c>
      <c r="D3844" t="s">
        <v>787</v>
      </c>
      <c r="F3844">
        <v>1974</v>
      </c>
      <c r="G3844" s="1" t="s">
        <v>103</v>
      </c>
      <c r="H3844" s="1" t="s">
        <v>768</v>
      </c>
      <c r="I3844">
        <v>0</v>
      </c>
      <c r="J3844">
        <v>22490.7408</v>
      </c>
      <c r="K3844">
        <v>-3.46E-3</v>
      </c>
      <c r="L3844">
        <v>9.11E-3</v>
      </c>
      <c r="M3844">
        <v>4.6100000000000002E-2</v>
      </c>
      <c r="N3844">
        <v>0.57550000000000001</v>
      </c>
      <c r="O3844">
        <v>2.145E-2</v>
      </c>
      <c r="P3844" s="3">
        <f t="shared" si="240"/>
        <v>4446.2707155587541</v>
      </c>
      <c r="Q3844" s="3">
        <f t="shared" si="241"/>
        <v>-3.4596342657096102E-3</v>
      </c>
      <c r="R3844" s="3">
        <f t="shared" si="242"/>
        <v>9.11E-3</v>
      </c>
      <c r="S3844">
        <f t="shared" ref="S3844:S3907" si="243">IF(D3844=D3843,S3843,S3843+1)</f>
        <v>118</v>
      </c>
      <c r="T3844">
        <f>INDEX([1]IDEN_level_ids!$B:$B,MATCH(G3844,[1]IDEN_level_ids!$A:$A,0),1)</f>
        <v>745</v>
      </c>
      <c r="U3844">
        <f>INDEX([1]IDEN_level_ids!$B:$B,MATCH(H3844,[1]IDEN_level_ids!$A:$A,0),1)</f>
        <v>288</v>
      </c>
    </row>
    <row r="3845" spans="1:21" hidden="1" x14ac:dyDescent="0.25">
      <c r="A3845">
        <v>22487.029600000002</v>
      </c>
      <c r="B3845">
        <v>4447.0079999999998</v>
      </c>
      <c r="C3845">
        <v>22</v>
      </c>
      <c r="D3845" t="s">
        <v>787</v>
      </c>
      <c r="F3845">
        <v>1974</v>
      </c>
      <c r="G3845" s="1" t="s">
        <v>383</v>
      </c>
      <c r="H3845" s="1" t="s">
        <v>614</v>
      </c>
      <c r="I3845">
        <v>0.46410000000000001</v>
      </c>
      <c r="J3845">
        <v>22487.040199999999</v>
      </c>
      <c r="K3845">
        <v>2.0999999999999999E-3</v>
      </c>
      <c r="L3845">
        <v>9.11E-3</v>
      </c>
      <c r="M3845">
        <v>4.6100000000000002E-2</v>
      </c>
      <c r="N3845">
        <v>0.2802</v>
      </c>
      <c r="O3845">
        <v>1.2659999999999999E-2</v>
      </c>
      <c r="P3845" s="3">
        <f t="shared" si="240"/>
        <v>4447.0079765448427</v>
      </c>
      <c r="Q3845" s="3">
        <f t="shared" si="241"/>
        <v>2.0962422850061557E-3</v>
      </c>
      <c r="R3845" s="3">
        <f t="shared" si="242"/>
        <v>9.11E-3</v>
      </c>
      <c r="S3845">
        <f t="shared" si="243"/>
        <v>118</v>
      </c>
      <c r="T3845">
        <f>INDEX([1]IDEN_level_ids!$B:$B,MATCH(G3845,[1]IDEN_level_ids!$A:$A,0),1)</f>
        <v>1097</v>
      </c>
      <c r="U3845">
        <f>INDEX([1]IDEN_level_ids!$B:$B,MATCH(H3845,[1]IDEN_level_ids!$A:$A,0),1)</f>
        <v>1031</v>
      </c>
    </row>
    <row r="3846" spans="1:21" hidden="1" x14ac:dyDescent="0.25">
      <c r="A3846">
        <v>22479.399600000001</v>
      </c>
      <c r="B3846">
        <v>4448.5173999999997</v>
      </c>
      <c r="C3846">
        <v>22</v>
      </c>
      <c r="D3846" t="s">
        <v>787</v>
      </c>
      <c r="F3846">
        <v>1974</v>
      </c>
      <c r="G3846" s="1" t="s">
        <v>103</v>
      </c>
      <c r="H3846" s="1" t="s">
        <v>765</v>
      </c>
      <c r="I3846">
        <v>0</v>
      </c>
      <c r="J3846">
        <v>22479.403399999999</v>
      </c>
      <c r="K3846">
        <v>7.3999999999999999E-4</v>
      </c>
      <c r="L3846">
        <v>9.1199999999999996E-3</v>
      </c>
      <c r="M3846">
        <v>4.6100000000000002E-2</v>
      </c>
      <c r="N3846">
        <v>0.53890000000000005</v>
      </c>
      <c r="O3846">
        <v>1.9769999999999999E-2</v>
      </c>
      <c r="P3846" s="3">
        <f t="shared" si="240"/>
        <v>4448.5173883380767</v>
      </c>
      <c r="Q3846" s="3">
        <f t="shared" si="241"/>
        <v>7.5199353705102112E-4</v>
      </c>
      <c r="R3846" s="3">
        <f t="shared" si="242"/>
        <v>9.1199999999999996E-3</v>
      </c>
      <c r="S3846">
        <f t="shared" si="243"/>
        <v>118</v>
      </c>
      <c r="T3846">
        <f>INDEX([1]IDEN_level_ids!$B:$B,MATCH(G3846,[1]IDEN_level_ids!$A:$A,0),1)</f>
        <v>745</v>
      </c>
      <c r="U3846">
        <f>INDEX([1]IDEN_level_ids!$B:$B,MATCH(H3846,[1]IDEN_level_ids!$A:$A,0),1)</f>
        <v>293</v>
      </c>
    </row>
    <row r="3847" spans="1:21" hidden="1" x14ac:dyDescent="0.25">
      <c r="A3847">
        <v>22476.0592</v>
      </c>
      <c r="B3847">
        <v>4449.1785</v>
      </c>
      <c r="C3847">
        <v>22</v>
      </c>
      <c r="D3847" t="s">
        <v>787</v>
      </c>
      <c r="E3847" t="s">
        <v>427</v>
      </c>
      <c r="F3847">
        <v>1974</v>
      </c>
      <c r="G3847" s="1" t="s">
        <v>764</v>
      </c>
      <c r="H3847" s="1" t="s">
        <v>256</v>
      </c>
      <c r="I3847">
        <v>0</v>
      </c>
      <c r="J3847">
        <v>22476.1185</v>
      </c>
      <c r="K3847">
        <v>1.175E-2</v>
      </c>
      <c r="L3847">
        <v>9.6500000000000006E-3</v>
      </c>
      <c r="M3847">
        <v>4.87E-2</v>
      </c>
      <c r="N3847">
        <v>0.115</v>
      </c>
      <c r="O3847">
        <v>1.09E-2</v>
      </c>
      <c r="P3847" s="3">
        <f t="shared" si="240"/>
        <v>4449.1785285918804</v>
      </c>
      <c r="Q3847" s="3">
        <f t="shared" si="241"/>
        <v>1.1738516450350289E-2</v>
      </c>
      <c r="R3847" s="3">
        <f t="shared" si="242"/>
        <v>9.6500000000000006E-3</v>
      </c>
      <c r="S3847">
        <f t="shared" si="243"/>
        <v>118</v>
      </c>
      <c r="T3847">
        <f>INDEX([1]IDEN_level_ids!$B:$B,MATCH(G3847,[1]IDEN_level_ids!$A:$A,0),1)</f>
        <v>1234</v>
      </c>
      <c r="U3847">
        <f>INDEX([1]IDEN_level_ids!$B:$B,MATCH(H3847,[1]IDEN_level_ids!$A:$A,0),1)</f>
        <v>1120</v>
      </c>
    </row>
    <row r="3848" spans="1:21" hidden="1" x14ac:dyDescent="0.25">
      <c r="A3848">
        <v>22464.911899999999</v>
      </c>
      <c r="B3848">
        <v>4451.3863000000001</v>
      </c>
      <c r="C3848">
        <v>22</v>
      </c>
      <c r="D3848" t="s">
        <v>788</v>
      </c>
      <c r="E3848" t="s">
        <v>427</v>
      </c>
      <c r="F3848">
        <v>1974</v>
      </c>
      <c r="G3848" s="1" t="s">
        <v>313</v>
      </c>
      <c r="H3848" s="1" t="s">
        <v>334</v>
      </c>
      <c r="I3848">
        <v>0</v>
      </c>
      <c r="J3848">
        <v>22464.958699999999</v>
      </c>
      <c r="K3848">
        <v>9.2800000000000001E-3</v>
      </c>
      <c r="L3848">
        <v>9.6600000000000002E-3</v>
      </c>
      <c r="M3848">
        <v>4.87E-2</v>
      </c>
      <c r="N3848">
        <v>0.155</v>
      </c>
      <c r="O3848">
        <v>1.1429999999999999E-2</v>
      </c>
      <c r="P3848" s="3">
        <f t="shared" si="240"/>
        <v>4451.3862527099427</v>
      </c>
      <c r="Q3848" s="3">
        <f t="shared" si="241"/>
        <v>9.2733256005885778E-3</v>
      </c>
      <c r="R3848" s="3">
        <f t="shared" si="242"/>
        <v>9.6600000000000002E-3</v>
      </c>
      <c r="S3848">
        <f t="shared" si="243"/>
        <v>119</v>
      </c>
      <c r="T3848">
        <f>INDEX([1]IDEN_level_ids!$B:$B,MATCH(G3848,[1]IDEN_level_ids!$A:$A,0),1)</f>
        <v>1239</v>
      </c>
      <c r="U3848">
        <f>INDEX([1]IDEN_level_ids!$B:$B,MATCH(H3848,[1]IDEN_level_ids!$A:$A,0),1)</f>
        <v>1124</v>
      </c>
    </row>
    <row r="3849" spans="1:21" hidden="1" x14ac:dyDescent="0.25">
      <c r="A3849">
        <v>22460.5514</v>
      </c>
      <c r="B3849">
        <v>4452.2505000000001</v>
      </c>
      <c r="C3849">
        <v>22</v>
      </c>
      <c r="D3849" t="s">
        <v>788</v>
      </c>
      <c r="E3849" t="s">
        <v>427</v>
      </c>
      <c r="F3849">
        <v>1974</v>
      </c>
      <c r="G3849" s="1" t="s">
        <v>92</v>
      </c>
      <c r="H3849" s="1" t="s">
        <v>273</v>
      </c>
      <c r="I3849">
        <v>0</v>
      </c>
      <c r="J3849">
        <v>22460.6001</v>
      </c>
      <c r="K3849">
        <v>9.6600000000000002E-3</v>
      </c>
      <c r="L3849">
        <v>9.6600000000000002E-3</v>
      </c>
      <c r="M3849">
        <v>4.87E-2</v>
      </c>
      <c r="N3849">
        <v>0.22539999999999999</v>
      </c>
      <c r="O3849">
        <v>1.247E-2</v>
      </c>
      <c r="P3849" s="3">
        <f t="shared" si="240"/>
        <v>4452.2504465317797</v>
      </c>
      <c r="Q3849" s="3">
        <f t="shared" si="241"/>
        <v>9.6535531447443645E-3</v>
      </c>
      <c r="R3849" s="3">
        <f t="shared" si="242"/>
        <v>9.6600000000000002E-3</v>
      </c>
      <c r="S3849">
        <f t="shared" si="243"/>
        <v>119</v>
      </c>
      <c r="T3849">
        <f>INDEX([1]IDEN_level_ids!$B:$B,MATCH(G3849,[1]IDEN_level_ids!$A:$A,0),1)</f>
        <v>1224</v>
      </c>
      <c r="U3849">
        <f>INDEX([1]IDEN_level_ids!$B:$B,MATCH(H3849,[1]IDEN_level_ids!$A:$A,0),1)</f>
        <v>1105</v>
      </c>
    </row>
    <row r="3850" spans="1:21" hidden="1" x14ac:dyDescent="0.25">
      <c r="A3850">
        <v>22446.223900000001</v>
      </c>
      <c r="B3850">
        <v>4455.0923000000003</v>
      </c>
      <c r="C3850">
        <v>22</v>
      </c>
      <c r="D3850" t="s">
        <v>788</v>
      </c>
      <c r="E3850" t="s">
        <v>427</v>
      </c>
      <c r="F3850">
        <v>1974</v>
      </c>
      <c r="G3850" s="1" t="s">
        <v>115</v>
      </c>
      <c r="H3850" s="1" t="s">
        <v>197</v>
      </c>
      <c r="I3850">
        <v>0</v>
      </c>
      <c r="J3850">
        <v>22446.266800000001</v>
      </c>
      <c r="K3850">
        <v>8.5199999999999998E-3</v>
      </c>
      <c r="L3850">
        <v>9.6699999999999998E-3</v>
      </c>
      <c r="M3850">
        <v>4.87E-2</v>
      </c>
      <c r="N3850">
        <v>9.7699999999999995E-2</v>
      </c>
      <c r="O3850">
        <v>1.072E-2</v>
      </c>
      <c r="P3850" s="3">
        <f t="shared" si="240"/>
        <v>4455.092332924648</v>
      </c>
      <c r="Q3850" s="3">
        <f t="shared" si="241"/>
        <v>8.5147103873168817E-3</v>
      </c>
      <c r="R3850" s="3">
        <f t="shared" si="242"/>
        <v>9.6699999999999998E-3</v>
      </c>
      <c r="S3850">
        <f t="shared" si="243"/>
        <v>119</v>
      </c>
      <c r="T3850">
        <f>INDEX([1]IDEN_level_ids!$B:$B,MATCH(G3850,[1]IDEN_level_ids!$A:$A,0),1)</f>
        <v>1252</v>
      </c>
      <c r="U3850">
        <f>INDEX([1]IDEN_level_ids!$B:$B,MATCH(H3850,[1]IDEN_level_ids!$A:$A,0),1)</f>
        <v>1182</v>
      </c>
    </row>
    <row r="3851" spans="1:21" hidden="1" x14ac:dyDescent="0.25">
      <c r="A3851">
        <v>22434.629700000001</v>
      </c>
      <c r="B3851">
        <v>4457.3946999999998</v>
      </c>
      <c r="C3851">
        <v>22</v>
      </c>
      <c r="D3851" t="s">
        <v>788</v>
      </c>
      <c r="E3851" t="s">
        <v>427</v>
      </c>
      <c r="F3851">
        <v>1974</v>
      </c>
      <c r="G3851" s="1" t="s">
        <v>152</v>
      </c>
      <c r="H3851" s="1" t="s">
        <v>783</v>
      </c>
      <c r="I3851">
        <v>0</v>
      </c>
      <c r="J3851">
        <v>22434.640299999999</v>
      </c>
      <c r="K3851">
        <v>2.1099999999999999E-3</v>
      </c>
      <c r="L3851">
        <v>9.6799999999999994E-3</v>
      </c>
      <c r="M3851">
        <v>4.87E-2</v>
      </c>
      <c r="N3851">
        <v>0.46279999999999999</v>
      </c>
      <c r="O3851">
        <v>1.8020000000000001E-2</v>
      </c>
      <c r="P3851" s="3">
        <f t="shared" si="240"/>
        <v>4457.394721340107</v>
      </c>
      <c r="Q3851" s="3">
        <f t="shared" si="241"/>
        <v>2.1060459803265985E-3</v>
      </c>
      <c r="R3851" s="3">
        <f t="shared" si="242"/>
        <v>9.6799999999999994E-3</v>
      </c>
      <c r="S3851">
        <f t="shared" si="243"/>
        <v>119</v>
      </c>
      <c r="T3851">
        <f>INDEX([1]IDEN_level_ids!$B:$B,MATCH(G3851,[1]IDEN_level_ids!$A:$A,0),1)</f>
        <v>793</v>
      </c>
      <c r="U3851">
        <f>INDEX([1]IDEN_level_ids!$B:$B,MATCH(H3851,[1]IDEN_level_ids!$A:$A,0),1)</f>
        <v>422</v>
      </c>
    </row>
    <row r="3852" spans="1:21" hidden="1" x14ac:dyDescent="0.25">
      <c r="A3852">
        <v>22413.977699999999</v>
      </c>
      <c r="B3852">
        <v>4461.5016999999998</v>
      </c>
      <c r="C3852">
        <v>22</v>
      </c>
      <c r="D3852" t="s">
        <v>788</v>
      </c>
      <c r="E3852" t="s">
        <v>427</v>
      </c>
      <c r="F3852">
        <v>1974</v>
      </c>
      <c r="G3852" s="1" t="s">
        <v>152</v>
      </c>
      <c r="H3852" s="1" t="s">
        <v>739</v>
      </c>
      <c r="I3852">
        <v>0</v>
      </c>
      <c r="J3852">
        <v>22413.9843</v>
      </c>
      <c r="K3852">
        <v>1.31E-3</v>
      </c>
      <c r="L3852">
        <v>9.7000000000000003E-3</v>
      </c>
      <c r="M3852">
        <v>4.87E-2</v>
      </c>
      <c r="N3852">
        <v>0.43459999999999999</v>
      </c>
      <c r="O3852">
        <v>1.7160000000000002E-2</v>
      </c>
      <c r="P3852" s="3">
        <f t="shared" si="240"/>
        <v>4461.5017172967027</v>
      </c>
      <c r="Q3852" s="3">
        <f t="shared" si="241"/>
        <v>1.3137294527041377E-3</v>
      </c>
      <c r="R3852" s="3">
        <f t="shared" si="242"/>
        <v>9.7000000000000003E-3</v>
      </c>
      <c r="S3852">
        <f t="shared" si="243"/>
        <v>119</v>
      </c>
      <c r="T3852">
        <f>INDEX([1]IDEN_level_ids!$B:$B,MATCH(G3852,[1]IDEN_level_ids!$A:$A,0),1)</f>
        <v>793</v>
      </c>
      <c r="U3852">
        <f>INDEX([1]IDEN_level_ids!$B:$B,MATCH(H3852,[1]IDEN_level_ids!$A:$A,0),1)</f>
        <v>429</v>
      </c>
    </row>
    <row r="3853" spans="1:21" hidden="1" x14ac:dyDescent="0.25">
      <c r="A3853">
        <v>22412.469799999999</v>
      </c>
      <c r="B3853">
        <v>4461.8019000000004</v>
      </c>
      <c r="C3853">
        <v>22</v>
      </c>
      <c r="D3853" t="s">
        <v>788</v>
      </c>
      <c r="F3853">
        <v>1974</v>
      </c>
      <c r="G3853" s="1" t="s">
        <v>152</v>
      </c>
      <c r="H3853" s="1" t="s">
        <v>744</v>
      </c>
      <c r="I3853">
        <v>0</v>
      </c>
      <c r="J3853">
        <v>22412.484899999999</v>
      </c>
      <c r="K3853">
        <v>3.0200000000000001E-3</v>
      </c>
      <c r="L3853">
        <v>9.1699999999999993E-3</v>
      </c>
      <c r="M3853">
        <v>4.6100000000000002E-2</v>
      </c>
      <c r="N3853">
        <v>0.71679999999999999</v>
      </c>
      <c r="O3853">
        <v>3.2390000000000002E-2</v>
      </c>
      <c r="P3853" s="3">
        <f t="shared" si="240"/>
        <v>4461.8018849488872</v>
      </c>
      <c r="Q3853" s="3">
        <f t="shared" si="241"/>
        <v>3.0060570597925107E-3</v>
      </c>
      <c r="R3853" s="3">
        <f t="shared" si="242"/>
        <v>9.1699999999999993E-3</v>
      </c>
      <c r="S3853">
        <f t="shared" si="243"/>
        <v>119</v>
      </c>
      <c r="T3853">
        <f>INDEX([1]IDEN_level_ids!$B:$B,MATCH(G3853,[1]IDEN_level_ids!$A:$A,0),1)</f>
        <v>793</v>
      </c>
      <c r="U3853">
        <f>INDEX([1]IDEN_level_ids!$B:$B,MATCH(H3853,[1]IDEN_level_ids!$A:$A,0),1)</f>
        <v>428</v>
      </c>
    </row>
    <row r="3854" spans="1:21" hidden="1" x14ac:dyDescent="0.25">
      <c r="A3854">
        <v>22406.1204</v>
      </c>
      <c r="B3854">
        <v>4463.0663000000004</v>
      </c>
      <c r="C3854">
        <v>22</v>
      </c>
      <c r="D3854" t="s">
        <v>788</v>
      </c>
      <c r="F3854">
        <v>1974</v>
      </c>
      <c r="G3854" s="1" t="s">
        <v>154</v>
      </c>
      <c r="H3854" s="1" t="s">
        <v>89</v>
      </c>
      <c r="I3854">
        <v>0</v>
      </c>
      <c r="J3854">
        <v>22406.1273</v>
      </c>
      <c r="K3854">
        <v>1.3699999999999999E-3</v>
      </c>
      <c r="L3854">
        <v>9.1800000000000007E-3</v>
      </c>
      <c r="M3854">
        <v>4.6100000000000002E-2</v>
      </c>
      <c r="N3854">
        <v>0.75029999999999997</v>
      </c>
      <c r="O3854">
        <v>3.6749999999999998E-2</v>
      </c>
      <c r="P3854" s="3">
        <f t="shared" si="240"/>
        <v>4463.0662611274729</v>
      </c>
      <c r="Q3854" s="3">
        <f t="shared" si="241"/>
        <v>1.3744078478339361E-3</v>
      </c>
      <c r="R3854" s="3">
        <f t="shared" si="242"/>
        <v>9.1800000000000007E-3</v>
      </c>
      <c r="S3854">
        <f t="shared" si="243"/>
        <v>119</v>
      </c>
      <c r="T3854">
        <f>INDEX([1]IDEN_level_ids!$B:$B,MATCH(G3854,[1]IDEN_level_ids!$A:$A,0),1)</f>
        <v>739</v>
      </c>
      <c r="U3854">
        <f>INDEX([1]IDEN_level_ids!$B:$B,MATCH(H3854,[1]IDEN_level_ids!$A:$A,0),1)</f>
        <v>278</v>
      </c>
    </row>
    <row r="3855" spans="1:21" hidden="1" x14ac:dyDescent="0.25">
      <c r="A3855">
        <v>22389.811600000001</v>
      </c>
      <c r="B3855">
        <v>4466.3172000000004</v>
      </c>
      <c r="C3855">
        <v>22</v>
      </c>
      <c r="D3855" t="s">
        <v>788</v>
      </c>
      <c r="F3855">
        <v>1974</v>
      </c>
      <c r="G3855" s="1" t="s">
        <v>725</v>
      </c>
      <c r="H3855" s="1" t="s">
        <v>611</v>
      </c>
      <c r="I3855">
        <v>0</v>
      </c>
      <c r="J3855">
        <v>22389.8616</v>
      </c>
      <c r="K3855">
        <v>9.9799999999999993E-3</v>
      </c>
      <c r="L3855">
        <v>9.1900000000000003E-3</v>
      </c>
      <c r="M3855">
        <v>4.6100000000000002E-2</v>
      </c>
      <c r="N3855">
        <v>0.28349999999999997</v>
      </c>
      <c r="O3855">
        <v>1.282E-2</v>
      </c>
      <c r="P3855" s="3">
        <f t="shared" si="240"/>
        <v>4466.3171707974534</v>
      </c>
      <c r="Q3855" s="3">
        <f t="shared" si="241"/>
        <v>9.9739722618323867E-3</v>
      </c>
      <c r="R3855" s="3">
        <f t="shared" si="242"/>
        <v>9.1900000000000003E-3</v>
      </c>
      <c r="S3855">
        <f t="shared" si="243"/>
        <v>119</v>
      </c>
      <c r="T3855">
        <f>INDEX([1]IDEN_level_ids!$B:$B,MATCH(G3855,[1]IDEN_level_ids!$A:$A,0),1)</f>
        <v>1227</v>
      </c>
      <c r="U3855">
        <f>INDEX([1]IDEN_level_ids!$B:$B,MATCH(H3855,[1]IDEN_level_ids!$A:$A,0),1)</f>
        <v>1110</v>
      </c>
    </row>
    <row r="3856" spans="1:21" hidden="1" x14ac:dyDescent="0.25">
      <c r="A3856">
        <v>22369.177500000002</v>
      </c>
      <c r="B3856">
        <v>4470.4371000000001</v>
      </c>
      <c r="C3856">
        <v>22</v>
      </c>
      <c r="D3856" t="s">
        <v>788</v>
      </c>
      <c r="F3856">
        <v>1974</v>
      </c>
      <c r="G3856" s="1" t="s">
        <v>299</v>
      </c>
      <c r="H3856" s="1" t="s">
        <v>437</v>
      </c>
      <c r="I3856">
        <v>0.26329999999999998</v>
      </c>
      <c r="J3856">
        <v>22369.238300000001</v>
      </c>
      <c r="K3856">
        <v>1.2160000000000001E-2</v>
      </c>
      <c r="L3856">
        <v>9.2099999999999994E-3</v>
      </c>
      <c r="M3856">
        <v>4.6100000000000002E-2</v>
      </c>
      <c r="N3856">
        <v>8.5599999999999996E-2</v>
      </c>
      <c r="O3856">
        <v>1.0070000000000001E-2</v>
      </c>
      <c r="P3856" s="3">
        <f t="shared" si="240"/>
        <v>4470.4370556315716</v>
      </c>
      <c r="Q3856" s="3">
        <f t="shared" si="241"/>
        <v>1.2150729914537806E-2</v>
      </c>
      <c r="R3856" s="3">
        <f t="shared" si="242"/>
        <v>9.2099999999999994E-3</v>
      </c>
      <c r="S3856">
        <f t="shared" si="243"/>
        <v>119</v>
      </c>
      <c r="T3856">
        <f>INDEX([1]IDEN_level_ids!$B:$B,MATCH(G3856,[1]IDEN_level_ids!$A:$A,0),1)</f>
        <v>1101</v>
      </c>
      <c r="U3856">
        <f>INDEX([1]IDEN_level_ids!$B:$B,MATCH(H3856,[1]IDEN_level_ids!$A:$A,0),1)</f>
        <v>1039</v>
      </c>
    </row>
    <row r="3857" spans="1:21" hidden="1" x14ac:dyDescent="0.25">
      <c r="A3857">
        <v>22343.7438</v>
      </c>
      <c r="B3857">
        <v>4475.5257000000001</v>
      </c>
      <c r="C3857">
        <v>22</v>
      </c>
      <c r="D3857" t="s">
        <v>788</v>
      </c>
      <c r="E3857" t="s">
        <v>427</v>
      </c>
      <c r="F3857">
        <v>1974</v>
      </c>
      <c r="G3857" s="1" t="s">
        <v>154</v>
      </c>
      <c r="H3857" s="1" t="s">
        <v>789</v>
      </c>
      <c r="I3857">
        <v>0</v>
      </c>
      <c r="J3857">
        <v>22343.760399999999</v>
      </c>
      <c r="K3857">
        <v>3.32E-3</v>
      </c>
      <c r="L3857">
        <v>9.7599999999999996E-3</v>
      </c>
      <c r="M3857">
        <v>4.87E-2</v>
      </c>
      <c r="N3857">
        <v>1</v>
      </c>
      <c r="P3857" s="3">
        <f t="shared" si="240"/>
        <v>4475.5257174046183</v>
      </c>
      <c r="Q3857" s="3">
        <f t="shared" si="241"/>
        <v>3.3250323831452988E-3</v>
      </c>
      <c r="R3857" s="3">
        <f t="shared" si="242"/>
        <v>9.7599999999999996E-3</v>
      </c>
      <c r="S3857">
        <f t="shared" si="243"/>
        <v>119</v>
      </c>
      <c r="T3857">
        <f>INDEX([1]IDEN_level_ids!$B:$B,MATCH(G3857,[1]IDEN_level_ids!$A:$A,0),1)</f>
        <v>739</v>
      </c>
      <c r="U3857">
        <f>INDEX([1]IDEN_level_ids!$B:$B,MATCH(H3857,[1]IDEN_level_ids!$A:$A,0),1)</f>
        <v>284</v>
      </c>
    </row>
    <row r="3858" spans="1:21" hidden="1" x14ac:dyDescent="0.25">
      <c r="A3858">
        <v>22332.733199999999</v>
      </c>
      <c r="B3858">
        <v>4477.7322999999997</v>
      </c>
      <c r="C3858">
        <v>22</v>
      </c>
      <c r="D3858" t="s">
        <v>788</v>
      </c>
      <c r="E3858" t="s">
        <v>661</v>
      </c>
      <c r="F3858">
        <v>1974</v>
      </c>
      <c r="G3858" s="1" t="s">
        <v>255</v>
      </c>
      <c r="H3858" s="1" t="s">
        <v>446</v>
      </c>
      <c r="I3858">
        <v>0.31669999999999998</v>
      </c>
      <c r="J3858">
        <v>22332.750400000001</v>
      </c>
      <c r="K3858">
        <v>3.4399999999999999E-3</v>
      </c>
      <c r="L3858">
        <v>1.0160000000000001E-2</v>
      </c>
      <c r="M3858">
        <v>5.0700000000000002E-2</v>
      </c>
      <c r="N3858">
        <v>9.7100000000000006E-2</v>
      </c>
      <c r="O3858">
        <v>1.125E-2</v>
      </c>
      <c r="P3858" s="3">
        <f t="shared" si="240"/>
        <v>4477.7322643159505</v>
      </c>
      <c r="Q3858" s="3">
        <f t="shared" si="241"/>
        <v>3.448612175816379E-3</v>
      </c>
      <c r="R3858" s="3">
        <f t="shared" si="242"/>
        <v>1.0160000000000001E-2</v>
      </c>
      <c r="S3858">
        <f t="shared" si="243"/>
        <v>119</v>
      </c>
      <c r="T3858">
        <f>INDEX([1]IDEN_level_ids!$B:$B,MATCH(G3858,[1]IDEN_level_ids!$A:$A,0),1)</f>
        <v>1111</v>
      </c>
      <c r="U3858">
        <f>INDEX([1]IDEN_level_ids!$B:$B,MATCH(H3858,[1]IDEN_level_ids!$A:$A,0),1)</f>
        <v>1079</v>
      </c>
    </row>
    <row r="3859" spans="1:21" hidden="1" x14ac:dyDescent="0.25">
      <c r="A3859">
        <v>22323.343199999999</v>
      </c>
      <c r="B3859">
        <v>4479.6157999999996</v>
      </c>
      <c r="C3859">
        <v>22</v>
      </c>
      <c r="D3859" t="s">
        <v>788</v>
      </c>
      <c r="F3859">
        <v>1974</v>
      </c>
      <c r="G3859" s="1" t="s">
        <v>92</v>
      </c>
      <c r="H3859" s="1" t="s">
        <v>250</v>
      </c>
      <c r="I3859">
        <v>0</v>
      </c>
      <c r="J3859">
        <v>22323.415799999999</v>
      </c>
      <c r="K3859">
        <v>1.457E-2</v>
      </c>
      <c r="L3859">
        <v>9.2399999999999999E-3</v>
      </c>
      <c r="M3859">
        <v>4.6100000000000002E-2</v>
      </c>
      <c r="N3859">
        <v>0.2485</v>
      </c>
      <c r="O3859">
        <v>1.23E-2</v>
      </c>
      <c r="P3859" s="3">
        <f t="shared" si="240"/>
        <v>4479.615759345581</v>
      </c>
      <c r="Q3859" s="3">
        <f t="shared" si="241"/>
        <v>1.4568563657121558E-2</v>
      </c>
      <c r="R3859" s="3">
        <f t="shared" si="242"/>
        <v>9.2399999999999999E-3</v>
      </c>
      <c r="S3859">
        <f t="shared" si="243"/>
        <v>119</v>
      </c>
      <c r="T3859">
        <f>INDEX([1]IDEN_level_ids!$B:$B,MATCH(G3859,[1]IDEN_level_ids!$A:$A,0),1)</f>
        <v>1224</v>
      </c>
      <c r="U3859">
        <f>INDEX([1]IDEN_level_ids!$B:$B,MATCH(H3859,[1]IDEN_level_ids!$A:$A,0),1)</f>
        <v>1107</v>
      </c>
    </row>
    <row r="3860" spans="1:21" hidden="1" x14ac:dyDescent="0.25">
      <c r="A3860">
        <v>22266.642899999999</v>
      </c>
      <c r="B3860">
        <v>4491.0227999999997</v>
      </c>
      <c r="C3860">
        <v>22</v>
      </c>
      <c r="D3860" t="s">
        <v>788</v>
      </c>
      <c r="F3860">
        <v>1974</v>
      </c>
      <c r="G3860" s="1" t="s">
        <v>266</v>
      </c>
      <c r="H3860" s="1" t="s">
        <v>769</v>
      </c>
      <c r="I3860">
        <v>0</v>
      </c>
      <c r="J3860">
        <v>22266.636299999998</v>
      </c>
      <c r="K3860">
        <v>-1.33E-3</v>
      </c>
      <c r="L3860">
        <v>9.2899999999999996E-3</v>
      </c>
      <c r="M3860">
        <v>4.6100000000000002E-2</v>
      </c>
      <c r="N3860">
        <v>0.84830000000000005</v>
      </c>
      <c r="O3860">
        <v>6.1249999999999999E-2</v>
      </c>
      <c r="P3860" s="3">
        <f t="shared" si="240"/>
        <v>4491.0227576335719</v>
      </c>
      <c r="Q3860" s="3">
        <f t="shared" si="241"/>
        <v>-1.3311732318470604E-3</v>
      </c>
      <c r="R3860" s="3">
        <f t="shared" si="242"/>
        <v>9.2899999999999996E-3</v>
      </c>
      <c r="S3860">
        <f t="shared" si="243"/>
        <v>119</v>
      </c>
      <c r="T3860">
        <f>INDEX([1]IDEN_level_ids!$B:$B,MATCH(G3860,[1]IDEN_level_ids!$A:$A,0),1)</f>
        <v>742</v>
      </c>
      <c r="U3860">
        <f>INDEX([1]IDEN_level_ids!$B:$B,MATCH(H3860,[1]IDEN_level_ids!$A:$A,0),1)</f>
        <v>276</v>
      </c>
    </row>
    <row r="3861" spans="1:21" hidden="1" x14ac:dyDescent="0.25">
      <c r="A3861">
        <v>22263.0033</v>
      </c>
      <c r="B3861">
        <v>4491.7569999999996</v>
      </c>
      <c r="C3861">
        <v>22</v>
      </c>
      <c r="D3861" t="s">
        <v>788</v>
      </c>
      <c r="F3861">
        <v>1974</v>
      </c>
      <c r="G3861" s="1" t="s">
        <v>299</v>
      </c>
      <c r="H3861" s="1" t="s">
        <v>582</v>
      </c>
      <c r="I3861">
        <v>-0.25890000000000002</v>
      </c>
      <c r="J3861">
        <v>22263.098300000001</v>
      </c>
      <c r="K3861">
        <v>1.917E-2</v>
      </c>
      <c r="L3861">
        <v>9.2899999999999996E-3</v>
      </c>
      <c r="M3861">
        <v>4.6100000000000002E-2</v>
      </c>
      <c r="N3861">
        <v>0.14530000000000001</v>
      </c>
      <c r="O3861">
        <v>1.0869999999999999E-2</v>
      </c>
      <c r="P3861" s="3">
        <f t="shared" si="240"/>
        <v>4491.75695895441</v>
      </c>
      <c r="Q3861" s="3">
        <f t="shared" si="241"/>
        <v>1.9167004760674899E-2</v>
      </c>
      <c r="R3861" s="3">
        <f t="shared" si="242"/>
        <v>9.2899999999999996E-3</v>
      </c>
      <c r="S3861">
        <f t="shared" si="243"/>
        <v>119</v>
      </c>
      <c r="T3861">
        <f>INDEX([1]IDEN_level_ids!$B:$B,MATCH(G3861,[1]IDEN_level_ids!$A:$A,0),1)</f>
        <v>1101</v>
      </c>
      <c r="U3861">
        <f>INDEX([1]IDEN_level_ids!$B:$B,MATCH(H3861,[1]IDEN_level_ids!$A:$A,0),1)</f>
        <v>1042</v>
      </c>
    </row>
    <row r="3862" spans="1:21" hidden="1" x14ac:dyDescent="0.25">
      <c r="A3862">
        <v>22260.242399999999</v>
      </c>
      <c r="B3862">
        <v>4492.3140999999996</v>
      </c>
      <c r="C3862">
        <v>22</v>
      </c>
      <c r="D3862" t="s">
        <v>788</v>
      </c>
      <c r="F3862">
        <v>1974</v>
      </c>
      <c r="G3862" s="1" t="s">
        <v>64</v>
      </c>
      <c r="H3862" s="1" t="s">
        <v>255</v>
      </c>
      <c r="I3862">
        <v>0</v>
      </c>
      <c r="J3862">
        <v>22260.296999999999</v>
      </c>
      <c r="K3862">
        <v>1.1039999999999999E-2</v>
      </c>
      <c r="L3862">
        <v>9.2999999999999992E-3</v>
      </c>
      <c r="M3862">
        <v>4.6100000000000002E-2</v>
      </c>
      <c r="N3862">
        <v>0.1668</v>
      </c>
      <c r="O3862">
        <v>1.116E-2</v>
      </c>
      <c r="P3862" s="3">
        <f t="shared" si="240"/>
        <v>4492.3140639295107</v>
      </c>
      <c r="Q3862" s="3">
        <f t="shared" si="241"/>
        <v>1.1018736537153018E-2</v>
      </c>
      <c r="R3862" s="3">
        <f t="shared" si="242"/>
        <v>9.2999999999999992E-3</v>
      </c>
      <c r="S3862">
        <f t="shared" si="243"/>
        <v>119</v>
      </c>
      <c r="T3862">
        <f>INDEX([1]IDEN_level_ids!$B:$B,MATCH(G3862,[1]IDEN_level_ids!$A:$A,0),1)</f>
        <v>1228</v>
      </c>
      <c r="U3862">
        <f>INDEX([1]IDEN_level_ids!$B:$B,MATCH(H3862,[1]IDEN_level_ids!$A:$A,0),1)</f>
        <v>1111</v>
      </c>
    </row>
    <row r="3863" spans="1:21" hidden="1" x14ac:dyDescent="0.25">
      <c r="A3863">
        <v>22214.454099999999</v>
      </c>
      <c r="B3863">
        <v>4501.5735999999997</v>
      </c>
      <c r="C3863">
        <v>22</v>
      </c>
      <c r="D3863" t="s">
        <v>790</v>
      </c>
      <c r="E3863" t="s">
        <v>427</v>
      </c>
      <c r="F3863">
        <v>1974</v>
      </c>
      <c r="G3863" s="1" t="s">
        <v>734</v>
      </c>
      <c r="H3863" s="1" t="s">
        <v>256</v>
      </c>
      <c r="I3863">
        <v>0</v>
      </c>
      <c r="J3863">
        <v>22214.4761</v>
      </c>
      <c r="K3863">
        <v>4.47E-3</v>
      </c>
      <c r="L3863">
        <v>9.8700000000000003E-3</v>
      </c>
      <c r="M3863">
        <v>4.87E-2</v>
      </c>
      <c r="N3863">
        <v>0.10150000000000001</v>
      </c>
      <c r="O3863">
        <v>1.099E-2</v>
      </c>
      <c r="P3863" s="3">
        <f t="shared" si="240"/>
        <v>4501.5735948244619</v>
      </c>
      <c r="Q3863" s="3">
        <f t="shared" si="241"/>
        <v>4.4581118472706294E-3</v>
      </c>
      <c r="R3863" s="3">
        <f t="shared" si="242"/>
        <v>9.8700000000000003E-3</v>
      </c>
      <c r="S3863">
        <f t="shared" si="243"/>
        <v>120</v>
      </c>
      <c r="T3863">
        <f>INDEX([1]IDEN_level_ids!$B:$B,MATCH(G3863,[1]IDEN_level_ids!$A:$A,0),1)</f>
        <v>1232</v>
      </c>
      <c r="U3863">
        <f>INDEX([1]IDEN_level_ids!$B:$B,MATCH(H3863,[1]IDEN_level_ids!$A:$A,0),1)</f>
        <v>1120</v>
      </c>
    </row>
    <row r="3864" spans="1:21" hidden="1" x14ac:dyDescent="0.25">
      <c r="A3864">
        <v>22194.728500000001</v>
      </c>
      <c r="B3864">
        <v>4505.5744000000004</v>
      </c>
      <c r="C3864">
        <v>22</v>
      </c>
      <c r="D3864" t="s">
        <v>790</v>
      </c>
      <c r="E3864" t="s">
        <v>638</v>
      </c>
      <c r="F3864">
        <v>1974</v>
      </c>
      <c r="G3864" s="1" t="s">
        <v>304</v>
      </c>
      <c r="H3864" s="1" t="s">
        <v>576</v>
      </c>
      <c r="I3864">
        <v>2.7E-2</v>
      </c>
      <c r="J3864">
        <v>22194.672699999999</v>
      </c>
      <c r="K3864">
        <v>-1.133E-2</v>
      </c>
      <c r="L3864">
        <v>3.508E-2</v>
      </c>
      <c r="M3864">
        <v>0.17280000000000001</v>
      </c>
      <c r="N3864">
        <v>2.7699999999999999E-2</v>
      </c>
      <c r="O3864">
        <v>3.6080000000000001E-2</v>
      </c>
      <c r="P3864" s="3">
        <f t="shared" si="240"/>
        <v>4505.5743754648765</v>
      </c>
      <c r="Q3864" s="3">
        <f t="shared" si="241"/>
        <v>-1.1327540331876662E-2</v>
      </c>
      <c r="R3864" s="3">
        <f t="shared" si="242"/>
        <v>3.508E-2</v>
      </c>
      <c r="S3864">
        <f t="shared" si="243"/>
        <v>120</v>
      </c>
      <c r="T3864">
        <f>INDEX([1]IDEN_level_ids!$B:$B,MATCH(G3864,[1]IDEN_level_ids!$A:$A,0),1)</f>
        <v>1096</v>
      </c>
      <c r="U3864">
        <f>INDEX([1]IDEN_level_ids!$B:$B,MATCH(H3864,[1]IDEN_level_ids!$A:$A,0),1)</f>
        <v>1024</v>
      </c>
    </row>
    <row r="3865" spans="1:21" hidden="1" x14ac:dyDescent="0.25">
      <c r="A3865">
        <v>22172.8619</v>
      </c>
      <c r="B3865">
        <v>4510.0177000000003</v>
      </c>
      <c r="C3865">
        <v>22</v>
      </c>
      <c r="D3865" t="s">
        <v>790</v>
      </c>
      <c r="F3865">
        <v>1974</v>
      </c>
      <c r="G3865" s="1" t="s">
        <v>299</v>
      </c>
      <c r="H3865" s="1" t="s">
        <v>445</v>
      </c>
      <c r="I3865">
        <v>0</v>
      </c>
      <c r="J3865">
        <v>22172.923900000002</v>
      </c>
      <c r="K3865">
        <v>1.2619999999999999E-2</v>
      </c>
      <c r="L3865">
        <v>9.3699999999999999E-3</v>
      </c>
      <c r="M3865">
        <v>4.6100000000000002E-2</v>
      </c>
      <c r="N3865">
        <v>0.1108</v>
      </c>
      <c r="O3865">
        <v>1.0540000000000001E-2</v>
      </c>
      <c r="P3865" s="3">
        <f t="shared" si="240"/>
        <v>4510.0177167476968</v>
      </c>
      <c r="Q3865" s="3">
        <f t="shared" si="241"/>
        <v>1.2610925817170937E-2</v>
      </c>
      <c r="R3865" s="3">
        <f t="shared" si="242"/>
        <v>9.3699999999999999E-3</v>
      </c>
      <c r="S3865">
        <f t="shared" si="243"/>
        <v>120</v>
      </c>
      <c r="T3865">
        <f>INDEX([1]IDEN_level_ids!$B:$B,MATCH(G3865,[1]IDEN_level_ids!$A:$A,0),1)</f>
        <v>1101</v>
      </c>
      <c r="U3865">
        <f>INDEX([1]IDEN_level_ids!$B:$B,MATCH(H3865,[1]IDEN_level_ids!$A:$A,0),1)</f>
        <v>1041</v>
      </c>
    </row>
    <row r="3866" spans="1:21" hidden="1" x14ac:dyDescent="0.25">
      <c r="A3866">
        <v>22120.789100000002</v>
      </c>
      <c r="B3866">
        <v>4520.6343999999999</v>
      </c>
      <c r="C3866">
        <v>22</v>
      </c>
      <c r="D3866" t="s">
        <v>790</v>
      </c>
      <c r="F3866">
        <v>1974</v>
      </c>
      <c r="G3866" s="1" t="s">
        <v>383</v>
      </c>
      <c r="H3866" s="1" t="s">
        <v>441</v>
      </c>
      <c r="I3866">
        <v>0.41689999999999999</v>
      </c>
      <c r="J3866">
        <v>22120.7965</v>
      </c>
      <c r="K3866">
        <v>1.5E-3</v>
      </c>
      <c r="L3866">
        <v>9.41E-3</v>
      </c>
      <c r="M3866">
        <v>4.6100000000000002E-2</v>
      </c>
      <c r="N3866">
        <v>0.21959999999999999</v>
      </c>
      <c r="O3866">
        <v>1.206E-2</v>
      </c>
      <c r="P3866" s="3">
        <f t="shared" si="240"/>
        <v>4520.6343927396329</v>
      </c>
      <c r="Q3866" s="3">
        <f t="shared" si="241"/>
        <v>1.5122735067052417E-3</v>
      </c>
      <c r="R3866" s="3">
        <f t="shared" si="242"/>
        <v>9.41E-3</v>
      </c>
      <c r="S3866">
        <f t="shared" si="243"/>
        <v>120</v>
      </c>
      <c r="T3866">
        <f>INDEX([1]IDEN_level_ids!$B:$B,MATCH(G3866,[1]IDEN_level_ids!$A:$A,0),1)</f>
        <v>1097</v>
      </c>
      <c r="U3866">
        <f>INDEX([1]IDEN_level_ids!$B:$B,MATCH(H3866,[1]IDEN_level_ids!$A:$A,0),1)</f>
        <v>1034</v>
      </c>
    </row>
    <row r="3867" spans="1:21" hidden="1" x14ac:dyDescent="0.25">
      <c r="A3867">
        <v>22083.910899999999</v>
      </c>
      <c r="B3867">
        <v>4528.1835000000001</v>
      </c>
      <c r="C3867">
        <v>22</v>
      </c>
      <c r="D3867" t="s">
        <v>790</v>
      </c>
      <c r="F3867">
        <v>1974</v>
      </c>
      <c r="G3867" s="1" t="s">
        <v>308</v>
      </c>
      <c r="H3867" s="1" t="s">
        <v>272</v>
      </c>
      <c r="I3867">
        <v>0</v>
      </c>
      <c r="J3867">
        <v>22083.9728</v>
      </c>
      <c r="K3867">
        <v>1.2699999999999999E-2</v>
      </c>
      <c r="L3867">
        <v>9.4500000000000001E-3</v>
      </c>
      <c r="M3867">
        <v>4.6100000000000002E-2</v>
      </c>
      <c r="N3867">
        <v>0.2412</v>
      </c>
      <c r="O3867">
        <v>1.2449999999999999E-2</v>
      </c>
      <c r="P3867" s="3">
        <f t="shared" si="240"/>
        <v>4528.1834568531976</v>
      </c>
      <c r="Q3867" s="3">
        <f t="shared" si="241"/>
        <v>1.2692216138930235E-2</v>
      </c>
      <c r="R3867" s="3">
        <f t="shared" si="242"/>
        <v>9.4500000000000001E-3</v>
      </c>
      <c r="S3867">
        <f t="shared" si="243"/>
        <v>120</v>
      </c>
      <c r="T3867">
        <f>INDEX([1]IDEN_level_ids!$B:$B,MATCH(G3867,[1]IDEN_level_ids!$A:$A,0),1)</f>
        <v>1222</v>
      </c>
      <c r="U3867">
        <f>INDEX([1]IDEN_level_ids!$B:$B,MATCH(H3867,[1]IDEN_level_ids!$A:$A,0),1)</f>
        <v>1109</v>
      </c>
    </row>
    <row r="3868" spans="1:21" hidden="1" x14ac:dyDescent="0.25">
      <c r="A3868">
        <v>22043.902999999998</v>
      </c>
      <c r="B3868">
        <v>4536.4017000000003</v>
      </c>
      <c r="C3868">
        <v>22</v>
      </c>
      <c r="D3868" t="s">
        <v>790</v>
      </c>
      <c r="E3868" t="s">
        <v>427</v>
      </c>
      <c r="F3868">
        <v>1974</v>
      </c>
      <c r="G3868" s="1" t="s">
        <v>115</v>
      </c>
      <c r="H3868" s="1" t="s">
        <v>194</v>
      </c>
      <c r="I3868">
        <v>0</v>
      </c>
      <c r="J3868">
        <v>22043.9202</v>
      </c>
      <c r="K3868">
        <v>3.5400000000000002E-3</v>
      </c>
      <c r="L3868">
        <v>1.0030000000000001E-2</v>
      </c>
      <c r="M3868">
        <v>4.87E-2</v>
      </c>
      <c r="N3868">
        <v>0.1002</v>
      </c>
      <c r="O3868">
        <v>1.1140000000000001E-2</v>
      </c>
      <c r="P3868" s="3">
        <f t="shared" si="240"/>
        <v>4536.4017433754816</v>
      </c>
      <c r="Q3868" s="3">
        <f t="shared" si="241"/>
        <v>3.5395750528550707E-3</v>
      </c>
      <c r="R3868" s="3">
        <f t="shared" si="242"/>
        <v>1.0030000000000001E-2</v>
      </c>
      <c r="S3868">
        <f t="shared" si="243"/>
        <v>120</v>
      </c>
      <c r="T3868">
        <f>INDEX([1]IDEN_level_ids!$B:$B,MATCH(G3868,[1]IDEN_level_ids!$A:$A,0),1)</f>
        <v>1252</v>
      </c>
      <c r="U3868">
        <f>INDEX([1]IDEN_level_ids!$B:$B,MATCH(H3868,[1]IDEN_level_ids!$A:$A,0),1)</f>
        <v>1187</v>
      </c>
    </row>
    <row r="3869" spans="1:21" hidden="1" x14ac:dyDescent="0.25">
      <c r="A3869">
        <v>22024.837899999999</v>
      </c>
      <c r="B3869">
        <v>4540.3284999999996</v>
      </c>
      <c r="C3869">
        <v>22</v>
      </c>
      <c r="D3869" t="s">
        <v>790</v>
      </c>
      <c r="F3869">
        <v>1974</v>
      </c>
      <c r="G3869" s="1" t="s">
        <v>725</v>
      </c>
      <c r="H3869" s="1" t="s">
        <v>350</v>
      </c>
      <c r="I3869">
        <v>0</v>
      </c>
      <c r="J3869">
        <v>22024.852800000001</v>
      </c>
      <c r="K3869">
        <v>3.0599999999999998E-3</v>
      </c>
      <c r="L3869">
        <v>9.4999999999999998E-3</v>
      </c>
      <c r="M3869">
        <v>4.6100000000000002E-2</v>
      </c>
      <c r="N3869">
        <v>0.20319999999999999</v>
      </c>
      <c r="O3869">
        <v>1.192E-2</v>
      </c>
      <c r="P3869" s="3">
        <f t="shared" si="240"/>
        <v>4540.3285351761888</v>
      </c>
      <c r="Q3869" s="3">
        <f t="shared" si="241"/>
        <v>3.071570819884073E-3</v>
      </c>
      <c r="R3869" s="3">
        <f t="shared" si="242"/>
        <v>9.4999999999999998E-3</v>
      </c>
      <c r="S3869">
        <f t="shared" si="243"/>
        <v>120</v>
      </c>
      <c r="T3869">
        <f>INDEX([1]IDEN_level_ids!$B:$B,MATCH(G3869,[1]IDEN_level_ids!$A:$A,0),1)</f>
        <v>1227</v>
      </c>
      <c r="U3869">
        <f>INDEX([1]IDEN_level_ids!$B:$B,MATCH(H3869,[1]IDEN_level_ids!$A:$A,0),1)</f>
        <v>1112</v>
      </c>
    </row>
    <row r="3870" spans="1:21" hidden="1" x14ac:dyDescent="0.25">
      <c r="A3870">
        <v>22017.851999999999</v>
      </c>
      <c r="B3870">
        <v>4541.7691000000004</v>
      </c>
      <c r="C3870">
        <v>22</v>
      </c>
      <c r="D3870" t="s">
        <v>790</v>
      </c>
      <c r="F3870">
        <v>1974</v>
      </c>
      <c r="G3870" s="1" t="s">
        <v>304</v>
      </c>
      <c r="H3870" s="1" t="s">
        <v>536</v>
      </c>
      <c r="I3870">
        <v>0</v>
      </c>
      <c r="J3870">
        <v>22017.8923</v>
      </c>
      <c r="K3870">
        <v>8.3099999999999997E-3</v>
      </c>
      <c r="L3870">
        <v>9.4999999999999998E-3</v>
      </c>
      <c r="M3870">
        <v>4.6100000000000002E-2</v>
      </c>
      <c r="N3870">
        <v>0.32029999999999997</v>
      </c>
      <c r="O3870">
        <v>1.3979999999999999E-2</v>
      </c>
      <c r="P3870" s="3">
        <f t="shared" si="240"/>
        <v>4541.7691062688591</v>
      </c>
      <c r="Q3870" s="3">
        <f t="shared" si="241"/>
        <v>8.3129344311601017E-3</v>
      </c>
      <c r="R3870" s="3">
        <f t="shared" si="242"/>
        <v>9.4999999999999998E-3</v>
      </c>
      <c r="S3870">
        <f t="shared" si="243"/>
        <v>120</v>
      </c>
      <c r="T3870">
        <f>INDEX([1]IDEN_level_ids!$B:$B,MATCH(G3870,[1]IDEN_level_ids!$A:$A,0),1)</f>
        <v>1096</v>
      </c>
      <c r="U3870">
        <f>INDEX([1]IDEN_level_ids!$B:$B,MATCH(H3870,[1]IDEN_level_ids!$A:$A,0),1)</f>
        <v>1021</v>
      </c>
    </row>
    <row r="3871" spans="1:21" hidden="1" x14ac:dyDescent="0.25">
      <c r="A3871">
        <v>21977.803</v>
      </c>
      <c r="B3871">
        <v>4550.0452999999998</v>
      </c>
      <c r="C3871">
        <v>22</v>
      </c>
      <c r="D3871" t="s">
        <v>790</v>
      </c>
      <c r="F3871">
        <v>1974</v>
      </c>
      <c r="G3871" s="1" t="s">
        <v>791</v>
      </c>
      <c r="H3871" s="1" t="s">
        <v>278</v>
      </c>
      <c r="I3871">
        <v>0</v>
      </c>
      <c r="J3871">
        <v>21977.854599999999</v>
      </c>
      <c r="K3871">
        <v>1.068E-2</v>
      </c>
      <c r="L3871">
        <v>9.5399999999999999E-3</v>
      </c>
      <c r="M3871">
        <v>4.6100000000000002E-2</v>
      </c>
      <c r="N3871">
        <v>0.17369999999999999</v>
      </c>
      <c r="O3871">
        <v>1.154E-2</v>
      </c>
      <c r="P3871" s="3">
        <f t="shared" si="240"/>
        <v>4550.0453343766894</v>
      </c>
      <c r="Q3871" s="3">
        <f t="shared" si="241"/>
        <v>1.0682677791919559E-2</v>
      </c>
      <c r="R3871" s="3">
        <f t="shared" si="242"/>
        <v>9.5399999999999999E-3</v>
      </c>
      <c r="S3871">
        <f t="shared" si="243"/>
        <v>120</v>
      </c>
      <c r="T3871">
        <f>INDEX([1]IDEN_level_ids!$B:$B,MATCH(G3871,[1]IDEN_level_ids!$A:$A,0),1)</f>
        <v>1215</v>
      </c>
      <c r="U3871">
        <f>INDEX([1]IDEN_level_ids!$B:$B,MATCH(H3871,[1]IDEN_level_ids!$A:$A,0),1)</f>
        <v>1102</v>
      </c>
    </row>
    <row r="3872" spans="1:21" hidden="1" x14ac:dyDescent="0.25">
      <c r="A3872">
        <v>21963.713500000002</v>
      </c>
      <c r="B3872">
        <v>4552.9641000000001</v>
      </c>
      <c r="C3872">
        <v>22</v>
      </c>
      <c r="D3872" t="s">
        <v>790</v>
      </c>
      <c r="F3872">
        <v>1974</v>
      </c>
      <c r="G3872" s="1" t="s">
        <v>302</v>
      </c>
      <c r="H3872" s="1" t="s">
        <v>583</v>
      </c>
      <c r="I3872">
        <v>0.1106</v>
      </c>
      <c r="J3872">
        <v>21963.7291</v>
      </c>
      <c r="K3872">
        <v>3.2399999999999998E-3</v>
      </c>
      <c r="L3872">
        <v>9.5499999999999995E-3</v>
      </c>
      <c r="M3872">
        <v>4.6100000000000002E-2</v>
      </c>
      <c r="N3872">
        <v>0.16189999999999999</v>
      </c>
      <c r="O3872">
        <v>1.1390000000000001E-2</v>
      </c>
      <c r="P3872" s="3">
        <f t="shared" si="240"/>
        <v>4552.9641424251868</v>
      </c>
      <c r="Q3872" s="3">
        <f t="shared" si="241"/>
        <v>3.2337969705622527E-3</v>
      </c>
      <c r="R3872" s="3">
        <f t="shared" si="242"/>
        <v>9.5499999999999995E-3</v>
      </c>
      <c r="S3872">
        <f t="shared" si="243"/>
        <v>120</v>
      </c>
      <c r="T3872">
        <f>INDEX([1]IDEN_level_ids!$B:$B,MATCH(G3872,[1]IDEN_level_ids!$A:$A,0),1)</f>
        <v>1100</v>
      </c>
      <c r="U3872">
        <f>INDEX([1]IDEN_level_ids!$B:$B,MATCH(H3872,[1]IDEN_level_ids!$A:$A,0),1)</f>
        <v>1043</v>
      </c>
    </row>
    <row r="3873" spans="1:21" hidden="1" x14ac:dyDescent="0.25">
      <c r="A3873">
        <v>21949.551200000002</v>
      </c>
      <c r="B3873">
        <v>4555.9017999999996</v>
      </c>
      <c r="C3873">
        <v>22</v>
      </c>
      <c r="D3873" t="s">
        <v>790</v>
      </c>
      <c r="E3873" t="s">
        <v>427</v>
      </c>
      <c r="F3873">
        <v>1974</v>
      </c>
      <c r="G3873" s="1" t="s">
        <v>302</v>
      </c>
      <c r="H3873" s="1" t="s">
        <v>445</v>
      </c>
      <c r="I3873">
        <v>0</v>
      </c>
      <c r="J3873">
        <v>21949.495200000001</v>
      </c>
      <c r="K3873">
        <v>-1.163E-2</v>
      </c>
      <c r="L3873">
        <v>1.0109999999999999E-2</v>
      </c>
      <c r="M3873">
        <v>4.87E-2</v>
      </c>
      <c r="N3873">
        <v>0.1089</v>
      </c>
      <c r="O3873">
        <v>1.1350000000000001E-2</v>
      </c>
      <c r="P3873" s="3">
        <f t="shared" si="240"/>
        <v>4555.9018081426648</v>
      </c>
      <c r="Q3873" s="3">
        <f t="shared" si="241"/>
        <v>-1.1623524775131955E-2</v>
      </c>
      <c r="R3873" s="3">
        <f t="shared" si="242"/>
        <v>1.0109999999999999E-2</v>
      </c>
      <c r="S3873">
        <f t="shared" si="243"/>
        <v>120</v>
      </c>
      <c r="T3873">
        <f>INDEX([1]IDEN_level_ids!$B:$B,MATCH(G3873,[1]IDEN_level_ids!$A:$A,0),1)</f>
        <v>1100</v>
      </c>
      <c r="U3873">
        <f>INDEX([1]IDEN_level_ids!$B:$B,MATCH(H3873,[1]IDEN_level_ids!$A:$A,0),1)</f>
        <v>1041</v>
      </c>
    </row>
    <row r="3874" spans="1:21" hidden="1" x14ac:dyDescent="0.25">
      <c r="A3874">
        <v>21873.2418</v>
      </c>
      <c r="B3874">
        <v>4571.7960000000003</v>
      </c>
      <c r="C3874">
        <v>22</v>
      </c>
      <c r="D3874" t="s">
        <v>790</v>
      </c>
      <c r="F3874">
        <v>1974</v>
      </c>
      <c r="G3874" s="1" t="s">
        <v>297</v>
      </c>
      <c r="H3874" s="1" t="s">
        <v>587</v>
      </c>
      <c r="I3874">
        <v>0.13569999999999999</v>
      </c>
      <c r="J3874">
        <v>21873.2336</v>
      </c>
      <c r="K3874">
        <v>-1.73E-3</v>
      </c>
      <c r="L3874">
        <v>9.6299999999999997E-3</v>
      </c>
      <c r="M3874">
        <v>4.6100000000000002E-2</v>
      </c>
      <c r="N3874">
        <v>0.1346</v>
      </c>
      <c r="O3874">
        <v>1.1129999999999999E-2</v>
      </c>
      <c r="P3874" s="3">
        <f t="shared" si="240"/>
        <v>4571.7960288812792</v>
      </c>
      <c r="Q3874" s="3">
        <f t="shared" si="241"/>
        <v>-1.7139087949544773E-3</v>
      </c>
      <c r="R3874" s="3">
        <f t="shared" si="242"/>
        <v>9.6299999999999997E-3</v>
      </c>
      <c r="S3874">
        <f t="shared" si="243"/>
        <v>120</v>
      </c>
      <c r="T3874">
        <f>INDEX([1]IDEN_level_ids!$B:$B,MATCH(G3874,[1]IDEN_level_ids!$A:$A,0),1)</f>
        <v>1099</v>
      </c>
      <c r="U3874">
        <f>INDEX([1]IDEN_level_ids!$B:$B,MATCH(H3874,[1]IDEN_level_ids!$A:$A,0),1)</f>
        <v>1035</v>
      </c>
    </row>
    <row r="3875" spans="1:21" hidden="1" x14ac:dyDescent="0.25">
      <c r="A3875">
        <v>21872.0023</v>
      </c>
      <c r="B3875">
        <v>4572.0550999999996</v>
      </c>
      <c r="C3875">
        <v>22</v>
      </c>
      <c r="D3875" t="s">
        <v>790</v>
      </c>
      <c r="F3875">
        <v>1974</v>
      </c>
      <c r="G3875" s="1" t="s">
        <v>425</v>
      </c>
      <c r="H3875" s="1" t="s">
        <v>587</v>
      </c>
      <c r="I3875">
        <v>-0.70209999999999995</v>
      </c>
      <c r="J3875">
        <v>21872.081999999999</v>
      </c>
      <c r="K3875">
        <v>1.6660000000000001E-2</v>
      </c>
      <c r="L3875">
        <v>9.6299999999999997E-3</v>
      </c>
      <c r="M3875">
        <v>4.6100000000000002E-2</v>
      </c>
      <c r="N3875">
        <v>0.17249999999999999</v>
      </c>
      <c r="O3875">
        <v>1.1639999999999999E-2</v>
      </c>
      <c r="P3875" s="3">
        <f t="shared" si="240"/>
        <v>4572.0551154111754</v>
      </c>
      <c r="Q3875" s="3">
        <f t="shared" si="241"/>
        <v>1.6660178609527065E-2</v>
      </c>
      <c r="R3875" s="3">
        <f t="shared" si="242"/>
        <v>9.6299999999999997E-3</v>
      </c>
      <c r="S3875">
        <f t="shared" si="243"/>
        <v>120</v>
      </c>
      <c r="T3875">
        <f>INDEX([1]IDEN_level_ids!$B:$B,MATCH(G3875,[1]IDEN_level_ids!$A:$A,0),1)</f>
        <v>1098</v>
      </c>
      <c r="U3875">
        <f>INDEX([1]IDEN_level_ids!$B:$B,MATCH(H3875,[1]IDEN_level_ids!$A:$A,0),1)</f>
        <v>1035</v>
      </c>
    </row>
    <row r="3876" spans="1:21" hidden="1" x14ac:dyDescent="0.25">
      <c r="A3876">
        <v>21848.733</v>
      </c>
      <c r="B3876">
        <v>4576.9243999999999</v>
      </c>
      <c r="C3876">
        <v>22</v>
      </c>
      <c r="D3876" t="s">
        <v>792</v>
      </c>
      <c r="E3876" t="s">
        <v>427</v>
      </c>
      <c r="F3876">
        <v>1974</v>
      </c>
      <c r="G3876" s="1" t="s">
        <v>670</v>
      </c>
      <c r="H3876" s="1" t="s">
        <v>566</v>
      </c>
      <c r="I3876">
        <v>0</v>
      </c>
      <c r="J3876">
        <v>21848.761699999999</v>
      </c>
      <c r="K3876">
        <v>6.0099999999999997E-3</v>
      </c>
      <c r="L3876">
        <v>1.021E-2</v>
      </c>
      <c r="M3876">
        <v>4.87E-2</v>
      </c>
      <c r="N3876">
        <v>0.38350000000000001</v>
      </c>
      <c r="O3876">
        <v>1.6559999999999998E-2</v>
      </c>
      <c r="P3876" s="3">
        <f t="shared" si="240"/>
        <v>4576.9244376779197</v>
      </c>
      <c r="Q3876" s="3">
        <f t="shared" si="241"/>
        <v>6.0121362103018328E-3</v>
      </c>
      <c r="R3876" s="3">
        <f t="shared" si="242"/>
        <v>1.021E-2</v>
      </c>
      <c r="S3876">
        <f t="shared" si="243"/>
        <v>121</v>
      </c>
      <c r="T3876">
        <f>INDEX([1]IDEN_level_ids!$B:$B,MATCH(G3876,[1]IDEN_level_ids!$A:$A,0),1)</f>
        <v>1093</v>
      </c>
      <c r="U3876">
        <f>INDEX([1]IDEN_level_ids!$B:$B,MATCH(H3876,[1]IDEN_level_ids!$A:$A,0),1)</f>
        <v>1000</v>
      </c>
    </row>
    <row r="3877" spans="1:21" hidden="1" x14ac:dyDescent="0.25">
      <c r="A3877">
        <v>21838.052100000001</v>
      </c>
      <c r="B3877">
        <v>4579.1629999999996</v>
      </c>
      <c r="C3877">
        <v>22</v>
      </c>
      <c r="D3877" t="s">
        <v>792</v>
      </c>
      <c r="F3877">
        <v>1974</v>
      </c>
      <c r="G3877" s="1" t="s">
        <v>100</v>
      </c>
      <c r="H3877" s="1" t="s">
        <v>327</v>
      </c>
      <c r="I3877">
        <v>0</v>
      </c>
      <c r="J3877">
        <v>21838.088199999998</v>
      </c>
      <c r="K3877">
        <v>7.5599999999999999E-3</v>
      </c>
      <c r="L3877">
        <v>9.6600000000000002E-3</v>
      </c>
      <c r="M3877">
        <v>4.6100000000000002E-2</v>
      </c>
      <c r="N3877">
        <v>0.15229999999999999</v>
      </c>
      <c r="O3877">
        <v>1.14E-2</v>
      </c>
      <c r="P3877" s="3">
        <f t="shared" si="240"/>
        <v>4579.1629922890415</v>
      </c>
      <c r="Q3877" s="3">
        <f t="shared" si="241"/>
        <v>7.5697003549066721E-3</v>
      </c>
      <c r="R3877" s="3">
        <f t="shared" si="242"/>
        <v>9.6600000000000002E-3</v>
      </c>
      <c r="S3877">
        <f t="shared" si="243"/>
        <v>121</v>
      </c>
      <c r="T3877">
        <f>INDEX([1]IDEN_level_ids!$B:$B,MATCH(G3877,[1]IDEN_level_ids!$A:$A,0),1)</f>
        <v>1146</v>
      </c>
      <c r="U3877">
        <f>INDEX([1]IDEN_level_ids!$B:$B,MATCH(H3877,[1]IDEN_level_ids!$A:$A,0),1)</f>
        <v>1086</v>
      </c>
    </row>
    <row r="3878" spans="1:21" hidden="1" x14ac:dyDescent="0.25">
      <c r="A3878">
        <v>21811.657800000001</v>
      </c>
      <c r="B3878">
        <v>4584.7042000000001</v>
      </c>
      <c r="C3878">
        <v>22</v>
      </c>
      <c r="D3878" t="s">
        <v>792</v>
      </c>
      <c r="F3878">
        <v>1974</v>
      </c>
      <c r="G3878" s="1" t="s">
        <v>348</v>
      </c>
      <c r="H3878" s="1" t="s">
        <v>302</v>
      </c>
      <c r="I3878">
        <v>0</v>
      </c>
      <c r="J3878">
        <v>21811.662400000001</v>
      </c>
      <c r="K3878">
        <v>9.7999999999999997E-4</v>
      </c>
      <c r="L3878">
        <v>9.6799999999999994E-3</v>
      </c>
      <c r="M3878">
        <v>4.6100000000000002E-2</v>
      </c>
      <c r="N3878">
        <v>0.21870000000000001</v>
      </c>
      <c r="O3878">
        <v>1.239E-2</v>
      </c>
      <c r="P3878" s="3">
        <f t="shared" si="240"/>
        <v>4584.7042401334575</v>
      </c>
      <c r="Q3878" s="3">
        <f t="shared" si="241"/>
        <v>9.6689739257271867E-4</v>
      </c>
      <c r="R3878" s="3">
        <f t="shared" si="242"/>
        <v>9.6799999999999994E-3</v>
      </c>
      <c r="S3878">
        <f t="shared" si="243"/>
        <v>121</v>
      </c>
      <c r="T3878">
        <f>INDEX([1]IDEN_level_ids!$B:$B,MATCH(G3878,[1]IDEN_level_ids!$A:$A,0),1)</f>
        <v>1190</v>
      </c>
      <c r="U3878">
        <f>INDEX([1]IDEN_level_ids!$B:$B,MATCH(H3878,[1]IDEN_level_ids!$A:$A,0),1)</f>
        <v>1100</v>
      </c>
    </row>
    <row r="3879" spans="1:21" hidden="1" x14ac:dyDescent="0.25">
      <c r="A3879">
        <v>21792.4395</v>
      </c>
      <c r="B3879">
        <v>4588.7474000000002</v>
      </c>
      <c r="C3879">
        <v>22</v>
      </c>
      <c r="D3879" t="s">
        <v>792</v>
      </c>
      <c r="F3879">
        <v>1974</v>
      </c>
      <c r="G3879" s="1" t="s">
        <v>150</v>
      </c>
      <c r="H3879" s="1" t="s">
        <v>756</v>
      </c>
      <c r="I3879">
        <v>0</v>
      </c>
      <c r="J3879">
        <v>21792.434099999999</v>
      </c>
      <c r="K3879">
        <v>-1.14E-3</v>
      </c>
      <c r="L3879">
        <v>9.7000000000000003E-3</v>
      </c>
      <c r="M3879">
        <v>4.6100000000000002E-2</v>
      </c>
      <c r="N3879">
        <v>0.62749999999999995</v>
      </c>
      <c r="O3879">
        <v>2.6040000000000001E-2</v>
      </c>
      <c r="P3879" s="3">
        <f t="shared" si="240"/>
        <v>4588.7473956277363</v>
      </c>
      <c r="Q3879" s="3">
        <f t="shared" si="241"/>
        <v>-1.1370568254278623E-3</v>
      </c>
      <c r="R3879" s="3">
        <f t="shared" si="242"/>
        <v>9.7000000000000003E-3</v>
      </c>
      <c r="S3879">
        <f t="shared" si="243"/>
        <v>121</v>
      </c>
      <c r="T3879">
        <f>INDEX([1]IDEN_level_ids!$B:$B,MATCH(G3879,[1]IDEN_level_ids!$A:$A,0),1)</f>
        <v>769</v>
      </c>
      <c r="U3879">
        <f>INDEX([1]IDEN_level_ids!$B:$B,MATCH(H3879,[1]IDEN_level_ids!$A:$A,0),1)</f>
        <v>349</v>
      </c>
    </row>
    <row r="3880" spans="1:21" hidden="1" x14ac:dyDescent="0.25">
      <c r="A3880">
        <v>21762.5717</v>
      </c>
      <c r="B3880">
        <v>4595.0451999999996</v>
      </c>
      <c r="C3880">
        <v>22</v>
      </c>
      <c r="D3880" t="s">
        <v>792</v>
      </c>
      <c r="F3880">
        <v>1974</v>
      </c>
      <c r="G3880" s="1" t="s">
        <v>150</v>
      </c>
      <c r="H3880" s="1" t="s">
        <v>758</v>
      </c>
      <c r="I3880">
        <v>0</v>
      </c>
      <c r="J3880">
        <v>21762.565999999999</v>
      </c>
      <c r="K3880">
        <v>-1.2199999999999999E-3</v>
      </c>
      <c r="L3880">
        <v>9.7300000000000008E-3</v>
      </c>
      <c r="M3880">
        <v>4.6100000000000002E-2</v>
      </c>
      <c r="N3880">
        <v>0.52049999999999996</v>
      </c>
      <c r="O3880">
        <v>2.0289999999999999E-2</v>
      </c>
      <c r="P3880" s="3">
        <f t="shared" si="240"/>
        <v>4595.0451710631241</v>
      </c>
      <c r="Q3880" s="3">
        <f t="shared" si="241"/>
        <v>-1.2035234021823271E-3</v>
      </c>
      <c r="R3880" s="3">
        <f t="shared" si="242"/>
        <v>9.7300000000000008E-3</v>
      </c>
      <c r="S3880">
        <f t="shared" si="243"/>
        <v>121</v>
      </c>
      <c r="T3880">
        <f>INDEX([1]IDEN_level_ids!$B:$B,MATCH(G3880,[1]IDEN_level_ids!$A:$A,0),1)</f>
        <v>769</v>
      </c>
      <c r="U3880">
        <f>INDEX([1]IDEN_level_ids!$B:$B,MATCH(H3880,[1]IDEN_level_ids!$A:$A,0),1)</f>
        <v>353</v>
      </c>
    </row>
    <row r="3881" spans="1:21" hidden="1" x14ac:dyDescent="0.25">
      <c r="A3881">
        <v>21755.8037</v>
      </c>
      <c r="B3881">
        <v>4596.4745999999996</v>
      </c>
      <c r="C3881">
        <v>22</v>
      </c>
      <c r="D3881" t="s">
        <v>792</v>
      </c>
      <c r="F3881">
        <v>1974</v>
      </c>
      <c r="G3881" s="1" t="s">
        <v>125</v>
      </c>
      <c r="H3881" s="1" t="s">
        <v>140</v>
      </c>
      <c r="I3881">
        <v>0</v>
      </c>
      <c r="J3881">
        <v>21755.8449</v>
      </c>
      <c r="K3881">
        <v>8.6999999999999994E-3</v>
      </c>
      <c r="L3881">
        <v>9.7300000000000008E-3</v>
      </c>
      <c r="M3881">
        <v>4.6100000000000002E-2</v>
      </c>
      <c r="N3881">
        <v>0.1273</v>
      </c>
      <c r="O3881">
        <v>1.115E-2</v>
      </c>
      <c r="P3881" s="3">
        <f t="shared" si="240"/>
        <v>4596.4746409253548</v>
      </c>
      <c r="Q3881" s="3">
        <f t="shared" si="241"/>
        <v>8.7045461150410119E-3</v>
      </c>
      <c r="R3881" s="3">
        <f t="shared" si="242"/>
        <v>9.7300000000000008E-3</v>
      </c>
      <c r="S3881">
        <f t="shared" si="243"/>
        <v>121</v>
      </c>
      <c r="T3881">
        <f>INDEX([1]IDEN_level_ids!$B:$B,MATCH(G3881,[1]IDEN_level_ids!$A:$A,0),1)</f>
        <v>1253</v>
      </c>
      <c r="U3881">
        <f>INDEX([1]IDEN_level_ids!$B:$B,MATCH(H3881,[1]IDEN_level_ids!$A:$A,0),1)</f>
        <v>1198</v>
      </c>
    </row>
    <row r="3882" spans="1:21" hidden="1" x14ac:dyDescent="0.25">
      <c r="A3882">
        <v>21728.9604</v>
      </c>
      <c r="B3882">
        <v>4602.1530000000002</v>
      </c>
      <c r="C3882">
        <v>22</v>
      </c>
      <c r="D3882" t="s">
        <v>792</v>
      </c>
      <c r="F3882">
        <v>1974</v>
      </c>
      <c r="G3882" s="1" t="s">
        <v>69</v>
      </c>
      <c r="H3882" s="1" t="s">
        <v>459</v>
      </c>
      <c r="I3882">
        <v>0</v>
      </c>
      <c r="J3882">
        <v>21728.968799999999</v>
      </c>
      <c r="K3882">
        <v>1.7700000000000001E-3</v>
      </c>
      <c r="L3882">
        <v>9.7599999999999996E-3</v>
      </c>
      <c r="M3882">
        <v>4.6100000000000002E-2</v>
      </c>
      <c r="N3882">
        <v>0.20849999999999999</v>
      </c>
      <c r="O3882">
        <v>1.2330000000000001E-2</v>
      </c>
      <c r="P3882" s="3">
        <f t="shared" si="240"/>
        <v>4602.1529865736238</v>
      </c>
      <c r="Q3882" s="3">
        <f t="shared" si="241"/>
        <v>1.7791035297705093E-3</v>
      </c>
      <c r="R3882" s="3">
        <f t="shared" si="242"/>
        <v>9.7599999999999996E-3</v>
      </c>
      <c r="S3882">
        <f t="shared" si="243"/>
        <v>121</v>
      </c>
      <c r="T3882">
        <f>INDEX([1]IDEN_level_ids!$B:$B,MATCH(G3882,[1]IDEN_level_ids!$A:$A,0),1)</f>
        <v>1218</v>
      </c>
      <c r="U3882">
        <f>INDEX([1]IDEN_level_ids!$B:$B,MATCH(H3882,[1]IDEN_level_ids!$A:$A,0),1)</f>
        <v>1108</v>
      </c>
    </row>
    <row r="3883" spans="1:21" hidden="1" x14ac:dyDescent="0.25">
      <c r="A3883">
        <v>21718.102999999999</v>
      </c>
      <c r="B3883">
        <v>4604.4537</v>
      </c>
      <c r="C3883">
        <v>22</v>
      </c>
      <c r="D3883" t="s">
        <v>792</v>
      </c>
      <c r="F3883">
        <v>1974</v>
      </c>
      <c r="G3883" s="1" t="s">
        <v>262</v>
      </c>
      <c r="H3883" s="1" t="s">
        <v>384</v>
      </c>
      <c r="I3883">
        <v>0.45490000000000003</v>
      </c>
      <c r="J3883">
        <v>21718.137599999998</v>
      </c>
      <c r="K3883">
        <v>7.3400000000000002E-3</v>
      </c>
      <c r="L3883">
        <v>9.7699999999999992E-3</v>
      </c>
      <c r="M3883">
        <v>4.6100000000000002E-2</v>
      </c>
      <c r="N3883">
        <v>0.1028</v>
      </c>
      <c r="O3883">
        <v>1.089E-2</v>
      </c>
      <c r="P3883" s="3">
        <f t="shared" si="240"/>
        <v>4604.4537131074476</v>
      </c>
      <c r="Q3883" s="3">
        <f t="shared" si="241"/>
        <v>7.3355322356292163E-3</v>
      </c>
      <c r="R3883" s="3">
        <f t="shared" si="242"/>
        <v>9.7699999999999992E-3</v>
      </c>
      <c r="S3883">
        <f t="shared" si="243"/>
        <v>121</v>
      </c>
      <c r="T3883">
        <f>INDEX([1]IDEN_level_ids!$B:$B,MATCH(G3883,[1]IDEN_level_ids!$A:$A,0),1)</f>
        <v>1115</v>
      </c>
      <c r="U3883">
        <f>INDEX([1]IDEN_level_ids!$B:$B,MATCH(H3883,[1]IDEN_level_ids!$A:$A,0),1)</f>
        <v>1080</v>
      </c>
    </row>
    <row r="3884" spans="1:21" hidden="1" x14ac:dyDescent="0.25">
      <c r="A3884">
        <v>21676.391500000002</v>
      </c>
      <c r="B3884">
        <v>4613.3140000000003</v>
      </c>
      <c r="C3884">
        <v>22</v>
      </c>
      <c r="D3884" t="s">
        <v>792</v>
      </c>
      <c r="E3884" t="s">
        <v>427</v>
      </c>
      <c r="F3884">
        <v>1974</v>
      </c>
      <c r="G3884" s="1" t="s">
        <v>313</v>
      </c>
      <c r="H3884" s="1" t="s">
        <v>280</v>
      </c>
      <c r="I3884">
        <v>0</v>
      </c>
      <c r="J3884">
        <v>21676.403300000002</v>
      </c>
      <c r="K3884">
        <v>2.5100000000000001E-3</v>
      </c>
      <c r="L3884">
        <v>1.0370000000000001E-2</v>
      </c>
      <c r="M3884">
        <v>4.87E-2</v>
      </c>
      <c r="N3884">
        <v>0.18429999999999999</v>
      </c>
      <c r="O3884">
        <v>1.2710000000000001E-2</v>
      </c>
      <c r="P3884" s="3">
        <f t="shared" si="240"/>
        <v>4613.3139826340557</v>
      </c>
      <c r="Q3884" s="3">
        <f t="shared" si="241"/>
        <v>2.511353209229128E-3</v>
      </c>
      <c r="R3884" s="3">
        <f t="shared" si="242"/>
        <v>1.0370000000000001E-2</v>
      </c>
      <c r="S3884">
        <f t="shared" si="243"/>
        <v>121</v>
      </c>
      <c r="T3884">
        <f>INDEX([1]IDEN_level_ids!$B:$B,MATCH(G3884,[1]IDEN_level_ids!$A:$A,0),1)</f>
        <v>1239</v>
      </c>
      <c r="U3884">
        <f>INDEX([1]IDEN_level_ids!$B:$B,MATCH(H3884,[1]IDEN_level_ids!$A:$A,0),1)</f>
        <v>1130</v>
      </c>
    </row>
    <row r="3885" spans="1:21" hidden="1" x14ac:dyDescent="0.25">
      <c r="A3885">
        <v>21663.892100000001</v>
      </c>
      <c r="B3885">
        <v>4615.9757</v>
      </c>
      <c r="C3885">
        <v>22</v>
      </c>
      <c r="D3885" t="s">
        <v>792</v>
      </c>
      <c r="F3885">
        <v>1974</v>
      </c>
      <c r="G3885" s="1" t="s">
        <v>189</v>
      </c>
      <c r="H3885" s="1" t="s">
        <v>775</v>
      </c>
      <c r="I3885">
        <v>0</v>
      </c>
      <c r="J3885">
        <v>21663.877</v>
      </c>
      <c r="K3885">
        <v>-3.2299999999999998E-3</v>
      </c>
      <c r="L3885">
        <v>9.8200000000000006E-3</v>
      </c>
      <c r="M3885">
        <v>4.6100000000000002E-2</v>
      </c>
      <c r="N3885">
        <v>0.49780000000000002</v>
      </c>
      <c r="O3885">
        <v>1.9539999999999998E-2</v>
      </c>
      <c r="P3885" s="3">
        <f t="shared" si="240"/>
        <v>4615.9757230327041</v>
      </c>
      <c r="Q3885" s="3">
        <f t="shared" si="241"/>
        <v>-3.2173942563531455E-3</v>
      </c>
      <c r="R3885" s="3">
        <f t="shared" si="242"/>
        <v>9.8200000000000006E-3</v>
      </c>
      <c r="S3885">
        <f t="shared" si="243"/>
        <v>121</v>
      </c>
      <c r="T3885">
        <f>INDEX([1]IDEN_level_ids!$B:$B,MATCH(G3885,[1]IDEN_level_ids!$A:$A,0),1)</f>
        <v>789</v>
      </c>
      <c r="U3885">
        <f>INDEX([1]IDEN_level_ids!$B:$B,MATCH(H3885,[1]IDEN_level_ids!$A:$A,0),1)</f>
        <v>424</v>
      </c>
    </row>
    <row r="3886" spans="1:21" hidden="1" x14ac:dyDescent="0.25">
      <c r="A3886">
        <v>21614.702499999999</v>
      </c>
      <c r="B3886">
        <v>4626.4804999999997</v>
      </c>
      <c r="C3886">
        <v>22</v>
      </c>
      <c r="D3886" t="s">
        <v>792</v>
      </c>
      <c r="E3886" t="s">
        <v>427</v>
      </c>
      <c r="F3886">
        <v>1974</v>
      </c>
      <c r="G3886" s="1" t="s">
        <v>92</v>
      </c>
      <c r="H3886" s="1" t="s">
        <v>255</v>
      </c>
      <c r="I3886">
        <v>0</v>
      </c>
      <c r="J3886">
        <v>21614.6649</v>
      </c>
      <c r="K3886">
        <v>-8.0599999999999995E-3</v>
      </c>
      <c r="L3886">
        <v>1.043E-2</v>
      </c>
      <c r="M3886">
        <v>4.87E-2</v>
      </c>
      <c r="N3886">
        <v>0.22969999999999999</v>
      </c>
      <c r="O3886">
        <v>1.354E-2</v>
      </c>
      <c r="P3886" s="3">
        <f t="shared" si="240"/>
        <v>4626.4805171387397</v>
      </c>
      <c r="Q3886" s="3">
        <f t="shared" si="241"/>
        <v>-8.0480390624870779E-3</v>
      </c>
      <c r="R3886" s="3">
        <f t="shared" si="242"/>
        <v>1.043E-2</v>
      </c>
      <c r="S3886">
        <f t="shared" si="243"/>
        <v>121</v>
      </c>
      <c r="T3886">
        <f>INDEX([1]IDEN_level_ids!$B:$B,MATCH(G3886,[1]IDEN_level_ids!$A:$A,0),1)</f>
        <v>1224</v>
      </c>
      <c r="U3886">
        <f>INDEX([1]IDEN_level_ids!$B:$B,MATCH(H3886,[1]IDEN_level_ids!$A:$A,0),1)</f>
        <v>1111</v>
      </c>
    </row>
    <row r="3887" spans="1:21" hidden="1" x14ac:dyDescent="0.25">
      <c r="A3887">
        <v>21546.5782</v>
      </c>
      <c r="B3887">
        <v>4641.1081999999997</v>
      </c>
      <c r="C3887">
        <v>22</v>
      </c>
      <c r="D3887" t="s">
        <v>792</v>
      </c>
      <c r="F3887">
        <v>1974</v>
      </c>
      <c r="G3887" s="1" t="s">
        <v>112</v>
      </c>
      <c r="H3887" s="1" t="s">
        <v>749</v>
      </c>
      <c r="I3887">
        <v>0</v>
      </c>
      <c r="J3887">
        <v>21546.573199999999</v>
      </c>
      <c r="K3887">
        <v>-1.07E-3</v>
      </c>
      <c r="L3887">
        <v>9.92E-3</v>
      </c>
      <c r="M3887">
        <v>4.6100000000000002E-2</v>
      </c>
      <c r="N3887">
        <v>0.80430000000000001</v>
      </c>
      <c r="O3887">
        <v>5.0709999999999998E-2</v>
      </c>
      <c r="P3887" s="3">
        <f t="shared" si="240"/>
        <v>4641.1081644509104</v>
      </c>
      <c r="Q3887" s="3">
        <f t="shared" si="241"/>
        <v>-1.076994500181172E-3</v>
      </c>
      <c r="R3887" s="3">
        <f t="shared" si="242"/>
        <v>9.92E-3</v>
      </c>
      <c r="S3887">
        <f t="shared" si="243"/>
        <v>121</v>
      </c>
      <c r="T3887">
        <f>INDEX([1]IDEN_level_ids!$B:$B,MATCH(G3887,[1]IDEN_level_ids!$A:$A,0),1)</f>
        <v>732</v>
      </c>
      <c r="U3887">
        <f>INDEX([1]IDEN_level_ids!$B:$B,MATCH(H3887,[1]IDEN_level_ids!$A:$A,0),1)</f>
        <v>292</v>
      </c>
    </row>
    <row r="3888" spans="1:21" hidden="1" x14ac:dyDescent="0.25">
      <c r="A3888">
        <v>21535.1469</v>
      </c>
      <c r="B3888">
        <v>4643.5717999999997</v>
      </c>
      <c r="C3888">
        <v>22</v>
      </c>
      <c r="D3888" t="s">
        <v>792</v>
      </c>
      <c r="E3888" t="s">
        <v>427</v>
      </c>
      <c r="F3888">
        <v>1974</v>
      </c>
      <c r="G3888" s="1" t="s">
        <v>125</v>
      </c>
      <c r="H3888" s="1" t="s">
        <v>40</v>
      </c>
      <c r="I3888">
        <v>0</v>
      </c>
      <c r="J3888">
        <v>21535.1721</v>
      </c>
      <c r="K3888">
        <v>5.4299999999999999E-3</v>
      </c>
      <c r="L3888">
        <v>1.051E-2</v>
      </c>
      <c r="M3888">
        <v>4.87E-2</v>
      </c>
      <c r="N3888">
        <v>9.7000000000000003E-2</v>
      </c>
      <c r="O3888">
        <v>1.1639999999999999E-2</v>
      </c>
      <c r="P3888" s="3">
        <f t="shared" si="240"/>
        <v>4643.5717603579478</v>
      </c>
      <c r="Q3888" s="3">
        <f t="shared" si="241"/>
        <v>5.4338088320946554E-3</v>
      </c>
      <c r="R3888" s="3">
        <f t="shared" si="242"/>
        <v>1.051E-2</v>
      </c>
      <c r="S3888">
        <f t="shared" si="243"/>
        <v>121</v>
      </c>
      <c r="T3888">
        <f>INDEX([1]IDEN_level_ids!$B:$B,MATCH(G3888,[1]IDEN_level_ids!$A:$A,0),1)</f>
        <v>1253</v>
      </c>
      <c r="U3888">
        <f>INDEX([1]IDEN_level_ids!$B:$B,MATCH(H3888,[1]IDEN_level_ids!$A:$A,0),1)</f>
        <v>1199</v>
      </c>
    </row>
    <row r="3889" spans="1:21" hidden="1" x14ac:dyDescent="0.25">
      <c r="A3889">
        <v>21525.580399999999</v>
      </c>
      <c r="B3889">
        <v>4645.6355000000003</v>
      </c>
      <c r="C3889">
        <v>22</v>
      </c>
      <c r="D3889" t="s">
        <v>792</v>
      </c>
      <c r="F3889">
        <v>1974</v>
      </c>
      <c r="G3889" s="1" t="s">
        <v>120</v>
      </c>
      <c r="H3889" s="1" t="s">
        <v>85</v>
      </c>
      <c r="I3889">
        <v>0</v>
      </c>
      <c r="J3889">
        <v>21525.5481</v>
      </c>
      <c r="K3889">
        <v>-6.9800000000000001E-3</v>
      </c>
      <c r="L3889">
        <v>9.9399999999999992E-3</v>
      </c>
      <c r="M3889">
        <v>4.6100000000000002E-2</v>
      </c>
      <c r="N3889">
        <v>0.26419999999999999</v>
      </c>
      <c r="O3889">
        <v>1.3509999999999999E-2</v>
      </c>
      <c r="P3889" s="3">
        <f t="shared" si="240"/>
        <v>4645.6354784282612</v>
      </c>
      <c r="Q3889" s="3">
        <f t="shared" si="241"/>
        <v>-6.9709735262222239E-3</v>
      </c>
      <c r="R3889" s="3">
        <f t="shared" si="242"/>
        <v>9.9399999999999992E-3</v>
      </c>
      <c r="S3889">
        <f t="shared" si="243"/>
        <v>121</v>
      </c>
      <c r="T3889">
        <f>INDEX([1]IDEN_level_ids!$B:$B,MATCH(G3889,[1]IDEN_level_ids!$A:$A,0),1)</f>
        <v>1250</v>
      </c>
      <c r="U3889">
        <f>INDEX([1]IDEN_level_ids!$B:$B,MATCH(H3889,[1]IDEN_level_ids!$A:$A,0),1)</f>
        <v>1168</v>
      </c>
    </row>
    <row r="3890" spans="1:21" hidden="1" x14ac:dyDescent="0.25">
      <c r="A3890">
        <v>21512.092199999999</v>
      </c>
      <c r="B3890">
        <v>4648.5483000000004</v>
      </c>
      <c r="C3890">
        <v>22</v>
      </c>
      <c r="D3890" t="s">
        <v>792</v>
      </c>
      <c r="E3890" t="s">
        <v>427</v>
      </c>
      <c r="F3890">
        <v>1974</v>
      </c>
      <c r="G3890" s="1" t="s">
        <v>716</v>
      </c>
      <c r="H3890" s="1" t="s">
        <v>345</v>
      </c>
      <c r="I3890">
        <v>0</v>
      </c>
      <c r="J3890">
        <v>21512.094400000002</v>
      </c>
      <c r="K3890">
        <v>4.8999999999999998E-4</v>
      </c>
      <c r="L3890">
        <v>1.0529999999999999E-2</v>
      </c>
      <c r="M3890">
        <v>4.87E-2</v>
      </c>
      <c r="N3890">
        <v>0.17219999999999999</v>
      </c>
      <c r="O3890">
        <v>1.272E-2</v>
      </c>
      <c r="P3890" s="3">
        <f t="shared" si="240"/>
        <v>4648.5483173970406</v>
      </c>
      <c r="Q3890" s="3">
        <f t="shared" si="241"/>
        <v>4.7539798379148124E-4</v>
      </c>
      <c r="R3890" s="3">
        <f t="shared" si="242"/>
        <v>1.0529999999999999E-2</v>
      </c>
      <c r="S3890">
        <f t="shared" si="243"/>
        <v>121</v>
      </c>
      <c r="T3890">
        <f>INDEX([1]IDEN_level_ids!$B:$B,MATCH(G3890,[1]IDEN_level_ids!$A:$A,0),1)</f>
        <v>1219</v>
      </c>
      <c r="U3890">
        <f>INDEX([1]IDEN_level_ids!$B:$B,MATCH(H3890,[1]IDEN_level_ids!$A:$A,0),1)</f>
        <v>1106</v>
      </c>
    </row>
    <row r="3891" spans="1:21" hidden="1" x14ac:dyDescent="0.25">
      <c r="A3891">
        <v>21505.742999999999</v>
      </c>
      <c r="B3891">
        <v>4649.9206999999997</v>
      </c>
      <c r="C3891">
        <v>22</v>
      </c>
      <c r="D3891" t="s">
        <v>792</v>
      </c>
      <c r="E3891" t="s">
        <v>427</v>
      </c>
      <c r="F3891">
        <v>1974</v>
      </c>
      <c r="G3891" s="1" t="s">
        <v>334</v>
      </c>
      <c r="H3891" s="1" t="s">
        <v>381</v>
      </c>
      <c r="I3891">
        <v>0.23219999999999999</v>
      </c>
      <c r="J3891">
        <v>21505.7713</v>
      </c>
      <c r="K3891">
        <v>6.1199999999999996E-3</v>
      </c>
      <c r="L3891">
        <v>1.0540000000000001E-2</v>
      </c>
      <c r="M3891">
        <v>4.87E-2</v>
      </c>
      <c r="N3891">
        <v>9.9400000000000002E-2</v>
      </c>
      <c r="O3891">
        <v>1.17E-2</v>
      </c>
      <c r="P3891" s="3">
        <f t="shared" si="240"/>
        <v>4649.9207211766643</v>
      </c>
      <c r="Q3891" s="3">
        <f t="shared" si="241"/>
        <v>6.1189507960079936E-3</v>
      </c>
      <c r="R3891" s="3">
        <f t="shared" si="242"/>
        <v>1.0540000000000001E-2</v>
      </c>
      <c r="S3891">
        <f t="shared" si="243"/>
        <v>121</v>
      </c>
      <c r="T3891">
        <f>INDEX([1]IDEN_level_ids!$B:$B,MATCH(G3891,[1]IDEN_level_ids!$A:$A,0),1)</f>
        <v>1124</v>
      </c>
      <c r="U3891">
        <f>INDEX([1]IDEN_level_ids!$B:$B,MATCH(H3891,[1]IDEN_level_ids!$A:$A,0),1)</f>
        <v>1084</v>
      </c>
    </row>
    <row r="3892" spans="1:21" hidden="1" x14ac:dyDescent="0.25">
      <c r="A3892">
        <v>21496.5412</v>
      </c>
      <c r="B3892">
        <v>4651.9111999999996</v>
      </c>
      <c r="C3892">
        <v>22</v>
      </c>
      <c r="D3892" t="s">
        <v>793</v>
      </c>
      <c r="E3892" t="s">
        <v>678</v>
      </c>
      <c r="F3892">
        <v>1974</v>
      </c>
      <c r="G3892" s="1" t="s">
        <v>706</v>
      </c>
      <c r="H3892" s="1" t="s">
        <v>492</v>
      </c>
      <c r="I3892">
        <v>-0.25629999999999997</v>
      </c>
      <c r="J3892">
        <v>21496.5982</v>
      </c>
      <c r="K3892">
        <v>1.235E-2</v>
      </c>
      <c r="L3892">
        <v>1.576E-2</v>
      </c>
      <c r="M3892">
        <v>7.2800000000000004E-2</v>
      </c>
      <c r="N3892">
        <v>0.1012</v>
      </c>
      <c r="O3892">
        <v>1.754E-2</v>
      </c>
      <c r="P3892" s="3">
        <f t="shared" si="240"/>
        <v>4651.911164201616</v>
      </c>
      <c r="Q3892" s="3">
        <f t="shared" si="241"/>
        <v>1.2334925456343626E-2</v>
      </c>
      <c r="R3892" s="3">
        <f t="shared" si="242"/>
        <v>1.576E-2</v>
      </c>
      <c r="S3892">
        <f t="shared" si="243"/>
        <v>122</v>
      </c>
      <c r="T3892">
        <f>INDEX([1]IDEN_level_ids!$B:$B,MATCH(G3892,[1]IDEN_level_ids!$A:$A,0),1)</f>
        <v>1240</v>
      </c>
      <c r="U3892">
        <f>INDEX([1]IDEN_level_ids!$B:$B,MATCH(H3892,[1]IDEN_level_ids!$A:$A,0),1)</f>
        <v>1132</v>
      </c>
    </row>
    <row r="3893" spans="1:21" hidden="1" x14ac:dyDescent="0.25">
      <c r="A3893">
        <v>21486.801800000001</v>
      </c>
      <c r="B3893">
        <v>4654.0198</v>
      </c>
      <c r="C3893">
        <v>22</v>
      </c>
      <c r="D3893" t="s">
        <v>793</v>
      </c>
      <c r="F3893">
        <v>1974</v>
      </c>
      <c r="G3893" s="1" t="s">
        <v>273</v>
      </c>
      <c r="H3893" s="1" t="s">
        <v>446</v>
      </c>
      <c r="I3893">
        <v>0.31669999999999998</v>
      </c>
      <c r="J3893">
        <v>21486.8151</v>
      </c>
      <c r="K3893">
        <v>2.8900000000000002E-3</v>
      </c>
      <c r="L3893">
        <v>9.9799999999999993E-3</v>
      </c>
      <c r="M3893">
        <v>4.6100000000000002E-2</v>
      </c>
      <c r="N3893">
        <v>9.8500000000000004E-2</v>
      </c>
      <c r="O3893">
        <v>1.107E-2</v>
      </c>
      <c r="P3893" s="3">
        <f t="shared" si="240"/>
        <v>4654.0197527209466</v>
      </c>
      <c r="Q3893" s="3">
        <f t="shared" si="241"/>
        <v>2.8807648977817735E-3</v>
      </c>
      <c r="R3893" s="3">
        <f t="shared" si="242"/>
        <v>9.9799999999999993E-3</v>
      </c>
      <c r="S3893">
        <f t="shared" si="243"/>
        <v>122</v>
      </c>
      <c r="T3893">
        <f>INDEX([1]IDEN_level_ids!$B:$B,MATCH(G3893,[1]IDEN_level_ids!$A:$A,0),1)</f>
        <v>1105</v>
      </c>
      <c r="U3893">
        <f>INDEX([1]IDEN_level_ids!$B:$B,MATCH(H3893,[1]IDEN_level_ids!$A:$A,0),1)</f>
        <v>1079</v>
      </c>
    </row>
    <row r="3894" spans="1:21" hidden="1" x14ac:dyDescent="0.25">
      <c r="A3894">
        <v>21480.144100000001</v>
      </c>
      <c r="B3894">
        <v>4655.4621999999999</v>
      </c>
      <c r="C3894">
        <v>22</v>
      </c>
      <c r="D3894" t="s">
        <v>793</v>
      </c>
      <c r="F3894">
        <v>1974</v>
      </c>
      <c r="G3894" s="1" t="s">
        <v>794</v>
      </c>
      <c r="H3894" s="1" t="s">
        <v>307</v>
      </c>
      <c r="I3894">
        <v>0</v>
      </c>
      <c r="J3894">
        <v>21480.167000000001</v>
      </c>
      <c r="K3894">
        <v>4.96E-3</v>
      </c>
      <c r="L3894">
        <v>9.9799999999999993E-3</v>
      </c>
      <c r="M3894">
        <v>4.6100000000000002E-2</v>
      </c>
      <c r="N3894">
        <v>0.23330000000000001</v>
      </c>
      <c r="O3894">
        <v>1.302E-2</v>
      </c>
      <c r="P3894" s="3">
        <f t="shared" si="240"/>
        <v>4655.4622508328512</v>
      </c>
      <c r="Q3894" s="3">
        <f t="shared" si="241"/>
        <v>4.9631869969744002E-3</v>
      </c>
      <c r="R3894" s="3">
        <f t="shared" si="242"/>
        <v>9.9799999999999993E-3</v>
      </c>
      <c r="S3894">
        <f t="shared" si="243"/>
        <v>122</v>
      </c>
      <c r="T3894">
        <f>INDEX([1]IDEN_level_ids!$B:$B,MATCH(G3894,[1]IDEN_level_ids!$A:$A,0),1)</f>
        <v>1164</v>
      </c>
      <c r="U3894">
        <f>INDEX([1]IDEN_level_ids!$B:$B,MATCH(H3894,[1]IDEN_level_ids!$A:$A,0),1)</f>
        <v>1095</v>
      </c>
    </row>
    <row r="3895" spans="1:21" hidden="1" x14ac:dyDescent="0.25">
      <c r="A3895">
        <v>21447.988700000002</v>
      </c>
      <c r="B3895">
        <v>4662.4417999999996</v>
      </c>
      <c r="C3895">
        <v>22</v>
      </c>
      <c r="D3895" t="s">
        <v>793</v>
      </c>
      <c r="E3895" t="s">
        <v>427</v>
      </c>
      <c r="F3895">
        <v>1974</v>
      </c>
      <c r="G3895" s="1" t="s">
        <v>320</v>
      </c>
      <c r="H3895" s="1" t="s">
        <v>297</v>
      </c>
      <c r="I3895">
        <v>0</v>
      </c>
      <c r="J3895">
        <v>21448.015200000002</v>
      </c>
      <c r="K3895">
        <v>5.7600000000000004E-3</v>
      </c>
      <c r="L3895">
        <v>1.059E-2</v>
      </c>
      <c r="M3895">
        <v>4.87E-2</v>
      </c>
      <c r="N3895">
        <v>0.16439999999999999</v>
      </c>
      <c r="O3895">
        <v>1.268E-2</v>
      </c>
      <c r="P3895" s="3">
        <f t="shared" si="240"/>
        <v>4662.4418447217849</v>
      </c>
      <c r="Q3895" s="3">
        <f t="shared" si="241"/>
        <v>5.7606593309174059E-3</v>
      </c>
      <c r="R3895" s="3">
        <f t="shared" si="242"/>
        <v>1.059E-2</v>
      </c>
      <c r="S3895">
        <f t="shared" si="243"/>
        <v>122</v>
      </c>
      <c r="T3895">
        <f>INDEX([1]IDEN_level_ids!$B:$B,MATCH(G3895,[1]IDEN_level_ids!$A:$A,0),1)</f>
        <v>1180</v>
      </c>
      <c r="U3895">
        <f>INDEX([1]IDEN_level_ids!$B:$B,MATCH(H3895,[1]IDEN_level_ids!$A:$A,0),1)</f>
        <v>1099</v>
      </c>
    </row>
    <row r="3896" spans="1:21" hidden="1" x14ac:dyDescent="0.25">
      <c r="A3896">
        <v>21433.9179</v>
      </c>
      <c r="B3896">
        <v>4665.5025999999998</v>
      </c>
      <c r="C3896">
        <v>22</v>
      </c>
      <c r="D3896" t="s">
        <v>793</v>
      </c>
      <c r="F3896">
        <v>1974</v>
      </c>
      <c r="G3896" s="1" t="s">
        <v>339</v>
      </c>
      <c r="H3896" s="1" t="s">
        <v>299</v>
      </c>
      <c r="I3896">
        <v>0</v>
      </c>
      <c r="J3896">
        <v>21433.9437</v>
      </c>
      <c r="K3896">
        <v>5.6100000000000004E-3</v>
      </c>
      <c r="L3896">
        <v>1.0030000000000001E-2</v>
      </c>
      <c r="M3896">
        <v>4.6100000000000002E-2</v>
      </c>
      <c r="N3896">
        <v>0.16370000000000001</v>
      </c>
      <c r="O3896">
        <v>1.1990000000000001E-2</v>
      </c>
      <c r="P3896" s="3">
        <f t="shared" si="240"/>
        <v>4665.5026144333606</v>
      </c>
      <c r="Q3896" s="3">
        <f t="shared" si="241"/>
        <v>5.6158572187996469E-3</v>
      </c>
      <c r="R3896" s="3">
        <f t="shared" si="242"/>
        <v>1.0030000000000001E-2</v>
      </c>
      <c r="S3896">
        <f t="shared" si="243"/>
        <v>122</v>
      </c>
      <c r="T3896">
        <f>INDEX([1]IDEN_level_ids!$B:$B,MATCH(G3896,[1]IDEN_level_ids!$A:$A,0),1)</f>
        <v>1189</v>
      </c>
      <c r="U3896">
        <f>INDEX([1]IDEN_level_ids!$B:$B,MATCH(H3896,[1]IDEN_level_ids!$A:$A,0),1)</f>
        <v>1101</v>
      </c>
    </row>
    <row r="3897" spans="1:21" hidden="1" x14ac:dyDescent="0.25">
      <c r="A3897">
        <v>21412.758699999998</v>
      </c>
      <c r="B3897">
        <v>4670.1129000000001</v>
      </c>
      <c r="C3897">
        <v>22</v>
      </c>
      <c r="D3897" t="s">
        <v>793</v>
      </c>
      <c r="E3897" t="s">
        <v>661</v>
      </c>
      <c r="F3897">
        <v>1974</v>
      </c>
      <c r="G3897" s="1" t="s">
        <v>343</v>
      </c>
      <c r="H3897" s="1" t="s">
        <v>575</v>
      </c>
      <c r="I3897">
        <v>0</v>
      </c>
      <c r="J3897">
        <v>21412.773499999999</v>
      </c>
      <c r="K3897">
        <v>3.2399999999999998E-3</v>
      </c>
      <c r="L3897">
        <v>1.1050000000000001E-2</v>
      </c>
      <c r="M3897">
        <v>5.0700000000000002E-2</v>
      </c>
      <c r="N3897">
        <v>0.84809999999999997</v>
      </c>
      <c r="O3897">
        <v>7.2739999999999999E-2</v>
      </c>
      <c r="P3897" s="3">
        <f t="shared" si="240"/>
        <v>4670.112870603637</v>
      </c>
      <c r="Q3897" s="3">
        <f t="shared" si="241"/>
        <v>3.2278709941238048E-3</v>
      </c>
      <c r="R3897" s="3">
        <f t="shared" si="242"/>
        <v>1.1050000000000001E-2</v>
      </c>
      <c r="S3897">
        <f t="shared" si="243"/>
        <v>122</v>
      </c>
      <c r="T3897">
        <f>INDEX([1]IDEN_level_ids!$B:$B,MATCH(G3897,[1]IDEN_level_ids!$A:$A,0),1)</f>
        <v>912</v>
      </c>
      <c r="U3897">
        <f>INDEX([1]IDEN_level_ids!$B:$B,MATCH(H3897,[1]IDEN_level_ids!$A:$A,0),1)</f>
        <v>771</v>
      </c>
    </row>
    <row r="3898" spans="1:21" hidden="1" x14ac:dyDescent="0.25">
      <c r="A3898">
        <v>21338.644</v>
      </c>
      <c r="B3898">
        <v>4686.3334000000004</v>
      </c>
      <c r="C3898">
        <v>22</v>
      </c>
      <c r="D3898" t="s">
        <v>793</v>
      </c>
      <c r="F3898">
        <v>1974</v>
      </c>
      <c r="G3898" s="1" t="s">
        <v>669</v>
      </c>
      <c r="H3898" s="1" t="s">
        <v>220</v>
      </c>
      <c r="I3898">
        <v>0</v>
      </c>
      <c r="J3898">
        <v>21338.6391</v>
      </c>
      <c r="K3898">
        <v>-1.08E-3</v>
      </c>
      <c r="L3898">
        <v>1.0120000000000001E-2</v>
      </c>
      <c r="M3898">
        <v>4.6100000000000002E-2</v>
      </c>
      <c r="N3898">
        <v>0.1978</v>
      </c>
      <c r="O3898">
        <v>1.261E-2</v>
      </c>
      <c r="P3898" s="3">
        <f t="shared" si="240"/>
        <v>4686.3333958802632</v>
      </c>
      <c r="Q3898" s="3">
        <f t="shared" si="241"/>
        <v>-1.0761245612229686E-3</v>
      </c>
      <c r="R3898" s="3">
        <f t="shared" si="242"/>
        <v>1.0120000000000001E-2</v>
      </c>
      <c r="S3898">
        <f t="shared" si="243"/>
        <v>122</v>
      </c>
      <c r="T3898">
        <f>INDEX([1]IDEN_level_ids!$B:$B,MATCH(G3898,[1]IDEN_level_ids!$A:$A,0),1)</f>
        <v>1245</v>
      </c>
      <c r="U3898">
        <f>INDEX([1]IDEN_level_ids!$B:$B,MATCH(H3898,[1]IDEN_level_ids!$A:$A,0),1)</f>
        <v>1142</v>
      </c>
    </row>
    <row r="3899" spans="1:21" hidden="1" x14ac:dyDescent="0.25">
      <c r="A3899">
        <v>21273.147199999999</v>
      </c>
      <c r="B3899">
        <v>4700.7619000000004</v>
      </c>
      <c r="C3899">
        <v>22</v>
      </c>
      <c r="D3899" t="s">
        <v>793</v>
      </c>
      <c r="F3899">
        <v>1974</v>
      </c>
      <c r="G3899" s="1" t="s">
        <v>691</v>
      </c>
      <c r="H3899" s="1" t="s">
        <v>566</v>
      </c>
      <c r="I3899">
        <v>-0.69030000000000002</v>
      </c>
      <c r="J3899">
        <v>21273.2284</v>
      </c>
      <c r="K3899">
        <v>1.7950000000000001E-2</v>
      </c>
      <c r="L3899">
        <v>1.018E-2</v>
      </c>
      <c r="M3899">
        <v>4.6100000000000002E-2</v>
      </c>
      <c r="N3899">
        <v>0.45090000000000002</v>
      </c>
      <c r="O3899">
        <v>1.8540000000000001E-2</v>
      </c>
      <c r="P3899" s="3">
        <f t="shared" si="240"/>
        <v>4700.7619070111077</v>
      </c>
      <c r="Q3899" s="3">
        <f t="shared" si="241"/>
        <v>1.7942827467777533E-2</v>
      </c>
      <c r="R3899" s="3">
        <f t="shared" si="242"/>
        <v>1.018E-2</v>
      </c>
      <c r="S3899">
        <f t="shared" si="243"/>
        <v>122</v>
      </c>
      <c r="T3899">
        <f>INDEX([1]IDEN_level_ids!$B:$B,MATCH(G3899,[1]IDEN_level_ids!$A:$A,0),1)</f>
        <v>1092</v>
      </c>
      <c r="U3899">
        <f>INDEX([1]IDEN_level_ids!$B:$B,MATCH(H3899,[1]IDEN_level_ids!$A:$A,0),1)</f>
        <v>1000</v>
      </c>
    </row>
    <row r="3900" spans="1:21" hidden="1" x14ac:dyDescent="0.25">
      <c r="A3900">
        <v>21269.050599999999</v>
      </c>
      <c r="B3900">
        <v>4701.6673000000001</v>
      </c>
      <c r="C3900">
        <v>22</v>
      </c>
      <c r="D3900" t="s">
        <v>793</v>
      </c>
      <c r="F3900">
        <v>1974</v>
      </c>
      <c r="G3900" s="1" t="s">
        <v>161</v>
      </c>
      <c r="H3900" s="1" t="s">
        <v>783</v>
      </c>
      <c r="I3900">
        <v>0</v>
      </c>
      <c r="J3900">
        <v>21269.0746</v>
      </c>
      <c r="K3900">
        <v>5.3E-3</v>
      </c>
      <c r="L3900">
        <v>1.018E-2</v>
      </c>
      <c r="M3900">
        <v>4.6100000000000002E-2</v>
      </c>
      <c r="N3900">
        <v>0.51819999999999999</v>
      </c>
      <c r="O3900">
        <v>2.1139999999999999E-2</v>
      </c>
      <c r="P3900" s="3">
        <f t="shared" si="240"/>
        <v>4701.6673137257949</v>
      </c>
      <c r="Q3900" s="3">
        <f t="shared" si="241"/>
        <v>5.3053561405249638E-3</v>
      </c>
      <c r="R3900" s="3">
        <f t="shared" si="242"/>
        <v>1.018E-2</v>
      </c>
      <c r="S3900">
        <f t="shared" si="243"/>
        <v>122</v>
      </c>
      <c r="T3900">
        <f>INDEX([1]IDEN_level_ids!$B:$B,MATCH(G3900,[1]IDEN_level_ids!$A:$A,0),1)</f>
        <v>785</v>
      </c>
      <c r="U3900">
        <f>INDEX([1]IDEN_level_ids!$B:$B,MATCH(H3900,[1]IDEN_level_ids!$A:$A,0),1)</f>
        <v>422</v>
      </c>
    </row>
    <row r="3901" spans="1:21" hidden="1" x14ac:dyDescent="0.25">
      <c r="A3901">
        <v>21248.400799999999</v>
      </c>
      <c r="B3901">
        <v>4706.2365</v>
      </c>
      <c r="C3901">
        <v>22</v>
      </c>
      <c r="D3901" t="s">
        <v>793</v>
      </c>
      <c r="F3901">
        <v>1974</v>
      </c>
      <c r="G3901" s="1" t="s">
        <v>161</v>
      </c>
      <c r="H3901" s="1" t="s">
        <v>739</v>
      </c>
      <c r="I3901">
        <v>0</v>
      </c>
      <c r="J3901">
        <v>21248.418600000001</v>
      </c>
      <c r="K3901">
        <v>3.9500000000000004E-3</v>
      </c>
      <c r="L3901">
        <v>1.0200000000000001E-2</v>
      </c>
      <c r="M3901">
        <v>4.6100000000000002E-2</v>
      </c>
      <c r="N3901">
        <v>0.48270000000000002</v>
      </c>
      <c r="O3901">
        <v>1.9730000000000001E-2</v>
      </c>
      <c r="P3901" s="3">
        <f t="shared" si="240"/>
        <v>4706.2365276920045</v>
      </c>
      <c r="Q3901" s="3">
        <f t="shared" si="241"/>
        <v>3.9424585793312872E-3</v>
      </c>
      <c r="R3901" s="3">
        <f t="shared" si="242"/>
        <v>1.0200000000000001E-2</v>
      </c>
      <c r="S3901">
        <f t="shared" si="243"/>
        <v>122</v>
      </c>
      <c r="T3901">
        <f>INDEX([1]IDEN_level_ids!$B:$B,MATCH(G3901,[1]IDEN_level_ids!$A:$A,0),1)</f>
        <v>785</v>
      </c>
      <c r="U3901">
        <f>INDEX([1]IDEN_level_ids!$B:$B,MATCH(H3901,[1]IDEN_level_ids!$A:$A,0),1)</f>
        <v>429</v>
      </c>
    </row>
    <row r="3902" spans="1:21" hidden="1" x14ac:dyDescent="0.25">
      <c r="A3902">
        <v>21243.15</v>
      </c>
      <c r="B3902">
        <v>4707.3998000000001</v>
      </c>
      <c r="C3902">
        <v>22</v>
      </c>
      <c r="D3902" t="s">
        <v>793</v>
      </c>
      <c r="F3902">
        <v>1974</v>
      </c>
      <c r="G3902" s="1" t="s">
        <v>297</v>
      </c>
      <c r="H3902" s="1" t="s">
        <v>437</v>
      </c>
      <c r="I3902">
        <v>0.26329999999999998</v>
      </c>
      <c r="J3902">
        <v>21243.1901</v>
      </c>
      <c r="K3902">
        <v>8.8800000000000007E-3</v>
      </c>
      <c r="L3902">
        <v>1.021E-2</v>
      </c>
      <c r="M3902">
        <v>4.6100000000000002E-2</v>
      </c>
      <c r="N3902">
        <v>0.1249</v>
      </c>
      <c r="O3902">
        <v>1.166E-2</v>
      </c>
      <c r="P3902" s="3">
        <f t="shared" si="240"/>
        <v>4707.3997971110684</v>
      </c>
      <c r="Q3902" s="3">
        <f t="shared" si="241"/>
        <v>8.8859879788287799E-3</v>
      </c>
      <c r="R3902" s="3">
        <f t="shared" si="242"/>
        <v>1.021E-2</v>
      </c>
      <c r="S3902">
        <f t="shared" si="243"/>
        <v>122</v>
      </c>
      <c r="T3902">
        <f>INDEX([1]IDEN_level_ids!$B:$B,MATCH(G3902,[1]IDEN_level_ids!$A:$A,0),1)</f>
        <v>1099</v>
      </c>
      <c r="U3902">
        <f>INDEX([1]IDEN_level_ids!$B:$B,MATCH(H3902,[1]IDEN_level_ids!$A:$A,0),1)</f>
        <v>1039</v>
      </c>
    </row>
    <row r="3903" spans="1:21" hidden="1" x14ac:dyDescent="0.25">
      <c r="A3903">
        <v>21221.767199999998</v>
      </c>
      <c r="B3903">
        <v>4712.1428999999998</v>
      </c>
      <c r="C3903">
        <v>22</v>
      </c>
      <c r="D3903" t="s">
        <v>793</v>
      </c>
      <c r="E3903" t="s">
        <v>427</v>
      </c>
      <c r="F3903">
        <v>1974</v>
      </c>
      <c r="G3903" s="1" t="s">
        <v>714</v>
      </c>
      <c r="H3903" s="1" t="s">
        <v>100</v>
      </c>
      <c r="I3903">
        <v>0</v>
      </c>
      <c r="J3903">
        <v>21221.7952</v>
      </c>
      <c r="K3903">
        <v>6.2300000000000003E-3</v>
      </c>
      <c r="L3903">
        <v>1.082E-2</v>
      </c>
      <c r="M3903">
        <v>4.87E-2</v>
      </c>
      <c r="N3903">
        <v>0.1033</v>
      </c>
      <c r="O3903">
        <v>1.2070000000000001E-2</v>
      </c>
      <c r="P3903" s="3">
        <f t="shared" si="240"/>
        <v>4712.1429171082418</v>
      </c>
      <c r="Q3903" s="3">
        <f t="shared" si="241"/>
        <v>6.2171932413548348E-3</v>
      </c>
      <c r="R3903" s="3">
        <f t="shared" si="242"/>
        <v>1.082E-2</v>
      </c>
      <c r="S3903">
        <f t="shared" si="243"/>
        <v>122</v>
      </c>
      <c r="T3903">
        <f>INDEX([1]IDEN_level_ids!$B:$B,MATCH(G3903,[1]IDEN_level_ids!$A:$A,0),1)</f>
        <v>1248</v>
      </c>
      <c r="U3903">
        <f>INDEX([1]IDEN_level_ids!$B:$B,MATCH(H3903,[1]IDEN_level_ids!$A:$A,0),1)</f>
        <v>1146</v>
      </c>
    </row>
    <row r="3904" spans="1:21" hidden="1" x14ac:dyDescent="0.25">
      <c r="A3904">
        <v>21208.8226</v>
      </c>
      <c r="B3904">
        <v>4715.0189</v>
      </c>
      <c r="C3904">
        <v>22</v>
      </c>
      <c r="D3904" t="s">
        <v>793</v>
      </c>
      <c r="E3904" t="s">
        <v>427</v>
      </c>
      <c r="F3904">
        <v>1974</v>
      </c>
      <c r="G3904" s="1" t="s">
        <v>764</v>
      </c>
      <c r="H3904" s="1" t="s">
        <v>334</v>
      </c>
      <c r="I3904">
        <v>0</v>
      </c>
      <c r="J3904">
        <v>21208.806199999999</v>
      </c>
      <c r="K3904">
        <v>-3.65E-3</v>
      </c>
      <c r="L3904">
        <v>1.0829999999999999E-2</v>
      </c>
      <c r="M3904">
        <v>4.87E-2</v>
      </c>
      <c r="N3904">
        <v>0.1193</v>
      </c>
      <c r="O3904">
        <v>1.23E-2</v>
      </c>
      <c r="P3904" s="3">
        <f t="shared" si="240"/>
        <v>4715.0189280191353</v>
      </c>
      <c r="Q3904" s="3">
        <f t="shared" si="241"/>
        <v>-3.6459529919738998E-3</v>
      </c>
      <c r="R3904" s="3">
        <f t="shared" si="242"/>
        <v>1.0829999999999999E-2</v>
      </c>
      <c r="S3904">
        <f t="shared" si="243"/>
        <v>122</v>
      </c>
      <c r="T3904">
        <f>INDEX([1]IDEN_level_ids!$B:$B,MATCH(G3904,[1]IDEN_level_ids!$A:$A,0),1)</f>
        <v>1234</v>
      </c>
      <c r="U3904">
        <f>INDEX([1]IDEN_level_ids!$B:$B,MATCH(H3904,[1]IDEN_level_ids!$A:$A,0),1)</f>
        <v>1124</v>
      </c>
    </row>
    <row r="3905" spans="1:21" hidden="1" x14ac:dyDescent="0.25">
      <c r="A3905">
        <v>21159.558000000001</v>
      </c>
      <c r="B3905">
        <v>4725.9966000000004</v>
      </c>
      <c r="C3905">
        <v>22</v>
      </c>
      <c r="D3905" t="s">
        <v>795</v>
      </c>
      <c r="E3905" t="s">
        <v>427</v>
      </c>
      <c r="F3905">
        <v>1974</v>
      </c>
      <c r="G3905" s="1" t="s">
        <v>791</v>
      </c>
      <c r="H3905" s="1" t="s">
        <v>345</v>
      </c>
      <c r="I3905">
        <v>0</v>
      </c>
      <c r="J3905">
        <v>21159.622100000001</v>
      </c>
      <c r="K3905">
        <v>1.4319999999999999E-2</v>
      </c>
      <c r="L3905">
        <v>1.0880000000000001E-2</v>
      </c>
      <c r="M3905">
        <v>4.87E-2</v>
      </c>
      <c r="N3905">
        <v>0.14269999999999999</v>
      </c>
      <c r="O3905">
        <v>1.269E-2</v>
      </c>
      <c r="P3905" s="3">
        <f t="shared" si="240"/>
        <v>4725.9966394383091</v>
      </c>
      <c r="Q3905" s="3">
        <f t="shared" si="241"/>
        <v>1.4316719983980875E-2</v>
      </c>
      <c r="R3905" s="3">
        <f t="shared" si="242"/>
        <v>1.0880000000000001E-2</v>
      </c>
      <c r="S3905">
        <f t="shared" si="243"/>
        <v>123</v>
      </c>
      <c r="T3905">
        <f>INDEX([1]IDEN_level_ids!$B:$B,MATCH(G3905,[1]IDEN_level_ids!$A:$A,0),1)</f>
        <v>1215</v>
      </c>
      <c r="U3905">
        <f>INDEX([1]IDEN_level_ids!$B:$B,MATCH(H3905,[1]IDEN_level_ids!$A:$A,0),1)</f>
        <v>1106</v>
      </c>
    </row>
    <row r="3906" spans="1:21" hidden="1" x14ac:dyDescent="0.25">
      <c r="A3906">
        <v>21155.626899999999</v>
      </c>
      <c r="B3906">
        <v>4726.8747999999996</v>
      </c>
      <c r="C3906">
        <v>22</v>
      </c>
      <c r="D3906" t="s">
        <v>795</v>
      </c>
      <c r="E3906" t="s">
        <v>427</v>
      </c>
      <c r="F3906">
        <v>1974</v>
      </c>
      <c r="G3906" s="1" t="s">
        <v>64</v>
      </c>
      <c r="H3906" s="1" t="s">
        <v>256</v>
      </c>
      <c r="I3906">
        <v>0</v>
      </c>
      <c r="J3906">
        <v>21155.618200000001</v>
      </c>
      <c r="K3906">
        <v>-1.9400000000000001E-3</v>
      </c>
      <c r="L3906">
        <v>1.089E-2</v>
      </c>
      <c r="M3906">
        <v>4.87E-2</v>
      </c>
      <c r="N3906">
        <v>0.14430000000000001</v>
      </c>
      <c r="O3906">
        <v>1.272E-2</v>
      </c>
      <c r="P3906" s="3">
        <f t="shared" ref="P3906:P3969" si="244">100000000/$A3906</f>
        <v>4726.8748155130306</v>
      </c>
      <c r="Q3906" s="3">
        <f t="shared" ref="Q3906:Q3969" si="245">100000000/($A3906)-100000000/$J3906</f>
        <v>-1.9438718591118231E-3</v>
      </c>
      <c r="R3906" s="3">
        <f t="shared" si="242"/>
        <v>1.089E-2</v>
      </c>
      <c r="S3906">
        <f t="shared" si="243"/>
        <v>123</v>
      </c>
      <c r="T3906">
        <f>INDEX([1]IDEN_level_ids!$B:$B,MATCH(G3906,[1]IDEN_level_ids!$A:$A,0),1)</f>
        <v>1228</v>
      </c>
      <c r="U3906">
        <f>INDEX([1]IDEN_level_ids!$B:$B,MATCH(H3906,[1]IDEN_level_ids!$A:$A,0),1)</f>
        <v>1120</v>
      </c>
    </row>
    <row r="3907" spans="1:21" hidden="1" x14ac:dyDescent="0.25">
      <c r="A3907">
        <v>21148.327600000001</v>
      </c>
      <c r="B3907">
        <v>4728.5063</v>
      </c>
      <c r="C3907">
        <v>22</v>
      </c>
      <c r="D3907" t="s">
        <v>795</v>
      </c>
      <c r="F3907">
        <v>1974</v>
      </c>
      <c r="G3907" s="1" t="s">
        <v>346</v>
      </c>
      <c r="H3907" s="1" t="s">
        <v>309</v>
      </c>
      <c r="I3907">
        <v>0</v>
      </c>
      <c r="J3907">
        <v>21148.363099999999</v>
      </c>
      <c r="K3907">
        <v>7.9299999999999995E-3</v>
      </c>
      <c r="L3907">
        <v>1.03E-2</v>
      </c>
      <c r="M3907">
        <v>4.6100000000000002E-2</v>
      </c>
      <c r="N3907">
        <v>0.21740000000000001</v>
      </c>
      <c r="O3907">
        <v>1.316E-2</v>
      </c>
      <c r="P3907" s="3">
        <f t="shared" si="244"/>
        <v>4728.506286237026</v>
      </c>
      <c r="Q3907" s="3">
        <f t="shared" si="245"/>
        <v>7.9373506287083728E-3</v>
      </c>
      <c r="R3907" s="3">
        <f t="shared" ref="R3907:R3970" si="246">$L3907</f>
        <v>1.03E-2</v>
      </c>
      <c r="S3907">
        <f t="shared" si="243"/>
        <v>123</v>
      </c>
      <c r="T3907">
        <f>INDEX([1]IDEN_level_ids!$B:$B,MATCH(G3907,[1]IDEN_level_ids!$A:$A,0),1)</f>
        <v>1159</v>
      </c>
      <c r="U3907">
        <f>INDEX([1]IDEN_level_ids!$B:$B,MATCH(H3907,[1]IDEN_level_ids!$A:$A,0),1)</f>
        <v>1094</v>
      </c>
    </row>
    <row r="3908" spans="1:21" hidden="1" x14ac:dyDescent="0.25">
      <c r="A3908">
        <v>21143.733</v>
      </c>
      <c r="B3908">
        <v>4729.5338000000002</v>
      </c>
      <c r="C3908">
        <v>22</v>
      </c>
      <c r="D3908" t="s">
        <v>795</v>
      </c>
      <c r="F3908">
        <v>1974</v>
      </c>
      <c r="G3908" s="1" t="s">
        <v>308</v>
      </c>
      <c r="H3908" s="1" t="s">
        <v>134</v>
      </c>
      <c r="I3908">
        <v>0</v>
      </c>
      <c r="J3908">
        <v>21143.7395</v>
      </c>
      <c r="K3908">
        <v>1.4499999999999999E-3</v>
      </c>
      <c r="L3908">
        <v>1.03E-2</v>
      </c>
      <c r="M3908">
        <v>4.6100000000000002E-2</v>
      </c>
      <c r="N3908">
        <v>0.249</v>
      </c>
      <c r="O3908">
        <v>1.372E-2</v>
      </c>
      <c r="P3908" s="3">
        <f t="shared" si="244"/>
        <v>4729.533805596202</v>
      </c>
      <c r="Q3908" s="3">
        <f t="shared" si="245"/>
        <v>1.4539514040734502E-3</v>
      </c>
      <c r="R3908" s="3">
        <f t="shared" si="246"/>
        <v>1.03E-2</v>
      </c>
      <c r="S3908">
        <f t="shared" ref="S3908:S3971" si="247">IF(D3908=D3907,S3907,S3907+1)</f>
        <v>123</v>
      </c>
      <c r="T3908">
        <f>INDEX([1]IDEN_level_ids!$B:$B,MATCH(G3908,[1]IDEN_level_ids!$A:$A,0),1)</f>
        <v>1222</v>
      </c>
      <c r="U3908">
        <f>INDEX([1]IDEN_level_ids!$B:$B,MATCH(H3908,[1]IDEN_level_ids!$A:$A,0),1)</f>
        <v>1114</v>
      </c>
    </row>
    <row r="3909" spans="1:21" hidden="1" x14ac:dyDescent="0.25">
      <c r="A3909">
        <v>21136.8586</v>
      </c>
      <c r="B3909">
        <v>4731.0720000000001</v>
      </c>
      <c r="C3909">
        <v>22</v>
      </c>
      <c r="D3909" t="s">
        <v>795</v>
      </c>
      <c r="E3909" t="s">
        <v>427</v>
      </c>
      <c r="F3909">
        <v>1974</v>
      </c>
      <c r="G3909" s="1" t="s">
        <v>706</v>
      </c>
      <c r="H3909" s="1" t="s">
        <v>275</v>
      </c>
      <c r="I3909">
        <v>0</v>
      </c>
      <c r="J3909">
        <v>21136.9012</v>
      </c>
      <c r="K3909">
        <v>9.5399999999999999E-3</v>
      </c>
      <c r="L3909">
        <v>1.091E-2</v>
      </c>
      <c r="M3909">
        <v>4.87E-2</v>
      </c>
      <c r="N3909">
        <v>8.4000000000000005E-2</v>
      </c>
      <c r="O3909">
        <v>1.191E-2</v>
      </c>
      <c r="P3909" s="3">
        <f t="shared" si="244"/>
        <v>4731.0720051843464</v>
      </c>
      <c r="Q3909" s="3">
        <f t="shared" si="245"/>
        <v>9.5351568097612471E-3</v>
      </c>
      <c r="R3909" s="3">
        <f t="shared" si="246"/>
        <v>1.091E-2</v>
      </c>
      <c r="S3909">
        <f t="shared" si="247"/>
        <v>123</v>
      </c>
      <c r="T3909">
        <f>INDEX([1]IDEN_level_ids!$B:$B,MATCH(G3909,[1]IDEN_level_ids!$A:$A,0),1)</f>
        <v>1240</v>
      </c>
      <c r="U3909">
        <f>INDEX([1]IDEN_level_ids!$B:$B,MATCH(H3909,[1]IDEN_level_ids!$A:$A,0),1)</f>
        <v>1134</v>
      </c>
    </row>
    <row r="3910" spans="1:21" hidden="1" x14ac:dyDescent="0.25">
      <c r="A3910">
        <v>21077.580300000001</v>
      </c>
      <c r="B3910">
        <v>4744.3775999999998</v>
      </c>
      <c r="C3910">
        <v>22</v>
      </c>
      <c r="D3910" t="s">
        <v>795</v>
      </c>
      <c r="E3910" t="s">
        <v>678</v>
      </c>
      <c r="F3910">
        <v>1974</v>
      </c>
      <c r="G3910" s="1" t="s">
        <v>597</v>
      </c>
      <c r="H3910" s="1" t="s">
        <v>520</v>
      </c>
      <c r="I3910">
        <v>-0.84960000000000002</v>
      </c>
      <c r="J3910">
        <v>21077.729800000001</v>
      </c>
      <c r="K3910">
        <v>3.3640000000000003E-2</v>
      </c>
      <c r="L3910">
        <v>1.6389999999999998E-2</v>
      </c>
      <c r="M3910">
        <v>7.2800000000000004E-2</v>
      </c>
      <c r="N3910">
        <v>0.17929999999999999</v>
      </c>
      <c r="O3910">
        <v>1.9980000000000001E-2</v>
      </c>
      <c r="P3910" s="3">
        <f t="shared" si="244"/>
        <v>4744.377607708604</v>
      </c>
      <c r="Q3910" s="3">
        <f t="shared" si="245"/>
        <v>3.3650894051788782E-2</v>
      </c>
      <c r="R3910" s="3">
        <f t="shared" si="246"/>
        <v>1.6389999999999998E-2</v>
      </c>
      <c r="S3910">
        <f t="shared" si="247"/>
        <v>123</v>
      </c>
      <c r="T3910">
        <f>INDEX([1]IDEN_level_ids!$B:$B,MATCH(G3910,[1]IDEN_level_ids!$A:$A,0),1)</f>
        <v>1090</v>
      </c>
      <c r="U3910">
        <f>INDEX([1]IDEN_level_ids!$B:$B,MATCH(H3910,[1]IDEN_level_ids!$A:$A,0),1)</f>
        <v>1002</v>
      </c>
    </row>
    <row r="3911" spans="1:21" hidden="1" x14ac:dyDescent="0.25">
      <c r="A3911">
        <v>21059.5586</v>
      </c>
      <c r="B3911">
        <v>4748.4376000000002</v>
      </c>
      <c r="C3911">
        <v>22</v>
      </c>
      <c r="D3911" t="s">
        <v>795</v>
      </c>
      <c r="F3911">
        <v>1974</v>
      </c>
      <c r="G3911" s="1" t="s">
        <v>308</v>
      </c>
      <c r="H3911" s="1" t="s">
        <v>262</v>
      </c>
      <c r="I3911">
        <v>0</v>
      </c>
      <c r="J3911">
        <v>21059.549500000001</v>
      </c>
      <c r="K3911">
        <v>-2.0500000000000002E-3</v>
      </c>
      <c r="L3911">
        <v>1.039E-2</v>
      </c>
      <c r="M3911">
        <v>4.6100000000000002E-2</v>
      </c>
      <c r="N3911">
        <v>0.2351</v>
      </c>
      <c r="O3911">
        <v>1.358E-2</v>
      </c>
      <c r="P3911" s="3">
        <f t="shared" si="244"/>
        <v>4748.4376049553102</v>
      </c>
      <c r="Q3911" s="3">
        <f t="shared" si="245"/>
        <v>-2.0518379178611212E-3</v>
      </c>
      <c r="R3911" s="3">
        <f t="shared" si="246"/>
        <v>1.039E-2</v>
      </c>
      <c r="S3911">
        <f t="shared" si="247"/>
        <v>123</v>
      </c>
      <c r="T3911">
        <f>INDEX([1]IDEN_level_ids!$B:$B,MATCH(G3911,[1]IDEN_level_ids!$A:$A,0),1)</f>
        <v>1222</v>
      </c>
      <c r="U3911">
        <f>INDEX([1]IDEN_level_ids!$B:$B,MATCH(H3911,[1]IDEN_level_ids!$A:$A,0),1)</f>
        <v>1115</v>
      </c>
    </row>
    <row r="3912" spans="1:21" hidden="1" x14ac:dyDescent="0.25">
      <c r="A3912">
        <v>21052.507600000001</v>
      </c>
      <c r="B3912">
        <v>4750.0280000000002</v>
      </c>
      <c r="C3912">
        <v>22</v>
      </c>
      <c r="D3912" t="s">
        <v>795</v>
      </c>
      <c r="F3912">
        <v>1974</v>
      </c>
      <c r="G3912" s="1" t="s">
        <v>791</v>
      </c>
      <c r="H3912" s="1" t="s">
        <v>267</v>
      </c>
      <c r="I3912">
        <v>0</v>
      </c>
      <c r="J3912">
        <v>21052.5429</v>
      </c>
      <c r="K3912">
        <v>7.9699999999999997E-3</v>
      </c>
      <c r="L3912">
        <v>1.039E-2</v>
      </c>
      <c r="M3912">
        <v>4.6100000000000002E-2</v>
      </c>
      <c r="N3912">
        <v>0.14660000000000001</v>
      </c>
      <c r="O3912">
        <v>1.218E-2</v>
      </c>
      <c r="P3912" s="3">
        <f t="shared" si="244"/>
        <v>4750.0279729147323</v>
      </c>
      <c r="Q3912" s="3">
        <f t="shared" si="245"/>
        <v>7.9646429521744722E-3</v>
      </c>
      <c r="R3912" s="3">
        <f t="shared" si="246"/>
        <v>1.039E-2</v>
      </c>
      <c r="S3912">
        <f t="shared" si="247"/>
        <v>123</v>
      </c>
      <c r="T3912">
        <f>INDEX([1]IDEN_level_ids!$B:$B,MATCH(G3912,[1]IDEN_level_ids!$A:$A,0),1)</f>
        <v>1215</v>
      </c>
      <c r="U3912">
        <f>INDEX([1]IDEN_level_ids!$B:$B,MATCH(H3912,[1]IDEN_level_ids!$A:$A,0),1)</f>
        <v>1104</v>
      </c>
    </row>
    <row r="3913" spans="1:21" hidden="1" x14ac:dyDescent="0.25">
      <c r="A3913">
        <v>20971.747599999999</v>
      </c>
      <c r="B3913">
        <v>4768.3198000000002</v>
      </c>
      <c r="C3913">
        <v>22</v>
      </c>
      <c r="D3913" t="s">
        <v>795</v>
      </c>
      <c r="F3913">
        <v>1974</v>
      </c>
      <c r="G3913" s="1" t="s">
        <v>729</v>
      </c>
      <c r="H3913" s="1" t="s">
        <v>329</v>
      </c>
      <c r="I3913">
        <v>-0.2737</v>
      </c>
      <c r="J3913">
        <v>20971.816800000001</v>
      </c>
      <c r="K3913">
        <v>1.5740000000000001E-2</v>
      </c>
      <c r="L3913">
        <v>1.047E-2</v>
      </c>
      <c r="M3913">
        <v>4.6100000000000002E-2</v>
      </c>
      <c r="N3913">
        <v>0.22989999999999999</v>
      </c>
      <c r="O3913">
        <v>1.3599999999999999E-2</v>
      </c>
      <c r="P3913" s="3">
        <f t="shared" si="244"/>
        <v>4768.3198323443494</v>
      </c>
      <c r="Q3913" s="3">
        <f t="shared" si="245"/>
        <v>1.5733864907815587E-2</v>
      </c>
      <c r="R3913" s="3">
        <f t="shared" si="246"/>
        <v>1.047E-2</v>
      </c>
      <c r="S3913">
        <f t="shared" si="247"/>
        <v>123</v>
      </c>
      <c r="T3913">
        <f>INDEX([1]IDEN_level_ids!$B:$B,MATCH(G3913,[1]IDEN_level_ids!$A:$A,0),1)</f>
        <v>1243</v>
      </c>
      <c r="U3913">
        <f>INDEX([1]IDEN_level_ids!$B:$B,MATCH(H3913,[1]IDEN_level_ids!$A:$A,0),1)</f>
        <v>1138</v>
      </c>
    </row>
    <row r="3914" spans="1:21" hidden="1" x14ac:dyDescent="0.25">
      <c r="A3914">
        <v>20950.476699999999</v>
      </c>
      <c r="B3914">
        <v>4773.1611000000003</v>
      </c>
      <c r="C3914">
        <v>22</v>
      </c>
      <c r="D3914" t="s">
        <v>795</v>
      </c>
      <c r="E3914" t="s">
        <v>427</v>
      </c>
      <c r="F3914">
        <v>1974</v>
      </c>
      <c r="G3914" s="1" t="s">
        <v>313</v>
      </c>
      <c r="H3914" s="1" t="s">
        <v>361</v>
      </c>
      <c r="I3914">
        <v>0</v>
      </c>
      <c r="J3914">
        <v>20950.510900000001</v>
      </c>
      <c r="K3914">
        <v>7.79E-3</v>
      </c>
      <c r="L3914">
        <v>1.11E-2</v>
      </c>
      <c r="M3914">
        <v>4.87E-2</v>
      </c>
      <c r="N3914">
        <v>0.1736</v>
      </c>
      <c r="O3914">
        <v>1.3429999999999999E-2</v>
      </c>
      <c r="P3914" s="3">
        <f t="shared" si="244"/>
        <v>4773.1610803872545</v>
      </c>
      <c r="Q3914" s="3">
        <f t="shared" si="245"/>
        <v>7.7917960916238371E-3</v>
      </c>
      <c r="R3914" s="3">
        <f t="shared" si="246"/>
        <v>1.11E-2</v>
      </c>
      <c r="S3914">
        <f t="shared" si="247"/>
        <v>123</v>
      </c>
      <c r="T3914">
        <f>INDEX([1]IDEN_level_ids!$B:$B,MATCH(G3914,[1]IDEN_level_ids!$A:$A,0),1)</f>
        <v>1239</v>
      </c>
      <c r="U3914">
        <f>INDEX([1]IDEN_level_ids!$B:$B,MATCH(H3914,[1]IDEN_level_ids!$A:$A,0),1)</f>
        <v>1133</v>
      </c>
    </row>
    <row r="3915" spans="1:21" hidden="1" x14ac:dyDescent="0.25">
      <c r="A3915">
        <v>20935.2611</v>
      </c>
      <c r="B3915">
        <v>4776.6301999999996</v>
      </c>
      <c r="C3915">
        <v>22</v>
      </c>
      <c r="D3915" t="s">
        <v>795</v>
      </c>
      <c r="E3915" t="s">
        <v>427</v>
      </c>
      <c r="F3915">
        <v>1974</v>
      </c>
      <c r="G3915" s="1" t="s">
        <v>734</v>
      </c>
      <c r="H3915" s="1" t="s">
        <v>212</v>
      </c>
      <c r="I3915">
        <v>0</v>
      </c>
      <c r="J3915">
        <v>20935.274799999999</v>
      </c>
      <c r="K3915">
        <v>3.14E-3</v>
      </c>
      <c r="L3915">
        <v>1.112E-2</v>
      </c>
      <c r="M3915">
        <v>4.87E-2</v>
      </c>
      <c r="N3915">
        <v>9.3799999999999994E-2</v>
      </c>
      <c r="O3915">
        <v>1.227E-2</v>
      </c>
      <c r="P3915" s="3">
        <f t="shared" si="244"/>
        <v>4776.6301801700483</v>
      </c>
      <c r="Q3915" s="3">
        <f t="shared" si="245"/>
        <v>3.1258167900887202E-3</v>
      </c>
      <c r="R3915" s="3">
        <f t="shared" si="246"/>
        <v>1.112E-2</v>
      </c>
      <c r="S3915">
        <f t="shared" si="247"/>
        <v>123</v>
      </c>
      <c r="T3915">
        <f>INDEX([1]IDEN_level_ids!$B:$B,MATCH(G3915,[1]IDEN_level_ids!$A:$A,0),1)</f>
        <v>1232</v>
      </c>
      <c r="U3915">
        <f>INDEX([1]IDEN_level_ids!$B:$B,MATCH(H3915,[1]IDEN_level_ids!$A:$A,0),1)</f>
        <v>1123</v>
      </c>
    </row>
    <row r="3916" spans="1:21" hidden="1" x14ac:dyDescent="0.25">
      <c r="A3916">
        <v>20923.934000000001</v>
      </c>
      <c r="B3916">
        <v>4779.2160000000003</v>
      </c>
      <c r="C3916">
        <v>22</v>
      </c>
      <c r="D3916" t="s">
        <v>795</v>
      </c>
      <c r="E3916" t="s">
        <v>427</v>
      </c>
      <c r="F3916">
        <v>1974</v>
      </c>
      <c r="G3916" s="1" t="s">
        <v>202</v>
      </c>
      <c r="H3916" s="1" t="s">
        <v>780</v>
      </c>
      <c r="I3916">
        <v>0</v>
      </c>
      <c r="J3916">
        <v>20923.974099999999</v>
      </c>
      <c r="K3916">
        <v>9.1699999999999993E-3</v>
      </c>
      <c r="L3916">
        <v>1.1129999999999999E-2</v>
      </c>
      <c r="M3916">
        <v>4.87E-2</v>
      </c>
      <c r="N3916">
        <v>0.70730000000000004</v>
      </c>
      <c r="O3916">
        <v>3.8030000000000001E-2</v>
      </c>
      <c r="P3916" s="3">
        <f t="shared" si="244"/>
        <v>4779.2159925566575</v>
      </c>
      <c r="Q3916" s="3">
        <f t="shared" si="245"/>
        <v>9.159185553471616E-3</v>
      </c>
      <c r="R3916" s="3">
        <f t="shared" si="246"/>
        <v>1.1129999999999999E-2</v>
      </c>
      <c r="S3916">
        <f t="shared" si="247"/>
        <v>123</v>
      </c>
      <c r="T3916">
        <f>INDEX([1]IDEN_level_ids!$B:$B,MATCH(G3916,[1]IDEN_level_ids!$A:$A,0),1)</f>
        <v>781</v>
      </c>
      <c r="U3916">
        <f>INDEX([1]IDEN_level_ids!$B:$B,MATCH(H3916,[1]IDEN_level_ids!$A:$A,0),1)</f>
        <v>413</v>
      </c>
    </row>
    <row r="3917" spans="1:21" hidden="1" x14ac:dyDescent="0.25">
      <c r="A3917">
        <v>20897.9067</v>
      </c>
      <c r="B3917">
        <v>4785.1683000000003</v>
      </c>
      <c r="C3917">
        <v>22</v>
      </c>
      <c r="D3917" t="s">
        <v>795</v>
      </c>
      <c r="F3917">
        <v>1974</v>
      </c>
      <c r="G3917" s="1" t="s">
        <v>697</v>
      </c>
      <c r="H3917" s="1" t="s">
        <v>524</v>
      </c>
      <c r="I3917">
        <v>8.8200000000000001E-2</v>
      </c>
      <c r="J3917">
        <v>20897.9457</v>
      </c>
      <c r="K3917">
        <v>8.9200000000000008E-3</v>
      </c>
      <c r="L3917">
        <v>1.055E-2</v>
      </c>
      <c r="M3917">
        <v>4.6100000000000002E-2</v>
      </c>
      <c r="N3917">
        <v>0.58819999999999995</v>
      </c>
      <c r="O3917">
        <v>2.562E-2</v>
      </c>
      <c r="P3917" s="3">
        <f t="shared" si="244"/>
        <v>4785.1682675949551</v>
      </c>
      <c r="Q3917" s="3">
        <f t="shared" si="245"/>
        <v>8.9301391208209679E-3</v>
      </c>
      <c r="R3917" s="3">
        <f t="shared" si="246"/>
        <v>1.055E-2</v>
      </c>
      <c r="S3917">
        <f t="shared" si="247"/>
        <v>123</v>
      </c>
      <c r="T3917">
        <f>INDEX([1]IDEN_level_ids!$B:$B,MATCH(G3917,[1]IDEN_level_ids!$A:$A,0),1)</f>
        <v>1089</v>
      </c>
      <c r="U3917">
        <f>INDEX([1]IDEN_level_ids!$B:$B,MATCH(H3917,[1]IDEN_level_ids!$A:$A,0),1)</f>
        <v>998</v>
      </c>
    </row>
    <row r="3918" spans="1:21" hidden="1" x14ac:dyDescent="0.25">
      <c r="A3918">
        <v>20833.4064</v>
      </c>
      <c r="B3918">
        <v>4799.9831999999997</v>
      </c>
      <c r="C3918">
        <v>22</v>
      </c>
      <c r="D3918" t="s">
        <v>795</v>
      </c>
      <c r="E3918" t="s">
        <v>427</v>
      </c>
      <c r="F3918">
        <v>1974</v>
      </c>
      <c r="G3918" s="1" t="s">
        <v>158</v>
      </c>
      <c r="H3918" s="1" t="s">
        <v>775</v>
      </c>
      <c r="I3918">
        <v>0</v>
      </c>
      <c r="J3918">
        <v>20833.4228</v>
      </c>
      <c r="K3918">
        <v>3.79E-3</v>
      </c>
      <c r="L3918">
        <v>1.123E-2</v>
      </c>
      <c r="M3918">
        <v>4.87E-2</v>
      </c>
      <c r="N3918">
        <v>0.46139999999999998</v>
      </c>
      <c r="O3918">
        <v>2.0840000000000001E-2</v>
      </c>
      <c r="P3918" s="3">
        <f t="shared" si="244"/>
        <v>4799.9831654990421</v>
      </c>
      <c r="Q3918" s="3">
        <f t="shared" si="245"/>
        <v>3.778530521231005E-3</v>
      </c>
      <c r="R3918" s="3">
        <f t="shared" si="246"/>
        <v>1.123E-2</v>
      </c>
      <c r="S3918">
        <f t="shared" si="247"/>
        <v>123</v>
      </c>
      <c r="T3918">
        <f>INDEX([1]IDEN_level_ids!$B:$B,MATCH(G3918,[1]IDEN_level_ids!$A:$A,0),1)</f>
        <v>779</v>
      </c>
      <c r="U3918">
        <f>INDEX([1]IDEN_level_ids!$B:$B,MATCH(H3918,[1]IDEN_level_ids!$A:$A,0),1)</f>
        <v>424</v>
      </c>
    </row>
    <row r="3919" spans="1:21" hidden="1" x14ac:dyDescent="0.25">
      <c r="A3919">
        <v>20804.483400000001</v>
      </c>
      <c r="B3919">
        <v>4806.6562000000004</v>
      </c>
      <c r="C3919">
        <v>22</v>
      </c>
      <c r="D3919" t="s">
        <v>796</v>
      </c>
      <c r="E3919" t="s">
        <v>427</v>
      </c>
      <c r="F3919">
        <v>1974</v>
      </c>
      <c r="G3919" s="1" t="s">
        <v>346</v>
      </c>
      <c r="H3919" s="1" t="s">
        <v>307</v>
      </c>
      <c r="I3919">
        <v>0</v>
      </c>
      <c r="J3919">
        <v>20804.500499999998</v>
      </c>
      <c r="K3919">
        <v>3.9500000000000004E-3</v>
      </c>
      <c r="L3919">
        <v>1.1259999999999999E-2</v>
      </c>
      <c r="M3919">
        <v>4.87E-2</v>
      </c>
      <c r="N3919">
        <v>0.2107</v>
      </c>
      <c r="O3919">
        <v>1.426E-2</v>
      </c>
      <c r="P3919" s="3">
        <f t="shared" si="244"/>
        <v>4806.6562421828748</v>
      </c>
      <c r="Q3919" s="3">
        <f t="shared" si="245"/>
        <v>3.9507712153863395E-3</v>
      </c>
      <c r="R3919" s="3">
        <f t="shared" si="246"/>
        <v>1.1259999999999999E-2</v>
      </c>
      <c r="S3919">
        <f t="shared" si="247"/>
        <v>124</v>
      </c>
      <c r="T3919">
        <f>INDEX([1]IDEN_level_ids!$B:$B,MATCH(G3919,[1]IDEN_level_ids!$A:$A,0),1)</f>
        <v>1159</v>
      </c>
      <c r="U3919">
        <f>INDEX([1]IDEN_level_ids!$B:$B,MATCH(H3919,[1]IDEN_level_ids!$A:$A,0),1)</f>
        <v>1095</v>
      </c>
    </row>
    <row r="3920" spans="1:21" hidden="1" x14ac:dyDescent="0.25">
      <c r="A3920">
        <v>20791.8321</v>
      </c>
      <c r="B3920">
        <v>4809.5810000000001</v>
      </c>
      <c r="C3920">
        <v>22</v>
      </c>
      <c r="D3920" t="s">
        <v>796</v>
      </c>
      <c r="E3920" t="s">
        <v>661</v>
      </c>
      <c r="F3920">
        <v>1974</v>
      </c>
      <c r="G3920" s="1" t="s">
        <v>716</v>
      </c>
      <c r="H3920" s="1" t="s">
        <v>611</v>
      </c>
      <c r="I3920">
        <v>0</v>
      </c>
      <c r="J3920">
        <v>20791.848900000001</v>
      </c>
      <c r="K3920">
        <v>3.8700000000000002E-3</v>
      </c>
      <c r="L3920">
        <v>1.172E-2</v>
      </c>
      <c r="M3920">
        <v>5.0700000000000002E-2</v>
      </c>
      <c r="N3920">
        <v>0.24510000000000001</v>
      </c>
      <c r="O3920">
        <v>1.5520000000000001E-2</v>
      </c>
      <c r="P3920" s="3">
        <f t="shared" si="244"/>
        <v>4809.5809700194723</v>
      </c>
      <c r="Q3920" s="3">
        <f t="shared" si="245"/>
        <v>3.8861844705024851E-3</v>
      </c>
      <c r="R3920" s="3">
        <f t="shared" si="246"/>
        <v>1.172E-2</v>
      </c>
      <c r="S3920">
        <f t="shared" si="247"/>
        <v>124</v>
      </c>
      <c r="T3920">
        <f>INDEX([1]IDEN_level_ids!$B:$B,MATCH(G3920,[1]IDEN_level_ids!$A:$A,0),1)</f>
        <v>1219</v>
      </c>
      <c r="U3920">
        <f>INDEX([1]IDEN_level_ids!$B:$B,MATCH(H3920,[1]IDEN_level_ids!$A:$A,0),1)</f>
        <v>1110</v>
      </c>
    </row>
    <row r="3921" spans="1:21" hidden="1" x14ac:dyDescent="0.25">
      <c r="A3921">
        <v>20754.629499999999</v>
      </c>
      <c r="B3921">
        <v>4818.2021000000004</v>
      </c>
      <c r="C3921">
        <v>22</v>
      </c>
      <c r="D3921" t="s">
        <v>796</v>
      </c>
      <c r="E3921" t="s">
        <v>427</v>
      </c>
      <c r="F3921">
        <v>1974</v>
      </c>
      <c r="G3921" s="1" t="s">
        <v>736</v>
      </c>
      <c r="H3921" s="1" t="s">
        <v>86</v>
      </c>
      <c r="I3921">
        <v>0</v>
      </c>
      <c r="J3921">
        <v>20754.644400000001</v>
      </c>
      <c r="K3921">
        <v>3.47E-3</v>
      </c>
      <c r="L3921">
        <v>1.1310000000000001E-2</v>
      </c>
      <c r="M3921">
        <v>4.87E-2</v>
      </c>
      <c r="N3921">
        <v>0.122</v>
      </c>
      <c r="O3921">
        <v>1.2880000000000001E-2</v>
      </c>
      <c r="P3921" s="3">
        <f t="shared" si="244"/>
        <v>4818.2021269037832</v>
      </c>
      <c r="Q3921" s="3">
        <f t="shared" si="245"/>
        <v>3.4590432060213061E-3</v>
      </c>
      <c r="R3921" s="3">
        <f t="shared" si="246"/>
        <v>1.1310000000000001E-2</v>
      </c>
      <c r="S3921">
        <f t="shared" si="247"/>
        <v>124</v>
      </c>
      <c r="T3921">
        <f>INDEX([1]IDEN_level_ids!$B:$B,MATCH(G3921,[1]IDEN_level_ids!$A:$A,0),1)</f>
        <v>1251</v>
      </c>
      <c r="U3921">
        <f>INDEX([1]IDEN_level_ids!$B:$B,MATCH(H3921,[1]IDEN_level_ids!$A:$A,0),1)</f>
        <v>1183</v>
      </c>
    </row>
    <row r="3922" spans="1:21" hidden="1" x14ac:dyDescent="0.25">
      <c r="A3922">
        <v>20737.6623</v>
      </c>
      <c r="B3922">
        <v>4822.1442999999999</v>
      </c>
      <c r="C3922">
        <v>22</v>
      </c>
      <c r="D3922" t="s">
        <v>796</v>
      </c>
      <c r="E3922" t="s">
        <v>427</v>
      </c>
      <c r="F3922">
        <v>1974</v>
      </c>
      <c r="G3922" s="1" t="s">
        <v>157</v>
      </c>
      <c r="H3922" s="1" t="s">
        <v>740</v>
      </c>
      <c r="I3922">
        <v>0</v>
      </c>
      <c r="J3922">
        <v>20737.661</v>
      </c>
      <c r="K3922">
        <v>-2.9999999999999997E-4</v>
      </c>
      <c r="L3922">
        <v>1.133E-2</v>
      </c>
      <c r="M3922">
        <v>4.87E-2</v>
      </c>
      <c r="N3922">
        <v>0.47420000000000001</v>
      </c>
      <c r="O3922">
        <v>2.155E-2</v>
      </c>
      <c r="P3922" s="3">
        <f t="shared" si="244"/>
        <v>4822.1442973348057</v>
      </c>
      <c r="Q3922" s="3">
        <f t="shared" si="245"/>
        <v>-3.0229000276449369E-4</v>
      </c>
      <c r="R3922" s="3">
        <f t="shared" si="246"/>
        <v>1.133E-2</v>
      </c>
      <c r="S3922">
        <f t="shared" si="247"/>
        <v>124</v>
      </c>
      <c r="T3922">
        <f>INDEX([1]IDEN_level_ids!$B:$B,MATCH(G3922,[1]IDEN_level_ids!$A:$A,0),1)</f>
        <v>778</v>
      </c>
      <c r="U3922">
        <f>INDEX([1]IDEN_level_ids!$B:$B,MATCH(H3922,[1]IDEN_level_ids!$A:$A,0),1)</f>
        <v>430</v>
      </c>
    </row>
    <row r="3923" spans="1:21" hidden="1" x14ac:dyDescent="0.25">
      <c r="A3923">
        <v>20733.358</v>
      </c>
      <c r="B3923">
        <v>4823.1454000000003</v>
      </c>
      <c r="C3923">
        <v>22</v>
      </c>
      <c r="D3923" t="s">
        <v>796</v>
      </c>
      <c r="E3923" t="s">
        <v>427</v>
      </c>
      <c r="F3923">
        <v>1974</v>
      </c>
      <c r="G3923" s="1" t="s">
        <v>159</v>
      </c>
      <c r="H3923" s="1" t="s">
        <v>745</v>
      </c>
      <c r="I3923">
        <v>0</v>
      </c>
      <c r="J3923">
        <v>20733.379099999998</v>
      </c>
      <c r="K3923">
        <v>4.8999999999999998E-3</v>
      </c>
      <c r="L3923">
        <v>1.1339999999999999E-2</v>
      </c>
      <c r="M3923">
        <v>4.87E-2</v>
      </c>
      <c r="N3923">
        <v>0.56899999999999995</v>
      </c>
      <c r="O3923">
        <v>2.63E-2</v>
      </c>
      <c r="P3923" s="3">
        <f t="shared" si="244"/>
        <v>4823.1453872546836</v>
      </c>
      <c r="Q3923" s="3">
        <f t="shared" si="245"/>
        <v>4.9084313350249431E-3</v>
      </c>
      <c r="R3923" s="3">
        <f t="shared" si="246"/>
        <v>1.1339999999999999E-2</v>
      </c>
      <c r="S3923">
        <f t="shared" si="247"/>
        <v>124</v>
      </c>
      <c r="T3923">
        <f>INDEX([1]IDEN_level_ids!$B:$B,MATCH(G3923,[1]IDEN_level_ids!$A:$A,0),1)</f>
        <v>702</v>
      </c>
      <c r="U3923">
        <f>INDEX([1]IDEN_level_ids!$B:$B,MATCH(H3923,[1]IDEN_level_ids!$A:$A,0),1)</f>
        <v>291</v>
      </c>
    </row>
    <row r="3924" spans="1:21" hidden="1" x14ac:dyDescent="0.25">
      <c r="A3924">
        <v>20686.662899999999</v>
      </c>
      <c r="B3924">
        <v>4834.0325000000003</v>
      </c>
      <c r="C3924">
        <v>22</v>
      </c>
      <c r="D3924" t="s">
        <v>796</v>
      </c>
      <c r="E3924" t="s">
        <v>638</v>
      </c>
      <c r="F3924">
        <v>1974</v>
      </c>
      <c r="G3924" s="1" t="s">
        <v>250</v>
      </c>
      <c r="H3924" s="1" t="s">
        <v>384</v>
      </c>
      <c r="I3924">
        <v>8.9800000000000005E-2</v>
      </c>
      <c r="J3924">
        <v>20686.3177</v>
      </c>
      <c r="K3924">
        <v>-8.0659999999999996E-2</v>
      </c>
      <c r="L3924">
        <v>4.0379999999999999E-2</v>
      </c>
      <c r="M3924">
        <v>0.17280000000000001</v>
      </c>
      <c r="N3924">
        <v>2.6599999999999999E-2</v>
      </c>
      <c r="O3924">
        <v>4.1489999999999999E-2</v>
      </c>
      <c r="P3924" s="3">
        <f t="shared" si="244"/>
        <v>4834.0324625292751</v>
      </c>
      <c r="Q3924" s="3">
        <f t="shared" si="245"/>
        <v>-8.0667232818996126E-2</v>
      </c>
      <c r="R3924" s="3">
        <f t="shared" si="246"/>
        <v>4.0379999999999999E-2</v>
      </c>
      <c r="S3924">
        <f t="shared" si="247"/>
        <v>124</v>
      </c>
      <c r="T3924">
        <f>INDEX([1]IDEN_level_ids!$B:$B,MATCH(G3924,[1]IDEN_level_ids!$A:$A,0),1)</f>
        <v>1107</v>
      </c>
      <c r="U3924">
        <f>INDEX([1]IDEN_level_ids!$B:$B,MATCH(H3924,[1]IDEN_level_ids!$A:$A,0),1)</f>
        <v>1080</v>
      </c>
    </row>
    <row r="3925" spans="1:21" hidden="1" x14ac:dyDescent="0.25">
      <c r="A3925">
        <v>20632.711299999999</v>
      </c>
      <c r="B3925">
        <v>4846.6728000000003</v>
      </c>
      <c r="C3925">
        <v>22</v>
      </c>
      <c r="D3925" t="s">
        <v>796</v>
      </c>
      <c r="F3925">
        <v>1974</v>
      </c>
      <c r="G3925" s="1" t="s">
        <v>706</v>
      </c>
      <c r="H3925" s="1" t="s">
        <v>172</v>
      </c>
      <c r="I3925">
        <v>0</v>
      </c>
      <c r="J3925">
        <v>20632.686600000001</v>
      </c>
      <c r="K3925">
        <v>-5.8199999999999997E-3</v>
      </c>
      <c r="L3925">
        <v>1.082E-2</v>
      </c>
      <c r="M3925">
        <v>4.6100000000000002E-2</v>
      </c>
      <c r="N3925">
        <v>0.10440000000000001</v>
      </c>
      <c r="O3925">
        <v>1.208E-2</v>
      </c>
      <c r="P3925" s="3">
        <f t="shared" si="244"/>
        <v>4846.6727685953711</v>
      </c>
      <c r="Q3925" s="3">
        <f t="shared" si="245"/>
        <v>-5.8020954666062607E-3</v>
      </c>
      <c r="R3925" s="3">
        <f t="shared" si="246"/>
        <v>1.082E-2</v>
      </c>
      <c r="S3925">
        <f t="shared" si="247"/>
        <v>124</v>
      </c>
      <c r="T3925">
        <f>INDEX([1]IDEN_level_ids!$B:$B,MATCH(G3925,[1]IDEN_level_ids!$A:$A,0),1)</f>
        <v>1240</v>
      </c>
      <c r="U3925">
        <f>INDEX([1]IDEN_level_ids!$B:$B,MATCH(H3925,[1]IDEN_level_ids!$A:$A,0),1)</f>
        <v>1136</v>
      </c>
    </row>
    <row r="3926" spans="1:21" hidden="1" x14ac:dyDescent="0.25">
      <c r="A3926">
        <v>20581.455999999998</v>
      </c>
      <c r="B3926">
        <v>4858.7426999999998</v>
      </c>
      <c r="C3926">
        <v>22</v>
      </c>
      <c r="D3926" t="s">
        <v>796</v>
      </c>
      <c r="F3926">
        <v>1974</v>
      </c>
      <c r="G3926" s="1" t="s">
        <v>310</v>
      </c>
      <c r="H3926" s="1" t="s">
        <v>203</v>
      </c>
      <c r="I3926">
        <v>0</v>
      </c>
      <c r="J3926">
        <v>20581.443899999998</v>
      </c>
      <c r="K3926">
        <v>-2.8700000000000002E-3</v>
      </c>
      <c r="L3926">
        <v>1.0880000000000001E-2</v>
      </c>
      <c r="M3926">
        <v>4.6100000000000002E-2</v>
      </c>
      <c r="N3926">
        <v>0.1731</v>
      </c>
      <c r="O3926">
        <v>1.315E-2</v>
      </c>
      <c r="P3926" s="3">
        <f t="shared" si="244"/>
        <v>4858.7427439535868</v>
      </c>
      <c r="Q3926" s="3">
        <f t="shared" si="245"/>
        <v>-2.8564947861013934E-3</v>
      </c>
      <c r="R3926" s="3">
        <f t="shared" si="246"/>
        <v>1.0880000000000001E-2</v>
      </c>
      <c r="S3926">
        <f t="shared" si="247"/>
        <v>124</v>
      </c>
      <c r="T3926">
        <f>INDEX([1]IDEN_level_ids!$B:$B,MATCH(G3926,[1]IDEN_level_ids!$A:$A,0),1)</f>
        <v>1230</v>
      </c>
      <c r="U3926">
        <f>INDEX([1]IDEN_level_ids!$B:$B,MATCH(H3926,[1]IDEN_level_ids!$A:$A,0),1)</f>
        <v>1127</v>
      </c>
    </row>
    <row r="3927" spans="1:21" hidden="1" x14ac:dyDescent="0.25">
      <c r="A3927">
        <v>20553.0003</v>
      </c>
      <c r="B3927">
        <v>4865.4696999999996</v>
      </c>
      <c r="C3927">
        <v>22</v>
      </c>
      <c r="D3927" t="s">
        <v>796</v>
      </c>
      <c r="F3927">
        <v>1974</v>
      </c>
      <c r="G3927" s="1" t="s">
        <v>310</v>
      </c>
      <c r="H3927" s="1" t="s">
        <v>138</v>
      </c>
      <c r="I3927">
        <v>0</v>
      </c>
      <c r="J3927">
        <v>20552.987000000001</v>
      </c>
      <c r="K3927">
        <v>-3.14E-3</v>
      </c>
      <c r="L3927">
        <v>1.091E-2</v>
      </c>
      <c r="M3927">
        <v>4.6100000000000002E-2</v>
      </c>
      <c r="N3927">
        <v>0.1565</v>
      </c>
      <c r="O3927">
        <v>1.2930000000000001E-2</v>
      </c>
      <c r="P3927" s="3">
        <f t="shared" si="244"/>
        <v>4865.4696900870476</v>
      </c>
      <c r="Q3927" s="3">
        <f t="shared" si="245"/>
        <v>-3.1484838127653347E-3</v>
      </c>
      <c r="R3927" s="3">
        <f t="shared" si="246"/>
        <v>1.091E-2</v>
      </c>
      <c r="S3927">
        <f t="shared" si="247"/>
        <v>124</v>
      </c>
      <c r="T3927">
        <f>INDEX([1]IDEN_level_ids!$B:$B,MATCH(G3927,[1]IDEN_level_ids!$A:$A,0),1)</f>
        <v>1230</v>
      </c>
      <c r="U3927">
        <f>INDEX([1]IDEN_level_ids!$B:$B,MATCH(H3927,[1]IDEN_level_ids!$A:$A,0),1)</f>
        <v>1126</v>
      </c>
    </row>
    <row r="3928" spans="1:21" hidden="1" x14ac:dyDescent="0.25">
      <c r="A3928">
        <v>20549.139200000001</v>
      </c>
      <c r="B3928">
        <v>4866.3838999999998</v>
      </c>
      <c r="C3928">
        <v>22</v>
      </c>
      <c r="D3928" t="s">
        <v>796</v>
      </c>
      <c r="F3928">
        <v>1974</v>
      </c>
      <c r="G3928" s="1" t="s">
        <v>736</v>
      </c>
      <c r="H3928" s="1" t="s">
        <v>194</v>
      </c>
      <c r="I3928">
        <v>0</v>
      </c>
      <c r="J3928">
        <v>20549.1286</v>
      </c>
      <c r="K3928">
        <v>-2.5000000000000001E-3</v>
      </c>
      <c r="L3928">
        <v>1.091E-2</v>
      </c>
      <c r="M3928">
        <v>4.6100000000000002E-2</v>
      </c>
      <c r="N3928">
        <v>0.1173</v>
      </c>
      <c r="O3928">
        <v>1.2359999999999999E-2</v>
      </c>
      <c r="P3928" s="3">
        <f t="shared" si="244"/>
        <v>4866.3838921291645</v>
      </c>
      <c r="Q3928" s="3">
        <f t="shared" si="245"/>
        <v>-2.5102606668951921E-3</v>
      </c>
      <c r="R3928" s="3">
        <f t="shared" si="246"/>
        <v>1.091E-2</v>
      </c>
      <c r="S3928">
        <f t="shared" si="247"/>
        <v>124</v>
      </c>
      <c r="T3928">
        <f>INDEX([1]IDEN_level_ids!$B:$B,MATCH(G3928,[1]IDEN_level_ids!$A:$A,0),1)</f>
        <v>1251</v>
      </c>
      <c r="U3928">
        <f>INDEX([1]IDEN_level_ids!$B:$B,MATCH(H3928,[1]IDEN_level_ids!$A:$A,0),1)</f>
        <v>1187</v>
      </c>
    </row>
    <row r="3929" spans="1:21" hidden="1" x14ac:dyDescent="0.25">
      <c r="A3929">
        <v>20472.7791</v>
      </c>
      <c r="B3929">
        <v>4884.5347000000002</v>
      </c>
      <c r="C3929">
        <v>22</v>
      </c>
      <c r="D3929" t="s">
        <v>796</v>
      </c>
      <c r="F3929">
        <v>1974</v>
      </c>
      <c r="G3929" s="1" t="s">
        <v>714</v>
      </c>
      <c r="H3929" s="1" t="s">
        <v>108</v>
      </c>
      <c r="I3929">
        <v>0</v>
      </c>
      <c r="J3929">
        <v>20472.784599999999</v>
      </c>
      <c r="K3929">
        <v>1.32E-3</v>
      </c>
      <c r="L3929">
        <v>1.099E-2</v>
      </c>
      <c r="M3929">
        <v>4.6100000000000002E-2</v>
      </c>
      <c r="N3929">
        <v>0.10390000000000001</v>
      </c>
      <c r="O3929">
        <v>1.226E-2</v>
      </c>
      <c r="P3929" s="3">
        <f t="shared" si="244"/>
        <v>4884.5347039376793</v>
      </c>
      <c r="Q3929" s="3">
        <f t="shared" si="245"/>
        <v>1.3122270074745757E-3</v>
      </c>
      <c r="R3929" s="3">
        <f t="shared" si="246"/>
        <v>1.099E-2</v>
      </c>
      <c r="S3929">
        <f t="shared" si="247"/>
        <v>124</v>
      </c>
      <c r="T3929">
        <f>INDEX([1]IDEN_level_ids!$B:$B,MATCH(G3929,[1]IDEN_level_ids!$A:$A,0),1)</f>
        <v>1248</v>
      </c>
      <c r="U3929">
        <f>INDEX([1]IDEN_level_ids!$B:$B,MATCH(H3929,[1]IDEN_level_ids!$A:$A,0),1)</f>
        <v>1149</v>
      </c>
    </row>
    <row r="3930" spans="1:21" hidden="1" x14ac:dyDescent="0.25">
      <c r="A3930">
        <v>20357.513599999998</v>
      </c>
      <c r="B3930">
        <v>4912.1912000000002</v>
      </c>
      <c r="C3930">
        <v>22</v>
      </c>
      <c r="D3930" t="s">
        <v>796</v>
      </c>
      <c r="F3930">
        <v>1974</v>
      </c>
      <c r="G3930" s="1" t="s">
        <v>115</v>
      </c>
      <c r="H3930" s="1" t="s">
        <v>140</v>
      </c>
      <c r="I3930">
        <v>0</v>
      </c>
      <c r="J3930">
        <v>20357.500899999999</v>
      </c>
      <c r="K3930">
        <v>-3.0699999999999998E-3</v>
      </c>
      <c r="L3930">
        <v>1.112E-2</v>
      </c>
      <c r="M3930">
        <v>4.6100000000000002E-2</v>
      </c>
      <c r="N3930">
        <v>0.12770000000000001</v>
      </c>
      <c r="O3930">
        <v>1.274E-2</v>
      </c>
      <c r="P3930" s="3">
        <f t="shared" si="244"/>
        <v>4912.1912412722158</v>
      </c>
      <c r="Q3930" s="3">
        <f t="shared" si="245"/>
        <v>-3.0644640055470518E-3</v>
      </c>
      <c r="R3930" s="3">
        <f t="shared" si="246"/>
        <v>1.112E-2</v>
      </c>
      <c r="S3930">
        <f t="shared" si="247"/>
        <v>124</v>
      </c>
      <c r="T3930">
        <f>INDEX([1]IDEN_level_ids!$B:$B,MATCH(G3930,[1]IDEN_level_ids!$A:$A,0),1)</f>
        <v>1252</v>
      </c>
      <c r="U3930">
        <f>INDEX([1]IDEN_level_ids!$B:$B,MATCH(H3930,[1]IDEN_level_ids!$A:$A,0),1)</f>
        <v>1198</v>
      </c>
    </row>
    <row r="3931" spans="1:21" hidden="1" x14ac:dyDescent="0.25">
      <c r="A3931">
        <v>20315.666399999998</v>
      </c>
      <c r="B3931">
        <v>4922.3095999999996</v>
      </c>
      <c r="C3931">
        <v>22</v>
      </c>
      <c r="D3931" t="s">
        <v>796</v>
      </c>
      <c r="F3931">
        <v>1974</v>
      </c>
      <c r="G3931" s="1" t="s">
        <v>125</v>
      </c>
      <c r="H3931" s="1" t="s">
        <v>209</v>
      </c>
      <c r="I3931">
        <v>0</v>
      </c>
      <c r="J3931">
        <v>20315.635900000001</v>
      </c>
      <c r="K3931">
        <v>-7.3800000000000003E-3</v>
      </c>
      <c r="L3931">
        <v>1.116E-2</v>
      </c>
      <c r="M3931">
        <v>4.6100000000000002E-2</v>
      </c>
      <c r="N3931">
        <v>0.14419999999999999</v>
      </c>
      <c r="O3931">
        <v>1.304E-2</v>
      </c>
      <c r="P3931" s="3">
        <f t="shared" si="244"/>
        <v>4922.3096122507704</v>
      </c>
      <c r="Q3931" s="3">
        <f t="shared" si="245"/>
        <v>-7.3898963291867403E-3</v>
      </c>
      <c r="R3931" s="3">
        <f t="shared" si="246"/>
        <v>1.116E-2</v>
      </c>
      <c r="S3931">
        <f t="shared" si="247"/>
        <v>124</v>
      </c>
      <c r="T3931">
        <f>INDEX([1]IDEN_level_ids!$B:$B,MATCH(G3931,[1]IDEN_level_ids!$A:$A,0),1)</f>
        <v>1253</v>
      </c>
      <c r="U3931">
        <f>INDEX([1]IDEN_level_ids!$B:$B,MATCH(H3931,[1]IDEN_level_ids!$A:$A,0),1)</f>
        <v>1209</v>
      </c>
    </row>
    <row r="3932" spans="1:21" hidden="1" x14ac:dyDescent="0.25">
      <c r="A3932">
        <v>20281.951499999999</v>
      </c>
      <c r="B3932">
        <v>4930.4920000000002</v>
      </c>
      <c r="C3932">
        <v>22</v>
      </c>
      <c r="D3932" t="s">
        <v>796</v>
      </c>
      <c r="F3932">
        <v>1974</v>
      </c>
      <c r="G3932" s="1" t="s">
        <v>736</v>
      </c>
      <c r="H3932" s="1" t="s">
        <v>84</v>
      </c>
      <c r="I3932">
        <v>0</v>
      </c>
      <c r="J3932">
        <v>20281.936600000001</v>
      </c>
      <c r="K3932">
        <v>-3.63E-3</v>
      </c>
      <c r="L3932">
        <v>1.12E-2</v>
      </c>
      <c r="M3932">
        <v>4.6100000000000002E-2</v>
      </c>
      <c r="N3932">
        <v>0.15279999999999999</v>
      </c>
      <c r="O3932">
        <v>1.3220000000000001E-2</v>
      </c>
      <c r="P3932" s="3">
        <f t="shared" si="244"/>
        <v>4930.4920189755903</v>
      </c>
      <c r="Q3932" s="3">
        <f t="shared" si="245"/>
        <v>-3.6221556410964695E-3</v>
      </c>
      <c r="R3932" s="3">
        <f t="shared" si="246"/>
        <v>1.12E-2</v>
      </c>
      <c r="S3932">
        <f t="shared" si="247"/>
        <v>124</v>
      </c>
      <c r="T3932">
        <f>INDEX([1]IDEN_level_ids!$B:$B,MATCH(G3932,[1]IDEN_level_ids!$A:$A,0),1)</f>
        <v>1251</v>
      </c>
      <c r="U3932">
        <f>INDEX([1]IDEN_level_ids!$B:$B,MATCH(H3932,[1]IDEN_level_ids!$A:$A,0),1)</f>
        <v>1191</v>
      </c>
    </row>
    <row r="3933" spans="1:21" hidden="1" x14ac:dyDescent="0.25">
      <c r="A3933">
        <v>20136.836800000001</v>
      </c>
      <c r="B3933">
        <v>4966.0232999999998</v>
      </c>
      <c r="C3933">
        <v>23</v>
      </c>
      <c r="D3933" t="s">
        <v>797</v>
      </c>
      <c r="F3933">
        <v>1974</v>
      </c>
      <c r="G3933" s="1" t="s">
        <v>115</v>
      </c>
      <c r="H3933" s="1" t="s">
        <v>40</v>
      </c>
      <c r="I3933">
        <v>0</v>
      </c>
      <c r="J3933">
        <v>20136.828000000001</v>
      </c>
      <c r="K3933">
        <v>-2.1700000000000001E-3</v>
      </c>
      <c r="L3933">
        <v>1.136E-2</v>
      </c>
      <c r="M3933">
        <v>4.6100000000000002E-2</v>
      </c>
      <c r="N3933">
        <v>0.1275</v>
      </c>
      <c r="O3933">
        <v>1.302E-2</v>
      </c>
      <c r="P3933" s="3">
        <f t="shared" si="244"/>
        <v>4966.0232633955693</v>
      </c>
      <c r="Q3933" s="3">
        <f t="shared" si="245"/>
        <v>-2.1702030089727486E-3</v>
      </c>
      <c r="R3933" s="3">
        <f t="shared" si="246"/>
        <v>1.136E-2</v>
      </c>
      <c r="S3933">
        <f t="shared" si="247"/>
        <v>125</v>
      </c>
      <c r="T3933">
        <f>INDEX([1]IDEN_level_ids!$B:$B,MATCH(G3933,[1]IDEN_level_ids!$A:$A,0),1)</f>
        <v>1252</v>
      </c>
      <c r="U3933">
        <f>INDEX([1]IDEN_level_ids!$B:$B,MATCH(H3933,[1]IDEN_level_ids!$A:$A,0),1)</f>
        <v>1199</v>
      </c>
    </row>
    <row r="3934" spans="1:21" hidden="1" x14ac:dyDescent="0.25">
      <c r="A3934">
        <v>20123.3223</v>
      </c>
      <c r="B3934">
        <v>4969.3584000000001</v>
      </c>
      <c r="C3934">
        <v>23</v>
      </c>
      <c r="D3934" t="s">
        <v>797</v>
      </c>
      <c r="F3934">
        <v>1974</v>
      </c>
      <c r="G3934" s="1" t="s">
        <v>734</v>
      </c>
      <c r="H3934" s="1" t="s">
        <v>282</v>
      </c>
      <c r="I3934">
        <v>0</v>
      </c>
      <c r="J3934">
        <v>20123.316900000002</v>
      </c>
      <c r="K3934">
        <v>-1.34E-3</v>
      </c>
      <c r="L3934">
        <v>1.1379999999999999E-2</v>
      </c>
      <c r="M3934">
        <v>4.6100000000000002E-2</v>
      </c>
      <c r="N3934">
        <v>0.1211</v>
      </c>
      <c r="O3934">
        <v>1.294E-2</v>
      </c>
      <c r="P3934" s="3">
        <f t="shared" si="244"/>
        <v>4969.3583648461472</v>
      </c>
      <c r="Q3934" s="3">
        <f t="shared" si="245"/>
        <v>-1.3335045750864083E-3</v>
      </c>
      <c r="R3934" s="3">
        <f t="shared" si="246"/>
        <v>1.1379999999999999E-2</v>
      </c>
      <c r="S3934">
        <f t="shared" si="247"/>
        <v>125</v>
      </c>
      <c r="T3934">
        <f>INDEX([1]IDEN_level_ids!$B:$B,MATCH(G3934,[1]IDEN_level_ids!$A:$A,0),1)</f>
        <v>1232</v>
      </c>
      <c r="U3934">
        <f>INDEX([1]IDEN_level_ids!$B:$B,MATCH(H3934,[1]IDEN_level_ids!$A:$A,0),1)</f>
        <v>1128</v>
      </c>
    </row>
    <row r="3935" spans="1:21" hidden="1" x14ac:dyDescent="0.25">
      <c r="A3935">
        <v>19872.490399999999</v>
      </c>
      <c r="B3935">
        <v>5032.0819000000001</v>
      </c>
      <c r="C3935">
        <v>23</v>
      </c>
      <c r="D3935" t="s">
        <v>797</v>
      </c>
      <c r="E3935" t="s">
        <v>661</v>
      </c>
      <c r="F3935">
        <v>1974</v>
      </c>
      <c r="G3935" s="1" t="s">
        <v>125</v>
      </c>
      <c r="H3935" s="1" t="s">
        <v>94</v>
      </c>
      <c r="I3935">
        <v>0</v>
      </c>
      <c r="J3935">
        <v>19872.470099999999</v>
      </c>
      <c r="K3935">
        <v>-5.1200000000000004E-3</v>
      </c>
      <c r="L3935">
        <v>1.2829999999999999E-2</v>
      </c>
      <c r="M3935">
        <v>5.0700000000000002E-2</v>
      </c>
      <c r="N3935">
        <v>0.1181</v>
      </c>
      <c r="O3935">
        <v>1.4540000000000001E-2</v>
      </c>
      <c r="P3935" s="3">
        <f t="shared" si="244"/>
        <v>5032.0819377525022</v>
      </c>
      <c r="Q3935" s="3">
        <f t="shared" si="245"/>
        <v>-5.1403405232122168E-3</v>
      </c>
      <c r="R3935" s="3">
        <f t="shared" si="246"/>
        <v>1.2829999999999999E-2</v>
      </c>
      <c r="S3935">
        <f t="shared" si="247"/>
        <v>125</v>
      </c>
      <c r="T3935">
        <f>INDEX([1]IDEN_level_ids!$B:$B,MATCH(G3935,[1]IDEN_level_ids!$A:$A,0),1)</f>
        <v>1253</v>
      </c>
      <c r="U3935">
        <f>INDEX([1]IDEN_level_ids!$B:$B,MATCH(H3935,[1]IDEN_level_ids!$A:$A,0),1)</f>
        <v>1207</v>
      </c>
    </row>
    <row r="3936" spans="1:21" hidden="1" x14ac:dyDescent="0.25">
      <c r="A3936">
        <v>19694.1188</v>
      </c>
      <c r="B3936">
        <v>5077.6580000000004</v>
      </c>
      <c r="C3936">
        <v>24</v>
      </c>
      <c r="D3936" t="s">
        <v>798</v>
      </c>
      <c r="F3936">
        <v>1974</v>
      </c>
      <c r="G3936" s="1" t="s">
        <v>331</v>
      </c>
      <c r="H3936" s="1" t="s">
        <v>304</v>
      </c>
      <c r="I3936">
        <v>0</v>
      </c>
      <c r="J3936">
        <v>19694.0697</v>
      </c>
      <c r="K3936">
        <v>-1.265E-2</v>
      </c>
      <c r="L3936">
        <v>1.188E-2</v>
      </c>
      <c r="M3936">
        <v>4.6100000000000002E-2</v>
      </c>
      <c r="N3936">
        <v>0.46229999999999999</v>
      </c>
      <c r="O3936">
        <v>2.2089999999999999E-2</v>
      </c>
      <c r="P3936" s="3">
        <f t="shared" si="244"/>
        <v>5077.6580062064013</v>
      </c>
      <c r="Q3936" s="3">
        <f t="shared" si="245"/>
        <v>-1.2659293477554456E-2</v>
      </c>
      <c r="R3936" s="3">
        <f t="shared" si="246"/>
        <v>1.188E-2</v>
      </c>
      <c r="S3936">
        <f t="shared" si="247"/>
        <v>126</v>
      </c>
      <c r="T3936">
        <f>INDEX([1]IDEN_level_ids!$B:$B,MATCH(G3936,[1]IDEN_level_ids!$A:$A,0),1)</f>
        <v>1163</v>
      </c>
      <c r="U3936">
        <f>INDEX([1]IDEN_level_ids!$B:$B,MATCH(H3936,[1]IDEN_level_ids!$A:$A,0),1)</f>
        <v>1096</v>
      </c>
    </row>
    <row r="3937" spans="1:21" hidden="1" x14ac:dyDescent="0.25">
      <c r="A3937">
        <v>19648.394499999999</v>
      </c>
      <c r="B3937">
        <v>5089.4744000000001</v>
      </c>
      <c r="C3937">
        <v>24</v>
      </c>
      <c r="D3937" t="s">
        <v>798</v>
      </c>
      <c r="F3937">
        <v>1974</v>
      </c>
      <c r="G3937" s="1" t="s">
        <v>791</v>
      </c>
      <c r="H3937" s="1" t="s">
        <v>259</v>
      </c>
      <c r="I3937">
        <v>0</v>
      </c>
      <c r="J3937">
        <v>19648.369299999998</v>
      </c>
      <c r="K3937">
        <v>-6.5199999999999998E-3</v>
      </c>
      <c r="L3937">
        <v>1.193E-2</v>
      </c>
      <c r="M3937">
        <v>4.6100000000000002E-2</v>
      </c>
      <c r="N3937">
        <v>0.21479999999999999</v>
      </c>
      <c r="O3937">
        <v>1.52E-2</v>
      </c>
      <c r="P3937" s="3">
        <f t="shared" si="244"/>
        <v>5089.474358833746</v>
      </c>
      <c r="Q3937" s="3">
        <f t="shared" si="245"/>
        <v>-6.5275011829726282E-3</v>
      </c>
      <c r="R3937" s="3">
        <f t="shared" si="246"/>
        <v>1.193E-2</v>
      </c>
      <c r="S3937">
        <f t="shared" si="247"/>
        <v>126</v>
      </c>
      <c r="T3937">
        <f>INDEX([1]IDEN_level_ids!$B:$B,MATCH(G3937,[1]IDEN_level_ids!$A:$A,0),1)</f>
        <v>1215</v>
      </c>
      <c r="U3937">
        <f>INDEX([1]IDEN_level_ids!$B:$B,MATCH(H3937,[1]IDEN_level_ids!$A:$A,0),1)</f>
        <v>1117</v>
      </c>
    </row>
    <row r="3938" spans="1:21" hidden="1" x14ac:dyDescent="0.25">
      <c r="A3938">
        <v>19581.044000000002</v>
      </c>
      <c r="B3938">
        <v>5106.9799999999996</v>
      </c>
      <c r="C3938">
        <v>24</v>
      </c>
      <c r="D3938" t="s">
        <v>798</v>
      </c>
      <c r="F3938">
        <v>1974</v>
      </c>
      <c r="G3938" s="1" t="s">
        <v>764</v>
      </c>
      <c r="H3938" s="1" t="s">
        <v>275</v>
      </c>
      <c r="I3938">
        <v>0</v>
      </c>
      <c r="J3938">
        <v>19581.006300000001</v>
      </c>
      <c r="K3938">
        <v>-9.8300000000000002E-3</v>
      </c>
      <c r="L3938">
        <v>1.201E-2</v>
      </c>
      <c r="M3938">
        <v>4.6100000000000002E-2</v>
      </c>
      <c r="N3938">
        <v>0.1351</v>
      </c>
      <c r="O3938">
        <v>1.389E-2</v>
      </c>
      <c r="P3938" s="3">
        <f t="shared" si="244"/>
        <v>5106.9799955507988</v>
      </c>
      <c r="Q3938" s="3">
        <f t="shared" si="245"/>
        <v>-9.8326481738695293E-3</v>
      </c>
      <c r="R3938" s="3">
        <f t="shared" si="246"/>
        <v>1.201E-2</v>
      </c>
      <c r="S3938">
        <f t="shared" si="247"/>
        <v>126</v>
      </c>
      <c r="T3938">
        <f>INDEX([1]IDEN_level_ids!$B:$B,MATCH(G3938,[1]IDEN_level_ids!$A:$A,0),1)</f>
        <v>1234</v>
      </c>
      <c r="U3938">
        <f>INDEX([1]IDEN_level_ids!$B:$B,MATCH(H3938,[1]IDEN_level_ids!$A:$A,0),1)</f>
        <v>1134</v>
      </c>
    </row>
    <row r="3939" spans="1:21" hidden="1" x14ac:dyDescent="0.25">
      <c r="A3939">
        <v>19493.0373</v>
      </c>
      <c r="B3939">
        <v>5130.0369000000001</v>
      </c>
      <c r="C3939">
        <v>24</v>
      </c>
      <c r="D3939" t="s">
        <v>798</v>
      </c>
      <c r="F3939">
        <v>1974</v>
      </c>
      <c r="G3939" s="1" t="s">
        <v>719</v>
      </c>
      <c r="H3939" s="1" t="s">
        <v>100</v>
      </c>
      <c r="I3939">
        <v>0</v>
      </c>
      <c r="J3939">
        <v>19493.016</v>
      </c>
      <c r="K3939">
        <v>-5.5900000000000004E-3</v>
      </c>
      <c r="L3939">
        <v>1.2120000000000001E-2</v>
      </c>
      <c r="M3939">
        <v>4.6100000000000002E-2</v>
      </c>
      <c r="N3939">
        <v>0.16220000000000001</v>
      </c>
      <c r="O3939">
        <v>1.447E-2</v>
      </c>
      <c r="P3939" s="3">
        <f t="shared" si="244"/>
        <v>5130.0368670612452</v>
      </c>
      <c r="Q3939" s="3">
        <f t="shared" si="245"/>
        <v>-5.6055863942674478E-3</v>
      </c>
      <c r="R3939" s="3">
        <f t="shared" si="246"/>
        <v>1.2120000000000001E-2</v>
      </c>
      <c r="S3939">
        <f t="shared" si="247"/>
        <v>126</v>
      </c>
      <c r="T3939">
        <f>INDEX([1]IDEN_level_ids!$B:$B,MATCH(G3939,[1]IDEN_level_ids!$A:$A,0),1)</f>
        <v>1244</v>
      </c>
      <c r="U3939">
        <f>INDEX([1]IDEN_level_ids!$B:$B,MATCH(H3939,[1]IDEN_level_ids!$A:$A,0),1)</f>
        <v>1146</v>
      </c>
    </row>
    <row r="3940" spans="1:21" hidden="1" x14ac:dyDescent="0.25">
      <c r="A3940">
        <v>19353.137699999999</v>
      </c>
      <c r="B3940">
        <v>5167.1207999999997</v>
      </c>
      <c r="C3940">
        <v>24</v>
      </c>
      <c r="D3940" t="s">
        <v>798</v>
      </c>
      <c r="F3940">
        <v>1974</v>
      </c>
      <c r="G3940" s="1" t="s">
        <v>94</v>
      </c>
      <c r="H3940" s="1" t="s">
        <v>799</v>
      </c>
      <c r="I3940">
        <v>0</v>
      </c>
      <c r="J3940">
        <v>19353.149000000001</v>
      </c>
      <c r="K3940">
        <v>3.0100000000000001E-3</v>
      </c>
      <c r="L3940">
        <v>1.23E-2</v>
      </c>
      <c r="M3940">
        <v>4.6100000000000002E-2</v>
      </c>
      <c r="N3940">
        <v>0.23810000000000001</v>
      </c>
      <c r="O3940">
        <v>1.6140000000000002E-2</v>
      </c>
      <c r="P3940" s="3">
        <f t="shared" si="244"/>
        <v>5167.1207816601236</v>
      </c>
      <c r="Q3940" s="3">
        <f t="shared" si="245"/>
        <v>3.0170007394190179E-3</v>
      </c>
      <c r="R3940" s="3">
        <f t="shared" si="246"/>
        <v>1.23E-2</v>
      </c>
      <c r="S3940">
        <f t="shared" si="247"/>
        <v>126</v>
      </c>
      <c r="T3940">
        <f>INDEX([1]IDEN_level_ids!$B:$B,MATCH(G3940,[1]IDEN_level_ids!$A:$A,0),1)</f>
        <v>1207</v>
      </c>
      <c r="U3940">
        <f>INDEX([1]IDEN_level_ids!$B:$B,MATCH(H3940,[1]IDEN_level_ids!$A:$A,0),1)</f>
        <v>1113</v>
      </c>
    </row>
    <row r="3941" spans="1:21" hidden="1" x14ac:dyDescent="0.25">
      <c r="A3941">
        <v>19348.908800000001</v>
      </c>
      <c r="B3941">
        <v>5168.2501000000002</v>
      </c>
      <c r="C3941">
        <v>24</v>
      </c>
      <c r="D3941" t="s">
        <v>798</v>
      </c>
      <c r="F3941">
        <v>1974</v>
      </c>
      <c r="G3941" s="1" t="s">
        <v>724</v>
      </c>
      <c r="H3941" s="1" t="s">
        <v>345</v>
      </c>
      <c r="I3941">
        <v>0</v>
      </c>
      <c r="J3941">
        <v>19348.8861</v>
      </c>
      <c r="K3941">
        <v>-6.0699999999999999E-3</v>
      </c>
      <c r="L3941">
        <v>1.23E-2</v>
      </c>
      <c r="M3941">
        <v>4.6100000000000002E-2</v>
      </c>
      <c r="N3941">
        <v>0.24590000000000001</v>
      </c>
      <c r="O3941">
        <v>1.6320000000000001E-2</v>
      </c>
      <c r="P3941" s="3">
        <f t="shared" si="244"/>
        <v>5168.2501082438303</v>
      </c>
      <c r="Q3941" s="3">
        <f t="shared" si="245"/>
        <v>-6.0633607981799287E-3</v>
      </c>
      <c r="R3941" s="3">
        <f t="shared" si="246"/>
        <v>1.23E-2</v>
      </c>
      <c r="S3941">
        <f t="shared" si="247"/>
        <v>126</v>
      </c>
      <c r="T3941">
        <f>INDEX([1]IDEN_level_ids!$B:$B,MATCH(G3941,[1]IDEN_level_ids!$A:$A,0),1)</f>
        <v>1206</v>
      </c>
      <c r="U3941">
        <f>INDEX([1]IDEN_level_ids!$B:$B,MATCH(H3941,[1]IDEN_level_ids!$A:$A,0),1)</f>
        <v>1106</v>
      </c>
    </row>
    <row r="3942" spans="1:21" hidden="1" x14ac:dyDescent="0.25">
      <c r="A3942">
        <v>19319.358800000002</v>
      </c>
      <c r="B3942">
        <v>5176.1552000000001</v>
      </c>
      <c r="C3942">
        <v>24</v>
      </c>
      <c r="D3942" t="s">
        <v>798</v>
      </c>
      <c r="E3942" t="s">
        <v>236</v>
      </c>
      <c r="F3942">
        <v>1974</v>
      </c>
      <c r="G3942" s="1" t="s">
        <v>734</v>
      </c>
      <c r="H3942" s="1" t="s">
        <v>275</v>
      </c>
      <c r="I3942">
        <v>0</v>
      </c>
      <c r="J3942">
        <v>19319.3639</v>
      </c>
      <c r="K3942">
        <v>1.3500000000000001E-3</v>
      </c>
      <c r="L3942">
        <v>6.3200000000000001E-3</v>
      </c>
      <c r="M3942">
        <v>2.3599999999999999E-2</v>
      </c>
      <c r="N3942">
        <v>0.39729999999999999</v>
      </c>
      <c r="O3942">
        <v>1.0489999999999999E-2</v>
      </c>
      <c r="P3942" s="3">
        <f t="shared" si="244"/>
        <v>5176.1552251930843</v>
      </c>
      <c r="Q3942" s="3">
        <f t="shared" si="245"/>
        <v>1.366421367492876E-3</v>
      </c>
      <c r="R3942" s="3">
        <f t="shared" si="246"/>
        <v>6.3200000000000001E-3</v>
      </c>
      <c r="S3942">
        <f t="shared" si="247"/>
        <v>126</v>
      </c>
      <c r="T3942">
        <f>INDEX([1]IDEN_level_ids!$B:$B,MATCH(G3942,[1]IDEN_level_ids!$A:$A,0),1)</f>
        <v>1232</v>
      </c>
      <c r="U3942">
        <f>INDEX([1]IDEN_level_ids!$B:$B,MATCH(H3942,[1]IDEN_level_ids!$A:$A,0),1)</f>
        <v>1134</v>
      </c>
    </row>
    <row r="3943" spans="1:21" hidden="1" x14ac:dyDescent="0.25">
      <c r="A3943">
        <v>19194.0039</v>
      </c>
      <c r="B3943">
        <v>5209.9603999999999</v>
      </c>
      <c r="C3943">
        <v>24</v>
      </c>
      <c r="D3943" t="s">
        <v>798</v>
      </c>
      <c r="F3943">
        <v>1974</v>
      </c>
      <c r="G3943" s="1" t="s">
        <v>120</v>
      </c>
      <c r="H3943" s="1" t="s">
        <v>86</v>
      </c>
      <c r="I3943">
        <v>0</v>
      </c>
      <c r="J3943">
        <v>19194.030900000002</v>
      </c>
      <c r="K3943">
        <v>7.3299999999999997E-3</v>
      </c>
      <c r="L3943">
        <v>1.2500000000000001E-2</v>
      </c>
      <c r="M3943">
        <v>4.6100000000000002E-2</v>
      </c>
      <c r="N3943">
        <v>0.20569999999999999</v>
      </c>
      <c r="O3943">
        <v>1.5740000000000001E-2</v>
      </c>
      <c r="P3943" s="3">
        <f t="shared" si="244"/>
        <v>5209.9603876812798</v>
      </c>
      <c r="Q3943" s="3">
        <f t="shared" si="245"/>
        <v>7.3287852465000469E-3</v>
      </c>
      <c r="R3943" s="3">
        <f t="shared" si="246"/>
        <v>1.2500000000000001E-2</v>
      </c>
      <c r="S3943">
        <f t="shared" si="247"/>
        <v>126</v>
      </c>
      <c r="T3943">
        <f>INDEX([1]IDEN_level_ids!$B:$B,MATCH(G3943,[1]IDEN_level_ids!$A:$A,0),1)</f>
        <v>1250</v>
      </c>
      <c r="U3943">
        <f>INDEX([1]IDEN_level_ids!$B:$B,MATCH(H3943,[1]IDEN_level_ids!$A:$A,0),1)</f>
        <v>1183</v>
      </c>
    </row>
    <row r="3944" spans="1:21" hidden="1" x14ac:dyDescent="0.25">
      <c r="A3944">
        <v>19076.806100000002</v>
      </c>
      <c r="B3944">
        <v>5241.9675999999999</v>
      </c>
      <c r="C3944">
        <v>24</v>
      </c>
      <c r="D3944" t="s">
        <v>798</v>
      </c>
      <c r="F3944">
        <v>1974</v>
      </c>
      <c r="G3944" s="1" t="s">
        <v>764</v>
      </c>
      <c r="H3944" s="1" t="s">
        <v>172</v>
      </c>
      <c r="I3944">
        <v>0</v>
      </c>
      <c r="J3944">
        <v>19076.7916</v>
      </c>
      <c r="K3944">
        <v>-3.9699999999999996E-3</v>
      </c>
      <c r="L3944">
        <v>1.2659999999999999E-2</v>
      </c>
      <c r="M3944">
        <v>4.6100000000000002E-2</v>
      </c>
      <c r="N3944">
        <v>0.14929999999999999</v>
      </c>
      <c r="O3944">
        <v>1.4880000000000001E-2</v>
      </c>
      <c r="P3944" s="3">
        <f t="shared" si="244"/>
        <v>5241.967626855524</v>
      </c>
      <c r="Q3944" s="3">
        <f t="shared" si="245"/>
        <v>-3.9843455961090513E-3</v>
      </c>
      <c r="R3944" s="3">
        <f t="shared" si="246"/>
        <v>1.2659999999999999E-2</v>
      </c>
      <c r="S3944">
        <f t="shared" si="247"/>
        <v>126</v>
      </c>
      <c r="T3944">
        <f>INDEX([1]IDEN_level_ids!$B:$B,MATCH(G3944,[1]IDEN_level_ids!$A:$A,0),1)</f>
        <v>1234</v>
      </c>
      <c r="U3944">
        <f>INDEX([1]IDEN_level_ids!$B:$B,MATCH(H3944,[1]IDEN_level_ids!$A:$A,0),1)</f>
        <v>1136</v>
      </c>
    </row>
    <row r="3945" spans="1:21" hidden="1" x14ac:dyDescent="0.25">
      <c r="A3945">
        <v>19064.477200000001</v>
      </c>
      <c r="B3945">
        <v>5245.3576000000003</v>
      </c>
      <c r="C3945">
        <v>24</v>
      </c>
      <c r="D3945" t="s">
        <v>798</v>
      </c>
      <c r="F3945">
        <v>1974</v>
      </c>
      <c r="G3945" s="1" t="s">
        <v>64</v>
      </c>
      <c r="H3945" s="1" t="s">
        <v>282</v>
      </c>
      <c r="I3945">
        <v>0</v>
      </c>
      <c r="J3945">
        <v>19064.458999999999</v>
      </c>
      <c r="K3945">
        <v>-5.0099999999999997E-3</v>
      </c>
      <c r="L3945">
        <v>1.2670000000000001E-2</v>
      </c>
      <c r="M3945">
        <v>4.6100000000000002E-2</v>
      </c>
      <c r="N3945">
        <v>0.19309999999999999</v>
      </c>
      <c r="O3945">
        <v>1.5709999999999998E-2</v>
      </c>
      <c r="P3945" s="3">
        <f t="shared" si="244"/>
        <v>5245.357580537272</v>
      </c>
      <c r="Q3945" s="3">
        <f t="shared" si="245"/>
        <v>-5.0075120407200302E-3</v>
      </c>
      <c r="R3945" s="3">
        <f t="shared" si="246"/>
        <v>1.2670000000000001E-2</v>
      </c>
      <c r="S3945">
        <f t="shared" si="247"/>
        <v>126</v>
      </c>
      <c r="T3945">
        <f>INDEX([1]IDEN_level_ids!$B:$B,MATCH(G3945,[1]IDEN_level_ids!$A:$A,0),1)</f>
        <v>1228</v>
      </c>
      <c r="U3945">
        <f>INDEX([1]IDEN_level_ids!$B:$B,MATCH(H3945,[1]IDEN_level_ids!$A:$A,0),1)</f>
        <v>1128</v>
      </c>
    </row>
    <row r="3946" spans="1:21" hidden="1" x14ac:dyDescent="0.25">
      <c r="A3946">
        <v>19000.0563</v>
      </c>
      <c r="B3946">
        <v>5263.1423000000004</v>
      </c>
      <c r="C3946">
        <v>24</v>
      </c>
      <c r="D3946" t="s">
        <v>798</v>
      </c>
      <c r="F3946">
        <v>1974</v>
      </c>
      <c r="G3946" s="1" t="s">
        <v>308</v>
      </c>
      <c r="H3946" s="1" t="s">
        <v>138</v>
      </c>
      <c r="I3946">
        <v>0</v>
      </c>
      <c r="J3946">
        <v>19000.0772</v>
      </c>
      <c r="K3946">
        <v>5.7800000000000004E-3</v>
      </c>
      <c r="L3946">
        <v>1.2760000000000001E-2</v>
      </c>
      <c r="M3946">
        <v>4.6100000000000002E-2</v>
      </c>
      <c r="N3946">
        <v>0.26719999999999999</v>
      </c>
      <c r="O3946">
        <v>1.7409999999999998E-2</v>
      </c>
      <c r="P3946" s="3">
        <f t="shared" si="244"/>
        <v>5263.1422992151874</v>
      </c>
      <c r="Q3946" s="3">
        <f t="shared" si="245"/>
        <v>5.789433005702449E-3</v>
      </c>
      <c r="R3946" s="3">
        <f t="shared" si="246"/>
        <v>1.2760000000000001E-2</v>
      </c>
      <c r="S3946">
        <f t="shared" si="247"/>
        <v>126</v>
      </c>
      <c r="T3946">
        <f>INDEX([1]IDEN_level_ids!$B:$B,MATCH(G3946,[1]IDEN_level_ids!$A:$A,0),1)</f>
        <v>1222</v>
      </c>
      <c r="U3946">
        <f>INDEX([1]IDEN_level_ids!$B:$B,MATCH(H3946,[1]IDEN_level_ids!$A:$A,0),1)</f>
        <v>1126</v>
      </c>
    </row>
    <row r="3947" spans="1:21" hidden="1" x14ac:dyDescent="0.25">
      <c r="A3947">
        <v>18990.077099999999</v>
      </c>
      <c r="B3947">
        <v>5265.9080999999996</v>
      </c>
      <c r="C3947">
        <v>24</v>
      </c>
      <c r="D3947" t="s">
        <v>798</v>
      </c>
      <c r="F3947">
        <v>1974</v>
      </c>
      <c r="G3947" s="1" t="s">
        <v>125</v>
      </c>
      <c r="H3947" s="1" t="s">
        <v>79</v>
      </c>
      <c r="I3947">
        <v>0</v>
      </c>
      <c r="J3947">
        <v>18990.091199999999</v>
      </c>
      <c r="K3947">
        <v>3.8999999999999998E-3</v>
      </c>
      <c r="L3947">
        <v>1.277E-2</v>
      </c>
      <c r="M3947">
        <v>4.6100000000000002E-2</v>
      </c>
      <c r="N3947">
        <v>0.2021</v>
      </c>
      <c r="O3947">
        <v>1.601E-2</v>
      </c>
      <c r="P3947" s="3">
        <f t="shared" si="244"/>
        <v>5265.9080567924611</v>
      </c>
      <c r="Q3947" s="3">
        <f t="shared" si="245"/>
        <v>3.9098971583371167E-3</v>
      </c>
      <c r="R3947" s="3">
        <f t="shared" si="246"/>
        <v>1.277E-2</v>
      </c>
      <c r="S3947">
        <f t="shared" si="247"/>
        <v>126</v>
      </c>
      <c r="T3947">
        <f>INDEX([1]IDEN_level_ids!$B:$B,MATCH(G3947,[1]IDEN_level_ids!$A:$A,0),1)</f>
        <v>1253</v>
      </c>
      <c r="U3947">
        <f>INDEX([1]IDEN_level_ids!$B:$B,MATCH(H3947,[1]IDEN_level_ids!$A:$A,0),1)</f>
        <v>1216</v>
      </c>
    </row>
    <row r="3948" spans="1:21" hidden="1" x14ac:dyDescent="0.25">
      <c r="A3948">
        <v>18917.296999999999</v>
      </c>
      <c r="B3948">
        <v>5286.1674999999996</v>
      </c>
      <c r="C3948">
        <v>24</v>
      </c>
      <c r="D3948" t="s">
        <v>798</v>
      </c>
      <c r="F3948">
        <v>1974</v>
      </c>
      <c r="G3948" s="1" t="s">
        <v>115</v>
      </c>
      <c r="H3948" s="1" t="s">
        <v>209</v>
      </c>
      <c r="I3948">
        <v>0</v>
      </c>
      <c r="J3948">
        <v>18917.2919</v>
      </c>
      <c r="K3948">
        <v>-1.4400000000000001E-3</v>
      </c>
      <c r="L3948">
        <v>1.2869999999999999E-2</v>
      </c>
      <c r="M3948">
        <v>4.6100000000000002E-2</v>
      </c>
      <c r="N3948">
        <v>0.1777</v>
      </c>
      <c r="O3948">
        <v>1.5650000000000001E-2</v>
      </c>
      <c r="P3948" s="3">
        <f t="shared" si="244"/>
        <v>5286.1674688513904</v>
      </c>
      <c r="Q3948" s="3">
        <f t="shared" si="245"/>
        <v>-1.4251222764869453E-3</v>
      </c>
      <c r="R3948" s="3">
        <f t="shared" si="246"/>
        <v>1.2869999999999999E-2</v>
      </c>
      <c r="S3948">
        <f t="shared" si="247"/>
        <v>126</v>
      </c>
      <c r="T3948">
        <f>INDEX([1]IDEN_level_ids!$B:$B,MATCH(G3948,[1]IDEN_level_ids!$A:$A,0),1)</f>
        <v>1252</v>
      </c>
      <c r="U3948">
        <f>INDEX([1]IDEN_level_ids!$B:$B,MATCH(H3948,[1]IDEN_level_ids!$A:$A,0),1)</f>
        <v>1209</v>
      </c>
    </row>
    <row r="3949" spans="1:21" hidden="1" x14ac:dyDescent="0.25">
      <c r="A3949">
        <v>18883.711599999999</v>
      </c>
      <c r="B3949">
        <v>5295.5690999999997</v>
      </c>
      <c r="C3949">
        <v>24</v>
      </c>
      <c r="D3949" t="s">
        <v>798</v>
      </c>
      <c r="F3949">
        <v>1974</v>
      </c>
      <c r="G3949" s="1" t="s">
        <v>232</v>
      </c>
      <c r="H3949" s="1" t="s">
        <v>465</v>
      </c>
      <c r="I3949">
        <v>0</v>
      </c>
      <c r="J3949">
        <v>18883.703099999999</v>
      </c>
      <c r="K3949">
        <v>-2.3800000000000002E-3</v>
      </c>
      <c r="L3949">
        <v>1.2919999999999999E-2</v>
      </c>
      <c r="M3949">
        <v>4.6100000000000002E-2</v>
      </c>
      <c r="N3949">
        <v>0.99490000000000001</v>
      </c>
      <c r="O3949">
        <v>2.5427399999999998</v>
      </c>
      <c r="P3949" s="3">
        <f t="shared" si="244"/>
        <v>5295.5691189437575</v>
      </c>
      <c r="Q3949" s="3">
        <f t="shared" si="245"/>
        <v>-2.3836605178075843E-3</v>
      </c>
      <c r="R3949" s="3">
        <f t="shared" si="246"/>
        <v>1.2919999999999999E-2</v>
      </c>
      <c r="S3949">
        <f t="shared" si="247"/>
        <v>126</v>
      </c>
      <c r="T3949">
        <f>INDEX([1]IDEN_level_ids!$B:$B,MATCH(G3949,[1]IDEN_level_ids!$A:$A,0),1)</f>
        <v>801</v>
      </c>
      <c r="U3949">
        <f>INDEX([1]IDEN_level_ids!$B:$B,MATCH(H3949,[1]IDEN_level_ids!$A:$A,0),1)</f>
        <v>517</v>
      </c>
    </row>
    <row r="3950" spans="1:21" hidden="1" x14ac:dyDescent="0.25">
      <c r="A3950">
        <v>18862.701099999998</v>
      </c>
      <c r="B3950">
        <v>5301.4677000000001</v>
      </c>
      <c r="C3950">
        <v>24</v>
      </c>
      <c r="D3950" t="s">
        <v>798</v>
      </c>
      <c r="F3950">
        <v>1974</v>
      </c>
      <c r="G3950" s="1" t="s">
        <v>736</v>
      </c>
      <c r="H3950" s="1" t="s">
        <v>140</v>
      </c>
      <c r="I3950">
        <v>0</v>
      </c>
      <c r="J3950">
        <v>18862.709299999999</v>
      </c>
      <c r="K3950">
        <v>2.32E-3</v>
      </c>
      <c r="L3950">
        <v>1.295E-2</v>
      </c>
      <c r="M3950">
        <v>4.6100000000000002E-2</v>
      </c>
      <c r="N3950">
        <v>0.16900000000000001</v>
      </c>
      <c r="O3950">
        <v>1.558E-2</v>
      </c>
      <c r="P3950" s="3">
        <f t="shared" si="244"/>
        <v>5301.4676673215172</v>
      </c>
      <c r="Q3950" s="3">
        <f t="shared" si="245"/>
        <v>2.3046548712954973E-3</v>
      </c>
      <c r="R3950" s="3">
        <f t="shared" si="246"/>
        <v>1.295E-2</v>
      </c>
      <c r="S3950">
        <f t="shared" si="247"/>
        <v>126</v>
      </c>
      <c r="T3950">
        <f>INDEX([1]IDEN_level_ids!$B:$B,MATCH(G3950,[1]IDEN_level_ids!$A:$A,0),1)</f>
        <v>1251</v>
      </c>
      <c r="U3950">
        <f>INDEX([1]IDEN_level_ids!$B:$B,MATCH(H3950,[1]IDEN_level_ids!$A:$A,0),1)</f>
        <v>1198</v>
      </c>
    </row>
    <row r="3951" spans="1:21" hidden="1" x14ac:dyDescent="0.25">
      <c r="A3951">
        <v>18798.280500000001</v>
      </c>
      <c r="B3951">
        <v>5319.6355000000003</v>
      </c>
      <c r="C3951">
        <v>24</v>
      </c>
      <c r="D3951" t="s">
        <v>798</v>
      </c>
      <c r="F3951">
        <v>1974</v>
      </c>
      <c r="G3951" s="1" t="s">
        <v>712</v>
      </c>
      <c r="H3951" s="1" t="s">
        <v>290</v>
      </c>
      <c r="I3951">
        <v>0</v>
      </c>
      <c r="J3951">
        <v>18798.262299999999</v>
      </c>
      <c r="K3951">
        <v>-5.1500000000000001E-3</v>
      </c>
      <c r="L3951">
        <v>1.304E-2</v>
      </c>
      <c r="M3951">
        <v>4.6100000000000002E-2</v>
      </c>
      <c r="N3951">
        <v>0.25540000000000002</v>
      </c>
      <c r="O3951">
        <v>1.7510000000000001E-2</v>
      </c>
      <c r="P3951" s="3">
        <f t="shared" si="244"/>
        <v>5319.6354847455332</v>
      </c>
      <c r="Q3951" s="3">
        <f t="shared" si="245"/>
        <v>-5.1503359345588251E-3</v>
      </c>
      <c r="R3951" s="3">
        <f t="shared" si="246"/>
        <v>1.304E-2</v>
      </c>
      <c r="S3951">
        <f t="shared" si="247"/>
        <v>126</v>
      </c>
      <c r="T3951">
        <f>INDEX([1]IDEN_level_ids!$B:$B,MATCH(G3951,[1]IDEN_level_ids!$A:$A,0),1)</f>
        <v>1247</v>
      </c>
      <c r="U3951">
        <f>INDEX([1]IDEN_level_ids!$B:$B,MATCH(H3951,[1]IDEN_level_ids!$A:$A,0),1)</f>
        <v>1153</v>
      </c>
    </row>
    <row r="3952" spans="1:21" hidden="1" x14ac:dyDescent="0.25">
      <c r="A3952">
        <v>18721.331699999999</v>
      </c>
      <c r="B3952">
        <v>5341.5003999999999</v>
      </c>
      <c r="C3952">
        <v>24</v>
      </c>
      <c r="D3952" t="s">
        <v>798</v>
      </c>
      <c r="F3952">
        <v>1974</v>
      </c>
      <c r="G3952" s="1" t="s">
        <v>120</v>
      </c>
      <c r="H3952" s="1" t="s">
        <v>84</v>
      </c>
      <c r="I3952">
        <v>0</v>
      </c>
      <c r="J3952">
        <v>18721.323</v>
      </c>
      <c r="K3952">
        <v>-2.4599999999999999E-3</v>
      </c>
      <c r="L3952">
        <v>1.3140000000000001E-2</v>
      </c>
      <c r="M3952">
        <v>4.6100000000000002E-2</v>
      </c>
      <c r="N3952">
        <v>0.21410000000000001</v>
      </c>
      <c r="O3952">
        <v>1.6719999999999999E-2</v>
      </c>
      <c r="P3952" s="3">
        <f t="shared" si="244"/>
        <v>5341.5003591865216</v>
      </c>
      <c r="Q3952" s="3">
        <f t="shared" si="245"/>
        <v>-2.4822526220305008E-3</v>
      </c>
      <c r="R3952" s="3">
        <f t="shared" si="246"/>
        <v>1.3140000000000001E-2</v>
      </c>
      <c r="S3952">
        <f t="shared" si="247"/>
        <v>126</v>
      </c>
      <c r="T3952">
        <f>INDEX([1]IDEN_level_ids!$B:$B,MATCH(G3952,[1]IDEN_level_ids!$A:$A,0),1)</f>
        <v>1250</v>
      </c>
      <c r="U3952">
        <f>INDEX([1]IDEN_level_ids!$B:$B,MATCH(H3952,[1]IDEN_level_ids!$A:$A,0),1)</f>
        <v>1191</v>
      </c>
    </row>
    <row r="3953" spans="1:21" hidden="1" x14ac:dyDescent="0.25">
      <c r="A3953">
        <v>18687.820199999998</v>
      </c>
      <c r="B3953">
        <v>5351.0789000000004</v>
      </c>
      <c r="C3953">
        <v>24</v>
      </c>
      <c r="D3953" t="s">
        <v>798</v>
      </c>
      <c r="F3953">
        <v>1974</v>
      </c>
      <c r="G3953" s="1" t="s">
        <v>714</v>
      </c>
      <c r="H3953" s="1" t="s">
        <v>141</v>
      </c>
      <c r="I3953">
        <v>0</v>
      </c>
      <c r="J3953">
        <v>18687.775600000001</v>
      </c>
      <c r="K3953">
        <v>-1.278E-2</v>
      </c>
      <c r="L3953">
        <v>1.319E-2</v>
      </c>
      <c r="M3953">
        <v>4.6100000000000002E-2</v>
      </c>
      <c r="N3953">
        <v>0.13569999999999999</v>
      </c>
      <c r="O3953">
        <v>1.5259999999999999E-2</v>
      </c>
      <c r="P3953" s="3">
        <f t="shared" si="244"/>
        <v>5351.0788807781873</v>
      </c>
      <c r="Q3953" s="3">
        <f t="shared" si="245"/>
        <v>-1.2770814631949179E-2</v>
      </c>
      <c r="R3953" s="3">
        <f t="shared" si="246"/>
        <v>1.319E-2</v>
      </c>
      <c r="S3953">
        <f t="shared" si="247"/>
        <v>126</v>
      </c>
      <c r="T3953">
        <f>INDEX([1]IDEN_level_ids!$B:$B,MATCH(G3953,[1]IDEN_level_ids!$A:$A,0),1)</f>
        <v>1248</v>
      </c>
      <c r="U3953">
        <f>INDEX([1]IDEN_level_ids!$B:$B,MATCH(H3953,[1]IDEN_level_ids!$A:$A,0),1)</f>
        <v>1155</v>
      </c>
    </row>
    <row r="3954" spans="1:21" hidden="1" x14ac:dyDescent="0.25">
      <c r="A3954">
        <v>18645.834299999999</v>
      </c>
      <c r="B3954">
        <v>5363.1282000000001</v>
      </c>
      <c r="C3954">
        <v>24</v>
      </c>
      <c r="D3954" t="s">
        <v>798</v>
      </c>
      <c r="F3954">
        <v>1974</v>
      </c>
      <c r="G3954" s="1" t="s">
        <v>38</v>
      </c>
      <c r="H3954" s="1" t="s">
        <v>459</v>
      </c>
      <c r="I3954">
        <v>0</v>
      </c>
      <c r="J3954">
        <v>18645.837200000002</v>
      </c>
      <c r="K3954">
        <v>8.4999999999999995E-4</v>
      </c>
      <c r="L3954">
        <v>1.325E-2</v>
      </c>
      <c r="M3954">
        <v>4.6100000000000002E-2</v>
      </c>
      <c r="N3954">
        <v>0.20250000000000001</v>
      </c>
      <c r="O3954">
        <v>1.6619999999999999E-2</v>
      </c>
      <c r="P3954" s="3">
        <f t="shared" si="244"/>
        <v>5363.1282135763704</v>
      </c>
      <c r="Q3954" s="3">
        <f t="shared" si="245"/>
        <v>8.3413105403451482E-4</v>
      </c>
      <c r="R3954" s="3">
        <f t="shared" si="246"/>
        <v>1.325E-2</v>
      </c>
      <c r="S3954">
        <f t="shared" si="247"/>
        <v>126</v>
      </c>
      <c r="T3954">
        <f>INDEX([1]IDEN_level_ids!$B:$B,MATCH(G3954,[1]IDEN_level_ids!$A:$A,0),1)</f>
        <v>1201</v>
      </c>
      <c r="U3954">
        <f>INDEX([1]IDEN_level_ids!$B:$B,MATCH(H3954,[1]IDEN_level_ids!$A:$A,0),1)</f>
        <v>1108</v>
      </c>
    </row>
    <row r="3955" spans="1:21" hidden="1" x14ac:dyDescent="0.25">
      <c r="A3955">
        <v>18504.0304</v>
      </c>
      <c r="B3955">
        <v>5404.2281000000003</v>
      </c>
      <c r="C3955">
        <v>25</v>
      </c>
      <c r="D3955" t="s">
        <v>800</v>
      </c>
      <c r="F3955">
        <v>1974</v>
      </c>
      <c r="G3955" s="1" t="s">
        <v>716</v>
      </c>
      <c r="H3955" s="1" t="s">
        <v>293</v>
      </c>
      <c r="I3955">
        <v>0</v>
      </c>
      <c r="J3955">
        <v>18503.9787</v>
      </c>
      <c r="K3955">
        <v>-1.5089999999999999E-2</v>
      </c>
      <c r="L3955">
        <v>1.345E-2</v>
      </c>
      <c r="M3955">
        <v>4.6100000000000002E-2</v>
      </c>
      <c r="N3955">
        <v>0.19159999999999999</v>
      </c>
      <c r="O3955">
        <v>1.6639999999999999E-2</v>
      </c>
      <c r="P3955" s="3">
        <f t="shared" si="244"/>
        <v>5404.2280432051175</v>
      </c>
      <c r="Q3955" s="3">
        <f t="shared" si="245"/>
        <v>-1.509937913124304E-2</v>
      </c>
      <c r="R3955" s="3">
        <f t="shared" si="246"/>
        <v>1.345E-2</v>
      </c>
      <c r="S3955">
        <f t="shared" si="247"/>
        <v>127</v>
      </c>
      <c r="T3955">
        <f>INDEX([1]IDEN_level_ids!$B:$B,MATCH(G3955,[1]IDEN_level_ids!$A:$A,0),1)</f>
        <v>1219</v>
      </c>
      <c r="U3955">
        <f>INDEX([1]IDEN_level_ids!$B:$B,MATCH(H3955,[1]IDEN_level_ids!$A:$A,0),1)</f>
        <v>1121</v>
      </c>
    </row>
    <row r="3956" spans="1:21" hidden="1" x14ac:dyDescent="0.25">
      <c r="A3956">
        <v>18418.890299999999</v>
      </c>
      <c r="B3956">
        <v>5429.2087000000001</v>
      </c>
      <c r="C3956">
        <v>25</v>
      </c>
      <c r="D3956" t="s">
        <v>800</v>
      </c>
      <c r="F3956">
        <v>1974</v>
      </c>
      <c r="G3956" s="1" t="s">
        <v>92</v>
      </c>
      <c r="H3956" s="1" t="s">
        <v>282</v>
      </c>
      <c r="I3956">
        <v>0</v>
      </c>
      <c r="J3956">
        <v>18418.826799999999</v>
      </c>
      <c r="K3956">
        <v>-1.873E-2</v>
      </c>
      <c r="L3956">
        <v>1.358E-2</v>
      </c>
      <c r="M3956">
        <v>4.6100000000000002E-2</v>
      </c>
      <c r="N3956">
        <v>0.25969999999999999</v>
      </c>
      <c r="O3956">
        <v>1.8339999999999999E-2</v>
      </c>
      <c r="P3956" s="3">
        <f t="shared" si="244"/>
        <v>5429.2087292577016</v>
      </c>
      <c r="Q3956" s="3">
        <f t="shared" si="245"/>
        <v>-1.8717519745223399E-2</v>
      </c>
      <c r="R3956" s="3">
        <f t="shared" si="246"/>
        <v>1.358E-2</v>
      </c>
      <c r="S3956">
        <f t="shared" si="247"/>
        <v>127</v>
      </c>
      <c r="T3956">
        <f>INDEX([1]IDEN_level_ids!$B:$B,MATCH(G3956,[1]IDEN_level_ids!$A:$A,0),1)</f>
        <v>1224</v>
      </c>
      <c r="U3956">
        <f>INDEX([1]IDEN_level_ids!$B:$B,MATCH(H3956,[1]IDEN_level_ids!$A:$A,0),1)</f>
        <v>1128</v>
      </c>
    </row>
    <row r="3957" spans="1:21" hidden="1" x14ac:dyDescent="0.25">
      <c r="A3957">
        <v>18408.817599999998</v>
      </c>
      <c r="B3957">
        <v>5432.1794</v>
      </c>
      <c r="C3957">
        <v>25</v>
      </c>
      <c r="D3957" t="s">
        <v>800</v>
      </c>
      <c r="F3957">
        <v>1974</v>
      </c>
      <c r="G3957" s="1" t="s">
        <v>710</v>
      </c>
      <c r="H3957" s="1" t="s">
        <v>295</v>
      </c>
      <c r="I3957">
        <v>0</v>
      </c>
      <c r="J3957">
        <v>18408.786599999999</v>
      </c>
      <c r="K3957">
        <v>-9.1500000000000001E-3</v>
      </c>
      <c r="L3957">
        <v>1.359E-2</v>
      </c>
      <c r="M3957">
        <v>4.6100000000000002E-2</v>
      </c>
      <c r="N3957">
        <v>9.8599999999999993E-2</v>
      </c>
      <c r="O3957">
        <v>1.508E-2</v>
      </c>
      <c r="P3957" s="3">
        <f t="shared" si="244"/>
        <v>5432.1794138478517</v>
      </c>
      <c r="Q3957" s="3">
        <f t="shared" si="245"/>
        <v>-9.1476730904105352E-3</v>
      </c>
      <c r="R3957" s="3">
        <f t="shared" si="246"/>
        <v>1.359E-2</v>
      </c>
      <c r="S3957">
        <f t="shared" si="247"/>
        <v>127</v>
      </c>
      <c r="T3957">
        <f>INDEX([1]IDEN_level_ids!$B:$B,MATCH(G3957,[1]IDEN_level_ids!$A:$A,0),1)</f>
        <v>1246</v>
      </c>
      <c r="U3957">
        <f>INDEX([1]IDEN_level_ids!$B:$B,MATCH(H3957,[1]IDEN_level_ids!$A:$A,0),1)</f>
        <v>1152</v>
      </c>
    </row>
    <row r="3958" spans="1:21" hidden="1" x14ac:dyDescent="0.25">
      <c r="A3958">
        <v>18345.656999999999</v>
      </c>
      <c r="B3958">
        <v>5450.8814000000002</v>
      </c>
      <c r="C3958">
        <v>25</v>
      </c>
      <c r="D3958" t="s">
        <v>800</v>
      </c>
      <c r="F3958">
        <v>1974</v>
      </c>
      <c r="G3958" s="1" t="s">
        <v>736</v>
      </c>
      <c r="H3958" s="1" t="s">
        <v>62</v>
      </c>
      <c r="I3958">
        <v>0</v>
      </c>
      <c r="J3958">
        <v>18345.600600000002</v>
      </c>
      <c r="K3958">
        <v>-1.6740000000000001E-2</v>
      </c>
      <c r="L3958">
        <v>1.3690000000000001E-2</v>
      </c>
      <c r="M3958">
        <v>4.6100000000000002E-2</v>
      </c>
      <c r="N3958">
        <v>0.19989999999999999</v>
      </c>
      <c r="O3958">
        <v>1.711E-2</v>
      </c>
      <c r="P3958" s="3">
        <f t="shared" si="244"/>
        <v>5450.8813720871376</v>
      </c>
      <c r="Q3958" s="3">
        <f t="shared" si="245"/>
        <v>-1.675768027871527E-2</v>
      </c>
      <c r="R3958" s="3">
        <f t="shared" si="246"/>
        <v>1.3690000000000001E-2</v>
      </c>
      <c r="S3958">
        <f t="shared" si="247"/>
        <v>127</v>
      </c>
      <c r="T3958">
        <f>INDEX([1]IDEN_level_ids!$B:$B,MATCH(G3958,[1]IDEN_level_ids!$A:$A,0),1)</f>
        <v>1251</v>
      </c>
      <c r="U3958">
        <f>INDEX([1]IDEN_level_ids!$B:$B,MATCH(H3958,[1]IDEN_level_ids!$A:$A,0),1)</f>
        <v>1203</v>
      </c>
    </row>
    <row r="3959" spans="1:21" hidden="1" x14ac:dyDescent="0.25">
      <c r="A3959">
        <v>18303.952499999999</v>
      </c>
      <c r="B3959">
        <v>5463.3009000000002</v>
      </c>
      <c r="C3959">
        <v>25</v>
      </c>
      <c r="D3959" t="s">
        <v>800</v>
      </c>
      <c r="E3959" t="s">
        <v>427</v>
      </c>
      <c r="F3959">
        <v>1974</v>
      </c>
      <c r="G3959" s="1" t="s">
        <v>273</v>
      </c>
      <c r="H3959" s="1" t="s">
        <v>379</v>
      </c>
      <c r="I3959">
        <v>0.47110000000000002</v>
      </c>
      <c r="J3959">
        <v>18303.935799999999</v>
      </c>
      <c r="K3959">
        <v>-4.9899999999999996E-3</v>
      </c>
      <c r="L3959">
        <v>1.4540000000000001E-2</v>
      </c>
      <c r="M3959">
        <v>4.87E-2</v>
      </c>
      <c r="N3959">
        <v>0.1242</v>
      </c>
      <c r="O3959">
        <v>1.661E-2</v>
      </c>
      <c r="P3959" s="3">
        <f t="shared" si="244"/>
        <v>5463.3008908868178</v>
      </c>
      <c r="Q3959" s="3">
        <f t="shared" si="245"/>
        <v>-4.9845632047436084E-3</v>
      </c>
      <c r="R3959" s="3">
        <f t="shared" si="246"/>
        <v>1.4540000000000001E-2</v>
      </c>
      <c r="S3959">
        <f t="shared" si="247"/>
        <v>127</v>
      </c>
      <c r="T3959">
        <f>INDEX([1]IDEN_level_ids!$B:$B,MATCH(G3959,[1]IDEN_level_ids!$A:$A,0),1)</f>
        <v>1105</v>
      </c>
      <c r="U3959">
        <f>INDEX([1]IDEN_level_ids!$B:$B,MATCH(H3959,[1]IDEN_level_ids!$A:$A,0),1)</f>
        <v>1083</v>
      </c>
    </row>
    <row r="3960" spans="1:21" hidden="1" x14ac:dyDescent="0.25">
      <c r="A3960">
        <v>18302.561900000001</v>
      </c>
      <c r="B3960">
        <v>5463.7160000000003</v>
      </c>
      <c r="C3960">
        <v>25</v>
      </c>
      <c r="D3960" t="s">
        <v>800</v>
      </c>
      <c r="F3960">
        <v>1974</v>
      </c>
      <c r="G3960" s="1" t="s">
        <v>115</v>
      </c>
      <c r="H3960" s="1" t="s">
        <v>46</v>
      </c>
      <c r="I3960">
        <v>0</v>
      </c>
      <c r="J3960">
        <v>18302.536499999998</v>
      </c>
      <c r="K3960">
        <v>-7.5799999999999999E-3</v>
      </c>
      <c r="L3960">
        <v>1.375E-2</v>
      </c>
      <c r="M3960">
        <v>4.6100000000000002E-2</v>
      </c>
      <c r="N3960">
        <v>0.13780000000000001</v>
      </c>
      <c r="O3960">
        <v>1.5949999999999999E-2</v>
      </c>
      <c r="P3960" s="3">
        <f t="shared" si="244"/>
        <v>5463.71598393556</v>
      </c>
      <c r="Q3960" s="3">
        <f t="shared" si="245"/>
        <v>-7.5824673813258414E-3</v>
      </c>
      <c r="R3960" s="3">
        <f t="shared" si="246"/>
        <v>1.375E-2</v>
      </c>
      <c r="S3960">
        <f t="shared" si="247"/>
        <v>127</v>
      </c>
      <c r="T3960">
        <f>INDEX([1]IDEN_level_ids!$B:$B,MATCH(G3960,[1]IDEN_level_ids!$A:$A,0),1)</f>
        <v>1252</v>
      </c>
      <c r="U3960">
        <f>INDEX([1]IDEN_level_ids!$B:$B,MATCH(H3960,[1]IDEN_level_ids!$A:$A,0),1)</f>
        <v>1212</v>
      </c>
    </row>
    <row r="3961" spans="1:21" hidden="1" x14ac:dyDescent="0.25">
      <c r="A3961">
        <v>18260.553100000001</v>
      </c>
      <c r="B3961">
        <v>5476.2853999999998</v>
      </c>
      <c r="C3961">
        <v>25</v>
      </c>
      <c r="D3961" t="s">
        <v>800</v>
      </c>
      <c r="F3961">
        <v>1974</v>
      </c>
      <c r="G3961" s="1" t="s">
        <v>64</v>
      </c>
      <c r="H3961" s="1" t="s">
        <v>275</v>
      </c>
      <c r="I3961">
        <v>0</v>
      </c>
      <c r="J3961">
        <v>18260.506000000001</v>
      </c>
      <c r="K3961">
        <v>-1.4149999999999999E-2</v>
      </c>
      <c r="L3961">
        <v>1.3820000000000001E-2</v>
      </c>
      <c r="M3961">
        <v>4.6100000000000002E-2</v>
      </c>
      <c r="N3961">
        <v>0.151</v>
      </c>
      <c r="O3961">
        <v>1.627E-2</v>
      </c>
      <c r="P3961" s="3">
        <f t="shared" si="244"/>
        <v>5476.2853815200151</v>
      </c>
      <c r="Q3961" s="3">
        <f t="shared" si="245"/>
        <v>-1.4125185877674085E-2</v>
      </c>
      <c r="R3961" s="3">
        <f t="shared" si="246"/>
        <v>1.3820000000000001E-2</v>
      </c>
      <c r="S3961">
        <f t="shared" si="247"/>
        <v>127</v>
      </c>
      <c r="T3961">
        <f>INDEX([1]IDEN_level_ids!$B:$B,MATCH(G3961,[1]IDEN_level_ids!$A:$A,0),1)</f>
        <v>1228</v>
      </c>
      <c r="U3961">
        <f>INDEX([1]IDEN_level_ids!$B:$B,MATCH(H3961,[1]IDEN_level_ids!$A:$A,0),1)</f>
        <v>1134</v>
      </c>
    </row>
    <row r="3962" spans="1:21" hidden="1" x14ac:dyDescent="0.25">
      <c r="A3962">
        <v>18241.541499999999</v>
      </c>
      <c r="B3962">
        <v>5481.9928</v>
      </c>
      <c r="C3962">
        <v>25</v>
      </c>
      <c r="D3962" t="s">
        <v>800</v>
      </c>
      <c r="F3962">
        <v>1974</v>
      </c>
      <c r="G3962" s="1" t="s">
        <v>125</v>
      </c>
      <c r="H3962" s="1" t="s">
        <v>33</v>
      </c>
      <c r="I3962">
        <v>0</v>
      </c>
      <c r="J3962">
        <v>18241.526399999999</v>
      </c>
      <c r="K3962">
        <v>-4.5300000000000002E-3</v>
      </c>
      <c r="L3962">
        <v>1.384E-2</v>
      </c>
      <c r="M3962">
        <v>4.6100000000000002E-2</v>
      </c>
      <c r="N3962">
        <v>0.1404</v>
      </c>
      <c r="O3962">
        <v>1.6109999999999999E-2</v>
      </c>
      <c r="P3962" s="3">
        <f t="shared" si="244"/>
        <v>5481.9928458348768</v>
      </c>
      <c r="Q3962" s="3">
        <f t="shared" si="245"/>
        <v>-4.5378928361969884E-3</v>
      </c>
      <c r="R3962" s="3">
        <f t="shared" si="246"/>
        <v>1.384E-2</v>
      </c>
      <c r="S3962">
        <f t="shared" si="247"/>
        <v>127</v>
      </c>
      <c r="T3962">
        <f>INDEX([1]IDEN_level_ids!$B:$B,MATCH(G3962,[1]IDEN_level_ids!$A:$A,0),1)</f>
        <v>1253</v>
      </c>
      <c r="U3962">
        <f>INDEX([1]IDEN_level_ids!$B:$B,MATCH(H3962,[1]IDEN_level_ids!$A:$A,0),1)</f>
        <v>1220</v>
      </c>
    </row>
    <row r="3963" spans="1:21" hidden="1" x14ac:dyDescent="0.25">
      <c r="A3963">
        <v>18148.2693</v>
      </c>
      <c r="B3963">
        <v>5510.1673000000001</v>
      </c>
      <c r="C3963">
        <v>25</v>
      </c>
      <c r="D3963" t="s">
        <v>800</v>
      </c>
      <c r="F3963">
        <v>1974</v>
      </c>
      <c r="G3963" s="1" t="s">
        <v>155</v>
      </c>
      <c r="H3963" s="1" t="s">
        <v>382</v>
      </c>
      <c r="I3963">
        <v>0</v>
      </c>
      <c r="J3963">
        <v>18148.259399999999</v>
      </c>
      <c r="K3963">
        <v>-3.0000000000000001E-3</v>
      </c>
      <c r="L3963">
        <v>1.3990000000000001E-2</v>
      </c>
      <c r="M3963">
        <v>4.6100000000000002E-2</v>
      </c>
      <c r="N3963">
        <v>0.93279999999999996</v>
      </c>
      <c r="O3963">
        <v>0.20805000000000001</v>
      </c>
      <c r="P3963" s="3">
        <f t="shared" si="244"/>
        <v>5510.1672973301092</v>
      </c>
      <c r="Q3963" s="3">
        <f t="shared" si="245"/>
        <v>-3.005834060786583E-3</v>
      </c>
      <c r="R3963" s="3">
        <f t="shared" si="246"/>
        <v>1.3990000000000001E-2</v>
      </c>
      <c r="S3963">
        <f t="shared" si="247"/>
        <v>127</v>
      </c>
      <c r="T3963">
        <f>INDEX([1]IDEN_level_ids!$B:$B,MATCH(G3963,[1]IDEN_level_ids!$A:$A,0),1)</f>
        <v>797</v>
      </c>
      <c r="U3963">
        <f>INDEX([1]IDEN_level_ids!$B:$B,MATCH(H3963,[1]IDEN_level_ids!$A:$A,0),1)</f>
        <v>518</v>
      </c>
    </row>
    <row r="3964" spans="1:21" hidden="1" x14ac:dyDescent="0.25">
      <c r="A3964">
        <v>18142.687099999999</v>
      </c>
      <c r="B3964">
        <v>5511.8626999999997</v>
      </c>
      <c r="C3964">
        <v>25</v>
      </c>
      <c r="D3964" t="s">
        <v>800</v>
      </c>
      <c r="F3964">
        <v>1974</v>
      </c>
      <c r="G3964" s="1" t="s">
        <v>362</v>
      </c>
      <c r="H3964" s="1" t="s">
        <v>309</v>
      </c>
      <c r="I3964">
        <v>0</v>
      </c>
      <c r="J3964">
        <v>18142.681100000002</v>
      </c>
      <c r="K3964">
        <v>-1.83E-3</v>
      </c>
      <c r="L3964">
        <v>1.4E-2</v>
      </c>
      <c r="M3964">
        <v>4.6100000000000002E-2</v>
      </c>
      <c r="N3964">
        <v>0.34870000000000001</v>
      </c>
      <c r="O3964">
        <v>2.1489999999999999E-2</v>
      </c>
      <c r="P3964" s="3">
        <f t="shared" si="244"/>
        <v>5511.8626832295422</v>
      </c>
      <c r="Q3964" s="3">
        <f t="shared" si="245"/>
        <v>-1.8228384169560741E-3</v>
      </c>
      <c r="R3964" s="3">
        <f t="shared" si="246"/>
        <v>1.4E-2</v>
      </c>
      <c r="S3964">
        <f t="shared" si="247"/>
        <v>127</v>
      </c>
      <c r="T3964">
        <f>INDEX([1]IDEN_level_ids!$B:$B,MATCH(G3964,[1]IDEN_level_ids!$A:$A,0),1)</f>
        <v>1147</v>
      </c>
      <c r="U3964">
        <f>INDEX([1]IDEN_level_ids!$B:$B,MATCH(H3964,[1]IDEN_level_ids!$A:$A,0),1)</f>
        <v>1094</v>
      </c>
    </row>
    <row r="3965" spans="1:21" hidden="1" x14ac:dyDescent="0.25">
      <c r="A3965">
        <v>18063.383600000001</v>
      </c>
      <c r="B3965">
        <v>5536.0613999999996</v>
      </c>
      <c r="C3965">
        <v>25</v>
      </c>
      <c r="D3965" t="s">
        <v>800</v>
      </c>
      <c r="F3965">
        <v>1974</v>
      </c>
      <c r="G3965" s="1" t="s">
        <v>125</v>
      </c>
      <c r="H3965" s="1" t="s">
        <v>56</v>
      </c>
      <c r="I3965">
        <v>0</v>
      </c>
      <c r="J3965">
        <v>18063.3475</v>
      </c>
      <c r="K3965">
        <v>-1.107E-2</v>
      </c>
      <c r="L3965">
        <v>1.4120000000000001E-2</v>
      </c>
      <c r="M3965">
        <v>4.6100000000000002E-2</v>
      </c>
      <c r="N3965">
        <v>0.15440000000000001</v>
      </c>
      <c r="O3965">
        <v>1.67E-2</v>
      </c>
      <c r="P3965" s="3">
        <f t="shared" si="244"/>
        <v>5536.0613611726649</v>
      </c>
      <c r="Q3965" s="3">
        <f t="shared" si="245"/>
        <v>-1.1063941229622287E-2</v>
      </c>
      <c r="R3965" s="3">
        <f t="shared" si="246"/>
        <v>1.4120000000000001E-2</v>
      </c>
      <c r="S3965">
        <f t="shared" si="247"/>
        <v>127</v>
      </c>
      <c r="T3965">
        <f>INDEX([1]IDEN_level_ids!$B:$B,MATCH(G3965,[1]IDEN_level_ids!$A:$A,0),1)</f>
        <v>1253</v>
      </c>
      <c r="U3965">
        <f>INDEX([1]IDEN_level_ids!$B:$B,MATCH(H3965,[1]IDEN_level_ids!$A:$A,0),1)</f>
        <v>1221</v>
      </c>
    </row>
    <row r="3966" spans="1:21" hidden="1" x14ac:dyDescent="0.25">
      <c r="A3966">
        <v>18011.136699999999</v>
      </c>
      <c r="B3966">
        <v>5552.1203999999998</v>
      </c>
      <c r="C3966">
        <v>25</v>
      </c>
      <c r="D3966" t="s">
        <v>800</v>
      </c>
      <c r="F3966">
        <v>1974</v>
      </c>
      <c r="G3966" s="1" t="s">
        <v>729</v>
      </c>
      <c r="H3966" s="1" t="s">
        <v>108</v>
      </c>
      <c r="I3966">
        <v>0</v>
      </c>
      <c r="J3966">
        <v>18011.069100000001</v>
      </c>
      <c r="K3966">
        <v>-2.085E-2</v>
      </c>
      <c r="L3966">
        <v>1.4200000000000001E-2</v>
      </c>
      <c r="M3966">
        <v>4.6100000000000002E-2</v>
      </c>
      <c r="N3966">
        <v>0.11890000000000001</v>
      </c>
      <c r="O3966">
        <v>1.6119999999999999E-2</v>
      </c>
      <c r="P3966" s="3">
        <f t="shared" si="244"/>
        <v>5552.1204278017613</v>
      </c>
      <c r="Q3966" s="3">
        <f t="shared" si="245"/>
        <v>-2.0838482092585764E-2</v>
      </c>
      <c r="R3966" s="3">
        <f t="shared" si="246"/>
        <v>1.4200000000000001E-2</v>
      </c>
      <c r="S3966">
        <f t="shared" si="247"/>
        <v>127</v>
      </c>
      <c r="T3966">
        <f>INDEX([1]IDEN_level_ids!$B:$B,MATCH(G3966,[1]IDEN_level_ids!$A:$A,0),1)</f>
        <v>1243</v>
      </c>
      <c r="U3966">
        <f>INDEX([1]IDEN_level_ids!$B:$B,MATCH(H3966,[1]IDEN_level_ids!$A:$A,0),1)</f>
        <v>1149</v>
      </c>
    </row>
    <row r="3967" spans="1:21" hidden="1" x14ac:dyDescent="0.25">
      <c r="A3967">
        <v>17996.053500000002</v>
      </c>
      <c r="B3967">
        <v>5556.7739000000001</v>
      </c>
      <c r="C3967">
        <v>25</v>
      </c>
      <c r="D3967" t="s">
        <v>800</v>
      </c>
      <c r="F3967">
        <v>1974</v>
      </c>
      <c r="G3967" s="1" t="s">
        <v>124</v>
      </c>
      <c r="H3967" s="1" t="s">
        <v>387</v>
      </c>
      <c r="I3967">
        <v>0</v>
      </c>
      <c r="J3967">
        <v>17996.050899999998</v>
      </c>
      <c r="K3967">
        <v>-8.0000000000000004E-4</v>
      </c>
      <c r="L3967">
        <v>1.422E-2</v>
      </c>
      <c r="M3967">
        <v>4.6100000000000002E-2</v>
      </c>
      <c r="N3967">
        <v>0.58860000000000001</v>
      </c>
      <c r="O3967">
        <v>3.4569999999999997E-2</v>
      </c>
      <c r="P3967" s="3">
        <f t="shared" si="244"/>
        <v>5556.7738782283568</v>
      </c>
      <c r="Q3967" s="3">
        <f t="shared" si="245"/>
        <v>-8.0282125145458849E-4</v>
      </c>
      <c r="R3967" s="3">
        <f t="shared" si="246"/>
        <v>1.422E-2</v>
      </c>
      <c r="S3967">
        <f t="shared" si="247"/>
        <v>127</v>
      </c>
      <c r="T3967">
        <f>INDEX([1]IDEN_level_ids!$B:$B,MATCH(G3967,[1]IDEN_level_ids!$A:$A,0),1)</f>
        <v>776</v>
      </c>
      <c r="U3967">
        <f>INDEX([1]IDEN_level_ids!$B:$B,MATCH(H3967,[1]IDEN_level_ids!$A:$A,0),1)</f>
        <v>497</v>
      </c>
    </row>
    <row r="3968" spans="1:21" hidden="1" x14ac:dyDescent="0.25">
      <c r="A3968">
        <v>17989.590199999999</v>
      </c>
      <c r="B3968">
        <v>5558.7703000000001</v>
      </c>
      <c r="C3968">
        <v>25</v>
      </c>
      <c r="D3968" t="s">
        <v>800</v>
      </c>
      <c r="F3968">
        <v>1974</v>
      </c>
      <c r="G3968" s="1" t="s">
        <v>716</v>
      </c>
      <c r="H3968" s="1" t="s">
        <v>602</v>
      </c>
      <c r="I3968">
        <v>0</v>
      </c>
      <c r="J3968">
        <v>17989.588899999999</v>
      </c>
      <c r="K3968">
        <v>-4.0999999999999999E-4</v>
      </c>
      <c r="L3968">
        <v>1.423E-2</v>
      </c>
      <c r="M3968">
        <v>4.6100000000000002E-2</v>
      </c>
      <c r="N3968">
        <v>0.24979999999999999</v>
      </c>
      <c r="O3968">
        <v>1.8970000000000001E-2</v>
      </c>
      <c r="P3968" s="3">
        <f t="shared" si="244"/>
        <v>5558.770315957503</v>
      </c>
      <c r="Q3968" s="3">
        <f t="shared" si="245"/>
        <v>-4.0169908606912941E-4</v>
      </c>
      <c r="R3968" s="3">
        <f t="shared" si="246"/>
        <v>1.423E-2</v>
      </c>
      <c r="S3968">
        <f t="shared" si="247"/>
        <v>127</v>
      </c>
      <c r="T3968">
        <f>INDEX([1]IDEN_level_ids!$B:$B,MATCH(G3968,[1]IDEN_level_ids!$A:$A,0),1)</f>
        <v>1219</v>
      </c>
      <c r="U3968">
        <f>INDEX([1]IDEN_level_ids!$B:$B,MATCH(H3968,[1]IDEN_level_ids!$A:$A,0),1)</f>
        <v>1125</v>
      </c>
    </row>
    <row r="3969" spans="1:21" hidden="1" x14ac:dyDescent="0.25">
      <c r="A3969">
        <v>17981.9146</v>
      </c>
      <c r="B3969">
        <v>5561.1431000000002</v>
      </c>
      <c r="C3969">
        <v>25</v>
      </c>
      <c r="D3969" t="s">
        <v>800</v>
      </c>
      <c r="F3969">
        <v>1974</v>
      </c>
      <c r="G3969" s="1" t="s">
        <v>794</v>
      </c>
      <c r="H3969" s="1" t="s">
        <v>302</v>
      </c>
      <c r="I3969">
        <v>0</v>
      </c>
      <c r="J3969">
        <v>17981.8904</v>
      </c>
      <c r="K3969">
        <v>-7.4900000000000001E-3</v>
      </c>
      <c r="L3969">
        <v>1.4250000000000001E-2</v>
      </c>
      <c r="M3969">
        <v>4.6100000000000002E-2</v>
      </c>
      <c r="N3969">
        <v>0.2049</v>
      </c>
      <c r="O3969">
        <v>1.7919999999999998E-2</v>
      </c>
      <c r="P3969" s="3">
        <f t="shared" si="244"/>
        <v>5561.1430831731341</v>
      </c>
      <c r="Q3969" s="3">
        <f t="shared" si="245"/>
        <v>-7.4841776713583386E-3</v>
      </c>
      <c r="R3969" s="3">
        <f t="shared" si="246"/>
        <v>1.4250000000000001E-2</v>
      </c>
      <c r="S3969">
        <f t="shared" si="247"/>
        <v>127</v>
      </c>
      <c r="T3969">
        <f>INDEX([1]IDEN_level_ids!$B:$B,MATCH(G3969,[1]IDEN_level_ids!$A:$A,0),1)</f>
        <v>1164</v>
      </c>
      <c r="U3969">
        <f>INDEX([1]IDEN_level_ids!$B:$B,MATCH(H3969,[1]IDEN_level_ids!$A:$A,0),1)</f>
        <v>1100</v>
      </c>
    </row>
    <row r="3970" spans="1:21" hidden="1" x14ac:dyDescent="0.25">
      <c r="A3970">
        <v>17979.680400000001</v>
      </c>
      <c r="B3970">
        <v>5561.8341</v>
      </c>
      <c r="C3970">
        <v>25</v>
      </c>
      <c r="D3970" t="s">
        <v>800</v>
      </c>
      <c r="E3970" t="s">
        <v>427</v>
      </c>
      <c r="F3970">
        <v>1974</v>
      </c>
      <c r="G3970" s="1" t="s">
        <v>160</v>
      </c>
      <c r="H3970" s="1" t="s">
        <v>394</v>
      </c>
      <c r="I3970">
        <v>0</v>
      </c>
      <c r="J3970">
        <v>17979.691900000002</v>
      </c>
      <c r="K3970">
        <v>3.5500000000000002E-3</v>
      </c>
      <c r="L3970">
        <v>1.507E-2</v>
      </c>
      <c r="M3970">
        <v>4.87E-2</v>
      </c>
      <c r="N3970">
        <v>0.55810000000000004</v>
      </c>
      <c r="O3970">
        <v>3.4110000000000001E-2</v>
      </c>
      <c r="P3970" s="3">
        <f t="shared" ref="P3970:P4033" si="248">100000000/$A3970</f>
        <v>5561.8341247044636</v>
      </c>
      <c r="Q3970" s="3">
        <f t="shared" ref="Q3970:Q4033" si="249">100000000/($A3970)-100000000/$J3970</f>
        <v>3.5574075909607927E-3</v>
      </c>
      <c r="R3970" s="3">
        <f t="shared" si="246"/>
        <v>1.507E-2</v>
      </c>
      <c r="S3970">
        <f t="shared" si="247"/>
        <v>127</v>
      </c>
      <c r="T3970">
        <f>INDEX([1]IDEN_level_ids!$B:$B,MATCH(G3970,[1]IDEN_level_ids!$A:$A,0),1)</f>
        <v>798</v>
      </c>
      <c r="U3970">
        <f>INDEX([1]IDEN_level_ids!$B:$B,MATCH(H3970,[1]IDEN_level_ids!$A:$A,0),1)</f>
        <v>522</v>
      </c>
    </row>
    <row r="3971" spans="1:21" hidden="1" x14ac:dyDescent="0.25">
      <c r="A3971">
        <v>17965.8416</v>
      </c>
      <c r="B3971">
        <v>5566.1183000000001</v>
      </c>
      <c r="C3971">
        <v>25</v>
      </c>
      <c r="D3971" t="s">
        <v>800</v>
      </c>
      <c r="F3971">
        <v>1974</v>
      </c>
      <c r="G3971" s="1" t="s">
        <v>791</v>
      </c>
      <c r="H3971" s="1" t="s">
        <v>289</v>
      </c>
      <c r="I3971">
        <v>0</v>
      </c>
      <c r="J3971">
        <v>17965.79</v>
      </c>
      <c r="K3971">
        <v>-1.601E-2</v>
      </c>
      <c r="L3971">
        <v>1.427E-2</v>
      </c>
      <c r="M3971">
        <v>4.6100000000000002E-2</v>
      </c>
      <c r="N3971">
        <v>0.155</v>
      </c>
      <c r="O3971">
        <v>1.6889999999999999E-2</v>
      </c>
      <c r="P3971" s="3">
        <f t="shared" si="248"/>
        <v>5566.1183164389031</v>
      </c>
      <c r="Q3971" s="3">
        <f t="shared" si="249"/>
        <v>-1.5986589241038018E-2</v>
      </c>
      <c r="R3971" s="3">
        <f t="shared" ref="R3971:R4034" si="250">$L3971</f>
        <v>1.427E-2</v>
      </c>
      <c r="S3971">
        <f t="shared" si="247"/>
        <v>127</v>
      </c>
      <c r="T3971">
        <f>INDEX([1]IDEN_level_ids!$B:$B,MATCH(G3971,[1]IDEN_level_ids!$A:$A,0),1)</f>
        <v>1215</v>
      </c>
      <c r="U3971">
        <f>INDEX([1]IDEN_level_ids!$B:$B,MATCH(H3971,[1]IDEN_level_ids!$A:$A,0),1)</f>
        <v>1122</v>
      </c>
    </row>
    <row r="3972" spans="1:21" hidden="1" x14ac:dyDescent="0.25">
      <c r="A3972">
        <v>17961.751899999999</v>
      </c>
      <c r="B3972">
        <v>5567.3856999999998</v>
      </c>
      <c r="C3972">
        <v>25</v>
      </c>
      <c r="D3972" t="s">
        <v>800</v>
      </c>
      <c r="F3972">
        <v>1974</v>
      </c>
      <c r="G3972" s="1" t="s">
        <v>115</v>
      </c>
      <c r="H3972" s="1" t="s">
        <v>51</v>
      </c>
      <c r="I3972">
        <v>0</v>
      </c>
      <c r="J3972">
        <v>17961.731500000002</v>
      </c>
      <c r="K3972">
        <v>-6.3400000000000001E-3</v>
      </c>
      <c r="L3972">
        <v>1.4279999999999999E-2</v>
      </c>
      <c r="M3972">
        <v>4.6100000000000002E-2</v>
      </c>
      <c r="N3972">
        <v>0.1537</v>
      </c>
      <c r="O3972">
        <v>1.687E-2</v>
      </c>
      <c r="P3972" s="3">
        <f t="shared" si="248"/>
        <v>5567.3856624197115</v>
      </c>
      <c r="Q3972" s="3">
        <f t="shared" si="249"/>
        <v>-6.3231469357560854E-3</v>
      </c>
      <c r="R3972" s="3">
        <f t="shared" si="250"/>
        <v>1.4279999999999999E-2</v>
      </c>
      <c r="S3972">
        <f t="shared" ref="S3972:S4035" si="251">IF(D3972=D3971,S3971,S3971+1)</f>
        <v>127</v>
      </c>
      <c r="T3972">
        <f>INDEX([1]IDEN_level_ids!$B:$B,MATCH(G3972,[1]IDEN_level_ids!$A:$A,0),1)</f>
        <v>1252</v>
      </c>
      <c r="U3972">
        <f>INDEX([1]IDEN_level_ids!$B:$B,MATCH(H3972,[1]IDEN_level_ids!$A:$A,0),1)</f>
        <v>1213</v>
      </c>
    </row>
    <row r="3973" spans="1:21" hidden="1" x14ac:dyDescent="0.25">
      <c r="A3973">
        <v>17936.098000000002</v>
      </c>
      <c r="B3973">
        <v>5575.3486999999996</v>
      </c>
      <c r="C3973">
        <v>25</v>
      </c>
      <c r="D3973" t="s">
        <v>801</v>
      </c>
      <c r="F3973">
        <v>1974</v>
      </c>
      <c r="G3973" s="1" t="s">
        <v>160</v>
      </c>
      <c r="H3973" s="1" t="s">
        <v>395</v>
      </c>
      <c r="I3973">
        <v>0</v>
      </c>
      <c r="J3973">
        <v>17936.088599999999</v>
      </c>
      <c r="K3973">
        <v>-2.9299999999999999E-3</v>
      </c>
      <c r="L3973">
        <v>1.4319999999999999E-2</v>
      </c>
      <c r="M3973">
        <v>4.6100000000000002E-2</v>
      </c>
      <c r="N3973">
        <v>0.48080000000000001</v>
      </c>
      <c r="O3973">
        <v>2.758E-2</v>
      </c>
      <c r="P3973" s="3">
        <f t="shared" si="248"/>
        <v>5575.34866279165</v>
      </c>
      <c r="Q3973" s="3">
        <f t="shared" si="249"/>
        <v>-2.9219457273939042E-3</v>
      </c>
      <c r="R3973" s="3">
        <f t="shared" si="250"/>
        <v>1.4319999999999999E-2</v>
      </c>
      <c r="S3973">
        <f t="shared" si="251"/>
        <v>128</v>
      </c>
      <c r="T3973">
        <f>INDEX([1]IDEN_level_ids!$B:$B,MATCH(G3973,[1]IDEN_level_ids!$A:$A,0),1)</f>
        <v>798</v>
      </c>
      <c r="U3973">
        <f>INDEX([1]IDEN_level_ids!$B:$B,MATCH(H3973,[1]IDEN_level_ids!$A:$A,0),1)</f>
        <v>523</v>
      </c>
    </row>
    <row r="3974" spans="1:21" hidden="1" x14ac:dyDescent="0.25">
      <c r="A3974">
        <v>17933.240699999998</v>
      </c>
      <c r="B3974">
        <v>5576.2370000000001</v>
      </c>
      <c r="C3974">
        <v>25</v>
      </c>
      <c r="D3974" t="s">
        <v>801</v>
      </c>
      <c r="E3974" t="s">
        <v>427</v>
      </c>
      <c r="F3974">
        <v>1974</v>
      </c>
      <c r="G3974" s="1" t="s">
        <v>149</v>
      </c>
      <c r="H3974" s="1" t="s">
        <v>392</v>
      </c>
      <c r="I3974">
        <v>0</v>
      </c>
      <c r="J3974">
        <v>17933.225200000001</v>
      </c>
      <c r="K3974">
        <v>-4.7999999999999996E-3</v>
      </c>
      <c r="L3974">
        <v>1.515E-2</v>
      </c>
      <c r="M3974">
        <v>4.87E-2</v>
      </c>
      <c r="N3974">
        <v>0.54959999999999998</v>
      </c>
      <c r="O3974">
        <v>3.3640000000000003E-2</v>
      </c>
      <c r="P3974" s="3">
        <f t="shared" si="248"/>
        <v>5576.2369820865679</v>
      </c>
      <c r="Q3974" s="3">
        <f t="shared" si="249"/>
        <v>-4.8196390916928067E-3</v>
      </c>
      <c r="R3974" s="3">
        <f t="shared" si="250"/>
        <v>1.515E-2</v>
      </c>
      <c r="S3974">
        <f t="shared" si="251"/>
        <v>128</v>
      </c>
      <c r="T3974">
        <f>INDEX([1]IDEN_level_ids!$B:$B,MATCH(G3974,[1]IDEN_level_ids!$A:$A,0),1)</f>
        <v>772</v>
      </c>
      <c r="U3974">
        <f>INDEX([1]IDEN_level_ids!$B:$B,MATCH(H3974,[1]IDEN_level_ids!$A:$A,0),1)</f>
        <v>498</v>
      </c>
    </row>
    <row r="3975" spans="1:21" hidden="1" x14ac:dyDescent="0.25">
      <c r="A3975">
        <v>17929.1237</v>
      </c>
      <c r="B3975">
        <v>5577.5173999999997</v>
      </c>
      <c r="C3975">
        <v>25</v>
      </c>
      <c r="D3975" t="s">
        <v>801</v>
      </c>
      <c r="F3975">
        <v>1974</v>
      </c>
      <c r="G3975" s="1" t="s">
        <v>163</v>
      </c>
      <c r="H3975" s="1" t="s">
        <v>463</v>
      </c>
      <c r="I3975">
        <v>0</v>
      </c>
      <c r="J3975">
        <v>17929.080900000001</v>
      </c>
      <c r="K3975">
        <v>-1.333E-2</v>
      </c>
      <c r="L3975">
        <v>1.4330000000000001E-2</v>
      </c>
      <c r="M3975">
        <v>4.6100000000000002E-2</v>
      </c>
      <c r="N3975">
        <v>0.39660000000000001</v>
      </c>
      <c r="O3975">
        <v>2.375E-2</v>
      </c>
      <c r="P3975" s="3">
        <f t="shared" si="248"/>
        <v>5577.5174332697588</v>
      </c>
      <c r="Q3975" s="3">
        <f t="shared" si="249"/>
        <v>-1.3314555691067653E-2</v>
      </c>
      <c r="R3975" s="3">
        <f t="shared" si="250"/>
        <v>1.4330000000000001E-2</v>
      </c>
      <c r="S3975">
        <f t="shared" si="251"/>
        <v>128</v>
      </c>
      <c r="T3975">
        <f>INDEX([1]IDEN_level_ids!$B:$B,MATCH(G3975,[1]IDEN_level_ids!$A:$A,0),1)</f>
        <v>747</v>
      </c>
      <c r="U3975">
        <f>INDEX([1]IDEN_level_ids!$B:$B,MATCH(H3975,[1]IDEN_level_ids!$A:$A,0),1)</f>
        <v>447</v>
      </c>
    </row>
    <row r="3976" spans="1:21" hidden="1" x14ac:dyDescent="0.25">
      <c r="A3976">
        <v>17910.602999999999</v>
      </c>
      <c r="B3976">
        <v>5583.2848999999997</v>
      </c>
      <c r="C3976">
        <v>25</v>
      </c>
      <c r="D3976" t="s">
        <v>801</v>
      </c>
      <c r="F3976">
        <v>1974</v>
      </c>
      <c r="G3976" s="1" t="s">
        <v>115</v>
      </c>
      <c r="H3976" s="1" t="s">
        <v>49</v>
      </c>
      <c r="I3976">
        <v>0</v>
      </c>
      <c r="J3976">
        <v>17910.575199999999</v>
      </c>
      <c r="K3976">
        <v>-8.6499999999999997E-3</v>
      </c>
      <c r="L3976">
        <v>1.436E-2</v>
      </c>
      <c r="M3976">
        <v>4.6100000000000002E-2</v>
      </c>
      <c r="N3976">
        <v>0.1416</v>
      </c>
      <c r="O3976">
        <v>1.6729999999999998E-2</v>
      </c>
      <c r="P3976" s="3">
        <f t="shared" si="248"/>
        <v>5583.2849402111142</v>
      </c>
      <c r="Q3976" s="3">
        <f t="shared" si="249"/>
        <v>-8.6661271125194617E-3</v>
      </c>
      <c r="R3976" s="3">
        <f t="shared" si="250"/>
        <v>1.436E-2</v>
      </c>
      <c r="S3976">
        <f t="shared" si="251"/>
        <v>128</v>
      </c>
      <c r="T3976">
        <f>INDEX([1]IDEN_level_ids!$B:$B,MATCH(G3976,[1]IDEN_level_ids!$A:$A,0),1)</f>
        <v>1252</v>
      </c>
      <c r="U3976">
        <f>INDEX([1]IDEN_level_ids!$B:$B,MATCH(H3976,[1]IDEN_level_ids!$A:$A,0),1)</f>
        <v>1214</v>
      </c>
    </row>
    <row r="3977" spans="1:21" hidden="1" x14ac:dyDescent="0.25">
      <c r="A3977">
        <v>17881.678400000001</v>
      </c>
      <c r="B3977">
        <v>5592.3162000000002</v>
      </c>
      <c r="C3977">
        <v>25</v>
      </c>
      <c r="D3977" t="s">
        <v>801</v>
      </c>
      <c r="F3977">
        <v>1974</v>
      </c>
      <c r="G3977" s="1" t="s">
        <v>123</v>
      </c>
      <c r="H3977" s="1" t="s">
        <v>387</v>
      </c>
      <c r="I3977">
        <v>0</v>
      </c>
      <c r="J3977">
        <v>17881.665300000001</v>
      </c>
      <c r="K3977">
        <v>-4.0899999999999999E-3</v>
      </c>
      <c r="L3977">
        <v>1.4409999999999999E-2</v>
      </c>
      <c r="M3977">
        <v>4.6100000000000002E-2</v>
      </c>
      <c r="N3977">
        <v>0.59060000000000001</v>
      </c>
      <c r="O3977">
        <v>3.5189999999999999E-2</v>
      </c>
      <c r="P3977" s="3">
        <f t="shared" si="248"/>
        <v>5592.3162112120299</v>
      </c>
      <c r="Q3977" s="3">
        <f t="shared" si="249"/>
        <v>-4.0968970806716243E-3</v>
      </c>
      <c r="R3977" s="3">
        <f t="shared" si="250"/>
        <v>1.4409999999999999E-2</v>
      </c>
      <c r="S3977">
        <f t="shared" si="251"/>
        <v>128</v>
      </c>
      <c r="T3977">
        <f>INDEX([1]IDEN_level_ids!$B:$B,MATCH(G3977,[1]IDEN_level_ids!$A:$A,0),1)</f>
        <v>775</v>
      </c>
      <c r="U3977">
        <f>INDEX([1]IDEN_level_ids!$B:$B,MATCH(H3977,[1]IDEN_level_ids!$A:$A,0),1)</f>
        <v>497</v>
      </c>
    </row>
    <row r="3978" spans="1:21" hidden="1" x14ac:dyDescent="0.25">
      <c r="A3978">
        <v>17870.404200000001</v>
      </c>
      <c r="B3978">
        <v>5595.8442999999997</v>
      </c>
      <c r="C3978">
        <v>25</v>
      </c>
      <c r="D3978" t="s">
        <v>801</v>
      </c>
      <c r="F3978">
        <v>1974</v>
      </c>
      <c r="G3978" s="1" t="s">
        <v>163</v>
      </c>
      <c r="H3978" s="1" t="s">
        <v>397</v>
      </c>
      <c r="I3978">
        <v>0</v>
      </c>
      <c r="J3978">
        <v>17870.394700000001</v>
      </c>
      <c r="K3978">
        <v>-2.98E-3</v>
      </c>
      <c r="L3978">
        <v>1.443E-2</v>
      </c>
      <c r="M3978">
        <v>4.6100000000000002E-2</v>
      </c>
      <c r="N3978">
        <v>0.53149999999999997</v>
      </c>
      <c r="O3978">
        <v>3.0790000000000001E-2</v>
      </c>
      <c r="P3978" s="3">
        <f t="shared" si="248"/>
        <v>5595.8443290275436</v>
      </c>
      <c r="Q3978" s="3">
        <f t="shared" si="249"/>
        <v>-2.9747815879090922E-3</v>
      </c>
      <c r="R3978" s="3">
        <f t="shared" si="250"/>
        <v>1.443E-2</v>
      </c>
      <c r="S3978">
        <f t="shared" si="251"/>
        <v>128</v>
      </c>
      <c r="T3978">
        <f>INDEX([1]IDEN_level_ids!$B:$B,MATCH(G3978,[1]IDEN_level_ids!$A:$A,0),1)</f>
        <v>747</v>
      </c>
      <c r="U3978">
        <f>INDEX([1]IDEN_level_ids!$B:$B,MATCH(H3978,[1]IDEN_level_ids!$A:$A,0),1)</f>
        <v>446</v>
      </c>
    </row>
    <row r="3979" spans="1:21" hidden="1" x14ac:dyDescent="0.25">
      <c r="A3979">
        <v>17859.792600000001</v>
      </c>
      <c r="B3979">
        <v>5599.1692000000003</v>
      </c>
      <c r="C3979">
        <v>25</v>
      </c>
      <c r="D3979" t="s">
        <v>801</v>
      </c>
      <c r="F3979">
        <v>1974</v>
      </c>
      <c r="G3979" s="1" t="s">
        <v>81</v>
      </c>
      <c r="H3979" s="1" t="s">
        <v>459</v>
      </c>
      <c r="I3979">
        <v>0</v>
      </c>
      <c r="J3979">
        <v>17859.777999999998</v>
      </c>
      <c r="K3979">
        <v>-4.5700000000000003E-3</v>
      </c>
      <c r="L3979">
        <v>1.444E-2</v>
      </c>
      <c r="M3979">
        <v>4.6100000000000002E-2</v>
      </c>
      <c r="N3979">
        <v>0.15679999999999999</v>
      </c>
      <c r="O3979">
        <v>1.7129999999999999E-2</v>
      </c>
      <c r="P3979" s="3">
        <f t="shared" si="248"/>
        <v>5599.1691639241099</v>
      </c>
      <c r="Q3979" s="3">
        <f t="shared" si="249"/>
        <v>-4.5772052599204471E-3</v>
      </c>
      <c r="R3979" s="3">
        <f t="shared" si="250"/>
        <v>1.444E-2</v>
      </c>
      <c r="S3979">
        <f t="shared" si="251"/>
        <v>128</v>
      </c>
      <c r="T3979">
        <f>INDEX([1]IDEN_level_ids!$B:$B,MATCH(G3979,[1]IDEN_level_ids!$A:$A,0),1)</f>
        <v>1196</v>
      </c>
      <c r="U3979">
        <f>INDEX([1]IDEN_level_ids!$B:$B,MATCH(H3979,[1]IDEN_level_ids!$A:$A,0),1)</f>
        <v>1108</v>
      </c>
    </row>
    <row r="3980" spans="1:21" hidden="1" x14ac:dyDescent="0.25">
      <c r="A3980">
        <v>17837.623200000002</v>
      </c>
      <c r="B3980">
        <v>5606.1280999999999</v>
      </c>
      <c r="C3980">
        <v>25</v>
      </c>
      <c r="D3980" t="s">
        <v>801</v>
      </c>
      <c r="F3980">
        <v>1974</v>
      </c>
      <c r="G3980" s="1" t="s">
        <v>724</v>
      </c>
      <c r="H3980" s="1" t="s">
        <v>259</v>
      </c>
      <c r="I3980">
        <v>0</v>
      </c>
      <c r="J3980">
        <v>17837.6332</v>
      </c>
      <c r="K3980">
        <v>3.14E-3</v>
      </c>
      <c r="L3980">
        <v>1.448E-2</v>
      </c>
      <c r="M3980">
        <v>4.6100000000000002E-2</v>
      </c>
      <c r="N3980">
        <v>0.22500000000000001</v>
      </c>
      <c r="O3980">
        <v>1.8679999999999999E-2</v>
      </c>
      <c r="P3980" s="3">
        <f t="shared" si="248"/>
        <v>5606.1280630706442</v>
      </c>
      <c r="Q3980" s="3">
        <f t="shared" si="249"/>
        <v>3.142865422887553E-3</v>
      </c>
      <c r="R3980" s="3">
        <f t="shared" si="250"/>
        <v>1.448E-2</v>
      </c>
      <c r="S3980">
        <f t="shared" si="251"/>
        <v>128</v>
      </c>
      <c r="T3980">
        <f>INDEX([1]IDEN_level_ids!$B:$B,MATCH(G3980,[1]IDEN_level_ids!$A:$A,0),1)</f>
        <v>1206</v>
      </c>
      <c r="U3980">
        <f>INDEX([1]IDEN_level_ids!$B:$B,MATCH(H3980,[1]IDEN_level_ids!$A:$A,0),1)</f>
        <v>1117</v>
      </c>
    </row>
    <row r="3981" spans="1:21" hidden="1" x14ac:dyDescent="0.25">
      <c r="A3981">
        <v>17810.202399999998</v>
      </c>
      <c r="B3981">
        <v>5614.7592999999997</v>
      </c>
      <c r="C3981">
        <v>25</v>
      </c>
      <c r="D3981" t="s">
        <v>801</v>
      </c>
      <c r="E3981" t="s">
        <v>427</v>
      </c>
      <c r="F3981">
        <v>1974</v>
      </c>
      <c r="G3981" s="1" t="s">
        <v>149</v>
      </c>
      <c r="H3981" s="1" t="s">
        <v>390</v>
      </c>
      <c r="I3981">
        <v>0</v>
      </c>
      <c r="J3981">
        <v>17810.185300000001</v>
      </c>
      <c r="K3981">
        <v>-5.3899999999999998E-3</v>
      </c>
      <c r="L3981">
        <v>1.536E-2</v>
      </c>
      <c r="M3981">
        <v>4.87E-2</v>
      </c>
      <c r="N3981">
        <v>0.87119999999999997</v>
      </c>
      <c r="O3981">
        <v>0.11926</v>
      </c>
      <c r="P3981" s="3">
        <f t="shared" si="248"/>
        <v>5614.7593246890901</v>
      </c>
      <c r="Q3981" s="3">
        <f t="shared" si="249"/>
        <v>-5.3908694835627102E-3</v>
      </c>
      <c r="R3981" s="3">
        <f t="shared" si="250"/>
        <v>1.536E-2</v>
      </c>
      <c r="S3981">
        <f t="shared" si="251"/>
        <v>128</v>
      </c>
      <c r="T3981">
        <f>INDEX([1]IDEN_level_ids!$B:$B,MATCH(G3981,[1]IDEN_level_ids!$A:$A,0),1)</f>
        <v>772</v>
      </c>
      <c r="U3981">
        <f>INDEX([1]IDEN_level_ids!$B:$B,MATCH(H3981,[1]IDEN_level_ids!$A:$A,0),1)</f>
        <v>499</v>
      </c>
    </row>
    <row r="3982" spans="1:21" hidden="1" x14ac:dyDescent="0.25">
      <c r="A3982">
        <v>17778.002100000002</v>
      </c>
      <c r="B3982">
        <v>5624.9290000000001</v>
      </c>
      <c r="C3982">
        <v>25</v>
      </c>
      <c r="D3982" t="s">
        <v>801</v>
      </c>
      <c r="F3982">
        <v>1974</v>
      </c>
      <c r="G3982" s="1" t="s">
        <v>339</v>
      </c>
      <c r="H3982" s="1" t="s">
        <v>278</v>
      </c>
      <c r="I3982">
        <v>0</v>
      </c>
      <c r="J3982">
        <v>17777.988000000001</v>
      </c>
      <c r="K3982">
        <v>-4.4600000000000004E-3</v>
      </c>
      <c r="L3982">
        <v>1.4579999999999999E-2</v>
      </c>
      <c r="M3982">
        <v>4.6100000000000002E-2</v>
      </c>
      <c r="N3982">
        <v>0.17849999999999999</v>
      </c>
      <c r="O3982">
        <v>1.7739999999999999E-2</v>
      </c>
      <c r="P3982" s="3">
        <f t="shared" si="248"/>
        <v>5624.929023942459</v>
      </c>
      <c r="Q3982" s="3">
        <f t="shared" si="249"/>
        <v>-4.4612190786210704E-3</v>
      </c>
      <c r="R3982" s="3">
        <f t="shared" si="250"/>
        <v>1.4579999999999999E-2</v>
      </c>
      <c r="S3982">
        <f t="shared" si="251"/>
        <v>128</v>
      </c>
      <c r="T3982">
        <f>INDEX([1]IDEN_level_ids!$B:$B,MATCH(G3982,[1]IDEN_level_ids!$A:$A,0),1)</f>
        <v>1189</v>
      </c>
      <c r="U3982">
        <f>INDEX([1]IDEN_level_ids!$B:$B,MATCH(H3982,[1]IDEN_level_ids!$A:$A,0),1)</f>
        <v>1102</v>
      </c>
    </row>
    <row r="3983" spans="1:21" hidden="1" x14ac:dyDescent="0.25">
      <c r="A3983">
        <v>17725.560799999999</v>
      </c>
      <c r="B3983">
        <v>5641.5703999999996</v>
      </c>
      <c r="C3983">
        <v>25</v>
      </c>
      <c r="D3983" t="s">
        <v>801</v>
      </c>
      <c r="E3983" t="s">
        <v>427</v>
      </c>
      <c r="F3983">
        <v>1974</v>
      </c>
      <c r="G3983" s="1" t="s">
        <v>155</v>
      </c>
      <c r="H3983" s="1" t="s">
        <v>395</v>
      </c>
      <c r="I3983">
        <v>0</v>
      </c>
      <c r="J3983">
        <v>17725.569800000001</v>
      </c>
      <c r="K3983">
        <v>2.8600000000000001E-3</v>
      </c>
      <c r="L3983">
        <v>1.5509999999999999E-2</v>
      </c>
      <c r="M3983">
        <v>4.87E-2</v>
      </c>
      <c r="N3983">
        <v>0.50429999999999997</v>
      </c>
      <c r="O3983">
        <v>3.1289999999999998E-2</v>
      </c>
      <c r="P3983" s="3">
        <f t="shared" si="248"/>
        <v>5641.5704489304508</v>
      </c>
      <c r="Q3983" s="3">
        <f t="shared" si="249"/>
        <v>2.8644570875258069E-3</v>
      </c>
      <c r="R3983" s="3">
        <f t="shared" si="250"/>
        <v>1.5509999999999999E-2</v>
      </c>
      <c r="S3983">
        <f t="shared" si="251"/>
        <v>128</v>
      </c>
      <c r="T3983">
        <f>INDEX([1]IDEN_level_ids!$B:$B,MATCH(G3983,[1]IDEN_level_ids!$A:$A,0),1)</f>
        <v>797</v>
      </c>
      <c r="U3983">
        <f>INDEX([1]IDEN_level_ids!$B:$B,MATCH(H3983,[1]IDEN_level_ids!$A:$A,0),1)</f>
        <v>523</v>
      </c>
    </row>
    <row r="3984" spans="1:21" hidden="1" x14ac:dyDescent="0.25">
      <c r="A3984">
        <v>17704.234</v>
      </c>
      <c r="B3984">
        <v>5648.3663999999999</v>
      </c>
      <c r="C3984">
        <v>25</v>
      </c>
      <c r="D3984" t="s">
        <v>801</v>
      </c>
      <c r="F3984">
        <v>1974</v>
      </c>
      <c r="G3984" s="1" t="s">
        <v>337</v>
      </c>
      <c r="H3984" s="1" t="s">
        <v>297</v>
      </c>
      <c r="I3984">
        <v>0</v>
      </c>
      <c r="J3984">
        <v>17704.207200000001</v>
      </c>
      <c r="K3984">
        <v>-8.5699999999999995E-3</v>
      </c>
      <c r="L3984">
        <v>1.47E-2</v>
      </c>
      <c r="M3984">
        <v>4.6100000000000002E-2</v>
      </c>
      <c r="N3984">
        <v>0.2374</v>
      </c>
      <c r="O3984">
        <v>1.9269999999999999E-2</v>
      </c>
      <c r="P3984" s="3">
        <f t="shared" si="248"/>
        <v>5648.3663738289943</v>
      </c>
      <c r="Q3984" s="3">
        <f t="shared" si="249"/>
        <v>-8.550296384782996E-3</v>
      </c>
      <c r="R3984" s="3">
        <f t="shared" si="250"/>
        <v>1.47E-2</v>
      </c>
      <c r="S3984">
        <f t="shared" si="251"/>
        <v>128</v>
      </c>
      <c r="T3984">
        <f>INDEX([1]IDEN_level_ids!$B:$B,MATCH(G3984,[1]IDEN_level_ids!$A:$A,0),1)</f>
        <v>1157</v>
      </c>
      <c r="U3984">
        <f>INDEX([1]IDEN_level_ids!$B:$B,MATCH(H3984,[1]IDEN_level_ids!$A:$A,0),1)</f>
        <v>1099</v>
      </c>
    </row>
    <row r="3985" spans="1:21" hidden="1" x14ac:dyDescent="0.25">
      <c r="A3985">
        <v>17693.032800000001</v>
      </c>
      <c r="B3985">
        <v>5651.9422999999997</v>
      </c>
      <c r="C3985">
        <v>25</v>
      </c>
      <c r="D3985" t="s">
        <v>802</v>
      </c>
      <c r="F3985">
        <v>1974</v>
      </c>
      <c r="G3985" s="1" t="s">
        <v>724</v>
      </c>
      <c r="H3985" s="1" t="s">
        <v>342</v>
      </c>
      <c r="I3985">
        <v>0</v>
      </c>
      <c r="J3985">
        <v>17693.013299999999</v>
      </c>
      <c r="K3985">
        <v>-6.2199999999999998E-3</v>
      </c>
      <c r="L3985">
        <v>1.472E-2</v>
      </c>
      <c r="M3985">
        <v>4.6100000000000002E-2</v>
      </c>
      <c r="N3985">
        <v>0.22589999999999999</v>
      </c>
      <c r="O3985">
        <v>1.9009999999999999E-2</v>
      </c>
      <c r="P3985" s="3">
        <f t="shared" si="248"/>
        <v>5651.9422718755141</v>
      </c>
      <c r="Q3985" s="3">
        <f t="shared" si="249"/>
        <v>-6.229174898180645E-3</v>
      </c>
      <c r="R3985" s="3">
        <f t="shared" si="250"/>
        <v>1.472E-2</v>
      </c>
      <c r="S3985">
        <f t="shared" si="251"/>
        <v>129</v>
      </c>
      <c r="T3985">
        <f>INDEX([1]IDEN_level_ids!$B:$B,MATCH(G3985,[1]IDEN_level_ids!$A:$A,0),1)</f>
        <v>1206</v>
      </c>
      <c r="U3985">
        <f>INDEX([1]IDEN_level_ids!$B:$B,MATCH(H3985,[1]IDEN_level_ids!$A:$A,0),1)</f>
        <v>1119</v>
      </c>
    </row>
    <row r="3986" spans="1:21" hidden="1" x14ac:dyDescent="0.25">
      <c r="A3986">
        <v>17627.016599999999</v>
      </c>
      <c r="B3986">
        <v>5673.1097</v>
      </c>
      <c r="C3986">
        <v>25</v>
      </c>
      <c r="D3986" t="s">
        <v>802</v>
      </c>
      <c r="F3986">
        <v>1974</v>
      </c>
      <c r="G3986" s="1" t="s">
        <v>125</v>
      </c>
      <c r="H3986" s="1" t="s">
        <v>72</v>
      </c>
      <c r="I3986">
        <v>0</v>
      </c>
      <c r="J3986">
        <v>17626.991099999999</v>
      </c>
      <c r="K3986">
        <v>-8.2400000000000008E-3</v>
      </c>
      <c r="L3986">
        <v>1.4829999999999999E-2</v>
      </c>
      <c r="M3986">
        <v>4.6100000000000002E-2</v>
      </c>
      <c r="N3986">
        <v>0.15429999999999999</v>
      </c>
      <c r="O3986">
        <v>1.753E-2</v>
      </c>
      <c r="P3986" s="3">
        <f t="shared" si="248"/>
        <v>5673.1097649275489</v>
      </c>
      <c r="Q3986" s="3">
        <f t="shared" si="249"/>
        <v>-8.2069763457184308E-3</v>
      </c>
      <c r="R3986" s="3">
        <f t="shared" si="250"/>
        <v>1.4829999999999999E-2</v>
      </c>
      <c r="S3986">
        <f t="shared" si="251"/>
        <v>129</v>
      </c>
      <c r="T3986">
        <f>INDEX([1]IDEN_level_ids!$B:$B,MATCH(G3986,[1]IDEN_level_ids!$A:$A,0),1)</f>
        <v>1253</v>
      </c>
      <c r="U3986">
        <f>INDEX([1]IDEN_level_ids!$B:$B,MATCH(H3986,[1]IDEN_level_ids!$A:$A,0),1)</f>
        <v>1225</v>
      </c>
    </row>
    <row r="3987" spans="1:21" hidden="1" x14ac:dyDescent="0.25">
      <c r="A3987">
        <v>17606.2048</v>
      </c>
      <c r="B3987">
        <v>5679.8158000000003</v>
      </c>
      <c r="C3987">
        <v>25</v>
      </c>
      <c r="D3987" t="s">
        <v>802</v>
      </c>
      <c r="E3987" t="s">
        <v>661</v>
      </c>
      <c r="F3987">
        <v>1974</v>
      </c>
      <c r="G3987" s="1" t="s">
        <v>791</v>
      </c>
      <c r="H3987" s="1" t="s">
        <v>334</v>
      </c>
      <c r="I3987">
        <v>0</v>
      </c>
      <c r="J3987">
        <v>17606.160899999999</v>
      </c>
      <c r="K3987">
        <v>-1.4160000000000001E-2</v>
      </c>
      <c r="L3987">
        <v>1.634E-2</v>
      </c>
      <c r="M3987">
        <v>5.0700000000000002E-2</v>
      </c>
      <c r="N3987">
        <v>0.1221</v>
      </c>
      <c r="O3987">
        <v>1.8610000000000002E-2</v>
      </c>
      <c r="P3987" s="3">
        <f t="shared" si="248"/>
        <v>5679.8157885792625</v>
      </c>
      <c r="Q3987" s="3">
        <f t="shared" si="249"/>
        <v>-1.4162310258143407E-2</v>
      </c>
      <c r="R3987" s="3">
        <f t="shared" si="250"/>
        <v>1.634E-2</v>
      </c>
      <c r="S3987">
        <f t="shared" si="251"/>
        <v>129</v>
      </c>
      <c r="T3987">
        <f>INDEX([1]IDEN_level_ids!$B:$B,MATCH(G3987,[1]IDEN_level_ids!$A:$A,0),1)</f>
        <v>1215</v>
      </c>
      <c r="U3987">
        <f>INDEX([1]IDEN_level_ids!$B:$B,MATCH(H3987,[1]IDEN_level_ids!$A:$A,0),1)</f>
        <v>1124</v>
      </c>
    </row>
    <row r="3988" spans="1:21" hidden="1" x14ac:dyDescent="0.25">
      <c r="A3988">
        <v>17594.276300000001</v>
      </c>
      <c r="B3988">
        <v>5683.6665999999996</v>
      </c>
      <c r="C3988">
        <v>25</v>
      </c>
      <c r="D3988" t="s">
        <v>802</v>
      </c>
      <c r="F3988">
        <v>1974</v>
      </c>
      <c r="G3988" s="1" t="s">
        <v>791</v>
      </c>
      <c r="H3988" s="1" t="s">
        <v>212</v>
      </c>
      <c r="I3988">
        <v>0</v>
      </c>
      <c r="J3988">
        <v>17594.2719</v>
      </c>
      <c r="K3988">
        <v>-1.42E-3</v>
      </c>
      <c r="L3988">
        <v>1.4880000000000001E-2</v>
      </c>
      <c r="M3988">
        <v>4.6100000000000002E-2</v>
      </c>
      <c r="N3988">
        <v>0.13700000000000001</v>
      </c>
      <c r="O3988">
        <v>1.7239999999999998E-2</v>
      </c>
      <c r="P3988" s="3">
        <f t="shared" si="248"/>
        <v>5683.6665683146057</v>
      </c>
      <c r="Q3988" s="3">
        <f t="shared" si="249"/>
        <v>-1.4213792446753359E-3</v>
      </c>
      <c r="R3988" s="3">
        <f t="shared" si="250"/>
        <v>1.4880000000000001E-2</v>
      </c>
      <c r="S3988">
        <f t="shared" si="251"/>
        <v>129</v>
      </c>
      <c r="T3988">
        <f>INDEX([1]IDEN_level_ids!$B:$B,MATCH(G3988,[1]IDEN_level_ids!$A:$A,0),1)</f>
        <v>1215</v>
      </c>
      <c r="U3988">
        <f>INDEX([1]IDEN_level_ids!$B:$B,MATCH(H3988,[1]IDEN_level_ids!$A:$A,0),1)</f>
        <v>1123</v>
      </c>
    </row>
    <row r="3989" spans="1:21" hidden="1" x14ac:dyDescent="0.25">
      <c r="A3989">
        <v>17490.799200000001</v>
      </c>
      <c r="B3989">
        <v>5717.2915999999996</v>
      </c>
      <c r="C3989">
        <v>25</v>
      </c>
      <c r="D3989" t="s">
        <v>802</v>
      </c>
      <c r="E3989" t="s">
        <v>661</v>
      </c>
      <c r="F3989">
        <v>1974</v>
      </c>
      <c r="G3989" s="1" t="s">
        <v>160</v>
      </c>
      <c r="H3989" s="1" t="s">
        <v>415</v>
      </c>
      <c r="I3989">
        <v>0</v>
      </c>
      <c r="J3989">
        <v>17490.813900000001</v>
      </c>
      <c r="K3989">
        <v>4.7999999999999996E-3</v>
      </c>
      <c r="L3989">
        <v>1.6559999999999998E-2</v>
      </c>
      <c r="M3989">
        <v>5.0700000000000002E-2</v>
      </c>
      <c r="N3989">
        <v>0.54649999999999999</v>
      </c>
      <c r="O3989">
        <v>3.6510000000000001E-2</v>
      </c>
      <c r="P3989" s="3">
        <f t="shared" si="248"/>
        <v>5717.2916375370651</v>
      </c>
      <c r="Q3989" s="3">
        <f t="shared" si="249"/>
        <v>4.805047240552085E-3</v>
      </c>
      <c r="R3989" s="3">
        <f t="shared" si="250"/>
        <v>1.6559999999999998E-2</v>
      </c>
      <c r="S3989">
        <f t="shared" si="251"/>
        <v>129</v>
      </c>
      <c r="T3989">
        <f>INDEX([1]IDEN_level_ids!$B:$B,MATCH(G3989,[1]IDEN_level_ids!$A:$A,0),1)</f>
        <v>798</v>
      </c>
      <c r="U3989">
        <f>INDEX([1]IDEN_level_ids!$B:$B,MATCH(H3989,[1]IDEN_level_ids!$A:$A,0),1)</f>
        <v>530</v>
      </c>
    </row>
    <row r="3990" spans="1:21" hidden="1" x14ac:dyDescent="0.25">
      <c r="A3990">
        <v>17461.4925</v>
      </c>
      <c r="B3990">
        <v>5726.8873000000003</v>
      </c>
      <c r="C3990">
        <v>25</v>
      </c>
      <c r="D3990" t="s">
        <v>802</v>
      </c>
      <c r="F3990">
        <v>1974</v>
      </c>
      <c r="G3990" s="1" t="s">
        <v>152</v>
      </c>
      <c r="H3990" s="1" t="s">
        <v>395</v>
      </c>
      <c r="I3990">
        <v>0</v>
      </c>
      <c r="J3990">
        <v>17461.452700000002</v>
      </c>
      <c r="K3990">
        <v>-1.306E-2</v>
      </c>
      <c r="L3990">
        <v>1.511E-2</v>
      </c>
      <c r="M3990">
        <v>4.6100000000000002E-2</v>
      </c>
      <c r="N3990">
        <v>0.46379999999999999</v>
      </c>
      <c r="O3990">
        <v>2.818E-2</v>
      </c>
      <c r="P3990" s="3">
        <f t="shared" si="248"/>
        <v>5726.8873207716924</v>
      </c>
      <c r="Q3990" s="3">
        <f t="shared" si="249"/>
        <v>-1.3053330629190896E-2</v>
      </c>
      <c r="R3990" s="3">
        <f t="shared" si="250"/>
        <v>1.511E-2</v>
      </c>
      <c r="S3990">
        <f t="shared" si="251"/>
        <v>129</v>
      </c>
      <c r="T3990">
        <f>INDEX([1]IDEN_level_ids!$B:$B,MATCH(G3990,[1]IDEN_level_ids!$A:$A,0),1)</f>
        <v>793</v>
      </c>
      <c r="U3990">
        <f>INDEX([1]IDEN_level_ids!$B:$B,MATCH(H3990,[1]IDEN_level_ids!$A:$A,0),1)</f>
        <v>523</v>
      </c>
    </row>
    <row r="3991" spans="1:21" hidden="1" x14ac:dyDescent="0.25">
      <c r="A3991">
        <v>17428.738099999999</v>
      </c>
      <c r="B3991">
        <v>5737.6500999999998</v>
      </c>
      <c r="C3991">
        <v>25</v>
      </c>
      <c r="D3991" t="s">
        <v>802</v>
      </c>
      <c r="E3991" t="s">
        <v>427</v>
      </c>
      <c r="F3991">
        <v>1974</v>
      </c>
      <c r="G3991" s="1" t="s">
        <v>163</v>
      </c>
      <c r="H3991" s="1" t="s">
        <v>408</v>
      </c>
      <c r="I3991">
        <v>0</v>
      </c>
      <c r="J3991">
        <v>17428.728899999998</v>
      </c>
      <c r="K3991">
        <v>-3.0100000000000001E-3</v>
      </c>
      <c r="L3991">
        <v>1.6039999999999999E-2</v>
      </c>
      <c r="M3991">
        <v>4.87E-2</v>
      </c>
      <c r="N3991">
        <v>0.39989999999999998</v>
      </c>
      <c r="O3991">
        <v>2.673E-2</v>
      </c>
      <c r="P3991" s="3">
        <f t="shared" si="248"/>
        <v>5737.6500482269576</v>
      </c>
      <c r="Q3991" s="3">
        <f t="shared" si="249"/>
        <v>-3.0286993815025198E-3</v>
      </c>
      <c r="R3991" s="3">
        <f t="shared" si="250"/>
        <v>1.6039999999999999E-2</v>
      </c>
      <c r="S3991">
        <f t="shared" si="251"/>
        <v>129</v>
      </c>
      <c r="T3991">
        <f>INDEX([1]IDEN_level_ids!$B:$B,MATCH(G3991,[1]IDEN_level_ids!$A:$A,0),1)</f>
        <v>747</v>
      </c>
      <c r="U3991">
        <f>INDEX([1]IDEN_level_ids!$B:$B,MATCH(H3991,[1]IDEN_level_ids!$A:$A,0),1)</f>
        <v>461</v>
      </c>
    </row>
    <row r="3992" spans="1:21" hidden="1" x14ac:dyDescent="0.25">
      <c r="A3992">
        <v>17425.143800000002</v>
      </c>
      <c r="B3992">
        <v>5738.8334999999997</v>
      </c>
      <c r="C3992">
        <v>25</v>
      </c>
      <c r="D3992" t="s">
        <v>802</v>
      </c>
      <c r="F3992">
        <v>1974</v>
      </c>
      <c r="G3992" s="1" t="s">
        <v>170</v>
      </c>
      <c r="H3992" s="1" t="s">
        <v>408</v>
      </c>
      <c r="I3992">
        <v>0</v>
      </c>
      <c r="J3992">
        <v>17425.130700000002</v>
      </c>
      <c r="K3992">
        <v>-4.3200000000000001E-3</v>
      </c>
      <c r="L3992">
        <v>1.5169999999999999E-2</v>
      </c>
      <c r="M3992">
        <v>4.6100000000000002E-2</v>
      </c>
      <c r="N3992">
        <v>0.49309999999999998</v>
      </c>
      <c r="O3992">
        <v>2.9929999999999998E-2</v>
      </c>
      <c r="P3992" s="3">
        <f t="shared" si="248"/>
        <v>5738.8335584352535</v>
      </c>
      <c r="Q3992" s="3">
        <f t="shared" si="249"/>
        <v>-4.3143848333784263E-3</v>
      </c>
      <c r="R3992" s="3">
        <f t="shared" si="250"/>
        <v>1.5169999999999999E-2</v>
      </c>
      <c r="S3992">
        <f t="shared" si="251"/>
        <v>129</v>
      </c>
      <c r="T3992">
        <f>INDEX([1]IDEN_level_ids!$B:$B,MATCH(G3992,[1]IDEN_level_ids!$A:$A,0),1)</f>
        <v>746</v>
      </c>
      <c r="U3992">
        <f>INDEX([1]IDEN_level_ids!$B:$B,MATCH(H3992,[1]IDEN_level_ids!$A:$A,0),1)</f>
        <v>461</v>
      </c>
    </row>
    <row r="3993" spans="1:21" hidden="1" x14ac:dyDescent="0.25">
      <c r="A3993">
        <v>17424.616099999999</v>
      </c>
      <c r="B3993">
        <v>5739.0074000000004</v>
      </c>
      <c r="C3993">
        <v>25</v>
      </c>
      <c r="D3993" t="s">
        <v>802</v>
      </c>
      <c r="F3993">
        <v>1974</v>
      </c>
      <c r="G3993" s="1" t="s">
        <v>725</v>
      </c>
      <c r="H3993" s="1" t="s">
        <v>172</v>
      </c>
      <c r="I3993">
        <v>0</v>
      </c>
      <c r="J3993">
        <v>17424.631300000001</v>
      </c>
      <c r="K3993">
        <v>5.0099999999999997E-3</v>
      </c>
      <c r="L3993">
        <v>1.5169999999999999E-2</v>
      </c>
      <c r="M3993">
        <v>4.6100000000000002E-2</v>
      </c>
      <c r="N3993">
        <v>0.1721</v>
      </c>
      <c r="O3993">
        <v>1.8329999999999999E-2</v>
      </c>
      <c r="P3993" s="3">
        <f t="shared" si="248"/>
        <v>5739.0073575279521</v>
      </c>
      <c r="Q3993" s="3">
        <f t="shared" si="249"/>
        <v>5.0062988620993565E-3</v>
      </c>
      <c r="R3993" s="3">
        <f t="shared" si="250"/>
        <v>1.5169999999999999E-2</v>
      </c>
      <c r="S3993">
        <f t="shared" si="251"/>
        <v>129</v>
      </c>
      <c r="T3993">
        <f>INDEX([1]IDEN_level_ids!$B:$B,MATCH(G3993,[1]IDEN_level_ids!$A:$A,0),1)</f>
        <v>1227</v>
      </c>
      <c r="U3993">
        <f>INDEX([1]IDEN_level_ids!$B:$B,MATCH(H3993,[1]IDEN_level_ids!$A:$A,0),1)</f>
        <v>1136</v>
      </c>
    </row>
    <row r="3994" spans="1:21" hidden="1" x14ac:dyDescent="0.25">
      <c r="A3994">
        <v>17414.3662</v>
      </c>
      <c r="B3994">
        <v>5742.3852999999999</v>
      </c>
      <c r="C3994">
        <v>25</v>
      </c>
      <c r="D3994" t="s">
        <v>802</v>
      </c>
      <c r="F3994">
        <v>1974</v>
      </c>
      <c r="G3994" s="1" t="s">
        <v>624</v>
      </c>
      <c r="H3994" s="1" t="s">
        <v>227</v>
      </c>
      <c r="I3994">
        <v>0</v>
      </c>
      <c r="J3994">
        <v>17414.3946</v>
      </c>
      <c r="K3994">
        <v>9.3500000000000007E-3</v>
      </c>
      <c r="L3994">
        <v>1.519E-2</v>
      </c>
      <c r="M3994">
        <v>4.6100000000000002E-2</v>
      </c>
      <c r="N3994">
        <v>0.56699999999999995</v>
      </c>
      <c r="O3994">
        <v>3.508E-2</v>
      </c>
      <c r="P3994" s="3">
        <f t="shared" si="248"/>
        <v>5742.3852726836531</v>
      </c>
      <c r="Q3994" s="3">
        <f t="shared" si="249"/>
        <v>9.3648814945481718E-3</v>
      </c>
      <c r="R3994" s="3">
        <f t="shared" si="250"/>
        <v>1.519E-2</v>
      </c>
      <c r="S3994">
        <f t="shared" si="251"/>
        <v>129</v>
      </c>
      <c r="T3994">
        <f>INDEX([1]IDEN_level_ids!$B:$B,MATCH(G3994,[1]IDEN_level_ids!$A:$A,0),1)</f>
        <v>887</v>
      </c>
      <c r="U3994">
        <f>INDEX([1]IDEN_level_ids!$B:$B,MATCH(H3994,[1]IDEN_level_ids!$A:$A,0),1)</f>
        <v>680</v>
      </c>
    </row>
    <row r="3995" spans="1:21" hidden="1" x14ac:dyDescent="0.25">
      <c r="A3995">
        <v>17371.186699999998</v>
      </c>
      <c r="B3995">
        <v>5756.6590999999999</v>
      </c>
      <c r="C3995">
        <v>25</v>
      </c>
      <c r="D3995" t="s">
        <v>802</v>
      </c>
      <c r="F3995">
        <v>1974</v>
      </c>
      <c r="G3995" s="1" t="s">
        <v>149</v>
      </c>
      <c r="H3995" s="1" t="s">
        <v>400</v>
      </c>
      <c r="I3995">
        <v>0</v>
      </c>
      <c r="J3995">
        <v>17371.205099999999</v>
      </c>
      <c r="K3995">
        <v>6.0899999999999999E-3</v>
      </c>
      <c r="L3995">
        <v>1.5270000000000001E-2</v>
      </c>
      <c r="M3995">
        <v>4.6100000000000002E-2</v>
      </c>
      <c r="N3995">
        <v>0.39510000000000001</v>
      </c>
      <c r="O3995">
        <v>2.5239999999999999E-2</v>
      </c>
      <c r="P3995" s="3">
        <f t="shared" si="248"/>
        <v>5756.6591003250232</v>
      </c>
      <c r="Q3995" s="3">
        <f t="shared" si="249"/>
        <v>6.097592357036774E-3</v>
      </c>
      <c r="R3995" s="3">
        <f t="shared" si="250"/>
        <v>1.5270000000000001E-2</v>
      </c>
      <c r="S3995">
        <f t="shared" si="251"/>
        <v>129</v>
      </c>
      <c r="T3995">
        <f>INDEX([1]IDEN_level_ids!$B:$B,MATCH(G3995,[1]IDEN_level_ids!$A:$A,0),1)</f>
        <v>772</v>
      </c>
      <c r="U3995">
        <f>INDEX([1]IDEN_level_ids!$B:$B,MATCH(H3995,[1]IDEN_level_ids!$A:$A,0),1)</f>
        <v>503</v>
      </c>
    </row>
    <row r="3996" spans="1:21" hidden="1" x14ac:dyDescent="0.25">
      <c r="A3996">
        <v>17367.1306</v>
      </c>
      <c r="B3996">
        <v>5758.0036</v>
      </c>
      <c r="C3996">
        <v>25</v>
      </c>
      <c r="D3996" t="s">
        <v>802</v>
      </c>
      <c r="F3996">
        <v>1974</v>
      </c>
      <c r="G3996" s="1" t="s">
        <v>706</v>
      </c>
      <c r="H3996" s="1" t="s">
        <v>100</v>
      </c>
      <c r="I3996">
        <v>0</v>
      </c>
      <c r="J3996">
        <v>17367.117900000001</v>
      </c>
      <c r="K3996">
        <v>-4.1999999999999997E-3</v>
      </c>
      <c r="L3996">
        <v>1.5270000000000001E-2</v>
      </c>
      <c r="M3996">
        <v>4.6100000000000002E-2</v>
      </c>
      <c r="N3996">
        <v>0.11269999999999999</v>
      </c>
      <c r="O3996">
        <v>1.721E-2</v>
      </c>
      <c r="P3996" s="3">
        <f t="shared" si="248"/>
        <v>5758.0035702616296</v>
      </c>
      <c r="Q3996" s="3">
        <f t="shared" si="249"/>
        <v>-4.2106379287361051E-3</v>
      </c>
      <c r="R3996" s="3">
        <f t="shared" si="250"/>
        <v>1.5270000000000001E-2</v>
      </c>
      <c r="S3996">
        <f t="shared" si="251"/>
        <v>129</v>
      </c>
      <c r="T3996">
        <f>INDEX([1]IDEN_level_ids!$B:$B,MATCH(G3996,[1]IDEN_level_ids!$A:$A,0),1)</f>
        <v>1240</v>
      </c>
      <c r="U3996">
        <f>INDEX([1]IDEN_level_ids!$B:$B,MATCH(H3996,[1]IDEN_level_ids!$A:$A,0),1)</f>
        <v>1146</v>
      </c>
    </row>
    <row r="3997" spans="1:21" hidden="1" x14ac:dyDescent="0.25">
      <c r="A3997">
        <v>17347.3917</v>
      </c>
      <c r="B3997">
        <v>5764.5554000000002</v>
      </c>
      <c r="C3997">
        <v>25</v>
      </c>
      <c r="D3997" t="s">
        <v>802</v>
      </c>
      <c r="F3997">
        <v>1974</v>
      </c>
      <c r="G3997" s="1" t="s">
        <v>714</v>
      </c>
      <c r="H3997" s="1" t="s">
        <v>268</v>
      </c>
      <c r="I3997">
        <v>0</v>
      </c>
      <c r="J3997">
        <v>17347.385600000001</v>
      </c>
      <c r="K3997">
        <v>-2.0400000000000001E-3</v>
      </c>
      <c r="L3997">
        <v>1.5310000000000001E-2</v>
      </c>
      <c r="M3997">
        <v>4.6100000000000002E-2</v>
      </c>
      <c r="N3997">
        <v>0.1024</v>
      </c>
      <c r="O3997">
        <v>1.7059999999999999E-2</v>
      </c>
      <c r="P3997" s="3">
        <f t="shared" si="248"/>
        <v>5764.5553711685661</v>
      </c>
      <c r="Q3997" s="3">
        <f t="shared" si="249"/>
        <v>-2.0270367285775137E-3</v>
      </c>
      <c r="R3997" s="3">
        <f t="shared" si="250"/>
        <v>1.5310000000000001E-2</v>
      </c>
      <c r="S3997">
        <f t="shared" si="251"/>
        <v>129</v>
      </c>
      <c r="T3997">
        <f>INDEX([1]IDEN_level_ids!$B:$B,MATCH(G3997,[1]IDEN_level_ids!$A:$A,0),1)</f>
        <v>1248</v>
      </c>
      <c r="U3997">
        <f>INDEX([1]IDEN_level_ids!$B:$B,MATCH(H3997,[1]IDEN_level_ids!$A:$A,0),1)</f>
        <v>1160</v>
      </c>
    </row>
    <row r="3998" spans="1:21" hidden="1" x14ac:dyDescent="0.25">
      <c r="A3998">
        <v>17345.312000000002</v>
      </c>
      <c r="B3998">
        <v>5765.2466000000004</v>
      </c>
      <c r="C3998">
        <v>25</v>
      </c>
      <c r="D3998" t="s">
        <v>802</v>
      </c>
      <c r="F3998">
        <v>1974</v>
      </c>
      <c r="G3998" s="1" t="s">
        <v>149</v>
      </c>
      <c r="H3998" s="1" t="s">
        <v>403</v>
      </c>
      <c r="I3998">
        <v>0</v>
      </c>
      <c r="J3998">
        <v>17345.2984</v>
      </c>
      <c r="K3998">
        <v>-4.4900000000000001E-3</v>
      </c>
      <c r="L3998">
        <v>1.5310000000000001E-2</v>
      </c>
      <c r="M3998">
        <v>4.6100000000000002E-2</v>
      </c>
      <c r="N3998">
        <v>0.4546</v>
      </c>
      <c r="O3998">
        <v>2.8070000000000001E-2</v>
      </c>
      <c r="P3998" s="3">
        <f t="shared" si="248"/>
        <v>5765.2465403908554</v>
      </c>
      <c r="Q3998" s="3">
        <f t="shared" si="249"/>
        <v>-4.5203807485449943E-3</v>
      </c>
      <c r="R3998" s="3">
        <f t="shared" si="250"/>
        <v>1.5310000000000001E-2</v>
      </c>
      <c r="S3998">
        <f t="shared" si="251"/>
        <v>129</v>
      </c>
      <c r="T3998">
        <f>INDEX([1]IDEN_level_ids!$B:$B,MATCH(G3998,[1]IDEN_level_ids!$A:$A,0),1)</f>
        <v>772</v>
      </c>
      <c r="U3998">
        <f>INDEX([1]IDEN_level_ids!$B:$B,MATCH(H3998,[1]IDEN_level_ids!$A:$A,0),1)</f>
        <v>505</v>
      </c>
    </row>
    <row r="3999" spans="1:21" hidden="1" x14ac:dyDescent="0.25">
      <c r="A3999">
        <v>17340.443899999998</v>
      </c>
      <c r="B3999">
        <v>5766.8649999999998</v>
      </c>
      <c r="C3999">
        <v>25</v>
      </c>
      <c r="D3999" t="s">
        <v>802</v>
      </c>
      <c r="F3999">
        <v>1974</v>
      </c>
      <c r="G3999" s="1" t="s">
        <v>729</v>
      </c>
      <c r="H3999" s="1" t="s">
        <v>285</v>
      </c>
      <c r="I3999">
        <v>0</v>
      </c>
      <c r="J3999">
        <v>17340.465499999998</v>
      </c>
      <c r="K3999">
        <v>7.1599999999999997E-3</v>
      </c>
      <c r="L3999">
        <v>1.532E-2</v>
      </c>
      <c r="M3999">
        <v>4.6100000000000002E-2</v>
      </c>
      <c r="N3999">
        <v>0.12570000000000001</v>
      </c>
      <c r="O3999">
        <v>1.7520000000000001E-2</v>
      </c>
      <c r="P3999" s="3">
        <f t="shared" si="248"/>
        <v>5766.8650570127566</v>
      </c>
      <c r="Q3999" s="3">
        <f t="shared" si="249"/>
        <v>7.1834452901384793E-3</v>
      </c>
      <c r="R3999" s="3">
        <f t="shared" si="250"/>
        <v>1.532E-2</v>
      </c>
      <c r="S3999">
        <f t="shared" si="251"/>
        <v>129</v>
      </c>
      <c r="T3999">
        <f>INDEX([1]IDEN_level_ids!$B:$B,MATCH(G3999,[1]IDEN_level_ids!$A:$A,0),1)</f>
        <v>1243</v>
      </c>
      <c r="U3999">
        <f>INDEX([1]IDEN_level_ids!$B:$B,MATCH(H3999,[1]IDEN_level_ids!$A:$A,0),1)</f>
        <v>1150</v>
      </c>
    </row>
    <row r="4000" spans="1:21" hidden="1" x14ac:dyDescent="0.25">
      <c r="A4000">
        <v>17317.918799999999</v>
      </c>
      <c r="B4000">
        <v>5774.3658999999998</v>
      </c>
      <c r="C4000">
        <v>25</v>
      </c>
      <c r="D4000" t="s">
        <v>802</v>
      </c>
      <c r="E4000" t="s">
        <v>427</v>
      </c>
      <c r="F4000">
        <v>1974</v>
      </c>
      <c r="G4000" s="1" t="s">
        <v>163</v>
      </c>
      <c r="H4000" s="1" t="s">
        <v>399</v>
      </c>
      <c r="I4000">
        <v>0</v>
      </c>
      <c r="J4000">
        <v>17317.888599999998</v>
      </c>
      <c r="K4000">
        <v>-1.008E-2</v>
      </c>
      <c r="L4000">
        <v>1.6250000000000001E-2</v>
      </c>
      <c r="M4000">
        <v>4.87E-2</v>
      </c>
      <c r="N4000">
        <v>0.3075</v>
      </c>
      <c r="O4000">
        <v>2.3460000000000002E-2</v>
      </c>
      <c r="P4000" s="3">
        <f t="shared" si="248"/>
        <v>5774.3659128370555</v>
      </c>
      <c r="Q4000" s="3">
        <f t="shared" si="249"/>
        <v>-1.0069694671983598E-2</v>
      </c>
      <c r="R4000" s="3">
        <f t="shared" si="250"/>
        <v>1.6250000000000001E-2</v>
      </c>
      <c r="S4000">
        <f t="shared" si="251"/>
        <v>129</v>
      </c>
      <c r="T4000">
        <f>INDEX([1]IDEN_level_ids!$B:$B,MATCH(G4000,[1]IDEN_level_ids!$A:$A,0),1)</f>
        <v>747</v>
      </c>
      <c r="U4000">
        <f>INDEX([1]IDEN_level_ids!$B:$B,MATCH(H4000,[1]IDEN_level_ids!$A:$A,0),1)</f>
        <v>467</v>
      </c>
    </row>
    <row r="4001" spans="1:21" hidden="1" x14ac:dyDescent="0.25">
      <c r="A4001">
        <v>17311.5612</v>
      </c>
      <c r="B4001">
        <v>5776.4865</v>
      </c>
      <c r="C4001">
        <v>25</v>
      </c>
      <c r="D4001" t="s">
        <v>803</v>
      </c>
      <c r="F4001">
        <v>1974</v>
      </c>
      <c r="G4001" s="1" t="s">
        <v>148</v>
      </c>
      <c r="H4001" s="1" t="s">
        <v>429</v>
      </c>
      <c r="I4001">
        <v>0</v>
      </c>
      <c r="J4001">
        <v>17311.544699999999</v>
      </c>
      <c r="K4001">
        <v>-5.4900000000000001E-3</v>
      </c>
      <c r="L4001">
        <v>1.537E-2</v>
      </c>
      <c r="M4001">
        <v>4.6100000000000002E-2</v>
      </c>
      <c r="N4001">
        <v>0.52959999999999996</v>
      </c>
      <c r="O4001">
        <v>3.2680000000000001E-2</v>
      </c>
      <c r="P4001" s="3">
        <f t="shared" si="248"/>
        <v>5776.4865250859066</v>
      </c>
      <c r="Q4001" s="3">
        <f t="shared" si="249"/>
        <v>-5.5056916826288216E-3</v>
      </c>
      <c r="R4001" s="3">
        <f t="shared" si="250"/>
        <v>1.537E-2</v>
      </c>
      <c r="S4001">
        <f t="shared" si="251"/>
        <v>130</v>
      </c>
      <c r="T4001">
        <f>INDEX([1]IDEN_level_ids!$B:$B,MATCH(G4001,[1]IDEN_level_ids!$A:$A,0),1)</f>
        <v>728</v>
      </c>
      <c r="U4001">
        <f>INDEX([1]IDEN_level_ids!$B:$B,MATCH(H4001,[1]IDEN_level_ids!$A:$A,0),1)</f>
        <v>406</v>
      </c>
    </row>
    <row r="4002" spans="1:21" hidden="1" x14ac:dyDescent="0.25">
      <c r="A4002">
        <v>17195.127700000001</v>
      </c>
      <c r="B4002">
        <v>5815.6009000000004</v>
      </c>
      <c r="C4002">
        <v>25</v>
      </c>
      <c r="D4002" t="s">
        <v>803</v>
      </c>
      <c r="F4002">
        <v>1974</v>
      </c>
      <c r="G4002" s="1" t="s">
        <v>349</v>
      </c>
      <c r="H4002" s="1" t="s">
        <v>227</v>
      </c>
      <c r="I4002">
        <v>0</v>
      </c>
      <c r="J4002">
        <v>17195.1351</v>
      </c>
      <c r="K4002">
        <v>2.5200000000000001E-3</v>
      </c>
      <c r="L4002">
        <v>1.558E-2</v>
      </c>
      <c r="M4002">
        <v>4.6100000000000002E-2</v>
      </c>
      <c r="N4002">
        <v>0.59650000000000003</v>
      </c>
      <c r="O4002">
        <v>3.8609999999999998E-2</v>
      </c>
      <c r="P4002" s="3">
        <f t="shared" si="248"/>
        <v>5815.6008925714459</v>
      </c>
      <c r="Q4002" s="3">
        <f t="shared" si="249"/>
        <v>2.5027687388501363E-3</v>
      </c>
      <c r="R4002" s="3">
        <f t="shared" si="250"/>
        <v>1.558E-2</v>
      </c>
      <c r="S4002">
        <f t="shared" si="251"/>
        <v>130</v>
      </c>
      <c r="T4002">
        <f>INDEX([1]IDEN_level_ids!$B:$B,MATCH(G4002,[1]IDEN_level_ids!$A:$A,0),1)</f>
        <v>886</v>
      </c>
      <c r="U4002">
        <f>INDEX([1]IDEN_level_ids!$B:$B,MATCH(H4002,[1]IDEN_level_ids!$A:$A,0),1)</f>
        <v>680</v>
      </c>
    </row>
    <row r="4003" spans="1:21" hidden="1" x14ac:dyDescent="0.25">
      <c r="A4003">
        <v>17192.708699999999</v>
      </c>
      <c r="B4003">
        <v>5816.4191000000001</v>
      </c>
      <c r="C4003">
        <v>25</v>
      </c>
      <c r="D4003" t="s">
        <v>803</v>
      </c>
      <c r="F4003">
        <v>1974</v>
      </c>
      <c r="G4003" s="1" t="s">
        <v>152</v>
      </c>
      <c r="H4003" s="1" t="s">
        <v>404</v>
      </c>
      <c r="I4003">
        <v>0</v>
      </c>
      <c r="J4003">
        <v>17192.696100000001</v>
      </c>
      <c r="K4003">
        <v>-4.2599999999999999E-3</v>
      </c>
      <c r="L4003">
        <v>1.558E-2</v>
      </c>
      <c r="M4003">
        <v>4.6100000000000002E-2</v>
      </c>
      <c r="N4003">
        <v>0.93600000000000005</v>
      </c>
      <c r="O4003">
        <v>0.24354000000000001</v>
      </c>
      <c r="P4003" s="3">
        <f t="shared" si="248"/>
        <v>5816.419142842803</v>
      </c>
      <c r="Q4003" s="3">
        <f t="shared" si="249"/>
        <v>-4.2626753111107973E-3</v>
      </c>
      <c r="R4003" s="3">
        <f t="shared" si="250"/>
        <v>1.558E-2</v>
      </c>
      <c r="S4003">
        <f t="shared" si="251"/>
        <v>130</v>
      </c>
      <c r="T4003">
        <f>INDEX([1]IDEN_level_ids!$B:$B,MATCH(G4003,[1]IDEN_level_ids!$A:$A,0),1)</f>
        <v>793</v>
      </c>
      <c r="U4003">
        <f>INDEX([1]IDEN_level_ids!$B:$B,MATCH(H4003,[1]IDEN_level_ids!$A:$A,0),1)</f>
        <v>525</v>
      </c>
    </row>
    <row r="4004" spans="1:21" hidden="1" x14ac:dyDescent="0.25">
      <c r="A4004">
        <v>17144.676100000001</v>
      </c>
      <c r="B4004">
        <v>5832.7143999999998</v>
      </c>
      <c r="C4004">
        <v>25</v>
      </c>
      <c r="D4004" t="s">
        <v>803</v>
      </c>
      <c r="F4004">
        <v>1974</v>
      </c>
      <c r="G4004" s="1" t="s">
        <v>81</v>
      </c>
      <c r="H4004" s="1" t="s">
        <v>799</v>
      </c>
      <c r="I4004">
        <v>0</v>
      </c>
      <c r="J4004">
        <v>17144.650000000001</v>
      </c>
      <c r="K4004">
        <v>-8.8999999999999999E-3</v>
      </c>
      <c r="L4004">
        <v>1.567E-2</v>
      </c>
      <c r="M4004">
        <v>4.6100000000000002E-2</v>
      </c>
      <c r="N4004">
        <v>0.18859999999999999</v>
      </c>
      <c r="O4004">
        <v>1.9310000000000001E-2</v>
      </c>
      <c r="P4004" s="3">
        <f t="shared" si="248"/>
        <v>5832.7144483062002</v>
      </c>
      <c r="Q4004" s="3">
        <f t="shared" si="249"/>
        <v>-8.8793791119314847E-3</v>
      </c>
      <c r="R4004" s="3">
        <f t="shared" si="250"/>
        <v>1.567E-2</v>
      </c>
      <c r="S4004">
        <f t="shared" si="251"/>
        <v>130</v>
      </c>
      <c r="T4004">
        <f>INDEX([1]IDEN_level_ids!$B:$B,MATCH(G4004,[1]IDEN_level_ids!$A:$A,0),1)</f>
        <v>1196</v>
      </c>
      <c r="U4004">
        <f>INDEX([1]IDEN_level_ids!$B:$B,MATCH(H4004,[1]IDEN_level_ids!$A:$A,0),1)</f>
        <v>1113</v>
      </c>
    </row>
    <row r="4005" spans="1:21" hidden="1" x14ac:dyDescent="0.25">
      <c r="A4005">
        <v>17105.616699999999</v>
      </c>
      <c r="B4005">
        <v>5846.0330000000004</v>
      </c>
      <c r="C4005">
        <v>25</v>
      </c>
      <c r="D4005" t="s">
        <v>803</v>
      </c>
      <c r="F4005">
        <v>1974</v>
      </c>
      <c r="G4005" s="1" t="s">
        <v>714</v>
      </c>
      <c r="H4005" s="1" t="s">
        <v>117</v>
      </c>
      <c r="I4005">
        <v>0</v>
      </c>
      <c r="J4005">
        <v>17105.631799999999</v>
      </c>
      <c r="K4005">
        <v>5.1500000000000001E-3</v>
      </c>
      <c r="L4005">
        <v>1.5740000000000001E-2</v>
      </c>
      <c r="M4005">
        <v>4.6100000000000002E-2</v>
      </c>
      <c r="N4005">
        <v>0.10009999999999999</v>
      </c>
      <c r="O4005">
        <v>1.7489999999999999E-2</v>
      </c>
      <c r="P4005" s="3">
        <f t="shared" si="248"/>
        <v>5846.0330167458978</v>
      </c>
      <c r="Q4005" s="3">
        <f t="shared" si="249"/>
        <v>5.1605868520709919E-3</v>
      </c>
      <c r="R4005" s="3">
        <f t="shared" si="250"/>
        <v>1.5740000000000001E-2</v>
      </c>
      <c r="S4005">
        <f t="shared" si="251"/>
        <v>130</v>
      </c>
      <c r="T4005">
        <f>INDEX([1]IDEN_level_ids!$B:$B,MATCH(G4005,[1]IDEN_level_ids!$A:$A,0),1)</f>
        <v>1248</v>
      </c>
      <c r="U4005">
        <f>INDEX([1]IDEN_level_ids!$B:$B,MATCH(H4005,[1]IDEN_level_ids!$A:$A,0),1)</f>
        <v>1162</v>
      </c>
    </row>
    <row r="4006" spans="1:21" hidden="1" x14ac:dyDescent="0.25">
      <c r="A4006">
        <v>17097.001199999999</v>
      </c>
      <c r="B4006">
        <v>5848.9789000000001</v>
      </c>
      <c r="C4006">
        <v>25</v>
      </c>
      <c r="D4006" t="s">
        <v>803</v>
      </c>
      <c r="E4006" t="s">
        <v>427</v>
      </c>
      <c r="F4006">
        <v>1974</v>
      </c>
      <c r="G4006" s="1" t="s">
        <v>175</v>
      </c>
      <c r="H4006" s="1" t="s">
        <v>380</v>
      </c>
      <c r="I4006">
        <v>0</v>
      </c>
      <c r="J4006">
        <v>17097.008900000001</v>
      </c>
      <c r="K4006">
        <v>2.64E-3</v>
      </c>
      <c r="L4006">
        <v>1.6670000000000001E-2</v>
      </c>
      <c r="M4006">
        <v>4.87E-2</v>
      </c>
      <c r="N4006">
        <v>0.48759999999999998</v>
      </c>
      <c r="O4006">
        <v>3.2530000000000003E-2</v>
      </c>
      <c r="P4006" s="3">
        <f t="shared" si="248"/>
        <v>5848.9789425761992</v>
      </c>
      <c r="Q4006" s="3">
        <f t="shared" si="249"/>
        <v>2.6342115243096487E-3</v>
      </c>
      <c r="R4006" s="3">
        <f t="shared" si="250"/>
        <v>1.6670000000000001E-2</v>
      </c>
      <c r="S4006">
        <f t="shared" si="251"/>
        <v>130</v>
      </c>
      <c r="T4006">
        <f>INDEX([1]IDEN_level_ids!$B:$B,MATCH(G4006,[1]IDEN_level_ids!$A:$A,0),1)</f>
        <v>790</v>
      </c>
      <c r="U4006">
        <f>INDEX([1]IDEN_level_ids!$B:$B,MATCH(H4006,[1]IDEN_level_ids!$A:$A,0),1)</f>
        <v>520</v>
      </c>
    </row>
    <row r="4007" spans="1:21" hidden="1" x14ac:dyDescent="0.25">
      <c r="A4007">
        <v>17093.4061</v>
      </c>
      <c r="B4007">
        <v>5850.2091</v>
      </c>
      <c r="C4007">
        <v>25</v>
      </c>
      <c r="D4007" t="s">
        <v>803</v>
      </c>
      <c r="F4007">
        <v>1974</v>
      </c>
      <c r="G4007" s="1" t="s">
        <v>218</v>
      </c>
      <c r="H4007" s="1" t="s">
        <v>378</v>
      </c>
      <c r="I4007">
        <v>0</v>
      </c>
      <c r="J4007">
        <v>17093.407500000001</v>
      </c>
      <c r="K4007">
        <v>4.8999999999999998E-4</v>
      </c>
      <c r="L4007">
        <v>1.5769999999999999E-2</v>
      </c>
      <c r="M4007">
        <v>4.6100000000000002E-2</v>
      </c>
      <c r="N4007">
        <v>0.53029999999999999</v>
      </c>
      <c r="O4007">
        <v>3.3570000000000003E-2</v>
      </c>
      <c r="P4007" s="3">
        <f t="shared" si="248"/>
        <v>5850.209104901568</v>
      </c>
      <c r="Q4007" s="3">
        <f t="shared" si="249"/>
        <v>4.7914921287883772E-4</v>
      </c>
      <c r="R4007" s="3">
        <f t="shared" si="250"/>
        <v>1.5769999999999999E-2</v>
      </c>
      <c r="S4007">
        <f t="shared" si="251"/>
        <v>130</v>
      </c>
      <c r="T4007">
        <f>INDEX([1]IDEN_level_ids!$B:$B,MATCH(G4007,[1]IDEN_level_ids!$A:$A,0),1)</f>
        <v>666</v>
      </c>
      <c r="U4007">
        <f>INDEX([1]IDEN_level_ids!$B:$B,MATCH(H4007,[1]IDEN_level_ids!$A:$A,0),1)</f>
        <v>319</v>
      </c>
    </row>
    <row r="4008" spans="1:21" hidden="1" x14ac:dyDescent="0.25">
      <c r="A4008">
        <v>17082.788700000001</v>
      </c>
      <c r="B4008">
        <v>5853.8451999999997</v>
      </c>
      <c r="C4008">
        <v>25</v>
      </c>
      <c r="D4008" t="s">
        <v>803</v>
      </c>
      <c r="F4008">
        <v>1974</v>
      </c>
      <c r="G4008" s="1" t="s">
        <v>346</v>
      </c>
      <c r="H4008" s="1" t="s">
        <v>299</v>
      </c>
      <c r="I4008">
        <v>0</v>
      </c>
      <c r="J4008">
        <v>17082.7952</v>
      </c>
      <c r="K4008">
        <v>2.2200000000000002E-3</v>
      </c>
      <c r="L4008">
        <v>1.5789999999999998E-2</v>
      </c>
      <c r="M4008">
        <v>4.6100000000000002E-2</v>
      </c>
      <c r="N4008">
        <v>0.1993</v>
      </c>
      <c r="O4008">
        <v>1.9720000000000001E-2</v>
      </c>
      <c r="P4008" s="3">
        <f t="shared" si="248"/>
        <v>5853.8451628802268</v>
      </c>
      <c r="Q4008" s="3">
        <f t="shared" si="249"/>
        <v>2.2273868598858826E-3</v>
      </c>
      <c r="R4008" s="3">
        <f t="shared" si="250"/>
        <v>1.5789999999999998E-2</v>
      </c>
      <c r="S4008">
        <f t="shared" si="251"/>
        <v>130</v>
      </c>
      <c r="T4008">
        <f>INDEX([1]IDEN_level_ids!$B:$B,MATCH(G4008,[1]IDEN_level_ids!$A:$A,0),1)</f>
        <v>1159</v>
      </c>
      <c r="U4008">
        <f>INDEX([1]IDEN_level_ids!$B:$B,MATCH(H4008,[1]IDEN_level_ids!$A:$A,0),1)</f>
        <v>1101</v>
      </c>
    </row>
    <row r="4009" spans="1:21" hidden="1" x14ac:dyDescent="0.25">
      <c r="A4009">
        <v>17018.947499999998</v>
      </c>
      <c r="B4009">
        <v>5875.8040000000001</v>
      </c>
      <c r="C4009">
        <v>25</v>
      </c>
      <c r="D4009" t="s">
        <v>803</v>
      </c>
      <c r="F4009">
        <v>1974</v>
      </c>
      <c r="G4009" s="1" t="s">
        <v>693</v>
      </c>
      <c r="H4009" s="1" t="s">
        <v>541</v>
      </c>
      <c r="I4009">
        <v>-0.73250000000000004</v>
      </c>
      <c r="J4009">
        <v>17018.973399999999</v>
      </c>
      <c r="K4009">
        <v>8.9300000000000004E-3</v>
      </c>
      <c r="L4009">
        <v>1.5900000000000001E-2</v>
      </c>
      <c r="M4009">
        <v>4.6100000000000002E-2</v>
      </c>
      <c r="N4009">
        <v>0.39539999999999997</v>
      </c>
      <c r="O4009">
        <v>2.631E-2</v>
      </c>
      <c r="P4009" s="3">
        <f t="shared" si="248"/>
        <v>5875.8040119696007</v>
      </c>
      <c r="Q4009" s="3">
        <f t="shared" si="249"/>
        <v>8.9419802434349549E-3</v>
      </c>
      <c r="R4009" s="3">
        <f t="shared" si="250"/>
        <v>1.5900000000000001E-2</v>
      </c>
      <c r="S4009">
        <f t="shared" si="251"/>
        <v>130</v>
      </c>
      <c r="T4009">
        <f>INDEX([1]IDEN_level_ids!$B:$B,MATCH(G4009,[1]IDEN_level_ids!$A:$A,0),1)</f>
        <v>1088</v>
      </c>
      <c r="U4009">
        <f>INDEX([1]IDEN_level_ids!$B:$B,MATCH(H4009,[1]IDEN_level_ids!$A:$A,0),1)</f>
        <v>1028</v>
      </c>
    </row>
    <row r="4010" spans="1:21" hidden="1" x14ac:dyDescent="0.25">
      <c r="A4010">
        <v>16983.954000000002</v>
      </c>
      <c r="B4010">
        <v>5887.9103999999998</v>
      </c>
      <c r="C4010">
        <v>25</v>
      </c>
      <c r="D4010" t="s">
        <v>803</v>
      </c>
      <c r="F4010">
        <v>1974</v>
      </c>
      <c r="G4010" s="1" t="s">
        <v>190</v>
      </c>
      <c r="H4010" s="1" t="s">
        <v>429</v>
      </c>
      <c r="I4010">
        <v>0</v>
      </c>
      <c r="J4010">
        <v>16983.954000000002</v>
      </c>
      <c r="K4010">
        <v>0</v>
      </c>
      <c r="L4010">
        <v>1.5970000000000002E-2</v>
      </c>
      <c r="M4010">
        <v>4.6100000000000002E-2</v>
      </c>
      <c r="N4010">
        <v>0.53139999999999998</v>
      </c>
      <c r="O4010">
        <v>3.4079999999999999E-2</v>
      </c>
      <c r="P4010" s="3">
        <f t="shared" si="248"/>
        <v>5887.9104359326448</v>
      </c>
      <c r="Q4010" s="3">
        <f t="shared" si="249"/>
        <v>0</v>
      </c>
      <c r="R4010" s="3">
        <f t="shared" si="250"/>
        <v>1.5970000000000002E-2</v>
      </c>
      <c r="S4010">
        <f t="shared" si="251"/>
        <v>130</v>
      </c>
      <c r="T4010">
        <f>INDEX([1]IDEN_level_ids!$B:$B,MATCH(G4010,[1]IDEN_level_ids!$A:$A,0),1)</f>
        <v>719</v>
      </c>
      <c r="U4010">
        <f>INDEX([1]IDEN_level_ids!$B:$B,MATCH(H4010,[1]IDEN_level_ids!$A:$A,0),1)</f>
        <v>406</v>
      </c>
    </row>
    <row r="4011" spans="1:21" hidden="1" x14ac:dyDescent="0.25">
      <c r="A4011">
        <v>16976.069500000001</v>
      </c>
      <c r="B4011">
        <v>5890.6450000000004</v>
      </c>
      <c r="C4011">
        <v>25</v>
      </c>
      <c r="D4011" t="s">
        <v>803</v>
      </c>
      <c r="F4011">
        <v>1974</v>
      </c>
      <c r="G4011" s="1" t="s">
        <v>186</v>
      </c>
      <c r="H4011" s="1" t="s">
        <v>385</v>
      </c>
      <c r="I4011">
        <v>0</v>
      </c>
      <c r="J4011">
        <v>16976.081600000001</v>
      </c>
      <c r="K4011">
        <v>4.1799999999999997E-3</v>
      </c>
      <c r="L4011">
        <v>1.5980000000000001E-2</v>
      </c>
      <c r="M4011">
        <v>4.6100000000000002E-2</v>
      </c>
      <c r="N4011">
        <v>0.90790000000000004</v>
      </c>
      <c r="O4011">
        <v>0.17347000000000001</v>
      </c>
      <c r="P4011" s="3">
        <f t="shared" si="248"/>
        <v>5890.6450636291274</v>
      </c>
      <c r="Q4011" s="3">
        <f t="shared" si="249"/>
        <v>4.1986606183854747E-3</v>
      </c>
      <c r="R4011" s="3">
        <f t="shared" si="250"/>
        <v>1.5980000000000001E-2</v>
      </c>
      <c r="S4011">
        <f t="shared" si="251"/>
        <v>130</v>
      </c>
      <c r="T4011">
        <f>INDEX([1]IDEN_level_ids!$B:$B,MATCH(G4011,[1]IDEN_level_ids!$A:$A,0),1)</f>
        <v>768</v>
      </c>
      <c r="U4011">
        <f>INDEX([1]IDEN_level_ids!$B:$B,MATCH(H4011,[1]IDEN_level_ids!$A:$A,0),1)</f>
        <v>494</v>
      </c>
    </row>
    <row r="4012" spans="1:21" hidden="1" x14ac:dyDescent="0.25">
      <c r="A4012">
        <v>16959.749299999999</v>
      </c>
      <c r="B4012">
        <v>5896.3136000000004</v>
      </c>
      <c r="C4012">
        <v>25</v>
      </c>
      <c r="D4012" t="s">
        <v>803</v>
      </c>
      <c r="F4012">
        <v>1974</v>
      </c>
      <c r="G4012" s="1" t="s">
        <v>339</v>
      </c>
      <c r="H4012" s="1" t="s">
        <v>345</v>
      </c>
      <c r="I4012">
        <v>0</v>
      </c>
      <c r="J4012">
        <v>16959.755499999999</v>
      </c>
      <c r="K4012">
        <v>2.14E-3</v>
      </c>
      <c r="L4012">
        <v>1.602E-2</v>
      </c>
      <c r="M4012">
        <v>4.6100000000000002E-2</v>
      </c>
      <c r="N4012">
        <v>0.15939999999999999</v>
      </c>
      <c r="O4012">
        <v>1.9050000000000001E-2</v>
      </c>
      <c r="P4012" s="3">
        <f t="shared" si="248"/>
        <v>5896.3135734559473</v>
      </c>
      <c r="Q4012" s="3">
        <f t="shared" si="249"/>
        <v>2.1555230650847079E-3</v>
      </c>
      <c r="R4012" s="3">
        <f t="shared" si="250"/>
        <v>1.602E-2</v>
      </c>
      <c r="S4012">
        <f t="shared" si="251"/>
        <v>130</v>
      </c>
      <c r="T4012">
        <f>INDEX([1]IDEN_level_ids!$B:$B,MATCH(G4012,[1]IDEN_level_ids!$A:$A,0),1)</f>
        <v>1189</v>
      </c>
      <c r="U4012">
        <f>INDEX([1]IDEN_level_ids!$B:$B,MATCH(H4012,[1]IDEN_level_ids!$A:$A,0),1)</f>
        <v>1106</v>
      </c>
    </row>
    <row r="4013" spans="1:21" hidden="1" x14ac:dyDescent="0.25">
      <c r="A4013">
        <v>16957.548699999999</v>
      </c>
      <c r="B4013">
        <v>5897.0787</v>
      </c>
      <c r="C4013">
        <v>25</v>
      </c>
      <c r="D4013" t="s">
        <v>803</v>
      </c>
      <c r="F4013">
        <v>1974</v>
      </c>
      <c r="G4013" s="1" t="s">
        <v>365</v>
      </c>
      <c r="H4013" s="1" t="s">
        <v>309</v>
      </c>
      <c r="I4013">
        <v>0</v>
      </c>
      <c r="J4013">
        <v>16957.569100000001</v>
      </c>
      <c r="K4013">
        <v>7.0899999999999999E-3</v>
      </c>
      <c r="L4013">
        <v>1.602E-2</v>
      </c>
      <c r="M4013">
        <v>4.6100000000000002E-2</v>
      </c>
      <c r="N4013">
        <v>0.32890000000000003</v>
      </c>
      <c r="O4013">
        <v>2.3869999999999999E-2</v>
      </c>
      <c r="P4013" s="3">
        <f t="shared" si="248"/>
        <v>5897.0787446419072</v>
      </c>
      <c r="Q4013" s="3">
        <f t="shared" si="249"/>
        <v>7.0942011607257882E-3</v>
      </c>
      <c r="R4013" s="3">
        <f t="shared" si="250"/>
        <v>1.602E-2</v>
      </c>
      <c r="S4013">
        <f t="shared" si="251"/>
        <v>130</v>
      </c>
      <c r="T4013">
        <f>INDEX([1]IDEN_level_ids!$B:$B,MATCH(G4013,[1]IDEN_level_ids!$A:$A,0),1)</f>
        <v>1143</v>
      </c>
      <c r="U4013">
        <f>INDEX([1]IDEN_level_ids!$B:$B,MATCH(H4013,[1]IDEN_level_ids!$A:$A,0),1)</f>
        <v>1094</v>
      </c>
    </row>
    <row r="4014" spans="1:21" hidden="1" x14ac:dyDescent="0.25">
      <c r="A4014">
        <v>16906.652099999999</v>
      </c>
      <c r="B4014">
        <v>5914.8316000000004</v>
      </c>
      <c r="C4014">
        <v>25</v>
      </c>
      <c r="D4014" t="s">
        <v>804</v>
      </c>
      <c r="E4014" t="s">
        <v>427</v>
      </c>
      <c r="F4014">
        <v>1974</v>
      </c>
      <c r="G4014" s="1" t="s">
        <v>175</v>
      </c>
      <c r="H4014" s="1" t="s">
        <v>388</v>
      </c>
      <c r="I4014">
        <v>0</v>
      </c>
      <c r="J4014">
        <v>16906.657999999999</v>
      </c>
      <c r="K4014">
        <v>2.0699999999999998E-3</v>
      </c>
      <c r="L4014">
        <v>1.7049999999999999E-2</v>
      </c>
      <c r="M4014">
        <v>4.87E-2</v>
      </c>
      <c r="N4014">
        <v>0.47089999999999999</v>
      </c>
      <c r="O4014">
        <v>3.2219999999999999E-2</v>
      </c>
      <c r="P4014" s="3">
        <f t="shared" si="248"/>
        <v>5914.8315946005659</v>
      </c>
      <c r="Q4014" s="3">
        <f t="shared" si="249"/>
        <v>2.0641280143536278E-3</v>
      </c>
      <c r="R4014" s="3">
        <f t="shared" si="250"/>
        <v>1.7049999999999999E-2</v>
      </c>
      <c r="S4014">
        <f t="shared" si="251"/>
        <v>131</v>
      </c>
      <c r="T4014">
        <f>INDEX([1]IDEN_level_ids!$B:$B,MATCH(G4014,[1]IDEN_level_ids!$A:$A,0),1)</f>
        <v>790</v>
      </c>
      <c r="U4014">
        <f>INDEX([1]IDEN_level_ids!$B:$B,MATCH(H4014,[1]IDEN_level_ids!$A:$A,0),1)</f>
        <v>519</v>
      </c>
    </row>
    <row r="4015" spans="1:21" hidden="1" x14ac:dyDescent="0.25">
      <c r="A4015">
        <v>16904.196899999999</v>
      </c>
      <c r="B4015">
        <v>5915.6907000000001</v>
      </c>
      <c r="C4015">
        <v>25</v>
      </c>
      <c r="D4015" t="s">
        <v>804</v>
      </c>
      <c r="F4015">
        <v>1974</v>
      </c>
      <c r="G4015" s="1" t="s">
        <v>805</v>
      </c>
      <c r="H4015" s="1" t="s">
        <v>378</v>
      </c>
      <c r="I4015">
        <v>0</v>
      </c>
      <c r="J4015">
        <v>16904.1921</v>
      </c>
      <c r="K4015">
        <v>-1.66E-3</v>
      </c>
      <c r="L4015">
        <v>1.6119999999999999E-2</v>
      </c>
      <c r="M4015">
        <v>4.6100000000000002E-2</v>
      </c>
      <c r="N4015">
        <v>0.52680000000000005</v>
      </c>
      <c r="O4015">
        <v>3.4070000000000003E-2</v>
      </c>
      <c r="P4015" s="3">
        <f t="shared" si="248"/>
        <v>5915.6906767928149</v>
      </c>
      <c r="Q4015" s="3">
        <f t="shared" si="249"/>
        <v>-1.6797794933154364E-3</v>
      </c>
      <c r="R4015" s="3">
        <f t="shared" si="250"/>
        <v>1.6119999999999999E-2</v>
      </c>
      <c r="S4015">
        <f t="shared" si="251"/>
        <v>131</v>
      </c>
      <c r="T4015">
        <f>INDEX([1]IDEN_level_ids!$B:$B,MATCH(G4015,[1]IDEN_level_ids!$A:$A,0),1)</f>
        <v>661</v>
      </c>
      <c r="U4015">
        <f>INDEX([1]IDEN_level_ids!$B:$B,MATCH(H4015,[1]IDEN_level_ids!$A:$A,0),1)</f>
        <v>319</v>
      </c>
    </row>
    <row r="4016" spans="1:21" hidden="1" x14ac:dyDescent="0.25">
      <c r="A4016">
        <v>16852.7078</v>
      </c>
      <c r="B4016">
        <v>5933.7645000000002</v>
      </c>
      <c r="C4016">
        <v>25</v>
      </c>
      <c r="D4016" t="s">
        <v>804</v>
      </c>
      <c r="F4016">
        <v>1974</v>
      </c>
      <c r="G4016" s="1" t="s">
        <v>339</v>
      </c>
      <c r="H4016" s="1" t="s">
        <v>267</v>
      </c>
      <c r="I4016">
        <v>0</v>
      </c>
      <c r="J4016">
        <v>16852.676299999999</v>
      </c>
      <c r="K4016">
        <v>-1.11E-2</v>
      </c>
      <c r="L4016">
        <v>1.6219999999999998E-2</v>
      </c>
      <c r="M4016">
        <v>4.6100000000000002E-2</v>
      </c>
      <c r="N4016">
        <v>0.14799999999999999</v>
      </c>
      <c r="O4016">
        <v>1.9040000000000001E-2</v>
      </c>
      <c r="P4016" s="3">
        <f t="shared" si="248"/>
        <v>5933.76454316736</v>
      </c>
      <c r="Q4016" s="3">
        <f t="shared" si="249"/>
        <v>-1.1091032651165733E-2</v>
      </c>
      <c r="R4016" s="3">
        <f t="shared" si="250"/>
        <v>1.6219999999999998E-2</v>
      </c>
      <c r="S4016">
        <f t="shared" si="251"/>
        <v>131</v>
      </c>
      <c r="T4016">
        <f>INDEX([1]IDEN_level_ids!$B:$B,MATCH(G4016,[1]IDEN_level_ids!$A:$A,0),1)</f>
        <v>1189</v>
      </c>
      <c r="U4016">
        <f>INDEX([1]IDEN_level_ids!$B:$B,MATCH(H4016,[1]IDEN_level_ids!$A:$A,0),1)</f>
        <v>1104</v>
      </c>
    </row>
    <row r="4017" spans="1:21" hidden="1" x14ac:dyDescent="0.25">
      <c r="A4017">
        <v>16843.201499999999</v>
      </c>
      <c r="B4017">
        <v>5937.1135000000004</v>
      </c>
      <c r="C4017">
        <v>25</v>
      </c>
      <c r="D4017" t="s">
        <v>804</v>
      </c>
      <c r="F4017">
        <v>1974</v>
      </c>
      <c r="G4017" s="1" t="s">
        <v>115</v>
      </c>
      <c r="H4017" s="1" t="s">
        <v>33</v>
      </c>
      <c r="I4017">
        <v>0</v>
      </c>
      <c r="J4017">
        <v>16843.182400000002</v>
      </c>
      <c r="K4017">
        <v>-6.7400000000000003E-3</v>
      </c>
      <c r="L4017">
        <v>1.6240000000000001E-2</v>
      </c>
      <c r="M4017">
        <v>4.6100000000000002E-2</v>
      </c>
      <c r="N4017">
        <v>0.13450000000000001</v>
      </c>
      <c r="O4017">
        <v>1.8759999999999999E-2</v>
      </c>
      <c r="P4017" s="3">
        <f t="shared" si="248"/>
        <v>5937.1135588444995</v>
      </c>
      <c r="Q4017" s="3">
        <f t="shared" si="249"/>
        <v>-6.7326272592254099E-3</v>
      </c>
      <c r="R4017" s="3">
        <f t="shared" si="250"/>
        <v>1.6240000000000001E-2</v>
      </c>
      <c r="S4017">
        <f t="shared" si="251"/>
        <v>131</v>
      </c>
      <c r="T4017">
        <f>INDEX([1]IDEN_level_ids!$B:$B,MATCH(G4017,[1]IDEN_level_ids!$A:$A,0),1)</f>
        <v>1252</v>
      </c>
      <c r="U4017">
        <f>INDEX([1]IDEN_level_ids!$B:$B,MATCH(H4017,[1]IDEN_level_ids!$A:$A,0),1)</f>
        <v>1220</v>
      </c>
    </row>
    <row r="4018" spans="1:21" hidden="1" x14ac:dyDescent="0.25">
      <c r="A4018">
        <v>16816.4791</v>
      </c>
      <c r="B4018">
        <v>5946.5479999999998</v>
      </c>
      <c r="C4018">
        <v>25</v>
      </c>
      <c r="D4018" t="s">
        <v>804</v>
      </c>
      <c r="F4018">
        <v>1974</v>
      </c>
      <c r="G4018" s="1" t="s">
        <v>186</v>
      </c>
      <c r="H4018" s="1" t="s">
        <v>449</v>
      </c>
      <c r="I4018">
        <v>0</v>
      </c>
      <c r="J4018">
        <v>16816.4761</v>
      </c>
      <c r="K4018">
        <v>-1.0499999999999999E-3</v>
      </c>
      <c r="L4018">
        <v>1.6289999999999999E-2</v>
      </c>
      <c r="M4018">
        <v>4.6100000000000002E-2</v>
      </c>
      <c r="N4018">
        <v>0.51919999999999999</v>
      </c>
      <c r="O4018">
        <v>3.388E-2</v>
      </c>
      <c r="P4018" s="3">
        <f t="shared" si="248"/>
        <v>5946.547990536259</v>
      </c>
      <c r="Q4018" s="3">
        <f t="shared" si="249"/>
        <v>-1.0608431794025819E-3</v>
      </c>
      <c r="R4018" s="3">
        <f t="shared" si="250"/>
        <v>1.6289999999999999E-2</v>
      </c>
      <c r="S4018">
        <f t="shared" si="251"/>
        <v>131</v>
      </c>
      <c r="T4018">
        <f>INDEX([1]IDEN_level_ids!$B:$B,MATCH(G4018,[1]IDEN_level_ids!$A:$A,0),1)</f>
        <v>768</v>
      </c>
      <c r="U4018">
        <f>INDEX([1]IDEN_level_ids!$B:$B,MATCH(H4018,[1]IDEN_level_ids!$A:$A,0),1)</f>
        <v>496</v>
      </c>
    </row>
    <row r="4019" spans="1:21" hidden="1" x14ac:dyDescent="0.25">
      <c r="A4019">
        <v>16807.765800000001</v>
      </c>
      <c r="B4019">
        <v>5949.6306999999997</v>
      </c>
      <c r="C4019">
        <v>25</v>
      </c>
      <c r="D4019" t="s">
        <v>804</v>
      </c>
      <c r="F4019">
        <v>1974</v>
      </c>
      <c r="G4019" s="1" t="s">
        <v>736</v>
      </c>
      <c r="H4019" s="1" t="s">
        <v>46</v>
      </c>
      <c r="I4019">
        <v>0</v>
      </c>
      <c r="J4019">
        <v>16807.744900000002</v>
      </c>
      <c r="K4019">
        <v>-7.3800000000000003E-3</v>
      </c>
      <c r="L4019">
        <v>1.6310000000000002E-2</v>
      </c>
      <c r="M4019">
        <v>4.6100000000000002E-2</v>
      </c>
      <c r="N4019">
        <v>0.13930000000000001</v>
      </c>
      <c r="O4019">
        <v>1.8950000000000002E-2</v>
      </c>
      <c r="P4019" s="3">
        <f t="shared" si="248"/>
        <v>5949.6307355734334</v>
      </c>
      <c r="Q4019" s="3">
        <f t="shared" si="249"/>
        <v>-7.3982133299068664E-3</v>
      </c>
      <c r="R4019" s="3">
        <f t="shared" si="250"/>
        <v>1.6310000000000002E-2</v>
      </c>
      <c r="S4019">
        <f t="shared" si="251"/>
        <v>131</v>
      </c>
      <c r="T4019">
        <f>INDEX([1]IDEN_level_ids!$B:$B,MATCH(G4019,[1]IDEN_level_ids!$A:$A,0),1)</f>
        <v>1251</v>
      </c>
      <c r="U4019">
        <f>INDEX([1]IDEN_level_ids!$B:$B,MATCH(H4019,[1]IDEN_level_ids!$A:$A,0),1)</f>
        <v>1212</v>
      </c>
    </row>
    <row r="4020" spans="1:21" hidden="1" x14ac:dyDescent="0.25">
      <c r="A4020">
        <v>16784.994900000002</v>
      </c>
      <c r="B4020">
        <v>5957.7021999999997</v>
      </c>
      <c r="C4020">
        <v>25</v>
      </c>
      <c r="D4020" t="s">
        <v>804</v>
      </c>
      <c r="E4020" t="s">
        <v>427</v>
      </c>
      <c r="F4020">
        <v>1974</v>
      </c>
      <c r="G4020" s="1" t="s">
        <v>120</v>
      </c>
      <c r="H4020" s="1" t="s">
        <v>62</v>
      </c>
      <c r="I4020">
        <v>0</v>
      </c>
      <c r="J4020">
        <v>16784.987000000001</v>
      </c>
      <c r="K4020">
        <v>-2.7699999999999999E-3</v>
      </c>
      <c r="L4020">
        <v>1.7299999999999999E-2</v>
      </c>
      <c r="M4020">
        <v>4.87E-2</v>
      </c>
      <c r="N4020">
        <v>0.2155</v>
      </c>
      <c r="O4020">
        <v>2.205E-2</v>
      </c>
      <c r="P4020" s="3">
        <f t="shared" si="248"/>
        <v>5957.70213787792</v>
      </c>
      <c r="Q4020" s="3">
        <f t="shared" si="249"/>
        <v>-2.8040442866767989E-3</v>
      </c>
      <c r="R4020" s="3">
        <f t="shared" si="250"/>
        <v>1.7299999999999999E-2</v>
      </c>
      <c r="S4020">
        <f t="shared" si="251"/>
        <v>131</v>
      </c>
      <c r="T4020">
        <f>INDEX([1]IDEN_level_ids!$B:$B,MATCH(G4020,[1]IDEN_level_ids!$A:$A,0),1)</f>
        <v>1250</v>
      </c>
      <c r="U4020">
        <f>INDEX([1]IDEN_level_ids!$B:$B,MATCH(H4020,[1]IDEN_level_ids!$A:$A,0),1)</f>
        <v>1203</v>
      </c>
    </row>
    <row r="4021" spans="1:21" hidden="1" x14ac:dyDescent="0.25">
      <c r="A4021">
        <v>16768.435799999999</v>
      </c>
      <c r="B4021">
        <v>5963.5855000000001</v>
      </c>
      <c r="C4021">
        <v>25</v>
      </c>
      <c r="D4021" t="s">
        <v>804</v>
      </c>
      <c r="F4021">
        <v>1974</v>
      </c>
      <c r="G4021" s="1" t="s">
        <v>729</v>
      </c>
      <c r="H4021" s="1" t="s">
        <v>288</v>
      </c>
      <c r="I4021">
        <v>0</v>
      </c>
      <c r="J4021">
        <v>16768.411100000001</v>
      </c>
      <c r="K4021">
        <v>-8.7600000000000004E-3</v>
      </c>
      <c r="L4021">
        <v>1.6379999999999999E-2</v>
      </c>
      <c r="M4021">
        <v>4.6100000000000002E-2</v>
      </c>
      <c r="N4021">
        <v>0.13769999999999999</v>
      </c>
      <c r="O4021">
        <v>1.9E-2</v>
      </c>
      <c r="P4021" s="3">
        <f t="shared" si="248"/>
        <v>5963.5854645428526</v>
      </c>
      <c r="Q4021" s="3">
        <f t="shared" si="249"/>
        <v>-8.7844077825138811E-3</v>
      </c>
      <c r="R4021" s="3">
        <f t="shared" si="250"/>
        <v>1.6379999999999999E-2</v>
      </c>
      <c r="S4021">
        <f t="shared" si="251"/>
        <v>131</v>
      </c>
      <c r="T4021">
        <f>INDEX([1]IDEN_level_ids!$B:$B,MATCH(G4021,[1]IDEN_level_ids!$A:$A,0),1)</f>
        <v>1243</v>
      </c>
      <c r="U4021">
        <f>INDEX([1]IDEN_level_ids!$B:$B,MATCH(H4021,[1]IDEN_level_ids!$A:$A,0),1)</f>
        <v>1151</v>
      </c>
    </row>
    <row r="4022" spans="1:21" hidden="1" x14ac:dyDescent="0.25">
      <c r="A4022">
        <v>16745.196800000002</v>
      </c>
      <c r="B4022">
        <v>5971.8617000000004</v>
      </c>
      <c r="C4022">
        <v>25</v>
      </c>
      <c r="D4022" t="s">
        <v>804</v>
      </c>
      <c r="F4022">
        <v>1974</v>
      </c>
      <c r="G4022" s="1" t="s">
        <v>710</v>
      </c>
      <c r="H4022" s="1" t="s">
        <v>271</v>
      </c>
      <c r="I4022">
        <v>0</v>
      </c>
      <c r="J4022">
        <v>16745.1993</v>
      </c>
      <c r="K4022">
        <v>8.7000000000000001E-4</v>
      </c>
      <c r="L4022">
        <v>1.643E-2</v>
      </c>
      <c r="M4022">
        <v>4.6100000000000002E-2</v>
      </c>
      <c r="N4022">
        <v>8.3699999999999997E-2</v>
      </c>
      <c r="O4022">
        <v>1.7930000000000001E-2</v>
      </c>
      <c r="P4022" s="3">
        <f t="shared" si="248"/>
        <v>5971.8617341063436</v>
      </c>
      <c r="Q4022" s="3">
        <f t="shared" si="249"/>
        <v>8.9157818092644447E-4</v>
      </c>
      <c r="R4022" s="3">
        <f t="shared" si="250"/>
        <v>1.643E-2</v>
      </c>
      <c r="S4022">
        <f t="shared" si="251"/>
        <v>131</v>
      </c>
      <c r="T4022">
        <f>INDEX([1]IDEN_level_ids!$B:$B,MATCH(G4022,[1]IDEN_level_ids!$A:$A,0),1)</f>
        <v>1246</v>
      </c>
      <c r="U4022">
        <f>INDEX([1]IDEN_level_ids!$B:$B,MATCH(H4022,[1]IDEN_level_ids!$A:$A,0),1)</f>
        <v>1158</v>
      </c>
    </row>
    <row r="4023" spans="1:21" hidden="1" x14ac:dyDescent="0.25">
      <c r="A4023">
        <v>16734.3629</v>
      </c>
      <c r="B4023">
        <v>5975.7278999999999</v>
      </c>
      <c r="C4023">
        <v>25</v>
      </c>
      <c r="D4023" t="s">
        <v>804</v>
      </c>
      <c r="F4023">
        <v>1974</v>
      </c>
      <c r="G4023" s="1" t="s">
        <v>233</v>
      </c>
      <c r="H4023" s="1" t="s">
        <v>449</v>
      </c>
      <c r="I4023">
        <v>0</v>
      </c>
      <c r="J4023">
        <v>16734.3534</v>
      </c>
      <c r="K4023">
        <v>-3.3899999999999998E-3</v>
      </c>
      <c r="L4023">
        <v>1.6449999999999999E-2</v>
      </c>
      <c r="M4023">
        <v>4.6100000000000002E-2</v>
      </c>
      <c r="N4023">
        <v>0.51670000000000005</v>
      </c>
      <c r="O4023">
        <v>3.4029999999999998E-2</v>
      </c>
      <c r="P4023" s="3">
        <f t="shared" si="248"/>
        <v>5975.7279436075814</v>
      </c>
      <c r="Q4023" s="3">
        <f t="shared" si="249"/>
        <v>-3.3923877490451559E-3</v>
      </c>
      <c r="R4023" s="3">
        <f t="shared" si="250"/>
        <v>1.6449999999999999E-2</v>
      </c>
      <c r="S4023">
        <f t="shared" si="251"/>
        <v>131</v>
      </c>
      <c r="T4023">
        <f>INDEX([1]IDEN_level_ids!$B:$B,MATCH(G4023,[1]IDEN_level_ids!$A:$A,0),1)</f>
        <v>766</v>
      </c>
      <c r="U4023">
        <f>INDEX([1]IDEN_level_ids!$B:$B,MATCH(H4023,[1]IDEN_level_ids!$A:$A,0),1)</f>
        <v>496</v>
      </c>
    </row>
    <row r="4024" spans="1:21" hidden="1" x14ac:dyDescent="0.25">
      <c r="A4024">
        <v>16722.827799999999</v>
      </c>
      <c r="B4024">
        <v>5979.8499000000002</v>
      </c>
      <c r="C4024">
        <v>25</v>
      </c>
      <c r="D4024" t="s">
        <v>804</v>
      </c>
      <c r="F4024">
        <v>1974</v>
      </c>
      <c r="G4024" s="1" t="s">
        <v>300</v>
      </c>
      <c r="H4024" s="1" t="s">
        <v>380</v>
      </c>
      <c r="I4024">
        <v>0</v>
      </c>
      <c r="J4024">
        <v>16722.8017</v>
      </c>
      <c r="K4024">
        <v>-9.3299999999999998E-3</v>
      </c>
      <c r="L4024">
        <v>1.6469999999999999E-2</v>
      </c>
      <c r="M4024">
        <v>4.6100000000000002E-2</v>
      </c>
      <c r="N4024">
        <v>0.53910000000000002</v>
      </c>
      <c r="O4024">
        <v>3.5740000000000001E-2</v>
      </c>
      <c r="P4024" s="3">
        <f t="shared" si="248"/>
        <v>5979.8498911768984</v>
      </c>
      <c r="Q4024" s="3">
        <f t="shared" si="249"/>
        <v>-9.333010398222541E-3</v>
      </c>
      <c r="R4024" s="3">
        <f t="shared" si="250"/>
        <v>1.6469999999999999E-2</v>
      </c>
      <c r="S4024">
        <f t="shared" si="251"/>
        <v>131</v>
      </c>
      <c r="T4024">
        <f>INDEX([1]IDEN_level_ids!$B:$B,MATCH(G4024,[1]IDEN_level_ids!$A:$A,0),1)</f>
        <v>783</v>
      </c>
      <c r="U4024">
        <f>INDEX([1]IDEN_level_ids!$B:$B,MATCH(H4024,[1]IDEN_level_ids!$A:$A,0),1)</f>
        <v>520</v>
      </c>
    </row>
    <row r="4025" spans="1:21" hidden="1" x14ac:dyDescent="0.25">
      <c r="A4025">
        <v>16679.4094</v>
      </c>
      <c r="B4025">
        <v>5995.4161000000004</v>
      </c>
      <c r="C4025">
        <v>25</v>
      </c>
      <c r="D4025" t="s">
        <v>804</v>
      </c>
      <c r="F4025">
        <v>1974</v>
      </c>
      <c r="G4025" s="1" t="s">
        <v>164</v>
      </c>
      <c r="H4025" s="1" t="s">
        <v>388</v>
      </c>
      <c r="I4025">
        <v>0</v>
      </c>
      <c r="J4025">
        <v>16679.4018</v>
      </c>
      <c r="K4025">
        <v>-2.7499999999999998E-3</v>
      </c>
      <c r="L4025">
        <v>1.6559999999999998E-2</v>
      </c>
      <c r="M4025">
        <v>4.6100000000000002E-2</v>
      </c>
      <c r="N4025">
        <v>0.52180000000000004</v>
      </c>
      <c r="O4025">
        <v>3.4630000000000001E-2</v>
      </c>
      <c r="P4025" s="3">
        <f t="shared" si="248"/>
        <v>5995.4161206691169</v>
      </c>
      <c r="Q4025" s="3">
        <f t="shared" si="249"/>
        <v>-2.7318223437760025E-3</v>
      </c>
      <c r="R4025" s="3">
        <f t="shared" si="250"/>
        <v>1.6559999999999998E-2</v>
      </c>
      <c r="S4025">
        <f t="shared" si="251"/>
        <v>131</v>
      </c>
      <c r="T4025">
        <f>INDEX([1]IDEN_level_ids!$B:$B,MATCH(G4025,[1]IDEN_level_ids!$A:$A,0),1)</f>
        <v>787</v>
      </c>
      <c r="U4025">
        <f>INDEX([1]IDEN_level_ids!$B:$B,MATCH(H4025,[1]IDEN_level_ids!$A:$A,0),1)</f>
        <v>519</v>
      </c>
    </row>
    <row r="4026" spans="1:21" hidden="1" x14ac:dyDescent="0.25">
      <c r="A4026">
        <v>16664.984499999999</v>
      </c>
      <c r="B4026">
        <v>6000.6055999999999</v>
      </c>
      <c r="C4026">
        <v>25</v>
      </c>
      <c r="D4026" t="s">
        <v>806</v>
      </c>
      <c r="E4026" t="s">
        <v>427</v>
      </c>
      <c r="F4026">
        <v>1974</v>
      </c>
      <c r="G4026" s="1" t="s">
        <v>115</v>
      </c>
      <c r="H4026" s="1" t="s">
        <v>56</v>
      </c>
      <c r="I4026">
        <v>0</v>
      </c>
      <c r="J4026">
        <v>16665.003499999999</v>
      </c>
      <c r="K4026">
        <v>6.8399999999999997E-3</v>
      </c>
      <c r="L4026">
        <v>1.755E-2</v>
      </c>
      <c r="M4026">
        <v>4.87E-2</v>
      </c>
      <c r="N4026">
        <v>0.13489999999999999</v>
      </c>
      <c r="O4026">
        <v>2.0279999999999999E-2</v>
      </c>
      <c r="P4026" s="3">
        <f t="shared" si="248"/>
        <v>6000.6056411273594</v>
      </c>
      <c r="Q4026" s="3">
        <f t="shared" si="249"/>
        <v>6.841373131464934E-3</v>
      </c>
      <c r="R4026" s="3">
        <f t="shared" si="250"/>
        <v>1.755E-2</v>
      </c>
      <c r="S4026">
        <f t="shared" si="251"/>
        <v>132</v>
      </c>
      <c r="T4026">
        <f>INDEX([1]IDEN_level_ids!$B:$B,MATCH(G4026,[1]IDEN_level_ids!$A:$A,0),1)</f>
        <v>1252</v>
      </c>
      <c r="U4026">
        <f>INDEX([1]IDEN_level_ids!$B:$B,MATCH(H4026,[1]IDEN_level_ids!$A:$A,0),1)</f>
        <v>1221</v>
      </c>
    </row>
    <row r="4027" spans="1:21" hidden="1" x14ac:dyDescent="0.25">
      <c r="A4027">
        <v>16628.136600000002</v>
      </c>
      <c r="B4027">
        <v>6013.9030000000002</v>
      </c>
      <c r="C4027">
        <v>25</v>
      </c>
      <c r="D4027" t="s">
        <v>806</v>
      </c>
      <c r="F4027">
        <v>1974</v>
      </c>
      <c r="G4027" s="1" t="s">
        <v>169</v>
      </c>
      <c r="H4027" s="1" t="s">
        <v>463</v>
      </c>
      <c r="I4027">
        <v>0</v>
      </c>
      <c r="J4027">
        <v>16628.159100000001</v>
      </c>
      <c r="K4027">
        <v>8.1700000000000002E-3</v>
      </c>
      <c r="L4027">
        <v>1.6660000000000001E-2</v>
      </c>
      <c r="M4027">
        <v>4.6100000000000002E-2</v>
      </c>
      <c r="N4027">
        <v>0.40229999999999999</v>
      </c>
      <c r="O4027">
        <v>2.7879999999999999E-2</v>
      </c>
      <c r="P4027" s="3">
        <f t="shared" si="248"/>
        <v>6013.9029649299364</v>
      </c>
      <c r="Q4027" s="3">
        <f t="shared" si="249"/>
        <v>8.1375704849051544E-3</v>
      </c>
      <c r="R4027" s="3">
        <f t="shared" si="250"/>
        <v>1.6660000000000001E-2</v>
      </c>
      <c r="S4027">
        <f t="shared" si="251"/>
        <v>132</v>
      </c>
      <c r="T4027">
        <f>INDEX([1]IDEN_level_ids!$B:$B,MATCH(G4027,[1]IDEN_level_ids!$A:$A,0),1)</f>
        <v>727</v>
      </c>
      <c r="U4027">
        <f>INDEX([1]IDEN_level_ids!$B:$B,MATCH(H4027,[1]IDEN_level_ids!$A:$A,0),1)</f>
        <v>447</v>
      </c>
    </row>
    <row r="4028" spans="1:21" hidden="1" x14ac:dyDescent="0.25">
      <c r="A4028">
        <v>16606.360100000002</v>
      </c>
      <c r="B4028">
        <v>6021.7892000000002</v>
      </c>
      <c r="C4028">
        <v>25</v>
      </c>
      <c r="D4028" t="s">
        <v>806</v>
      </c>
      <c r="F4028">
        <v>1974</v>
      </c>
      <c r="G4028" s="1" t="s">
        <v>168</v>
      </c>
      <c r="H4028" s="1" t="s">
        <v>463</v>
      </c>
      <c r="I4028">
        <v>0</v>
      </c>
      <c r="J4028">
        <v>16606.3482</v>
      </c>
      <c r="K4028">
        <v>-4.3299999999999996E-3</v>
      </c>
      <c r="L4028">
        <v>1.67E-2</v>
      </c>
      <c r="M4028">
        <v>4.6100000000000002E-2</v>
      </c>
      <c r="N4028">
        <v>0.39500000000000002</v>
      </c>
      <c r="O4028">
        <v>2.7609999999999999E-2</v>
      </c>
      <c r="P4028" s="3">
        <f t="shared" si="248"/>
        <v>6021.7892059320084</v>
      </c>
      <c r="Q4028" s="3">
        <f t="shared" si="249"/>
        <v>-4.3151745767318062E-3</v>
      </c>
      <c r="R4028" s="3">
        <f t="shared" si="250"/>
        <v>1.67E-2</v>
      </c>
      <c r="S4028">
        <f t="shared" si="251"/>
        <v>132</v>
      </c>
      <c r="T4028">
        <f>INDEX([1]IDEN_level_ids!$B:$B,MATCH(G4028,[1]IDEN_level_ids!$A:$A,0),1)</f>
        <v>729</v>
      </c>
      <c r="U4028">
        <f>INDEX([1]IDEN_level_ids!$B:$B,MATCH(H4028,[1]IDEN_level_ids!$A:$A,0),1)</f>
        <v>447</v>
      </c>
    </row>
    <row r="4029" spans="1:21" hidden="1" x14ac:dyDescent="0.25">
      <c r="A4029">
        <v>16593.386500000001</v>
      </c>
      <c r="B4029">
        <v>6026.4974000000002</v>
      </c>
      <c r="C4029">
        <v>25</v>
      </c>
      <c r="D4029" t="s">
        <v>806</v>
      </c>
      <c r="F4029">
        <v>1974</v>
      </c>
      <c r="G4029" s="1" t="s">
        <v>710</v>
      </c>
      <c r="H4029" s="1" t="s">
        <v>265</v>
      </c>
      <c r="I4029">
        <v>0</v>
      </c>
      <c r="J4029">
        <v>16593.383999999998</v>
      </c>
      <c r="K4029">
        <v>-9.3000000000000005E-4</v>
      </c>
      <c r="L4029">
        <v>1.6729999999999998E-2</v>
      </c>
      <c r="M4029">
        <v>4.6100000000000002E-2</v>
      </c>
      <c r="N4029">
        <v>9.9299999999999999E-2</v>
      </c>
      <c r="O4029">
        <v>1.8579999999999999E-2</v>
      </c>
      <c r="P4029" s="3">
        <f t="shared" si="248"/>
        <v>6026.4973638744568</v>
      </c>
      <c r="Q4029" s="3">
        <f t="shared" si="249"/>
        <v>-9.0796689983108081E-4</v>
      </c>
      <c r="R4029" s="3">
        <f t="shared" si="250"/>
        <v>1.6729999999999998E-2</v>
      </c>
      <c r="S4029">
        <f t="shared" si="251"/>
        <v>132</v>
      </c>
      <c r="T4029">
        <f>INDEX([1]IDEN_level_ids!$B:$B,MATCH(G4029,[1]IDEN_level_ids!$A:$A,0),1)</f>
        <v>1246</v>
      </c>
      <c r="U4029">
        <f>INDEX([1]IDEN_level_ids!$B:$B,MATCH(H4029,[1]IDEN_level_ids!$A:$A,0),1)</f>
        <v>1161</v>
      </c>
    </row>
    <row r="4030" spans="1:21" hidden="1" x14ac:dyDescent="0.25">
      <c r="A4030">
        <v>16569.396799999999</v>
      </c>
      <c r="B4030">
        <v>6035.2227000000003</v>
      </c>
      <c r="C4030">
        <v>25</v>
      </c>
      <c r="D4030" t="s">
        <v>806</v>
      </c>
      <c r="E4030" t="s">
        <v>427</v>
      </c>
      <c r="F4030">
        <v>1974</v>
      </c>
      <c r="G4030" s="1" t="s">
        <v>133</v>
      </c>
      <c r="H4030" s="1" t="s">
        <v>392</v>
      </c>
      <c r="I4030">
        <v>0</v>
      </c>
      <c r="J4030">
        <v>16569.387699999999</v>
      </c>
      <c r="K4030">
        <v>-3.32E-3</v>
      </c>
      <c r="L4030">
        <v>1.7749999999999998E-2</v>
      </c>
      <c r="M4030">
        <v>4.87E-2</v>
      </c>
      <c r="N4030">
        <v>0.54559999999999997</v>
      </c>
      <c r="O4030">
        <v>3.9059999999999997E-2</v>
      </c>
      <c r="P4030" s="3">
        <f t="shared" si="248"/>
        <v>6035.2227185482097</v>
      </c>
      <c r="Q4030" s="3">
        <f t="shared" si="249"/>
        <v>-3.3145779270853382E-3</v>
      </c>
      <c r="R4030" s="3">
        <f t="shared" si="250"/>
        <v>1.7749999999999998E-2</v>
      </c>
      <c r="S4030">
        <f t="shared" si="251"/>
        <v>132</v>
      </c>
      <c r="T4030">
        <f>INDEX([1]IDEN_level_ids!$B:$B,MATCH(G4030,[1]IDEN_level_ids!$A:$A,0),1)</f>
        <v>765</v>
      </c>
      <c r="U4030">
        <f>INDEX([1]IDEN_level_ids!$B:$B,MATCH(H4030,[1]IDEN_level_ids!$A:$A,0),1)</f>
        <v>498</v>
      </c>
    </row>
    <row r="4031" spans="1:21" hidden="1" x14ac:dyDescent="0.25">
      <c r="A4031">
        <v>16547.664100000002</v>
      </c>
      <c r="B4031">
        <v>6043.1490000000003</v>
      </c>
      <c r="C4031">
        <v>25</v>
      </c>
      <c r="D4031" t="s">
        <v>806</v>
      </c>
      <c r="F4031">
        <v>1974</v>
      </c>
      <c r="G4031" s="1" t="s">
        <v>168</v>
      </c>
      <c r="H4031" s="1" t="s">
        <v>397</v>
      </c>
      <c r="I4031">
        <v>0</v>
      </c>
      <c r="J4031">
        <v>16547.662</v>
      </c>
      <c r="K4031">
        <v>-7.6999999999999996E-4</v>
      </c>
      <c r="L4031">
        <v>1.6820000000000002E-2</v>
      </c>
      <c r="M4031">
        <v>4.6100000000000002E-2</v>
      </c>
      <c r="N4031">
        <v>0.53169999999999995</v>
      </c>
      <c r="O4031">
        <v>3.5920000000000001E-2</v>
      </c>
      <c r="P4031" s="3">
        <f t="shared" si="248"/>
        <v>6043.1490146092574</v>
      </c>
      <c r="Q4031" s="3">
        <f t="shared" si="249"/>
        <v>-7.6691274807672016E-4</v>
      </c>
      <c r="R4031" s="3">
        <f t="shared" si="250"/>
        <v>1.6820000000000002E-2</v>
      </c>
      <c r="S4031">
        <f t="shared" si="251"/>
        <v>132</v>
      </c>
      <c r="T4031">
        <f>INDEX([1]IDEN_level_ids!$B:$B,MATCH(G4031,[1]IDEN_level_ids!$A:$A,0),1)</f>
        <v>729</v>
      </c>
      <c r="U4031">
        <f>INDEX([1]IDEN_level_ids!$B:$B,MATCH(H4031,[1]IDEN_level_ids!$A:$A,0),1)</f>
        <v>446</v>
      </c>
    </row>
    <row r="4032" spans="1:21" hidden="1" x14ac:dyDescent="0.25">
      <c r="A4032">
        <v>16516.141199999998</v>
      </c>
      <c r="B4032">
        <v>6054.683</v>
      </c>
      <c r="C4032">
        <v>25</v>
      </c>
      <c r="D4032" t="s">
        <v>806</v>
      </c>
      <c r="E4032" t="s">
        <v>427</v>
      </c>
      <c r="F4032">
        <v>1974</v>
      </c>
      <c r="G4032" s="1" t="s">
        <v>125</v>
      </c>
      <c r="H4032" s="1" t="s">
        <v>68</v>
      </c>
      <c r="I4032">
        <v>0</v>
      </c>
      <c r="J4032">
        <v>16516.1535</v>
      </c>
      <c r="K4032">
        <v>4.4900000000000001E-3</v>
      </c>
      <c r="L4032">
        <v>1.7860000000000001E-2</v>
      </c>
      <c r="M4032">
        <v>4.87E-2</v>
      </c>
      <c r="N4032">
        <v>0.14940000000000001</v>
      </c>
      <c r="O4032">
        <v>2.1000000000000001E-2</v>
      </c>
      <c r="P4032" s="3">
        <f t="shared" si="248"/>
        <v>6054.6830394014805</v>
      </c>
      <c r="Q4032" s="3">
        <f t="shared" si="249"/>
        <v>4.5090766079738387E-3</v>
      </c>
      <c r="R4032" s="3">
        <f t="shared" si="250"/>
        <v>1.7860000000000001E-2</v>
      </c>
      <c r="S4032">
        <f t="shared" si="251"/>
        <v>132</v>
      </c>
      <c r="T4032">
        <f>INDEX([1]IDEN_level_ids!$B:$B,MATCH(G4032,[1]IDEN_level_ids!$A:$A,0),1)</f>
        <v>1253</v>
      </c>
      <c r="U4032">
        <f>INDEX([1]IDEN_level_ids!$B:$B,MATCH(H4032,[1]IDEN_level_ids!$A:$A,0),1)</f>
        <v>1229</v>
      </c>
    </row>
    <row r="4033" spans="1:21" hidden="1" x14ac:dyDescent="0.25">
      <c r="A4033">
        <v>16477.920900000001</v>
      </c>
      <c r="B4033">
        <v>6068.7268000000004</v>
      </c>
      <c r="C4033">
        <v>25</v>
      </c>
      <c r="D4033" t="s">
        <v>806</v>
      </c>
      <c r="F4033">
        <v>1974</v>
      </c>
      <c r="G4033" s="1" t="s">
        <v>76</v>
      </c>
      <c r="H4033" s="1" t="s">
        <v>799</v>
      </c>
      <c r="I4033">
        <v>0</v>
      </c>
      <c r="J4033">
        <v>16477.89</v>
      </c>
      <c r="K4033">
        <v>-1.136E-2</v>
      </c>
      <c r="L4033">
        <v>1.6969999999999999E-2</v>
      </c>
      <c r="M4033">
        <v>4.6100000000000002E-2</v>
      </c>
      <c r="N4033">
        <v>0.1988</v>
      </c>
      <c r="O4033">
        <v>2.1180000000000001E-2</v>
      </c>
      <c r="P4033" s="3">
        <f t="shared" si="248"/>
        <v>6068.7267894337319</v>
      </c>
      <c r="Q4033" s="3">
        <f t="shared" si="249"/>
        <v>-1.1380319798263372E-2</v>
      </c>
      <c r="R4033" s="3">
        <f t="shared" si="250"/>
        <v>1.6969999999999999E-2</v>
      </c>
      <c r="S4033">
        <f t="shared" si="251"/>
        <v>132</v>
      </c>
      <c r="T4033">
        <f>INDEX([1]IDEN_level_ids!$B:$B,MATCH(G4033,[1]IDEN_level_ids!$A:$A,0),1)</f>
        <v>1194</v>
      </c>
      <c r="U4033">
        <f>INDEX([1]IDEN_level_ids!$B:$B,MATCH(H4033,[1]IDEN_level_ids!$A:$A,0),1)</f>
        <v>1113</v>
      </c>
    </row>
    <row r="4034" spans="1:21" hidden="1" x14ac:dyDescent="0.25">
      <c r="A4034">
        <v>16466.958600000002</v>
      </c>
      <c r="B4034">
        <v>6072.7668000000003</v>
      </c>
      <c r="C4034">
        <v>25</v>
      </c>
      <c r="D4034" t="s">
        <v>806</v>
      </c>
      <c r="F4034">
        <v>1974</v>
      </c>
      <c r="G4034" s="1" t="s">
        <v>736</v>
      </c>
      <c r="H4034" s="1" t="s">
        <v>51</v>
      </c>
      <c r="I4034">
        <v>0</v>
      </c>
      <c r="J4034">
        <v>16466.939900000001</v>
      </c>
      <c r="K4034">
        <v>-6.9199999999999999E-3</v>
      </c>
      <c r="L4034">
        <v>1.6990000000000002E-2</v>
      </c>
      <c r="M4034">
        <v>4.6100000000000002E-2</v>
      </c>
      <c r="N4034">
        <v>0.15329999999999999</v>
      </c>
      <c r="O4034">
        <v>2.0060000000000001E-2</v>
      </c>
      <c r="P4034" s="3">
        <f t="shared" ref="P4034:P4097" si="252">100000000/$A4034</f>
        <v>6072.7668313928953</v>
      </c>
      <c r="Q4034" s="3">
        <f t="shared" ref="Q4034:Q4097" si="253">100000000/($A4034)-100000000/$J4034</f>
        <v>-6.8962867690061103E-3</v>
      </c>
      <c r="R4034" s="3">
        <f t="shared" si="250"/>
        <v>1.6990000000000002E-2</v>
      </c>
      <c r="S4034">
        <f t="shared" si="251"/>
        <v>132</v>
      </c>
      <c r="T4034">
        <f>INDEX([1]IDEN_level_ids!$B:$B,MATCH(G4034,[1]IDEN_level_ids!$A:$A,0),1)</f>
        <v>1251</v>
      </c>
      <c r="U4034">
        <f>INDEX([1]IDEN_level_ids!$B:$B,MATCH(H4034,[1]IDEN_level_ids!$A:$A,0),1)</f>
        <v>1213</v>
      </c>
    </row>
    <row r="4035" spans="1:21" hidden="1" x14ac:dyDescent="0.25">
      <c r="A4035">
        <v>16415.773399999998</v>
      </c>
      <c r="B4035">
        <v>6091.7020000000002</v>
      </c>
      <c r="C4035">
        <v>25</v>
      </c>
      <c r="D4035" t="s">
        <v>806</v>
      </c>
      <c r="E4035" t="s">
        <v>427</v>
      </c>
      <c r="F4035">
        <v>1974</v>
      </c>
      <c r="G4035" s="1" t="s">
        <v>736</v>
      </c>
      <c r="H4035" s="1" t="s">
        <v>49</v>
      </c>
      <c r="I4035">
        <v>0</v>
      </c>
      <c r="J4035">
        <v>16415.7837</v>
      </c>
      <c r="K4035">
        <v>3.81E-3</v>
      </c>
      <c r="L4035">
        <v>1.8079999999999999E-2</v>
      </c>
      <c r="M4035">
        <v>4.87E-2</v>
      </c>
      <c r="N4035">
        <v>0.12959999999999999</v>
      </c>
      <c r="O4035">
        <v>2.078E-2</v>
      </c>
      <c r="P4035" s="3">
        <f t="shared" si="252"/>
        <v>6091.702021179216</v>
      </c>
      <c r="Q4035" s="3">
        <f t="shared" si="253"/>
        <v>3.822207454504678E-3</v>
      </c>
      <c r="R4035" s="3">
        <f t="shared" ref="R4035:R4098" si="254">$L4035</f>
        <v>1.8079999999999999E-2</v>
      </c>
      <c r="S4035">
        <f t="shared" si="251"/>
        <v>132</v>
      </c>
      <c r="T4035">
        <f>INDEX([1]IDEN_level_ids!$B:$B,MATCH(G4035,[1]IDEN_level_ids!$A:$A,0),1)</f>
        <v>1251</v>
      </c>
      <c r="U4035">
        <f>INDEX([1]IDEN_level_ids!$B:$B,MATCH(H4035,[1]IDEN_level_ids!$A:$A,0),1)</f>
        <v>1214</v>
      </c>
    </row>
    <row r="4036" spans="1:21" hidden="1" x14ac:dyDescent="0.25">
      <c r="A4036">
        <v>16414.099900000001</v>
      </c>
      <c r="B4036">
        <v>6092.3230999999996</v>
      </c>
      <c r="C4036">
        <v>25</v>
      </c>
      <c r="D4036" t="s">
        <v>806</v>
      </c>
      <c r="E4036" t="s">
        <v>427</v>
      </c>
      <c r="F4036">
        <v>1974</v>
      </c>
      <c r="G4036" s="1" t="s">
        <v>714</v>
      </c>
      <c r="H4036" s="1" t="s">
        <v>238</v>
      </c>
      <c r="I4036">
        <v>0</v>
      </c>
      <c r="J4036">
        <v>16414.0533</v>
      </c>
      <c r="K4036">
        <v>-1.7299999999999999E-2</v>
      </c>
      <c r="L4036">
        <v>1.8089999999999998E-2</v>
      </c>
      <c r="M4036">
        <v>4.87E-2</v>
      </c>
      <c r="N4036">
        <v>8.8599999999999998E-2</v>
      </c>
      <c r="O4036">
        <v>1.984E-2</v>
      </c>
      <c r="P4036" s="3">
        <f t="shared" si="252"/>
        <v>6092.3231008238226</v>
      </c>
      <c r="Q4036" s="3">
        <f t="shared" si="253"/>
        <v>-1.7296291861384816E-2</v>
      </c>
      <c r="R4036" s="3">
        <f t="shared" si="254"/>
        <v>1.8089999999999998E-2</v>
      </c>
      <c r="S4036">
        <f t="shared" ref="S4036:S4099" si="255">IF(D4036=D4035,S4035,S4035+1)</f>
        <v>132</v>
      </c>
      <c r="T4036">
        <f>INDEX([1]IDEN_level_ids!$B:$B,MATCH(G4036,[1]IDEN_level_ids!$A:$A,0),1)</f>
        <v>1248</v>
      </c>
      <c r="U4036">
        <f>INDEX([1]IDEN_level_ids!$B:$B,MATCH(H4036,[1]IDEN_level_ids!$A:$A,0),1)</f>
        <v>1165</v>
      </c>
    </row>
    <row r="4037" spans="1:21" hidden="1" x14ac:dyDescent="0.25">
      <c r="A4037">
        <v>16390.5288</v>
      </c>
      <c r="B4037">
        <v>6101.0843999999997</v>
      </c>
      <c r="C4037">
        <v>25</v>
      </c>
      <c r="D4037" t="s">
        <v>806</v>
      </c>
      <c r="E4037" t="s">
        <v>681</v>
      </c>
      <c r="F4037">
        <v>1974</v>
      </c>
      <c r="G4037" s="1" t="s">
        <v>729</v>
      </c>
      <c r="H4037" s="1" t="s">
        <v>301</v>
      </c>
      <c r="I4037">
        <v>1.0456000000000001</v>
      </c>
      <c r="J4037">
        <v>16390.525900000001</v>
      </c>
      <c r="K4037">
        <v>-1.09E-3</v>
      </c>
      <c r="L4037">
        <v>2.9899999999999999E-2</v>
      </c>
      <c r="M4037">
        <v>8.0299999999999996E-2</v>
      </c>
      <c r="N4037">
        <v>7.0499999999999993E-2</v>
      </c>
      <c r="O4037">
        <v>3.2160000000000001E-2</v>
      </c>
      <c r="P4037" s="3">
        <f t="shared" si="252"/>
        <v>6101.0844262693954</v>
      </c>
      <c r="Q4037" s="3">
        <f t="shared" si="253"/>
        <v>-1.0794738946060534E-3</v>
      </c>
      <c r="R4037" s="3">
        <f t="shared" si="254"/>
        <v>2.9899999999999999E-2</v>
      </c>
      <c r="S4037">
        <f t="shared" si="255"/>
        <v>132</v>
      </c>
      <c r="T4037">
        <f>INDEX([1]IDEN_level_ids!$B:$B,MATCH(G4037,[1]IDEN_level_ids!$A:$A,0),1)</f>
        <v>1243</v>
      </c>
      <c r="U4037">
        <f>INDEX([1]IDEN_level_ids!$B:$B,MATCH(H4037,[1]IDEN_level_ids!$A:$A,0),1)</f>
        <v>1154</v>
      </c>
    </row>
    <row r="4038" spans="1:21" hidden="1" x14ac:dyDescent="0.25">
      <c r="A4038">
        <v>16340.7731</v>
      </c>
      <c r="B4038">
        <v>6119.6615000000002</v>
      </c>
      <c r="C4038">
        <v>25</v>
      </c>
      <c r="D4038" t="s">
        <v>806</v>
      </c>
      <c r="F4038">
        <v>1974</v>
      </c>
      <c r="G4038" s="1" t="s">
        <v>724</v>
      </c>
      <c r="H4038" s="1" t="s">
        <v>293</v>
      </c>
      <c r="I4038">
        <v>0</v>
      </c>
      <c r="J4038">
        <v>16340.7703</v>
      </c>
      <c r="K4038">
        <v>-1.0200000000000001E-3</v>
      </c>
      <c r="L4038">
        <v>1.7250000000000001E-2</v>
      </c>
      <c r="M4038">
        <v>4.6100000000000002E-2</v>
      </c>
      <c r="N4038">
        <v>0.2036</v>
      </c>
      <c r="O4038">
        <v>2.1659999999999999E-2</v>
      </c>
      <c r="P4038" s="3">
        <f t="shared" si="252"/>
        <v>6119.661498757363</v>
      </c>
      <c r="Q4038" s="3">
        <f t="shared" si="253"/>
        <v>-1.0486073715583188E-3</v>
      </c>
      <c r="R4038" s="3">
        <f t="shared" si="254"/>
        <v>1.7250000000000001E-2</v>
      </c>
      <c r="S4038">
        <f t="shared" si="255"/>
        <v>132</v>
      </c>
      <c r="T4038">
        <f>INDEX([1]IDEN_level_ids!$B:$B,MATCH(G4038,[1]IDEN_level_ids!$A:$A,0),1)</f>
        <v>1206</v>
      </c>
      <c r="U4038">
        <f>INDEX([1]IDEN_level_ids!$B:$B,MATCH(H4038,[1]IDEN_level_ids!$A:$A,0),1)</f>
        <v>1121</v>
      </c>
    </row>
    <row r="4039" spans="1:21" hidden="1" x14ac:dyDescent="0.25">
      <c r="A4039">
        <v>16308.7796</v>
      </c>
      <c r="B4039">
        <v>6131.6665999999996</v>
      </c>
      <c r="C4039">
        <v>25</v>
      </c>
      <c r="D4039" t="s">
        <v>807</v>
      </c>
      <c r="F4039">
        <v>1974</v>
      </c>
      <c r="G4039" s="1" t="s">
        <v>712</v>
      </c>
      <c r="H4039" s="1" t="s">
        <v>238</v>
      </c>
      <c r="I4039">
        <v>0</v>
      </c>
      <c r="J4039">
        <v>16308.784100000001</v>
      </c>
      <c r="K4039">
        <v>1.67E-3</v>
      </c>
      <c r="L4039">
        <v>1.7319999999999999E-2</v>
      </c>
      <c r="M4039">
        <v>4.6100000000000002E-2</v>
      </c>
      <c r="N4039">
        <v>9.5600000000000004E-2</v>
      </c>
      <c r="O4039">
        <v>1.915E-2</v>
      </c>
      <c r="P4039" s="3">
        <f t="shared" si="252"/>
        <v>6131.6666515010111</v>
      </c>
      <c r="Q4039" s="3">
        <f t="shared" si="253"/>
        <v>1.69187965002493E-3</v>
      </c>
      <c r="R4039" s="3">
        <f t="shared" si="254"/>
        <v>1.7319999999999999E-2</v>
      </c>
      <c r="S4039">
        <f t="shared" si="255"/>
        <v>133</v>
      </c>
      <c r="T4039">
        <f>INDEX([1]IDEN_level_ids!$B:$B,MATCH(G4039,[1]IDEN_level_ids!$A:$A,0),1)</f>
        <v>1247</v>
      </c>
      <c r="U4039">
        <f>INDEX([1]IDEN_level_ids!$B:$B,MATCH(H4039,[1]IDEN_level_ids!$A:$A,0),1)</f>
        <v>1165</v>
      </c>
    </row>
    <row r="4040" spans="1:21" hidden="1" x14ac:dyDescent="0.25">
      <c r="A4040">
        <v>16288.8398</v>
      </c>
      <c r="B4040">
        <v>6139.1727000000001</v>
      </c>
      <c r="C4040">
        <v>25</v>
      </c>
      <c r="D4040" t="s">
        <v>807</v>
      </c>
      <c r="F4040">
        <v>1974</v>
      </c>
      <c r="G4040" s="1" t="s">
        <v>166</v>
      </c>
      <c r="H4040" s="1" t="s">
        <v>459</v>
      </c>
      <c r="I4040">
        <v>0</v>
      </c>
      <c r="J4040">
        <v>16288.837299999999</v>
      </c>
      <c r="K4040">
        <v>-9.5E-4</v>
      </c>
      <c r="L4040">
        <v>1.736E-2</v>
      </c>
      <c r="M4040">
        <v>4.6100000000000002E-2</v>
      </c>
      <c r="N4040">
        <v>0.14530000000000001</v>
      </c>
      <c r="O4040">
        <v>2.0310000000000002E-2</v>
      </c>
      <c r="P4040" s="3">
        <f t="shared" si="252"/>
        <v>6139.1726622543129</v>
      </c>
      <c r="Q4040" s="3">
        <f t="shared" si="253"/>
        <v>-9.4223616906674579E-4</v>
      </c>
      <c r="R4040" s="3">
        <f t="shared" si="254"/>
        <v>1.736E-2</v>
      </c>
      <c r="S4040">
        <f t="shared" si="255"/>
        <v>133</v>
      </c>
      <c r="T4040">
        <f>INDEX([1]IDEN_level_ids!$B:$B,MATCH(G4040,[1]IDEN_level_ids!$A:$A,0),1)</f>
        <v>1186</v>
      </c>
      <c r="U4040">
        <f>INDEX([1]IDEN_level_ids!$B:$B,MATCH(H4040,[1]IDEN_level_ids!$A:$A,0),1)</f>
        <v>1108</v>
      </c>
    </row>
    <row r="4041" spans="1:21" hidden="1" x14ac:dyDescent="0.25">
      <c r="A4041">
        <v>16286.454</v>
      </c>
      <c r="B4041">
        <v>6140.0720000000001</v>
      </c>
      <c r="C4041">
        <v>25</v>
      </c>
      <c r="D4041" t="s">
        <v>807</v>
      </c>
      <c r="E4041" t="s">
        <v>427</v>
      </c>
      <c r="F4041">
        <v>1974</v>
      </c>
      <c r="G4041" s="1" t="s">
        <v>300</v>
      </c>
      <c r="H4041" s="1" t="s">
        <v>394</v>
      </c>
      <c r="I4041">
        <v>0</v>
      </c>
      <c r="J4041">
        <v>16286.426799999999</v>
      </c>
      <c r="K4041">
        <v>-1.023E-2</v>
      </c>
      <c r="L4041">
        <v>1.8370000000000001E-2</v>
      </c>
      <c r="M4041">
        <v>4.87E-2</v>
      </c>
      <c r="N4041">
        <v>0.55449999999999999</v>
      </c>
      <c r="O4041">
        <v>4.1230000000000003E-2</v>
      </c>
      <c r="P4041" s="3">
        <f t="shared" si="252"/>
        <v>6140.0719886600236</v>
      </c>
      <c r="Q4041" s="3">
        <f t="shared" si="253"/>
        <v>-1.0254548781631456E-2</v>
      </c>
      <c r="R4041" s="3">
        <f t="shared" si="254"/>
        <v>1.8370000000000001E-2</v>
      </c>
      <c r="S4041">
        <f t="shared" si="255"/>
        <v>133</v>
      </c>
      <c r="T4041">
        <f>INDEX([1]IDEN_level_ids!$B:$B,MATCH(G4041,[1]IDEN_level_ids!$A:$A,0),1)</f>
        <v>783</v>
      </c>
      <c r="U4041">
        <f>INDEX([1]IDEN_level_ids!$B:$B,MATCH(H4041,[1]IDEN_level_ids!$A:$A,0),1)</f>
        <v>522</v>
      </c>
    </row>
    <row r="4042" spans="1:21" hidden="1" x14ac:dyDescent="0.25">
      <c r="A4042">
        <v>16279.506100000001</v>
      </c>
      <c r="B4042">
        <v>6142.6925000000001</v>
      </c>
      <c r="C4042">
        <v>25</v>
      </c>
      <c r="D4042" t="s">
        <v>807</v>
      </c>
      <c r="F4042">
        <v>1974</v>
      </c>
      <c r="G4042" s="1" t="s">
        <v>710</v>
      </c>
      <c r="H4042" s="1" t="s">
        <v>117</v>
      </c>
      <c r="I4042">
        <v>0</v>
      </c>
      <c r="J4042">
        <v>16279.4858</v>
      </c>
      <c r="K4042">
        <v>-7.6600000000000001E-3</v>
      </c>
      <c r="L4042">
        <v>1.738E-2</v>
      </c>
      <c r="M4042">
        <v>4.6100000000000002E-2</v>
      </c>
      <c r="N4042">
        <v>8.3699999999999997E-2</v>
      </c>
      <c r="O4042">
        <v>1.8970000000000001E-2</v>
      </c>
      <c r="P4042" s="3">
        <f t="shared" si="252"/>
        <v>6142.6924985150499</v>
      </c>
      <c r="Q4042" s="3">
        <f t="shared" si="253"/>
        <v>-7.6597417910306831E-3</v>
      </c>
      <c r="R4042" s="3">
        <f t="shared" si="254"/>
        <v>1.738E-2</v>
      </c>
      <c r="S4042">
        <f t="shared" si="255"/>
        <v>133</v>
      </c>
      <c r="T4042">
        <f>INDEX([1]IDEN_level_ids!$B:$B,MATCH(G4042,[1]IDEN_level_ids!$A:$A,0),1)</f>
        <v>1246</v>
      </c>
      <c r="U4042">
        <f>INDEX([1]IDEN_level_ids!$B:$B,MATCH(H4042,[1]IDEN_level_ids!$A:$A,0),1)</f>
        <v>1162</v>
      </c>
    </row>
    <row r="4043" spans="1:21" hidden="1" x14ac:dyDescent="0.25">
      <c r="A4043">
        <v>16228.632</v>
      </c>
      <c r="B4043">
        <v>6161.9488000000001</v>
      </c>
      <c r="C4043">
        <v>25</v>
      </c>
      <c r="D4043" t="s">
        <v>807</v>
      </c>
      <c r="F4043">
        <v>1974</v>
      </c>
      <c r="G4043" s="1" t="s">
        <v>115</v>
      </c>
      <c r="H4043" s="1" t="s">
        <v>72</v>
      </c>
      <c r="I4043">
        <v>0</v>
      </c>
      <c r="J4043">
        <v>16228.647000000001</v>
      </c>
      <c r="K4043">
        <v>5.7000000000000002E-3</v>
      </c>
      <c r="L4043">
        <v>1.7489999999999999E-2</v>
      </c>
      <c r="M4043">
        <v>4.6100000000000002E-2</v>
      </c>
      <c r="N4043">
        <v>0.15090000000000001</v>
      </c>
      <c r="O4043">
        <v>2.06E-2</v>
      </c>
      <c r="P4043" s="3">
        <f t="shared" si="252"/>
        <v>6161.9488321628096</v>
      </c>
      <c r="Q4043" s="3">
        <f t="shared" si="253"/>
        <v>5.6954367473736056E-3</v>
      </c>
      <c r="R4043" s="3">
        <f t="shared" si="254"/>
        <v>1.7489999999999999E-2</v>
      </c>
      <c r="S4043">
        <f t="shared" si="255"/>
        <v>133</v>
      </c>
      <c r="T4043">
        <f>INDEX([1]IDEN_level_ids!$B:$B,MATCH(G4043,[1]IDEN_level_ids!$A:$A,0),1)</f>
        <v>1252</v>
      </c>
      <c r="U4043">
        <f>INDEX([1]IDEN_level_ids!$B:$B,MATCH(H4043,[1]IDEN_level_ids!$A:$A,0),1)</f>
        <v>1225</v>
      </c>
    </row>
    <row r="4044" spans="1:21" hidden="1" x14ac:dyDescent="0.25">
      <c r="A4044">
        <v>16226.050800000001</v>
      </c>
      <c r="B4044">
        <v>6162.9291000000003</v>
      </c>
      <c r="C4044">
        <v>25</v>
      </c>
      <c r="D4044" t="s">
        <v>807</v>
      </c>
      <c r="E4044" t="s">
        <v>427</v>
      </c>
      <c r="F4044">
        <v>1974</v>
      </c>
      <c r="G4044" s="1" t="s">
        <v>729</v>
      </c>
      <c r="H4044" s="1" t="s">
        <v>141</v>
      </c>
      <c r="I4044">
        <v>0</v>
      </c>
      <c r="J4044">
        <v>16226.060100000001</v>
      </c>
      <c r="K4044">
        <v>3.5400000000000002E-3</v>
      </c>
      <c r="L4044">
        <v>1.8509999999999999E-2</v>
      </c>
      <c r="M4044">
        <v>4.87E-2</v>
      </c>
      <c r="N4044">
        <v>9.8199999999999996E-2</v>
      </c>
      <c r="O4044">
        <v>2.052E-2</v>
      </c>
      <c r="P4044" s="3">
        <f t="shared" si="252"/>
        <v>6162.9290597315276</v>
      </c>
      <c r="Q4044" s="3">
        <f t="shared" si="253"/>
        <v>3.5322955727679073E-3</v>
      </c>
      <c r="R4044" s="3">
        <f t="shared" si="254"/>
        <v>1.8509999999999999E-2</v>
      </c>
      <c r="S4044">
        <f t="shared" si="255"/>
        <v>133</v>
      </c>
      <c r="T4044">
        <f>INDEX([1]IDEN_level_ids!$B:$B,MATCH(G4044,[1]IDEN_level_ids!$A:$A,0),1)</f>
        <v>1243</v>
      </c>
      <c r="U4044">
        <f>INDEX([1]IDEN_level_ids!$B:$B,MATCH(H4044,[1]IDEN_level_ids!$A:$A,0),1)</f>
        <v>1155</v>
      </c>
    </row>
    <row r="4045" spans="1:21" hidden="1" x14ac:dyDescent="0.25">
      <c r="A4045">
        <v>16189.1888</v>
      </c>
      <c r="B4045">
        <v>6176.9618</v>
      </c>
      <c r="C4045">
        <v>25</v>
      </c>
      <c r="D4045" t="s">
        <v>807</v>
      </c>
      <c r="F4045">
        <v>1974</v>
      </c>
      <c r="G4045" s="1" t="s">
        <v>252</v>
      </c>
      <c r="H4045" s="1" t="s">
        <v>459</v>
      </c>
      <c r="I4045">
        <v>0</v>
      </c>
      <c r="J4045">
        <v>16189.1885</v>
      </c>
      <c r="K4045">
        <v>-9.0000000000000006E-5</v>
      </c>
      <c r="L4045">
        <v>1.7579999999999998E-2</v>
      </c>
      <c r="M4045">
        <v>4.6100000000000002E-2</v>
      </c>
      <c r="N4045">
        <v>0.16070000000000001</v>
      </c>
      <c r="O4045">
        <v>2.094E-2</v>
      </c>
      <c r="P4045" s="3">
        <f t="shared" si="252"/>
        <v>6176.9617511656916</v>
      </c>
      <c r="Q4045" s="3">
        <f t="shared" si="253"/>
        <v>-1.1446457119745901E-4</v>
      </c>
      <c r="R4045" s="3">
        <f t="shared" si="254"/>
        <v>1.7579999999999998E-2</v>
      </c>
      <c r="S4045">
        <f t="shared" si="255"/>
        <v>133</v>
      </c>
      <c r="T4045">
        <f>INDEX([1]IDEN_level_ids!$B:$B,MATCH(G4045,[1]IDEN_level_ids!$A:$A,0),1)</f>
        <v>1188</v>
      </c>
      <c r="U4045">
        <f>INDEX([1]IDEN_level_ids!$B:$B,MATCH(H4045,[1]IDEN_level_ids!$A:$A,0),1)</f>
        <v>1108</v>
      </c>
    </row>
    <row r="4046" spans="1:21" hidden="1" x14ac:dyDescent="0.25">
      <c r="A4046">
        <v>16180.942499999999</v>
      </c>
      <c r="B4046">
        <v>6180.1097</v>
      </c>
      <c r="C4046">
        <v>25</v>
      </c>
      <c r="D4046" t="s">
        <v>807</v>
      </c>
      <c r="E4046" t="s">
        <v>661</v>
      </c>
      <c r="F4046">
        <v>1974</v>
      </c>
      <c r="G4046" s="1" t="s">
        <v>362</v>
      </c>
      <c r="H4046" s="1" t="s">
        <v>304</v>
      </c>
      <c r="I4046">
        <v>0</v>
      </c>
      <c r="J4046">
        <v>16180.938899999999</v>
      </c>
      <c r="K4046">
        <v>-1.4E-3</v>
      </c>
      <c r="L4046">
        <v>1.9349999999999999E-2</v>
      </c>
      <c r="M4046">
        <v>5.0700000000000002E-2</v>
      </c>
      <c r="N4046">
        <v>0.37390000000000001</v>
      </c>
      <c r="O4046">
        <v>3.09E-2</v>
      </c>
      <c r="P4046" s="3">
        <f t="shared" si="252"/>
        <v>6180.109718577889</v>
      </c>
      <c r="Q4046" s="3">
        <f t="shared" si="253"/>
        <v>-1.3749755271419417E-3</v>
      </c>
      <c r="R4046" s="3">
        <f t="shared" si="254"/>
        <v>1.9349999999999999E-2</v>
      </c>
      <c r="S4046">
        <f t="shared" si="255"/>
        <v>133</v>
      </c>
      <c r="T4046">
        <f>INDEX([1]IDEN_level_ids!$B:$B,MATCH(G4046,[1]IDEN_level_ids!$A:$A,0),1)</f>
        <v>1147</v>
      </c>
      <c r="U4046">
        <f>INDEX([1]IDEN_level_ids!$B:$B,MATCH(H4046,[1]IDEN_level_ids!$A:$A,0),1)</f>
        <v>1096</v>
      </c>
    </row>
    <row r="4047" spans="1:21" hidden="1" x14ac:dyDescent="0.25">
      <c r="A4047">
        <v>16155.061900000001</v>
      </c>
      <c r="B4047">
        <v>6190.0102999999999</v>
      </c>
      <c r="C4047">
        <v>25</v>
      </c>
      <c r="D4047" t="s">
        <v>807</v>
      </c>
      <c r="F4047">
        <v>1974</v>
      </c>
      <c r="G4047" s="1" t="s">
        <v>724</v>
      </c>
      <c r="H4047" s="1" t="s">
        <v>289</v>
      </c>
      <c r="I4047">
        <v>0</v>
      </c>
      <c r="J4047">
        <v>16155.053900000001</v>
      </c>
      <c r="K4047">
        <v>-3.0599999999999998E-3</v>
      </c>
      <c r="L4047">
        <v>1.7649999999999999E-2</v>
      </c>
      <c r="M4047">
        <v>4.6100000000000002E-2</v>
      </c>
      <c r="N4047">
        <v>0.20430000000000001</v>
      </c>
      <c r="O4047">
        <v>2.2179999999999998E-2</v>
      </c>
      <c r="P4047" s="3">
        <f t="shared" si="252"/>
        <v>6190.0103273513296</v>
      </c>
      <c r="Q4047" s="3">
        <f t="shared" si="253"/>
        <v>-3.0652997465949738E-3</v>
      </c>
      <c r="R4047" s="3">
        <f t="shared" si="254"/>
        <v>1.7649999999999999E-2</v>
      </c>
      <c r="S4047">
        <f t="shared" si="255"/>
        <v>133</v>
      </c>
      <c r="T4047">
        <f>INDEX([1]IDEN_level_ids!$B:$B,MATCH(G4047,[1]IDEN_level_ids!$A:$A,0),1)</f>
        <v>1206</v>
      </c>
      <c r="U4047">
        <f>INDEX([1]IDEN_level_ids!$B:$B,MATCH(H4047,[1]IDEN_level_ids!$A:$A,0),1)</f>
        <v>1122</v>
      </c>
    </row>
    <row r="4048" spans="1:21" hidden="1" x14ac:dyDescent="0.25">
      <c r="A4048">
        <v>16137.447099999999</v>
      </c>
      <c r="B4048">
        <v>6196.7669999999998</v>
      </c>
      <c r="C4048">
        <v>25</v>
      </c>
      <c r="D4048" t="s">
        <v>807</v>
      </c>
      <c r="F4048">
        <v>1974</v>
      </c>
      <c r="G4048" s="1" t="s">
        <v>335</v>
      </c>
      <c r="H4048" s="1" t="s">
        <v>278</v>
      </c>
      <c r="I4048">
        <v>0</v>
      </c>
      <c r="J4048">
        <v>16137.455400000001</v>
      </c>
      <c r="K4048">
        <v>3.2100000000000002E-3</v>
      </c>
      <c r="L4048">
        <v>1.7690000000000001E-2</v>
      </c>
      <c r="M4048">
        <v>4.6100000000000002E-2</v>
      </c>
      <c r="N4048">
        <v>0.24940000000000001</v>
      </c>
      <c r="O4048">
        <v>2.3570000000000001E-2</v>
      </c>
      <c r="P4048" s="3">
        <f t="shared" si="252"/>
        <v>6196.7670214702057</v>
      </c>
      <c r="Q4048" s="3">
        <f t="shared" si="253"/>
        <v>3.1871918472461402E-3</v>
      </c>
      <c r="R4048" s="3">
        <f t="shared" si="254"/>
        <v>1.7690000000000001E-2</v>
      </c>
      <c r="S4048">
        <f t="shared" si="255"/>
        <v>133</v>
      </c>
      <c r="T4048">
        <f>INDEX([1]IDEN_level_ids!$B:$B,MATCH(G4048,[1]IDEN_level_ids!$A:$A,0),1)</f>
        <v>1174</v>
      </c>
      <c r="U4048">
        <f>INDEX([1]IDEN_level_ids!$B:$B,MATCH(H4048,[1]IDEN_level_ids!$A:$A,0),1)</f>
        <v>1102</v>
      </c>
    </row>
    <row r="4049" spans="1:21" hidden="1" x14ac:dyDescent="0.25">
      <c r="A4049">
        <v>16135.9493</v>
      </c>
      <c r="B4049">
        <v>6197.3422</v>
      </c>
      <c r="C4049">
        <v>25</v>
      </c>
      <c r="D4049" t="s">
        <v>807</v>
      </c>
      <c r="F4049">
        <v>1974</v>
      </c>
      <c r="G4049" s="1" t="s">
        <v>125</v>
      </c>
      <c r="H4049" s="1" t="s">
        <v>53</v>
      </c>
      <c r="I4049">
        <v>0</v>
      </c>
      <c r="J4049">
        <v>16135.948200000001</v>
      </c>
      <c r="K4049">
        <v>-4.2000000000000002E-4</v>
      </c>
      <c r="L4049">
        <v>1.7690000000000001E-2</v>
      </c>
      <c r="M4049">
        <v>4.6100000000000002E-2</v>
      </c>
      <c r="N4049">
        <v>0.21049999999999999</v>
      </c>
      <c r="O4049">
        <v>2.2409999999999999E-2</v>
      </c>
      <c r="P4049" s="3">
        <f t="shared" si="252"/>
        <v>6197.342228882685</v>
      </c>
      <c r="Q4049" s="3">
        <f t="shared" si="253"/>
        <v>-4.2247758574376348E-4</v>
      </c>
      <c r="R4049" s="3">
        <f t="shared" si="254"/>
        <v>1.7690000000000001E-2</v>
      </c>
      <c r="S4049">
        <f t="shared" si="255"/>
        <v>133</v>
      </c>
      <c r="T4049">
        <f>INDEX([1]IDEN_level_ids!$B:$B,MATCH(G4049,[1]IDEN_level_ids!$A:$A,0),1)</f>
        <v>1253</v>
      </c>
      <c r="U4049">
        <f>INDEX([1]IDEN_level_ids!$B:$B,MATCH(H4049,[1]IDEN_level_ids!$A:$A,0),1)</f>
        <v>1231</v>
      </c>
    </row>
    <row r="4050" spans="1:21" hidden="1" x14ac:dyDescent="0.25">
      <c r="A4050">
        <v>16132.012199999999</v>
      </c>
      <c r="B4050">
        <v>6198.8546999999999</v>
      </c>
      <c r="C4050">
        <v>25</v>
      </c>
      <c r="D4050" t="s">
        <v>807</v>
      </c>
      <c r="E4050" t="s">
        <v>661</v>
      </c>
      <c r="F4050">
        <v>1974</v>
      </c>
      <c r="G4050" s="1" t="s">
        <v>186</v>
      </c>
      <c r="H4050" s="1" t="s">
        <v>400</v>
      </c>
      <c r="I4050">
        <v>0</v>
      </c>
      <c r="J4050">
        <v>16132.0026</v>
      </c>
      <c r="K4050">
        <v>-3.7000000000000002E-3</v>
      </c>
      <c r="L4050">
        <v>1.9460000000000002E-2</v>
      </c>
      <c r="M4050">
        <v>5.0700000000000002E-2</v>
      </c>
      <c r="N4050">
        <v>0.28660000000000002</v>
      </c>
      <c r="O4050">
        <v>2.7279999999999999E-2</v>
      </c>
      <c r="P4050" s="3">
        <f t="shared" si="252"/>
        <v>6198.8547219174561</v>
      </c>
      <c r="Q4050" s="3">
        <f t="shared" si="253"/>
        <v>-3.6888789818476653E-3</v>
      </c>
      <c r="R4050" s="3">
        <f t="shared" si="254"/>
        <v>1.9460000000000002E-2</v>
      </c>
      <c r="S4050">
        <f t="shared" si="255"/>
        <v>133</v>
      </c>
      <c r="T4050">
        <f>INDEX([1]IDEN_level_ids!$B:$B,MATCH(G4050,[1]IDEN_level_ids!$A:$A,0),1)</f>
        <v>768</v>
      </c>
      <c r="U4050">
        <f>INDEX([1]IDEN_level_ids!$B:$B,MATCH(H4050,[1]IDEN_level_ids!$A:$A,0),1)</f>
        <v>503</v>
      </c>
    </row>
    <row r="4051" spans="1:21" hidden="1" x14ac:dyDescent="0.25">
      <c r="A4051">
        <v>16091.6975</v>
      </c>
      <c r="B4051">
        <v>6214.3847999999998</v>
      </c>
      <c r="C4051">
        <v>25</v>
      </c>
      <c r="D4051" t="s">
        <v>808</v>
      </c>
      <c r="F4051">
        <v>1974</v>
      </c>
      <c r="G4051" s="1" t="s">
        <v>791</v>
      </c>
      <c r="H4051" s="1" t="s">
        <v>361</v>
      </c>
      <c r="I4051">
        <v>0</v>
      </c>
      <c r="J4051">
        <v>16091.713100000001</v>
      </c>
      <c r="K4051">
        <v>6.0099999999999997E-3</v>
      </c>
      <c r="L4051">
        <v>1.779E-2</v>
      </c>
      <c r="M4051">
        <v>4.6100000000000002E-2</v>
      </c>
      <c r="N4051">
        <v>0.16550000000000001</v>
      </c>
      <c r="O4051">
        <v>2.1319999999999999E-2</v>
      </c>
      <c r="P4051" s="3">
        <f t="shared" si="252"/>
        <v>6214.3847782373487</v>
      </c>
      <c r="Q4051" s="3">
        <f t="shared" si="253"/>
        <v>6.0244923542995821E-3</v>
      </c>
      <c r="R4051" s="3">
        <f t="shared" si="254"/>
        <v>1.779E-2</v>
      </c>
      <c r="S4051">
        <f t="shared" si="255"/>
        <v>134</v>
      </c>
      <c r="T4051">
        <f>INDEX([1]IDEN_level_ids!$B:$B,MATCH(G4051,[1]IDEN_level_ids!$A:$A,0),1)</f>
        <v>1215</v>
      </c>
      <c r="U4051">
        <f>INDEX([1]IDEN_level_ids!$B:$B,MATCH(H4051,[1]IDEN_level_ids!$A:$A,0),1)</f>
        <v>1133</v>
      </c>
    </row>
    <row r="4052" spans="1:21" hidden="1" x14ac:dyDescent="0.25">
      <c r="A4052">
        <v>16062.319600000001</v>
      </c>
      <c r="B4052">
        <v>6225.7509</v>
      </c>
      <c r="C4052">
        <v>25</v>
      </c>
      <c r="D4052" t="s">
        <v>808</v>
      </c>
      <c r="E4052" t="s">
        <v>427</v>
      </c>
      <c r="F4052">
        <v>1974</v>
      </c>
      <c r="G4052" s="1" t="s">
        <v>714</v>
      </c>
      <c r="H4052" s="1" t="s">
        <v>245</v>
      </c>
      <c r="I4052">
        <v>0</v>
      </c>
      <c r="J4052">
        <v>16062.307500000001</v>
      </c>
      <c r="K4052">
        <v>-4.6800000000000001E-3</v>
      </c>
      <c r="L4052">
        <v>1.8890000000000001E-2</v>
      </c>
      <c r="M4052">
        <v>4.87E-2</v>
      </c>
      <c r="N4052">
        <v>9.5100000000000004E-2</v>
      </c>
      <c r="O4052">
        <v>2.087E-2</v>
      </c>
      <c r="P4052" s="3">
        <f t="shared" si="252"/>
        <v>6225.7508560594197</v>
      </c>
      <c r="Q4052" s="3">
        <f t="shared" si="253"/>
        <v>-4.6899603530619061E-3</v>
      </c>
      <c r="R4052" s="3">
        <f t="shared" si="254"/>
        <v>1.8890000000000001E-2</v>
      </c>
      <c r="S4052">
        <f t="shared" si="255"/>
        <v>134</v>
      </c>
      <c r="T4052">
        <f>INDEX([1]IDEN_level_ids!$B:$B,MATCH(G4052,[1]IDEN_level_ids!$A:$A,0),1)</f>
        <v>1248</v>
      </c>
      <c r="U4052">
        <f>INDEX([1]IDEN_level_ids!$B:$B,MATCH(H4052,[1]IDEN_level_ids!$A:$A,0),1)</f>
        <v>1169</v>
      </c>
    </row>
    <row r="4053" spans="1:21" hidden="1" x14ac:dyDescent="0.25">
      <c r="A4053">
        <v>16059.267400000001</v>
      </c>
      <c r="B4053">
        <v>6226.9341000000004</v>
      </c>
      <c r="C4053">
        <v>25</v>
      </c>
      <c r="D4053" t="s">
        <v>808</v>
      </c>
      <c r="E4053" t="s">
        <v>427</v>
      </c>
      <c r="F4053">
        <v>1974</v>
      </c>
      <c r="G4053" s="1" t="s">
        <v>218</v>
      </c>
      <c r="H4053" s="1" t="s">
        <v>411</v>
      </c>
      <c r="I4053">
        <v>0</v>
      </c>
      <c r="J4053">
        <v>16059.266100000001</v>
      </c>
      <c r="K4053">
        <v>-4.6999999999999999E-4</v>
      </c>
      <c r="L4053">
        <v>1.8890000000000001E-2</v>
      </c>
      <c r="M4053">
        <v>4.87E-2</v>
      </c>
      <c r="N4053">
        <v>0.49359999999999998</v>
      </c>
      <c r="O4053">
        <v>3.7310000000000003E-2</v>
      </c>
      <c r="P4053" s="3">
        <f t="shared" si="252"/>
        <v>6226.934112822606</v>
      </c>
      <c r="Q4053" s="3">
        <f t="shared" si="253"/>
        <v>-5.0407125036144862E-4</v>
      </c>
      <c r="R4053" s="3">
        <f t="shared" si="254"/>
        <v>1.8890000000000001E-2</v>
      </c>
      <c r="S4053">
        <f t="shared" si="255"/>
        <v>134</v>
      </c>
      <c r="T4053">
        <f>INDEX([1]IDEN_level_ids!$B:$B,MATCH(G4053,[1]IDEN_level_ids!$A:$A,0),1)</f>
        <v>666</v>
      </c>
      <c r="U4053">
        <f>INDEX([1]IDEN_level_ids!$B:$B,MATCH(H4053,[1]IDEN_level_ids!$A:$A,0),1)</f>
        <v>374</v>
      </c>
    </row>
    <row r="4054" spans="1:21" hidden="1" x14ac:dyDescent="0.25">
      <c r="A4054">
        <v>16049.88</v>
      </c>
      <c r="B4054">
        <v>6230.5762000000004</v>
      </c>
      <c r="C4054">
        <v>25</v>
      </c>
      <c r="D4054" t="s">
        <v>808</v>
      </c>
      <c r="F4054">
        <v>1974</v>
      </c>
      <c r="G4054" s="1" t="s">
        <v>233</v>
      </c>
      <c r="H4054" s="1" t="s">
        <v>400</v>
      </c>
      <c r="I4054">
        <v>0</v>
      </c>
      <c r="J4054">
        <v>16049.8799</v>
      </c>
      <c r="K4054">
        <v>-4.0000000000000003E-5</v>
      </c>
      <c r="L4054">
        <v>1.788E-2</v>
      </c>
      <c r="M4054">
        <v>4.6100000000000002E-2</v>
      </c>
      <c r="N4054">
        <v>0.29980000000000001</v>
      </c>
      <c r="O4054">
        <v>2.554E-2</v>
      </c>
      <c r="P4054" s="3">
        <f t="shared" si="252"/>
        <v>6230.576178762708</v>
      </c>
      <c r="Q4054" s="3">
        <f t="shared" si="253"/>
        <v>-3.8820078771095723E-5</v>
      </c>
      <c r="R4054" s="3">
        <f t="shared" si="254"/>
        <v>1.788E-2</v>
      </c>
      <c r="S4054">
        <f t="shared" si="255"/>
        <v>134</v>
      </c>
      <c r="T4054">
        <f>INDEX([1]IDEN_level_ids!$B:$B,MATCH(G4054,[1]IDEN_level_ids!$A:$A,0),1)</f>
        <v>766</v>
      </c>
      <c r="U4054">
        <f>INDEX([1]IDEN_level_ids!$B:$B,MATCH(H4054,[1]IDEN_level_ids!$A:$A,0),1)</f>
        <v>503</v>
      </c>
    </row>
    <row r="4055" spans="1:21" hidden="1" x14ac:dyDescent="0.25">
      <c r="A4055">
        <v>16041.216899999999</v>
      </c>
      <c r="B4055">
        <v>6233.9409999999998</v>
      </c>
      <c r="C4055">
        <v>25</v>
      </c>
      <c r="D4055" t="s">
        <v>808</v>
      </c>
      <c r="E4055" t="s">
        <v>427</v>
      </c>
      <c r="F4055">
        <v>1974</v>
      </c>
      <c r="G4055" s="1" t="s">
        <v>164</v>
      </c>
      <c r="H4055" s="1" t="s">
        <v>406</v>
      </c>
      <c r="I4055">
        <v>0</v>
      </c>
      <c r="J4055">
        <v>16041.2163</v>
      </c>
      <c r="K4055">
        <v>-2.4000000000000001E-4</v>
      </c>
      <c r="L4055">
        <v>1.8939999999999999E-2</v>
      </c>
      <c r="M4055">
        <v>4.87E-2</v>
      </c>
      <c r="N4055">
        <v>0.50860000000000005</v>
      </c>
      <c r="O4055">
        <v>3.8530000000000002E-2</v>
      </c>
      <c r="P4055" s="3">
        <f t="shared" si="252"/>
        <v>6233.9410172803036</v>
      </c>
      <c r="Q4055" s="3">
        <f t="shared" si="253"/>
        <v>-2.3317213253903901E-4</v>
      </c>
      <c r="R4055" s="3">
        <f t="shared" si="254"/>
        <v>1.8939999999999999E-2</v>
      </c>
      <c r="S4055">
        <f t="shared" si="255"/>
        <v>134</v>
      </c>
      <c r="T4055">
        <f>INDEX([1]IDEN_level_ids!$B:$B,MATCH(G4055,[1]IDEN_level_ids!$A:$A,0),1)</f>
        <v>787</v>
      </c>
      <c r="U4055">
        <f>INDEX([1]IDEN_level_ids!$B:$B,MATCH(H4055,[1]IDEN_level_ids!$A:$A,0),1)</f>
        <v>527</v>
      </c>
    </row>
    <row r="4056" spans="1:21" hidden="1" x14ac:dyDescent="0.25">
      <c r="A4056">
        <v>16028.781499999999</v>
      </c>
      <c r="B4056">
        <v>6238.7773999999999</v>
      </c>
      <c r="C4056">
        <v>25</v>
      </c>
      <c r="D4056" t="s">
        <v>808</v>
      </c>
      <c r="F4056">
        <v>1974</v>
      </c>
      <c r="G4056" s="1" t="s">
        <v>348</v>
      </c>
      <c r="H4056" s="1" t="s">
        <v>350</v>
      </c>
      <c r="I4056">
        <v>0</v>
      </c>
      <c r="J4056">
        <v>16028.7912</v>
      </c>
      <c r="K4056">
        <v>3.7699999999999999E-3</v>
      </c>
      <c r="L4056">
        <v>1.7930000000000001E-2</v>
      </c>
      <c r="M4056">
        <v>4.6100000000000002E-2</v>
      </c>
      <c r="N4056">
        <v>0.2215</v>
      </c>
      <c r="O4056">
        <v>2.3029999999999998E-2</v>
      </c>
      <c r="P4056" s="3">
        <f t="shared" si="252"/>
        <v>6238.7774142407525</v>
      </c>
      <c r="Q4056" s="3">
        <f t="shared" si="253"/>
        <v>3.7754650475108065E-3</v>
      </c>
      <c r="R4056" s="3">
        <f t="shared" si="254"/>
        <v>1.7930000000000001E-2</v>
      </c>
      <c r="S4056">
        <f t="shared" si="255"/>
        <v>134</v>
      </c>
      <c r="T4056">
        <f>INDEX([1]IDEN_level_ids!$B:$B,MATCH(G4056,[1]IDEN_level_ids!$A:$A,0),1)</f>
        <v>1190</v>
      </c>
      <c r="U4056">
        <f>INDEX([1]IDEN_level_ids!$B:$B,MATCH(H4056,[1]IDEN_level_ids!$A:$A,0),1)</f>
        <v>1112</v>
      </c>
    </row>
    <row r="4057" spans="1:21" hidden="1" x14ac:dyDescent="0.25">
      <c r="A4057">
        <v>16028.0957</v>
      </c>
      <c r="B4057">
        <v>6239.0442999999996</v>
      </c>
      <c r="C4057">
        <v>25</v>
      </c>
      <c r="D4057" t="s">
        <v>808</v>
      </c>
      <c r="F4057">
        <v>1974</v>
      </c>
      <c r="G4057" s="1" t="s">
        <v>736</v>
      </c>
      <c r="H4057" s="1" t="s">
        <v>36</v>
      </c>
      <c r="I4057">
        <v>0</v>
      </c>
      <c r="J4057">
        <v>16028.0947</v>
      </c>
      <c r="K4057">
        <v>-4.0999999999999999E-4</v>
      </c>
      <c r="L4057">
        <v>1.7930000000000001E-2</v>
      </c>
      <c r="M4057">
        <v>4.6100000000000002E-2</v>
      </c>
      <c r="N4057">
        <v>0.25640000000000002</v>
      </c>
      <c r="O4057">
        <v>2.4119999999999999E-2</v>
      </c>
      <c r="P4057" s="3">
        <f t="shared" si="252"/>
        <v>6239.0443550945356</v>
      </c>
      <c r="Q4057" s="3">
        <f t="shared" si="253"/>
        <v>-3.8925676926737651E-4</v>
      </c>
      <c r="R4057" s="3">
        <f t="shared" si="254"/>
        <v>1.7930000000000001E-2</v>
      </c>
      <c r="S4057">
        <f t="shared" si="255"/>
        <v>134</v>
      </c>
      <c r="T4057">
        <f>INDEX([1]IDEN_level_ids!$B:$B,MATCH(G4057,[1]IDEN_level_ids!$A:$A,0),1)</f>
        <v>1251</v>
      </c>
      <c r="U4057">
        <f>INDEX([1]IDEN_level_ids!$B:$B,MATCH(H4057,[1]IDEN_level_ids!$A:$A,0),1)</f>
        <v>1217</v>
      </c>
    </row>
    <row r="4058" spans="1:21" hidden="1" x14ac:dyDescent="0.25">
      <c r="A4058">
        <v>16023.9696</v>
      </c>
      <c r="B4058">
        <v>6240.6508999999996</v>
      </c>
      <c r="C4058">
        <v>25</v>
      </c>
      <c r="D4058" t="s">
        <v>808</v>
      </c>
      <c r="E4058" t="s">
        <v>427</v>
      </c>
      <c r="F4058">
        <v>1974</v>
      </c>
      <c r="G4058" s="1" t="s">
        <v>233</v>
      </c>
      <c r="H4058" s="1" t="s">
        <v>403</v>
      </c>
      <c r="I4058">
        <v>0</v>
      </c>
      <c r="J4058">
        <v>16023.9733</v>
      </c>
      <c r="K4058">
        <v>1.42E-3</v>
      </c>
      <c r="L4058">
        <v>1.898E-2</v>
      </c>
      <c r="M4058">
        <v>4.87E-2</v>
      </c>
      <c r="N4058">
        <v>0.36959999999999998</v>
      </c>
      <c r="O4058">
        <v>3.0099999999999998E-2</v>
      </c>
      <c r="P4058" s="3">
        <f t="shared" si="252"/>
        <v>6240.6508809153011</v>
      </c>
      <c r="Q4058" s="3">
        <f t="shared" si="253"/>
        <v>1.4409914338102681E-3</v>
      </c>
      <c r="R4058" s="3">
        <f t="shared" si="254"/>
        <v>1.898E-2</v>
      </c>
      <c r="S4058">
        <f t="shared" si="255"/>
        <v>134</v>
      </c>
      <c r="T4058">
        <f>INDEX([1]IDEN_level_ids!$B:$B,MATCH(G4058,[1]IDEN_level_ids!$A:$A,0),1)</f>
        <v>766</v>
      </c>
      <c r="U4058">
        <f>INDEX([1]IDEN_level_ids!$B:$B,MATCH(H4058,[1]IDEN_level_ids!$A:$A,0),1)</f>
        <v>505</v>
      </c>
    </row>
    <row r="4059" spans="1:21" hidden="1" x14ac:dyDescent="0.25">
      <c r="A4059">
        <v>16019.6176</v>
      </c>
      <c r="B4059">
        <v>6242.3463000000002</v>
      </c>
      <c r="C4059">
        <v>25</v>
      </c>
      <c r="D4059" t="s">
        <v>808</v>
      </c>
      <c r="E4059" t="s">
        <v>427</v>
      </c>
      <c r="F4059">
        <v>1974</v>
      </c>
      <c r="G4059" s="1" t="s">
        <v>389</v>
      </c>
      <c r="H4059" s="1" t="s">
        <v>639</v>
      </c>
      <c r="I4059">
        <v>-0.31669999999999998</v>
      </c>
      <c r="J4059">
        <v>16019.657300000001</v>
      </c>
      <c r="K4059">
        <v>1.5469999999999999E-2</v>
      </c>
      <c r="L4059">
        <v>1.899E-2</v>
      </c>
      <c r="M4059">
        <v>4.87E-2</v>
      </c>
      <c r="N4059">
        <v>0.23749999999999999</v>
      </c>
      <c r="O4059">
        <v>2.4899999999999999E-2</v>
      </c>
      <c r="P4059" s="3">
        <f t="shared" si="252"/>
        <v>6242.3462592515316</v>
      </c>
      <c r="Q4059" s="3">
        <f t="shared" si="253"/>
        <v>1.5469815730284608E-2</v>
      </c>
      <c r="R4059" s="3">
        <f t="shared" si="254"/>
        <v>1.899E-2</v>
      </c>
      <c r="S4059">
        <f t="shared" si="255"/>
        <v>134</v>
      </c>
      <c r="T4059">
        <f>INDEX([1]IDEN_level_ids!$B:$B,MATCH(G4059,[1]IDEN_level_ids!$A:$A,0),1)</f>
        <v>942</v>
      </c>
      <c r="U4059">
        <f>INDEX([1]IDEN_level_ids!$B:$B,MATCH(H4059,[1]IDEN_level_ids!$A:$A,0),1)</f>
        <v>893</v>
      </c>
    </row>
    <row r="4060" spans="1:21" hidden="1" x14ac:dyDescent="0.25">
      <c r="A4060">
        <v>16016.9586</v>
      </c>
      <c r="B4060">
        <v>6243.3825999999999</v>
      </c>
      <c r="C4060">
        <v>25</v>
      </c>
      <c r="D4060" t="s">
        <v>808</v>
      </c>
      <c r="E4060" t="s">
        <v>427</v>
      </c>
      <c r="F4060">
        <v>1974</v>
      </c>
      <c r="G4060" s="1" t="s">
        <v>169</v>
      </c>
      <c r="H4060" s="1" t="s">
        <v>399</v>
      </c>
      <c r="I4060">
        <v>0</v>
      </c>
      <c r="J4060">
        <v>16016.966899999999</v>
      </c>
      <c r="K4060">
        <v>3.2399999999999998E-3</v>
      </c>
      <c r="L4060">
        <v>1.899E-2</v>
      </c>
      <c r="M4060">
        <v>4.87E-2</v>
      </c>
      <c r="N4060">
        <v>0.31540000000000001</v>
      </c>
      <c r="O4060">
        <v>2.7740000000000001E-2</v>
      </c>
      <c r="P4060" s="3">
        <f t="shared" si="252"/>
        <v>6243.3825607815461</v>
      </c>
      <c r="Q4060" s="3">
        <f t="shared" si="253"/>
        <v>3.2353238648283877E-3</v>
      </c>
      <c r="R4060" s="3">
        <f t="shared" si="254"/>
        <v>1.899E-2</v>
      </c>
      <c r="S4060">
        <f t="shared" si="255"/>
        <v>134</v>
      </c>
      <c r="T4060">
        <f>INDEX([1]IDEN_level_ids!$B:$B,MATCH(G4060,[1]IDEN_level_ids!$A:$A,0),1)</f>
        <v>727</v>
      </c>
      <c r="U4060">
        <f>INDEX([1]IDEN_level_ids!$B:$B,MATCH(H4060,[1]IDEN_level_ids!$A:$A,0),1)</f>
        <v>467</v>
      </c>
    </row>
    <row r="4061" spans="1:21" hidden="1" x14ac:dyDescent="0.25">
      <c r="A4061">
        <v>16007.8025</v>
      </c>
      <c r="B4061">
        <v>6246.9535999999998</v>
      </c>
      <c r="C4061">
        <v>25</v>
      </c>
      <c r="D4061" t="s">
        <v>808</v>
      </c>
      <c r="E4061" t="s">
        <v>427</v>
      </c>
      <c r="F4061">
        <v>1974</v>
      </c>
      <c r="G4061" s="1" t="s">
        <v>148</v>
      </c>
      <c r="H4061" s="1" t="s">
        <v>399</v>
      </c>
      <c r="I4061">
        <v>0</v>
      </c>
      <c r="J4061">
        <v>16007.811</v>
      </c>
      <c r="K4061">
        <v>3.3300000000000001E-3</v>
      </c>
      <c r="L4061">
        <v>1.9019999999999999E-2</v>
      </c>
      <c r="M4061">
        <v>4.87E-2</v>
      </c>
      <c r="N4061">
        <v>0.30520000000000003</v>
      </c>
      <c r="O4061">
        <v>2.7369999999999998E-2</v>
      </c>
      <c r="P4061" s="3">
        <f t="shared" si="252"/>
        <v>6246.9536340169116</v>
      </c>
      <c r="Q4061" s="3">
        <f t="shared" si="253"/>
        <v>3.3170747637996101E-3</v>
      </c>
      <c r="R4061" s="3">
        <f t="shared" si="254"/>
        <v>1.9019999999999999E-2</v>
      </c>
      <c r="S4061">
        <f t="shared" si="255"/>
        <v>134</v>
      </c>
      <c r="T4061">
        <f>INDEX([1]IDEN_level_ids!$B:$B,MATCH(G4061,[1]IDEN_level_ids!$A:$A,0),1)</f>
        <v>728</v>
      </c>
      <c r="U4061">
        <f>INDEX([1]IDEN_level_ids!$B:$B,MATCH(H4061,[1]IDEN_level_ids!$A:$A,0),1)</f>
        <v>467</v>
      </c>
    </row>
    <row r="4062" spans="1:21" hidden="1" x14ac:dyDescent="0.25">
      <c r="A4062">
        <v>15995.158299999999</v>
      </c>
      <c r="B4062">
        <v>6251.8918999999996</v>
      </c>
      <c r="C4062">
        <v>25</v>
      </c>
      <c r="D4062" t="s">
        <v>808</v>
      </c>
      <c r="E4062" t="s">
        <v>427</v>
      </c>
      <c r="F4062">
        <v>1974</v>
      </c>
      <c r="G4062" s="1" t="s">
        <v>168</v>
      </c>
      <c r="H4062" s="1" t="s">
        <v>399</v>
      </c>
      <c r="I4062">
        <v>0</v>
      </c>
      <c r="J4062">
        <v>15995.1559</v>
      </c>
      <c r="K4062">
        <v>-9.3999999999999997E-4</v>
      </c>
      <c r="L4062">
        <v>1.9050000000000001E-2</v>
      </c>
      <c r="M4062">
        <v>4.87E-2</v>
      </c>
      <c r="N4062">
        <v>0.30640000000000001</v>
      </c>
      <c r="O4062">
        <v>2.7459999999999998E-2</v>
      </c>
      <c r="P4062" s="3">
        <f t="shared" si="252"/>
        <v>6251.8918615516304</v>
      </c>
      <c r="Q4062" s="3">
        <f t="shared" si="253"/>
        <v>-9.3806778477301123E-4</v>
      </c>
      <c r="R4062" s="3">
        <f t="shared" si="254"/>
        <v>1.9050000000000001E-2</v>
      </c>
      <c r="S4062">
        <f t="shared" si="255"/>
        <v>134</v>
      </c>
      <c r="T4062">
        <f>INDEX([1]IDEN_level_ids!$B:$B,MATCH(G4062,[1]IDEN_level_ids!$A:$A,0),1)</f>
        <v>729</v>
      </c>
      <c r="U4062">
        <f>INDEX([1]IDEN_level_ids!$B:$B,MATCH(H4062,[1]IDEN_level_ids!$A:$A,0),1)</f>
        <v>467</v>
      </c>
    </row>
    <row r="4063" spans="1:21" hidden="1" x14ac:dyDescent="0.25">
      <c r="A4063">
        <v>15981.4864</v>
      </c>
      <c r="B4063">
        <v>6257.2402000000002</v>
      </c>
      <c r="C4063">
        <v>25</v>
      </c>
      <c r="D4063" t="s">
        <v>808</v>
      </c>
      <c r="E4063" t="s">
        <v>427</v>
      </c>
      <c r="F4063">
        <v>1974</v>
      </c>
      <c r="G4063" s="1" t="s">
        <v>133</v>
      </c>
      <c r="H4063" s="1" t="s">
        <v>403</v>
      </c>
      <c r="I4063">
        <v>0</v>
      </c>
      <c r="J4063">
        <v>15981.4609</v>
      </c>
      <c r="K4063">
        <v>-9.9900000000000006E-3</v>
      </c>
      <c r="L4063">
        <v>1.908E-2</v>
      </c>
      <c r="M4063">
        <v>4.87E-2</v>
      </c>
      <c r="N4063">
        <v>0.37880000000000003</v>
      </c>
      <c r="O4063">
        <v>3.0710000000000001E-2</v>
      </c>
      <c r="P4063" s="3">
        <f t="shared" si="252"/>
        <v>6257.2402526963951</v>
      </c>
      <c r="Q4063" s="3">
        <f t="shared" si="253"/>
        <v>-9.9840451030104305E-3</v>
      </c>
      <c r="R4063" s="3">
        <f t="shared" si="254"/>
        <v>1.908E-2</v>
      </c>
      <c r="S4063">
        <f t="shared" si="255"/>
        <v>134</v>
      </c>
      <c r="T4063">
        <f>INDEX([1]IDEN_level_ids!$B:$B,MATCH(G4063,[1]IDEN_level_ids!$A:$A,0),1)</f>
        <v>765</v>
      </c>
      <c r="U4063">
        <f>INDEX([1]IDEN_level_ids!$B:$B,MATCH(H4063,[1]IDEN_level_ids!$A:$A,0),1)</f>
        <v>505</v>
      </c>
    </row>
    <row r="4064" spans="1:21" hidden="1" x14ac:dyDescent="0.25">
      <c r="A4064">
        <v>15894.2747</v>
      </c>
      <c r="B4064">
        <v>6291.5736999999999</v>
      </c>
      <c r="C4064">
        <v>25</v>
      </c>
      <c r="D4064" t="s">
        <v>809</v>
      </c>
      <c r="E4064" t="s">
        <v>427</v>
      </c>
      <c r="F4064">
        <v>1974</v>
      </c>
      <c r="G4064" s="1" t="s">
        <v>300</v>
      </c>
      <c r="H4064" s="1" t="s">
        <v>406</v>
      </c>
      <c r="I4064">
        <v>0</v>
      </c>
      <c r="J4064">
        <v>15894.265299999999</v>
      </c>
      <c r="K4064">
        <v>-3.7100000000000002E-3</v>
      </c>
      <c r="L4064">
        <v>1.9290000000000002E-2</v>
      </c>
      <c r="M4064">
        <v>4.87E-2</v>
      </c>
      <c r="N4064">
        <v>0.51019999999999999</v>
      </c>
      <c r="O4064">
        <v>3.9379999999999998E-2</v>
      </c>
      <c r="P4064" s="3">
        <f t="shared" si="252"/>
        <v>6291.5736570225508</v>
      </c>
      <c r="Q4064" s="3">
        <f t="shared" si="253"/>
        <v>-3.7208887142696767E-3</v>
      </c>
      <c r="R4064" s="3">
        <f t="shared" si="254"/>
        <v>1.9290000000000002E-2</v>
      </c>
      <c r="S4064">
        <f t="shared" si="255"/>
        <v>135</v>
      </c>
      <c r="T4064">
        <f>INDEX([1]IDEN_level_ids!$B:$B,MATCH(G4064,[1]IDEN_level_ids!$A:$A,0),1)</f>
        <v>783</v>
      </c>
      <c r="U4064">
        <f>INDEX([1]IDEN_level_ids!$B:$B,MATCH(H4064,[1]IDEN_level_ids!$A:$A,0),1)</f>
        <v>527</v>
      </c>
    </row>
    <row r="4065" spans="1:21" hidden="1" x14ac:dyDescent="0.25">
      <c r="A4065">
        <v>15874.5234</v>
      </c>
      <c r="B4065">
        <v>6299.4017000000003</v>
      </c>
      <c r="C4065">
        <v>25</v>
      </c>
      <c r="D4065" t="s">
        <v>809</v>
      </c>
      <c r="F4065">
        <v>1974</v>
      </c>
      <c r="G4065" s="1" t="s">
        <v>339</v>
      </c>
      <c r="H4065" s="1" t="s">
        <v>350</v>
      </c>
      <c r="I4065">
        <v>0</v>
      </c>
      <c r="J4065">
        <v>15874.501200000001</v>
      </c>
      <c r="K4065">
        <v>-8.8100000000000001E-3</v>
      </c>
      <c r="L4065">
        <v>1.8280000000000001E-2</v>
      </c>
      <c r="M4065">
        <v>4.6100000000000002E-2</v>
      </c>
      <c r="N4065">
        <v>0.1721</v>
      </c>
      <c r="O4065">
        <v>2.2079999999999999E-2</v>
      </c>
      <c r="P4065" s="3">
        <f t="shared" si="252"/>
        <v>6299.4017193612253</v>
      </c>
      <c r="Q4065" s="3">
        <f t="shared" si="253"/>
        <v>-8.8095188884835807E-3</v>
      </c>
      <c r="R4065" s="3">
        <f t="shared" si="254"/>
        <v>1.8280000000000001E-2</v>
      </c>
      <c r="S4065">
        <f t="shared" si="255"/>
        <v>135</v>
      </c>
      <c r="T4065">
        <f>INDEX([1]IDEN_level_ids!$B:$B,MATCH(G4065,[1]IDEN_level_ids!$A:$A,0),1)</f>
        <v>1189</v>
      </c>
      <c r="U4065">
        <f>INDEX([1]IDEN_level_ids!$B:$B,MATCH(H4065,[1]IDEN_level_ids!$A:$A,0),1)</f>
        <v>1112</v>
      </c>
    </row>
    <row r="4066" spans="1:21" hidden="1" x14ac:dyDescent="0.25">
      <c r="A4066">
        <v>15870.0607</v>
      </c>
      <c r="B4066">
        <v>6301.1731</v>
      </c>
      <c r="C4066">
        <v>25</v>
      </c>
      <c r="D4066" t="s">
        <v>809</v>
      </c>
      <c r="F4066">
        <v>1974</v>
      </c>
      <c r="G4066" s="1" t="s">
        <v>805</v>
      </c>
      <c r="H4066" s="1" t="s">
        <v>411</v>
      </c>
      <c r="I4066">
        <v>0</v>
      </c>
      <c r="J4066">
        <v>15870.050800000001</v>
      </c>
      <c r="K4066">
        <v>-3.9100000000000003E-3</v>
      </c>
      <c r="L4066">
        <v>1.8290000000000001E-2</v>
      </c>
      <c r="M4066">
        <v>4.6100000000000002E-2</v>
      </c>
      <c r="N4066">
        <v>0.53649999999999998</v>
      </c>
      <c r="O4066">
        <v>3.9460000000000002E-2</v>
      </c>
      <c r="P4066" s="3">
        <f t="shared" si="252"/>
        <v>6301.1731265778963</v>
      </c>
      <c r="Q4066" s="3">
        <f t="shared" si="253"/>
        <v>-3.9307759461735259E-3</v>
      </c>
      <c r="R4066" s="3">
        <f t="shared" si="254"/>
        <v>1.8290000000000001E-2</v>
      </c>
      <c r="S4066">
        <f t="shared" si="255"/>
        <v>135</v>
      </c>
      <c r="T4066">
        <f>INDEX([1]IDEN_level_ids!$B:$B,MATCH(G4066,[1]IDEN_level_ids!$A:$A,0),1)</f>
        <v>661</v>
      </c>
      <c r="U4066">
        <f>INDEX([1]IDEN_level_ids!$B:$B,MATCH(H4066,[1]IDEN_level_ids!$A:$A,0),1)</f>
        <v>374</v>
      </c>
    </row>
    <row r="4067" spans="1:21" hidden="1" x14ac:dyDescent="0.25">
      <c r="A4067">
        <v>15842.572700000001</v>
      </c>
      <c r="B4067">
        <v>6312.1061</v>
      </c>
      <c r="C4067">
        <v>25</v>
      </c>
      <c r="D4067" t="s">
        <v>809</v>
      </c>
      <c r="F4067">
        <v>1974</v>
      </c>
      <c r="G4067" s="1" t="s">
        <v>719</v>
      </c>
      <c r="H4067" s="1" t="s">
        <v>271</v>
      </c>
      <c r="I4067">
        <v>0</v>
      </c>
      <c r="J4067">
        <v>15842.5661</v>
      </c>
      <c r="K4067">
        <v>-2.63E-3</v>
      </c>
      <c r="L4067">
        <v>1.8350000000000002E-2</v>
      </c>
      <c r="M4067">
        <v>4.6100000000000002E-2</v>
      </c>
      <c r="N4067">
        <v>0.104</v>
      </c>
      <c r="O4067">
        <v>2.0480000000000002E-2</v>
      </c>
      <c r="P4067" s="3">
        <f t="shared" si="252"/>
        <v>6312.1061139268113</v>
      </c>
      <c r="Q4067" s="3">
        <f t="shared" si="253"/>
        <v>-2.6296182131773094E-3</v>
      </c>
      <c r="R4067" s="3">
        <f t="shared" si="254"/>
        <v>1.8350000000000002E-2</v>
      </c>
      <c r="S4067">
        <f t="shared" si="255"/>
        <v>135</v>
      </c>
      <c r="T4067">
        <f>INDEX([1]IDEN_level_ids!$B:$B,MATCH(G4067,[1]IDEN_level_ids!$A:$A,0),1)</f>
        <v>1244</v>
      </c>
      <c r="U4067">
        <f>INDEX([1]IDEN_level_ids!$B:$B,MATCH(H4067,[1]IDEN_level_ids!$A:$A,0),1)</f>
        <v>1158</v>
      </c>
    </row>
    <row r="4068" spans="1:21" hidden="1" x14ac:dyDescent="0.25">
      <c r="A4068">
        <v>15796.8078</v>
      </c>
      <c r="B4068">
        <v>6330.3928999999998</v>
      </c>
      <c r="C4068">
        <v>25</v>
      </c>
      <c r="D4068" t="s">
        <v>809</v>
      </c>
      <c r="F4068">
        <v>1974</v>
      </c>
      <c r="G4068" s="1" t="s">
        <v>712</v>
      </c>
      <c r="H4068" s="1" t="s">
        <v>239</v>
      </c>
      <c r="I4068">
        <v>0</v>
      </c>
      <c r="J4068">
        <v>15796.7983</v>
      </c>
      <c r="K4068">
        <v>-3.8E-3</v>
      </c>
      <c r="L4068">
        <v>1.8460000000000001E-2</v>
      </c>
      <c r="M4068">
        <v>4.6100000000000002E-2</v>
      </c>
      <c r="N4068">
        <v>9.8199999999999996E-2</v>
      </c>
      <c r="O4068">
        <v>2.0469999999999999E-2</v>
      </c>
      <c r="P4068" s="3">
        <f t="shared" si="252"/>
        <v>6330.3929038118704</v>
      </c>
      <c r="Q4068" s="3">
        <f t="shared" si="253"/>
        <v>-3.8070203490860877E-3</v>
      </c>
      <c r="R4068" s="3">
        <f t="shared" si="254"/>
        <v>1.8460000000000001E-2</v>
      </c>
      <c r="S4068">
        <f t="shared" si="255"/>
        <v>135</v>
      </c>
      <c r="T4068">
        <f>INDEX([1]IDEN_level_ids!$B:$B,MATCH(G4068,[1]IDEN_level_ids!$A:$A,0),1)</f>
        <v>1247</v>
      </c>
      <c r="U4068">
        <f>INDEX([1]IDEN_level_ids!$B:$B,MATCH(H4068,[1]IDEN_level_ids!$A:$A,0),1)</f>
        <v>1167</v>
      </c>
    </row>
    <row r="4069" spans="1:21" hidden="1" x14ac:dyDescent="0.25">
      <c r="A4069">
        <v>15791.056500000001</v>
      </c>
      <c r="B4069">
        <v>6332.6985000000004</v>
      </c>
      <c r="C4069">
        <v>25</v>
      </c>
      <c r="D4069" t="s">
        <v>809</v>
      </c>
      <c r="E4069" t="s">
        <v>427</v>
      </c>
      <c r="F4069">
        <v>1974</v>
      </c>
      <c r="G4069" s="1" t="s">
        <v>190</v>
      </c>
      <c r="H4069" s="1" t="s">
        <v>408</v>
      </c>
      <c r="I4069">
        <v>0</v>
      </c>
      <c r="J4069">
        <v>15791.060600000001</v>
      </c>
      <c r="K4069">
        <v>1.64E-3</v>
      </c>
      <c r="L4069">
        <v>1.9539999999999998E-2</v>
      </c>
      <c r="M4069">
        <v>4.87E-2</v>
      </c>
      <c r="N4069">
        <v>0.4022</v>
      </c>
      <c r="O4069">
        <v>3.2689999999999997E-2</v>
      </c>
      <c r="P4069" s="3">
        <f t="shared" si="252"/>
        <v>6332.6985119710007</v>
      </c>
      <c r="Q4069" s="3">
        <f t="shared" si="253"/>
        <v>1.6442254618596053E-3</v>
      </c>
      <c r="R4069" s="3">
        <f t="shared" si="254"/>
        <v>1.9539999999999998E-2</v>
      </c>
      <c r="S4069">
        <f t="shared" si="255"/>
        <v>135</v>
      </c>
      <c r="T4069">
        <f>INDEX([1]IDEN_level_ids!$B:$B,MATCH(G4069,[1]IDEN_level_ids!$A:$A,0),1)</f>
        <v>719</v>
      </c>
      <c r="U4069">
        <f>INDEX([1]IDEN_level_ids!$B:$B,MATCH(H4069,[1]IDEN_level_ids!$A:$A,0),1)</f>
        <v>461</v>
      </c>
    </row>
    <row r="4070" spans="1:21" hidden="1" x14ac:dyDescent="0.25">
      <c r="A4070">
        <v>15783.5298</v>
      </c>
      <c r="B4070">
        <v>6335.7183999999997</v>
      </c>
      <c r="C4070">
        <v>25</v>
      </c>
      <c r="D4070" t="s">
        <v>809</v>
      </c>
      <c r="E4070" t="s">
        <v>427</v>
      </c>
      <c r="F4070">
        <v>1974</v>
      </c>
      <c r="G4070" s="1" t="s">
        <v>178</v>
      </c>
      <c r="H4070" s="1" t="s">
        <v>415</v>
      </c>
      <c r="I4070">
        <v>0</v>
      </c>
      <c r="J4070">
        <v>15783.514800000001</v>
      </c>
      <c r="K4070">
        <v>-6.0299999999999998E-3</v>
      </c>
      <c r="L4070">
        <v>1.9560000000000001E-2</v>
      </c>
      <c r="M4070">
        <v>4.87E-2</v>
      </c>
      <c r="N4070">
        <v>0.57530000000000003</v>
      </c>
      <c r="O4070">
        <v>4.6059999999999997E-2</v>
      </c>
      <c r="P4070" s="3">
        <f t="shared" si="252"/>
        <v>6335.718389178066</v>
      </c>
      <c r="Q4070" s="3">
        <f t="shared" si="253"/>
        <v>-6.0212048474568292E-3</v>
      </c>
      <c r="R4070" s="3">
        <f t="shared" si="254"/>
        <v>1.9560000000000001E-2</v>
      </c>
      <c r="S4070">
        <f t="shared" si="255"/>
        <v>135</v>
      </c>
      <c r="T4070">
        <f>INDEX([1]IDEN_level_ids!$B:$B,MATCH(G4070,[1]IDEN_level_ids!$A:$A,0),1)</f>
        <v>782</v>
      </c>
      <c r="U4070">
        <f>INDEX([1]IDEN_level_ids!$B:$B,MATCH(H4070,[1]IDEN_level_ids!$A:$A,0),1)</f>
        <v>530</v>
      </c>
    </row>
    <row r="4071" spans="1:21" hidden="1" x14ac:dyDescent="0.25">
      <c r="A4071">
        <v>15736.2515</v>
      </c>
      <c r="B4071">
        <v>6354.7534999999998</v>
      </c>
      <c r="C4071">
        <v>25</v>
      </c>
      <c r="D4071" t="s">
        <v>809</v>
      </c>
      <c r="F4071">
        <v>1974</v>
      </c>
      <c r="G4071" s="1" t="s">
        <v>263</v>
      </c>
      <c r="H4071" s="1" t="s">
        <v>400</v>
      </c>
      <c r="I4071">
        <v>0</v>
      </c>
      <c r="J4071">
        <v>15736.235000000001</v>
      </c>
      <c r="K4071">
        <v>-6.6800000000000002E-3</v>
      </c>
      <c r="L4071">
        <v>1.8599999999999998E-2</v>
      </c>
      <c r="M4071">
        <v>4.6100000000000002E-2</v>
      </c>
      <c r="N4071">
        <v>0.34670000000000001</v>
      </c>
      <c r="O4071">
        <v>2.8479999999999998E-2</v>
      </c>
      <c r="P4071" s="3">
        <f t="shared" si="252"/>
        <v>6354.7535447053579</v>
      </c>
      <c r="Q4071" s="3">
        <f t="shared" si="253"/>
        <v>-6.663184267381439E-3</v>
      </c>
      <c r="R4071" s="3">
        <f t="shared" si="254"/>
        <v>1.8599999999999998E-2</v>
      </c>
      <c r="S4071">
        <f t="shared" si="255"/>
        <v>135</v>
      </c>
      <c r="T4071">
        <f>INDEX([1]IDEN_level_ids!$B:$B,MATCH(G4071,[1]IDEN_level_ids!$A:$A,0),1)</f>
        <v>759</v>
      </c>
      <c r="U4071">
        <f>INDEX([1]IDEN_level_ids!$B:$B,MATCH(H4071,[1]IDEN_level_ids!$A:$A,0),1)</f>
        <v>503</v>
      </c>
    </row>
    <row r="4072" spans="1:21" hidden="1" x14ac:dyDescent="0.25">
      <c r="A4072">
        <v>15714.8501</v>
      </c>
      <c r="B4072">
        <v>6363.4078</v>
      </c>
      <c r="C4072">
        <v>25</v>
      </c>
      <c r="D4072" t="s">
        <v>809</v>
      </c>
      <c r="F4072">
        <v>1974</v>
      </c>
      <c r="G4072" s="1" t="s">
        <v>115</v>
      </c>
      <c r="H4072" s="1" t="s">
        <v>18</v>
      </c>
      <c r="I4072">
        <v>0</v>
      </c>
      <c r="J4072">
        <v>15714.822899999999</v>
      </c>
      <c r="K4072">
        <v>-1.102E-2</v>
      </c>
      <c r="L4072">
        <v>1.865E-2</v>
      </c>
      <c r="M4072">
        <v>4.6100000000000002E-2</v>
      </c>
      <c r="N4072">
        <v>0.1754</v>
      </c>
      <c r="O4072">
        <v>2.2620000000000001E-2</v>
      </c>
      <c r="P4072" s="3">
        <f t="shared" si="252"/>
        <v>6363.4078189520878</v>
      </c>
      <c r="Q4072" s="3">
        <f t="shared" si="253"/>
        <v>-1.1014103931302088E-2</v>
      </c>
      <c r="R4072" s="3">
        <f t="shared" si="254"/>
        <v>1.865E-2</v>
      </c>
      <c r="S4072">
        <f t="shared" si="255"/>
        <v>135</v>
      </c>
      <c r="T4072">
        <f>INDEX([1]IDEN_level_ids!$B:$B,MATCH(G4072,[1]IDEN_level_ids!$A:$A,0),1)</f>
        <v>1252</v>
      </c>
      <c r="U4072">
        <f>INDEX([1]IDEN_level_ids!$B:$B,MATCH(H4072,[1]IDEN_level_ids!$A:$A,0),1)</f>
        <v>1226</v>
      </c>
    </row>
    <row r="4073" spans="1:21" hidden="1" x14ac:dyDescent="0.25">
      <c r="A4073">
        <v>15655.096299999999</v>
      </c>
      <c r="B4073">
        <v>6387.6962999999996</v>
      </c>
      <c r="C4073">
        <v>25</v>
      </c>
      <c r="D4073" t="s">
        <v>809</v>
      </c>
      <c r="E4073" t="s">
        <v>427</v>
      </c>
      <c r="F4073">
        <v>1974</v>
      </c>
      <c r="G4073" s="1" t="s">
        <v>355</v>
      </c>
      <c r="H4073" s="1" t="s">
        <v>350</v>
      </c>
      <c r="I4073">
        <v>0</v>
      </c>
      <c r="J4073">
        <v>15655.0442</v>
      </c>
      <c r="K4073">
        <v>-2.1270000000000001E-2</v>
      </c>
      <c r="L4073">
        <v>1.9879999999999998E-2</v>
      </c>
      <c r="M4073">
        <v>4.87E-2</v>
      </c>
      <c r="N4073">
        <v>0.37590000000000001</v>
      </c>
      <c r="O4073">
        <v>3.1859999999999999E-2</v>
      </c>
      <c r="P4073" s="3">
        <f t="shared" si="252"/>
        <v>6387.6962545417246</v>
      </c>
      <c r="Q4073" s="3">
        <f t="shared" si="253"/>
        <v>-2.1258258399029728E-2</v>
      </c>
      <c r="R4073" s="3">
        <f t="shared" si="254"/>
        <v>1.9879999999999998E-2</v>
      </c>
      <c r="S4073">
        <f t="shared" si="255"/>
        <v>135</v>
      </c>
      <c r="T4073">
        <f>INDEX([1]IDEN_level_ids!$B:$B,MATCH(G4073,[1]IDEN_level_ids!$A:$A,0),1)</f>
        <v>1185</v>
      </c>
      <c r="U4073">
        <f>INDEX([1]IDEN_level_ids!$B:$B,MATCH(H4073,[1]IDEN_level_ids!$A:$A,0),1)</f>
        <v>1112</v>
      </c>
    </row>
    <row r="4074" spans="1:21" hidden="1" x14ac:dyDescent="0.25">
      <c r="A4074">
        <v>15587.9231</v>
      </c>
      <c r="B4074">
        <v>6415.2227999999996</v>
      </c>
      <c r="C4074">
        <v>25</v>
      </c>
      <c r="D4074" t="s">
        <v>809</v>
      </c>
      <c r="F4074">
        <v>1974</v>
      </c>
      <c r="G4074" s="1" t="s">
        <v>710</v>
      </c>
      <c r="H4074" s="1" t="s">
        <v>238</v>
      </c>
      <c r="I4074">
        <v>0</v>
      </c>
      <c r="J4074">
        <v>15587.9074</v>
      </c>
      <c r="K4074">
        <v>-6.4799999999999996E-3</v>
      </c>
      <c r="L4074">
        <v>1.8960000000000001E-2</v>
      </c>
      <c r="M4074">
        <v>4.6100000000000002E-2</v>
      </c>
      <c r="N4074">
        <v>8.3299999999999999E-2</v>
      </c>
      <c r="O4074">
        <v>2.068E-2</v>
      </c>
      <c r="P4074" s="3">
        <f t="shared" si="252"/>
        <v>6415.2228208002898</v>
      </c>
      <c r="Q4074" s="3">
        <f t="shared" si="253"/>
        <v>-6.4613546710461378E-3</v>
      </c>
      <c r="R4074" s="3">
        <f t="shared" si="254"/>
        <v>1.8960000000000001E-2</v>
      </c>
      <c r="S4074">
        <f t="shared" si="255"/>
        <v>135</v>
      </c>
      <c r="T4074">
        <f>INDEX([1]IDEN_level_ids!$B:$B,MATCH(G4074,[1]IDEN_level_ids!$A:$A,0),1)</f>
        <v>1246</v>
      </c>
      <c r="U4074">
        <f>INDEX([1]IDEN_level_ids!$B:$B,MATCH(H4074,[1]IDEN_level_ids!$A:$A,0),1)</f>
        <v>1165</v>
      </c>
    </row>
    <row r="4075" spans="1:21" hidden="1" x14ac:dyDescent="0.25">
      <c r="A4075">
        <v>15573.720300000001</v>
      </c>
      <c r="B4075">
        <v>6421.0733</v>
      </c>
      <c r="C4075">
        <v>25</v>
      </c>
      <c r="D4075" t="s">
        <v>809</v>
      </c>
      <c r="F4075">
        <v>1974</v>
      </c>
      <c r="G4075" s="1" t="s">
        <v>166</v>
      </c>
      <c r="H4075" s="1" t="s">
        <v>799</v>
      </c>
      <c r="I4075">
        <v>0</v>
      </c>
      <c r="J4075">
        <v>15573.7093</v>
      </c>
      <c r="K4075">
        <v>-4.5500000000000002E-3</v>
      </c>
      <c r="L4075">
        <v>1.899E-2</v>
      </c>
      <c r="M4075">
        <v>4.6100000000000002E-2</v>
      </c>
      <c r="N4075">
        <v>0.17949999999999999</v>
      </c>
      <c r="O4075">
        <v>2.315E-2</v>
      </c>
      <c r="P4075" s="3">
        <f t="shared" si="252"/>
        <v>6421.0733256844223</v>
      </c>
      <c r="Q4075" s="3">
        <f t="shared" si="253"/>
        <v>-4.5353232953857514E-3</v>
      </c>
      <c r="R4075" s="3">
        <f t="shared" si="254"/>
        <v>1.899E-2</v>
      </c>
      <c r="S4075">
        <f t="shared" si="255"/>
        <v>135</v>
      </c>
      <c r="T4075">
        <f>INDEX([1]IDEN_level_ids!$B:$B,MATCH(G4075,[1]IDEN_level_ids!$A:$A,0),1)</f>
        <v>1186</v>
      </c>
      <c r="U4075">
        <f>INDEX([1]IDEN_level_ids!$B:$B,MATCH(H4075,[1]IDEN_level_ids!$A:$A,0),1)</f>
        <v>1113</v>
      </c>
    </row>
    <row r="4076" spans="1:21" hidden="1" x14ac:dyDescent="0.25">
      <c r="A4076">
        <v>15556.0182</v>
      </c>
      <c r="B4076">
        <v>6428.3801999999996</v>
      </c>
      <c r="C4076">
        <v>25</v>
      </c>
      <c r="D4076" t="s">
        <v>810</v>
      </c>
      <c r="E4076" t="s">
        <v>427</v>
      </c>
      <c r="F4076">
        <v>1974</v>
      </c>
      <c r="G4076" s="1" t="s">
        <v>128</v>
      </c>
      <c r="H4076" s="1" t="s">
        <v>400</v>
      </c>
      <c r="I4076">
        <v>0</v>
      </c>
      <c r="J4076">
        <v>15555.9895</v>
      </c>
      <c r="K4076">
        <v>-1.1849999999999999E-2</v>
      </c>
      <c r="L4076">
        <v>2.0140000000000002E-2</v>
      </c>
      <c r="M4076">
        <v>4.87E-2</v>
      </c>
      <c r="N4076">
        <v>0.84519999999999995</v>
      </c>
      <c r="O4076">
        <v>0.13006999999999999</v>
      </c>
      <c r="P4076" s="3">
        <f t="shared" si="252"/>
        <v>6428.3802393597098</v>
      </c>
      <c r="Q4076" s="3">
        <f t="shared" si="253"/>
        <v>-1.1860030688694678E-2</v>
      </c>
      <c r="R4076" s="3">
        <f t="shared" si="254"/>
        <v>2.0140000000000002E-2</v>
      </c>
      <c r="S4076">
        <f t="shared" si="255"/>
        <v>136</v>
      </c>
      <c r="T4076">
        <f>INDEX([1]IDEN_level_ids!$B:$B,MATCH(G4076,[1]IDEN_level_ids!$A:$A,0),1)</f>
        <v>756</v>
      </c>
      <c r="U4076">
        <f>INDEX([1]IDEN_level_ids!$B:$B,MATCH(H4076,[1]IDEN_level_ids!$A:$A,0),1)</f>
        <v>503</v>
      </c>
    </row>
    <row r="4077" spans="1:21" hidden="1" x14ac:dyDescent="0.25">
      <c r="A4077">
        <v>15549.599099999999</v>
      </c>
      <c r="B4077">
        <v>6431.0339999999997</v>
      </c>
      <c r="C4077">
        <v>25</v>
      </c>
      <c r="D4077" t="s">
        <v>810</v>
      </c>
      <c r="F4077">
        <v>1974</v>
      </c>
      <c r="G4077" s="1" t="s">
        <v>734</v>
      </c>
      <c r="H4077" s="1" t="s">
        <v>100</v>
      </c>
      <c r="I4077">
        <v>0</v>
      </c>
      <c r="J4077">
        <v>15549.580599999999</v>
      </c>
      <c r="K4077">
        <v>-7.6600000000000001E-3</v>
      </c>
      <c r="L4077">
        <v>1.9050000000000001E-2</v>
      </c>
      <c r="M4077">
        <v>4.6100000000000002E-2</v>
      </c>
      <c r="N4077">
        <v>0.1087</v>
      </c>
      <c r="O4077">
        <v>2.138E-2</v>
      </c>
      <c r="P4077" s="3">
        <f t="shared" si="252"/>
        <v>6431.0339679432636</v>
      </c>
      <c r="Q4077" s="3">
        <f t="shared" si="253"/>
        <v>-7.6512757141244947E-3</v>
      </c>
      <c r="R4077" s="3">
        <f t="shared" si="254"/>
        <v>1.9050000000000001E-2</v>
      </c>
      <c r="S4077">
        <f t="shared" si="255"/>
        <v>136</v>
      </c>
      <c r="T4077">
        <f>INDEX([1]IDEN_level_ids!$B:$B,MATCH(G4077,[1]IDEN_level_ids!$A:$A,0),1)</f>
        <v>1232</v>
      </c>
      <c r="U4077">
        <f>INDEX([1]IDEN_level_ids!$B:$B,MATCH(H4077,[1]IDEN_level_ids!$A:$A,0),1)</f>
        <v>1146</v>
      </c>
    </row>
    <row r="4078" spans="1:21" hidden="1" x14ac:dyDescent="0.25">
      <c r="A4078">
        <v>15525.5164</v>
      </c>
      <c r="B4078">
        <v>6441.0096000000003</v>
      </c>
      <c r="C4078">
        <v>25</v>
      </c>
      <c r="D4078" t="s">
        <v>810</v>
      </c>
      <c r="F4078">
        <v>1974</v>
      </c>
      <c r="G4078" s="1" t="s">
        <v>125</v>
      </c>
      <c r="H4078" s="1" t="s">
        <v>55</v>
      </c>
      <c r="I4078">
        <v>0</v>
      </c>
      <c r="J4078">
        <v>15525.496999999999</v>
      </c>
      <c r="K4078">
        <v>-8.0599999999999995E-3</v>
      </c>
      <c r="L4078">
        <v>1.9109999999999999E-2</v>
      </c>
      <c r="M4078">
        <v>4.6100000000000002E-2</v>
      </c>
      <c r="N4078">
        <v>0.16259999999999999</v>
      </c>
      <c r="O4078">
        <v>2.282E-2</v>
      </c>
      <c r="P4078" s="3">
        <f t="shared" si="252"/>
        <v>6441.0095885763903</v>
      </c>
      <c r="Q4078" s="3">
        <f t="shared" si="253"/>
        <v>-8.0484113341299235E-3</v>
      </c>
      <c r="R4078" s="3">
        <f t="shared" si="254"/>
        <v>1.9109999999999999E-2</v>
      </c>
      <c r="S4078">
        <f t="shared" si="255"/>
        <v>136</v>
      </c>
      <c r="T4078">
        <f>INDEX([1]IDEN_level_ids!$B:$B,MATCH(G4078,[1]IDEN_level_ids!$A:$A,0),1)</f>
        <v>1253</v>
      </c>
      <c r="U4078">
        <f>INDEX([1]IDEN_level_ids!$B:$B,MATCH(H4078,[1]IDEN_level_ids!$A:$A,0),1)</f>
        <v>1233</v>
      </c>
    </row>
    <row r="4079" spans="1:21" hidden="1" x14ac:dyDescent="0.25">
      <c r="A4079">
        <v>15512.2379</v>
      </c>
      <c r="B4079">
        <v>6446.5231000000003</v>
      </c>
      <c r="C4079">
        <v>25</v>
      </c>
      <c r="D4079" t="s">
        <v>810</v>
      </c>
      <c r="F4079">
        <v>1974</v>
      </c>
      <c r="G4079" s="1" t="s">
        <v>320</v>
      </c>
      <c r="H4079" s="1" t="s">
        <v>273</v>
      </c>
      <c r="I4079">
        <v>0</v>
      </c>
      <c r="J4079">
        <v>15512.243899999999</v>
      </c>
      <c r="K4079">
        <v>2.5000000000000001E-3</v>
      </c>
      <c r="L4079">
        <v>1.9140000000000001E-2</v>
      </c>
      <c r="M4079">
        <v>4.6100000000000002E-2</v>
      </c>
      <c r="N4079">
        <v>0.14699999999999999</v>
      </c>
      <c r="O4079">
        <v>2.2440000000000002E-2</v>
      </c>
      <c r="P4079" s="3">
        <f t="shared" si="252"/>
        <v>6446.5231028980024</v>
      </c>
      <c r="Q4079" s="3">
        <f t="shared" si="253"/>
        <v>2.4934586417657556E-3</v>
      </c>
      <c r="R4079" s="3">
        <f t="shared" si="254"/>
        <v>1.9140000000000001E-2</v>
      </c>
      <c r="S4079">
        <f t="shared" si="255"/>
        <v>136</v>
      </c>
      <c r="T4079">
        <f>INDEX([1]IDEN_level_ids!$B:$B,MATCH(G4079,[1]IDEN_level_ids!$A:$A,0),1)</f>
        <v>1180</v>
      </c>
      <c r="U4079">
        <f>INDEX([1]IDEN_level_ids!$B:$B,MATCH(H4079,[1]IDEN_level_ids!$A:$A,0),1)</f>
        <v>1105</v>
      </c>
    </row>
    <row r="4080" spans="1:21" hidden="1" x14ac:dyDescent="0.25">
      <c r="A4080">
        <v>15504.946</v>
      </c>
      <c r="B4080">
        <v>6449.5549000000001</v>
      </c>
      <c r="C4080">
        <v>25</v>
      </c>
      <c r="D4080" t="s">
        <v>810</v>
      </c>
      <c r="F4080">
        <v>1974</v>
      </c>
      <c r="G4080" s="1" t="s">
        <v>716</v>
      </c>
      <c r="H4080" s="1" t="s">
        <v>269</v>
      </c>
      <c r="I4080">
        <v>0</v>
      </c>
      <c r="J4080">
        <v>15504.948399999999</v>
      </c>
      <c r="K4080">
        <v>1E-3</v>
      </c>
      <c r="L4080">
        <v>1.916E-2</v>
      </c>
      <c r="M4080">
        <v>4.6100000000000002E-2</v>
      </c>
      <c r="N4080">
        <v>0.2477</v>
      </c>
      <c r="O4080">
        <v>2.547E-2</v>
      </c>
      <c r="P4080" s="3">
        <f t="shared" si="252"/>
        <v>6449.5548710714629</v>
      </c>
      <c r="Q4080" s="3">
        <f t="shared" si="253"/>
        <v>9.9832203795813257E-4</v>
      </c>
      <c r="R4080" s="3">
        <f t="shared" si="254"/>
        <v>1.916E-2</v>
      </c>
      <c r="S4080">
        <f t="shared" si="255"/>
        <v>136</v>
      </c>
      <c r="T4080">
        <f>INDEX([1]IDEN_level_ids!$B:$B,MATCH(G4080,[1]IDEN_level_ids!$A:$A,0),1)</f>
        <v>1219</v>
      </c>
      <c r="U4080">
        <f>INDEX([1]IDEN_level_ids!$B:$B,MATCH(H4080,[1]IDEN_level_ids!$A:$A,0),1)</f>
        <v>1137</v>
      </c>
    </row>
    <row r="4081" spans="1:21" hidden="1" x14ac:dyDescent="0.25">
      <c r="A4081">
        <v>15487.269899999999</v>
      </c>
      <c r="B4081">
        <v>6456.9159</v>
      </c>
      <c r="C4081">
        <v>25</v>
      </c>
      <c r="D4081" t="s">
        <v>810</v>
      </c>
      <c r="F4081">
        <v>1974</v>
      </c>
      <c r="G4081" s="1" t="s">
        <v>121</v>
      </c>
      <c r="H4081" s="1" t="s">
        <v>114</v>
      </c>
      <c r="I4081">
        <v>0</v>
      </c>
      <c r="J4081">
        <v>15487.2309</v>
      </c>
      <c r="K4081">
        <v>-1.626E-2</v>
      </c>
      <c r="L4081">
        <v>1.9210000000000001E-2</v>
      </c>
      <c r="M4081">
        <v>4.6100000000000002E-2</v>
      </c>
      <c r="N4081">
        <v>0.84319999999999995</v>
      </c>
      <c r="O4081">
        <v>0.12248000000000001</v>
      </c>
      <c r="P4081" s="3">
        <f t="shared" si="252"/>
        <v>6456.9159474646985</v>
      </c>
      <c r="Q4081" s="3">
        <f t="shared" si="253"/>
        <v>-1.625982873065368E-2</v>
      </c>
      <c r="R4081" s="3">
        <f t="shared" si="254"/>
        <v>1.9210000000000001E-2</v>
      </c>
      <c r="S4081">
        <f t="shared" si="255"/>
        <v>136</v>
      </c>
      <c r="T4081">
        <f>INDEX([1]IDEN_level_ids!$B:$B,MATCH(G4081,[1]IDEN_level_ids!$A:$A,0),1)</f>
        <v>860</v>
      </c>
      <c r="U4081">
        <f>INDEX([1]IDEN_level_ids!$B:$B,MATCH(H4081,[1]IDEN_level_ids!$A:$A,0),1)</f>
        <v>645</v>
      </c>
    </row>
    <row r="4082" spans="1:21" hidden="1" x14ac:dyDescent="0.25">
      <c r="A4082">
        <v>15486.2237</v>
      </c>
      <c r="B4082">
        <v>6457.3521000000001</v>
      </c>
      <c r="C4082">
        <v>25</v>
      </c>
      <c r="D4082" t="s">
        <v>810</v>
      </c>
      <c r="F4082">
        <v>1974</v>
      </c>
      <c r="G4082" s="1" t="s">
        <v>299</v>
      </c>
      <c r="H4082" s="1" t="s">
        <v>386</v>
      </c>
      <c r="I4082">
        <v>0.22500000000000001</v>
      </c>
      <c r="J4082">
        <v>15486.238600000001</v>
      </c>
      <c r="K4082">
        <v>6.1999999999999998E-3</v>
      </c>
      <c r="L4082">
        <v>1.9210000000000001E-2</v>
      </c>
      <c r="M4082">
        <v>4.6100000000000002E-2</v>
      </c>
      <c r="N4082">
        <v>9.98E-2</v>
      </c>
      <c r="O4082">
        <v>2.1340000000000001E-2</v>
      </c>
      <c r="P4082" s="3">
        <f t="shared" si="252"/>
        <v>6457.3521561618663</v>
      </c>
      <c r="Q4082" s="3">
        <f t="shared" si="253"/>
        <v>6.212906155269593E-3</v>
      </c>
      <c r="R4082" s="3">
        <f t="shared" si="254"/>
        <v>1.9210000000000001E-2</v>
      </c>
      <c r="S4082">
        <f t="shared" si="255"/>
        <v>136</v>
      </c>
      <c r="T4082">
        <f>INDEX([1]IDEN_level_ids!$B:$B,MATCH(G4082,[1]IDEN_level_ids!$A:$A,0),1)</f>
        <v>1101</v>
      </c>
      <c r="U4082">
        <f>INDEX([1]IDEN_level_ids!$B:$B,MATCH(H4082,[1]IDEN_level_ids!$A:$A,0),1)</f>
        <v>1082</v>
      </c>
    </row>
    <row r="4083" spans="1:21" hidden="1" x14ac:dyDescent="0.25">
      <c r="A4083">
        <v>15474.1502</v>
      </c>
      <c r="B4083">
        <v>6462.3904000000002</v>
      </c>
      <c r="C4083">
        <v>25</v>
      </c>
      <c r="D4083" t="s">
        <v>810</v>
      </c>
      <c r="F4083">
        <v>1974</v>
      </c>
      <c r="G4083" s="1" t="s">
        <v>791</v>
      </c>
      <c r="H4083" s="1" t="s">
        <v>172</v>
      </c>
      <c r="I4083">
        <v>0</v>
      </c>
      <c r="J4083">
        <v>15474.1463</v>
      </c>
      <c r="K4083">
        <v>-1.6199999999999999E-3</v>
      </c>
      <c r="L4083">
        <v>1.924E-2</v>
      </c>
      <c r="M4083">
        <v>4.6100000000000002E-2</v>
      </c>
      <c r="N4083">
        <v>0.1323</v>
      </c>
      <c r="O4083">
        <v>2.2169999999999999E-2</v>
      </c>
      <c r="P4083" s="3">
        <f t="shared" si="252"/>
        <v>6462.3904193459357</v>
      </c>
      <c r="Q4083" s="3">
        <f t="shared" si="253"/>
        <v>-1.628737518331036E-3</v>
      </c>
      <c r="R4083" s="3">
        <f t="shared" si="254"/>
        <v>1.924E-2</v>
      </c>
      <c r="S4083">
        <f t="shared" si="255"/>
        <v>136</v>
      </c>
      <c r="T4083">
        <f>INDEX([1]IDEN_level_ids!$B:$B,MATCH(G4083,[1]IDEN_level_ids!$A:$A,0),1)</f>
        <v>1215</v>
      </c>
      <c r="U4083">
        <f>INDEX([1]IDEN_level_ids!$B:$B,MATCH(H4083,[1]IDEN_level_ids!$A:$A,0),1)</f>
        <v>1136</v>
      </c>
    </row>
    <row r="4084" spans="1:21" hidden="1" x14ac:dyDescent="0.25">
      <c r="A4084">
        <v>15458.2176</v>
      </c>
      <c r="B4084">
        <v>6469.0510999999997</v>
      </c>
      <c r="C4084">
        <v>25</v>
      </c>
      <c r="D4084" t="s">
        <v>810</v>
      </c>
      <c r="F4084">
        <v>1974</v>
      </c>
      <c r="G4084" s="1" t="s">
        <v>348</v>
      </c>
      <c r="H4084" s="1" t="s">
        <v>342</v>
      </c>
      <c r="I4084">
        <v>0</v>
      </c>
      <c r="J4084">
        <v>15458.172699999999</v>
      </c>
      <c r="K4084">
        <v>-1.8759999999999999E-2</v>
      </c>
      <c r="L4084">
        <v>1.9279999999999999E-2</v>
      </c>
      <c r="M4084">
        <v>4.6100000000000002E-2</v>
      </c>
      <c r="N4084">
        <v>0.22589999999999999</v>
      </c>
      <c r="O4084">
        <v>2.4899999999999999E-2</v>
      </c>
      <c r="P4084" s="3">
        <f t="shared" si="252"/>
        <v>6469.0511278609511</v>
      </c>
      <c r="Q4084" s="3">
        <f t="shared" si="253"/>
        <v>-1.8790086078297463E-2</v>
      </c>
      <c r="R4084" s="3">
        <f t="shared" si="254"/>
        <v>1.9279999999999999E-2</v>
      </c>
      <c r="S4084">
        <f t="shared" si="255"/>
        <v>136</v>
      </c>
      <c r="T4084">
        <f>INDEX([1]IDEN_level_ids!$B:$B,MATCH(G4084,[1]IDEN_level_ids!$A:$A,0),1)</f>
        <v>1190</v>
      </c>
      <c r="U4084">
        <f>INDEX([1]IDEN_level_ids!$B:$B,MATCH(H4084,[1]IDEN_level_ids!$A:$A,0),1)</f>
        <v>1119</v>
      </c>
    </row>
    <row r="4085" spans="1:21" hidden="1" x14ac:dyDescent="0.25">
      <c r="A4085">
        <v>15380.276</v>
      </c>
      <c r="B4085">
        <v>6501.8338999999996</v>
      </c>
      <c r="C4085">
        <v>25</v>
      </c>
      <c r="D4085" t="s">
        <v>810</v>
      </c>
      <c r="F4085">
        <v>1974</v>
      </c>
      <c r="G4085" s="1" t="s">
        <v>706</v>
      </c>
      <c r="H4085" s="1" t="s">
        <v>295</v>
      </c>
      <c r="I4085">
        <v>0</v>
      </c>
      <c r="J4085">
        <v>15380.2552</v>
      </c>
      <c r="K4085">
        <v>-8.77E-3</v>
      </c>
      <c r="L4085">
        <v>1.9470000000000001E-2</v>
      </c>
      <c r="M4085">
        <v>4.6100000000000002E-2</v>
      </c>
      <c r="N4085">
        <v>0.1057</v>
      </c>
      <c r="O4085">
        <v>2.1770000000000001E-2</v>
      </c>
      <c r="P4085" s="3">
        <f t="shared" si="252"/>
        <v>6501.8339072718854</v>
      </c>
      <c r="Q4085" s="3">
        <f t="shared" si="253"/>
        <v>-8.7929714763959055E-3</v>
      </c>
      <c r="R4085" s="3">
        <f t="shared" si="254"/>
        <v>1.9470000000000001E-2</v>
      </c>
      <c r="S4085">
        <f t="shared" si="255"/>
        <v>136</v>
      </c>
      <c r="T4085">
        <f>INDEX([1]IDEN_level_ids!$B:$B,MATCH(G4085,[1]IDEN_level_ids!$A:$A,0),1)</f>
        <v>1240</v>
      </c>
      <c r="U4085">
        <f>INDEX([1]IDEN_level_ids!$B:$B,MATCH(H4085,[1]IDEN_level_ids!$A:$A,0),1)</f>
        <v>1152</v>
      </c>
    </row>
    <row r="4086" spans="1:21" hidden="1" x14ac:dyDescent="0.25">
      <c r="A4086">
        <v>15375.052900000001</v>
      </c>
      <c r="B4086">
        <v>6504.0427</v>
      </c>
      <c r="C4086">
        <v>25</v>
      </c>
      <c r="D4086" t="s">
        <v>810</v>
      </c>
      <c r="F4086">
        <v>1974</v>
      </c>
      <c r="G4086" s="1" t="s">
        <v>320</v>
      </c>
      <c r="H4086" s="1" t="s">
        <v>250</v>
      </c>
      <c r="I4086">
        <v>0</v>
      </c>
      <c r="J4086">
        <v>15375.059600000001</v>
      </c>
      <c r="K4086">
        <v>2.8300000000000001E-3</v>
      </c>
      <c r="L4086">
        <v>1.949E-2</v>
      </c>
      <c r="M4086">
        <v>4.6100000000000002E-2</v>
      </c>
      <c r="N4086">
        <v>0.13969999999999999</v>
      </c>
      <c r="O4086">
        <v>2.265E-2</v>
      </c>
      <c r="P4086" s="3">
        <f t="shared" si="252"/>
        <v>6504.0426625133759</v>
      </c>
      <c r="Q4086" s="3">
        <f t="shared" si="253"/>
        <v>2.8342710193101084E-3</v>
      </c>
      <c r="R4086" s="3">
        <f t="shared" si="254"/>
        <v>1.949E-2</v>
      </c>
      <c r="S4086">
        <f t="shared" si="255"/>
        <v>136</v>
      </c>
      <c r="T4086">
        <f>INDEX([1]IDEN_level_ids!$B:$B,MATCH(G4086,[1]IDEN_level_ids!$A:$A,0),1)</f>
        <v>1180</v>
      </c>
      <c r="U4086">
        <f>INDEX([1]IDEN_level_ids!$B:$B,MATCH(H4086,[1]IDEN_level_ids!$A:$A,0),1)</f>
        <v>1107</v>
      </c>
    </row>
    <row r="4087" spans="1:21" hidden="1" x14ac:dyDescent="0.25">
      <c r="A4087">
        <v>15348.398800000001</v>
      </c>
      <c r="B4087">
        <v>6515.3375999999998</v>
      </c>
      <c r="C4087">
        <v>25</v>
      </c>
      <c r="D4087" t="s">
        <v>810</v>
      </c>
      <c r="F4087">
        <v>1974</v>
      </c>
      <c r="G4087" s="1" t="s">
        <v>736</v>
      </c>
      <c r="H4087" s="1" t="s">
        <v>33</v>
      </c>
      <c r="I4087">
        <v>0</v>
      </c>
      <c r="J4087">
        <v>15348.390799999999</v>
      </c>
      <c r="K4087">
        <v>-3.3899999999999998E-3</v>
      </c>
      <c r="L4087">
        <v>1.9560000000000001E-2</v>
      </c>
      <c r="M4087">
        <v>4.6100000000000002E-2</v>
      </c>
      <c r="N4087">
        <v>0.14019999999999999</v>
      </c>
      <c r="O4087">
        <v>2.274E-2</v>
      </c>
      <c r="P4087" s="3">
        <f t="shared" si="252"/>
        <v>6515.3376129371873</v>
      </c>
      <c r="Q4087" s="3">
        <f t="shared" si="253"/>
        <v>-3.3959717075049412E-3</v>
      </c>
      <c r="R4087" s="3">
        <f t="shared" si="254"/>
        <v>1.9560000000000001E-2</v>
      </c>
      <c r="S4087">
        <f t="shared" si="255"/>
        <v>136</v>
      </c>
      <c r="T4087">
        <f>INDEX([1]IDEN_level_ids!$B:$B,MATCH(G4087,[1]IDEN_level_ids!$A:$A,0),1)</f>
        <v>1251</v>
      </c>
      <c r="U4087">
        <f>INDEX([1]IDEN_level_ids!$B:$B,MATCH(H4087,[1]IDEN_level_ids!$A:$A,0),1)</f>
        <v>1220</v>
      </c>
    </row>
    <row r="4088" spans="1:21" hidden="1" x14ac:dyDescent="0.25">
      <c r="A4088">
        <v>15271.5905</v>
      </c>
      <c r="B4088">
        <v>6548.1064999999999</v>
      </c>
      <c r="C4088">
        <v>25</v>
      </c>
      <c r="D4088" t="s">
        <v>811</v>
      </c>
      <c r="F4088">
        <v>1974</v>
      </c>
      <c r="G4088" s="1" t="s">
        <v>712</v>
      </c>
      <c r="H4088" s="1" t="s">
        <v>216</v>
      </c>
      <c r="I4088">
        <v>0</v>
      </c>
      <c r="J4088">
        <v>15271.5738</v>
      </c>
      <c r="K4088">
        <v>-7.1599999999999997E-3</v>
      </c>
      <c r="L4088">
        <v>1.975E-2</v>
      </c>
      <c r="M4088">
        <v>4.6100000000000002E-2</v>
      </c>
      <c r="N4088">
        <v>9.4E-2</v>
      </c>
      <c r="O4088">
        <v>2.18E-2</v>
      </c>
      <c r="P4088" s="3">
        <f t="shared" si="252"/>
        <v>6548.1064333148533</v>
      </c>
      <c r="Q4088" s="3">
        <f t="shared" si="253"/>
        <v>-7.1605833736612112E-3</v>
      </c>
      <c r="R4088" s="3">
        <f t="shared" si="254"/>
        <v>1.975E-2</v>
      </c>
      <c r="S4088">
        <f t="shared" si="255"/>
        <v>137</v>
      </c>
      <c r="T4088">
        <f>INDEX([1]IDEN_level_ids!$B:$B,MATCH(G4088,[1]IDEN_level_ids!$A:$A,0),1)</f>
        <v>1247</v>
      </c>
      <c r="U4088">
        <f>INDEX([1]IDEN_level_ids!$B:$B,MATCH(H4088,[1]IDEN_level_ids!$A:$A,0),1)</f>
        <v>1170</v>
      </c>
    </row>
    <row r="4089" spans="1:21" hidden="1" x14ac:dyDescent="0.25">
      <c r="A4089">
        <v>15195.909799999999</v>
      </c>
      <c r="B4089">
        <v>6580.7182000000003</v>
      </c>
      <c r="C4089">
        <v>25</v>
      </c>
      <c r="D4089" t="s">
        <v>811</v>
      </c>
      <c r="F4089">
        <v>1974</v>
      </c>
      <c r="G4089" s="1" t="s">
        <v>120</v>
      </c>
      <c r="H4089" s="1" t="s">
        <v>59</v>
      </c>
      <c r="I4089">
        <v>0</v>
      </c>
      <c r="J4089">
        <v>15195.920099999999</v>
      </c>
      <c r="K4089">
        <v>4.47E-3</v>
      </c>
      <c r="L4089">
        <v>1.9949999999999999E-2</v>
      </c>
      <c r="M4089">
        <v>4.6100000000000002E-2</v>
      </c>
      <c r="N4089">
        <v>0.53659999999999997</v>
      </c>
      <c r="O4089">
        <v>4.3049999999999998E-2</v>
      </c>
      <c r="P4089" s="3">
        <f t="shared" si="252"/>
        <v>6580.7181877323337</v>
      </c>
      <c r="Q4089" s="3">
        <f t="shared" si="253"/>
        <v>4.4604997192436713E-3</v>
      </c>
      <c r="R4089" s="3">
        <f t="shared" si="254"/>
        <v>1.9949999999999999E-2</v>
      </c>
      <c r="S4089">
        <f t="shared" si="255"/>
        <v>137</v>
      </c>
      <c r="T4089">
        <f>INDEX([1]IDEN_level_ids!$B:$B,MATCH(G4089,[1]IDEN_level_ids!$A:$A,0),1)</f>
        <v>1250</v>
      </c>
      <c r="U4089">
        <f>INDEX([1]IDEN_level_ids!$B:$B,MATCH(H4089,[1]IDEN_level_ids!$A:$A,0),1)</f>
        <v>1211</v>
      </c>
    </row>
    <row r="4090" spans="1:21" hidden="1" x14ac:dyDescent="0.25">
      <c r="A4090">
        <v>15193.2816</v>
      </c>
      <c r="B4090">
        <v>6581.8564999999999</v>
      </c>
      <c r="C4090">
        <v>25</v>
      </c>
      <c r="D4090" t="s">
        <v>811</v>
      </c>
      <c r="F4090">
        <v>1974</v>
      </c>
      <c r="G4090" s="1" t="s">
        <v>725</v>
      </c>
      <c r="H4090" s="1" t="s">
        <v>220</v>
      </c>
      <c r="I4090">
        <v>0</v>
      </c>
      <c r="J4090">
        <v>15193.2549</v>
      </c>
      <c r="K4090">
        <v>-1.157E-2</v>
      </c>
      <c r="L4090">
        <v>1.9959999999999999E-2</v>
      </c>
      <c r="M4090">
        <v>4.6100000000000002E-2</v>
      </c>
      <c r="N4090">
        <v>0.24079999999999999</v>
      </c>
      <c r="O4090">
        <v>2.6290000000000001E-2</v>
      </c>
      <c r="P4090" s="3">
        <f t="shared" si="252"/>
        <v>6581.8565490157171</v>
      </c>
      <c r="Q4090" s="3">
        <f t="shared" si="253"/>
        <v>-1.1566683440833003E-2</v>
      </c>
      <c r="R4090" s="3">
        <f t="shared" si="254"/>
        <v>1.9959999999999999E-2</v>
      </c>
      <c r="S4090">
        <f t="shared" si="255"/>
        <v>137</v>
      </c>
      <c r="T4090">
        <f>INDEX([1]IDEN_level_ids!$B:$B,MATCH(G4090,[1]IDEN_level_ids!$A:$A,0),1)</f>
        <v>1227</v>
      </c>
      <c r="U4090">
        <f>INDEX([1]IDEN_level_ids!$B:$B,MATCH(H4090,[1]IDEN_level_ids!$A:$A,0),1)</f>
        <v>1142</v>
      </c>
    </row>
    <row r="4091" spans="1:21" hidden="1" x14ac:dyDescent="0.25">
      <c r="A4091">
        <v>15109.6515</v>
      </c>
      <c r="B4091">
        <v>6618.2862999999998</v>
      </c>
      <c r="C4091">
        <v>25</v>
      </c>
      <c r="D4091" t="s">
        <v>811</v>
      </c>
      <c r="F4091">
        <v>1974</v>
      </c>
      <c r="G4091" s="1" t="s">
        <v>729</v>
      </c>
      <c r="H4091" s="1" t="s">
        <v>271</v>
      </c>
      <c r="I4091">
        <v>0</v>
      </c>
      <c r="J4091">
        <v>15109.629800000001</v>
      </c>
      <c r="K4091">
        <v>-9.5099999999999994E-3</v>
      </c>
      <c r="L4091">
        <v>2.018E-2</v>
      </c>
      <c r="M4091">
        <v>4.6100000000000002E-2</v>
      </c>
      <c r="N4091">
        <v>0.1134</v>
      </c>
      <c r="O4091">
        <v>2.2759999999999999E-2</v>
      </c>
      <c r="P4091" s="3">
        <f t="shared" si="252"/>
        <v>6618.28633175292</v>
      </c>
      <c r="Q4091" s="3">
        <f t="shared" si="253"/>
        <v>-9.5049855817705975E-3</v>
      </c>
      <c r="R4091" s="3">
        <f t="shared" si="254"/>
        <v>2.018E-2</v>
      </c>
      <c r="S4091">
        <f t="shared" si="255"/>
        <v>137</v>
      </c>
      <c r="T4091">
        <f>INDEX([1]IDEN_level_ids!$B:$B,MATCH(G4091,[1]IDEN_level_ids!$A:$A,0),1)</f>
        <v>1243</v>
      </c>
      <c r="U4091">
        <f>INDEX([1]IDEN_level_ids!$B:$B,MATCH(H4091,[1]IDEN_level_ids!$A:$A,0),1)</f>
        <v>1158</v>
      </c>
    </row>
    <row r="4092" spans="1:21" hidden="1" x14ac:dyDescent="0.25">
      <c r="A4092">
        <v>15090.573</v>
      </c>
      <c r="B4092">
        <v>6626.6535999999996</v>
      </c>
      <c r="C4092">
        <v>25</v>
      </c>
      <c r="D4092" t="s">
        <v>811</v>
      </c>
      <c r="F4092">
        <v>1974</v>
      </c>
      <c r="G4092" s="1" t="s">
        <v>715</v>
      </c>
      <c r="H4092" s="1" t="s">
        <v>207</v>
      </c>
      <c r="I4092">
        <v>0</v>
      </c>
      <c r="J4092">
        <v>15090.562900000001</v>
      </c>
      <c r="K4092">
        <v>-4.4299999999999999E-3</v>
      </c>
      <c r="L4092">
        <v>2.0230000000000001E-2</v>
      </c>
      <c r="M4092">
        <v>4.6100000000000002E-2</v>
      </c>
      <c r="N4092">
        <v>0.1351</v>
      </c>
      <c r="O4092">
        <v>2.3390000000000001E-2</v>
      </c>
      <c r="P4092" s="3">
        <f t="shared" si="252"/>
        <v>6626.6536068577379</v>
      </c>
      <c r="Q4092" s="3">
        <f t="shared" si="253"/>
        <v>-4.4351693086355226E-3</v>
      </c>
      <c r="R4092" s="3">
        <f t="shared" si="254"/>
        <v>2.0230000000000001E-2</v>
      </c>
      <c r="S4092">
        <f t="shared" si="255"/>
        <v>137</v>
      </c>
      <c r="T4092">
        <f>INDEX([1]IDEN_level_ids!$B:$B,MATCH(G4092,[1]IDEN_level_ids!$A:$A,0),1)</f>
        <v>1249</v>
      </c>
      <c r="U4092">
        <f>INDEX([1]IDEN_level_ids!$B:$B,MATCH(H4092,[1]IDEN_level_ids!$A:$A,0),1)</f>
        <v>1177</v>
      </c>
    </row>
    <row r="4093" spans="1:21" hidden="1" x14ac:dyDescent="0.25">
      <c r="A4093">
        <v>15084.366400000001</v>
      </c>
      <c r="B4093">
        <v>6629.3801999999996</v>
      </c>
      <c r="C4093">
        <v>25</v>
      </c>
      <c r="D4093" t="s">
        <v>811</v>
      </c>
      <c r="F4093">
        <v>1974</v>
      </c>
      <c r="G4093" s="1" t="s">
        <v>355</v>
      </c>
      <c r="H4093" s="1" t="s">
        <v>342</v>
      </c>
      <c r="I4093">
        <v>0</v>
      </c>
      <c r="J4093">
        <v>15084.4257</v>
      </c>
      <c r="K4093">
        <v>2.6069999999999999E-2</v>
      </c>
      <c r="L4093">
        <v>2.0250000000000001E-2</v>
      </c>
      <c r="M4093">
        <v>4.6100000000000002E-2</v>
      </c>
      <c r="N4093">
        <v>0.41539999999999999</v>
      </c>
      <c r="O4093">
        <v>3.4630000000000001E-2</v>
      </c>
      <c r="P4093" s="3">
        <f t="shared" si="252"/>
        <v>6629.3802038645781</v>
      </c>
      <c r="Q4093" s="3">
        <f t="shared" si="253"/>
        <v>2.6061465905513614E-2</v>
      </c>
      <c r="R4093" s="3">
        <f t="shared" si="254"/>
        <v>2.0250000000000001E-2</v>
      </c>
      <c r="S4093">
        <f t="shared" si="255"/>
        <v>137</v>
      </c>
      <c r="T4093">
        <f>INDEX([1]IDEN_level_ids!$B:$B,MATCH(G4093,[1]IDEN_level_ids!$A:$A,0),1)</f>
        <v>1185</v>
      </c>
      <c r="U4093">
        <f>INDEX([1]IDEN_level_ids!$B:$B,MATCH(H4093,[1]IDEN_level_ids!$A:$A,0),1)</f>
        <v>1119</v>
      </c>
    </row>
    <row r="4094" spans="1:21" hidden="1" x14ac:dyDescent="0.25">
      <c r="A4094">
        <v>15080.527700000001</v>
      </c>
      <c r="B4094">
        <v>6631.0676999999996</v>
      </c>
      <c r="C4094">
        <v>25</v>
      </c>
      <c r="D4094" t="s">
        <v>811</v>
      </c>
      <c r="F4094">
        <v>1974</v>
      </c>
      <c r="G4094" s="1" t="s">
        <v>313</v>
      </c>
      <c r="H4094" s="1" t="s">
        <v>295</v>
      </c>
      <c r="I4094">
        <v>0</v>
      </c>
      <c r="J4094">
        <v>15080.5129</v>
      </c>
      <c r="K4094">
        <v>-6.5300000000000002E-3</v>
      </c>
      <c r="L4094">
        <v>2.026E-2</v>
      </c>
      <c r="M4094">
        <v>4.6100000000000002E-2</v>
      </c>
      <c r="N4094">
        <v>0.17119999999999999</v>
      </c>
      <c r="O4094">
        <v>2.444E-2</v>
      </c>
      <c r="P4094" s="3">
        <f t="shared" si="252"/>
        <v>6631.0676913514108</v>
      </c>
      <c r="Q4094" s="3">
        <f t="shared" si="253"/>
        <v>-6.5077230783572304E-3</v>
      </c>
      <c r="R4094" s="3">
        <f t="shared" si="254"/>
        <v>2.026E-2</v>
      </c>
      <c r="S4094">
        <f t="shared" si="255"/>
        <v>137</v>
      </c>
      <c r="T4094">
        <f>INDEX([1]IDEN_level_ids!$B:$B,MATCH(G4094,[1]IDEN_level_ids!$A:$A,0),1)</f>
        <v>1239</v>
      </c>
      <c r="U4094">
        <f>INDEX([1]IDEN_level_ids!$B:$B,MATCH(H4094,[1]IDEN_level_ids!$A:$A,0),1)</f>
        <v>1152</v>
      </c>
    </row>
    <row r="4095" spans="1:21" hidden="1" x14ac:dyDescent="0.25">
      <c r="A4095">
        <v>15001.0023</v>
      </c>
      <c r="B4095">
        <v>6666.2212</v>
      </c>
      <c r="C4095">
        <v>25</v>
      </c>
      <c r="D4095" t="s">
        <v>811</v>
      </c>
      <c r="E4095" t="s">
        <v>427</v>
      </c>
      <c r="F4095">
        <v>1974</v>
      </c>
      <c r="G4095" s="1" t="s">
        <v>714</v>
      </c>
      <c r="H4095" s="1" t="s">
        <v>73</v>
      </c>
      <c r="I4095">
        <v>0</v>
      </c>
      <c r="J4095">
        <v>15000.9827</v>
      </c>
      <c r="K4095">
        <v>-8.6999999999999994E-3</v>
      </c>
      <c r="L4095">
        <v>2.1649999999999999E-2</v>
      </c>
      <c r="M4095">
        <v>4.87E-2</v>
      </c>
      <c r="N4095">
        <v>8.5599999999999996E-2</v>
      </c>
      <c r="O4095">
        <v>2.368E-2</v>
      </c>
      <c r="P4095" s="3">
        <f t="shared" si="252"/>
        <v>6666.2212297640936</v>
      </c>
      <c r="Q4095" s="3">
        <f t="shared" si="253"/>
        <v>-8.7099584552561282E-3</v>
      </c>
      <c r="R4095" s="3">
        <f t="shared" si="254"/>
        <v>2.1649999999999999E-2</v>
      </c>
      <c r="S4095">
        <f t="shared" si="255"/>
        <v>137</v>
      </c>
      <c r="T4095">
        <f>INDEX([1]IDEN_level_ids!$B:$B,MATCH(G4095,[1]IDEN_level_ids!$A:$A,0),1)</f>
        <v>1248</v>
      </c>
      <c r="U4095">
        <f>INDEX([1]IDEN_level_ids!$B:$B,MATCH(H4095,[1]IDEN_level_ids!$A:$A,0),1)</f>
        <v>1173</v>
      </c>
    </row>
    <row r="4096" spans="1:21" hidden="1" x14ac:dyDescent="0.25">
      <c r="A4096">
        <v>14997.6067</v>
      </c>
      <c r="B4096">
        <v>6667.7304999999997</v>
      </c>
      <c r="C4096">
        <v>25</v>
      </c>
      <c r="D4096" t="s">
        <v>811</v>
      </c>
      <c r="E4096" t="s">
        <v>681</v>
      </c>
      <c r="F4096">
        <v>1974</v>
      </c>
      <c r="G4096" s="1" t="s">
        <v>706</v>
      </c>
      <c r="H4096" s="1" t="s">
        <v>301</v>
      </c>
      <c r="I4096">
        <v>1.0456000000000001</v>
      </c>
      <c r="J4096">
        <v>14997.5641</v>
      </c>
      <c r="K4096">
        <v>-1.8960000000000001E-2</v>
      </c>
      <c r="L4096">
        <v>3.5709999999999999E-2</v>
      </c>
      <c r="M4096">
        <v>8.0299999999999996E-2</v>
      </c>
      <c r="N4096">
        <v>6.59E-2</v>
      </c>
      <c r="O4096">
        <v>3.8219999999999997E-2</v>
      </c>
      <c r="P4096" s="3">
        <f t="shared" si="252"/>
        <v>6667.7305252977458</v>
      </c>
      <c r="Q4096" s="3">
        <f t="shared" si="253"/>
        <v>-1.8939430329737661E-2</v>
      </c>
      <c r="R4096" s="3">
        <f t="shared" si="254"/>
        <v>3.5709999999999999E-2</v>
      </c>
      <c r="S4096">
        <f t="shared" si="255"/>
        <v>137</v>
      </c>
      <c r="T4096">
        <f>INDEX([1]IDEN_level_ids!$B:$B,MATCH(G4096,[1]IDEN_level_ids!$A:$A,0),1)</f>
        <v>1240</v>
      </c>
      <c r="U4096">
        <f>INDEX([1]IDEN_level_ids!$B:$B,MATCH(H4096,[1]IDEN_level_ids!$A:$A,0),1)</f>
        <v>1154</v>
      </c>
    </row>
    <row r="4097" spans="1:21" hidden="1" x14ac:dyDescent="0.25">
      <c r="A4097">
        <v>14984.7462</v>
      </c>
      <c r="B4097">
        <v>6673.4530000000004</v>
      </c>
      <c r="C4097">
        <v>25</v>
      </c>
      <c r="D4097" t="s">
        <v>811</v>
      </c>
      <c r="F4097">
        <v>1974</v>
      </c>
      <c r="G4097" s="1" t="s">
        <v>669</v>
      </c>
      <c r="H4097" s="1" t="s">
        <v>239</v>
      </c>
      <c r="I4097">
        <v>0</v>
      </c>
      <c r="J4097">
        <v>14984.7192</v>
      </c>
      <c r="K4097">
        <v>-1.2030000000000001E-2</v>
      </c>
      <c r="L4097">
        <v>2.052E-2</v>
      </c>
      <c r="M4097">
        <v>4.6100000000000002E-2</v>
      </c>
      <c r="N4097">
        <v>0.1076</v>
      </c>
      <c r="O4097">
        <v>2.299E-2</v>
      </c>
      <c r="P4097" s="3">
        <f t="shared" si="252"/>
        <v>6673.4530345265375</v>
      </c>
      <c r="Q4097" s="3">
        <f t="shared" si="253"/>
        <v>-1.2024465025206155E-2</v>
      </c>
      <c r="R4097" s="3">
        <f t="shared" si="254"/>
        <v>2.052E-2</v>
      </c>
      <c r="S4097">
        <f t="shared" si="255"/>
        <v>137</v>
      </c>
      <c r="T4097">
        <f>INDEX([1]IDEN_level_ids!$B:$B,MATCH(G4097,[1]IDEN_level_ids!$A:$A,0),1)</f>
        <v>1245</v>
      </c>
      <c r="U4097">
        <f>INDEX([1]IDEN_level_ids!$B:$B,MATCH(H4097,[1]IDEN_level_ids!$A:$A,0),1)</f>
        <v>1167</v>
      </c>
    </row>
    <row r="4098" spans="1:21" hidden="1" x14ac:dyDescent="0.25">
      <c r="A4098">
        <v>14938.553099999999</v>
      </c>
      <c r="B4098">
        <v>6694.0888000000004</v>
      </c>
      <c r="C4098">
        <v>25</v>
      </c>
      <c r="D4098" t="s">
        <v>811</v>
      </c>
      <c r="E4098" t="s">
        <v>427</v>
      </c>
      <c r="F4098">
        <v>1974</v>
      </c>
      <c r="G4098" s="1" t="s">
        <v>715</v>
      </c>
      <c r="H4098" s="1" t="s">
        <v>204</v>
      </c>
      <c r="I4098">
        <v>0</v>
      </c>
      <c r="J4098">
        <v>14938.5265</v>
      </c>
      <c r="K4098">
        <v>-1.191E-2</v>
      </c>
      <c r="L4098">
        <v>2.1839999999999998E-2</v>
      </c>
      <c r="M4098">
        <v>4.87E-2</v>
      </c>
      <c r="N4098">
        <v>0.1416</v>
      </c>
      <c r="O4098">
        <v>2.5440000000000001E-2</v>
      </c>
      <c r="P4098" s="3">
        <f t="shared" ref="P4098:P4161" si="256">100000000/$A4098</f>
        <v>6694.0887333994888</v>
      </c>
      <c r="Q4098" s="3">
        <f t="shared" ref="Q4098:Q4161" si="257">100000000/($A4098)-100000000/$J4098</f>
        <v>-1.1919700400540023E-2</v>
      </c>
      <c r="R4098" s="3">
        <f t="shared" si="254"/>
        <v>2.1839999999999998E-2</v>
      </c>
      <c r="S4098">
        <f t="shared" si="255"/>
        <v>137</v>
      </c>
      <c r="T4098">
        <f>INDEX([1]IDEN_level_ids!$B:$B,MATCH(G4098,[1]IDEN_level_ids!$A:$A,0),1)</f>
        <v>1249</v>
      </c>
      <c r="U4098">
        <f>INDEX([1]IDEN_level_ids!$B:$B,MATCH(H4098,[1]IDEN_level_ids!$A:$A,0),1)</f>
        <v>1176</v>
      </c>
    </row>
    <row r="4099" spans="1:21" hidden="1" x14ac:dyDescent="0.25">
      <c r="A4099">
        <v>14906.3364</v>
      </c>
      <c r="B4099">
        <v>6708.5564999999997</v>
      </c>
      <c r="C4099">
        <v>25</v>
      </c>
      <c r="D4099" t="s">
        <v>811</v>
      </c>
      <c r="F4099">
        <v>1974</v>
      </c>
      <c r="G4099" s="1" t="s">
        <v>120</v>
      </c>
      <c r="H4099" s="1" t="s">
        <v>51</v>
      </c>
      <c r="I4099">
        <v>0</v>
      </c>
      <c r="J4099">
        <v>14906.326300000001</v>
      </c>
      <c r="K4099">
        <v>-4.5500000000000002E-3</v>
      </c>
      <c r="L4099">
        <v>2.0729999999999998E-2</v>
      </c>
      <c r="M4099">
        <v>4.6100000000000002E-2</v>
      </c>
      <c r="N4099">
        <v>0.2009</v>
      </c>
      <c r="O4099">
        <v>2.5940000000000001E-2</v>
      </c>
      <c r="P4099" s="3">
        <f t="shared" si="256"/>
        <v>6708.556503528258</v>
      </c>
      <c r="Q4099" s="3">
        <f t="shared" si="257"/>
        <v>-4.5454808459908236E-3</v>
      </c>
      <c r="R4099" s="3">
        <f t="shared" ref="R4099:R4162" si="258">$L4099</f>
        <v>2.0729999999999998E-2</v>
      </c>
      <c r="S4099">
        <f t="shared" si="255"/>
        <v>137</v>
      </c>
      <c r="T4099">
        <f>INDEX([1]IDEN_level_ids!$B:$B,MATCH(G4099,[1]IDEN_level_ids!$A:$A,0),1)</f>
        <v>1250</v>
      </c>
      <c r="U4099">
        <f>INDEX([1]IDEN_level_ids!$B:$B,MATCH(H4099,[1]IDEN_level_ids!$A:$A,0),1)</f>
        <v>1213</v>
      </c>
    </row>
    <row r="4100" spans="1:21" hidden="1" x14ac:dyDescent="0.25">
      <c r="A4100">
        <v>14885.670400000001</v>
      </c>
      <c r="B4100">
        <v>6717.8701000000001</v>
      </c>
      <c r="C4100">
        <v>25</v>
      </c>
      <c r="D4100" t="s">
        <v>811</v>
      </c>
      <c r="F4100">
        <v>1974</v>
      </c>
      <c r="G4100" s="1" t="s">
        <v>729</v>
      </c>
      <c r="H4100" s="1" t="s">
        <v>268</v>
      </c>
      <c r="I4100">
        <v>0</v>
      </c>
      <c r="J4100">
        <v>14885.670099999999</v>
      </c>
      <c r="K4100">
        <v>-1.3999999999999999E-4</v>
      </c>
      <c r="L4100">
        <v>2.0789999999999999E-2</v>
      </c>
      <c r="M4100">
        <v>4.6100000000000002E-2</v>
      </c>
      <c r="N4100">
        <v>0.1174</v>
      </c>
      <c r="O4100">
        <v>2.3550000000000001E-2</v>
      </c>
      <c r="P4100" s="3">
        <f t="shared" si="256"/>
        <v>6717.8700933751697</v>
      </c>
      <c r="Q4100" s="3">
        <f t="shared" si="257"/>
        <v>-1.3538933853851631E-4</v>
      </c>
      <c r="R4100" s="3">
        <f t="shared" si="258"/>
        <v>2.0789999999999999E-2</v>
      </c>
      <c r="S4100">
        <f t="shared" ref="S4100:S4163" si="259">IF(D4100=D4099,S4099,S4099+1)</f>
        <v>137</v>
      </c>
      <c r="T4100">
        <f>INDEX([1]IDEN_level_ids!$B:$B,MATCH(G4100,[1]IDEN_level_ids!$A:$A,0),1)</f>
        <v>1243</v>
      </c>
      <c r="U4100">
        <f>INDEX([1]IDEN_level_ids!$B:$B,MATCH(H4100,[1]IDEN_level_ids!$A:$A,0),1)</f>
        <v>1160</v>
      </c>
    </row>
    <row r="4101" spans="1:21" hidden="1" x14ac:dyDescent="0.25">
      <c r="A4101">
        <v>14879.963</v>
      </c>
      <c r="B4101">
        <v>6720.4467999999997</v>
      </c>
      <c r="C4101">
        <v>25</v>
      </c>
      <c r="D4101" t="s">
        <v>811</v>
      </c>
      <c r="E4101" t="s">
        <v>427</v>
      </c>
      <c r="F4101">
        <v>1974</v>
      </c>
      <c r="G4101" s="1" t="s">
        <v>715</v>
      </c>
      <c r="H4101" s="1" t="s">
        <v>283</v>
      </c>
      <c r="I4101">
        <v>0</v>
      </c>
      <c r="J4101">
        <v>14879.924800000001</v>
      </c>
      <c r="K4101">
        <v>-1.7229999999999999E-2</v>
      </c>
      <c r="L4101">
        <v>2.2009999999999998E-2</v>
      </c>
      <c r="M4101">
        <v>4.87E-2</v>
      </c>
      <c r="N4101">
        <v>0.1605</v>
      </c>
      <c r="O4101">
        <v>2.622E-2</v>
      </c>
      <c r="P4101" s="3">
        <f t="shared" si="256"/>
        <v>6720.4468183153413</v>
      </c>
      <c r="Q4101" s="3">
        <f t="shared" si="257"/>
        <v>-1.7252847168492735E-2</v>
      </c>
      <c r="R4101" s="3">
        <f t="shared" si="258"/>
        <v>2.2009999999999998E-2</v>
      </c>
      <c r="S4101">
        <f t="shared" si="259"/>
        <v>137</v>
      </c>
      <c r="T4101">
        <f>INDEX([1]IDEN_level_ids!$B:$B,MATCH(G4101,[1]IDEN_level_ids!$A:$A,0),1)</f>
        <v>1249</v>
      </c>
      <c r="U4101">
        <f>INDEX([1]IDEN_level_ids!$B:$B,MATCH(H4101,[1]IDEN_level_ids!$A:$A,0),1)</f>
        <v>1178</v>
      </c>
    </row>
    <row r="4102" spans="1:21" hidden="1" x14ac:dyDescent="0.25">
      <c r="A4102">
        <v>14859.9799</v>
      </c>
      <c r="B4102">
        <v>6729.4841999999999</v>
      </c>
      <c r="C4102">
        <v>25</v>
      </c>
      <c r="D4102" t="s">
        <v>812</v>
      </c>
      <c r="F4102">
        <v>1974</v>
      </c>
      <c r="G4102" s="1" t="s">
        <v>125</v>
      </c>
      <c r="H4102" s="1" t="s">
        <v>22</v>
      </c>
      <c r="I4102">
        <v>0</v>
      </c>
      <c r="J4102">
        <v>14859.995699999999</v>
      </c>
      <c r="K4102">
        <v>7.1700000000000002E-3</v>
      </c>
      <c r="L4102">
        <v>2.086E-2</v>
      </c>
      <c r="M4102">
        <v>4.6100000000000002E-2</v>
      </c>
      <c r="N4102">
        <v>0.16739999999999999</v>
      </c>
      <c r="O4102">
        <v>2.5049999999999999E-2</v>
      </c>
      <c r="P4102" s="3">
        <f t="shared" si="256"/>
        <v>6729.4842034073008</v>
      </c>
      <c r="Q4102" s="3">
        <f t="shared" si="257"/>
        <v>7.1551737000845606E-3</v>
      </c>
      <c r="R4102" s="3">
        <f t="shared" si="258"/>
        <v>2.086E-2</v>
      </c>
      <c r="S4102">
        <f t="shared" si="259"/>
        <v>138</v>
      </c>
      <c r="T4102">
        <f>INDEX([1]IDEN_level_ids!$B:$B,MATCH(G4102,[1]IDEN_level_ids!$A:$A,0),1)</f>
        <v>1253</v>
      </c>
      <c r="U4102">
        <f>INDEX([1]IDEN_level_ids!$B:$B,MATCH(H4102,[1]IDEN_level_ids!$A:$A,0),1)</f>
        <v>1236</v>
      </c>
    </row>
    <row r="4103" spans="1:21" hidden="1" x14ac:dyDescent="0.25">
      <c r="A4103">
        <v>14833.1101</v>
      </c>
      <c r="B4103">
        <v>6741.6745000000001</v>
      </c>
      <c r="C4103">
        <v>25</v>
      </c>
      <c r="D4103" t="s">
        <v>812</v>
      </c>
      <c r="E4103" t="s">
        <v>427</v>
      </c>
      <c r="F4103">
        <v>1974</v>
      </c>
      <c r="G4103" s="1" t="s">
        <v>706</v>
      </c>
      <c r="H4103" s="1" t="s">
        <v>141</v>
      </c>
      <c r="I4103">
        <v>0</v>
      </c>
      <c r="J4103">
        <v>14833.0983</v>
      </c>
      <c r="K4103">
        <v>-5.3699999999999998E-3</v>
      </c>
      <c r="L4103">
        <v>2.215E-2</v>
      </c>
      <c r="M4103">
        <v>4.87E-2</v>
      </c>
      <c r="N4103">
        <v>8.2299999999999998E-2</v>
      </c>
      <c r="O4103">
        <v>2.4129999999999999E-2</v>
      </c>
      <c r="P4103" s="3">
        <f t="shared" si="256"/>
        <v>6741.674492121514</v>
      </c>
      <c r="Q4103" s="3">
        <f t="shared" si="257"/>
        <v>-5.3631249120371649E-3</v>
      </c>
      <c r="R4103" s="3">
        <f t="shared" si="258"/>
        <v>2.215E-2</v>
      </c>
      <c r="S4103">
        <f t="shared" si="259"/>
        <v>138</v>
      </c>
      <c r="T4103">
        <f>INDEX([1]IDEN_level_ids!$B:$B,MATCH(G4103,[1]IDEN_level_ids!$A:$A,0),1)</f>
        <v>1240</v>
      </c>
      <c r="U4103">
        <f>INDEX([1]IDEN_level_ids!$B:$B,MATCH(H4103,[1]IDEN_level_ids!$A:$A,0),1)</f>
        <v>1155</v>
      </c>
    </row>
    <row r="4104" spans="1:21" hidden="1" x14ac:dyDescent="0.25">
      <c r="A4104">
        <v>14819.6335</v>
      </c>
      <c r="B4104">
        <v>6747.8051999999998</v>
      </c>
      <c r="C4104">
        <v>25</v>
      </c>
      <c r="D4104" t="s">
        <v>812</v>
      </c>
      <c r="F4104">
        <v>1974</v>
      </c>
      <c r="G4104" s="1" t="s">
        <v>307</v>
      </c>
      <c r="H4104" s="1" t="s">
        <v>413</v>
      </c>
      <c r="I4104">
        <v>6.4600000000000005E-2</v>
      </c>
      <c r="J4104">
        <v>14819.6396</v>
      </c>
      <c r="K4104">
        <v>2.7699999999999999E-3</v>
      </c>
      <c r="L4104">
        <v>2.0979999999999999E-2</v>
      </c>
      <c r="M4104">
        <v>4.6100000000000002E-2</v>
      </c>
      <c r="N4104">
        <v>0.17299999999999999</v>
      </c>
      <c r="O4104">
        <v>2.5360000000000001E-2</v>
      </c>
      <c r="P4104" s="3">
        <f t="shared" si="256"/>
        <v>6747.8052004457468</v>
      </c>
      <c r="Q4104" s="3">
        <f t="shared" si="257"/>
        <v>2.7775042335633771E-3</v>
      </c>
      <c r="R4104" s="3">
        <f t="shared" si="258"/>
        <v>2.0979999999999999E-2</v>
      </c>
      <c r="S4104">
        <f t="shared" si="259"/>
        <v>138</v>
      </c>
      <c r="T4104">
        <f>INDEX([1]IDEN_level_ids!$B:$B,MATCH(G4104,[1]IDEN_level_ids!$A:$A,0),1)</f>
        <v>1095</v>
      </c>
      <c r="U4104">
        <f>INDEX([1]IDEN_level_ids!$B:$B,MATCH(H4104,[1]IDEN_level_ids!$A:$A,0),1)</f>
        <v>1071</v>
      </c>
    </row>
    <row r="4105" spans="1:21" hidden="1" x14ac:dyDescent="0.25">
      <c r="A4105">
        <v>14800.570100000001</v>
      </c>
      <c r="B4105">
        <v>6756.4965000000002</v>
      </c>
      <c r="C4105">
        <v>25</v>
      </c>
      <c r="D4105" t="s">
        <v>812</v>
      </c>
      <c r="E4105" t="s">
        <v>427</v>
      </c>
      <c r="F4105">
        <v>1974</v>
      </c>
      <c r="G4105" s="1" t="s">
        <v>734</v>
      </c>
      <c r="H4105" s="1" t="s">
        <v>108</v>
      </c>
      <c r="I4105">
        <v>0</v>
      </c>
      <c r="J4105">
        <v>14800.57</v>
      </c>
      <c r="K4105">
        <v>-8.0000000000000007E-5</v>
      </c>
      <c r="L4105">
        <v>2.2239999999999999E-2</v>
      </c>
      <c r="M4105">
        <v>4.87E-2</v>
      </c>
      <c r="N4105">
        <v>8.6499999999999994E-2</v>
      </c>
      <c r="O4105">
        <v>2.435E-2</v>
      </c>
      <c r="P4105" s="3">
        <f t="shared" si="256"/>
        <v>6756.4964946857008</v>
      </c>
      <c r="Q4105" s="3">
        <f t="shared" si="257"/>
        <v>-4.5650245738215744E-5</v>
      </c>
      <c r="R4105" s="3">
        <f t="shared" si="258"/>
        <v>2.2239999999999999E-2</v>
      </c>
      <c r="S4105">
        <f t="shared" si="259"/>
        <v>138</v>
      </c>
      <c r="T4105">
        <f>INDEX([1]IDEN_level_ids!$B:$B,MATCH(G4105,[1]IDEN_level_ids!$A:$A,0),1)</f>
        <v>1232</v>
      </c>
      <c r="U4105">
        <f>INDEX([1]IDEN_level_ids!$B:$B,MATCH(H4105,[1]IDEN_level_ids!$A:$A,0),1)</f>
        <v>1149</v>
      </c>
    </row>
    <row r="4106" spans="1:21" hidden="1" x14ac:dyDescent="0.25">
      <c r="A4106">
        <v>14708.0519</v>
      </c>
      <c r="B4106">
        <v>6798.9969000000001</v>
      </c>
      <c r="C4106">
        <v>25</v>
      </c>
      <c r="D4106" t="s">
        <v>812</v>
      </c>
      <c r="E4106" t="s">
        <v>427</v>
      </c>
      <c r="F4106">
        <v>1974</v>
      </c>
      <c r="G4106" s="1" t="s">
        <v>725</v>
      </c>
      <c r="H4106" s="1" t="s">
        <v>223</v>
      </c>
      <c r="I4106">
        <v>0</v>
      </c>
      <c r="J4106">
        <v>14708.0417</v>
      </c>
      <c r="K4106">
        <v>-4.7099999999999998E-3</v>
      </c>
      <c r="L4106">
        <v>2.2530000000000001E-2</v>
      </c>
      <c r="M4106">
        <v>4.87E-2</v>
      </c>
      <c r="N4106">
        <v>0.2918</v>
      </c>
      <c r="O4106">
        <v>3.1809999999999998E-2</v>
      </c>
      <c r="P4106" s="3">
        <f t="shared" si="256"/>
        <v>6798.9969494192492</v>
      </c>
      <c r="Q4106" s="3">
        <f t="shared" si="257"/>
        <v>-4.7150919417617843E-3</v>
      </c>
      <c r="R4106" s="3">
        <f t="shared" si="258"/>
        <v>2.2530000000000001E-2</v>
      </c>
      <c r="S4106">
        <f t="shared" si="259"/>
        <v>138</v>
      </c>
      <c r="T4106">
        <f>INDEX([1]IDEN_level_ids!$B:$B,MATCH(G4106,[1]IDEN_level_ids!$A:$A,0),1)</f>
        <v>1227</v>
      </c>
      <c r="U4106">
        <f>INDEX([1]IDEN_level_ids!$B:$B,MATCH(H4106,[1]IDEN_level_ids!$A:$A,0),1)</f>
        <v>1144</v>
      </c>
    </row>
    <row r="4107" spans="1:21" hidden="1" x14ac:dyDescent="0.25">
      <c r="A4107">
        <v>14666.3325</v>
      </c>
      <c r="B4107">
        <v>6818.3371999999999</v>
      </c>
      <c r="C4107">
        <v>25</v>
      </c>
      <c r="D4107" t="s">
        <v>812</v>
      </c>
      <c r="E4107" t="s">
        <v>661</v>
      </c>
      <c r="F4107">
        <v>1974</v>
      </c>
      <c r="G4107" s="1" t="s">
        <v>320</v>
      </c>
      <c r="H4107" s="1" t="s">
        <v>255</v>
      </c>
      <c r="I4107">
        <v>0</v>
      </c>
      <c r="J4107">
        <v>14666.3087</v>
      </c>
      <c r="K4107">
        <v>-1.107E-2</v>
      </c>
      <c r="L4107">
        <v>2.3550000000000001E-2</v>
      </c>
      <c r="M4107">
        <v>5.0700000000000002E-2</v>
      </c>
      <c r="N4107">
        <v>0.12859999999999999</v>
      </c>
      <c r="O4107">
        <v>2.7029999999999998E-2</v>
      </c>
      <c r="P4107" s="3">
        <f t="shared" si="256"/>
        <v>6818.3371677956975</v>
      </c>
      <c r="Q4107" s="3">
        <f t="shared" si="257"/>
        <v>-1.1064571728638839E-2</v>
      </c>
      <c r="R4107" s="3">
        <f t="shared" si="258"/>
        <v>2.3550000000000001E-2</v>
      </c>
      <c r="S4107">
        <f t="shared" si="259"/>
        <v>138</v>
      </c>
      <c r="T4107">
        <f>INDEX([1]IDEN_level_ids!$B:$B,MATCH(G4107,[1]IDEN_level_ids!$A:$A,0),1)</f>
        <v>1180</v>
      </c>
      <c r="U4107">
        <f>INDEX([1]IDEN_level_ids!$B:$B,MATCH(H4107,[1]IDEN_level_ids!$A:$A,0),1)</f>
        <v>1111</v>
      </c>
    </row>
    <row r="4108" spans="1:21" hidden="1" x14ac:dyDescent="0.25">
      <c r="A4108">
        <v>14641.6116</v>
      </c>
      <c r="B4108">
        <v>6829.8491999999997</v>
      </c>
      <c r="C4108">
        <v>25</v>
      </c>
      <c r="D4108" t="s">
        <v>812</v>
      </c>
      <c r="F4108">
        <v>1974</v>
      </c>
      <c r="G4108" s="1" t="s">
        <v>736</v>
      </c>
      <c r="H4108" s="1" t="s">
        <v>16</v>
      </c>
      <c r="I4108">
        <v>0</v>
      </c>
      <c r="J4108">
        <v>14641.6132</v>
      </c>
      <c r="K4108">
        <v>7.2000000000000005E-4</v>
      </c>
      <c r="L4108">
        <v>2.1489999999999999E-2</v>
      </c>
      <c r="M4108">
        <v>4.6100000000000002E-2</v>
      </c>
      <c r="N4108">
        <v>0.28739999999999999</v>
      </c>
      <c r="O4108">
        <v>3.015E-2</v>
      </c>
      <c r="P4108" s="3">
        <f t="shared" si="256"/>
        <v>6829.8492496550034</v>
      </c>
      <c r="Q4108" s="3">
        <f t="shared" si="257"/>
        <v>7.4634937027440174E-4</v>
      </c>
      <c r="R4108" s="3">
        <f t="shared" si="258"/>
        <v>2.1489999999999999E-2</v>
      </c>
      <c r="S4108">
        <f t="shared" si="259"/>
        <v>138</v>
      </c>
      <c r="T4108">
        <f>INDEX([1]IDEN_level_ids!$B:$B,MATCH(G4108,[1]IDEN_level_ids!$A:$A,0),1)</f>
        <v>1251</v>
      </c>
      <c r="U4108">
        <f>INDEX([1]IDEN_level_ids!$B:$B,MATCH(H4108,[1]IDEN_level_ids!$A:$A,0),1)</f>
        <v>1223</v>
      </c>
    </row>
    <row r="4109" spans="1:21" hidden="1" x14ac:dyDescent="0.25">
      <c r="A4109">
        <v>14584.6554</v>
      </c>
      <c r="B4109">
        <v>6856.5213000000003</v>
      </c>
      <c r="C4109">
        <v>25</v>
      </c>
      <c r="D4109" t="s">
        <v>812</v>
      </c>
      <c r="F4109">
        <v>1974</v>
      </c>
      <c r="G4109" s="1" t="s">
        <v>715</v>
      </c>
      <c r="H4109" s="1" t="s">
        <v>253</v>
      </c>
      <c r="I4109">
        <v>0</v>
      </c>
      <c r="J4109">
        <v>14584.6659</v>
      </c>
      <c r="K4109">
        <v>4.9500000000000004E-3</v>
      </c>
      <c r="L4109">
        <v>2.1659999999999999E-2</v>
      </c>
      <c r="M4109">
        <v>4.6100000000000002E-2</v>
      </c>
      <c r="N4109">
        <v>0.34570000000000001</v>
      </c>
      <c r="O4109">
        <v>3.3099999999999997E-2</v>
      </c>
      <c r="P4109" s="3">
        <f t="shared" si="256"/>
        <v>6856.521272350391</v>
      </c>
      <c r="Q4109" s="3">
        <f t="shared" si="257"/>
        <v>4.9362442614437896E-3</v>
      </c>
      <c r="R4109" s="3">
        <f t="shared" si="258"/>
        <v>2.1659999999999999E-2</v>
      </c>
      <c r="S4109">
        <f t="shared" si="259"/>
        <v>138</v>
      </c>
      <c r="T4109">
        <f>INDEX([1]IDEN_level_ids!$B:$B,MATCH(G4109,[1]IDEN_level_ids!$A:$A,0),1)</f>
        <v>1249</v>
      </c>
      <c r="U4109">
        <f>INDEX([1]IDEN_level_ids!$B:$B,MATCH(H4109,[1]IDEN_level_ids!$A:$A,0),1)</f>
        <v>1181</v>
      </c>
    </row>
    <row r="4110" spans="1:21" hidden="1" x14ac:dyDescent="0.25">
      <c r="A4110">
        <v>14578.974099999999</v>
      </c>
      <c r="B4110">
        <v>6859.1931999999997</v>
      </c>
      <c r="C4110">
        <v>25</v>
      </c>
      <c r="D4110" t="s">
        <v>812</v>
      </c>
      <c r="F4110">
        <v>1974</v>
      </c>
      <c r="G4110" s="1" t="s">
        <v>88</v>
      </c>
      <c r="H4110" s="1" t="s">
        <v>284</v>
      </c>
      <c r="I4110">
        <v>0</v>
      </c>
      <c r="J4110">
        <v>14578.9699</v>
      </c>
      <c r="K4110">
        <v>-1.99E-3</v>
      </c>
      <c r="L4110">
        <v>2.1669999999999998E-2</v>
      </c>
      <c r="M4110">
        <v>4.6100000000000002E-2</v>
      </c>
      <c r="N4110">
        <v>0.5202</v>
      </c>
      <c r="O4110">
        <v>4.5170000000000002E-2</v>
      </c>
      <c r="P4110" s="3">
        <f t="shared" si="256"/>
        <v>6859.1931993349244</v>
      </c>
      <c r="Q4110" s="3">
        <f t="shared" si="257"/>
        <v>-1.9760388859140221E-3</v>
      </c>
      <c r="R4110" s="3">
        <f t="shared" si="258"/>
        <v>2.1669999999999998E-2</v>
      </c>
      <c r="S4110">
        <f t="shared" si="259"/>
        <v>138</v>
      </c>
      <c r="T4110">
        <f>INDEX([1]IDEN_level_ids!$B:$B,MATCH(G4110,[1]IDEN_level_ids!$A:$A,0),1)</f>
        <v>1166</v>
      </c>
      <c r="U4110">
        <f>INDEX([1]IDEN_level_ids!$B:$B,MATCH(H4110,[1]IDEN_level_ids!$A:$A,0),1)</f>
        <v>1103</v>
      </c>
    </row>
    <row r="4111" spans="1:21" hidden="1" x14ac:dyDescent="0.25">
      <c r="A4111">
        <v>14558.804700000001</v>
      </c>
      <c r="B4111">
        <v>6868.6958000000004</v>
      </c>
      <c r="C4111">
        <v>25</v>
      </c>
      <c r="D4111" t="s">
        <v>812</v>
      </c>
      <c r="F4111">
        <v>1974</v>
      </c>
      <c r="G4111" s="1" t="s">
        <v>125</v>
      </c>
      <c r="H4111" s="1" t="s">
        <v>41</v>
      </c>
      <c r="I4111">
        <v>0</v>
      </c>
      <c r="J4111">
        <v>14558.7919</v>
      </c>
      <c r="K4111">
        <v>-6.0200000000000002E-3</v>
      </c>
      <c r="L4111">
        <v>2.1729999999999999E-2</v>
      </c>
      <c r="M4111">
        <v>4.6100000000000002E-2</v>
      </c>
      <c r="N4111">
        <v>0.18049999999999999</v>
      </c>
      <c r="O4111">
        <v>2.6519999999999998E-2</v>
      </c>
      <c r="P4111" s="3">
        <f t="shared" si="256"/>
        <v>6868.6957522000412</v>
      </c>
      <c r="Q4111" s="3">
        <f t="shared" si="257"/>
        <v>-6.0389149202819681E-3</v>
      </c>
      <c r="R4111" s="3">
        <f t="shared" si="258"/>
        <v>2.1729999999999999E-2</v>
      </c>
      <c r="S4111">
        <f t="shared" si="259"/>
        <v>138</v>
      </c>
      <c r="T4111">
        <f>INDEX([1]IDEN_level_ids!$B:$B,MATCH(G4111,[1]IDEN_level_ids!$A:$A,0),1)</f>
        <v>1253</v>
      </c>
      <c r="U4111">
        <f>INDEX([1]IDEN_level_ids!$B:$B,MATCH(H4111,[1]IDEN_level_ids!$A:$A,0),1)</f>
        <v>1238</v>
      </c>
    </row>
    <row r="4112" spans="1:21" hidden="1" x14ac:dyDescent="0.25">
      <c r="A4112">
        <v>14550.6702</v>
      </c>
      <c r="B4112">
        <v>6872.5357000000004</v>
      </c>
      <c r="C4112">
        <v>25</v>
      </c>
      <c r="D4112" t="s">
        <v>812</v>
      </c>
      <c r="F4112">
        <v>1974</v>
      </c>
      <c r="G4112" s="1" t="s">
        <v>710</v>
      </c>
      <c r="H4112" s="1" t="s">
        <v>216</v>
      </c>
      <c r="I4112">
        <v>0</v>
      </c>
      <c r="J4112">
        <v>14550.697</v>
      </c>
      <c r="K4112">
        <v>1.269E-2</v>
      </c>
      <c r="L4112">
        <v>2.1760000000000002E-2</v>
      </c>
      <c r="M4112">
        <v>4.6100000000000002E-2</v>
      </c>
      <c r="N4112">
        <v>8.3599999999999994E-2</v>
      </c>
      <c r="O4112">
        <v>2.3740000000000001E-2</v>
      </c>
      <c r="P4112" s="3">
        <f t="shared" si="256"/>
        <v>6872.5356719307674</v>
      </c>
      <c r="Q4112" s="3">
        <f t="shared" si="257"/>
        <v>1.2658084763643274E-2</v>
      </c>
      <c r="R4112" s="3">
        <f t="shared" si="258"/>
        <v>2.1760000000000002E-2</v>
      </c>
      <c r="S4112">
        <f t="shared" si="259"/>
        <v>138</v>
      </c>
      <c r="T4112">
        <f>INDEX([1]IDEN_level_ids!$B:$B,MATCH(G4112,[1]IDEN_level_ids!$A:$A,0),1)</f>
        <v>1246</v>
      </c>
      <c r="U4112">
        <f>INDEX([1]IDEN_level_ids!$B:$B,MATCH(H4112,[1]IDEN_level_ids!$A:$A,0),1)</f>
        <v>1170</v>
      </c>
    </row>
    <row r="4113" spans="1:21" hidden="1" x14ac:dyDescent="0.25">
      <c r="A4113">
        <v>14530.9972</v>
      </c>
      <c r="B4113">
        <v>6881.8401000000003</v>
      </c>
      <c r="C4113">
        <v>25</v>
      </c>
      <c r="D4113" t="s">
        <v>812</v>
      </c>
      <c r="F4113">
        <v>1974</v>
      </c>
      <c r="G4113" s="1" t="s">
        <v>216</v>
      </c>
      <c r="H4113" s="1" t="s">
        <v>459</v>
      </c>
      <c r="I4113">
        <v>0</v>
      </c>
      <c r="J4113">
        <v>14530.9674</v>
      </c>
      <c r="K4113">
        <v>-1.4109999999999999E-2</v>
      </c>
      <c r="L4113">
        <v>2.1819999999999999E-2</v>
      </c>
      <c r="M4113">
        <v>4.6100000000000002E-2</v>
      </c>
      <c r="N4113">
        <v>0.1462</v>
      </c>
      <c r="O4113">
        <v>2.555E-2</v>
      </c>
      <c r="P4113" s="3">
        <f t="shared" si="256"/>
        <v>6881.8401534066779</v>
      </c>
      <c r="Q4113" s="3">
        <f t="shared" si="257"/>
        <v>-1.411322666444903E-2</v>
      </c>
      <c r="R4113" s="3">
        <f t="shared" si="258"/>
        <v>2.1819999999999999E-2</v>
      </c>
      <c r="S4113">
        <f t="shared" si="259"/>
        <v>138</v>
      </c>
      <c r="T4113">
        <f>INDEX([1]IDEN_level_ids!$B:$B,MATCH(G4113,[1]IDEN_level_ids!$A:$A,0),1)</f>
        <v>1170</v>
      </c>
      <c r="U4113">
        <f>INDEX([1]IDEN_level_ids!$B:$B,MATCH(H4113,[1]IDEN_level_ids!$A:$A,0),1)</f>
        <v>1108</v>
      </c>
    </row>
    <row r="4114" spans="1:21" hidden="1" x14ac:dyDescent="0.25">
      <c r="A4114">
        <v>14490.7325</v>
      </c>
      <c r="B4114">
        <v>6900.9624000000003</v>
      </c>
      <c r="C4114">
        <v>25</v>
      </c>
      <c r="D4114" t="s">
        <v>813</v>
      </c>
      <c r="F4114">
        <v>1974</v>
      </c>
      <c r="G4114" s="1" t="s">
        <v>64</v>
      </c>
      <c r="H4114" s="1" t="s">
        <v>100</v>
      </c>
      <c r="I4114">
        <v>0</v>
      </c>
      <c r="J4114">
        <v>14490.7227</v>
      </c>
      <c r="K4114">
        <v>-4.6899999999999997E-3</v>
      </c>
      <c r="L4114">
        <v>2.1940000000000001E-2</v>
      </c>
      <c r="M4114">
        <v>4.6100000000000002E-2</v>
      </c>
      <c r="N4114">
        <v>0.15490000000000001</v>
      </c>
      <c r="O4114">
        <v>2.596E-2</v>
      </c>
      <c r="P4114" s="3">
        <f t="shared" si="256"/>
        <v>6900.962390962638</v>
      </c>
      <c r="Q4114" s="3">
        <f t="shared" si="257"/>
        <v>-4.6670847841596697E-3</v>
      </c>
      <c r="R4114" s="3">
        <f t="shared" si="258"/>
        <v>2.1940000000000001E-2</v>
      </c>
      <c r="S4114">
        <f t="shared" si="259"/>
        <v>139</v>
      </c>
      <c r="T4114">
        <f>INDEX([1]IDEN_level_ids!$B:$B,MATCH(G4114,[1]IDEN_level_ids!$A:$A,0),1)</f>
        <v>1228</v>
      </c>
      <c r="U4114">
        <f>INDEX([1]IDEN_level_ids!$B:$B,MATCH(H4114,[1]IDEN_level_ids!$A:$A,0),1)</f>
        <v>1146</v>
      </c>
    </row>
    <row r="4115" spans="1:21" hidden="1" x14ac:dyDescent="0.25">
      <c r="A4115">
        <v>14481.3645</v>
      </c>
      <c r="B4115">
        <v>6905.4265999999998</v>
      </c>
      <c r="C4115">
        <v>25</v>
      </c>
      <c r="D4115" t="s">
        <v>813</v>
      </c>
      <c r="F4115">
        <v>1974</v>
      </c>
      <c r="G4115" s="1" t="s">
        <v>351</v>
      </c>
      <c r="H4115" s="1" t="s">
        <v>272</v>
      </c>
      <c r="I4115">
        <v>0</v>
      </c>
      <c r="J4115">
        <v>14481.3853</v>
      </c>
      <c r="K4115">
        <v>9.9000000000000008E-3</v>
      </c>
      <c r="L4115">
        <v>2.197E-2</v>
      </c>
      <c r="M4115">
        <v>4.6100000000000002E-2</v>
      </c>
      <c r="N4115">
        <v>0.30630000000000002</v>
      </c>
      <c r="O4115">
        <v>3.1660000000000001E-2</v>
      </c>
      <c r="P4115" s="3">
        <f t="shared" si="256"/>
        <v>6905.4266260613767</v>
      </c>
      <c r="Q4115" s="3">
        <f t="shared" si="257"/>
        <v>9.9184484661236638E-3</v>
      </c>
      <c r="R4115" s="3">
        <f t="shared" si="258"/>
        <v>2.197E-2</v>
      </c>
      <c r="S4115">
        <f t="shared" si="259"/>
        <v>139</v>
      </c>
      <c r="T4115">
        <f>INDEX([1]IDEN_level_ids!$B:$B,MATCH(G4115,[1]IDEN_level_ids!$A:$A,0),1)</f>
        <v>1172</v>
      </c>
      <c r="U4115">
        <f>INDEX([1]IDEN_level_ids!$B:$B,MATCH(H4115,[1]IDEN_level_ids!$A:$A,0),1)</f>
        <v>1109</v>
      </c>
    </row>
    <row r="4116" spans="1:21" hidden="1" x14ac:dyDescent="0.25">
      <c r="A4116">
        <v>14467.4874</v>
      </c>
      <c r="B4116">
        <v>6912.0502999999999</v>
      </c>
      <c r="C4116">
        <v>25</v>
      </c>
      <c r="D4116" t="s">
        <v>813</v>
      </c>
      <c r="F4116">
        <v>1974</v>
      </c>
      <c r="G4116" s="1" t="s">
        <v>120</v>
      </c>
      <c r="H4116" s="1" t="s">
        <v>36</v>
      </c>
      <c r="I4116">
        <v>0</v>
      </c>
      <c r="J4116">
        <v>14467.481100000001</v>
      </c>
      <c r="K4116">
        <v>-2.99E-3</v>
      </c>
      <c r="L4116">
        <v>2.2009999999999998E-2</v>
      </c>
      <c r="M4116">
        <v>4.6100000000000002E-2</v>
      </c>
      <c r="N4116">
        <v>0.28320000000000001</v>
      </c>
      <c r="O4116">
        <v>3.0700000000000002E-2</v>
      </c>
      <c r="P4116" s="3">
        <f t="shared" si="256"/>
        <v>6912.0502569091577</v>
      </c>
      <c r="Q4116" s="3">
        <f t="shared" si="257"/>
        <v>-3.0099169516688562E-3</v>
      </c>
      <c r="R4116" s="3">
        <f t="shared" si="258"/>
        <v>2.2009999999999998E-2</v>
      </c>
      <c r="S4116">
        <f t="shared" si="259"/>
        <v>139</v>
      </c>
      <c r="T4116">
        <f>INDEX([1]IDEN_level_ids!$B:$B,MATCH(G4116,[1]IDEN_level_ids!$A:$A,0),1)</f>
        <v>1250</v>
      </c>
      <c r="U4116">
        <f>INDEX([1]IDEN_level_ids!$B:$B,MATCH(H4116,[1]IDEN_level_ids!$A:$A,0),1)</f>
        <v>1217</v>
      </c>
    </row>
    <row r="4117" spans="1:21" hidden="1" x14ac:dyDescent="0.25">
      <c r="A4117">
        <v>14437.956200000001</v>
      </c>
      <c r="B4117">
        <v>6926.1880000000001</v>
      </c>
      <c r="C4117">
        <v>25</v>
      </c>
      <c r="D4117" t="s">
        <v>813</v>
      </c>
      <c r="E4117" t="s">
        <v>427</v>
      </c>
      <c r="F4117">
        <v>1974</v>
      </c>
      <c r="G4117" s="1" t="s">
        <v>714</v>
      </c>
      <c r="H4117" s="1" t="s">
        <v>71</v>
      </c>
      <c r="I4117">
        <v>0</v>
      </c>
      <c r="J4117">
        <v>14437.9899</v>
      </c>
      <c r="K4117">
        <v>1.6129999999999999E-2</v>
      </c>
      <c r="L4117">
        <v>2.3380000000000001E-2</v>
      </c>
      <c r="M4117">
        <v>4.87E-2</v>
      </c>
      <c r="N4117">
        <v>9.6000000000000002E-2</v>
      </c>
      <c r="O4117">
        <v>2.5860000000000001E-2</v>
      </c>
      <c r="P4117" s="3">
        <f t="shared" si="256"/>
        <v>6926.1880708572862</v>
      </c>
      <c r="Q4117" s="3">
        <f t="shared" si="257"/>
        <v>1.6166553627044777E-2</v>
      </c>
      <c r="R4117" s="3">
        <f t="shared" si="258"/>
        <v>2.3380000000000001E-2</v>
      </c>
      <c r="S4117">
        <f t="shared" si="259"/>
        <v>139</v>
      </c>
      <c r="T4117">
        <f>INDEX([1]IDEN_level_ids!$B:$B,MATCH(G4117,[1]IDEN_level_ids!$A:$A,0),1)</f>
        <v>1248</v>
      </c>
      <c r="U4117">
        <f>INDEX([1]IDEN_level_ids!$B:$B,MATCH(H4117,[1]IDEN_level_ids!$A:$A,0),1)</f>
        <v>1179</v>
      </c>
    </row>
    <row r="4118" spans="1:21" hidden="1" x14ac:dyDescent="0.25">
      <c r="A4118">
        <v>14437.563899999999</v>
      </c>
      <c r="B4118">
        <v>6926.3762999999999</v>
      </c>
      <c r="C4118">
        <v>25</v>
      </c>
      <c r="D4118" t="s">
        <v>813</v>
      </c>
      <c r="F4118">
        <v>1974</v>
      </c>
      <c r="G4118" s="1" t="s">
        <v>83</v>
      </c>
      <c r="H4118" s="1" t="s">
        <v>799</v>
      </c>
      <c r="I4118">
        <v>0</v>
      </c>
      <c r="J4118">
        <v>14437.5933</v>
      </c>
      <c r="K4118">
        <v>1.4109999999999999E-2</v>
      </c>
      <c r="L4118">
        <v>2.2100000000000002E-2</v>
      </c>
      <c r="M4118">
        <v>4.6100000000000002E-2</v>
      </c>
      <c r="N4118">
        <v>0.189</v>
      </c>
      <c r="O4118">
        <v>2.725E-2</v>
      </c>
      <c r="P4118" s="3">
        <f t="shared" si="256"/>
        <v>6926.3762704454593</v>
      </c>
      <c r="Q4118" s="3">
        <f t="shared" si="257"/>
        <v>1.4104529621363326E-2</v>
      </c>
      <c r="R4118" s="3">
        <f t="shared" si="258"/>
        <v>2.2100000000000002E-2</v>
      </c>
      <c r="S4118">
        <f t="shared" si="259"/>
        <v>139</v>
      </c>
      <c r="T4118">
        <f>INDEX([1]IDEN_level_ids!$B:$B,MATCH(G4118,[1]IDEN_level_ids!$A:$A,0),1)</f>
        <v>1175</v>
      </c>
      <c r="U4118">
        <f>INDEX([1]IDEN_level_ids!$B:$B,MATCH(H4118,[1]IDEN_level_ids!$A:$A,0),1)</f>
        <v>1113</v>
      </c>
    </row>
    <row r="4119" spans="1:21" hidden="1" x14ac:dyDescent="0.25">
      <c r="A4119">
        <v>14416.5676</v>
      </c>
      <c r="B4119">
        <v>6936.4638000000004</v>
      </c>
      <c r="C4119">
        <v>25</v>
      </c>
      <c r="D4119" t="s">
        <v>813</v>
      </c>
      <c r="E4119" t="s">
        <v>427</v>
      </c>
      <c r="F4119">
        <v>1974</v>
      </c>
      <c r="G4119" s="1" t="s">
        <v>310</v>
      </c>
      <c r="H4119" s="1" t="s">
        <v>108</v>
      </c>
      <c r="I4119">
        <v>0</v>
      </c>
      <c r="J4119">
        <v>14416.5782</v>
      </c>
      <c r="K4119">
        <v>5.11E-3</v>
      </c>
      <c r="L4119">
        <v>2.3449999999999999E-2</v>
      </c>
      <c r="M4119">
        <v>4.87E-2</v>
      </c>
      <c r="N4119">
        <v>0.13600000000000001</v>
      </c>
      <c r="O4119">
        <v>2.7140000000000001E-2</v>
      </c>
      <c r="P4119" s="3">
        <f t="shared" si="256"/>
        <v>6936.4638501053469</v>
      </c>
      <c r="Q4119" s="3">
        <f t="shared" si="257"/>
        <v>5.1001365090996842E-3</v>
      </c>
      <c r="R4119" s="3">
        <f t="shared" si="258"/>
        <v>2.3449999999999999E-2</v>
      </c>
      <c r="S4119">
        <f t="shared" si="259"/>
        <v>139</v>
      </c>
      <c r="T4119">
        <f>INDEX([1]IDEN_level_ids!$B:$B,MATCH(G4119,[1]IDEN_level_ids!$A:$A,0),1)</f>
        <v>1230</v>
      </c>
      <c r="U4119">
        <f>INDEX([1]IDEN_level_ids!$B:$B,MATCH(H4119,[1]IDEN_level_ids!$A:$A,0),1)</f>
        <v>1149</v>
      </c>
    </row>
    <row r="4120" spans="1:21" hidden="1" x14ac:dyDescent="0.25">
      <c r="A4120">
        <v>14343.620699999999</v>
      </c>
      <c r="B4120">
        <v>6971.7403999999997</v>
      </c>
      <c r="C4120">
        <v>25</v>
      </c>
      <c r="D4120" t="s">
        <v>813</v>
      </c>
      <c r="F4120">
        <v>1974</v>
      </c>
      <c r="G4120" s="1" t="s">
        <v>320</v>
      </c>
      <c r="H4120" s="1" t="s">
        <v>262</v>
      </c>
      <c r="I4120">
        <v>0</v>
      </c>
      <c r="J4120">
        <v>14343.604799999999</v>
      </c>
      <c r="K4120">
        <v>-7.7299999999999999E-3</v>
      </c>
      <c r="L4120">
        <v>2.239E-2</v>
      </c>
      <c r="M4120">
        <v>4.6100000000000002E-2</v>
      </c>
      <c r="N4120">
        <v>0.14860000000000001</v>
      </c>
      <c r="O4120">
        <v>2.63E-2</v>
      </c>
      <c r="P4120" s="3">
        <f t="shared" si="256"/>
        <v>6971.7404058237544</v>
      </c>
      <c r="Q4120" s="3">
        <f t="shared" si="257"/>
        <v>-7.7282296888370183E-3</v>
      </c>
      <c r="R4120" s="3">
        <f t="shared" si="258"/>
        <v>2.239E-2</v>
      </c>
      <c r="S4120">
        <f t="shared" si="259"/>
        <v>139</v>
      </c>
      <c r="T4120">
        <f>INDEX([1]IDEN_level_ids!$B:$B,MATCH(G4120,[1]IDEN_level_ids!$A:$A,0),1)</f>
        <v>1180</v>
      </c>
      <c r="U4120">
        <f>INDEX([1]IDEN_level_ids!$B:$B,MATCH(H4120,[1]IDEN_level_ids!$A:$A,0),1)</f>
        <v>1115</v>
      </c>
    </row>
    <row r="4121" spans="1:21" hidden="1" x14ac:dyDescent="0.25">
      <c r="A4121">
        <v>14341.2606</v>
      </c>
      <c r="B4121">
        <v>6972.8877000000002</v>
      </c>
      <c r="C4121">
        <v>25</v>
      </c>
      <c r="D4121" t="s">
        <v>813</v>
      </c>
      <c r="F4121">
        <v>1974</v>
      </c>
      <c r="G4121" s="1" t="s">
        <v>324</v>
      </c>
      <c r="H4121" s="1" t="s">
        <v>250</v>
      </c>
      <c r="I4121">
        <v>0</v>
      </c>
      <c r="J4121">
        <v>14341.274299999999</v>
      </c>
      <c r="K4121">
        <v>6.6699999999999997E-3</v>
      </c>
      <c r="L4121">
        <v>2.24E-2</v>
      </c>
      <c r="M4121">
        <v>4.6100000000000002E-2</v>
      </c>
      <c r="N4121">
        <v>0.2467</v>
      </c>
      <c r="O4121">
        <v>2.9729999999999999E-2</v>
      </c>
      <c r="P4121" s="3">
        <f t="shared" si="256"/>
        <v>6972.887725086036</v>
      </c>
      <c r="Q4121" s="3">
        <f t="shared" si="257"/>
        <v>6.6610929980015499E-3</v>
      </c>
      <c r="R4121" s="3">
        <f t="shared" si="258"/>
        <v>2.24E-2</v>
      </c>
      <c r="S4121">
        <f t="shared" si="259"/>
        <v>139</v>
      </c>
      <c r="T4121">
        <f>INDEX([1]IDEN_level_ids!$B:$B,MATCH(G4121,[1]IDEN_level_ids!$A:$A,0),1)</f>
        <v>1171</v>
      </c>
      <c r="U4121">
        <f>INDEX([1]IDEN_level_ids!$B:$B,MATCH(H4121,[1]IDEN_level_ids!$A:$A,0),1)</f>
        <v>1107</v>
      </c>
    </row>
    <row r="4122" spans="1:21" hidden="1" x14ac:dyDescent="0.25">
      <c r="A4122">
        <v>14334.269399999999</v>
      </c>
      <c r="B4122">
        <v>6976.2885999999999</v>
      </c>
      <c r="C4122">
        <v>25</v>
      </c>
      <c r="D4122" t="s">
        <v>813</v>
      </c>
      <c r="F4122">
        <v>1974</v>
      </c>
      <c r="G4122" s="1" t="s">
        <v>324</v>
      </c>
      <c r="H4122" s="1" t="s">
        <v>272</v>
      </c>
      <c r="I4122">
        <v>0</v>
      </c>
      <c r="J4122">
        <v>14334.2428</v>
      </c>
      <c r="K4122">
        <v>-1.2919999999999999E-2</v>
      </c>
      <c r="L4122">
        <v>2.2419999999999999E-2</v>
      </c>
      <c r="M4122">
        <v>4.6100000000000002E-2</v>
      </c>
      <c r="N4122">
        <v>0.26219999999999999</v>
      </c>
      <c r="O4122">
        <v>3.039E-2</v>
      </c>
      <c r="P4122" s="3">
        <f t="shared" si="256"/>
        <v>6976.2885857300826</v>
      </c>
      <c r="Q4122" s="3">
        <f t="shared" si="257"/>
        <v>-1.2945872270393011E-2</v>
      </c>
      <c r="R4122" s="3">
        <f t="shared" si="258"/>
        <v>2.2419999999999999E-2</v>
      </c>
      <c r="S4122">
        <f t="shared" si="259"/>
        <v>139</v>
      </c>
      <c r="T4122">
        <f>INDEX([1]IDEN_level_ids!$B:$B,MATCH(G4122,[1]IDEN_level_ids!$A:$A,0),1)</f>
        <v>1171</v>
      </c>
      <c r="U4122">
        <f>INDEX([1]IDEN_level_ids!$B:$B,MATCH(H4122,[1]IDEN_level_ids!$A:$A,0),1)</f>
        <v>1109</v>
      </c>
    </row>
    <row r="4123" spans="1:21" hidden="1" x14ac:dyDescent="0.25">
      <c r="A4123">
        <v>14333.519200000001</v>
      </c>
      <c r="B4123">
        <v>6976.6536999999998</v>
      </c>
      <c r="C4123">
        <v>25</v>
      </c>
      <c r="D4123" t="s">
        <v>813</v>
      </c>
      <c r="F4123">
        <v>1974</v>
      </c>
      <c r="G4123" s="1" t="s">
        <v>719</v>
      </c>
      <c r="H4123" s="1" t="s">
        <v>245</v>
      </c>
      <c r="I4123">
        <v>0</v>
      </c>
      <c r="J4123">
        <v>14333.5283</v>
      </c>
      <c r="K4123">
        <v>4.4200000000000003E-3</v>
      </c>
      <c r="L4123">
        <v>2.2419999999999999E-2</v>
      </c>
      <c r="M4123">
        <v>4.6100000000000002E-2</v>
      </c>
      <c r="N4123">
        <v>0.1137</v>
      </c>
      <c r="O4123">
        <v>2.53E-2</v>
      </c>
      <c r="P4123" s="3">
        <f t="shared" si="256"/>
        <v>6976.6537166950593</v>
      </c>
      <c r="Q4123" s="3">
        <f t="shared" si="257"/>
        <v>4.4293036216913606E-3</v>
      </c>
      <c r="R4123" s="3">
        <f t="shared" si="258"/>
        <v>2.2419999999999999E-2</v>
      </c>
      <c r="S4123">
        <f t="shared" si="259"/>
        <v>139</v>
      </c>
      <c r="T4123">
        <f>INDEX([1]IDEN_level_ids!$B:$B,MATCH(G4123,[1]IDEN_level_ids!$A:$A,0),1)</f>
        <v>1244</v>
      </c>
      <c r="U4123">
        <f>INDEX([1]IDEN_level_ids!$B:$B,MATCH(H4123,[1]IDEN_level_ids!$A:$A,0),1)</f>
        <v>1169</v>
      </c>
    </row>
    <row r="4124" spans="1:21" hidden="1" x14ac:dyDescent="0.25">
      <c r="A4124">
        <v>14323.0463</v>
      </c>
      <c r="B4124">
        <v>6981.7550000000001</v>
      </c>
      <c r="C4124">
        <v>25</v>
      </c>
      <c r="D4124" t="s">
        <v>813</v>
      </c>
      <c r="F4124">
        <v>1974</v>
      </c>
      <c r="G4124" s="1" t="s">
        <v>712</v>
      </c>
      <c r="H4124" s="1" t="s">
        <v>207</v>
      </c>
      <c r="I4124">
        <v>0</v>
      </c>
      <c r="J4124">
        <v>14323.051799999999</v>
      </c>
      <c r="K4124">
        <v>2.6900000000000001E-3</v>
      </c>
      <c r="L4124">
        <v>2.2460000000000001E-2</v>
      </c>
      <c r="M4124">
        <v>4.6100000000000002E-2</v>
      </c>
      <c r="N4124">
        <v>9.8599999999999993E-2</v>
      </c>
      <c r="O4124">
        <v>2.4910000000000002E-2</v>
      </c>
      <c r="P4124" s="3">
        <f t="shared" si="256"/>
        <v>6981.7549916039861</v>
      </c>
      <c r="Q4124" s="3">
        <f t="shared" si="257"/>
        <v>2.680968622371438E-3</v>
      </c>
      <c r="R4124" s="3">
        <f t="shared" si="258"/>
        <v>2.2460000000000001E-2</v>
      </c>
      <c r="S4124">
        <f t="shared" si="259"/>
        <v>139</v>
      </c>
      <c r="T4124">
        <f>INDEX([1]IDEN_level_ids!$B:$B,MATCH(G4124,[1]IDEN_level_ids!$A:$A,0),1)</f>
        <v>1247</v>
      </c>
      <c r="U4124">
        <f>INDEX([1]IDEN_level_ids!$B:$B,MATCH(H4124,[1]IDEN_level_ids!$A:$A,0),1)</f>
        <v>1177</v>
      </c>
    </row>
    <row r="4125" spans="1:21" hidden="1" x14ac:dyDescent="0.25">
      <c r="A4125">
        <v>14243.0895</v>
      </c>
      <c r="B4125">
        <v>7020.9485999999997</v>
      </c>
      <c r="C4125">
        <v>25</v>
      </c>
      <c r="D4125" t="s">
        <v>813</v>
      </c>
      <c r="E4125" t="s">
        <v>427</v>
      </c>
      <c r="F4125">
        <v>1974</v>
      </c>
      <c r="G4125" s="1" t="s">
        <v>27</v>
      </c>
      <c r="H4125" s="1" t="s">
        <v>331</v>
      </c>
      <c r="I4125">
        <v>0</v>
      </c>
      <c r="J4125">
        <v>14243.0604</v>
      </c>
      <c r="K4125">
        <v>-1.438E-2</v>
      </c>
      <c r="L4125">
        <v>2.402E-2</v>
      </c>
      <c r="M4125">
        <v>4.87E-2</v>
      </c>
      <c r="N4125">
        <v>0.41460000000000002</v>
      </c>
      <c r="O4125">
        <v>4.1029999999999997E-2</v>
      </c>
      <c r="P4125" s="3">
        <f t="shared" si="256"/>
        <v>7020.9486502208665</v>
      </c>
      <c r="Q4125" s="3">
        <f t="shared" si="257"/>
        <v>-1.4344501812047383E-2</v>
      </c>
      <c r="R4125" s="3">
        <f t="shared" si="258"/>
        <v>2.402E-2</v>
      </c>
      <c r="S4125">
        <f t="shared" si="259"/>
        <v>139</v>
      </c>
      <c r="T4125">
        <f>INDEX([1]IDEN_level_ids!$B:$B,MATCH(G4125,[1]IDEN_level_ids!$A:$A,0),1)</f>
        <v>1242</v>
      </c>
      <c r="U4125">
        <f>INDEX([1]IDEN_level_ids!$B:$B,MATCH(H4125,[1]IDEN_level_ids!$A:$A,0),1)</f>
        <v>1163</v>
      </c>
    </row>
    <row r="4126" spans="1:21" hidden="1" x14ac:dyDescent="0.25">
      <c r="A4126">
        <v>14220.0445</v>
      </c>
      <c r="B4126">
        <v>7032.3267999999998</v>
      </c>
      <c r="C4126">
        <v>25</v>
      </c>
      <c r="D4126" t="s">
        <v>814</v>
      </c>
      <c r="F4126">
        <v>1974</v>
      </c>
      <c r="G4126" s="1" t="s">
        <v>736</v>
      </c>
      <c r="H4126" s="1" t="s">
        <v>18</v>
      </c>
      <c r="I4126">
        <v>0</v>
      </c>
      <c r="J4126">
        <v>14220.031300000001</v>
      </c>
      <c r="K4126">
        <v>-6.5500000000000003E-3</v>
      </c>
      <c r="L4126">
        <v>2.2780000000000002E-2</v>
      </c>
      <c r="M4126">
        <v>4.6100000000000002E-2</v>
      </c>
      <c r="N4126">
        <v>0.1764</v>
      </c>
      <c r="O4126">
        <v>2.7660000000000001E-2</v>
      </c>
      <c r="P4126" s="3">
        <f t="shared" si="256"/>
        <v>7032.3267975708513</v>
      </c>
      <c r="Q4126" s="3">
        <f t="shared" si="257"/>
        <v>-6.5278839247184806E-3</v>
      </c>
      <c r="R4126" s="3">
        <f t="shared" si="258"/>
        <v>2.2780000000000002E-2</v>
      </c>
      <c r="S4126">
        <f t="shared" si="259"/>
        <v>140</v>
      </c>
      <c r="T4126">
        <f>INDEX([1]IDEN_level_ids!$B:$B,MATCH(G4126,[1]IDEN_level_ids!$A:$A,0),1)</f>
        <v>1251</v>
      </c>
      <c r="U4126">
        <f>INDEX([1]IDEN_level_ids!$B:$B,MATCH(H4126,[1]IDEN_level_ids!$A:$A,0),1)</f>
        <v>1226</v>
      </c>
    </row>
    <row r="4127" spans="1:21" hidden="1" x14ac:dyDescent="0.25">
      <c r="A4127">
        <v>14174.851199999999</v>
      </c>
      <c r="B4127">
        <v>7054.7478000000001</v>
      </c>
      <c r="C4127">
        <v>25</v>
      </c>
      <c r="D4127" t="s">
        <v>814</v>
      </c>
      <c r="F4127">
        <v>1974</v>
      </c>
      <c r="G4127" s="1" t="s">
        <v>710</v>
      </c>
      <c r="H4127" s="1" t="s">
        <v>73</v>
      </c>
      <c r="I4127">
        <v>0</v>
      </c>
      <c r="J4127">
        <v>14174.8367</v>
      </c>
      <c r="K4127">
        <v>-7.2199999999999999E-3</v>
      </c>
      <c r="L4127">
        <v>2.2929999999999999E-2</v>
      </c>
      <c r="M4127">
        <v>4.6100000000000002E-2</v>
      </c>
      <c r="N4127">
        <v>8.1900000000000001E-2</v>
      </c>
      <c r="O4127">
        <v>2.4969999999999999E-2</v>
      </c>
      <c r="P4127" s="3">
        <f t="shared" si="256"/>
        <v>7054.7477775286989</v>
      </c>
      <c r="Q4127" s="3">
        <f t="shared" si="257"/>
        <v>-7.2165799811045872E-3</v>
      </c>
      <c r="R4127" s="3">
        <f t="shared" si="258"/>
        <v>2.2929999999999999E-2</v>
      </c>
      <c r="S4127">
        <f t="shared" si="259"/>
        <v>140</v>
      </c>
      <c r="T4127">
        <f>INDEX([1]IDEN_level_ids!$B:$B,MATCH(G4127,[1]IDEN_level_ids!$A:$A,0),1)</f>
        <v>1246</v>
      </c>
      <c r="U4127">
        <f>INDEX([1]IDEN_level_ids!$B:$B,MATCH(H4127,[1]IDEN_level_ids!$A:$A,0),1)</f>
        <v>1173</v>
      </c>
    </row>
    <row r="4128" spans="1:21" hidden="1" x14ac:dyDescent="0.25">
      <c r="A4128">
        <v>14171.009599999999</v>
      </c>
      <c r="B4128">
        <v>7056.6602000000003</v>
      </c>
      <c r="C4128">
        <v>25</v>
      </c>
      <c r="D4128" t="s">
        <v>814</v>
      </c>
      <c r="E4128" t="s">
        <v>427</v>
      </c>
      <c r="F4128">
        <v>1974</v>
      </c>
      <c r="G4128" s="1" t="s">
        <v>712</v>
      </c>
      <c r="H4128" s="1" t="s">
        <v>204</v>
      </c>
      <c r="I4128">
        <v>0</v>
      </c>
      <c r="J4128">
        <v>14171.0154</v>
      </c>
      <c r="K4128">
        <v>2.8800000000000002E-3</v>
      </c>
      <c r="L4128">
        <v>2.426E-2</v>
      </c>
      <c r="M4128">
        <v>4.87E-2</v>
      </c>
      <c r="N4128">
        <v>0.1114</v>
      </c>
      <c r="O4128">
        <v>2.7310000000000001E-2</v>
      </c>
      <c r="P4128" s="3">
        <f t="shared" si="256"/>
        <v>7056.6602396486987</v>
      </c>
      <c r="Q4128" s="3">
        <f t="shared" si="257"/>
        <v>2.8881931357318535E-3</v>
      </c>
      <c r="R4128" s="3">
        <f t="shared" si="258"/>
        <v>2.426E-2</v>
      </c>
      <c r="S4128">
        <f t="shared" si="259"/>
        <v>140</v>
      </c>
      <c r="T4128">
        <f>INDEX([1]IDEN_level_ids!$B:$B,MATCH(G4128,[1]IDEN_level_ids!$A:$A,0),1)</f>
        <v>1247</v>
      </c>
      <c r="U4128">
        <f>INDEX([1]IDEN_level_ids!$B:$B,MATCH(H4128,[1]IDEN_level_ids!$A:$A,0),1)</f>
        <v>1176</v>
      </c>
    </row>
    <row r="4129" spans="1:21" hidden="1" x14ac:dyDescent="0.25">
      <c r="A4129">
        <v>14162.210800000001</v>
      </c>
      <c r="B4129">
        <v>7061.0445</v>
      </c>
      <c r="C4129">
        <v>25</v>
      </c>
      <c r="D4129" t="s">
        <v>814</v>
      </c>
      <c r="F4129">
        <v>1974</v>
      </c>
      <c r="G4129" s="1" t="s">
        <v>715</v>
      </c>
      <c r="H4129" s="1" t="s">
        <v>180</v>
      </c>
      <c r="I4129">
        <v>0</v>
      </c>
      <c r="J4129">
        <v>14162.1798</v>
      </c>
      <c r="K4129">
        <v>-1.5429999999999999E-2</v>
      </c>
      <c r="L4129">
        <v>2.2970000000000001E-2</v>
      </c>
      <c r="M4129">
        <v>4.6100000000000002E-2</v>
      </c>
      <c r="N4129">
        <v>0.14360000000000001</v>
      </c>
      <c r="O4129">
        <v>2.682E-2</v>
      </c>
      <c r="P4129" s="3">
        <f t="shared" si="256"/>
        <v>7061.0444521839763</v>
      </c>
      <c r="Q4129" s="3">
        <f t="shared" si="257"/>
        <v>-1.5456121946954227E-2</v>
      </c>
      <c r="R4129" s="3">
        <f t="shared" si="258"/>
        <v>2.2970000000000001E-2</v>
      </c>
      <c r="S4129">
        <f t="shared" si="259"/>
        <v>140</v>
      </c>
      <c r="T4129">
        <f>INDEX([1]IDEN_level_ids!$B:$B,MATCH(G4129,[1]IDEN_level_ids!$A:$A,0),1)</f>
        <v>1249</v>
      </c>
      <c r="U4129">
        <f>INDEX([1]IDEN_level_ids!$B:$B,MATCH(H4129,[1]IDEN_level_ids!$A:$A,0),1)</f>
        <v>1184</v>
      </c>
    </row>
    <row r="4130" spans="1:21" hidden="1" x14ac:dyDescent="0.25">
      <c r="A4130">
        <v>14129.954</v>
      </c>
      <c r="B4130">
        <v>7077.1638999999996</v>
      </c>
      <c r="C4130">
        <v>25</v>
      </c>
      <c r="D4130" t="s">
        <v>814</v>
      </c>
      <c r="F4130">
        <v>1974</v>
      </c>
      <c r="G4130" s="1" t="s">
        <v>734</v>
      </c>
      <c r="H4130" s="1" t="s">
        <v>285</v>
      </c>
      <c r="I4130">
        <v>0</v>
      </c>
      <c r="J4130">
        <v>14129.9663</v>
      </c>
      <c r="K4130">
        <v>6.1500000000000001E-3</v>
      </c>
      <c r="L4130">
        <v>2.307E-2</v>
      </c>
      <c r="M4130">
        <v>4.6100000000000002E-2</v>
      </c>
      <c r="N4130">
        <v>0.10290000000000001</v>
      </c>
      <c r="O4130">
        <v>2.572E-2</v>
      </c>
      <c r="P4130" s="3">
        <f t="shared" si="256"/>
        <v>7077.1638747019279</v>
      </c>
      <c r="Q4130" s="3">
        <f t="shared" si="257"/>
        <v>6.1606032040799619E-3</v>
      </c>
      <c r="R4130" s="3">
        <f t="shared" si="258"/>
        <v>2.307E-2</v>
      </c>
      <c r="S4130">
        <f t="shared" si="259"/>
        <v>140</v>
      </c>
      <c r="T4130">
        <f>INDEX([1]IDEN_level_ids!$B:$B,MATCH(G4130,[1]IDEN_level_ids!$A:$A,0),1)</f>
        <v>1232</v>
      </c>
      <c r="U4130">
        <f>INDEX([1]IDEN_level_ids!$B:$B,MATCH(H4130,[1]IDEN_level_ids!$A:$A,0),1)</f>
        <v>1150</v>
      </c>
    </row>
    <row r="4131" spans="1:21" hidden="1" x14ac:dyDescent="0.25">
      <c r="A4131">
        <v>14127.1489</v>
      </c>
      <c r="B4131">
        <v>7078.5690999999997</v>
      </c>
      <c r="C4131">
        <v>25</v>
      </c>
      <c r="D4131" t="s">
        <v>814</v>
      </c>
      <c r="F4131">
        <v>1974</v>
      </c>
      <c r="G4131" s="1" t="s">
        <v>115</v>
      </c>
      <c r="H4131" s="1" t="s">
        <v>55</v>
      </c>
      <c r="I4131">
        <v>0</v>
      </c>
      <c r="J4131">
        <v>14127.153</v>
      </c>
      <c r="K4131">
        <v>2.0500000000000002E-3</v>
      </c>
      <c r="L4131">
        <v>2.308E-2</v>
      </c>
      <c r="M4131">
        <v>4.6100000000000002E-2</v>
      </c>
      <c r="N4131">
        <v>0.159</v>
      </c>
      <c r="O4131">
        <v>2.7449999999999999E-2</v>
      </c>
      <c r="P4131" s="3">
        <f t="shared" si="256"/>
        <v>7078.5691230309039</v>
      </c>
      <c r="Q4131" s="3">
        <f t="shared" si="257"/>
        <v>2.0543511782307178E-3</v>
      </c>
      <c r="R4131" s="3">
        <f t="shared" si="258"/>
        <v>2.308E-2</v>
      </c>
      <c r="S4131">
        <f t="shared" si="259"/>
        <v>140</v>
      </c>
      <c r="T4131">
        <f>INDEX([1]IDEN_level_ids!$B:$B,MATCH(G4131,[1]IDEN_level_ids!$A:$A,0),1)</f>
        <v>1252</v>
      </c>
      <c r="U4131">
        <f>INDEX([1]IDEN_level_ids!$B:$B,MATCH(H4131,[1]IDEN_level_ids!$A:$A,0),1)</f>
        <v>1233</v>
      </c>
    </row>
    <row r="4132" spans="1:21" hidden="1" x14ac:dyDescent="0.25">
      <c r="A4132">
        <v>14112.4414</v>
      </c>
      <c r="B4132">
        <v>7085.9462000000003</v>
      </c>
      <c r="C4132">
        <v>25</v>
      </c>
      <c r="D4132" t="s">
        <v>814</v>
      </c>
      <c r="F4132">
        <v>1974</v>
      </c>
      <c r="G4132" s="1" t="s">
        <v>712</v>
      </c>
      <c r="H4132" s="1" t="s">
        <v>283</v>
      </c>
      <c r="I4132">
        <v>0</v>
      </c>
      <c r="J4132">
        <v>14112.413699999999</v>
      </c>
      <c r="K4132">
        <v>-1.3899999999999999E-2</v>
      </c>
      <c r="L4132">
        <v>2.3130000000000001E-2</v>
      </c>
      <c r="M4132">
        <v>4.6100000000000002E-2</v>
      </c>
      <c r="N4132">
        <v>0.14680000000000001</v>
      </c>
      <c r="O4132">
        <v>2.7109999999999999E-2</v>
      </c>
      <c r="P4132" s="3">
        <f t="shared" si="256"/>
        <v>7085.9461637870827</v>
      </c>
      <c r="Q4132" s="3">
        <f t="shared" si="257"/>
        <v>-1.3908372650803358E-2</v>
      </c>
      <c r="R4132" s="3">
        <f t="shared" si="258"/>
        <v>2.3130000000000001E-2</v>
      </c>
      <c r="S4132">
        <f t="shared" si="259"/>
        <v>140</v>
      </c>
      <c r="T4132">
        <f>INDEX([1]IDEN_level_ids!$B:$B,MATCH(G4132,[1]IDEN_level_ids!$A:$A,0),1)</f>
        <v>1247</v>
      </c>
      <c r="U4132">
        <f>INDEX([1]IDEN_level_ids!$B:$B,MATCH(H4132,[1]IDEN_level_ids!$A:$A,0),1)</f>
        <v>1178</v>
      </c>
    </row>
    <row r="4133" spans="1:21" hidden="1" x14ac:dyDescent="0.25">
      <c r="A4133">
        <v>14105.936299999999</v>
      </c>
      <c r="B4133">
        <v>7089.2138999999997</v>
      </c>
      <c r="C4133">
        <v>25</v>
      </c>
      <c r="D4133" t="s">
        <v>814</v>
      </c>
      <c r="F4133">
        <v>1974</v>
      </c>
      <c r="G4133" s="1" t="s">
        <v>348</v>
      </c>
      <c r="H4133" s="1" t="s">
        <v>293</v>
      </c>
      <c r="I4133">
        <v>0</v>
      </c>
      <c r="J4133">
        <v>14105.9298</v>
      </c>
      <c r="K4133">
        <v>-3.2399999999999998E-3</v>
      </c>
      <c r="L4133">
        <v>2.315E-2</v>
      </c>
      <c r="M4133">
        <v>4.6100000000000002E-2</v>
      </c>
      <c r="N4133">
        <v>0.20610000000000001</v>
      </c>
      <c r="O4133">
        <v>2.9159999999999998E-2</v>
      </c>
      <c r="P4133" s="3">
        <f t="shared" si="256"/>
        <v>7089.21392194292</v>
      </c>
      <c r="Q4133" s="3">
        <f t="shared" si="257"/>
        <v>-3.2667035175109049E-3</v>
      </c>
      <c r="R4133" s="3">
        <f t="shared" si="258"/>
        <v>2.315E-2</v>
      </c>
      <c r="S4133">
        <f t="shared" si="259"/>
        <v>140</v>
      </c>
      <c r="T4133">
        <f>INDEX([1]IDEN_level_ids!$B:$B,MATCH(G4133,[1]IDEN_level_ids!$A:$A,0),1)</f>
        <v>1190</v>
      </c>
      <c r="U4133">
        <f>INDEX([1]IDEN_level_ids!$B:$B,MATCH(H4133,[1]IDEN_level_ids!$A:$A,0),1)</f>
        <v>1121</v>
      </c>
    </row>
    <row r="4134" spans="1:21" hidden="1" x14ac:dyDescent="0.25">
      <c r="A4134">
        <v>14077.1018</v>
      </c>
      <c r="B4134">
        <v>7103.7349999999997</v>
      </c>
      <c r="C4134">
        <v>25</v>
      </c>
      <c r="D4134" t="s">
        <v>814</v>
      </c>
      <c r="F4134">
        <v>1974</v>
      </c>
      <c r="G4134" s="1" t="s">
        <v>362</v>
      </c>
      <c r="H4134" s="1" t="s">
        <v>299</v>
      </c>
      <c r="I4134">
        <v>0</v>
      </c>
      <c r="J4134">
        <v>14077.1132</v>
      </c>
      <c r="K4134">
        <v>5.7499999999999999E-3</v>
      </c>
      <c r="L4134">
        <v>2.325E-2</v>
      </c>
      <c r="M4134">
        <v>4.6100000000000002E-2</v>
      </c>
      <c r="N4134">
        <v>0.31380000000000002</v>
      </c>
      <c r="O4134">
        <v>3.388E-2</v>
      </c>
      <c r="P4134" s="3">
        <f t="shared" si="256"/>
        <v>7103.7349463509599</v>
      </c>
      <c r="Q4134" s="3">
        <f t="shared" si="257"/>
        <v>5.752783062234812E-3</v>
      </c>
      <c r="R4134" s="3">
        <f t="shared" si="258"/>
        <v>2.325E-2</v>
      </c>
      <c r="S4134">
        <f t="shared" si="259"/>
        <v>140</v>
      </c>
      <c r="T4134">
        <f>INDEX([1]IDEN_level_ids!$B:$B,MATCH(G4134,[1]IDEN_level_ids!$A:$A,0),1)</f>
        <v>1147</v>
      </c>
      <c r="U4134">
        <f>INDEX([1]IDEN_level_ids!$B:$B,MATCH(H4134,[1]IDEN_level_ids!$A:$A,0),1)</f>
        <v>1101</v>
      </c>
    </row>
    <row r="4135" spans="1:21" hidden="1" x14ac:dyDescent="0.25">
      <c r="A4135">
        <v>14055.8235</v>
      </c>
      <c r="B4135">
        <v>7114.4889000000003</v>
      </c>
      <c r="C4135">
        <v>25</v>
      </c>
      <c r="D4135" t="s">
        <v>814</v>
      </c>
      <c r="F4135">
        <v>1974</v>
      </c>
      <c r="G4135" s="1" t="s">
        <v>115</v>
      </c>
      <c r="H4135" s="1" t="s">
        <v>20</v>
      </c>
      <c r="I4135">
        <v>0</v>
      </c>
      <c r="J4135">
        <v>14055.811400000001</v>
      </c>
      <c r="K4135">
        <v>-6.1199999999999996E-3</v>
      </c>
      <c r="L4135">
        <v>2.332E-2</v>
      </c>
      <c r="M4135">
        <v>4.6100000000000002E-2</v>
      </c>
      <c r="N4135">
        <v>0.2417</v>
      </c>
      <c r="O4135">
        <v>3.075E-2</v>
      </c>
      <c r="P4135" s="3">
        <f t="shared" si="256"/>
        <v>7114.4888807119696</v>
      </c>
      <c r="Q4135" s="3">
        <f t="shared" si="257"/>
        <v>-6.1245354681886965E-3</v>
      </c>
      <c r="R4135" s="3">
        <f t="shared" si="258"/>
        <v>2.332E-2</v>
      </c>
      <c r="S4135">
        <f t="shared" si="259"/>
        <v>140</v>
      </c>
      <c r="T4135">
        <f>INDEX([1]IDEN_level_ids!$B:$B,MATCH(G4135,[1]IDEN_level_ids!$A:$A,0),1)</f>
        <v>1252</v>
      </c>
      <c r="U4135">
        <f>INDEX([1]IDEN_level_ids!$B:$B,MATCH(H4135,[1]IDEN_level_ids!$A:$A,0),1)</f>
        <v>1235</v>
      </c>
    </row>
    <row r="4136" spans="1:21" hidden="1" x14ac:dyDescent="0.25">
      <c r="A4136">
        <v>14018.069299999999</v>
      </c>
      <c r="B4136">
        <v>7133.65</v>
      </c>
      <c r="C4136">
        <v>25</v>
      </c>
      <c r="D4136" t="s">
        <v>814</v>
      </c>
      <c r="F4136">
        <v>1974</v>
      </c>
      <c r="G4136" s="1" t="s">
        <v>365</v>
      </c>
      <c r="H4136" s="1" t="s">
        <v>297</v>
      </c>
      <c r="I4136">
        <v>0</v>
      </c>
      <c r="J4136">
        <v>14018.0494</v>
      </c>
      <c r="K4136">
        <v>-1.0149999999999999E-2</v>
      </c>
      <c r="L4136">
        <v>2.3439999999999999E-2</v>
      </c>
      <c r="M4136">
        <v>4.6100000000000002E-2</v>
      </c>
      <c r="N4136">
        <v>0.31809999999999999</v>
      </c>
      <c r="O4136">
        <v>3.4380000000000001E-2</v>
      </c>
      <c r="P4136" s="3">
        <f t="shared" si="256"/>
        <v>7133.6499955810605</v>
      </c>
      <c r="Q4136" s="3">
        <f t="shared" si="257"/>
        <v>-1.0126917865818541E-2</v>
      </c>
      <c r="R4136" s="3">
        <f t="shared" si="258"/>
        <v>2.3439999999999999E-2</v>
      </c>
      <c r="S4136">
        <f t="shared" si="259"/>
        <v>140</v>
      </c>
      <c r="T4136">
        <f>INDEX([1]IDEN_level_ids!$B:$B,MATCH(G4136,[1]IDEN_level_ids!$A:$A,0),1)</f>
        <v>1143</v>
      </c>
      <c r="U4136">
        <f>INDEX([1]IDEN_level_ids!$B:$B,MATCH(H4136,[1]IDEN_level_ids!$A:$A,0),1)</f>
        <v>1099</v>
      </c>
    </row>
    <row r="4137" spans="1:21" hidden="1" x14ac:dyDescent="0.25">
      <c r="A4137">
        <v>14005.751899999999</v>
      </c>
      <c r="B4137">
        <v>7139.9237000000003</v>
      </c>
      <c r="C4137">
        <v>25</v>
      </c>
      <c r="D4137" t="s">
        <v>814</v>
      </c>
      <c r="F4137">
        <v>1974</v>
      </c>
      <c r="G4137" s="1" t="s">
        <v>239</v>
      </c>
      <c r="H4137" s="1" t="s">
        <v>459</v>
      </c>
      <c r="I4137">
        <v>0</v>
      </c>
      <c r="J4137">
        <v>14005.742899999999</v>
      </c>
      <c r="K4137">
        <v>-4.5799999999999999E-3</v>
      </c>
      <c r="L4137">
        <v>2.3480000000000001E-2</v>
      </c>
      <c r="M4137">
        <v>4.6100000000000002E-2</v>
      </c>
      <c r="N4137">
        <v>0.15060000000000001</v>
      </c>
      <c r="O4137">
        <v>2.7650000000000001E-2</v>
      </c>
      <c r="P4137" s="3">
        <f t="shared" si="256"/>
        <v>7139.9237052028602</v>
      </c>
      <c r="Q4137" s="3">
        <f t="shared" si="257"/>
        <v>-4.5880688949182513E-3</v>
      </c>
      <c r="R4137" s="3">
        <f t="shared" si="258"/>
        <v>2.3480000000000001E-2</v>
      </c>
      <c r="S4137">
        <f t="shared" si="259"/>
        <v>140</v>
      </c>
      <c r="T4137">
        <f>INDEX([1]IDEN_level_ids!$B:$B,MATCH(G4137,[1]IDEN_level_ids!$A:$A,0),1)</f>
        <v>1167</v>
      </c>
      <c r="U4137">
        <f>INDEX([1]IDEN_level_ids!$B:$B,MATCH(H4137,[1]IDEN_level_ids!$A:$A,0),1)</f>
        <v>1108</v>
      </c>
    </row>
    <row r="4138" spans="1:21" hidden="1" x14ac:dyDescent="0.25">
      <c r="A4138">
        <v>13951.641900000001</v>
      </c>
      <c r="B4138">
        <v>7167.6152000000002</v>
      </c>
      <c r="C4138">
        <v>25</v>
      </c>
      <c r="D4138" t="s">
        <v>815</v>
      </c>
      <c r="E4138" t="s">
        <v>427</v>
      </c>
      <c r="F4138">
        <v>1974</v>
      </c>
      <c r="G4138" s="1" t="s">
        <v>339</v>
      </c>
      <c r="H4138" s="1" t="s">
        <v>293</v>
      </c>
      <c r="I4138">
        <v>0</v>
      </c>
      <c r="J4138">
        <v>13951.639800000001</v>
      </c>
      <c r="K4138">
        <v>-1.07E-3</v>
      </c>
      <c r="L4138">
        <v>2.503E-2</v>
      </c>
      <c r="M4138">
        <v>4.87E-2</v>
      </c>
      <c r="N4138">
        <v>0.13880000000000001</v>
      </c>
      <c r="O4138">
        <v>2.9069999999999999E-2</v>
      </c>
      <c r="P4138" s="3">
        <f t="shared" si="256"/>
        <v>7167.615160764698</v>
      </c>
      <c r="Q4138" s="3">
        <f t="shared" si="257"/>
        <v>-1.078869011507777E-3</v>
      </c>
      <c r="R4138" s="3">
        <f t="shared" si="258"/>
        <v>2.503E-2</v>
      </c>
      <c r="S4138">
        <f t="shared" si="259"/>
        <v>141</v>
      </c>
      <c r="T4138">
        <f>INDEX([1]IDEN_level_ids!$B:$B,MATCH(G4138,[1]IDEN_level_ids!$A:$A,0),1)</f>
        <v>1189</v>
      </c>
      <c r="U4138">
        <f>INDEX([1]IDEN_level_ids!$B:$B,MATCH(H4138,[1]IDEN_level_ids!$A:$A,0),1)</f>
        <v>1121</v>
      </c>
    </row>
    <row r="4139" spans="1:21" hidden="1" x14ac:dyDescent="0.25">
      <c r="A4139">
        <v>13928.9611</v>
      </c>
      <c r="B4139">
        <v>7179.2862999999998</v>
      </c>
      <c r="C4139">
        <v>25</v>
      </c>
      <c r="D4139" t="s">
        <v>815</v>
      </c>
      <c r="F4139">
        <v>1974</v>
      </c>
      <c r="G4139" s="1" t="s">
        <v>710</v>
      </c>
      <c r="H4139" s="1" t="s">
        <v>83</v>
      </c>
      <c r="I4139">
        <v>0</v>
      </c>
      <c r="J4139">
        <v>13928.9431</v>
      </c>
      <c r="K4139">
        <v>-9.2899999999999996E-3</v>
      </c>
      <c r="L4139">
        <v>2.3740000000000001E-2</v>
      </c>
      <c r="M4139">
        <v>4.6100000000000002E-2</v>
      </c>
      <c r="N4139">
        <v>9.5000000000000001E-2</v>
      </c>
      <c r="O4139">
        <v>2.6239999999999999E-2</v>
      </c>
      <c r="P4139" s="3">
        <f t="shared" si="256"/>
        <v>7179.2863288274957</v>
      </c>
      <c r="Q4139" s="3">
        <f t="shared" si="257"/>
        <v>-9.2775993834948167E-3</v>
      </c>
      <c r="R4139" s="3">
        <f t="shared" si="258"/>
        <v>2.3740000000000001E-2</v>
      </c>
      <c r="S4139">
        <f t="shared" si="259"/>
        <v>141</v>
      </c>
      <c r="T4139">
        <f>INDEX([1]IDEN_level_ids!$B:$B,MATCH(G4139,[1]IDEN_level_ids!$A:$A,0),1)</f>
        <v>1246</v>
      </c>
      <c r="U4139">
        <f>INDEX([1]IDEN_level_ids!$B:$B,MATCH(H4139,[1]IDEN_level_ids!$A:$A,0),1)</f>
        <v>1175</v>
      </c>
    </row>
    <row r="4140" spans="1:21" hidden="1" x14ac:dyDescent="0.25">
      <c r="A4140">
        <v>13920.2238</v>
      </c>
      <c r="B4140">
        <v>7183.7925999999998</v>
      </c>
      <c r="C4140">
        <v>25</v>
      </c>
      <c r="D4140" t="s">
        <v>815</v>
      </c>
      <c r="E4140" t="s">
        <v>427</v>
      </c>
      <c r="F4140">
        <v>1974</v>
      </c>
      <c r="G4140" s="1" t="s">
        <v>348</v>
      </c>
      <c r="H4140" s="1" t="s">
        <v>289</v>
      </c>
      <c r="I4140">
        <v>0</v>
      </c>
      <c r="J4140">
        <v>13920.213299999999</v>
      </c>
      <c r="K4140">
        <v>-5.3699999999999998E-3</v>
      </c>
      <c r="L4140">
        <v>2.5149999999999999E-2</v>
      </c>
      <c r="M4140">
        <v>4.87E-2</v>
      </c>
      <c r="N4140">
        <v>0.18890000000000001</v>
      </c>
      <c r="O4140">
        <v>3.1E-2</v>
      </c>
      <c r="P4140" s="3">
        <f t="shared" si="256"/>
        <v>7183.7925479330297</v>
      </c>
      <c r="Q4140" s="3">
        <f t="shared" si="257"/>
        <v>-5.418726001153118E-3</v>
      </c>
      <c r="R4140" s="3">
        <f t="shared" si="258"/>
        <v>2.5149999999999999E-2</v>
      </c>
      <c r="S4140">
        <f t="shared" si="259"/>
        <v>141</v>
      </c>
      <c r="T4140">
        <f>INDEX([1]IDEN_level_ids!$B:$B,MATCH(G4140,[1]IDEN_level_ids!$A:$A,0),1)</f>
        <v>1190</v>
      </c>
      <c r="U4140">
        <f>INDEX([1]IDEN_level_ids!$B:$B,MATCH(H4140,[1]IDEN_level_ids!$A:$A,0),1)</f>
        <v>1122</v>
      </c>
    </row>
    <row r="4141" spans="1:21" hidden="1" x14ac:dyDescent="0.25">
      <c r="A4141">
        <v>13824.340899999999</v>
      </c>
      <c r="B4141">
        <v>7233.6179000000002</v>
      </c>
      <c r="C4141">
        <v>25</v>
      </c>
      <c r="D4141" t="s">
        <v>815</v>
      </c>
      <c r="F4141">
        <v>1974</v>
      </c>
      <c r="G4141" s="1" t="s">
        <v>764</v>
      </c>
      <c r="H4141" s="1" t="s">
        <v>295</v>
      </c>
      <c r="I4141">
        <v>0</v>
      </c>
      <c r="J4141">
        <v>13824.3603</v>
      </c>
      <c r="K4141">
        <v>1.018E-2</v>
      </c>
      <c r="L4141">
        <v>2.41E-2</v>
      </c>
      <c r="M4141">
        <v>4.6100000000000002E-2</v>
      </c>
      <c r="N4141">
        <v>0.1212</v>
      </c>
      <c r="O4141">
        <v>2.743E-2</v>
      </c>
      <c r="P4141" s="3">
        <f t="shared" si="256"/>
        <v>7233.6179151947854</v>
      </c>
      <c r="Q4141" s="3">
        <f t="shared" si="257"/>
        <v>1.0151080015020852E-2</v>
      </c>
      <c r="R4141" s="3">
        <f t="shared" si="258"/>
        <v>2.41E-2</v>
      </c>
      <c r="S4141">
        <f t="shared" si="259"/>
        <v>141</v>
      </c>
      <c r="T4141">
        <f>INDEX([1]IDEN_level_ids!$B:$B,MATCH(G4141,[1]IDEN_level_ids!$A:$A,0),1)</f>
        <v>1234</v>
      </c>
      <c r="U4141">
        <f>INDEX([1]IDEN_level_ids!$B:$B,MATCH(H4141,[1]IDEN_level_ids!$A:$A,0),1)</f>
        <v>1152</v>
      </c>
    </row>
    <row r="4142" spans="1:21" hidden="1" x14ac:dyDescent="0.25">
      <c r="A4142">
        <v>13815.868</v>
      </c>
      <c r="B4142">
        <v>7238.0541000000003</v>
      </c>
      <c r="C4142">
        <v>25</v>
      </c>
      <c r="D4142" t="s">
        <v>815</v>
      </c>
      <c r="F4142">
        <v>1974</v>
      </c>
      <c r="G4142" s="1" t="s">
        <v>216</v>
      </c>
      <c r="H4142" s="1" t="s">
        <v>799</v>
      </c>
      <c r="I4142">
        <v>0</v>
      </c>
      <c r="J4142">
        <v>13815.839400000001</v>
      </c>
      <c r="K4142">
        <v>-1.499E-2</v>
      </c>
      <c r="L4142">
        <v>2.4129999999999999E-2</v>
      </c>
      <c r="M4142">
        <v>4.6100000000000002E-2</v>
      </c>
      <c r="N4142">
        <v>0.18160000000000001</v>
      </c>
      <c r="O4142">
        <v>2.9489999999999999E-2</v>
      </c>
      <c r="P4142" s="3">
        <f t="shared" si="256"/>
        <v>7238.0540983744195</v>
      </c>
      <c r="Q4142" s="3">
        <f t="shared" si="257"/>
        <v>-1.4983407176259789E-2</v>
      </c>
      <c r="R4142" s="3">
        <f t="shared" si="258"/>
        <v>2.4129999999999999E-2</v>
      </c>
      <c r="S4142">
        <f t="shared" si="259"/>
        <v>141</v>
      </c>
      <c r="T4142">
        <f>INDEX([1]IDEN_level_ids!$B:$B,MATCH(G4142,[1]IDEN_level_ids!$A:$A,0),1)</f>
        <v>1170</v>
      </c>
      <c r="U4142">
        <f>INDEX([1]IDEN_level_ids!$B:$B,MATCH(H4142,[1]IDEN_level_ids!$A:$A,0),1)</f>
        <v>1113</v>
      </c>
    </row>
    <row r="4143" spans="1:21" hidden="1" x14ac:dyDescent="0.25">
      <c r="A4143">
        <v>13811.663</v>
      </c>
      <c r="B4143">
        <v>7240.2578000000003</v>
      </c>
      <c r="C4143">
        <v>25</v>
      </c>
      <c r="D4143" t="s">
        <v>815</v>
      </c>
      <c r="E4143" t="s">
        <v>427</v>
      </c>
      <c r="F4143">
        <v>1974</v>
      </c>
      <c r="G4143" s="1" t="s">
        <v>714</v>
      </c>
      <c r="H4143" s="1" t="s">
        <v>197</v>
      </c>
      <c r="I4143">
        <v>0</v>
      </c>
      <c r="J4143">
        <v>13811.6741</v>
      </c>
      <c r="K4143">
        <v>5.8199999999999997E-3</v>
      </c>
      <c r="L4143">
        <v>2.554E-2</v>
      </c>
      <c r="M4143">
        <v>4.87E-2</v>
      </c>
      <c r="N4143">
        <v>8.9200000000000002E-2</v>
      </c>
      <c r="O4143">
        <v>2.8039999999999999E-2</v>
      </c>
      <c r="P4143" s="3">
        <f t="shared" si="256"/>
        <v>7240.2577444873941</v>
      </c>
      <c r="Q4143" s="3">
        <f t="shared" si="257"/>
        <v>5.8187631984765176E-3</v>
      </c>
      <c r="R4143" s="3">
        <f t="shared" si="258"/>
        <v>2.554E-2</v>
      </c>
      <c r="S4143">
        <f t="shared" si="259"/>
        <v>141</v>
      </c>
      <c r="T4143">
        <f>INDEX([1]IDEN_level_ids!$B:$B,MATCH(G4143,[1]IDEN_level_ids!$A:$A,0),1)</f>
        <v>1248</v>
      </c>
      <c r="U4143">
        <f>INDEX([1]IDEN_level_ids!$B:$B,MATCH(H4143,[1]IDEN_level_ids!$A:$A,0),1)</f>
        <v>1182</v>
      </c>
    </row>
    <row r="4144" spans="1:21" hidden="1" x14ac:dyDescent="0.25">
      <c r="A4144">
        <v>13807.952600000001</v>
      </c>
      <c r="B4144">
        <v>7242.2033000000001</v>
      </c>
      <c r="C4144">
        <v>25</v>
      </c>
      <c r="D4144" t="s">
        <v>815</v>
      </c>
      <c r="F4144">
        <v>1974</v>
      </c>
      <c r="G4144" s="1" t="s">
        <v>335</v>
      </c>
      <c r="H4144" s="1" t="s">
        <v>259</v>
      </c>
      <c r="I4144">
        <v>0</v>
      </c>
      <c r="J4144">
        <v>13807.9702</v>
      </c>
      <c r="K4144">
        <v>9.1900000000000003E-3</v>
      </c>
      <c r="L4144">
        <v>2.4160000000000001E-2</v>
      </c>
      <c r="M4144">
        <v>4.6100000000000002E-2</v>
      </c>
      <c r="N4144">
        <v>0.2472</v>
      </c>
      <c r="O4144">
        <v>3.209E-2</v>
      </c>
      <c r="P4144" s="3">
        <f t="shared" si="256"/>
        <v>7242.2033082587495</v>
      </c>
      <c r="Q4144" s="3">
        <f t="shared" si="257"/>
        <v>9.2311017751853797E-3</v>
      </c>
      <c r="R4144" s="3">
        <f t="shared" si="258"/>
        <v>2.4160000000000001E-2</v>
      </c>
      <c r="S4144">
        <f t="shared" si="259"/>
        <v>141</v>
      </c>
      <c r="T4144">
        <f>INDEX([1]IDEN_level_ids!$B:$B,MATCH(G4144,[1]IDEN_level_ids!$A:$A,0),1)</f>
        <v>1174</v>
      </c>
      <c r="U4144">
        <f>INDEX([1]IDEN_level_ids!$B:$B,MATCH(H4144,[1]IDEN_level_ids!$A:$A,0),1)</f>
        <v>1117</v>
      </c>
    </row>
    <row r="4145" spans="1:21" hidden="1" x14ac:dyDescent="0.25">
      <c r="A4145">
        <v>13765.918799999999</v>
      </c>
      <c r="B4145">
        <v>7264.3172000000004</v>
      </c>
      <c r="C4145">
        <v>25</v>
      </c>
      <c r="D4145" t="s">
        <v>815</v>
      </c>
      <c r="E4145" t="s">
        <v>427</v>
      </c>
      <c r="F4145">
        <v>1974</v>
      </c>
      <c r="G4145" s="1" t="s">
        <v>339</v>
      </c>
      <c r="H4145" s="1" t="s">
        <v>289</v>
      </c>
      <c r="I4145">
        <v>0</v>
      </c>
      <c r="J4145">
        <v>13765.9233</v>
      </c>
      <c r="K4145">
        <v>2.4099999999999998E-3</v>
      </c>
      <c r="L4145">
        <v>2.571E-2</v>
      </c>
      <c r="M4145">
        <v>4.87E-2</v>
      </c>
      <c r="N4145">
        <v>0.1409</v>
      </c>
      <c r="O4145">
        <v>2.9929999999999998E-2</v>
      </c>
      <c r="P4145" s="3">
        <f t="shared" si="256"/>
        <v>7264.3171482313264</v>
      </c>
      <c r="Q4145" s="3">
        <f t="shared" si="257"/>
        <v>2.3746628876324394E-3</v>
      </c>
      <c r="R4145" s="3">
        <f t="shared" si="258"/>
        <v>2.571E-2</v>
      </c>
      <c r="S4145">
        <f t="shared" si="259"/>
        <v>141</v>
      </c>
      <c r="T4145">
        <f>INDEX([1]IDEN_level_ids!$B:$B,MATCH(G4145,[1]IDEN_level_ids!$A:$A,0),1)</f>
        <v>1189</v>
      </c>
      <c r="U4145">
        <f>INDEX([1]IDEN_level_ids!$B:$B,MATCH(H4145,[1]IDEN_level_ids!$A:$A,0),1)</f>
        <v>1122</v>
      </c>
    </row>
    <row r="4146" spans="1:21" hidden="1" x14ac:dyDescent="0.25">
      <c r="A4146">
        <v>13741.7232</v>
      </c>
      <c r="B4146">
        <v>7277.1076999999996</v>
      </c>
      <c r="C4146">
        <v>25</v>
      </c>
      <c r="D4146" t="s">
        <v>815</v>
      </c>
      <c r="E4146" t="s">
        <v>427</v>
      </c>
      <c r="F4146">
        <v>1974</v>
      </c>
      <c r="G4146" s="1" t="s">
        <v>64</v>
      </c>
      <c r="H4146" s="1" t="s">
        <v>108</v>
      </c>
      <c r="I4146">
        <v>0</v>
      </c>
      <c r="J4146">
        <v>13741.712</v>
      </c>
      <c r="K4146">
        <v>-5.9300000000000004E-3</v>
      </c>
      <c r="L4146">
        <v>2.58E-2</v>
      </c>
      <c r="M4146">
        <v>4.87E-2</v>
      </c>
      <c r="N4146">
        <v>0.13100000000000001</v>
      </c>
      <c r="O4146">
        <v>2.9700000000000001E-2</v>
      </c>
      <c r="P4146" s="3">
        <f t="shared" si="256"/>
        <v>7277.1077211044385</v>
      </c>
      <c r="Q4146" s="3">
        <f t="shared" si="257"/>
        <v>-5.9311100749255274E-3</v>
      </c>
      <c r="R4146" s="3">
        <f t="shared" si="258"/>
        <v>2.58E-2</v>
      </c>
      <c r="S4146">
        <f t="shared" si="259"/>
        <v>141</v>
      </c>
      <c r="T4146">
        <f>INDEX([1]IDEN_level_ids!$B:$B,MATCH(G4146,[1]IDEN_level_ids!$A:$A,0),1)</f>
        <v>1228</v>
      </c>
      <c r="U4146">
        <f>INDEX([1]IDEN_level_ids!$B:$B,MATCH(H4146,[1]IDEN_level_ids!$A:$A,0),1)</f>
        <v>1149</v>
      </c>
    </row>
    <row r="4147" spans="1:21" hidden="1" x14ac:dyDescent="0.25">
      <c r="A4147">
        <v>13716.6623</v>
      </c>
      <c r="B4147">
        <v>7290.4032999999999</v>
      </c>
      <c r="C4147">
        <v>25</v>
      </c>
      <c r="D4147" t="s">
        <v>815</v>
      </c>
      <c r="E4147" t="s">
        <v>427</v>
      </c>
      <c r="F4147">
        <v>1974</v>
      </c>
      <c r="G4147" s="1" t="s">
        <v>706</v>
      </c>
      <c r="H4147" s="1" t="s">
        <v>271</v>
      </c>
      <c r="I4147">
        <v>0</v>
      </c>
      <c r="J4147">
        <v>13716.6679</v>
      </c>
      <c r="K4147">
        <v>2.98E-3</v>
      </c>
      <c r="L4147">
        <v>2.5899999999999999E-2</v>
      </c>
      <c r="M4147">
        <v>4.87E-2</v>
      </c>
      <c r="N4147">
        <v>8.7900000000000006E-2</v>
      </c>
      <c r="O4147">
        <v>2.8389999999999999E-2</v>
      </c>
      <c r="P4147" s="3">
        <f t="shared" si="256"/>
        <v>7290.4032929351915</v>
      </c>
      <c r="Q4147" s="3">
        <f t="shared" si="257"/>
        <v>2.9763976745016407E-3</v>
      </c>
      <c r="R4147" s="3">
        <f t="shared" si="258"/>
        <v>2.5899999999999999E-2</v>
      </c>
      <c r="S4147">
        <f t="shared" si="259"/>
        <v>141</v>
      </c>
      <c r="T4147">
        <f>INDEX([1]IDEN_level_ids!$B:$B,MATCH(G4147,[1]IDEN_level_ids!$A:$A,0),1)</f>
        <v>1240</v>
      </c>
      <c r="U4147">
        <f>INDEX([1]IDEN_level_ids!$B:$B,MATCH(H4147,[1]IDEN_level_ids!$A:$A,0),1)</f>
        <v>1158</v>
      </c>
    </row>
    <row r="4148" spans="1:21" hidden="1" x14ac:dyDescent="0.25">
      <c r="A4148">
        <v>13648.0463</v>
      </c>
      <c r="B4148">
        <v>7327.0559999999996</v>
      </c>
      <c r="C4148">
        <v>25</v>
      </c>
      <c r="D4148" t="s">
        <v>815</v>
      </c>
      <c r="F4148">
        <v>1974</v>
      </c>
      <c r="G4148" s="1" t="s">
        <v>719</v>
      </c>
      <c r="H4148" s="1" t="s">
        <v>216</v>
      </c>
      <c r="I4148">
        <v>0</v>
      </c>
      <c r="J4148">
        <v>13648.0638</v>
      </c>
      <c r="K4148">
        <v>9.4000000000000004E-3</v>
      </c>
      <c r="L4148">
        <v>2.4729999999999999E-2</v>
      </c>
      <c r="M4148">
        <v>4.6100000000000002E-2</v>
      </c>
      <c r="N4148">
        <v>0.10680000000000001</v>
      </c>
      <c r="O4148">
        <v>2.7689999999999999E-2</v>
      </c>
      <c r="P4148" s="3">
        <f t="shared" si="256"/>
        <v>7327.0560343864017</v>
      </c>
      <c r="Q4148" s="3">
        <f t="shared" si="257"/>
        <v>9.3949942265680875E-3</v>
      </c>
      <c r="R4148" s="3">
        <f t="shared" si="258"/>
        <v>2.4729999999999999E-2</v>
      </c>
      <c r="S4148">
        <f t="shared" si="259"/>
        <v>141</v>
      </c>
      <c r="T4148">
        <f>INDEX([1]IDEN_level_ids!$B:$B,MATCH(G4148,[1]IDEN_level_ids!$A:$A,0),1)</f>
        <v>1244</v>
      </c>
      <c r="U4148">
        <f>INDEX([1]IDEN_level_ids!$B:$B,MATCH(H4148,[1]IDEN_level_ids!$A:$A,0),1)</f>
        <v>1170</v>
      </c>
    </row>
    <row r="4149" spans="1:21" hidden="1" x14ac:dyDescent="0.25">
      <c r="A4149">
        <v>13618.9419</v>
      </c>
      <c r="B4149">
        <v>7342.7143999999998</v>
      </c>
      <c r="C4149">
        <v>25</v>
      </c>
      <c r="D4149" t="s">
        <v>815</v>
      </c>
      <c r="E4149" t="s">
        <v>427</v>
      </c>
      <c r="F4149">
        <v>1974</v>
      </c>
      <c r="G4149" s="1" t="s">
        <v>714</v>
      </c>
      <c r="H4149" s="1" t="s">
        <v>166</v>
      </c>
      <c r="I4149">
        <v>0</v>
      </c>
      <c r="J4149">
        <v>13618.973099999999</v>
      </c>
      <c r="K4149">
        <v>1.686E-2</v>
      </c>
      <c r="L4149">
        <v>2.6270000000000002E-2</v>
      </c>
      <c r="M4149">
        <v>4.87E-2</v>
      </c>
      <c r="N4149">
        <v>8.8599999999999998E-2</v>
      </c>
      <c r="O4149">
        <v>2.8830000000000001E-2</v>
      </c>
      <c r="P4149" s="3">
        <f t="shared" si="256"/>
        <v>7342.714341119261</v>
      </c>
      <c r="Q4149" s="3">
        <f t="shared" si="257"/>
        <v>1.6821583077216928E-2</v>
      </c>
      <c r="R4149" s="3">
        <f t="shared" si="258"/>
        <v>2.6270000000000002E-2</v>
      </c>
      <c r="S4149">
        <f t="shared" si="259"/>
        <v>141</v>
      </c>
      <c r="T4149">
        <f>INDEX([1]IDEN_level_ids!$B:$B,MATCH(G4149,[1]IDEN_level_ids!$A:$A,0),1)</f>
        <v>1248</v>
      </c>
      <c r="U4149">
        <f>INDEX([1]IDEN_level_ids!$B:$B,MATCH(H4149,[1]IDEN_level_ids!$A:$A,0),1)</f>
        <v>1186</v>
      </c>
    </row>
    <row r="4150" spans="1:21" hidden="1" x14ac:dyDescent="0.25">
      <c r="A4150">
        <v>13613.363499999999</v>
      </c>
      <c r="B4150">
        <v>7345.7232000000004</v>
      </c>
      <c r="C4150">
        <v>25</v>
      </c>
      <c r="D4150" t="s">
        <v>815</v>
      </c>
      <c r="F4150">
        <v>1974</v>
      </c>
      <c r="G4150" s="1" t="s">
        <v>712</v>
      </c>
      <c r="H4150" s="1" t="s">
        <v>252</v>
      </c>
      <c r="I4150">
        <v>0</v>
      </c>
      <c r="J4150">
        <v>13613.352699999999</v>
      </c>
      <c r="K4150">
        <v>-5.8399999999999997E-3</v>
      </c>
      <c r="L4150">
        <v>2.486E-2</v>
      </c>
      <c r="M4150">
        <v>4.6100000000000002E-2</v>
      </c>
      <c r="N4150">
        <v>0.1079</v>
      </c>
      <c r="O4150">
        <v>2.7869999999999999E-2</v>
      </c>
      <c r="P4150" s="3">
        <f t="shared" si="256"/>
        <v>7345.7231932431687</v>
      </c>
      <c r="Q4150" s="3">
        <f t="shared" si="257"/>
        <v>-5.8276467407267774E-3</v>
      </c>
      <c r="R4150" s="3">
        <f t="shared" si="258"/>
        <v>2.486E-2</v>
      </c>
      <c r="S4150">
        <f t="shared" si="259"/>
        <v>141</v>
      </c>
      <c r="T4150">
        <f>INDEX([1]IDEN_level_ids!$B:$B,MATCH(G4150,[1]IDEN_level_ids!$A:$A,0),1)</f>
        <v>1247</v>
      </c>
      <c r="U4150">
        <f>INDEX([1]IDEN_level_ids!$B:$B,MATCH(H4150,[1]IDEN_level_ids!$A:$A,0),1)</f>
        <v>1188</v>
      </c>
    </row>
    <row r="4151" spans="1:21" hidden="1" x14ac:dyDescent="0.25">
      <c r="A4151">
        <v>13611.819600000001</v>
      </c>
      <c r="B4151">
        <v>7346.5564000000004</v>
      </c>
      <c r="C4151">
        <v>25</v>
      </c>
      <c r="D4151" t="s">
        <v>815</v>
      </c>
      <c r="F4151">
        <v>1974</v>
      </c>
      <c r="G4151" s="1" t="s">
        <v>710</v>
      </c>
      <c r="H4151" s="1" t="s">
        <v>71</v>
      </c>
      <c r="I4151">
        <v>0</v>
      </c>
      <c r="J4151">
        <v>13611.8439</v>
      </c>
      <c r="K4151">
        <v>1.3100000000000001E-2</v>
      </c>
      <c r="L4151">
        <v>2.486E-2</v>
      </c>
      <c r="M4151">
        <v>4.6100000000000002E-2</v>
      </c>
      <c r="N4151">
        <v>9.2100000000000001E-2</v>
      </c>
      <c r="O4151">
        <v>2.7390000000000001E-2</v>
      </c>
      <c r="P4151" s="3">
        <f t="shared" si="256"/>
        <v>7346.5563707588362</v>
      </c>
      <c r="Q4151" s="3">
        <f t="shared" si="257"/>
        <v>1.3115145980009402E-2</v>
      </c>
      <c r="R4151" s="3">
        <f t="shared" si="258"/>
        <v>2.486E-2</v>
      </c>
      <c r="S4151">
        <f t="shared" si="259"/>
        <v>141</v>
      </c>
      <c r="T4151">
        <f>INDEX([1]IDEN_level_ids!$B:$B,MATCH(G4151,[1]IDEN_level_ids!$A:$A,0),1)</f>
        <v>1246</v>
      </c>
      <c r="U4151">
        <f>INDEX([1]IDEN_level_ids!$B:$B,MATCH(H4151,[1]IDEN_level_ids!$A:$A,0),1)</f>
        <v>1179</v>
      </c>
    </row>
    <row r="4152" spans="1:21" hidden="1" x14ac:dyDescent="0.25">
      <c r="A4152">
        <v>13602.159600000001</v>
      </c>
      <c r="B4152">
        <v>7351.7737999999999</v>
      </c>
      <c r="C4152">
        <v>25</v>
      </c>
      <c r="D4152" t="s">
        <v>815</v>
      </c>
      <c r="F4152">
        <v>1974</v>
      </c>
      <c r="G4152" s="1" t="s">
        <v>710</v>
      </c>
      <c r="H4152" s="1" t="s">
        <v>207</v>
      </c>
      <c r="I4152">
        <v>0</v>
      </c>
      <c r="J4152">
        <v>13602.174999999999</v>
      </c>
      <c r="K4152">
        <v>8.3400000000000002E-3</v>
      </c>
      <c r="L4152">
        <v>2.4899999999999999E-2</v>
      </c>
      <c r="M4152">
        <v>4.6100000000000002E-2</v>
      </c>
      <c r="N4152">
        <v>9.2700000000000005E-2</v>
      </c>
      <c r="O4152">
        <v>2.7439999999999999E-2</v>
      </c>
      <c r="P4152" s="3">
        <f t="shared" si="256"/>
        <v>7351.7737580435387</v>
      </c>
      <c r="Q4152" s="3">
        <f t="shared" si="257"/>
        <v>8.3234714938953402E-3</v>
      </c>
      <c r="R4152" s="3">
        <f t="shared" si="258"/>
        <v>2.4899999999999999E-2</v>
      </c>
      <c r="S4152">
        <f t="shared" si="259"/>
        <v>141</v>
      </c>
      <c r="T4152">
        <f>INDEX([1]IDEN_level_ids!$B:$B,MATCH(G4152,[1]IDEN_level_ids!$A:$A,0),1)</f>
        <v>1246</v>
      </c>
      <c r="U4152">
        <f>INDEX([1]IDEN_level_ids!$B:$B,MATCH(H4152,[1]IDEN_level_ids!$A:$A,0),1)</f>
        <v>1177</v>
      </c>
    </row>
    <row r="4153" spans="1:21" hidden="1" x14ac:dyDescent="0.25">
      <c r="A4153">
        <v>13600.5718</v>
      </c>
      <c r="B4153">
        <v>7352.6319999999996</v>
      </c>
      <c r="C4153">
        <v>25</v>
      </c>
      <c r="D4153" t="s">
        <v>815</v>
      </c>
      <c r="E4153" t="s">
        <v>427</v>
      </c>
      <c r="F4153">
        <v>1974</v>
      </c>
      <c r="G4153" s="1" t="s">
        <v>729</v>
      </c>
      <c r="H4153" s="1" t="s">
        <v>245</v>
      </c>
      <c r="I4153">
        <v>0</v>
      </c>
      <c r="J4153">
        <v>13600.592000000001</v>
      </c>
      <c r="K4153">
        <v>1.0919999999999999E-2</v>
      </c>
      <c r="L4153">
        <v>2.6339999999999999E-2</v>
      </c>
      <c r="M4153">
        <v>4.87E-2</v>
      </c>
      <c r="N4153">
        <v>0.1113</v>
      </c>
      <c r="O4153">
        <v>2.964E-2</v>
      </c>
      <c r="P4153" s="3">
        <f t="shared" si="256"/>
        <v>7352.6320415440177</v>
      </c>
      <c r="Q4153" s="3">
        <f t="shared" si="257"/>
        <v>1.0920345764134254E-2</v>
      </c>
      <c r="R4153" s="3">
        <f t="shared" si="258"/>
        <v>2.6339999999999999E-2</v>
      </c>
      <c r="S4153">
        <f t="shared" si="259"/>
        <v>141</v>
      </c>
      <c r="T4153">
        <f>INDEX([1]IDEN_level_ids!$B:$B,MATCH(G4153,[1]IDEN_level_ids!$A:$A,0),1)</f>
        <v>1243</v>
      </c>
      <c r="U4153">
        <f>INDEX([1]IDEN_level_ids!$B:$B,MATCH(H4153,[1]IDEN_level_ids!$A:$A,0),1)</f>
        <v>1169</v>
      </c>
    </row>
    <row r="4154" spans="1:21" hidden="1" x14ac:dyDescent="0.25">
      <c r="A4154">
        <v>13595.2137</v>
      </c>
      <c r="B4154">
        <v>7355.5298000000003</v>
      </c>
      <c r="C4154">
        <v>25</v>
      </c>
      <c r="D4154" t="s">
        <v>815</v>
      </c>
      <c r="F4154">
        <v>1974</v>
      </c>
      <c r="G4154" s="1" t="s">
        <v>716</v>
      </c>
      <c r="H4154" s="1" t="s">
        <v>220</v>
      </c>
      <c r="I4154">
        <v>0</v>
      </c>
      <c r="J4154">
        <v>13595.242200000001</v>
      </c>
      <c r="K4154">
        <v>1.542E-2</v>
      </c>
      <c r="L4154">
        <v>2.4920000000000001E-2</v>
      </c>
      <c r="M4154">
        <v>4.6100000000000002E-2</v>
      </c>
      <c r="N4154">
        <v>0.23960000000000001</v>
      </c>
      <c r="O4154">
        <v>3.2779999999999997E-2</v>
      </c>
      <c r="P4154" s="3">
        <f t="shared" si="256"/>
        <v>7355.5298362099302</v>
      </c>
      <c r="Q4154" s="3">
        <f t="shared" si="257"/>
        <v>1.5419556139931956E-2</v>
      </c>
      <c r="R4154" s="3">
        <f t="shared" si="258"/>
        <v>2.4920000000000001E-2</v>
      </c>
      <c r="S4154">
        <f t="shared" si="259"/>
        <v>141</v>
      </c>
      <c r="T4154">
        <f>INDEX([1]IDEN_level_ids!$B:$B,MATCH(G4154,[1]IDEN_level_ids!$A:$A,0),1)</f>
        <v>1219</v>
      </c>
      <c r="U4154">
        <f>INDEX([1]IDEN_level_ids!$B:$B,MATCH(H4154,[1]IDEN_level_ids!$A:$A,0),1)</f>
        <v>1142</v>
      </c>
    </row>
    <row r="4155" spans="1:21" hidden="1" x14ac:dyDescent="0.25">
      <c r="A4155">
        <v>13591.496999999999</v>
      </c>
      <c r="B4155">
        <v>7357.5412999999999</v>
      </c>
      <c r="C4155">
        <v>25</v>
      </c>
      <c r="D4155" t="s">
        <v>815</v>
      </c>
      <c r="E4155" t="s">
        <v>427</v>
      </c>
      <c r="F4155">
        <v>1974</v>
      </c>
      <c r="G4155" s="1" t="s">
        <v>348</v>
      </c>
      <c r="H4155" s="1" t="s">
        <v>602</v>
      </c>
      <c r="I4155">
        <v>0</v>
      </c>
      <c r="J4155">
        <v>13591.54</v>
      </c>
      <c r="K4155">
        <v>2.3300000000000001E-2</v>
      </c>
      <c r="L4155">
        <v>2.6380000000000001E-2</v>
      </c>
      <c r="M4155">
        <v>4.87E-2</v>
      </c>
      <c r="N4155">
        <v>0.23930000000000001</v>
      </c>
      <c r="O4155">
        <v>3.4680000000000002E-2</v>
      </c>
      <c r="P4155" s="3">
        <f t="shared" si="256"/>
        <v>7357.5412627468486</v>
      </c>
      <c r="Q4155" s="3">
        <f t="shared" si="257"/>
        <v>2.3277294133549731E-2</v>
      </c>
      <c r="R4155" s="3">
        <f t="shared" si="258"/>
        <v>2.6380000000000001E-2</v>
      </c>
      <c r="S4155">
        <f t="shared" si="259"/>
        <v>141</v>
      </c>
      <c r="T4155">
        <f>INDEX([1]IDEN_level_ids!$B:$B,MATCH(G4155,[1]IDEN_level_ids!$A:$A,0),1)</f>
        <v>1190</v>
      </c>
      <c r="U4155">
        <f>INDEX([1]IDEN_level_ids!$B:$B,MATCH(H4155,[1]IDEN_level_ids!$A:$A,0),1)</f>
        <v>1125</v>
      </c>
    </row>
    <row r="4156" spans="1:21" hidden="1" x14ac:dyDescent="0.25">
      <c r="A4156">
        <v>13564.8488</v>
      </c>
      <c r="B4156">
        <v>7371.9952000000003</v>
      </c>
      <c r="C4156">
        <v>25</v>
      </c>
      <c r="D4156" t="s">
        <v>815</v>
      </c>
      <c r="E4156" t="s">
        <v>427</v>
      </c>
      <c r="F4156">
        <v>1974</v>
      </c>
      <c r="G4156" s="1" t="s">
        <v>706</v>
      </c>
      <c r="H4156" s="1" t="s">
        <v>265</v>
      </c>
      <c r="I4156">
        <v>0</v>
      </c>
      <c r="J4156">
        <v>13564.8526</v>
      </c>
      <c r="K4156">
        <v>2.0899999999999998E-3</v>
      </c>
      <c r="L4156">
        <v>2.648E-2</v>
      </c>
      <c r="M4156">
        <v>4.87E-2</v>
      </c>
      <c r="N4156">
        <v>0.1008</v>
      </c>
      <c r="O4156">
        <v>2.945E-2</v>
      </c>
      <c r="P4156" s="3">
        <f t="shared" si="256"/>
        <v>7371.9951821357572</v>
      </c>
      <c r="Q4156" s="3">
        <f t="shared" si="257"/>
        <v>2.0651593149523251E-3</v>
      </c>
      <c r="R4156" s="3">
        <f t="shared" si="258"/>
        <v>2.648E-2</v>
      </c>
      <c r="S4156">
        <f t="shared" si="259"/>
        <v>141</v>
      </c>
      <c r="T4156">
        <f>INDEX([1]IDEN_level_ids!$B:$B,MATCH(G4156,[1]IDEN_level_ids!$A:$A,0),1)</f>
        <v>1240</v>
      </c>
      <c r="U4156">
        <f>INDEX([1]IDEN_level_ids!$B:$B,MATCH(H4156,[1]IDEN_level_ids!$A:$A,0),1)</f>
        <v>1161</v>
      </c>
    </row>
    <row r="4157" spans="1:21" hidden="1" x14ac:dyDescent="0.25">
      <c r="A4157">
        <v>13541.1122</v>
      </c>
      <c r="B4157">
        <v>7384.9177</v>
      </c>
      <c r="C4157">
        <v>25</v>
      </c>
      <c r="D4157" t="s">
        <v>815</v>
      </c>
      <c r="F4157">
        <v>1974</v>
      </c>
      <c r="G4157" s="1" t="s">
        <v>351</v>
      </c>
      <c r="H4157" s="1" t="s">
        <v>134</v>
      </c>
      <c r="I4157">
        <v>0</v>
      </c>
      <c r="J4157">
        <v>13541.152</v>
      </c>
      <c r="K4157">
        <v>2.1669999999999998E-2</v>
      </c>
      <c r="L4157">
        <v>2.512E-2</v>
      </c>
      <c r="M4157">
        <v>4.6100000000000002E-2</v>
      </c>
      <c r="N4157">
        <v>0.31290000000000001</v>
      </c>
      <c r="O4157">
        <v>3.6560000000000002E-2</v>
      </c>
      <c r="P4157" s="3">
        <f t="shared" si="256"/>
        <v>7384.917761777353</v>
      </c>
      <c r="Q4157" s="3">
        <f t="shared" si="257"/>
        <v>2.1705666322304751E-2</v>
      </c>
      <c r="R4157" s="3">
        <f t="shared" si="258"/>
        <v>2.512E-2</v>
      </c>
      <c r="S4157">
        <f t="shared" si="259"/>
        <v>141</v>
      </c>
      <c r="T4157">
        <f>INDEX([1]IDEN_level_ids!$B:$B,MATCH(G4157,[1]IDEN_level_ids!$A:$A,0),1)</f>
        <v>1172</v>
      </c>
      <c r="U4157">
        <f>INDEX([1]IDEN_level_ids!$B:$B,MATCH(H4157,[1]IDEN_level_ids!$A:$A,0),1)</f>
        <v>1114</v>
      </c>
    </row>
    <row r="4158" spans="1:21" hidden="1" x14ac:dyDescent="0.25">
      <c r="A4158">
        <v>13513.720300000001</v>
      </c>
      <c r="B4158">
        <v>7399.8867</v>
      </c>
      <c r="C4158">
        <v>26</v>
      </c>
      <c r="D4158" t="s">
        <v>816</v>
      </c>
      <c r="F4158">
        <v>1974</v>
      </c>
      <c r="G4158" s="1" t="s">
        <v>712</v>
      </c>
      <c r="H4158" s="1" t="s">
        <v>166</v>
      </c>
      <c r="I4158">
        <v>0</v>
      </c>
      <c r="J4158">
        <v>13513.7039</v>
      </c>
      <c r="K4158">
        <v>-8.9999999999999993E-3</v>
      </c>
      <c r="L4158">
        <v>2.5229999999999999E-2</v>
      </c>
      <c r="M4158">
        <v>4.6100000000000002E-2</v>
      </c>
      <c r="N4158">
        <v>9.9599999999999994E-2</v>
      </c>
      <c r="O4158">
        <v>2.802E-2</v>
      </c>
      <c r="P4158" s="3">
        <f t="shared" si="256"/>
        <v>7399.8867654527376</v>
      </c>
      <c r="Q4158" s="3">
        <f t="shared" si="257"/>
        <v>-8.9803760574795888E-3</v>
      </c>
      <c r="R4158" s="3">
        <f t="shared" si="258"/>
        <v>2.5229999999999999E-2</v>
      </c>
      <c r="S4158">
        <f t="shared" si="259"/>
        <v>142</v>
      </c>
      <c r="T4158">
        <f>INDEX([1]IDEN_level_ids!$B:$B,MATCH(G4158,[1]IDEN_level_ids!$A:$A,0),1)</f>
        <v>1247</v>
      </c>
      <c r="U4158">
        <f>INDEX([1]IDEN_level_ids!$B:$B,MATCH(H4158,[1]IDEN_level_ids!$A:$A,0),1)</f>
        <v>1186</v>
      </c>
    </row>
    <row r="4159" spans="1:21" hidden="1" x14ac:dyDescent="0.25">
      <c r="A4159">
        <v>13510.999100000001</v>
      </c>
      <c r="B4159">
        <v>7401.3770999999997</v>
      </c>
      <c r="C4159">
        <v>26</v>
      </c>
      <c r="D4159" t="s">
        <v>816</v>
      </c>
      <c r="E4159" t="s">
        <v>427</v>
      </c>
      <c r="F4159">
        <v>1974</v>
      </c>
      <c r="G4159" s="1" t="s">
        <v>669</v>
      </c>
      <c r="H4159" s="1" t="s">
        <v>207</v>
      </c>
      <c r="I4159">
        <v>0</v>
      </c>
      <c r="J4159">
        <v>13510.972599999999</v>
      </c>
      <c r="K4159">
        <v>-1.453E-2</v>
      </c>
      <c r="L4159">
        <v>2.6689999999999998E-2</v>
      </c>
      <c r="M4159">
        <v>4.87E-2</v>
      </c>
      <c r="N4159">
        <v>0.1002</v>
      </c>
      <c r="O4159">
        <v>2.9669999999999998E-2</v>
      </c>
      <c r="P4159" s="3">
        <f t="shared" si="256"/>
        <v>7401.377149081447</v>
      </c>
      <c r="Q4159" s="3">
        <f t="shared" si="257"/>
        <v>-1.4516830155116622E-2</v>
      </c>
      <c r="R4159" s="3">
        <f t="shared" si="258"/>
        <v>2.6689999999999998E-2</v>
      </c>
      <c r="S4159">
        <f t="shared" si="259"/>
        <v>142</v>
      </c>
      <c r="T4159">
        <f>INDEX([1]IDEN_level_ids!$B:$B,MATCH(G4159,[1]IDEN_level_ids!$A:$A,0),1)</f>
        <v>1245</v>
      </c>
      <c r="U4159">
        <f>INDEX([1]IDEN_level_ids!$B:$B,MATCH(H4159,[1]IDEN_level_ids!$A:$A,0),1)</f>
        <v>1177</v>
      </c>
    </row>
    <row r="4160" spans="1:21" hidden="1" x14ac:dyDescent="0.25">
      <c r="A4160">
        <v>13461.630800000001</v>
      </c>
      <c r="B4160">
        <v>7428.5204999999996</v>
      </c>
      <c r="C4160">
        <v>26</v>
      </c>
      <c r="D4160" t="s">
        <v>816</v>
      </c>
      <c r="F4160">
        <v>1974</v>
      </c>
      <c r="G4160" s="1" t="s">
        <v>115</v>
      </c>
      <c r="H4160" s="1" t="s">
        <v>22</v>
      </c>
      <c r="I4160">
        <v>0</v>
      </c>
      <c r="J4160">
        <v>13461.6517</v>
      </c>
      <c r="K4160">
        <v>1.155E-2</v>
      </c>
      <c r="L4160">
        <v>2.5420000000000002E-2</v>
      </c>
      <c r="M4160">
        <v>4.6100000000000002E-2</v>
      </c>
      <c r="N4160">
        <v>0.1802</v>
      </c>
      <c r="O4160">
        <v>3.1009999999999999E-2</v>
      </c>
      <c r="P4160" s="3">
        <f t="shared" si="256"/>
        <v>7428.5204731658514</v>
      </c>
      <c r="Q4160" s="3">
        <f t="shared" si="257"/>
        <v>1.15332116256468E-2</v>
      </c>
      <c r="R4160" s="3">
        <f t="shared" si="258"/>
        <v>2.5420000000000002E-2</v>
      </c>
      <c r="S4160">
        <f t="shared" si="259"/>
        <v>142</v>
      </c>
      <c r="T4160">
        <f>INDEX([1]IDEN_level_ids!$B:$B,MATCH(G4160,[1]IDEN_level_ids!$A:$A,0),1)</f>
        <v>1252</v>
      </c>
      <c r="U4160">
        <f>INDEX([1]IDEN_level_ids!$B:$B,MATCH(H4160,[1]IDEN_level_ids!$A:$A,0),1)</f>
        <v>1236</v>
      </c>
    </row>
    <row r="4161" spans="1:21" hidden="1" x14ac:dyDescent="0.25">
      <c r="A4161">
        <v>13456.959500000001</v>
      </c>
      <c r="B4161">
        <v>7431.0991000000004</v>
      </c>
      <c r="C4161">
        <v>26</v>
      </c>
      <c r="D4161" t="s">
        <v>816</v>
      </c>
      <c r="F4161">
        <v>1974</v>
      </c>
      <c r="G4161" s="1" t="s">
        <v>351</v>
      </c>
      <c r="H4161" s="1" t="s">
        <v>262</v>
      </c>
      <c r="I4161">
        <v>0</v>
      </c>
      <c r="J4161">
        <v>13456.962</v>
      </c>
      <c r="K4161">
        <v>1.39E-3</v>
      </c>
      <c r="L4161">
        <v>2.5440000000000001E-2</v>
      </c>
      <c r="M4161">
        <v>4.6100000000000002E-2</v>
      </c>
      <c r="N4161">
        <v>0.30640000000000001</v>
      </c>
      <c r="O4161">
        <v>3.6679999999999997E-2</v>
      </c>
      <c r="P4161" s="3">
        <f t="shared" si="256"/>
        <v>7431.0991275555216</v>
      </c>
      <c r="Q4161" s="3">
        <f t="shared" si="257"/>
        <v>1.3805305989080807E-3</v>
      </c>
      <c r="R4161" s="3">
        <f t="shared" si="258"/>
        <v>2.5440000000000001E-2</v>
      </c>
      <c r="S4161">
        <f t="shared" si="259"/>
        <v>142</v>
      </c>
      <c r="T4161">
        <f>INDEX([1]IDEN_level_ids!$B:$B,MATCH(G4161,[1]IDEN_level_ids!$A:$A,0),1)</f>
        <v>1172</v>
      </c>
      <c r="U4161">
        <f>INDEX([1]IDEN_level_ids!$B:$B,MATCH(H4161,[1]IDEN_level_ids!$A:$A,0),1)</f>
        <v>1115</v>
      </c>
    </row>
    <row r="4162" spans="1:21" hidden="1" x14ac:dyDescent="0.25">
      <c r="A4162">
        <v>13426.872600000001</v>
      </c>
      <c r="B4162">
        <v>7447.7506999999996</v>
      </c>
      <c r="C4162">
        <v>26</v>
      </c>
      <c r="D4162" t="s">
        <v>816</v>
      </c>
      <c r="E4162" t="s">
        <v>427</v>
      </c>
      <c r="F4162">
        <v>1974</v>
      </c>
      <c r="G4162" s="1" t="s">
        <v>346</v>
      </c>
      <c r="H4162" s="1" t="s">
        <v>278</v>
      </c>
      <c r="I4162">
        <v>0</v>
      </c>
      <c r="J4162">
        <v>13426.839400000001</v>
      </c>
      <c r="K4162">
        <v>-1.8419999999999999E-2</v>
      </c>
      <c r="L4162">
        <v>2.7029999999999998E-2</v>
      </c>
      <c r="M4162">
        <v>4.87E-2</v>
      </c>
      <c r="N4162">
        <v>0.19869999999999999</v>
      </c>
      <c r="O4162">
        <v>3.3730000000000003E-2</v>
      </c>
      <c r="P4162" s="3">
        <f t="shared" ref="P4162:P4225" si="260">100000000/$A4162</f>
        <v>7447.7507144887932</v>
      </c>
      <c r="Q4162" s="3">
        <f t="shared" ref="Q4162:Q4225" si="261">100000000/($A4162)-100000000/$J4162</f>
        <v>-1.8415750449094048E-2</v>
      </c>
      <c r="R4162" s="3">
        <f t="shared" si="258"/>
        <v>2.7029999999999998E-2</v>
      </c>
      <c r="S4162">
        <f t="shared" si="259"/>
        <v>142</v>
      </c>
      <c r="T4162">
        <f>INDEX([1]IDEN_level_ids!$B:$B,MATCH(G4162,[1]IDEN_level_ids!$A:$A,0),1)</f>
        <v>1159</v>
      </c>
      <c r="U4162">
        <f>INDEX([1]IDEN_level_ids!$B:$B,MATCH(H4162,[1]IDEN_level_ids!$A:$A,0),1)</f>
        <v>1102</v>
      </c>
    </row>
    <row r="4163" spans="1:21" hidden="1" x14ac:dyDescent="0.25">
      <c r="A4163">
        <v>13413.6423</v>
      </c>
      <c r="B4163">
        <v>7455.0967000000001</v>
      </c>
      <c r="C4163">
        <v>26</v>
      </c>
      <c r="D4163" t="s">
        <v>816</v>
      </c>
      <c r="F4163">
        <v>1974</v>
      </c>
      <c r="G4163" s="1" t="s">
        <v>369</v>
      </c>
      <c r="H4163" s="1" t="s">
        <v>186</v>
      </c>
      <c r="I4163">
        <v>0</v>
      </c>
      <c r="J4163">
        <v>13413.6145</v>
      </c>
      <c r="K4163">
        <v>-1.545E-2</v>
      </c>
      <c r="L4163">
        <v>2.5600000000000001E-2</v>
      </c>
      <c r="M4163">
        <v>4.6100000000000002E-2</v>
      </c>
      <c r="N4163">
        <v>0.25769999999999998</v>
      </c>
      <c r="O4163">
        <v>3.449E-2</v>
      </c>
      <c r="P4163" s="3">
        <f t="shared" si="260"/>
        <v>7455.0966667718585</v>
      </c>
      <c r="Q4163" s="3">
        <f t="shared" si="261"/>
        <v>-1.5450845656232559E-2</v>
      </c>
      <c r="R4163" s="3">
        <f t="shared" ref="R4163:R4226" si="262">$L4163</f>
        <v>2.5600000000000001E-2</v>
      </c>
      <c r="S4163">
        <f t="shared" si="259"/>
        <v>142</v>
      </c>
      <c r="T4163">
        <f>INDEX([1]IDEN_level_ids!$B:$B,MATCH(G4163,[1]IDEN_level_ids!$A:$A,0),1)</f>
        <v>884</v>
      </c>
      <c r="U4163">
        <f>INDEX([1]IDEN_level_ids!$B:$B,MATCH(H4163,[1]IDEN_level_ids!$A:$A,0),1)</f>
        <v>768</v>
      </c>
    </row>
    <row r="4164" spans="1:21" hidden="1" x14ac:dyDescent="0.25">
      <c r="A4164">
        <v>13409.3388</v>
      </c>
      <c r="B4164">
        <v>7457.4892</v>
      </c>
      <c r="C4164">
        <v>26</v>
      </c>
      <c r="D4164" t="s">
        <v>816</v>
      </c>
      <c r="E4164" t="s">
        <v>427</v>
      </c>
      <c r="F4164">
        <v>1974</v>
      </c>
      <c r="G4164" s="1" t="s">
        <v>714</v>
      </c>
      <c r="H4164" s="1" t="s">
        <v>194</v>
      </c>
      <c r="I4164">
        <v>0</v>
      </c>
      <c r="J4164">
        <v>13409.327499999999</v>
      </c>
      <c r="K4164">
        <v>-6.3E-3</v>
      </c>
      <c r="L4164">
        <v>2.7099999999999999E-2</v>
      </c>
      <c r="M4164">
        <v>4.87E-2</v>
      </c>
      <c r="N4164">
        <v>0.1027</v>
      </c>
      <c r="O4164">
        <v>3.0200000000000001E-2</v>
      </c>
      <c r="P4164" s="3">
        <f t="shared" si="260"/>
        <v>7457.4892536834104</v>
      </c>
      <c r="Q4164" s="3">
        <f t="shared" si="261"/>
        <v>-6.2844037911418127E-3</v>
      </c>
      <c r="R4164" s="3">
        <f t="shared" si="262"/>
        <v>2.7099999999999999E-2</v>
      </c>
      <c r="S4164">
        <f t="shared" ref="S4164:S4227" si="263">IF(D4164=D4163,S4163,S4163+1)</f>
        <v>142</v>
      </c>
      <c r="T4164">
        <f>INDEX([1]IDEN_level_ids!$B:$B,MATCH(G4164,[1]IDEN_level_ids!$A:$A,0),1)</f>
        <v>1248</v>
      </c>
      <c r="U4164">
        <f>INDEX([1]IDEN_level_ids!$B:$B,MATCH(H4164,[1]IDEN_level_ids!$A:$A,0),1)</f>
        <v>1187</v>
      </c>
    </row>
    <row r="4165" spans="1:21" hidden="1" x14ac:dyDescent="0.25">
      <c r="A4165">
        <v>13406.3339</v>
      </c>
      <c r="B4165">
        <v>7459.1607999999997</v>
      </c>
      <c r="C4165">
        <v>26</v>
      </c>
      <c r="D4165" t="s">
        <v>816</v>
      </c>
      <c r="F4165">
        <v>1974</v>
      </c>
      <c r="G4165" s="1" t="s">
        <v>339</v>
      </c>
      <c r="H4165" s="1" t="s">
        <v>334</v>
      </c>
      <c r="I4165">
        <v>0</v>
      </c>
      <c r="J4165">
        <v>13406.2942</v>
      </c>
      <c r="K4165">
        <v>-2.205E-2</v>
      </c>
      <c r="L4165">
        <v>2.563E-2</v>
      </c>
      <c r="M4165">
        <v>4.6100000000000002E-2</v>
      </c>
      <c r="N4165">
        <v>0.15690000000000001</v>
      </c>
      <c r="O4165">
        <v>3.04E-2</v>
      </c>
      <c r="P4165" s="3">
        <f t="shared" si="260"/>
        <v>7459.1607777276085</v>
      </c>
      <c r="Q4165" s="3">
        <f t="shared" si="261"/>
        <v>-2.2088779975092621E-2</v>
      </c>
      <c r="R4165" s="3">
        <f t="shared" si="262"/>
        <v>2.563E-2</v>
      </c>
      <c r="S4165">
        <f t="shared" si="263"/>
        <v>142</v>
      </c>
      <c r="T4165">
        <f>INDEX([1]IDEN_level_ids!$B:$B,MATCH(G4165,[1]IDEN_level_ids!$A:$A,0),1)</f>
        <v>1189</v>
      </c>
      <c r="U4165">
        <f>INDEX([1]IDEN_level_ids!$B:$B,MATCH(H4165,[1]IDEN_level_ids!$A:$A,0),1)</f>
        <v>1124</v>
      </c>
    </row>
    <row r="4166" spans="1:21" hidden="1" x14ac:dyDescent="0.25">
      <c r="A4166">
        <v>13394.649600000001</v>
      </c>
      <c r="B4166">
        <v>7465.6674999999996</v>
      </c>
      <c r="C4166">
        <v>26</v>
      </c>
      <c r="D4166" t="s">
        <v>816</v>
      </c>
      <c r="F4166">
        <v>1974</v>
      </c>
      <c r="G4166" s="1" t="s">
        <v>712</v>
      </c>
      <c r="H4166" s="1" t="s">
        <v>180</v>
      </c>
      <c r="I4166">
        <v>0</v>
      </c>
      <c r="J4166">
        <v>13394.6687</v>
      </c>
      <c r="K4166">
        <v>1.065E-2</v>
      </c>
      <c r="L4166">
        <v>2.5680000000000001E-2</v>
      </c>
      <c r="M4166">
        <v>4.6100000000000002E-2</v>
      </c>
      <c r="N4166">
        <v>0.11219999999999999</v>
      </c>
      <c r="O4166">
        <v>2.8920000000000001E-2</v>
      </c>
      <c r="P4166" s="3">
        <f t="shared" si="260"/>
        <v>7465.6674856205273</v>
      </c>
      <c r="Q4166" s="3">
        <f t="shared" si="261"/>
        <v>1.0645597301845555E-2</v>
      </c>
      <c r="R4166" s="3">
        <f t="shared" si="262"/>
        <v>2.5680000000000001E-2</v>
      </c>
      <c r="S4166">
        <f t="shared" si="263"/>
        <v>142</v>
      </c>
      <c r="T4166">
        <f>INDEX([1]IDEN_level_ids!$B:$B,MATCH(G4166,[1]IDEN_level_ids!$A:$A,0),1)</f>
        <v>1247</v>
      </c>
      <c r="U4166">
        <f>INDEX([1]IDEN_level_ids!$B:$B,MATCH(H4166,[1]IDEN_level_ids!$A:$A,0),1)</f>
        <v>1184</v>
      </c>
    </row>
    <row r="4167" spans="1:21" hidden="1" x14ac:dyDescent="0.25">
      <c r="A4167">
        <v>13394.021500000001</v>
      </c>
      <c r="B4167">
        <v>7466.0176000000001</v>
      </c>
      <c r="C4167">
        <v>26</v>
      </c>
      <c r="D4167" t="s">
        <v>816</v>
      </c>
      <c r="F4167">
        <v>1974</v>
      </c>
      <c r="G4167" s="1" t="s">
        <v>324</v>
      </c>
      <c r="H4167" s="1" t="s">
        <v>134</v>
      </c>
      <c r="I4167">
        <v>0</v>
      </c>
      <c r="J4167">
        <v>13394.0095</v>
      </c>
      <c r="K4167">
        <v>-6.6499999999999997E-3</v>
      </c>
      <c r="L4167">
        <v>2.5680000000000001E-2</v>
      </c>
      <c r="M4167">
        <v>4.6100000000000002E-2</v>
      </c>
      <c r="N4167">
        <v>0.27439999999999998</v>
      </c>
      <c r="O4167">
        <v>3.5389999999999998E-2</v>
      </c>
      <c r="P4167" s="3">
        <f t="shared" si="260"/>
        <v>7466.0175810528599</v>
      </c>
      <c r="Q4167" s="3">
        <f t="shared" si="261"/>
        <v>-6.6889762156279176E-3</v>
      </c>
      <c r="R4167" s="3">
        <f t="shared" si="262"/>
        <v>2.5680000000000001E-2</v>
      </c>
      <c r="S4167">
        <f t="shared" si="263"/>
        <v>142</v>
      </c>
      <c r="T4167">
        <f>INDEX([1]IDEN_level_ids!$B:$B,MATCH(G4167,[1]IDEN_level_ids!$A:$A,0),1)</f>
        <v>1171</v>
      </c>
      <c r="U4167">
        <f>INDEX([1]IDEN_level_ids!$B:$B,MATCH(H4167,[1]IDEN_level_ids!$A:$A,0),1)</f>
        <v>1114</v>
      </c>
    </row>
    <row r="4168" spans="1:21" hidden="1" x14ac:dyDescent="0.25">
      <c r="A4168">
        <v>13367.090399999999</v>
      </c>
      <c r="B4168">
        <v>7481.0595999999996</v>
      </c>
      <c r="C4168">
        <v>26</v>
      </c>
      <c r="D4168" t="s">
        <v>816</v>
      </c>
      <c r="E4168" t="s">
        <v>427</v>
      </c>
      <c r="F4168">
        <v>1974</v>
      </c>
      <c r="G4168" s="1" t="s">
        <v>636</v>
      </c>
      <c r="H4168" s="1" t="s">
        <v>215</v>
      </c>
      <c r="I4168">
        <v>0</v>
      </c>
      <c r="J4168">
        <v>13367.059300000001</v>
      </c>
      <c r="K4168">
        <v>-1.737E-2</v>
      </c>
      <c r="L4168">
        <v>2.7269999999999999E-2</v>
      </c>
      <c r="M4168">
        <v>4.87E-2</v>
      </c>
      <c r="N4168">
        <v>0.48559999999999998</v>
      </c>
      <c r="O4168">
        <v>5.3010000000000002E-2</v>
      </c>
      <c r="P4168" s="3">
        <f t="shared" si="260"/>
        <v>7481.0596029185235</v>
      </c>
      <c r="Q4168" s="3">
        <f t="shared" si="261"/>
        <v>-1.7405545109795639E-2</v>
      </c>
      <c r="R4168" s="3">
        <f t="shared" si="262"/>
        <v>2.7269999999999999E-2</v>
      </c>
      <c r="S4168">
        <f t="shared" si="263"/>
        <v>142</v>
      </c>
      <c r="T4168">
        <f>INDEX([1]IDEN_level_ids!$B:$B,MATCH(G4168,[1]IDEN_level_ids!$A:$A,0),1)</f>
        <v>868</v>
      </c>
      <c r="U4168">
        <f>INDEX([1]IDEN_level_ids!$B:$B,MATCH(H4168,[1]IDEN_level_ids!$A:$A,0),1)</f>
        <v>699</v>
      </c>
    </row>
    <row r="4169" spans="1:21" hidden="1" x14ac:dyDescent="0.25">
      <c r="A4169">
        <v>13352.0995</v>
      </c>
      <c r="B4169">
        <v>7489.4588999999996</v>
      </c>
      <c r="C4169">
        <v>26</v>
      </c>
      <c r="D4169" t="s">
        <v>816</v>
      </c>
      <c r="F4169">
        <v>1974</v>
      </c>
      <c r="G4169" s="1" t="s">
        <v>125</v>
      </c>
      <c r="H4169" s="1" t="s">
        <v>24</v>
      </c>
      <c r="I4169">
        <v>0</v>
      </c>
      <c r="J4169">
        <v>13352.0749</v>
      </c>
      <c r="K4169">
        <v>-1.3769999999999999E-2</v>
      </c>
      <c r="L4169">
        <v>2.5839999999999998E-2</v>
      </c>
      <c r="M4169">
        <v>4.6100000000000002E-2</v>
      </c>
      <c r="N4169">
        <v>0.44059999999999999</v>
      </c>
      <c r="O4169">
        <v>4.6190000000000002E-2</v>
      </c>
      <c r="P4169" s="3">
        <f t="shared" si="260"/>
        <v>7489.4588674987026</v>
      </c>
      <c r="Q4169" s="3">
        <f t="shared" si="261"/>
        <v>-1.3798655979371688E-2</v>
      </c>
      <c r="R4169" s="3">
        <f t="shared" si="262"/>
        <v>2.5839999999999998E-2</v>
      </c>
      <c r="S4169">
        <f t="shared" si="263"/>
        <v>142</v>
      </c>
      <c r="T4169">
        <f>INDEX([1]IDEN_level_ids!$B:$B,MATCH(G4169,[1]IDEN_level_ids!$A:$A,0),1)</f>
        <v>1253</v>
      </c>
      <c r="U4169">
        <f>INDEX([1]IDEN_level_ids!$B:$B,MATCH(H4169,[1]IDEN_level_ids!$A:$A,0),1)</f>
        <v>1241</v>
      </c>
    </row>
    <row r="4170" spans="1:21" hidden="1" x14ac:dyDescent="0.25">
      <c r="A4170">
        <v>13341.7592</v>
      </c>
      <c r="B4170">
        <v>7495.2633999999998</v>
      </c>
      <c r="C4170">
        <v>26</v>
      </c>
      <c r="D4170" t="s">
        <v>816</v>
      </c>
      <c r="F4170">
        <v>1974</v>
      </c>
      <c r="G4170" s="1" t="s">
        <v>724</v>
      </c>
      <c r="H4170" s="1" t="s">
        <v>269</v>
      </c>
      <c r="I4170">
        <v>0</v>
      </c>
      <c r="J4170">
        <v>13341.740100000001</v>
      </c>
      <c r="K4170">
        <v>-1.0749999999999999E-2</v>
      </c>
      <c r="L4170">
        <v>2.588E-2</v>
      </c>
      <c r="M4170">
        <v>4.6100000000000002E-2</v>
      </c>
      <c r="N4170">
        <v>0.2752</v>
      </c>
      <c r="O4170">
        <v>3.5709999999999999E-2</v>
      </c>
      <c r="P4170" s="3">
        <f t="shared" si="260"/>
        <v>7495.2634432196919</v>
      </c>
      <c r="Q4170" s="3">
        <f t="shared" si="261"/>
        <v>-1.0730199410318164E-2</v>
      </c>
      <c r="R4170" s="3">
        <f t="shared" si="262"/>
        <v>2.588E-2</v>
      </c>
      <c r="S4170">
        <f t="shared" si="263"/>
        <v>142</v>
      </c>
      <c r="T4170">
        <f>INDEX([1]IDEN_level_ids!$B:$B,MATCH(G4170,[1]IDEN_level_ids!$A:$A,0),1)</f>
        <v>1206</v>
      </c>
      <c r="U4170">
        <f>INDEX([1]IDEN_level_ids!$B:$B,MATCH(H4170,[1]IDEN_level_ids!$A:$A,0),1)</f>
        <v>1137</v>
      </c>
    </row>
    <row r="4171" spans="1:21" hidden="1" x14ac:dyDescent="0.25">
      <c r="A4171">
        <v>13318.337</v>
      </c>
      <c r="B4171">
        <v>7508.4449999999997</v>
      </c>
      <c r="C4171">
        <v>26</v>
      </c>
      <c r="D4171" t="s">
        <v>817</v>
      </c>
      <c r="E4171" t="s">
        <v>45</v>
      </c>
      <c r="F4171">
        <v>1974</v>
      </c>
      <c r="G4171" s="1" t="s">
        <v>336</v>
      </c>
      <c r="H4171" s="1" t="s">
        <v>142</v>
      </c>
      <c r="I4171">
        <v>0</v>
      </c>
      <c r="J4171">
        <v>13318.310600000001</v>
      </c>
      <c r="K4171">
        <v>-1.4840000000000001E-2</v>
      </c>
      <c r="L4171">
        <v>1.3299999999999999E-2</v>
      </c>
      <c r="M4171">
        <v>2.3599999999999999E-2</v>
      </c>
      <c r="N4171">
        <v>0.95099999999999996</v>
      </c>
      <c r="O4171">
        <v>0.27167999999999998</v>
      </c>
      <c r="P4171" s="3">
        <f t="shared" si="260"/>
        <v>7508.4449357303392</v>
      </c>
      <c r="Q4171" s="3">
        <f t="shared" si="261"/>
        <v>-1.4883490275678923E-2</v>
      </c>
      <c r="R4171" s="3">
        <f t="shared" si="262"/>
        <v>1.3299999999999999E-2</v>
      </c>
      <c r="S4171">
        <f t="shared" si="263"/>
        <v>143</v>
      </c>
      <c r="T4171">
        <f>INDEX([1]IDEN_level_ids!$B:$B,MATCH(G4171,[1]IDEN_level_ids!$A:$A,0),1)</f>
        <v>861</v>
      </c>
      <c r="U4171">
        <f>INDEX([1]IDEN_level_ids!$B:$B,MATCH(H4171,[1]IDEN_level_ids!$A:$A,0),1)</f>
        <v>682</v>
      </c>
    </row>
    <row r="4172" spans="1:21" hidden="1" x14ac:dyDescent="0.25">
      <c r="A4172">
        <v>13309.838299999999</v>
      </c>
      <c r="B4172">
        <v>7513.2393000000002</v>
      </c>
      <c r="C4172">
        <v>26</v>
      </c>
      <c r="D4172" t="s">
        <v>817</v>
      </c>
      <c r="F4172">
        <v>1974</v>
      </c>
      <c r="G4172" s="1" t="s">
        <v>324</v>
      </c>
      <c r="H4172" s="1" t="s">
        <v>262</v>
      </c>
      <c r="I4172">
        <v>0</v>
      </c>
      <c r="J4172">
        <v>13309.819600000001</v>
      </c>
      <c r="K4172">
        <v>-1.059E-2</v>
      </c>
      <c r="L4172">
        <v>2.5999999999999999E-2</v>
      </c>
      <c r="M4172">
        <v>4.6100000000000002E-2</v>
      </c>
      <c r="N4172">
        <v>0.2505</v>
      </c>
      <c r="O4172">
        <v>3.4689999999999999E-2</v>
      </c>
      <c r="P4172" s="3">
        <f t="shared" si="260"/>
        <v>7513.2392855591643</v>
      </c>
      <c r="Q4172" s="3">
        <f t="shared" si="261"/>
        <v>-1.0555933803516382E-2</v>
      </c>
      <c r="R4172" s="3">
        <f t="shared" si="262"/>
        <v>2.5999999999999999E-2</v>
      </c>
      <c r="S4172">
        <f t="shared" si="263"/>
        <v>143</v>
      </c>
      <c r="T4172">
        <f>INDEX([1]IDEN_level_ids!$B:$B,MATCH(G4172,[1]IDEN_level_ids!$A:$A,0),1)</f>
        <v>1171</v>
      </c>
      <c r="U4172">
        <f>INDEX([1]IDEN_level_ids!$B:$B,MATCH(H4172,[1]IDEN_level_ids!$A:$A,0),1)</f>
        <v>1115</v>
      </c>
    </row>
    <row r="4173" spans="1:21" hidden="1" x14ac:dyDescent="0.25">
      <c r="A4173">
        <v>13300.4833</v>
      </c>
      <c r="B4173">
        <v>7518.5237999999999</v>
      </c>
      <c r="C4173">
        <v>26</v>
      </c>
      <c r="D4173" t="s">
        <v>817</v>
      </c>
      <c r="E4173" t="s">
        <v>681</v>
      </c>
      <c r="F4173">
        <v>1974</v>
      </c>
      <c r="G4173" s="1" t="s">
        <v>669</v>
      </c>
      <c r="H4173" s="1" t="s">
        <v>283</v>
      </c>
      <c r="I4173">
        <v>0</v>
      </c>
      <c r="J4173">
        <v>13300.334500000001</v>
      </c>
      <c r="K4173">
        <v>-8.4089999999999998E-2</v>
      </c>
      <c r="L4173">
        <v>4.5400000000000003E-2</v>
      </c>
      <c r="M4173">
        <v>8.0299999999999996E-2</v>
      </c>
      <c r="N4173">
        <v>5.5E-2</v>
      </c>
      <c r="O4173">
        <v>4.8039999999999999E-2</v>
      </c>
      <c r="P4173" s="3">
        <f t="shared" si="260"/>
        <v>7518.5237817636298</v>
      </c>
      <c r="Q4173" s="3">
        <f t="shared" si="261"/>
        <v>-8.4114902427245397E-2</v>
      </c>
      <c r="R4173" s="3">
        <f t="shared" si="262"/>
        <v>4.5400000000000003E-2</v>
      </c>
      <c r="S4173">
        <f t="shared" si="263"/>
        <v>143</v>
      </c>
      <c r="T4173">
        <f>INDEX([1]IDEN_level_ids!$B:$B,MATCH(G4173,[1]IDEN_level_ids!$A:$A,0),1)</f>
        <v>1245</v>
      </c>
      <c r="U4173">
        <f>INDEX([1]IDEN_level_ids!$B:$B,MATCH(H4173,[1]IDEN_level_ids!$A:$A,0),1)</f>
        <v>1178</v>
      </c>
    </row>
    <row r="4174" spans="1:21" hidden="1" x14ac:dyDescent="0.25">
      <c r="A4174">
        <v>13284.289199999999</v>
      </c>
      <c r="B4174">
        <v>7527.6891999999998</v>
      </c>
      <c r="C4174">
        <v>26</v>
      </c>
      <c r="D4174" t="s">
        <v>817</v>
      </c>
      <c r="E4174" t="s">
        <v>427</v>
      </c>
      <c r="F4174">
        <v>1974</v>
      </c>
      <c r="G4174" s="1" t="s">
        <v>794</v>
      </c>
      <c r="H4174" s="1" t="s">
        <v>345</v>
      </c>
      <c r="I4174">
        <v>0</v>
      </c>
      <c r="J4174">
        <v>13284.273499999999</v>
      </c>
      <c r="K4174">
        <v>-8.8999999999999999E-3</v>
      </c>
      <c r="L4174">
        <v>2.7609999999999999E-2</v>
      </c>
      <c r="M4174">
        <v>4.87E-2</v>
      </c>
      <c r="N4174">
        <v>0.17560000000000001</v>
      </c>
      <c r="O4174">
        <v>3.3500000000000002E-2</v>
      </c>
      <c r="P4174" s="3">
        <f t="shared" si="260"/>
        <v>7527.6891743669657</v>
      </c>
      <c r="Q4174" s="3">
        <f t="shared" si="261"/>
        <v>-8.896588890820567E-3</v>
      </c>
      <c r="R4174" s="3">
        <f t="shared" si="262"/>
        <v>2.7609999999999999E-2</v>
      </c>
      <c r="S4174">
        <f t="shared" si="263"/>
        <v>143</v>
      </c>
      <c r="T4174">
        <f>INDEX([1]IDEN_level_ids!$B:$B,MATCH(G4174,[1]IDEN_level_ids!$A:$A,0),1)</f>
        <v>1164</v>
      </c>
      <c r="U4174">
        <f>INDEX([1]IDEN_level_ids!$B:$B,MATCH(H4174,[1]IDEN_level_ids!$A:$A,0),1)</f>
        <v>1106</v>
      </c>
    </row>
    <row r="4175" spans="1:21" hidden="1" x14ac:dyDescent="0.25">
      <c r="A4175">
        <v>13278.1209</v>
      </c>
      <c r="B4175">
        <v>7531.1862000000001</v>
      </c>
      <c r="C4175">
        <v>26</v>
      </c>
      <c r="D4175" t="s">
        <v>817</v>
      </c>
      <c r="F4175">
        <v>1974</v>
      </c>
      <c r="G4175" s="1" t="s">
        <v>88</v>
      </c>
      <c r="H4175" s="1" t="s">
        <v>272</v>
      </c>
      <c r="I4175">
        <v>0</v>
      </c>
      <c r="J4175">
        <v>13278.1037</v>
      </c>
      <c r="K4175">
        <v>-9.75E-3</v>
      </c>
      <c r="L4175">
        <v>2.613E-2</v>
      </c>
      <c r="M4175">
        <v>4.6100000000000002E-2</v>
      </c>
      <c r="N4175">
        <v>0.41639999999999999</v>
      </c>
      <c r="O4175">
        <v>4.4769999999999997E-2</v>
      </c>
      <c r="P4175" s="3">
        <f t="shared" si="260"/>
        <v>7531.1861334234427</v>
      </c>
      <c r="Q4175" s="3">
        <f t="shared" si="261"/>
        <v>-9.7556401442489005E-3</v>
      </c>
      <c r="R4175" s="3">
        <f t="shared" si="262"/>
        <v>2.613E-2</v>
      </c>
      <c r="S4175">
        <f t="shared" si="263"/>
        <v>143</v>
      </c>
      <c r="T4175">
        <f>INDEX([1]IDEN_level_ids!$B:$B,MATCH(G4175,[1]IDEN_level_ids!$A:$A,0),1)</f>
        <v>1166</v>
      </c>
      <c r="U4175">
        <f>INDEX([1]IDEN_level_ids!$B:$B,MATCH(H4175,[1]IDEN_level_ids!$A:$A,0),1)</f>
        <v>1109</v>
      </c>
    </row>
    <row r="4176" spans="1:21" hidden="1" x14ac:dyDescent="0.25">
      <c r="A4176">
        <v>13277.232</v>
      </c>
      <c r="B4176">
        <v>7531.6903000000002</v>
      </c>
      <c r="C4176">
        <v>26</v>
      </c>
      <c r="D4176" t="s">
        <v>817</v>
      </c>
      <c r="E4176" t="s">
        <v>818</v>
      </c>
      <c r="F4176">
        <v>1974</v>
      </c>
      <c r="G4176" s="1" t="s">
        <v>764</v>
      </c>
      <c r="H4176" s="1" t="s">
        <v>141</v>
      </c>
      <c r="I4176">
        <v>0</v>
      </c>
      <c r="J4176">
        <v>13277.2034</v>
      </c>
      <c r="K4176">
        <v>-1.627E-2</v>
      </c>
      <c r="L4176">
        <v>1.09E-2</v>
      </c>
      <c r="M4176">
        <v>1.9199999999999998E-2</v>
      </c>
      <c r="N4176">
        <v>0.47239999999999999</v>
      </c>
      <c r="O4176">
        <v>2.0660000000000001E-2</v>
      </c>
      <c r="P4176" s="3">
        <f t="shared" si="260"/>
        <v>7531.6903402757443</v>
      </c>
      <c r="Q4176" s="3">
        <f t="shared" si="261"/>
        <v>-1.6223773729507229E-2</v>
      </c>
      <c r="R4176" s="3">
        <f t="shared" si="262"/>
        <v>1.09E-2</v>
      </c>
      <c r="S4176">
        <f t="shared" si="263"/>
        <v>143</v>
      </c>
      <c r="T4176">
        <f>INDEX([1]IDEN_level_ids!$B:$B,MATCH(G4176,[1]IDEN_level_ids!$A:$A,0),1)</f>
        <v>1234</v>
      </c>
      <c r="U4176">
        <f>INDEX([1]IDEN_level_ids!$B:$B,MATCH(H4176,[1]IDEN_level_ids!$A:$A,0),1)</f>
        <v>1155</v>
      </c>
    </row>
    <row r="4177" spans="1:21" hidden="1" x14ac:dyDescent="0.25">
      <c r="A4177">
        <v>13272.2297</v>
      </c>
      <c r="B4177">
        <v>7534.5290000000005</v>
      </c>
      <c r="C4177">
        <v>26</v>
      </c>
      <c r="D4177" t="s">
        <v>817</v>
      </c>
      <c r="F4177">
        <v>1974</v>
      </c>
      <c r="G4177" s="1" t="s">
        <v>719</v>
      </c>
      <c r="H4177" s="1" t="s">
        <v>73</v>
      </c>
      <c r="I4177">
        <v>0</v>
      </c>
      <c r="J4177">
        <v>13272.2035</v>
      </c>
      <c r="K4177">
        <v>-1.486E-2</v>
      </c>
      <c r="L4177">
        <v>2.615E-2</v>
      </c>
      <c r="M4177">
        <v>4.6100000000000002E-2</v>
      </c>
      <c r="N4177">
        <v>0.10730000000000001</v>
      </c>
      <c r="O4177">
        <v>2.93E-2</v>
      </c>
      <c r="P4177" s="3">
        <f t="shared" si="260"/>
        <v>7534.5290324503649</v>
      </c>
      <c r="Q4177" s="3">
        <f t="shared" si="261"/>
        <v>-1.4873540829285048E-2</v>
      </c>
      <c r="R4177" s="3">
        <f t="shared" si="262"/>
        <v>2.615E-2</v>
      </c>
      <c r="S4177">
        <f t="shared" si="263"/>
        <v>143</v>
      </c>
      <c r="T4177">
        <f>INDEX([1]IDEN_level_ids!$B:$B,MATCH(G4177,[1]IDEN_level_ids!$A:$A,0),1)</f>
        <v>1244</v>
      </c>
      <c r="U4177">
        <f>INDEX([1]IDEN_level_ids!$B:$B,MATCH(H4177,[1]IDEN_level_ids!$A:$A,0),1)</f>
        <v>1173</v>
      </c>
    </row>
    <row r="4178" spans="1:21" hidden="1" x14ac:dyDescent="0.25">
      <c r="A4178">
        <v>13250.9877</v>
      </c>
      <c r="B4178">
        <v>7546.6072999999997</v>
      </c>
      <c r="C4178">
        <v>26</v>
      </c>
      <c r="D4178" t="s">
        <v>817</v>
      </c>
      <c r="F4178">
        <v>1974</v>
      </c>
      <c r="G4178" s="1" t="s">
        <v>706</v>
      </c>
      <c r="H4178" s="1" t="s">
        <v>117</v>
      </c>
      <c r="I4178">
        <v>0</v>
      </c>
      <c r="J4178">
        <v>13250.9545</v>
      </c>
      <c r="K4178">
        <v>-1.8939999999999999E-2</v>
      </c>
      <c r="L4178">
        <v>2.6239999999999999E-2</v>
      </c>
      <c r="M4178">
        <v>4.6100000000000002E-2</v>
      </c>
      <c r="N4178">
        <v>0.1071</v>
      </c>
      <c r="O4178">
        <v>2.938E-2</v>
      </c>
      <c r="P4178" s="3">
        <f t="shared" si="260"/>
        <v>7546.6072615854891</v>
      </c>
      <c r="Q4178" s="3">
        <f t="shared" si="261"/>
        <v>-1.8907872718955332E-2</v>
      </c>
      <c r="R4178" s="3">
        <f t="shared" si="262"/>
        <v>2.6239999999999999E-2</v>
      </c>
      <c r="S4178">
        <f t="shared" si="263"/>
        <v>143</v>
      </c>
      <c r="T4178">
        <f>INDEX([1]IDEN_level_ids!$B:$B,MATCH(G4178,[1]IDEN_level_ids!$A:$A,0),1)</f>
        <v>1240</v>
      </c>
      <c r="U4178">
        <f>INDEX([1]IDEN_level_ids!$B:$B,MATCH(H4178,[1]IDEN_level_ids!$A:$A,0),1)</f>
        <v>1162</v>
      </c>
    </row>
    <row r="4179" spans="1:21" hidden="1" x14ac:dyDescent="0.25">
      <c r="A4179">
        <v>13242.7888</v>
      </c>
      <c r="B4179">
        <v>7551.2794999999996</v>
      </c>
      <c r="C4179">
        <v>26</v>
      </c>
      <c r="D4179" t="s">
        <v>817</v>
      </c>
      <c r="E4179" t="s">
        <v>427</v>
      </c>
      <c r="F4179">
        <v>1974</v>
      </c>
      <c r="G4179" s="1" t="s">
        <v>791</v>
      </c>
      <c r="H4179" s="1" t="s">
        <v>220</v>
      </c>
      <c r="I4179">
        <v>0</v>
      </c>
      <c r="J4179">
        <v>13242.769899999999</v>
      </c>
      <c r="K4179">
        <v>-1.076E-2</v>
      </c>
      <c r="L4179">
        <v>2.7789999999999999E-2</v>
      </c>
      <c r="M4179">
        <v>4.87E-2</v>
      </c>
      <c r="N4179">
        <v>0.2064</v>
      </c>
      <c r="O4179">
        <v>3.5009999999999999E-2</v>
      </c>
      <c r="P4179" s="3">
        <f t="shared" si="260"/>
        <v>7551.2795310909132</v>
      </c>
      <c r="Q4179" s="3">
        <f t="shared" si="261"/>
        <v>-1.0777139845231432E-2</v>
      </c>
      <c r="R4179" s="3">
        <f t="shared" si="262"/>
        <v>2.7789999999999999E-2</v>
      </c>
      <c r="S4179">
        <f t="shared" si="263"/>
        <v>143</v>
      </c>
      <c r="T4179">
        <f>INDEX([1]IDEN_level_ids!$B:$B,MATCH(G4179,[1]IDEN_level_ids!$A:$A,0),1)</f>
        <v>1215</v>
      </c>
      <c r="U4179">
        <f>INDEX([1]IDEN_level_ids!$B:$B,MATCH(H4179,[1]IDEN_level_ids!$A:$A,0),1)</f>
        <v>1142</v>
      </c>
    </row>
    <row r="4180" spans="1:21" hidden="1" x14ac:dyDescent="0.25">
      <c r="A4180">
        <v>13241.843199999999</v>
      </c>
      <c r="B4180">
        <v>7551.8188</v>
      </c>
      <c r="C4180">
        <v>26</v>
      </c>
      <c r="D4180" t="s">
        <v>817</v>
      </c>
      <c r="F4180">
        <v>1974</v>
      </c>
      <c r="G4180" s="1" t="s">
        <v>22</v>
      </c>
      <c r="H4180" s="1" t="s">
        <v>337</v>
      </c>
      <c r="I4180">
        <v>0</v>
      </c>
      <c r="J4180">
        <v>13241.81</v>
      </c>
      <c r="K4180">
        <v>-1.8960000000000001E-2</v>
      </c>
      <c r="L4180">
        <v>2.6270000000000002E-2</v>
      </c>
      <c r="M4180">
        <v>4.6100000000000002E-2</v>
      </c>
      <c r="N4180">
        <v>0.35599999999999998</v>
      </c>
      <c r="O4180">
        <v>4.0800000000000003E-2</v>
      </c>
      <c r="P4180" s="3">
        <f t="shared" si="260"/>
        <v>7551.818767949163</v>
      </c>
      <c r="Q4180" s="3">
        <f t="shared" si="261"/>
        <v>-1.8933996417217713E-2</v>
      </c>
      <c r="R4180" s="3">
        <f t="shared" si="262"/>
        <v>2.6270000000000002E-2</v>
      </c>
      <c r="S4180">
        <f t="shared" si="263"/>
        <v>143</v>
      </c>
      <c r="T4180">
        <f>INDEX([1]IDEN_level_ids!$B:$B,MATCH(G4180,[1]IDEN_level_ids!$A:$A,0),1)</f>
        <v>1236</v>
      </c>
      <c r="U4180">
        <f>INDEX([1]IDEN_level_ids!$B:$B,MATCH(H4180,[1]IDEN_level_ids!$A:$A,0),1)</f>
        <v>1157</v>
      </c>
    </row>
    <row r="4181" spans="1:21" hidden="1" x14ac:dyDescent="0.25">
      <c r="A4181">
        <v>13217.840399999999</v>
      </c>
      <c r="B4181">
        <v>7565.5324000000001</v>
      </c>
      <c r="C4181">
        <v>26</v>
      </c>
      <c r="D4181" t="s">
        <v>817</v>
      </c>
      <c r="E4181" t="s">
        <v>427</v>
      </c>
      <c r="F4181">
        <v>1974</v>
      </c>
      <c r="G4181" s="1" t="s">
        <v>355</v>
      </c>
      <c r="H4181" s="1" t="s">
        <v>602</v>
      </c>
      <c r="I4181">
        <v>0</v>
      </c>
      <c r="J4181">
        <v>13217.793</v>
      </c>
      <c r="K4181">
        <v>-2.7130000000000001E-2</v>
      </c>
      <c r="L4181">
        <v>2.7890000000000002E-2</v>
      </c>
      <c r="M4181">
        <v>4.87E-2</v>
      </c>
      <c r="N4181">
        <v>0.40150000000000002</v>
      </c>
      <c r="O4181">
        <v>4.6600000000000003E-2</v>
      </c>
      <c r="P4181" s="3">
        <f t="shared" si="260"/>
        <v>7565.5324148111222</v>
      </c>
      <c r="Q4181" s="3">
        <f t="shared" si="261"/>
        <v>-2.7130568352731643E-2</v>
      </c>
      <c r="R4181" s="3">
        <f t="shared" si="262"/>
        <v>2.7890000000000002E-2</v>
      </c>
      <c r="S4181">
        <f t="shared" si="263"/>
        <v>143</v>
      </c>
      <c r="T4181">
        <f>INDEX([1]IDEN_level_ids!$B:$B,MATCH(G4181,[1]IDEN_level_ids!$A:$A,0),1)</f>
        <v>1185</v>
      </c>
      <c r="U4181">
        <f>INDEX([1]IDEN_level_ids!$B:$B,MATCH(H4181,[1]IDEN_level_ids!$A:$A,0),1)</f>
        <v>1125</v>
      </c>
    </row>
    <row r="4182" spans="1:21" hidden="1" x14ac:dyDescent="0.25">
      <c r="A4182">
        <v>13177.2086</v>
      </c>
      <c r="B4182">
        <v>7588.8607000000002</v>
      </c>
      <c r="C4182">
        <v>26</v>
      </c>
      <c r="D4182" t="s">
        <v>817</v>
      </c>
      <c r="F4182">
        <v>1974</v>
      </c>
      <c r="G4182" s="1" t="s">
        <v>794</v>
      </c>
      <c r="H4182" s="1" t="s">
        <v>267</v>
      </c>
      <c r="I4182">
        <v>0</v>
      </c>
      <c r="J4182">
        <v>13177.1942</v>
      </c>
      <c r="K4182">
        <v>-8.26E-3</v>
      </c>
      <c r="L4182">
        <v>2.6530000000000001E-2</v>
      </c>
      <c r="M4182">
        <v>4.6100000000000002E-2</v>
      </c>
      <c r="N4182">
        <v>0.19450000000000001</v>
      </c>
      <c r="O4182">
        <v>3.2939999999999997E-2</v>
      </c>
      <c r="P4182" s="3">
        <f t="shared" si="260"/>
        <v>7588.8606635551023</v>
      </c>
      <c r="Q4182" s="3">
        <f t="shared" si="261"/>
        <v>-8.2930851513083326E-3</v>
      </c>
      <c r="R4182" s="3">
        <f t="shared" si="262"/>
        <v>2.6530000000000001E-2</v>
      </c>
      <c r="S4182">
        <f t="shared" si="263"/>
        <v>143</v>
      </c>
      <c r="T4182">
        <f>INDEX([1]IDEN_level_ids!$B:$B,MATCH(G4182,[1]IDEN_level_ids!$A:$A,0),1)</f>
        <v>1164</v>
      </c>
      <c r="U4182">
        <f>INDEX([1]IDEN_level_ids!$B:$B,MATCH(H4182,[1]IDEN_level_ids!$A:$A,0),1)</f>
        <v>1104</v>
      </c>
    </row>
    <row r="4183" spans="1:21" hidden="1" x14ac:dyDescent="0.25">
      <c r="A4183">
        <v>13173.9684</v>
      </c>
      <c r="B4183">
        <v>7590.7272000000003</v>
      </c>
      <c r="C4183">
        <v>26</v>
      </c>
      <c r="D4183" t="s">
        <v>817</v>
      </c>
      <c r="E4183" t="s">
        <v>427</v>
      </c>
      <c r="F4183">
        <v>1974</v>
      </c>
      <c r="G4183" s="1" t="s">
        <v>310</v>
      </c>
      <c r="H4183" s="1" t="s">
        <v>288</v>
      </c>
      <c r="I4183">
        <v>0</v>
      </c>
      <c r="J4183">
        <v>13173.9203</v>
      </c>
      <c r="K4183">
        <v>-2.775E-2</v>
      </c>
      <c r="L4183">
        <v>2.8080000000000001E-2</v>
      </c>
      <c r="M4183">
        <v>4.87E-2</v>
      </c>
      <c r="N4183">
        <v>0.1565</v>
      </c>
      <c r="O4183">
        <v>3.329E-2</v>
      </c>
      <c r="P4183" s="3">
        <f t="shared" si="260"/>
        <v>7590.7271798222928</v>
      </c>
      <c r="Q4183" s="3">
        <f t="shared" si="261"/>
        <v>-2.7714907107110776E-2</v>
      </c>
      <c r="R4183" s="3">
        <f t="shared" si="262"/>
        <v>2.8080000000000001E-2</v>
      </c>
      <c r="S4183">
        <f t="shared" si="263"/>
        <v>143</v>
      </c>
      <c r="T4183">
        <f>INDEX([1]IDEN_level_ids!$B:$B,MATCH(G4183,[1]IDEN_level_ids!$A:$A,0),1)</f>
        <v>1230</v>
      </c>
      <c r="U4183">
        <f>INDEX([1]IDEN_level_ids!$B:$B,MATCH(H4183,[1]IDEN_level_ids!$A:$A,0),1)</f>
        <v>1151</v>
      </c>
    </row>
    <row r="4184" spans="1:21" hidden="1" x14ac:dyDescent="0.25">
      <c r="A4184">
        <v>13160.49</v>
      </c>
      <c r="B4184">
        <v>7598.5012999999999</v>
      </c>
      <c r="C4184">
        <v>26</v>
      </c>
      <c r="D4184" t="s">
        <v>817</v>
      </c>
      <c r="F4184">
        <v>1974</v>
      </c>
      <c r="G4184" s="1" t="s">
        <v>115</v>
      </c>
      <c r="H4184" s="1" t="s">
        <v>41</v>
      </c>
      <c r="I4184">
        <v>0</v>
      </c>
      <c r="J4184">
        <v>13160.447899999999</v>
      </c>
      <c r="K4184">
        <v>-2.427E-2</v>
      </c>
      <c r="L4184">
        <v>2.6599999999999999E-2</v>
      </c>
      <c r="M4184">
        <v>4.6100000000000002E-2</v>
      </c>
      <c r="N4184">
        <v>0.1898</v>
      </c>
      <c r="O4184">
        <v>3.2829999999999998E-2</v>
      </c>
      <c r="P4184" s="3">
        <f t="shared" si="260"/>
        <v>7598.5012716091878</v>
      </c>
      <c r="Q4184" s="3">
        <f t="shared" si="261"/>
        <v>-2.4307448042236501E-2</v>
      </c>
      <c r="R4184" s="3">
        <f t="shared" si="262"/>
        <v>2.6599999999999999E-2</v>
      </c>
      <c r="S4184">
        <f t="shared" si="263"/>
        <v>143</v>
      </c>
      <c r="T4184">
        <f>INDEX([1]IDEN_level_ids!$B:$B,MATCH(G4184,[1]IDEN_level_ids!$A:$A,0),1)</f>
        <v>1252</v>
      </c>
      <c r="U4184">
        <f>INDEX([1]IDEN_level_ids!$B:$B,MATCH(H4184,[1]IDEN_level_ids!$A:$A,0),1)</f>
        <v>1238</v>
      </c>
    </row>
    <row r="4185" spans="1:21" hidden="1" x14ac:dyDescent="0.25">
      <c r="A4185">
        <v>13115.4674</v>
      </c>
      <c r="B4185">
        <v>7624.5852999999997</v>
      </c>
      <c r="C4185">
        <v>26</v>
      </c>
      <c r="D4185" t="s">
        <v>819</v>
      </c>
      <c r="F4185">
        <v>1974</v>
      </c>
      <c r="G4185" s="1" t="s">
        <v>365</v>
      </c>
      <c r="H4185" s="1" t="s">
        <v>302</v>
      </c>
      <c r="I4185">
        <v>0</v>
      </c>
      <c r="J4185">
        <v>13115.429899999999</v>
      </c>
      <c r="K4185">
        <v>-2.1829999999999999E-2</v>
      </c>
      <c r="L4185">
        <v>2.6780000000000002E-2</v>
      </c>
      <c r="M4185">
        <v>4.6100000000000002E-2</v>
      </c>
      <c r="N4185">
        <v>0.31480000000000002</v>
      </c>
      <c r="O4185">
        <v>3.909E-2</v>
      </c>
      <c r="P4185" s="3">
        <f t="shared" si="260"/>
        <v>7624.5853045237263</v>
      </c>
      <c r="Q4185" s="3">
        <f t="shared" si="261"/>
        <v>-2.1800425231958798E-2</v>
      </c>
      <c r="R4185" s="3">
        <f t="shared" si="262"/>
        <v>2.6780000000000002E-2</v>
      </c>
      <c r="S4185">
        <f t="shared" si="263"/>
        <v>144</v>
      </c>
      <c r="T4185">
        <f>INDEX([1]IDEN_level_ids!$B:$B,MATCH(G4185,[1]IDEN_level_ids!$A:$A,0),1)</f>
        <v>1143</v>
      </c>
      <c r="U4185">
        <f>INDEX([1]IDEN_level_ids!$B:$B,MATCH(H4185,[1]IDEN_level_ids!$A:$A,0),1)</f>
        <v>1100</v>
      </c>
    </row>
    <row r="4186" spans="1:21" hidden="1" x14ac:dyDescent="0.25">
      <c r="A4186">
        <v>13110.0566</v>
      </c>
      <c r="B4186">
        <v>7627.7321000000002</v>
      </c>
      <c r="C4186">
        <v>26</v>
      </c>
      <c r="D4186" t="s">
        <v>819</v>
      </c>
      <c r="E4186" t="s">
        <v>427</v>
      </c>
      <c r="F4186">
        <v>1974</v>
      </c>
      <c r="G4186" s="1" t="s">
        <v>716</v>
      </c>
      <c r="H4186" s="1" t="s">
        <v>223</v>
      </c>
      <c r="I4186">
        <v>0</v>
      </c>
      <c r="J4186">
        <v>13110.029</v>
      </c>
      <c r="K4186">
        <v>-1.6060000000000001E-2</v>
      </c>
      <c r="L4186">
        <v>2.835E-2</v>
      </c>
      <c r="M4186">
        <v>4.87E-2</v>
      </c>
      <c r="N4186">
        <v>0.29799999999999999</v>
      </c>
      <c r="O4186">
        <v>4.0390000000000002E-2</v>
      </c>
      <c r="P4186" s="3">
        <f t="shared" si="260"/>
        <v>7627.7321335134438</v>
      </c>
      <c r="Q4186" s="3">
        <f t="shared" si="261"/>
        <v>-1.6058347916441562E-2</v>
      </c>
      <c r="R4186" s="3">
        <f t="shared" si="262"/>
        <v>2.835E-2</v>
      </c>
      <c r="S4186">
        <f t="shared" si="263"/>
        <v>144</v>
      </c>
      <c r="T4186">
        <f>INDEX([1]IDEN_level_ids!$B:$B,MATCH(G4186,[1]IDEN_level_ids!$A:$A,0),1)</f>
        <v>1219</v>
      </c>
      <c r="U4186">
        <f>INDEX([1]IDEN_level_ids!$B:$B,MATCH(H4186,[1]IDEN_level_ids!$A:$A,0),1)</f>
        <v>1144</v>
      </c>
    </row>
    <row r="4187" spans="1:21" hidden="1" x14ac:dyDescent="0.25">
      <c r="A4187">
        <v>13081.021699999999</v>
      </c>
      <c r="B4187">
        <v>7644.6628000000001</v>
      </c>
      <c r="C4187">
        <v>26</v>
      </c>
      <c r="D4187" t="s">
        <v>819</v>
      </c>
      <c r="F4187">
        <v>1974</v>
      </c>
      <c r="G4187" s="1" t="s">
        <v>120</v>
      </c>
      <c r="H4187" s="1" t="s">
        <v>16</v>
      </c>
      <c r="I4187">
        <v>0</v>
      </c>
      <c r="J4187">
        <v>13080.999599999999</v>
      </c>
      <c r="K4187">
        <v>-1.2930000000000001E-2</v>
      </c>
      <c r="L4187">
        <v>2.6919999999999999E-2</v>
      </c>
      <c r="M4187">
        <v>4.6100000000000002E-2</v>
      </c>
      <c r="N4187">
        <v>0.31719999999999998</v>
      </c>
      <c r="O4187">
        <v>3.943E-2</v>
      </c>
      <c r="P4187" s="3">
        <f t="shared" si="260"/>
        <v>7644.662801836037</v>
      </c>
      <c r="Q4187" s="3">
        <f t="shared" si="261"/>
        <v>-1.2915453948153299E-2</v>
      </c>
      <c r="R4187" s="3">
        <f t="shared" si="262"/>
        <v>2.6919999999999999E-2</v>
      </c>
      <c r="S4187">
        <f t="shared" si="263"/>
        <v>144</v>
      </c>
      <c r="T4187">
        <f>INDEX([1]IDEN_level_ids!$B:$B,MATCH(G4187,[1]IDEN_level_ids!$A:$A,0),1)</f>
        <v>1250</v>
      </c>
      <c r="U4187">
        <f>INDEX([1]IDEN_level_ids!$B:$B,MATCH(H4187,[1]IDEN_level_ids!$A:$A,0),1)</f>
        <v>1223</v>
      </c>
    </row>
    <row r="4188" spans="1:21" hidden="1" x14ac:dyDescent="0.25">
      <c r="A4188">
        <v>13071.126099999999</v>
      </c>
      <c r="B4188">
        <v>7650.4502000000002</v>
      </c>
      <c r="C4188">
        <v>26</v>
      </c>
      <c r="D4188" t="s">
        <v>819</v>
      </c>
      <c r="E4188" t="s">
        <v>427</v>
      </c>
      <c r="F4188">
        <v>1974</v>
      </c>
      <c r="G4188" s="1" t="s">
        <v>64</v>
      </c>
      <c r="H4188" s="1" t="s">
        <v>285</v>
      </c>
      <c r="I4188">
        <v>0</v>
      </c>
      <c r="J4188">
        <v>13071.108399999999</v>
      </c>
      <c r="K4188">
        <v>-1.038E-2</v>
      </c>
      <c r="L4188">
        <v>2.852E-2</v>
      </c>
      <c r="M4188">
        <v>4.87E-2</v>
      </c>
      <c r="N4188">
        <v>0.1434</v>
      </c>
      <c r="O4188">
        <v>3.329E-2</v>
      </c>
      <c r="P4188" s="3">
        <f t="shared" si="260"/>
        <v>7650.450254626493</v>
      </c>
      <c r="Q4188" s="3">
        <f t="shared" si="261"/>
        <v>-1.0359715899539879E-2</v>
      </c>
      <c r="R4188" s="3">
        <f t="shared" si="262"/>
        <v>2.852E-2</v>
      </c>
      <c r="S4188">
        <f t="shared" si="263"/>
        <v>144</v>
      </c>
      <c r="T4188">
        <f>INDEX([1]IDEN_level_ids!$B:$B,MATCH(G4188,[1]IDEN_level_ids!$A:$A,0),1)</f>
        <v>1228</v>
      </c>
      <c r="U4188">
        <f>INDEX([1]IDEN_level_ids!$B:$B,MATCH(H4188,[1]IDEN_level_ids!$A:$A,0),1)</f>
        <v>1150</v>
      </c>
    </row>
    <row r="4189" spans="1:21" hidden="1" x14ac:dyDescent="0.25">
      <c r="A4189">
        <v>13044.1198</v>
      </c>
      <c r="B4189">
        <v>7666.2896000000001</v>
      </c>
      <c r="C4189">
        <v>26</v>
      </c>
      <c r="D4189" t="s">
        <v>819</v>
      </c>
      <c r="F4189">
        <v>1974</v>
      </c>
      <c r="G4189" s="1" t="s">
        <v>630</v>
      </c>
      <c r="H4189" s="1" t="s">
        <v>159</v>
      </c>
      <c r="I4189">
        <v>0</v>
      </c>
      <c r="J4189">
        <v>13044.108200000001</v>
      </c>
      <c r="K4189">
        <v>-6.8300000000000001E-3</v>
      </c>
      <c r="L4189">
        <v>2.707E-2</v>
      </c>
      <c r="M4189">
        <v>4.6100000000000002E-2</v>
      </c>
      <c r="N4189">
        <v>0.44469999999999998</v>
      </c>
      <c r="O4189">
        <v>4.8759999999999998E-2</v>
      </c>
      <c r="P4189" s="3">
        <f t="shared" si="260"/>
        <v>7666.2896027679844</v>
      </c>
      <c r="Q4189" s="3">
        <f t="shared" si="261"/>
        <v>-6.8175576298017404E-3</v>
      </c>
      <c r="R4189" s="3">
        <f t="shared" si="262"/>
        <v>2.707E-2</v>
      </c>
      <c r="S4189">
        <f t="shared" si="263"/>
        <v>144</v>
      </c>
      <c r="T4189">
        <f>INDEX([1]IDEN_level_ids!$B:$B,MATCH(G4189,[1]IDEN_level_ids!$A:$A,0),1)</f>
        <v>867</v>
      </c>
      <c r="U4189">
        <f>INDEX([1]IDEN_level_ids!$B:$B,MATCH(H4189,[1]IDEN_level_ids!$A:$A,0),1)</f>
        <v>702</v>
      </c>
    </row>
    <row r="4190" spans="1:21" hidden="1" x14ac:dyDescent="0.25">
      <c r="A4190">
        <v>13033.110699999999</v>
      </c>
      <c r="B4190">
        <v>7672.7653</v>
      </c>
      <c r="C4190">
        <v>26</v>
      </c>
      <c r="D4190" t="s">
        <v>819</v>
      </c>
      <c r="E4190" t="s">
        <v>427</v>
      </c>
      <c r="F4190">
        <v>1974</v>
      </c>
      <c r="G4190" s="1" t="s">
        <v>335</v>
      </c>
      <c r="H4190" s="1" t="s">
        <v>256</v>
      </c>
      <c r="I4190">
        <v>0</v>
      </c>
      <c r="J4190">
        <v>13033.0741</v>
      </c>
      <c r="K4190">
        <v>-2.155E-2</v>
      </c>
      <c r="L4190">
        <v>2.869E-2</v>
      </c>
      <c r="M4190">
        <v>4.87E-2</v>
      </c>
      <c r="N4190">
        <v>0.21029999999999999</v>
      </c>
      <c r="O4190">
        <v>3.6330000000000001E-2</v>
      </c>
      <c r="P4190" s="3">
        <f t="shared" si="260"/>
        <v>7672.7653360605618</v>
      </c>
      <c r="Q4190" s="3">
        <f t="shared" si="261"/>
        <v>-2.1546966520872957E-2</v>
      </c>
      <c r="R4190" s="3">
        <f t="shared" si="262"/>
        <v>2.869E-2</v>
      </c>
      <c r="S4190">
        <f t="shared" si="263"/>
        <v>144</v>
      </c>
      <c r="T4190">
        <f>INDEX([1]IDEN_level_ids!$B:$B,MATCH(G4190,[1]IDEN_level_ids!$A:$A,0),1)</f>
        <v>1174</v>
      </c>
      <c r="U4190">
        <f>INDEX([1]IDEN_level_ids!$B:$B,MATCH(H4190,[1]IDEN_level_ids!$A:$A,0),1)</f>
        <v>1120</v>
      </c>
    </row>
    <row r="4191" spans="1:21" hidden="1" x14ac:dyDescent="0.25">
      <c r="A4191">
        <v>13026.3315</v>
      </c>
      <c r="B4191">
        <v>7676.7583999999997</v>
      </c>
      <c r="C4191">
        <v>26</v>
      </c>
      <c r="D4191" t="s">
        <v>819</v>
      </c>
      <c r="E4191" t="s">
        <v>427</v>
      </c>
      <c r="F4191">
        <v>1974</v>
      </c>
      <c r="G4191" s="1" t="s">
        <v>719</v>
      </c>
      <c r="H4191" s="1" t="s">
        <v>83</v>
      </c>
      <c r="I4191">
        <v>0</v>
      </c>
      <c r="J4191">
        <v>13026.3099</v>
      </c>
      <c r="K4191">
        <v>-1.2710000000000001E-2</v>
      </c>
      <c r="L4191">
        <v>2.8719999999999999E-2</v>
      </c>
      <c r="M4191">
        <v>4.87E-2</v>
      </c>
      <c r="N4191">
        <v>0.10539999999999999</v>
      </c>
      <c r="O4191">
        <v>3.2099999999999997E-2</v>
      </c>
      <c r="P4191" s="3">
        <f t="shared" si="260"/>
        <v>7676.7584181317661</v>
      </c>
      <c r="Q4191" s="3">
        <f t="shared" si="261"/>
        <v>-1.2729466987366322E-2</v>
      </c>
      <c r="R4191" s="3">
        <f t="shared" si="262"/>
        <v>2.8719999999999999E-2</v>
      </c>
      <c r="S4191">
        <f t="shared" si="263"/>
        <v>144</v>
      </c>
      <c r="T4191">
        <f>INDEX([1]IDEN_level_ids!$B:$B,MATCH(G4191,[1]IDEN_level_ids!$A:$A,0),1)</f>
        <v>1244</v>
      </c>
      <c r="U4191">
        <f>INDEX([1]IDEN_level_ids!$B:$B,MATCH(H4191,[1]IDEN_level_ids!$A:$A,0),1)</f>
        <v>1175</v>
      </c>
    </row>
    <row r="4192" spans="1:21" hidden="1" x14ac:dyDescent="0.25">
      <c r="A4192">
        <v>13015.5965</v>
      </c>
      <c r="B4192">
        <v>7683.0901000000003</v>
      </c>
      <c r="C4192">
        <v>26</v>
      </c>
      <c r="D4192" t="s">
        <v>819</v>
      </c>
      <c r="E4192" t="s">
        <v>818</v>
      </c>
      <c r="F4192">
        <v>1974</v>
      </c>
      <c r="G4192" s="1" t="s">
        <v>734</v>
      </c>
      <c r="H4192" s="1" t="s">
        <v>141</v>
      </c>
      <c r="I4192">
        <v>0</v>
      </c>
      <c r="J4192">
        <v>13015.561</v>
      </c>
      <c r="K4192">
        <v>-2.095E-2</v>
      </c>
      <c r="L4192">
        <v>1.1339999999999999E-2</v>
      </c>
      <c r="M4192">
        <v>1.9199999999999998E-2</v>
      </c>
      <c r="N4192">
        <v>0.4113</v>
      </c>
      <c r="O4192">
        <v>1.9259999999999999E-2</v>
      </c>
      <c r="P4192" s="3">
        <f t="shared" si="260"/>
        <v>7683.0900527686154</v>
      </c>
      <c r="Q4192" s="3">
        <f t="shared" si="261"/>
        <v>-2.0955661985681218E-2</v>
      </c>
      <c r="R4192" s="3">
        <f t="shared" si="262"/>
        <v>1.1339999999999999E-2</v>
      </c>
      <c r="S4192">
        <f t="shared" si="263"/>
        <v>144</v>
      </c>
      <c r="T4192">
        <f>INDEX([1]IDEN_level_ids!$B:$B,MATCH(G4192,[1]IDEN_level_ids!$A:$A,0),1)</f>
        <v>1232</v>
      </c>
      <c r="U4192">
        <f>INDEX([1]IDEN_level_ids!$B:$B,MATCH(H4192,[1]IDEN_level_ids!$A:$A,0),1)</f>
        <v>1155</v>
      </c>
    </row>
    <row r="4193" spans="1:21" hidden="1" x14ac:dyDescent="0.25">
      <c r="A4193">
        <v>13013.490400000001</v>
      </c>
      <c r="B4193">
        <v>7684.3334999999997</v>
      </c>
      <c r="C4193">
        <v>26</v>
      </c>
      <c r="D4193" t="s">
        <v>819</v>
      </c>
      <c r="F4193">
        <v>1974</v>
      </c>
      <c r="G4193" s="1" t="s">
        <v>129</v>
      </c>
      <c r="H4193" s="1" t="s">
        <v>159</v>
      </c>
      <c r="I4193">
        <v>0</v>
      </c>
      <c r="J4193">
        <v>13013.459500000001</v>
      </c>
      <c r="K4193">
        <v>-1.8259999999999998E-2</v>
      </c>
      <c r="L4193">
        <v>2.7199999999999998E-2</v>
      </c>
      <c r="M4193">
        <v>4.6100000000000002E-2</v>
      </c>
      <c r="N4193">
        <v>0.45290000000000002</v>
      </c>
      <c r="O4193">
        <v>4.972E-2</v>
      </c>
      <c r="P4193" s="3">
        <f t="shared" si="260"/>
        <v>7684.3334821225208</v>
      </c>
      <c r="Q4193" s="3">
        <f t="shared" si="261"/>
        <v>-1.8246178473418695E-2</v>
      </c>
      <c r="R4193" s="3">
        <f t="shared" si="262"/>
        <v>2.7199999999999998E-2</v>
      </c>
      <c r="S4193">
        <f t="shared" si="263"/>
        <v>144</v>
      </c>
      <c r="T4193">
        <f>INDEX([1]IDEN_level_ids!$B:$B,MATCH(G4193,[1]IDEN_level_ids!$A:$A,0),1)</f>
        <v>866</v>
      </c>
      <c r="U4193">
        <f>INDEX([1]IDEN_level_ids!$B:$B,MATCH(H4193,[1]IDEN_level_ids!$A:$A,0),1)</f>
        <v>702</v>
      </c>
    </row>
    <row r="4194" spans="1:21" hidden="1" x14ac:dyDescent="0.25">
      <c r="A4194">
        <v>13010.687599999999</v>
      </c>
      <c r="B4194">
        <v>7685.9889000000003</v>
      </c>
      <c r="C4194">
        <v>26</v>
      </c>
      <c r="D4194" t="s">
        <v>819</v>
      </c>
      <c r="E4194" t="s">
        <v>818</v>
      </c>
      <c r="F4194">
        <v>1974</v>
      </c>
      <c r="G4194" s="1" t="s">
        <v>645</v>
      </c>
      <c r="H4194" s="1" t="s">
        <v>178</v>
      </c>
      <c r="I4194">
        <v>0</v>
      </c>
      <c r="J4194">
        <v>13010.67</v>
      </c>
      <c r="K4194">
        <v>-1.043E-2</v>
      </c>
      <c r="L4194">
        <v>1.1350000000000001E-2</v>
      </c>
      <c r="M4194">
        <v>1.9199999999999998E-2</v>
      </c>
      <c r="N4194">
        <v>0.71970000000000001</v>
      </c>
      <c r="O4194">
        <v>4.0489999999999998E-2</v>
      </c>
      <c r="P4194" s="3">
        <f t="shared" si="260"/>
        <v>7685.9888634940407</v>
      </c>
      <c r="Q4194" s="3">
        <f t="shared" si="261"/>
        <v>-1.039711283010547E-2</v>
      </c>
      <c r="R4194" s="3">
        <f t="shared" si="262"/>
        <v>1.1350000000000001E-2</v>
      </c>
      <c r="S4194">
        <f t="shared" si="263"/>
        <v>144</v>
      </c>
      <c r="T4194">
        <f>INDEX([1]IDEN_level_ids!$B:$B,MATCH(G4194,[1]IDEN_level_ids!$A:$A,0),1)</f>
        <v>895</v>
      </c>
      <c r="U4194">
        <f>INDEX([1]IDEN_level_ids!$B:$B,MATCH(H4194,[1]IDEN_level_ids!$A:$A,0),1)</f>
        <v>782</v>
      </c>
    </row>
    <row r="4195" spans="1:21" hidden="1" x14ac:dyDescent="0.25">
      <c r="A4195">
        <v>13005.1834</v>
      </c>
      <c r="B4195">
        <v>7689.2417999999998</v>
      </c>
      <c r="C4195">
        <v>26</v>
      </c>
      <c r="D4195" t="s">
        <v>819</v>
      </c>
      <c r="E4195" t="s">
        <v>818</v>
      </c>
      <c r="F4195">
        <v>1974</v>
      </c>
      <c r="G4195" s="1" t="s">
        <v>637</v>
      </c>
      <c r="H4195" s="1" t="s">
        <v>263</v>
      </c>
      <c r="I4195">
        <v>0</v>
      </c>
      <c r="J4195">
        <v>13005.170099999999</v>
      </c>
      <c r="K4195">
        <v>-7.8399999999999997E-3</v>
      </c>
      <c r="L4195">
        <v>1.136E-2</v>
      </c>
      <c r="M4195">
        <v>1.9199999999999998E-2</v>
      </c>
      <c r="N4195">
        <v>0.73660000000000003</v>
      </c>
      <c r="O4195">
        <v>4.3119999999999999E-2</v>
      </c>
      <c r="P4195" s="3">
        <f t="shared" si="260"/>
        <v>7689.2418141523476</v>
      </c>
      <c r="Q4195" s="3">
        <f t="shared" si="261"/>
        <v>-7.8635585196025204E-3</v>
      </c>
      <c r="R4195" s="3">
        <f t="shared" si="262"/>
        <v>1.136E-2</v>
      </c>
      <c r="S4195">
        <f t="shared" si="263"/>
        <v>144</v>
      </c>
      <c r="T4195">
        <f>INDEX([1]IDEN_level_ids!$B:$B,MATCH(G4195,[1]IDEN_level_ids!$A:$A,0),1)</f>
        <v>882</v>
      </c>
      <c r="U4195">
        <f>INDEX([1]IDEN_level_ids!$B:$B,MATCH(H4195,[1]IDEN_level_ids!$A:$A,0),1)</f>
        <v>759</v>
      </c>
    </row>
    <row r="4196" spans="1:21" hidden="1" x14ac:dyDescent="0.25">
      <c r="A4196">
        <v>12994.1504</v>
      </c>
      <c r="B4196">
        <v>7695.7704999999996</v>
      </c>
      <c r="C4196">
        <v>26</v>
      </c>
      <c r="D4196" t="s">
        <v>819</v>
      </c>
      <c r="E4196" t="s">
        <v>818</v>
      </c>
      <c r="F4196">
        <v>1974</v>
      </c>
      <c r="G4196" s="1" t="s">
        <v>267</v>
      </c>
      <c r="H4196" s="1" t="s">
        <v>327</v>
      </c>
      <c r="I4196">
        <v>0</v>
      </c>
      <c r="J4196">
        <v>12994.123</v>
      </c>
      <c r="K4196">
        <v>-1.626E-2</v>
      </c>
      <c r="L4196">
        <v>1.1379999999999999E-2</v>
      </c>
      <c r="M4196">
        <v>1.9199999999999998E-2</v>
      </c>
      <c r="N4196">
        <v>0.60680000000000001</v>
      </c>
      <c r="O4196">
        <v>2.8930000000000001E-2</v>
      </c>
      <c r="P4196" s="3">
        <f t="shared" si="260"/>
        <v>7695.7705522632705</v>
      </c>
      <c r="Q4196" s="3">
        <f t="shared" si="261"/>
        <v>-1.622765254251135E-2</v>
      </c>
      <c r="R4196" s="3">
        <f t="shared" si="262"/>
        <v>1.1379999999999999E-2</v>
      </c>
      <c r="S4196">
        <f t="shared" si="263"/>
        <v>144</v>
      </c>
      <c r="T4196">
        <f>INDEX([1]IDEN_level_ids!$B:$B,MATCH(G4196,[1]IDEN_level_ids!$A:$A,0),1)</f>
        <v>1104</v>
      </c>
      <c r="U4196">
        <f>INDEX([1]IDEN_level_ids!$B:$B,MATCH(H4196,[1]IDEN_level_ids!$A:$A,0),1)</f>
        <v>1086</v>
      </c>
    </row>
    <row r="4197" spans="1:21" hidden="1" x14ac:dyDescent="0.25">
      <c r="A4197">
        <v>12985.530699999999</v>
      </c>
      <c r="B4197">
        <v>7700.8788999999997</v>
      </c>
      <c r="C4197">
        <v>26</v>
      </c>
      <c r="D4197" t="s">
        <v>820</v>
      </c>
      <c r="F4197">
        <v>1974</v>
      </c>
      <c r="G4197" s="1" t="s">
        <v>710</v>
      </c>
      <c r="H4197" s="1" t="s">
        <v>197</v>
      </c>
      <c r="I4197">
        <v>0</v>
      </c>
      <c r="J4197">
        <v>12985.5281</v>
      </c>
      <c r="K4197">
        <v>-1.56E-3</v>
      </c>
      <c r="L4197">
        <v>2.7320000000000001E-2</v>
      </c>
      <c r="M4197">
        <v>4.6100000000000002E-2</v>
      </c>
      <c r="N4197">
        <v>9.3200000000000005E-2</v>
      </c>
      <c r="O4197">
        <v>3.0130000000000001E-2</v>
      </c>
      <c r="P4197" s="3">
        <f t="shared" si="260"/>
        <v>7700.87894828973</v>
      </c>
      <c r="Q4197" s="3">
        <f t="shared" si="261"/>
        <v>-1.5418922594108153E-3</v>
      </c>
      <c r="R4197" s="3">
        <f t="shared" si="262"/>
        <v>2.7320000000000001E-2</v>
      </c>
      <c r="S4197">
        <f t="shared" si="263"/>
        <v>145</v>
      </c>
      <c r="T4197">
        <f>INDEX([1]IDEN_level_ids!$B:$B,MATCH(G4197,[1]IDEN_level_ids!$A:$A,0),1)</f>
        <v>1246</v>
      </c>
      <c r="U4197">
        <f>INDEX([1]IDEN_level_ids!$B:$B,MATCH(H4197,[1]IDEN_level_ids!$A:$A,0),1)</f>
        <v>1182</v>
      </c>
    </row>
    <row r="4198" spans="1:21" hidden="1" x14ac:dyDescent="0.25">
      <c r="A4198">
        <v>12978.8094</v>
      </c>
      <c r="B4198">
        <v>7704.8670000000002</v>
      </c>
      <c r="C4198">
        <v>26</v>
      </c>
      <c r="D4198" t="s">
        <v>820</v>
      </c>
      <c r="F4198">
        <v>1974</v>
      </c>
      <c r="G4198" s="1" t="s">
        <v>121</v>
      </c>
      <c r="H4198" s="1" t="s">
        <v>99</v>
      </c>
      <c r="I4198">
        <v>0</v>
      </c>
      <c r="J4198">
        <v>12978.807699999999</v>
      </c>
      <c r="K4198">
        <v>-1E-3</v>
      </c>
      <c r="L4198">
        <v>2.7349999999999999E-2</v>
      </c>
      <c r="M4198">
        <v>4.6100000000000002E-2</v>
      </c>
      <c r="N4198">
        <v>0.60550000000000004</v>
      </c>
      <c r="O4198">
        <v>6.9320000000000007E-2</v>
      </c>
      <c r="P4198" s="3">
        <f t="shared" si="260"/>
        <v>7704.8669810961246</v>
      </c>
      <c r="Q4198" s="3">
        <f t="shared" si="261"/>
        <v>-1.0092047104990343E-3</v>
      </c>
      <c r="R4198" s="3">
        <f t="shared" si="262"/>
        <v>2.7349999999999999E-2</v>
      </c>
      <c r="S4198">
        <f t="shared" si="263"/>
        <v>145</v>
      </c>
      <c r="T4198">
        <f>INDEX([1]IDEN_level_ids!$B:$B,MATCH(G4198,[1]IDEN_level_ids!$A:$A,0),1)</f>
        <v>860</v>
      </c>
      <c r="U4198">
        <f>INDEX([1]IDEN_level_ids!$B:$B,MATCH(H4198,[1]IDEN_level_ids!$A:$A,0),1)</f>
        <v>689</v>
      </c>
    </row>
    <row r="4199" spans="1:21" hidden="1" x14ac:dyDescent="0.25">
      <c r="A4199">
        <v>12972.8289</v>
      </c>
      <c r="B4199">
        <v>7708.4188999999997</v>
      </c>
      <c r="C4199">
        <v>26</v>
      </c>
      <c r="D4199" t="s">
        <v>820</v>
      </c>
      <c r="E4199" t="s">
        <v>818</v>
      </c>
      <c r="F4199">
        <v>1974</v>
      </c>
      <c r="G4199" s="1" t="s">
        <v>648</v>
      </c>
      <c r="H4199" s="1" t="s">
        <v>174</v>
      </c>
      <c r="I4199">
        <v>0</v>
      </c>
      <c r="J4199">
        <v>12972.8092</v>
      </c>
      <c r="K4199">
        <v>-1.1730000000000001E-2</v>
      </c>
      <c r="L4199">
        <v>1.141E-2</v>
      </c>
      <c r="M4199">
        <v>1.9199999999999998E-2</v>
      </c>
      <c r="N4199">
        <v>0.66279999999999994</v>
      </c>
      <c r="O4199">
        <v>3.3849999999999998E-2</v>
      </c>
      <c r="P4199" s="3">
        <f t="shared" si="260"/>
        <v>7708.4189401434251</v>
      </c>
      <c r="Q4199" s="3">
        <f t="shared" si="261"/>
        <v>-1.1705703120242106E-2</v>
      </c>
      <c r="R4199" s="3">
        <f t="shared" si="262"/>
        <v>1.141E-2</v>
      </c>
      <c r="S4199">
        <f t="shared" si="263"/>
        <v>145</v>
      </c>
      <c r="T4199">
        <f>INDEX([1]IDEN_level_ids!$B:$B,MATCH(G4199,[1]IDEN_level_ids!$A:$A,0),1)</f>
        <v>883</v>
      </c>
      <c r="U4199">
        <f>INDEX([1]IDEN_level_ids!$B:$B,MATCH(H4199,[1]IDEN_level_ids!$A:$A,0),1)</f>
        <v>758</v>
      </c>
    </row>
    <row r="4200" spans="1:21" hidden="1" x14ac:dyDescent="0.25">
      <c r="A4200">
        <v>12936.2711</v>
      </c>
      <c r="B4200">
        <v>7730.2029000000002</v>
      </c>
      <c r="C4200">
        <v>26</v>
      </c>
      <c r="D4200" t="s">
        <v>820</v>
      </c>
      <c r="F4200">
        <v>1974</v>
      </c>
      <c r="G4200" s="1" t="s">
        <v>637</v>
      </c>
      <c r="H4200" s="1" t="s">
        <v>192</v>
      </c>
      <c r="I4200">
        <v>0</v>
      </c>
      <c r="J4200">
        <v>12936.213</v>
      </c>
      <c r="K4200">
        <v>-3.474E-2</v>
      </c>
      <c r="L4200">
        <v>2.7529999999999999E-2</v>
      </c>
      <c r="M4200">
        <v>4.6100000000000002E-2</v>
      </c>
      <c r="N4200">
        <v>0.49530000000000002</v>
      </c>
      <c r="O4200">
        <v>5.4539999999999998E-2</v>
      </c>
      <c r="P4200" s="3">
        <f t="shared" si="260"/>
        <v>7730.2028712122465</v>
      </c>
      <c r="Q4200" s="3">
        <f t="shared" si="261"/>
        <v>-3.4718413094196876E-2</v>
      </c>
      <c r="R4200" s="3">
        <f t="shared" si="262"/>
        <v>2.7529999999999999E-2</v>
      </c>
      <c r="S4200">
        <f t="shared" si="263"/>
        <v>145</v>
      </c>
      <c r="T4200">
        <f>INDEX([1]IDEN_level_ids!$B:$B,MATCH(G4200,[1]IDEN_level_ids!$A:$A,0),1)</f>
        <v>882</v>
      </c>
      <c r="U4200">
        <f>INDEX([1]IDEN_level_ids!$B:$B,MATCH(H4200,[1]IDEN_level_ids!$A:$A,0),1)</f>
        <v>762</v>
      </c>
    </row>
    <row r="4201" spans="1:21" hidden="1" x14ac:dyDescent="0.25">
      <c r="A4201">
        <v>12924.061400000001</v>
      </c>
      <c r="B4201">
        <v>7737.5057999999999</v>
      </c>
      <c r="C4201">
        <v>26</v>
      </c>
      <c r="D4201" t="s">
        <v>820</v>
      </c>
      <c r="E4201" t="s">
        <v>818</v>
      </c>
      <c r="F4201">
        <v>1974</v>
      </c>
      <c r="G4201" s="1" t="s">
        <v>643</v>
      </c>
      <c r="H4201" s="1" t="s">
        <v>190</v>
      </c>
      <c r="I4201">
        <v>0</v>
      </c>
      <c r="J4201">
        <v>12924.034799999999</v>
      </c>
      <c r="K4201">
        <v>-1.5890000000000001E-2</v>
      </c>
      <c r="L4201">
        <v>1.15E-2</v>
      </c>
      <c r="M4201">
        <v>1.9199999999999998E-2</v>
      </c>
      <c r="N4201">
        <v>0.72909999999999997</v>
      </c>
      <c r="O4201">
        <v>4.2459999999999998E-2</v>
      </c>
      <c r="P4201" s="3">
        <f t="shared" si="260"/>
        <v>7737.5057967459052</v>
      </c>
      <c r="Q4201" s="3">
        <f t="shared" si="261"/>
        <v>-1.5925185701235023E-2</v>
      </c>
      <c r="R4201" s="3">
        <f t="shared" si="262"/>
        <v>1.15E-2</v>
      </c>
      <c r="S4201">
        <f t="shared" si="263"/>
        <v>145</v>
      </c>
      <c r="T4201">
        <f>INDEX([1]IDEN_level_ids!$B:$B,MATCH(G4201,[1]IDEN_level_ids!$A:$A,0),1)</f>
        <v>869</v>
      </c>
      <c r="U4201">
        <f>INDEX([1]IDEN_level_ids!$B:$B,MATCH(H4201,[1]IDEN_level_ids!$A:$A,0),1)</f>
        <v>719</v>
      </c>
    </row>
    <row r="4202" spans="1:21" hidden="1" x14ac:dyDescent="0.25">
      <c r="A4202">
        <v>12916.605799999999</v>
      </c>
      <c r="B4202">
        <v>7741.9718999999996</v>
      </c>
      <c r="C4202">
        <v>26</v>
      </c>
      <c r="D4202" t="s">
        <v>820</v>
      </c>
      <c r="E4202" t="s">
        <v>818</v>
      </c>
      <c r="F4202">
        <v>1974</v>
      </c>
      <c r="G4202" s="1" t="s">
        <v>640</v>
      </c>
      <c r="H4202" s="1" t="s">
        <v>805</v>
      </c>
      <c r="I4202">
        <v>0</v>
      </c>
      <c r="J4202">
        <v>12916.5821</v>
      </c>
      <c r="K4202">
        <v>-1.423E-2</v>
      </c>
      <c r="L4202">
        <v>1.1509999999999999E-2</v>
      </c>
      <c r="M4202">
        <v>1.9199999999999998E-2</v>
      </c>
      <c r="N4202">
        <v>0.6462</v>
      </c>
      <c r="O4202">
        <v>3.2539999999999999E-2</v>
      </c>
      <c r="P4202" s="3">
        <f t="shared" si="260"/>
        <v>7741.9719660408</v>
      </c>
      <c r="Q4202" s="3">
        <f t="shared" si="261"/>
        <v>-1.4205362856955617E-2</v>
      </c>
      <c r="R4202" s="3">
        <f t="shared" si="262"/>
        <v>1.1509999999999999E-2</v>
      </c>
      <c r="S4202">
        <f t="shared" si="263"/>
        <v>145</v>
      </c>
      <c r="T4202">
        <f>INDEX([1]IDEN_level_ids!$B:$B,MATCH(G4202,[1]IDEN_level_ids!$A:$A,0),1)</f>
        <v>843</v>
      </c>
      <c r="U4202">
        <f>INDEX([1]IDEN_level_ids!$B:$B,MATCH(H4202,[1]IDEN_level_ids!$A:$A,0),1)</f>
        <v>661</v>
      </c>
    </row>
    <row r="4203" spans="1:21" hidden="1" x14ac:dyDescent="0.25">
      <c r="A4203">
        <v>12912.4467</v>
      </c>
      <c r="B4203">
        <v>7744.4656000000004</v>
      </c>
      <c r="C4203">
        <v>26</v>
      </c>
      <c r="D4203" t="s">
        <v>820</v>
      </c>
      <c r="F4203">
        <v>1974</v>
      </c>
      <c r="G4203" s="1" t="s">
        <v>712</v>
      </c>
      <c r="H4203" s="1" t="s">
        <v>251</v>
      </c>
      <c r="I4203">
        <v>0</v>
      </c>
      <c r="J4203">
        <v>12912.4211</v>
      </c>
      <c r="K4203">
        <v>-1.537E-2</v>
      </c>
      <c r="L4203">
        <v>2.7629999999999998E-2</v>
      </c>
      <c r="M4203">
        <v>4.6100000000000002E-2</v>
      </c>
      <c r="N4203">
        <v>0.20300000000000001</v>
      </c>
      <c r="O4203">
        <v>3.4669999999999999E-2</v>
      </c>
      <c r="P4203" s="3">
        <f t="shared" si="260"/>
        <v>7744.4656557614289</v>
      </c>
      <c r="Q4203" s="3">
        <f t="shared" si="261"/>
        <v>-1.5354078003838367E-2</v>
      </c>
      <c r="R4203" s="3">
        <f t="shared" si="262"/>
        <v>2.7629999999999998E-2</v>
      </c>
      <c r="S4203">
        <f t="shared" si="263"/>
        <v>145</v>
      </c>
      <c r="T4203">
        <f>INDEX([1]IDEN_level_ids!$B:$B,MATCH(G4203,[1]IDEN_level_ids!$A:$A,0),1)</f>
        <v>1247</v>
      </c>
      <c r="U4203">
        <f>INDEX([1]IDEN_level_ids!$B:$B,MATCH(H4203,[1]IDEN_level_ids!$A:$A,0),1)</f>
        <v>1192</v>
      </c>
    </row>
    <row r="4204" spans="1:21" hidden="1" x14ac:dyDescent="0.25">
      <c r="A4204">
        <v>12907.0155</v>
      </c>
      <c r="B4204">
        <v>7747.7245000000003</v>
      </c>
      <c r="C4204">
        <v>26</v>
      </c>
      <c r="D4204" t="s">
        <v>820</v>
      </c>
      <c r="E4204" t="s">
        <v>427</v>
      </c>
      <c r="F4204">
        <v>1974</v>
      </c>
      <c r="G4204" s="1" t="s">
        <v>715</v>
      </c>
      <c r="H4204" s="1" t="s">
        <v>244</v>
      </c>
      <c r="I4204">
        <v>0</v>
      </c>
      <c r="J4204">
        <v>12906.994699999999</v>
      </c>
      <c r="K4204">
        <v>-1.2489999999999999E-2</v>
      </c>
      <c r="L4204">
        <v>2.9250000000000002E-2</v>
      </c>
      <c r="M4204">
        <v>4.87E-2</v>
      </c>
      <c r="N4204">
        <v>0.1575</v>
      </c>
      <c r="O4204">
        <v>3.4720000000000001E-2</v>
      </c>
      <c r="P4204" s="3">
        <f t="shared" si="260"/>
        <v>7747.7244836345017</v>
      </c>
      <c r="Q4204" s="3">
        <f t="shared" si="261"/>
        <v>-1.2485684933380981E-2</v>
      </c>
      <c r="R4204" s="3">
        <f t="shared" si="262"/>
        <v>2.9250000000000002E-2</v>
      </c>
      <c r="S4204">
        <f t="shared" si="263"/>
        <v>145</v>
      </c>
      <c r="T4204">
        <f>INDEX([1]IDEN_level_ids!$B:$B,MATCH(G4204,[1]IDEN_level_ids!$A:$A,0),1)</f>
        <v>1249</v>
      </c>
      <c r="U4204">
        <f>INDEX([1]IDEN_level_ids!$B:$B,MATCH(H4204,[1]IDEN_level_ids!$A:$A,0),1)</f>
        <v>1195</v>
      </c>
    </row>
    <row r="4205" spans="1:21" hidden="1" x14ac:dyDescent="0.25">
      <c r="A4205">
        <v>12892.506100000001</v>
      </c>
      <c r="B4205">
        <v>7756.4438</v>
      </c>
      <c r="C4205">
        <v>26</v>
      </c>
      <c r="D4205" t="s">
        <v>820</v>
      </c>
      <c r="F4205">
        <v>1974</v>
      </c>
      <c r="G4205" s="1" t="s">
        <v>710</v>
      </c>
      <c r="H4205" s="1" t="s">
        <v>252</v>
      </c>
      <c r="I4205">
        <v>0</v>
      </c>
      <c r="J4205">
        <v>12892.475899999999</v>
      </c>
      <c r="K4205">
        <v>-1.8180000000000002E-2</v>
      </c>
      <c r="L4205">
        <v>2.7709999999999999E-2</v>
      </c>
      <c r="M4205">
        <v>4.6100000000000002E-2</v>
      </c>
      <c r="N4205">
        <v>0.10199999999999999</v>
      </c>
      <c r="O4205">
        <v>3.0859999999999999E-2</v>
      </c>
      <c r="P4205" s="3">
        <f t="shared" si="260"/>
        <v>7756.4438771140076</v>
      </c>
      <c r="Q4205" s="3">
        <f t="shared" si="261"/>
        <v>-1.8169093889810028E-2</v>
      </c>
      <c r="R4205" s="3">
        <f t="shared" si="262"/>
        <v>2.7709999999999999E-2</v>
      </c>
      <c r="S4205">
        <f t="shared" si="263"/>
        <v>145</v>
      </c>
      <c r="T4205">
        <f>INDEX([1]IDEN_level_ids!$B:$B,MATCH(G4205,[1]IDEN_level_ids!$A:$A,0),1)</f>
        <v>1246</v>
      </c>
      <c r="U4205">
        <f>INDEX([1]IDEN_level_ids!$B:$B,MATCH(H4205,[1]IDEN_level_ids!$A:$A,0),1)</f>
        <v>1188</v>
      </c>
    </row>
    <row r="4206" spans="1:21" hidden="1" x14ac:dyDescent="0.25">
      <c r="A4206">
        <v>12890.561</v>
      </c>
      <c r="B4206">
        <v>7757.6142</v>
      </c>
      <c r="C4206">
        <v>26</v>
      </c>
      <c r="D4206" t="s">
        <v>820</v>
      </c>
      <c r="E4206" t="s">
        <v>427</v>
      </c>
      <c r="F4206">
        <v>1974</v>
      </c>
      <c r="G4206" s="1" t="s">
        <v>642</v>
      </c>
      <c r="H4206" s="1" t="s">
        <v>300</v>
      </c>
      <c r="I4206">
        <v>0</v>
      </c>
      <c r="J4206">
        <v>12890.522000000001</v>
      </c>
      <c r="K4206">
        <v>-2.35E-2</v>
      </c>
      <c r="L4206">
        <v>2.9319999999999999E-2</v>
      </c>
      <c r="M4206">
        <v>4.87E-2</v>
      </c>
      <c r="N4206">
        <v>0.15279999999999999</v>
      </c>
      <c r="O4206">
        <v>3.4619999999999998E-2</v>
      </c>
      <c r="P4206" s="3">
        <f t="shared" si="260"/>
        <v>7757.6142729552266</v>
      </c>
      <c r="Q4206" s="3">
        <f t="shared" si="261"/>
        <v>-2.3470496899790305E-2</v>
      </c>
      <c r="R4206" s="3">
        <f t="shared" si="262"/>
        <v>2.9319999999999999E-2</v>
      </c>
      <c r="S4206">
        <f t="shared" si="263"/>
        <v>145</v>
      </c>
      <c r="T4206">
        <f>INDEX([1]IDEN_level_ids!$B:$B,MATCH(G4206,[1]IDEN_level_ids!$A:$A,0),1)</f>
        <v>894</v>
      </c>
      <c r="U4206">
        <f>INDEX([1]IDEN_level_ids!$B:$B,MATCH(H4206,[1]IDEN_level_ids!$A:$A,0),1)</f>
        <v>783</v>
      </c>
    </row>
    <row r="4207" spans="1:21" hidden="1" x14ac:dyDescent="0.25">
      <c r="A4207">
        <v>12870.6896</v>
      </c>
      <c r="B4207">
        <v>7769.5915000000005</v>
      </c>
      <c r="C4207">
        <v>26</v>
      </c>
      <c r="D4207" t="s">
        <v>820</v>
      </c>
      <c r="F4207">
        <v>1974</v>
      </c>
      <c r="G4207" s="1" t="s">
        <v>636</v>
      </c>
      <c r="H4207" s="1" t="s">
        <v>107</v>
      </c>
      <c r="I4207">
        <v>0</v>
      </c>
      <c r="J4207">
        <v>12870.6821</v>
      </c>
      <c r="K4207">
        <v>-4.5599999999999998E-3</v>
      </c>
      <c r="L4207">
        <v>2.7810000000000001E-2</v>
      </c>
      <c r="M4207">
        <v>4.6100000000000002E-2</v>
      </c>
      <c r="N4207">
        <v>0.48070000000000002</v>
      </c>
      <c r="O4207">
        <v>5.355E-2</v>
      </c>
      <c r="P4207" s="3">
        <f t="shared" si="260"/>
        <v>7769.5914599634198</v>
      </c>
      <c r="Q4207" s="3">
        <f t="shared" si="261"/>
        <v>-4.5274939975570305E-3</v>
      </c>
      <c r="R4207" s="3">
        <f t="shared" si="262"/>
        <v>2.7810000000000001E-2</v>
      </c>
      <c r="S4207">
        <f t="shared" si="263"/>
        <v>145</v>
      </c>
      <c r="T4207">
        <f>INDEX([1]IDEN_level_ids!$B:$B,MATCH(G4207,[1]IDEN_level_ids!$A:$A,0),1)</f>
        <v>868</v>
      </c>
      <c r="U4207">
        <f>INDEX([1]IDEN_level_ids!$B:$B,MATCH(H4207,[1]IDEN_level_ids!$A:$A,0),1)</f>
        <v>714</v>
      </c>
    </row>
    <row r="4208" spans="1:21" hidden="1" x14ac:dyDescent="0.25">
      <c r="A4208">
        <v>12849.7048</v>
      </c>
      <c r="B4208">
        <v>7782.28</v>
      </c>
      <c r="C4208">
        <v>26</v>
      </c>
      <c r="D4208" t="s">
        <v>820</v>
      </c>
      <c r="E4208" t="s">
        <v>818</v>
      </c>
      <c r="F4208">
        <v>1974</v>
      </c>
      <c r="G4208" s="1" t="s">
        <v>645</v>
      </c>
      <c r="H4208" s="1" t="s">
        <v>164</v>
      </c>
      <c r="I4208">
        <v>0</v>
      </c>
      <c r="J4208">
        <v>12849.6849</v>
      </c>
      <c r="K4208">
        <v>-1.2019999999999999E-2</v>
      </c>
      <c r="L4208">
        <v>1.163E-2</v>
      </c>
      <c r="M4208">
        <v>1.9199999999999998E-2</v>
      </c>
      <c r="N4208">
        <v>0.57550000000000001</v>
      </c>
      <c r="O4208">
        <v>2.741E-2</v>
      </c>
      <c r="P4208" s="3">
        <f t="shared" si="260"/>
        <v>7782.2799477852595</v>
      </c>
      <c r="Q4208" s="3">
        <f t="shared" si="261"/>
        <v>-1.2052231020788895E-2</v>
      </c>
      <c r="R4208" s="3">
        <f t="shared" si="262"/>
        <v>1.163E-2</v>
      </c>
      <c r="S4208">
        <f t="shared" si="263"/>
        <v>145</v>
      </c>
      <c r="T4208">
        <f>INDEX([1]IDEN_level_ids!$B:$B,MATCH(G4208,[1]IDEN_level_ids!$A:$A,0),1)</f>
        <v>895</v>
      </c>
      <c r="U4208">
        <f>INDEX([1]IDEN_level_ids!$B:$B,MATCH(H4208,[1]IDEN_level_ids!$A:$A,0),1)</f>
        <v>787</v>
      </c>
    </row>
    <row r="4209" spans="1:21" hidden="1" x14ac:dyDescent="0.25">
      <c r="A4209">
        <v>12846.6569</v>
      </c>
      <c r="B4209">
        <v>7784.1262999999999</v>
      </c>
      <c r="C4209">
        <v>26</v>
      </c>
      <c r="D4209" t="s">
        <v>820</v>
      </c>
      <c r="F4209">
        <v>1974</v>
      </c>
      <c r="G4209" s="1" t="s">
        <v>125</v>
      </c>
      <c r="H4209" s="1" t="s">
        <v>27</v>
      </c>
      <c r="I4209">
        <v>0</v>
      </c>
      <c r="J4209">
        <v>12846.6602</v>
      </c>
      <c r="K4209">
        <v>2.0200000000000001E-3</v>
      </c>
      <c r="L4209">
        <v>2.7910000000000001E-2</v>
      </c>
      <c r="M4209">
        <v>4.6100000000000002E-2</v>
      </c>
      <c r="N4209">
        <v>0.23669999999999999</v>
      </c>
      <c r="O4209">
        <v>3.6569999999999998E-2</v>
      </c>
      <c r="P4209" s="3">
        <f t="shared" si="260"/>
        <v>7784.1263122703931</v>
      </c>
      <c r="Q4209" s="3">
        <f t="shared" si="261"/>
        <v>1.9995560269308044E-3</v>
      </c>
      <c r="R4209" s="3">
        <f t="shared" si="262"/>
        <v>2.7910000000000001E-2</v>
      </c>
      <c r="S4209">
        <f t="shared" si="263"/>
        <v>145</v>
      </c>
      <c r="T4209">
        <f>INDEX([1]IDEN_level_ids!$B:$B,MATCH(G4209,[1]IDEN_level_ids!$A:$A,0),1)</f>
        <v>1253</v>
      </c>
      <c r="U4209">
        <f>INDEX([1]IDEN_level_ids!$B:$B,MATCH(H4209,[1]IDEN_level_ids!$A:$A,0),1)</f>
        <v>1242</v>
      </c>
    </row>
    <row r="4210" spans="1:21" hidden="1" x14ac:dyDescent="0.25">
      <c r="A4210">
        <v>12802.186600000001</v>
      </c>
      <c r="B4210">
        <v>7811.1656000000003</v>
      </c>
      <c r="C4210">
        <v>26</v>
      </c>
      <c r="D4210" t="s">
        <v>821</v>
      </c>
      <c r="F4210">
        <v>1974</v>
      </c>
      <c r="G4210" s="1" t="s">
        <v>117</v>
      </c>
      <c r="H4210" s="1" t="s">
        <v>459</v>
      </c>
      <c r="I4210">
        <v>0</v>
      </c>
      <c r="J4210">
        <v>12802.1787</v>
      </c>
      <c r="K4210">
        <v>-4.8399999999999997E-3</v>
      </c>
      <c r="L4210">
        <v>2.811E-2</v>
      </c>
      <c r="M4210">
        <v>4.6100000000000002E-2</v>
      </c>
      <c r="N4210">
        <v>0.15379999999999999</v>
      </c>
      <c r="O4210">
        <v>3.3210000000000003E-2</v>
      </c>
      <c r="P4210" s="3">
        <f t="shared" si="260"/>
        <v>7811.1656332208122</v>
      </c>
      <c r="Q4210" s="3">
        <f t="shared" si="261"/>
        <v>-4.8201333502220223E-3</v>
      </c>
      <c r="R4210" s="3">
        <f t="shared" si="262"/>
        <v>2.811E-2</v>
      </c>
      <c r="S4210">
        <f t="shared" si="263"/>
        <v>146</v>
      </c>
      <c r="T4210">
        <f>INDEX([1]IDEN_level_ids!$B:$B,MATCH(G4210,[1]IDEN_level_ids!$A:$A,0),1)</f>
        <v>1162</v>
      </c>
      <c r="U4210">
        <f>INDEX([1]IDEN_level_ids!$B:$B,MATCH(H4210,[1]IDEN_level_ids!$A:$A,0),1)</f>
        <v>1108</v>
      </c>
    </row>
    <row r="4211" spans="1:21" hidden="1" x14ac:dyDescent="0.25">
      <c r="A4211">
        <v>12801.2619</v>
      </c>
      <c r="B4211">
        <v>7811.7299000000003</v>
      </c>
      <c r="C4211">
        <v>26</v>
      </c>
      <c r="D4211" t="s">
        <v>821</v>
      </c>
      <c r="E4211" t="s">
        <v>818</v>
      </c>
      <c r="F4211">
        <v>1974</v>
      </c>
      <c r="G4211" s="1" t="s">
        <v>669</v>
      </c>
      <c r="H4211" s="1" t="s">
        <v>252</v>
      </c>
      <c r="I4211">
        <v>0</v>
      </c>
      <c r="J4211">
        <v>12801.273499999999</v>
      </c>
      <c r="K4211">
        <v>7.0800000000000004E-3</v>
      </c>
      <c r="L4211">
        <v>1.172E-2</v>
      </c>
      <c r="M4211">
        <v>1.9199999999999998E-2</v>
      </c>
      <c r="N4211">
        <v>0.4869</v>
      </c>
      <c r="O4211">
        <v>2.2849999999999999E-2</v>
      </c>
      <c r="P4211" s="3">
        <f t="shared" si="260"/>
        <v>7811.7298732869458</v>
      </c>
      <c r="Q4211" s="3">
        <f t="shared" si="261"/>
        <v>7.0786759251859621E-3</v>
      </c>
      <c r="R4211" s="3">
        <f t="shared" si="262"/>
        <v>1.172E-2</v>
      </c>
      <c r="S4211">
        <f t="shared" si="263"/>
        <v>146</v>
      </c>
      <c r="T4211">
        <f>INDEX([1]IDEN_level_ids!$B:$B,MATCH(G4211,[1]IDEN_level_ids!$A:$A,0),1)</f>
        <v>1245</v>
      </c>
      <c r="U4211">
        <f>INDEX([1]IDEN_level_ids!$B:$B,MATCH(H4211,[1]IDEN_level_ids!$A:$A,0),1)</f>
        <v>1188</v>
      </c>
    </row>
    <row r="4212" spans="1:21" hidden="1" x14ac:dyDescent="0.25">
      <c r="A4212">
        <v>12798.8267</v>
      </c>
      <c r="B4212">
        <v>7813.2161999999998</v>
      </c>
      <c r="C4212">
        <v>26</v>
      </c>
      <c r="D4212" t="s">
        <v>821</v>
      </c>
      <c r="E4212" t="s">
        <v>818</v>
      </c>
      <c r="F4212">
        <v>1974</v>
      </c>
      <c r="G4212" s="1" t="s">
        <v>650</v>
      </c>
      <c r="H4212" s="1" t="s">
        <v>168</v>
      </c>
      <c r="I4212">
        <v>0</v>
      </c>
      <c r="J4212">
        <v>12798.811900000001</v>
      </c>
      <c r="K4212">
        <v>-9.0600000000000003E-3</v>
      </c>
      <c r="L4212">
        <v>1.1730000000000001E-2</v>
      </c>
      <c r="M4212">
        <v>1.9199999999999998E-2</v>
      </c>
      <c r="N4212">
        <v>0.65590000000000004</v>
      </c>
      <c r="O4212">
        <v>3.4079999999999999E-2</v>
      </c>
      <c r="P4212" s="3">
        <f t="shared" si="260"/>
        <v>7813.2161911372705</v>
      </c>
      <c r="Q4212" s="3">
        <f t="shared" si="261"/>
        <v>-9.0348698404341121E-3</v>
      </c>
      <c r="R4212" s="3">
        <f t="shared" si="262"/>
        <v>1.1730000000000001E-2</v>
      </c>
      <c r="S4212">
        <f t="shared" si="263"/>
        <v>146</v>
      </c>
      <c r="T4212">
        <f>INDEX([1]IDEN_level_ids!$B:$B,MATCH(G4212,[1]IDEN_level_ids!$A:$A,0),1)</f>
        <v>870</v>
      </c>
      <c r="U4212">
        <f>INDEX([1]IDEN_level_ids!$B:$B,MATCH(H4212,[1]IDEN_level_ids!$A:$A,0),1)</f>
        <v>729</v>
      </c>
    </row>
    <row r="4213" spans="1:21" hidden="1" x14ac:dyDescent="0.25">
      <c r="A4213">
        <v>12792.8177</v>
      </c>
      <c r="B4213">
        <v>7816.8861999999999</v>
      </c>
      <c r="C4213">
        <v>26</v>
      </c>
      <c r="D4213" t="s">
        <v>821</v>
      </c>
      <c r="E4213" t="s">
        <v>427</v>
      </c>
      <c r="F4213">
        <v>1974</v>
      </c>
      <c r="G4213" s="1" t="s">
        <v>710</v>
      </c>
      <c r="H4213" s="1" t="s">
        <v>166</v>
      </c>
      <c r="I4213">
        <v>0</v>
      </c>
      <c r="J4213">
        <v>12792.8272</v>
      </c>
      <c r="K4213">
        <v>5.79E-3</v>
      </c>
      <c r="L4213">
        <v>2.9770000000000001E-2</v>
      </c>
      <c r="M4213">
        <v>4.87E-2</v>
      </c>
      <c r="N4213">
        <v>7.9100000000000004E-2</v>
      </c>
      <c r="O4213">
        <v>3.2329999999999998E-2</v>
      </c>
      <c r="P4213" s="3">
        <f t="shared" si="260"/>
        <v>7816.8861891934885</v>
      </c>
      <c r="Q4213" s="3">
        <f t="shared" si="261"/>
        <v>5.8048481105288374E-3</v>
      </c>
      <c r="R4213" s="3">
        <f t="shared" si="262"/>
        <v>2.9770000000000001E-2</v>
      </c>
      <c r="S4213">
        <f t="shared" si="263"/>
        <v>146</v>
      </c>
      <c r="T4213">
        <f>INDEX([1]IDEN_level_ids!$B:$B,MATCH(G4213,[1]IDEN_level_ids!$A:$A,0),1)</f>
        <v>1246</v>
      </c>
      <c r="U4213">
        <f>INDEX([1]IDEN_level_ids!$B:$B,MATCH(H4213,[1]IDEN_level_ids!$A:$A,0),1)</f>
        <v>1186</v>
      </c>
    </row>
    <row r="4214" spans="1:21" hidden="1" x14ac:dyDescent="0.25">
      <c r="A4214">
        <v>12786.1747</v>
      </c>
      <c r="B4214">
        <v>7820.9474</v>
      </c>
      <c r="C4214">
        <v>26</v>
      </c>
      <c r="D4214" t="s">
        <v>821</v>
      </c>
      <c r="E4214" t="s">
        <v>818</v>
      </c>
      <c r="F4214">
        <v>1974</v>
      </c>
      <c r="G4214" s="1" t="s">
        <v>650</v>
      </c>
      <c r="H4214" s="1" t="s">
        <v>148</v>
      </c>
      <c r="I4214">
        <v>0</v>
      </c>
      <c r="J4214">
        <v>12786.1567</v>
      </c>
      <c r="K4214">
        <v>-1.0999999999999999E-2</v>
      </c>
      <c r="L4214">
        <v>1.175E-2</v>
      </c>
      <c r="M4214">
        <v>1.9199999999999998E-2</v>
      </c>
      <c r="N4214">
        <v>0.61670000000000003</v>
      </c>
      <c r="O4214">
        <v>3.066E-2</v>
      </c>
      <c r="P4214" s="3">
        <f t="shared" si="260"/>
        <v>7820.9474175259002</v>
      </c>
      <c r="Q4214" s="3">
        <f t="shared" si="261"/>
        <v>-1.1010114831151441E-2</v>
      </c>
      <c r="R4214" s="3">
        <f t="shared" si="262"/>
        <v>1.175E-2</v>
      </c>
      <c r="S4214">
        <f t="shared" si="263"/>
        <v>146</v>
      </c>
      <c r="T4214">
        <f>INDEX([1]IDEN_level_ids!$B:$B,MATCH(G4214,[1]IDEN_level_ids!$A:$A,0),1)</f>
        <v>870</v>
      </c>
      <c r="U4214">
        <f>INDEX([1]IDEN_level_ids!$B:$B,MATCH(H4214,[1]IDEN_level_ids!$A:$A,0),1)</f>
        <v>728</v>
      </c>
    </row>
    <row r="4215" spans="1:21" hidden="1" x14ac:dyDescent="0.25">
      <c r="A4215">
        <v>12783.091399999999</v>
      </c>
      <c r="B4215">
        <v>7822.8338999999996</v>
      </c>
      <c r="C4215">
        <v>26</v>
      </c>
      <c r="D4215" t="s">
        <v>821</v>
      </c>
      <c r="E4215" t="s">
        <v>818</v>
      </c>
      <c r="F4215">
        <v>1974</v>
      </c>
      <c r="G4215" s="1" t="s">
        <v>648</v>
      </c>
      <c r="H4215" s="1" t="s">
        <v>133</v>
      </c>
      <c r="I4215">
        <v>0</v>
      </c>
      <c r="J4215">
        <v>12783.07</v>
      </c>
      <c r="K4215">
        <v>-1.307E-2</v>
      </c>
      <c r="L4215">
        <v>1.176E-2</v>
      </c>
      <c r="M4215">
        <v>1.9199999999999998E-2</v>
      </c>
      <c r="N4215">
        <v>0.67049999999999998</v>
      </c>
      <c r="O4215">
        <v>3.5680000000000003E-2</v>
      </c>
      <c r="P4215" s="3">
        <f t="shared" si="260"/>
        <v>7822.8338412725425</v>
      </c>
      <c r="Q4215" s="3">
        <f t="shared" si="261"/>
        <v>-1.3096121995658905E-2</v>
      </c>
      <c r="R4215" s="3">
        <f t="shared" si="262"/>
        <v>1.176E-2</v>
      </c>
      <c r="S4215">
        <f t="shared" si="263"/>
        <v>146</v>
      </c>
      <c r="T4215">
        <f>INDEX([1]IDEN_level_ids!$B:$B,MATCH(G4215,[1]IDEN_level_ids!$A:$A,0),1)</f>
        <v>883</v>
      </c>
      <c r="U4215">
        <f>INDEX([1]IDEN_level_ids!$B:$B,MATCH(H4215,[1]IDEN_level_ids!$A:$A,0),1)</f>
        <v>765</v>
      </c>
    </row>
    <row r="4216" spans="1:21" hidden="1" x14ac:dyDescent="0.25">
      <c r="A4216">
        <v>12781.3148</v>
      </c>
      <c r="B4216">
        <v>7823.9211999999998</v>
      </c>
      <c r="C4216">
        <v>26</v>
      </c>
      <c r="D4216" t="s">
        <v>821</v>
      </c>
      <c r="E4216" t="s">
        <v>818</v>
      </c>
      <c r="F4216">
        <v>1974</v>
      </c>
      <c r="G4216" s="1" t="s">
        <v>639</v>
      </c>
      <c r="H4216" s="1" t="s">
        <v>300</v>
      </c>
      <c r="I4216">
        <v>0</v>
      </c>
      <c r="J4216">
        <v>12781.297399999999</v>
      </c>
      <c r="K4216">
        <v>-1.069E-2</v>
      </c>
      <c r="L4216">
        <v>1.176E-2</v>
      </c>
      <c r="M4216">
        <v>1.9199999999999998E-2</v>
      </c>
      <c r="N4216">
        <v>0.65590000000000004</v>
      </c>
      <c r="O4216">
        <v>3.4180000000000002E-2</v>
      </c>
      <c r="P4216" s="3">
        <f t="shared" si="260"/>
        <v>7823.9212134889285</v>
      </c>
      <c r="Q4216" s="3">
        <f t="shared" si="261"/>
        <v>-1.0651205809153907E-2</v>
      </c>
      <c r="R4216" s="3">
        <f t="shared" si="262"/>
        <v>1.176E-2</v>
      </c>
      <c r="S4216">
        <f t="shared" si="263"/>
        <v>146</v>
      </c>
      <c r="T4216">
        <f>INDEX([1]IDEN_level_ids!$B:$B,MATCH(G4216,[1]IDEN_level_ids!$A:$A,0),1)</f>
        <v>893</v>
      </c>
      <c r="U4216">
        <f>INDEX([1]IDEN_level_ids!$B:$B,MATCH(H4216,[1]IDEN_level_ids!$A:$A,0),1)</f>
        <v>783</v>
      </c>
    </row>
    <row r="4217" spans="1:21" hidden="1" x14ac:dyDescent="0.25">
      <c r="A4217">
        <v>12780.5126</v>
      </c>
      <c r="B4217">
        <v>7824.4123</v>
      </c>
      <c r="C4217">
        <v>26</v>
      </c>
      <c r="D4217" t="s">
        <v>821</v>
      </c>
      <c r="E4217" t="s">
        <v>427</v>
      </c>
      <c r="F4217">
        <v>1974</v>
      </c>
      <c r="G4217" s="1" t="s">
        <v>331</v>
      </c>
      <c r="H4217" s="1" t="s">
        <v>273</v>
      </c>
      <c r="I4217">
        <v>0</v>
      </c>
      <c r="J4217">
        <v>12780.521000000001</v>
      </c>
      <c r="K4217">
        <v>5.13E-3</v>
      </c>
      <c r="L4217">
        <v>2.9829999999999999E-2</v>
      </c>
      <c r="M4217">
        <v>4.87E-2</v>
      </c>
      <c r="N4217">
        <v>0.3221</v>
      </c>
      <c r="O4217">
        <v>4.3999999999999997E-2</v>
      </c>
      <c r="P4217" s="3">
        <f t="shared" si="260"/>
        <v>7824.412300958883</v>
      </c>
      <c r="Q4217" s="3">
        <f t="shared" si="261"/>
        <v>5.1425965602902579E-3</v>
      </c>
      <c r="R4217" s="3">
        <f t="shared" si="262"/>
        <v>2.9829999999999999E-2</v>
      </c>
      <c r="S4217">
        <f t="shared" si="263"/>
        <v>146</v>
      </c>
      <c r="T4217">
        <f>INDEX([1]IDEN_level_ids!$B:$B,MATCH(G4217,[1]IDEN_level_ids!$A:$A,0),1)</f>
        <v>1163</v>
      </c>
      <c r="U4217">
        <f>INDEX([1]IDEN_level_ids!$B:$B,MATCH(H4217,[1]IDEN_level_ids!$A:$A,0),1)</f>
        <v>1105</v>
      </c>
    </row>
    <row r="4218" spans="1:21" hidden="1" x14ac:dyDescent="0.25">
      <c r="A4218">
        <v>12778.633900000001</v>
      </c>
      <c r="B4218">
        <v>7825.5626000000002</v>
      </c>
      <c r="C4218">
        <v>26</v>
      </c>
      <c r="D4218" t="s">
        <v>821</v>
      </c>
      <c r="F4218">
        <v>1974</v>
      </c>
      <c r="G4218" s="1" t="s">
        <v>238</v>
      </c>
      <c r="H4218" s="1" t="s">
        <v>799</v>
      </c>
      <c r="I4218">
        <v>0</v>
      </c>
      <c r="J4218">
        <v>12778.6291</v>
      </c>
      <c r="K4218">
        <v>-2.9499999999999999E-3</v>
      </c>
      <c r="L4218">
        <v>2.8209999999999999E-2</v>
      </c>
      <c r="M4218">
        <v>4.6100000000000002E-2</v>
      </c>
      <c r="N4218">
        <v>0.19159999999999999</v>
      </c>
      <c r="O4218">
        <v>3.49E-2</v>
      </c>
      <c r="P4218" s="3">
        <f t="shared" si="260"/>
        <v>7825.5626370202217</v>
      </c>
      <c r="Q4218" s="3">
        <f t="shared" si="261"/>
        <v>-2.9394937719189329E-3</v>
      </c>
      <c r="R4218" s="3">
        <f t="shared" si="262"/>
        <v>2.8209999999999999E-2</v>
      </c>
      <c r="S4218">
        <f t="shared" si="263"/>
        <v>146</v>
      </c>
      <c r="T4218">
        <f>INDEX([1]IDEN_level_ids!$B:$B,MATCH(G4218,[1]IDEN_level_ids!$A:$A,0),1)</f>
        <v>1165</v>
      </c>
      <c r="U4218">
        <f>INDEX([1]IDEN_level_ids!$B:$B,MATCH(H4218,[1]IDEN_level_ids!$A:$A,0),1)</f>
        <v>1113</v>
      </c>
    </row>
    <row r="4219" spans="1:21" hidden="1" x14ac:dyDescent="0.25">
      <c r="A4219">
        <v>12777.022000000001</v>
      </c>
      <c r="B4219">
        <v>7826.5499</v>
      </c>
      <c r="C4219">
        <v>26</v>
      </c>
      <c r="D4219" t="s">
        <v>821</v>
      </c>
      <c r="E4219" t="s">
        <v>818</v>
      </c>
      <c r="F4219">
        <v>1974</v>
      </c>
      <c r="G4219" s="1" t="s">
        <v>650</v>
      </c>
      <c r="H4219" s="1" t="s">
        <v>169</v>
      </c>
      <c r="I4219">
        <v>0</v>
      </c>
      <c r="J4219">
        <v>12777.000899999999</v>
      </c>
      <c r="K4219">
        <v>-1.2930000000000001E-2</v>
      </c>
      <c r="L4219">
        <v>1.1769999999999999E-2</v>
      </c>
      <c r="M4219">
        <v>1.9199999999999998E-2</v>
      </c>
      <c r="N4219">
        <v>0.71489999999999998</v>
      </c>
      <c r="O4219">
        <v>4.1270000000000001E-2</v>
      </c>
      <c r="P4219" s="3">
        <f t="shared" si="260"/>
        <v>7826.549879932898</v>
      </c>
      <c r="Q4219" s="3">
        <f t="shared" si="261"/>
        <v>-1.292480166284804E-2</v>
      </c>
      <c r="R4219" s="3">
        <f t="shared" si="262"/>
        <v>1.1769999999999999E-2</v>
      </c>
      <c r="S4219">
        <f t="shared" si="263"/>
        <v>146</v>
      </c>
      <c r="T4219">
        <f>INDEX([1]IDEN_level_ids!$B:$B,MATCH(G4219,[1]IDEN_level_ids!$A:$A,0),1)</f>
        <v>870</v>
      </c>
      <c r="U4219">
        <f>INDEX([1]IDEN_level_ids!$B:$B,MATCH(H4219,[1]IDEN_level_ids!$A:$A,0),1)</f>
        <v>727</v>
      </c>
    </row>
    <row r="4220" spans="1:21" hidden="1" x14ac:dyDescent="0.25">
      <c r="A4220">
        <v>12775.3109</v>
      </c>
      <c r="B4220">
        <v>7827.5981000000002</v>
      </c>
      <c r="C4220">
        <v>26</v>
      </c>
      <c r="D4220" t="s">
        <v>821</v>
      </c>
      <c r="E4220" t="s">
        <v>818</v>
      </c>
      <c r="F4220">
        <v>1974</v>
      </c>
      <c r="G4220" s="1" t="s">
        <v>635</v>
      </c>
      <c r="H4220" s="1" t="s">
        <v>805</v>
      </c>
      <c r="I4220">
        <v>0</v>
      </c>
      <c r="J4220">
        <v>12775.298000000001</v>
      </c>
      <c r="K4220">
        <v>-7.92E-3</v>
      </c>
      <c r="L4220">
        <v>1.1769999999999999E-2</v>
      </c>
      <c r="M4220">
        <v>1.9199999999999998E-2</v>
      </c>
      <c r="N4220">
        <v>0.73609999999999998</v>
      </c>
      <c r="O4220">
        <v>4.4600000000000001E-2</v>
      </c>
      <c r="P4220" s="3">
        <f t="shared" si="260"/>
        <v>7827.5981526210835</v>
      </c>
      <c r="Q4220" s="3">
        <f t="shared" si="261"/>
        <v>-7.9040047576199868E-3</v>
      </c>
      <c r="R4220" s="3">
        <f t="shared" si="262"/>
        <v>1.1769999999999999E-2</v>
      </c>
      <c r="S4220">
        <f t="shared" si="263"/>
        <v>146</v>
      </c>
      <c r="T4220">
        <f>INDEX([1]IDEN_level_ids!$B:$B,MATCH(G4220,[1]IDEN_level_ids!$A:$A,0),1)</f>
        <v>840</v>
      </c>
      <c r="U4220">
        <f>INDEX([1]IDEN_level_ids!$B:$B,MATCH(H4220,[1]IDEN_level_ids!$A:$A,0),1)</f>
        <v>661</v>
      </c>
    </row>
    <row r="4221" spans="1:21" hidden="1" x14ac:dyDescent="0.25">
      <c r="A4221">
        <v>12772.051600000001</v>
      </c>
      <c r="B4221">
        <v>7829.5956999999999</v>
      </c>
      <c r="C4221">
        <v>26</v>
      </c>
      <c r="D4221" t="s">
        <v>821</v>
      </c>
      <c r="E4221" t="s">
        <v>427</v>
      </c>
      <c r="F4221">
        <v>1974</v>
      </c>
      <c r="G4221" s="1" t="s">
        <v>348</v>
      </c>
      <c r="H4221" s="1" t="s">
        <v>280</v>
      </c>
      <c r="I4221">
        <v>0</v>
      </c>
      <c r="J4221">
        <v>12772.028899999999</v>
      </c>
      <c r="K4221">
        <v>-1.393E-2</v>
      </c>
      <c r="L4221">
        <v>2.9870000000000001E-2</v>
      </c>
      <c r="M4221">
        <v>4.87E-2</v>
      </c>
      <c r="N4221">
        <v>0.2145</v>
      </c>
      <c r="O4221">
        <v>3.8030000000000001E-2</v>
      </c>
      <c r="P4221" s="3">
        <f t="shared" si="260"/>
        <v>7829.5956774869273</v>
      </c>
      <c r="Q4221" s="3">
        <f t="shared" si="261"/>
        <v>-1.391570777650486E-2</v>
      </c>
      <c r="R4221" s="3">
        <f t="shared" si="262"/>
        <v>2.9870000000000001E-2</v>
      </c>
      <c r="S4221">
        <f t="shared" si="263"/>
        <v>146</v>
      </c>
      <c r="T4221">
        <f>INDEX([1]IDEN_level_ids!$B:$B,MATCH(G4221,[1]IDEN_level_ids!$A:$A,0),1)</f>
        <v>1190</v>
      </c>
      <c r="U4221">
        <f>INDEX([1]IDEN_level_ids!$B:$B,MATCH(H4221,[1]IDEN_level_ids!$A:$A,0),1)</f>
        <v>1130</v>
      </c>
    </row>
    <row r="4222" spans="1:21" hidden="1" x14ac:dyDescent="0.25">
      <c r="A4222">
        <v>12743.5736</v>
      </c>
      <c r="B4222">
        <v>7847.0924000000005</v>
      </c>
      <c r="C4222">
        <v>26</v>
      </c>
      <c r="D4222" t="s">
        <v>821</v>
      </c>
      <c r="E4222" t="s">
        <v>818</v>
      </c>
      <c r="F4222">
        <v>1974</v>
      </c>
      <c r="G4222" s="1" t="s">
        <v>642</v>
      </c>
      <c r="H4222" s="1" t="s">
        <v>164</v>
      </c>
      <c r="I4222">
        <v>0</v>
      </c>
      <c r="J4222">
        <v>12743.571</v>
      </c>
      <c r="K4222">
        <v>-1.6000000000000001E-3</v>
      </c>
      <c r="L4222">
        <v>1.183E-2</v>
      </c>
      <c r="M4222">
        <v>1.9199999999999998E-2</v>
      </c>
      <c r="N4222">
        <v>0.56810000000000005</v>
      </c>
      <c r="O4222">
        <v>2.7390000000000001E-2</v>
      </c>
      <c r="P4222" s="3">
        <f t="shared" si="260"/>
        <v>7847.0924356728319</v>
      </c>
      <c r="Q4222" s="3">
        <f t="shared" si="261"/>
        <v>-1.6009986784411012E-3</v>
      </c>
      <c r="R4222" s="3">
        <f t="shared" si="262"/>
        <v>1.183E-2</v>
      </c>
      <c r="S4222">
        <f t="shared" si="263"/>
        <v>146</v>
      </c>
      <c r="T4222">
        <f>INDEX([1]IDEN_level_ids!$B:$B,MATCH(G4222,[1]IDEN_level_ids!$A:$A,0),1)</f>
        <v>894</v>
      </c>
      <c r="U4222">
        <f>INDEX([1]IDEN_level_ids!$B:$B,MATCH(H4222,[1]IDEN_level_ids!$A:$A,0),1)</f>
        <v>787</v>
      </c>
    </row>
    <row r="4223" spans="1:21" hidden="1" x14ac:dyDescent="0.25">
      <c r="A4223">
        <v>12740.5985</v>
      </c>
      <c r="B4223">
        <v>7848.9249</v>
      </c>
      <c r="C4223">
        <v>26</v>
      </c>
      <c r="D4223" t="s">
        <v>821</v>
      </c>
      <c r="E4223" t="s">
        <v>818</v>
      </c>
      <c r="F4223">
        <v>1974</v>
      </c>
      <c r="G4223" s="1" t="s">
        <v>648</v>
      </c>
      <c r="H4223" s="1" t="s">
        <v>233</v>
      </c>
      <c r="I4223">
        <v>0</v>
      </c>
      <c r="J4223">
        <v>12740.557699999999</v>
      </c>
      <c r="K4223">
        <v>-2.5139999999999999E-2</v>
      </c>
      <c r="L4223">
        <v>1.183E-2</v>
      </c>
      <c r="M4223">
        <v>1.9199999999999998E-2</v>
      </c>
      <c r="N4223">
        <v>0.54990000000000006</v>
      </c>
      <c r="O4223">
        <v>2.6290000000000001E-2</v>
      </c>
      <c r="P4223" s="3">
        <f t="shared" si="260"/>
        <v>7848.924836615799</v>
      </c>
      <c r="Q4223" s="3">
        <f t="shared" si="261"/>
        <v>-2.5135173897979257E-2</v>
      </c>
      <c r="R4223" s="3">
        <f t="shared" si="262"/>
        <v>1.183E-2</v>
      </c>
      <c r="S4223">
        <f t="shared" si="263"/>
        <v>146</v>
      </c>
      <c r="T4223">
        <f>INDEX([1]IDEN_level_ids!$B:$B,MATCH(G4223,[1]IDEN_level_ids!$A:$A,0),1)</f>
        <v>883</v>
      </c>
      <c r="U4223">
        <f>INDEX([1]IDEN_level_ids!$B:$B,MATCH(H4223,[1]IDEN_level_ids!$A:$A,0),1)</f>
        <v>766</v>
      </c>
    </row>
    <row r="4224" spans="1:21" hidden="1" x14ac:dyDescent="0.25">
      <c r="A4224">
        <v>12727.377699999999</v>
      </c>
      <c r="B4224">
        <v>7857.0780000000004</v>
      </c>
      <c r="C4224">
        <v>26</v>
      </c>
      <c r="D4224" t="s">
        <v>822</v>
      </c>
      <c r="E4224" t="s">
        <v>818</v>
      </c>
      <c r="F4224">
        <v>1974</v>
      </c>
      <c r="G4224" s="1" t="s">
        <v>640</v>
      </c>
      <c r="H4224" s="1" t="s">
        <v>218</v>
      </c>
      <c r="I4224">
        <v>0</v>
      </c>
      <c r="J4224">
        <v>12727.3668</v>
      </c>
      <c r="K4224">
        <v>-6.7600000000000004E-3</v>
      </c>
      <c r="L4224">
        <v>1.1860000000000001E-2</v>
      </c>
      <c r="M4224">
        <v>1.9199999999999998E-2</v>
      </c>
      <c r="N4224">
        <v>0.78510000000000002</v>
      </c>
      <c r="O4224">
        <v>5.518E-2</v>
      </c>
      <c r="P4224" s="3">
        <f t="shared" si="260"/>
        <v>7857.0780530855154</v>
      </c>
      <c r="Q4224" s="3">
        <f t="shared" si="261"/>
        <v>-6.7289763956068782E-3</v>
      </c>
      <c r="R4224" s="3">
        <f t="shared" si="262"/>
        <v>1.1860000000000001E-2</v>
      </c>
      <c r="S4224">
        <f t="shared" si="263"/>
        <v>147</v>
      </c>
      <c r="T4224">
        <f>INDEX([1]IDEN_level_ids!$B:$B,MATCH(G4224,[1]IDEN_level_ids!$A:$A,0),1)</f>
        <v>843</v>
      </c>
      <c r="U4224">
        <f>INDEX([1]IDEN_level_ids!$B:$B,MATCH(H4224,[1]IDEN_level_ids!$A:$A,0),1)</f>
        <v>666</v>
      </c>
    </row>
    <row r="4225" spans="1:21" hidden="1" x14ac:dyDescent="0.25">
      <c r="A4225">
        <v>12709.220600000001</v>
      </c>
      <c r="B4225">
        <v>7868.3031000000001</v>
      </c>
      <c r="C4225">
        <v>26</v>
      </c>
      <c r="D4225" t="s">
        <v>822</v>
      </c>
      <c r="E4225" t="s">
        <v>427</v>
      </c>
      <c r="F4225">
        <v>1974</v>
      </c>
      <c r="G4225" s="1" t="s">
        <v>719</v>
      </c>
      <c r="H4225" s="1" t="s">
        <v>71</v>
      </c>
      <c r="I4225">
        <v>0</v>
      </c>
      <c r="J4225">
        <v>12709.2107</v>
      </c>
      <c r="K4225">
        <v>-6.13E-3</v>
      </c>
      <c r="L4225">
        <v>3.0169999999999999E-2</v>
      </c>
      <c r="M4225">
        <v>4.87E-2</v>
      </c>
      <c r="N4225">
        <v>0.1057</v>
      </c>
      <c r="O4225">
        <v>3.3730000000000003E-2</v>
      </c>
      <c r="P4225" s="3">
        <f t="shared" si="260"/>
        <v>7868.3031121515032</v>
      </c>
      <c r="Q4225" s="3">
        <f t="shared" si="261"/>
        <v>-6.1291139672903228E-3</v>
      </c>
      <c r="R4225" s="3">
        <f t="shared" si="262"/>
        <v>3.0169999999999999E-2</v>
      </c>
      <c r="S4225">
        <f t="shared" si="263"/>
        <v>147</v>
      </c>
      <c r="T4225">
        <f>INDEX([1]IDEN_level_ids!$B:$B,MATCH(G4225,[1]IDEN_level_ids!$A:$A,0),1)</f>
        <v>1244</v>
      </c>
      <c r="U4225">
        <f>INDEX([1]IDEN_level_ids!$B:$B,MATCH(H4225,[1]IDEN_level_ids!$A:$A,0),1)</f>
        <v>1179</v>
      </c>
    </row>
    <row r="4226" spans="1:21" hidden="1" x14ac:dyDescent="0.25">
      <c r="A4226">
        <v>12699.474099999999</v>
      </c>
      <c r="B4226">
        <v>7874.3418000000001</v>
      </c>
      <c r="C4226">
        <v>26</v>
      </c>
      <c r="D4226" t="s">
        <v>822</v>
      </c>
      <c r="E4226" t="s">
        <v>427</v>
      </c>
      <c r="F4226">
        <v>1974</v>
      </c>
      <c r="G4226" s="1" t="s">
        <v>620</v>
      </c>
      <c r="H4226" s="1" t="s">
        <v>805</v>
      </c>
      <c r="I4226">
        <v>0</v>
      </c>
      <c r="J4226">
        <v>12699.4406</v>
      </c>
      <c r="K4226">
        <v>-2.0760000000000001E-2</v>
      </c>
      <c r="L4226">
        <v>3.0210000000000001E-2</v>
      </c>
      <c r="M4226">
        <v>4.87E-2</v>
      </c>
      <c r="N4226">
        <v>0.24790000000000001</v>
      </c>
      <c r="O4226">
        <v>4.018E-2</v>
      </c>
      <c r="P4226" s="3">
        <f t="shared" ref="P4226:P4289" si="264">100000000/$A4226</f>
        <v>7874.3418201860823</v>
      </c>
      <c r="Q4226" s="3">
        <f t="shared" ref="Q4226:Q4289" si="265">100000000/($A4226)-100000000/$J4226</f>
        <v>-2.0771816592059622E-2</v>
      </c>
      <c r="R4226" s="3">
        <f t="shared" si="262"/>
        <v>3.0210000000000001E-2</v>
      </c>
      <c r="S4226">
        <f t="shared" si="263"/>
        <v>147</v>
      </c>
      <c r="T4226">
        <f>INDEX([1]IDEN_level_ids!$B:$B,MATCH(G4226,[1]IDEN_level_ids!$A:$A,0),1)</f>
        <v>839</v>
      </c>
      <c r="U4226">
        <f>INDEX([1]IDEN_level_ids!$B:$B,MATCH(H4226,[1]IDEN_level_ids!$A:$A,0),1)</f>
        <v>661</v>
      </c>
    </row>
    <row r="4227" spans="1:21" hidden="1" x14ac:dyDescent="0.25">
      <c r="A4227">
        <v>12691.5278</v>
      </c>
      <c r="B4227">
        <v>7879.2719999999999</v>
      </c>
      <c r="C4227">
        <v>26</v>
      </c>
      <c r="D4227" t="s">
        <v>822</v>
      </c>
      <c r="E4227" t="s">
        <v>818</v>
      </c>
      <c r="F4227">
        <v>1974</v>
      </c>
      <c r="G4227" s="1" t="s">
        <v>637</v>
      </c>
      <c r="H4227" s="1" t="s">
        <v>233</v>
      </c>
      <c r="I4227">
        <v>0</v>
      </c>
      <c r="J4227">
        <v>12691.5252</v>
      </c>
      <c r="K4227">
        <v>-1.6299999999999999E-3</v>
      </c>
      <c r="L4227">
        <v>1.193E-2</v>
      </c>
      <c r="M4227">
        <v>1.9199999999999998E-2</v>
      </c>
      <c r="N4227">
        <v>0.62919999999999998</v>
      </c>
      <c r="O4227">
        <v>3.2169999999999997E-2</v>
      </c>
      <c r="P4227" s="3">
        <f t="shared" si="264"/>
        <v>7879.2720290145053</v>
      </c>
      <c r="Q4227" s="3">
        <f t="shared" si="265"/>
        <v>-1.6141564510689932E-3</v>
      </c>
      <c r="R4227" s="3">
        <f t="shared" ref="R4227:R4290" si="266">$L4227</f>
        <v>1.193E-2</v>
      </c>
      <c r="S4227">
        <f t="shared" si="263"/>
        <v>147</v>
      </c>
      <c r="T4227">
        <f>INDEX([1]IDEN_level_ids!$B:$B,MATCH(G4227,[1]IDEN_level_ids!$A:$A,0),1)</f>
        <v>882</v>
      </c>
      <c r="U4227">
        <f>INDEX([1]IDEN_level_ids!$B:$B,MATCH(H4227,[1]IDEN_level_ids!$A:$A,0),1)</f>
        <v>766</v>
      </c>
    </row>
    <row r="4228" spans="1:21" hidden="1" x14ac:dyDescent="0.25">
      <c r="A4228">
        <v>12673.810100000001</v>
      </c>
      <c r="B4228">
        <v>7890.2870000000003</v>
      </c>
      <c r="C4228">
        <v>26</v>
      </c>
      <c r="D4228" t="s">
        <v>822</v>
      </c>
      <c r="F4228">
        <v>1974</v>
      </c>
      <c r="G4228" s="1" t="s">
        <v>710</v>
      </c>
      <c r="H4228" s="1" t="s">
        <v>180</v>
      </c>
      <c r="I4228">
        <v>0</v>
      </c>
      <c r="J4228">
        <v>12673.791999999999</v>
      </c>
      <c r="K4228">
        <v>-1.129E-2</v>
      </c>
      <c r="L4228">
        <v>2.8680000000000001E-2</v>
      </c>
      <c r="M4228">
        <v>4.6100000000000002E-2</v>
      </c>
      <c r="N4228">
        <v>0.1048</v>
      </c>
      <c r="O4228">
        <v>3.2039999999999999E-2</v>
      </c>
      <c r="P4228" s="3">
        <f t="shared" si="264"/>
        <v>7890.2870731825151</v>
      </c>
      <c r="Q4228" s="3">
        <f t="shared" si="265"/>
        <v>-1.1268466140791134E-2</v>
      </c>
      <c r="R4228" s="3">
        <f t="shared" si="266"/>
        <v>2.8680000000000001E-2</v>
      </c>
      <c r="S4228">
        <f t="shared" ref="S4228:S4291" si="267">IF(D4228=D4227,S4227,S4227+1)</f>
        <v>147</v>
      </c>
      <c r="T4228">
        <f>INDEX([1]IDEN_level_ids!$B:$B,MATCH(G4228,[1]IDEN_level_ids!$A:$A,0),1)</f>
        <v>1246</v>
      </c>
      <c r="U4228">
        <f>INDEX([1]IDEN_level_ids!$B:$B,MATCH(H4228,[1]IDEN_level_ids!$A:$A,0),1)</f>
        <v>1184</v>
      </c>
    </row>
    <row r="4229" spans="1:21" hidden="1" x14ac:dyDescent="0.25">
      <c r="A4229">
        <v>12659.4097</v>
      </c>
      <c r="B4229">
        <v>7899.2624999999998</v>
      </c>
      <c r="C4229">
        <v>26</v>
      </c>
      <c r="D4229" t="s">
        <v>822</v>
      </c>
      <c r="F4229">
        <v>1974</v>
      </c>
      <c r="G4229" s="1" t="s">
        <v>120</v>
      </c>
      <c r="H4229" s="1" t="s">
        <v>18</v>
      </c>
      <c r="I4229">
        <v>0</v>
      </c>
      <c r="J4229">
        <v>12659.4177</v>
      </c>
      <c r="K4229">
        <v>4.9800000000000001E-3</v>
      </c>
      <c r="L4229">
        <v>2.8740000000000002E-2</v>
      </c>
      <c r="M4229">
        <v>4.6100000000000002E-2</v>
      </c>
      <c r="N4229">
        <v>0.22589999999999999</v>
      </c>
      <c r="O4229">
        <v>3.7130000000000003E-2</v>
      </c>
      <c r="P4229" s="3">
        <f t="shared" si="264"/>
        <v>7899.2624750899722</v>
      </c>
      <c r="Q4229" s="3">
        <f t="shared" si="265"/>
        <v>4.9918646573132719E-3</v>
      </c>
      <c r="R4229" s="3">
        <f t="shared" si="266"/>
        <v>2.8740000000000002E-2</v>
      </c>
      <c r="S4229">
        <f t="shared" si="267"/>
        <v>147</v>
      </c>
      <c r="T4229">
        <f>INDEX([1]IDEN_level_ids!$B:$B,MATCH(G4229,[1]IDEN_level_ids!$A:$A,0),1)</f>
        <v>1250</v>
      </c>
      <c r="U4229">
        <f>INDEX([1]IDEN_level_ids!$B:$B,MATCH(H4229,[1]IDEN_level_ids!$A:$A,0),1)</f>
        <v>1226</v>
      </c>
    </row>
    <row r="4230" spans="1:21" hidden="1" x14ac:dyDescent="0.25">
      <c r="A4230">
        <v>12658.441500000001</v>
      </c>
      <c r="B4230">
        <v>7899.8666999999996</v>
      </c>
      <c r="C4230">
        <v>26</v>
      </c>
      <c r="D4230" t="s">
        <v>822</v>
      </c>
      <c r="E4230" t="s">
        <v>818</v>
      </c>
      <c r="F4230">
        <v>1974</v>
      </c>
      <c r="G4230" s="1" t="s">
        <v>648</v>
      </c>
      <c r="H4230" s="1" t="s">
        <v>186</v>
      </c>
      <c r="I4230">
        <v>0</v>
      </c>
      <c r="J4230">
        <v>12658.434999999999</v>
      </c>
      <c r="K4230">
        <v>-4.0600000000000002E-3</v>
      </c>
      <c r="L4230">
        <v>1.1990000000000001E-2</v>
      </c>
      <c r="M4230">
        <v>1.9199999999999998E-2</v>
      </c>
      <c r="N4230">
        <v>0.69089999999999996</v>
      </c>
      <c r="O4230">
        <v>3.8780000000000002E-2</v>
      </c>
      <c r="P4230" s="3">
        <f t="shared" si="264"/>
        <v>7899.8666621005432</v>
      </c>
      <c r="Q4230" s="3">
        <f t="shared" si="265"/>
        <v>-4.0565151466580573E-3</v>
      </c>
      <c r="R4230" s="3">
        <f t="shared" si="266"/>
        <v>1.1990000000000001E-2</v>
      </c>
      <c r="S4230">
        <f t="shared" si="267"/>
        <v>147</v>
      </c>
      <c r="T4230">
        <f>INDEX([1]IDEN_level_ids!$B:$B,MATCH(G4230,[1]IDEN_level_ids!$A:$A,0),1)</f>
        <v>883</v>
      </c>
      <c r="U4230">
        <f>INDEX([1]IDEN_level_ids!$B:$B,MATCH(H4230,[1]IDEN_level_ids!$A:$A,0),1)</f>
        <v>768</v>
      </c>
    </row>
    <row r="4231" spans="1:21" hidden="1" x14ac:dyDescent="0.25">
      <c r="A4231">
        <v>12632.355600000001</v>
      </c>
      <c r="B4231">
        <v>7916.18</v>
      </c>
      <c r="C4231">
        <v>26</v>
      </c>
      <c r="D4231" t="s">
        <v>822</v>
      </c>
      <c r="F4231">
        <v>1974</v>
      </c>
      <c r="G4231" s="1" t="s">
        <v>736</v>
      </c>
      <c r="H4231" s="1" t="s">
        <v>55</v>
      </c>
      <c r="I4231">
        <v>0</v>
      </c>
      <c r="J4231">
        <v>12632.3614</v>
      </c>
      <c r="K4231">
        <v>3.64E-3</v>
      </c>
      <c r="L4231">
        <v>2.887E-2</v>
      </c>
      <c r="M4231">
        <v>4.6100000000000002E-2</v>
      </c>
      <c r="N4231">
        <v>0.17369999999999999</v>
      </c>
      <c r="O4231">
        <v>3.4939999999999999E-2</v>
      </c>
      <c r="P4231" s="3">
        <f t="shared" si="264"/>
        <v>7916.1799403430341</v>
      </c>
      <c r="Q4231" s="3">
        <f t="shared" si="265"/>
        <v>3.6346208116810885E-3</v>
      </c>
      <c r="R4231" s="3">
        <f t="shared" si="266"/>
        <v>2.887E-2</v>
      </c>
      <c r="S4231">
        <f t="shared" si="267"/>
        <v>147</v>
      </c>
      <c r="T4231">
        <f>INDEX([1]IDEN_level_ids!$B:$B,MATCH(G4231,[1]IDEN_level_ids!$A:$A,0),1)</f>
        <v>1251</v>
      </c>
      <c r="U4231">
        <f>INDEX([1]IDEN_level_ids!$B:$B,MATCH(H4231,[1]IDEN_level_ids!$A:$A,0),1)</f>
        <v>1233</v>
      </c>
    </row>
    <row r="4232" spans="1:21" hidden="1" x14ac:dyDescent="0.25">
      <c r="A4232">
        <v>12622.442800000001</v>
      </c>
      <c r="B4232">
        <v>7922.3968000000004</v>
      </c>
      <c r="C4232">
        <v>26</v>
      </c>
      <c r="D4232" t="s">
        <v>822</v>
      </c>
      <c r="E4232" t="s">
        <v>818</v>
      </c>
      <c r="F4232">
        <v>1974</v>
      </c>
      <c r="G4232" s="1" t="s">
        <v>645</v>
      </c>
      <c r="H4232" s="1" t="s">
        <v>175</v>
      </c>
      <c r="I4232">
        <v>0</v>
      </c>
      <c r="J4232">
        <v>12622.4287</v>
      </c>
      <c r="K4232">
        <v>-8.8599999999999998E-3</v>
      </c>
      <c r="L4232">
        <v>1.206E-2</v>
      </c>
      <c r="M4232">
        <v>1.9199999999999998E-2</v>
      </c>
      <c r="N4232">
        <v>0.53900000000000003</v>
      </c>
      <c r="O4232">
        <v>2.6159999999999999E-2</v>
      </c>
      <c r="P4232" s="3">
        <f t="shared" si="264"/>
        <v>7922.3967645945677</v>
      </c>
      <c r="Q4232" s="3">
        <f t="shared" si="265"/>
        <v>-8.849786126120307E-3</v>
      </c>
      <c r="R4232" s="3">
        <f t="shared" si="266"/>
        <v>1.206E-2</v>
      </c>
      <c r="S4232">
        <f t="shared" si="267"/>
        <v>147</v>
      </c>
      <c r="T4232">
        <f>INDEX([1]IDEN_level_ids!$B:$B,MATCH(G4232,[1]IDEN_level_ids!$A:$A,0),1)</f>
        <v>895</v>
      </c>
      <c r="U4232">
        <f>INDEX([1]IDEN_level_ids!$B:$B,MATCH(H4232,[1]IDEN_level_ids!$A:$A,0),1)</f>
        <v>790</v>
      </c>
    </row>
    <row r="4233" spans="1:21" hidden="1" x14ac:dyDescent="0.25">
      <c r="A4233">
        <v>12617.749599999999</v>
      </c>
      <c r="B4233">
        <v>7925.3434999999999</v>
      </c>
      <c r="C4233">
        <v>26</v>
      </c>
      <c r="D4233" t="s">
        <v>822</v>
      </c>
      <c r="F4233">
        <v>1974</v>
      </c>
      <c r="G4233" s="1" t="s">
        <v>339</v>
      </c>
      <c r="H4233" s="1" t="s">
        <v>280</v>
      </c>
      <c r="I4233">
        <v>0</v>
      </c>
      <c r="J4233">
        <v>12617.738799999999</v>
      </c>
      <c r="K4233">
        <v>-6.77E-3</v>
      </c>
      <c r="L4233">
        <v>2.8930000000000001E-2</v>
      </c>
      <c r="M4233">
        <v>4.6100000000000002E-2</v>
      </c>
      <c r="N4233">
        <v>0.18490000000000001</v>
      </c>
      <c r="O4233">
        <v>3.5499999999999997E-2</v>
      </c>
      <c r="P4233" s="3">
        <f t="shared" si="264"/>
        <v>7925.3435176744997</v>
      </c>
      <c r="Q4233" s="3">
        <f t="shared" si="265"/>
        <v>-6.7836013522537542E-3</v>
      </c>
      <c r="R4233" s="3">
        <f t="shared" si="266"/>
        <v>2.8930000000000001E-2</v>
      </c>
      <c r="S4233">
        <f t="shared" si="267"/>
        <v>147</v>
      </c>
      <c r="T4233">
        <f>INDEX([1]IDEN_level_ids!$B:$B,MATCH(G4233,[1]IDEN_level_ids!$A:$A,0),1)</f>
        <v>1189</v>
      </c>
      <c r="U4233">
        <f>INDEX([1]IDEN_level_ids!$B:$B,MATCH(H4233,[1]IDEN_level_ids!$A:$A,0),1)</f>
        <v>1130</v>
      </c>
    </row>
    <row r="4234" spans="1:21" hidden="1" x14ac:dyDescent="0.25">
      <c r="A4234">
        <v>12608.6407</v>
      </c>
      <c r="B4234">
        <v>7931.0690999999997</v>
      </c>
      <c r="C4234">
        <v>26</v>
      </c>
      <c r="D4234" t="s">
        <v>822</v>
      </c>
      <c r="E4234" t="s">
        <v>427</v>
      </c>
      <c r="F4234">
        <v>1974</v>
      </c>
      <c r="G4234" s="1" t="s">
        <v>346</v>
      </c>
      <c r="H4234" s="1" t="s">
        <v>345</v>
      </c>
      <c r="I4234">
        <v>0</v>
      </c>
      <c r="J4234">
        <v>12608.607</v>
      </c>
      <c r="K4234">
        <v>-2.12E-2</v>
      </c>
      <c r="L4234">
        <v>3.065E-2</v>
      </c>
      <c r="M4234">
        <v>4.87E-2</v>
      </c>
      <c r="N4234">
        <v>0.182</v>
      </c>
      <c r="O4234">
        <v>3.7470000000000003E-2</v>
      </c>
      <c r="P4234" s="3">
        <f t="shared" si="264"/>
        <v>7931.0690485454152</v>
      </c>
      <c r="Q4234" s="3">
        <f t="shared" si="265"/>
        <v>-2.1197982214289368E-2</v>
      </c>
      <c r="R4234" s="3">
        <f t="shared" si="266"/>
        <v>3.065E-2</v>
      </c>
      <c r="S4234">
        <f t="shared" si="267"/>
        <v>147</v>
      </c>
      <c r="T4234">
        <f>INDEX([1]IDEN_level_ids!$B:$B,MATCH(G4234,[1]IDEN_level_ids!$A:$A,0),1)</f>
        <v>1159</v>
      </c>
      <c r="U4234">
        <f>INDEX([1]IDEN_level_ids!$B:$B,MATCH(H4234,[1]IDEN_level_ids!$A:$A,0),1)</f>
        <v>1106</v>
      </c>
    </row>
    <row r="4235" spans="1:21" hidden="1" x14ac:dyDescent="0.25">
      <c r="A4235">
        <v>12596.460300000001</v>
      </c>
      <c r="B4235">
        <v>7938.7380999999996</v>
      </c>
      <c r="C4235">
        <v>26</v>
      </c>
      <c r="D4235" t="s">
        <v>822</v>
      </c>
      <c r="E4235" t="s">
        <v>818</v>
      </c>
      <c r="F4235">
        <v>1974</v>
      </c>
      <c r="G4235" s="1" t="s">
        <v>643</v>
      </c>
      <c r="H4235" s="1" t="s">
        <v>148</v>
      </c>
      <c r="I4235">
        <v>0</v>
      </c>
      <c r="J4235">
        <v>12596.444100000001</v>
      </c>
      <c r="K4235">
        <v>-1.025E-2</v>
      </c>
      <c r="L4235">
        <v>1.2109999999999999E-2</v>
      </c>
      <c r="M4235">
        <v>1.9199999999999998E-2</v>
      </c>
      <c r="N4235">
        <v>0.62760000000000005</v>
      </c>
      <c r="O4235">
        <v>3.2509999999999997E-2</v>
      </c>
      <c r="P4235" s="3">
        <f t="shared" si="264"/>
        <v>7938.7381548767307</v>
      </c>
      <c r="Q4235" s="3">
        <f t="shared" si="265"/>
        <v>-1.0209830416897603E-2</v>
      </c>
      <c r="R4235" s="3">
        <f t="shared" si="266"/>
        <v>1.2109999999999999E-2</v>
      </c>
      <c r="S4235">
        <f t="shared" si="267"/>
        <v>147</v>
      </c>
      <c r="T4235">
        <f>INDEX([1]IDEN_level_ids!$B:$B,MATCH(G4235,[1]IDEN_level_ids!$A:$A,0),1)</f>
        <v>869</v>
      </c>
      <c r="U4235">
        <f>INDEX([1]IDEN_level_ids!$B:$B,MATCH(H4235,[1]IDEN_level_ids!$A:$A,0),1)</f>
        <v>728</v>
      </c>
    </row>
    <row r="4236" spans="1:21" hidden="1" x14ac:dyDescent="0.25">
      <c r="A4236">
        <v>12586.6245</v>
      </c>
      <c r="B4236">
        <v>7944.9418999999998</v>
      </c>
      <c r="C4236">
        <v>26</v>
      </c>
      <c r="D4236" t="s">
        <v>822</v>
      </c>
      <c r="F4236">
        <v>1974</v>
      </c>
      <c r="G4236" s="1" t="s">
        <v>672</v>
      </c>
      <c r="H4236" s="1" t="s">
        <v>300</v>
      </c>
      <c r="I4236">
        <v>0</v>
      </c>
      <c r="J4236">
        <v>12586.6157</v>
      </c>
      <c r="K4236">
        <v>-5.5700000000000003E-3</v>
      </c>
      <c r="L4236">
        <v>2.9080000000000002E-2</v>
      </c>
      <c r="M4236">
        <v>4.6100000000000002E-2</v>
      </c>
      <c r="N4236">
        <v>0.2913</v>
      </c>
      <c r="O4236">
        <v>4.1029999999999997E-2</v>
      </c>
      <c r="P4236" s="3">
        <f t="shared" si="264"/>
        <v>7944.9418706341803</v>
      </c>
      <c r="Q4236" s="3">
        <f t="shared" si="265"/>
        <v>-5.554748800022935E-3</v>
      </c>
      <c r="R4236" s="3">
        <f t="shared" si="266"/>
        <v>2.9080000000000002E-2</v>
      </c>
      <c r="S4236">
        <f t="shared" si="267"/>
        <v>147</v>
      </c>
      <c r="T4236">
        <f>INDEX([1]IDEN_level_ids!$B:$B,MATCH(G4236,[1]IDEN_level_ids!$A:$A,0),1)</f>
        <v>891</v>
      </c>
      <c r="U4236">
        <f>INDEX([1]IDEN_level_ids!$B:$B,MATCH(H4236,[1]IDEN_level_ids!$A:$A,0),1)</f>
        <v>783</v>
      </c>
    </row>
    <row r="4237" spans="1:21" hidden="1" x14ac:dyDescent="0.25">
      <c r="A4237">
        <v>12582.6294</v>
      </c>
      <c r="B4237">
        <v>7947.4645</v>
      </c>
      <c r="C4237">
        <v>26</v>
      </c>
      <c r="D4237" t="s">
        <v>822</v>
      </c>
      <c r="E4237" t="s">
        <v>427</v>
      </c>
      <c r="F4237">
        <v>1974</v>
      </c>
      <c r="G4237" s="1" t="s">
        <v>669</v>
      </c>
      <c r="H4237" s="1" t="s">
        <v>180</v>
      </c>
      <c r="I4237">
        <v>0</v>
      </c>
      <c r="J4237">
        <v>12582.589599999999</v>
      </c>
      <c r="K4237">
        <v>-2.5139999999999999E-2</v>
      </c>
      <c r="L4237">
        <v>3.0779999999999998E-2</v>
      </c>
      <c r="M4237">
        <v>4.87E-2</v>
      </c>
      <c r="N4237">
        <v>0.1024</v>
      </c>
      <c r="O4237">
        <v>3.4290000000000001E-2</v>
      </c>
      <c r="P4237" s="3">
        <f t="shared" si="264"/>
        <v>7947.4644623960712</v>
      </c>
      <c r="Q4237" s="3">
        <f t="shared" si="265"/>
        <v>-2.5138631685877044E-2</v>
      </c>
      <c r="R4237" s="3">
        <f t="shared" si="266"/>
        <v>3.0779999999999998E-2</v>
      </c>
      <c r="S4237">
        <f t="shared" si="267"/>
        <v>147</v>
      </c>
      <c r="T4237">
        <f>INDEX([1]IDEN_level_ids!$B:$B,MATCH(G4237,[1]IDEN_level_ids!$A:$A,0),1)</f>
        <v>1245</v>
      </c>
      <c r="U4237">
        <f>INDEX([1]IDEN_level_ids!$B:$B,MATCH(H4237,[1]IDEN_level_ids!$A:$A,0),1)</f>
        <v>1184</v>
      </c>
    </row>
    <row r="4238" spans="1:21" hidden="1" x14ac:dyDescent="0.25">
      <c r="A4238">
        <v>12564.0254</v>
      </c>
      <c r="B4238">
        <v>7959.2326000000003</v>
      </c>
      <c r="C4238">
        <v>26</v>
      </c>
      <c r="D4238" t="s">
        <v>823</v>
      </c>
      <c r="E4238" t="s">
        <v>427</v>
      </c>
      <c r="F4238">
        <v>1974</v>
      </c>
      <c r="G4238" s="1" t="s">
        <v>794</v>
      </c>
      <c r="H4238" s="1" t="s">
        <v>611</v>
      </c>
      <c r="I4238">
        <v>0</v>
      </c>
      <c r="J4238">
        <v>12564.027899999999</v>
      </c>
      <c r="K4238">
        <v>1.64E-3</v>
      </c>
      <c r="L4238">
        <v>3.0870000000000002E-2</v>
      </c>
      <c r="M4238">
        <v>4.87E-2</v>
      </c>
      <c r="N4238">
        <v>0.26750000000000002</v>
      </c>
      <c r="O4238">
        <v>4.2139999999999997E-2</v>
      </c>
      <c r="P4238" s="3">
        <f t="shared" si="264"/>
        <v>7959.2325561519474</v>
      </c>
      <c r="Q4238" s="3">
        <f t="shared" si="265"/>
        <v>1.5837342562008416E-3</v>
      </c>
      <c r="R4238" s="3">
        <f t="shared" si="266"/>
        <v>3.0870000000000002E-2</v>
      </c>
      <c r="S4238">
        <f t="shared" si="267"/>
        <v>148</v>
      </c>
      <c r="T4238">
        <f>INDEX([1]IDEN_level_ids!$B:$B,MATCH(G4238,[1]IDEN_level_ids!$A:$A,0),1)</f>
        <v>1164</v>
      </c>
      <c r="U4238">
        <f>INDEX([1]IDEN_level_ids!$B:$B,MATCH(H4238,[1]IDEN_level_ids!$A:$A,0),1)</f>
        <v>1110</v>
      </c>
    </row>
    <row r="4239" spans="1:21" hidden="1" x14ac:dyDescent="0.25">
      <c r="A4239">
        <v>12561.0322</v>
      </c>
      <c r="B4239">
        <v>7961.1292000000003</v>
      </c>
      <c r="C4239">
        <v>26</v>
      </c>
      <c r="D4239" t="s">
        <v>823</v>
      </c>
      <c r="E4239" t="s">
        <v>427</v>
      </c>
      <c r="F4239">
        <v>1974</v>
      </c>
      <c r="G4239" s="1" t="s">
        <v>736</v>
      </c>
      <c r="H4239" s="1" t="s">
        <v>20</v>
      </c>
      <c r="I4239">
        <v>0</v>
      </c>
      <c r="J4239">
        <v>12561.0198</v>
      </c>
      <c r="K4239">
        <v>-7.8499999999999993E-3</v>
      </c>
      <c r="L4239">
        <v>3.0880000000000001E-2</v>
      </c>
      <c r="M4239">
        <v>4.87E-2</v>
      </c>
      <c r="N4239">
        <v>0.22650000000000001</v>
      </c>
      <c r="O4239">
        <v>3.9919999999999997E-2</v>
      </c>
      <c r="P4239" s="3">
        <f t="shared" si="264"/>
        <v>7961.1291817244128</v>
      </c>
      <c r="Q4239" s="3">
        <f t="shared" si="265"/>
        <v>-7.8590754110337002E-3</v>
      </c>
      <c r="R4239" s="3">
        <f t="shared" si="266"/>
        <v>3.0880000000000001E-2</v>
      </c>
      <c r="S4239">
        <f t="shared" si="267"/>
        <v>148</v>
      </c>
      <c r="T4239">
        <f>INDEX([1]IDEN_level_ids!$B:$B,MATCH(G4239,[1]IDEN_level_ids!$A:$A,0),1)</f>
        <v>1251</v>
      </c>
      <c r="U4239">
        <f>INDEX([1]IDEN_level_ids!$B:$B,MATCH(H4239,[1]IDEN_level_ids!$A:$A,0),1)</f>
        <v>1235</v>
      </c>
    </row>
    <row r="4240" spans="1:21" hidden="1" x14ac:dyDescent="0.25">
      <c r="A4240">
        <v>12559.3595</v>
      </c>
      <c r="B4240">
        <v>7962.1894000000002</v>
      </c>
      <c r="C4240">
        <v>26</v>
      </c>
      <c r="D4240" t="s">
        <v>823</v>
      </c>
      <c r="F4240">
        <v>1974</v>
      </c>
      <c r="G4240" s="1" t="s">
        <v>706</v>
      </c>
      <c r="H4240" s="1" t="s">
        <v>238</v>
      </c>
      <c r="I4240">
        <v>0</v>
      </c>
      <c r="J4240">
        <v>12559.376</v>
      </c>
      <c r="K4240">
        <v>1.044E-2</v>
      </c>
      <c r="L4240">
        <v>2.92E-2</v>
      </c>
      <c r="M4240">
        <v>4.6100000000000002E-2</v>
      </c>
      <c r="N4240">
        <v>0.106</v>
      </c>
      <c r="O4240">
        <v>3.2669999999999998E-2</v>
      </c>
      <c r="P4240" s="3">
        <f t="shared" si="264"/>
        <v>7962.1894731176371</v>
      </c>
      <c r="Q4240" s="3">
        <f t="shared" si="265"/>
        <v>1.0460402355420229E-2</v>
      </c>
      <c r="R4240" s="3">
        <f t="shared" si="266"/>
        <v>2.92E-2</v>
      </c>
      <c r="S4240">
        <f t="shared" si="267"/>
        <v>148</v>
      </c>
      <c r="T4240">
        <f>INDEX([1]IDEN_level_ids!$B:$B,MATCH(G4240,[1]IDEN_level_ids!$A:$A,0),1)</f>
        <v>1240</v>
      </c>
      <c r="U4240">
        <f>INDEX([1]IDEN_level_ids!$B:$B,MATCH(H4240,[1]IDEN_level_ids!$A:$A,0),1)</f>
        <v>1165</v>
      </c>
    </row>
    <row r="4241" spans="1:21" hidden="1" x14ac:dyDescent="0.25">
      <c r="A4241">
        <v>12539.277899999999</v>
      </c>
      <c r="B4241">
        <v>7974.9408999999996</v>
      </c>
      <c r="C4241">
        <v>26</v>
      </c>
      <c r="D4241" t="s">
        <v>823</v>
      </c>
      <c r="E4241" t="s">
        <v>427</v>
      </c>
      <c r="F4241">
        <v>1974</v>
      </c>
      <c r="G4241" s="1" t="s">
        <v>729</v>
      </c>
      <c r="H4241" s="1" t="s">
        <v>73</v>
      </c>
      <c r="I4241">
        <v>0</v>
      </c>
      <c r="J4241">
        <v>12539.2672</v>
      </c>
      <c r="K4241">
        <v>-6.8199999999999997E-3</v>
      </c>
      <c r="L4241">
        <v>3.099E-2</v>
      </c>
      <c r="M4241">
        <v>4.87E-2</v>
      </c>
      <c r="N4241">
        <v>0.11269999999999999</v>
      </c>
      <c r="O4241">
        <v>3.4930000000000003E-2</v>
      </c>
      <c r="P4241" s="3">
        <f t="shared" si="264"/>
        <v>7974.9408855513129</v>
      </c>
      <c r="Q4241" s="3">
        <f t="shared" si="265"/>
        <v>-6.8051717935304623E-3</v>
      </c>
      <c r="R4241" s="3">
        <f t="shared" si="266"/>
        <v>3.099E-2</v>
      </c>
      <c r="S4241">
        <f t="shared" si="267"/>
        <v>148</v>
      </c>
      <c r="T4241">
        <f>INDEX([1]IDEN_level_ids!$B:$B,MATCH(G4241,[1]IDEN_level_ids!$A:$A,0),1)</f>
        <v>1243</v>
      </c>
      <c r="U4241">
        <f>INDEX([1]IDEN_level_ids!$B:$B,MATCH(H4241,[1]IDEN_level_ids!$A:$A,0),1)</f>
        <v>1173</v>
      </c>
    </row>
    <row r="4242" spans="1:21" hidden="1" x14ac:dyDescent="0.25">
      <c r="A4242">
        <v>12516.334000000001</v>
      </c>
      <c r="B4242">
        <v>7989.5599000000002</v>
      </c>
      <c r="C4242">
        <v>26</v>
      </c>
      <c r="D4242" t="s">
        <v>823</v>
      </c>
      <c r="E4242" t="s">
        <v>818</v>
      </c>
      <c r="F4242">
        <v>1974</v>
      </c>
      <c r="G4242" s="1" t="s">
        <v>642</v>
      </c>
      <c r="H4242" s="1" t="s">
        <v>175</v>
      </c>
      <c r="I4242">
        <v>0</v>
      </c>
      <c r="J4242">
        <v>12516.3148</v>
      </c>
      <c r="K4242">
        <v>-1.225E-2</v>
      </c>
      <c r="L4242">
        <v>1.226E-2</v>
      </c>
      <c r="M4242">
        <v>1.9199999999999998E-2</v>
      </c>
      <c r="N4242">
        <v>0.50609999999999999</v>
      </c>
      <c r="O4242">
        <v>2.4830000000000001E-2</v>
      </c>
      <c r="P4242" s="3">
        <f t="shared" si="264"/>
        <v>7989.5598823105865</v>
      </c>
      <c r="Q4242" s="3">
        <f t="shared" si="265"/>
        <v>-1.2255967686542135E-2</v>
      </c>
      <c r="R4242" s="3">
        <f t="shared" si="266"/>
        <v>1.226E-2</v>
      </c>
      <c r="S4242">
        <f t="shared" si="267"/>
        <v>148</v>
      </c>
      <c r="T4242">
        <f>INDEX([1]IDEN_level_ids!$B:$B,MATCH(G4242,[1]IDEN_level_ids!$A:$A,0),1)</f>
        <v>894</v>
      </c>
      <c r="U4242">
        <f>INDEX([1]IDEN_level_ids!$B:$B,MATCH(H4242,[1]IDEN_level_ids!$A:$A,0),1)</f>
        <v>790</v>
      </c>
    </row>
    <row r="4243" spans="1:21" hidden="1" x14ac:dyDescent="0.25">
      <c r="A4243">
        <v>12501.555899999999</v>
      </c>
      <c r="B4243">
        <v>7999.0042999999996</v>
      </c>
      <c r="C4243">
        <v>26</v>
      </c>
      <c r="D4243" t="s">
        <v>823</v>
      </c>
      <c r="E4243" t="s">
        <v>427</v>
      </c>
      <c r="F4243">
        <v>1974</v>
      </c>
      <c r="G4243" s="1" t="s">
        <v>346</v>
      </c>
      <c r="H4243" s="1" t="s">
        <v>267</v>
      </c>
      <c r="I4243">
        <v>0</v>
      </c>
      <c r="J4243">
        <v>12501.527700000001</v>
      </c>
      <c r="K4243">
        <v>-1.8030000000000001E-2</v>
      </c>
      <c r="L4243">
        <v>3.1179999999999999E-2</v>
      </c>
      <c r="M4243">
        <v>4.87E-2</v>
      </c>
      <c r="N4243">
        <v>0.17549999999999999</v>
      </c>
      <c r="O4243">
        <v>3.7810000000000003E-2</v>
      </c>
      <c r="P4243" s="3">
        <f t="shared" si="264"/>
        <v>7999.0043479308051</v>
      </c>
      <c r="Q4243" s="3">
        <f t="shared" si="265"/>
        <v>-1.8043548597233894E-2</v>
      </c>
      <c r="R4243" s="3">
        <f t="shared" si="266"/>
        <v>3.1179999999999999E-2</v>
      </c>
      <c r="S4243">
        <f t="shared" si="267"/>
        <v>148</v>
      </c>
      <c r="T4243">
        <f>INDEX([1]IDEN_level_ids!$B:$B,MATCH(G4243,[1]IDEN_level_ids!$A:$A,0),1)</f>
        <v>1159</v>
      </c>
      <c r="U4243">
        <f>INDEX([1]IDEN_level_ids!$B:$B,MATCH(H4243,[1]IDEN_level_ids!$A:$A,0),1)</f>
        <v>1104</v>
      </c>
    </row>
    <row r="4244" spans="1:21" hidden="1" x14ac:dyDescent="0.25">
      <c r="A4244">
        <v>12499.2628</v>
      </c>
      <c r="B4244">
        <v>8000.4718000000003</v>
      </c>
      <c r="C4244">
        <v>26</v>
      </c>
      <c r="D4244" t="s">
        <v>823</v>
      </c>
      <c r="F4244">
        <v>1974</v>
      </c>
      <c r="G4244" s="1" t="s">
        <v>318</v>
      </c>
      <c r="H4244" s="1" t="s">
        <v>157</v>
      </c>
      <c r="I4244">
        <v>0</v>
      </c>
      <c r="J4244">
        <v>12499.250599999999</v>
      </c>
      <c r="K4244">
        <v>-7.7999999999999996E-3</v>
      </c>
      <c r="L4244">
        <v>2.9489999999999999E-2</v>
      </c>
      <c r="M4244">
        <v>4.6100000000000002E-2</v>
      </c>
      <c r="N4244">
        <v>0.33090000000000003</v>
      </c>
      <c r="O4244">
        <v>4.4069999999999998E-2</v>
      </c>
      <c r="P4244" s="3">
        <f t="shared" si="264"/>
        <v>8000.4718358269893</v>
      </c>
      <c r="Q4244" s="3">
        <f t="shared" si="265"/>
        <v>-7.8089286735121277E-3</v>
      </c>
      <c r="R4244" s="3">
        <f t="shared" si="266"/>
        <v>2.9489999999999999E-2</v>
      </c>
      <c r="S4244">
        <f t="shared" si="267"/>
        <v>148</v>
      </c>
      <c r="T4244">
        <f>INDEX([1]IDEN_level_ids!$B:$B,MATCH(G4244,[1]IDEN_level_ids!$A:$A,0),1)</f>
        <v>888</v>
      </c>
      <c r="U4244">
        <f>INDEX([1]IDEN_level_ids!$B:$B,MATCH(H4244,[1]IDEN_level_ids!$A:$A,0),1)</f>
        <v>778</v>
      </c>
    </row>
    <row r="4245" spans="1:21" hidden="1" x14ac:dyDescent="0.25">
      <c r="A4245">
        <v>12494.776400000001</v>
      </c>
      <c r="B4245">
        <v>8003.3445000000002</v>
      </c>
      <c r="C4245">
        <v>26</v>
      </c>
      <c r="D4245" t="s">
        <v>823</v>
      </c>
      <c r="F4245">
        <v>1974</v>
      </c>
      <c r="G4245" s="1" t="s">
        <v>714</v>
      </c>
      <c r="H4245" s="1" t="s">
        <v>82</v>
      </c>
      <c r="I4245">
        <v>0</v>
      </c>
      <c r="J4245">
        <v>12494.803400000001</v>
      </c>
      <c r="K4245">
        <v>1.7319999999999999E-2</v>
      </c>
      <c r="L4245">
        <v>2.9510000000000002E-2</v>
      </c>
      <c r="M4245">
        <v>4.6100000000000002E-2</v>
      </c>
      <c r="N4245">
        <v>0.1158</v>
      </c>
      <c r="O4245">
        <v>3.3369999999999997E-2</v>
      </c>
      <c r="P4245" s="3">
        <f t="shared" si="264"/>
        <v>8003.3445016270953</v>
      </c>
      <c r="Q4245" s="3">
        <f t="shared" si="265"/>
        <v>1.7294413895797334E-2</v>
      </c>
      <c r="R4245" s="3">
        <f t="shared" si="266"/>
        <v>2.9510000000000002E-2</v>
      </c>
      <c r="S4245">
        <f t="shared" si="267"/>
        <v>148</v>
      </c>
      <c r="T4245">
        <f>INDEX([1]IDEN_level_ids!$B:$B,MATCH(G4245,[1]IDEN_level_ids!$A:$A,0),1)</f>
        <v>1248</v>
      </c>
      <c r="U4245">
        <f>INDEX([1]IDEN_level_ids!$B:$B,MATCH(H4245,[1]IDEN_level_ids!$A:$A,0),1)</f>
        <v>1193</v>
      </c>
    </row>
    <row r="4246" spans="1:21" hidden="1" x14ac:dyDescent="0.25">
      <c r="A4246">
        <v>12436.692999999999</v>
      </c>
      <c r="B4246">
        <v>8040.7227000000003</v>
      </c>
      <c r="C4246">
        <v>26</v>
      </c>
      <c r="D4246" t="s">
        <v>823</v>
      </c>
      <c r="F4246">
        <v>1974</v>
      </c>
      <c r="G4246" s="1" t="s">
        <v>126</v>
      </c>
      <c r="H4246" s="1" t="s">
        <v>178</v>
      </c>
      <c r="I4246">
        <v>0</v>
      </c>
      <c r="J4246">
        <v>12436.7075</v>
      </c>
      <c r="K4246">
        <v>9.3500000000000007E-3</v>
      </c>
      <c r="L4246">
        <v>2.9780000000000001E-2</v>
      </c>
      <c r="M4246">
        <v>4.6100000000000002E-2</v>
      </c>
      <c r="N4246">
        <v>0.26469999999999999</v>
      </c>
      <c r="O4246">
        <v>4.0509999999999997E-2</v>
      </c>
      <c r="P4246" s="3">
        <f t="shared" si="264"/>
        <v>8040.722722672338</v>
      </c>
      <c r="Q4246" s="3">
        <f t="shared" si="265"/>
        <v>9.37470624648995E-3</v>
      </c>
      <c r="R4246" s="3">
        <f t="shared" si="266"/>
        <v>2.9780000000000001E-2</v>
      </c>
      <c r="S4246">
        <f t="shared" si="267"/>
        <v>148</v>
      </c>
      <c r="T4246">
        <f>INDEX([1]IDEN_level_ids!$B:$B,MATCH(G4246,[1]IDEN_level_ids!$A:$A,0),1)</f>
        <v>892</v>
      </c>
      <c r="U4246">
        <f>INDEX([1]IDEN_level_ids!$B:$B,MATCH(H4246,[1]IDEN_level_ids!$A:$A,0),1)</f>
        <v>782</v>
      </c>
    </row>
    <row r="4247" spans="1:21" hidden="1" x14ac:dyDescent="0.25">
      <c r="A4247">
        <v>12426.524299999999</v>
      </c>
      <c r="B4247">
        <v>8047.3024999999998</v>
      </c>
      <c r="C4247">
        <v>26</v>
      </c>
      <c r="D4247" t="s">
        <v>823</v>
      </c>
      <c r="F4247">
        <v>1974</v>
      </c>
      <c r="G4247" s="1" t="s">
        <v>633</v>
      </c>
      <c r="H4247" s="1" t="s">
        <v>174</v>
      </c>
      <c r="I4247">
        <v>0</v>
      </c>
      <c r="J4247">
        <v>12426.522999999999</v>
      </c>
      <c r="K4247">
        <v>-8.4000000000000003E-4</v>
      </c>
      <c r="L4247">
        <v>2.9829999999999999E-2</v>
      </c>
      <c r="M4247">
        <v>4.6100000000000002E-2</v>
      </c>
      <c r="N4247">
        <v>0.22</v>
      </c>
      <c r="O4247">
        <v>3.8249999999999999E-2</v>
      </c>
      <c r="P4247" s="3">
        <f t="shared" si="264"/>
        <v>8047.3024947128624</v>
      </c>
      <c r="Q4247" s="3">
        <f t="shared" si="265"/>
        <v>-8.4186809453967726E-4</v>
      </c>
      <c r="R4247" s="3">
        <f t="shared" si="266"/>
        <v>2.9829999999999999E-2</v>
      </c>
      <c r="S4247">
        <f t="shared" si="267"/>
        <v>148</v>
      </c>
      <c r="T4247">
        <f>INDEX([1]IDEN_level_ids!$B:$B,MATCH(G4247,[1]IDEN_level_ids!$A:$A,0),1)</f>
        <v>878</v>
      </c>
      <c r="U4247">
        <f>INDEX([1]IDEN_level_ids!$B:$B,MATCH(H4247,[1]IDEN_level_ids!$A:$A,0),1)</f>
        <v>758</v>
      </c>
    </row>
    <row r="4248" spans="1:21" hidden="1" x14ac:dyDescent="0.25">
      <c r="A4248">
        <v>12407.099</v>
      </c>
      <c r="B4248">
        <v>8059.9017999999996</v>
      </c>
      <c r="C4248">
        <v>26</v>
      </c>
      <c r="D4248" t="s">
        <v>823</v>
      </c>
      <c r="E4248" t="s">
        <v>818</v>
      </c>
      <c r="F4248">
        <v>1974</v>
      </c>
      <c r="G4248" s="1" t="s">
        <v>639</v>
      </c>
      <c r="H4248" s="1" t="s">
        <v>175</v>
      </c>
      <c r="I4248">
        <v>0</v>
      </c>
      <c r="J4248">
        <v>12407.090099999999</v>
      </c>
      <c r="K4248">
        <v>-5.7800000000000004E-3</v>
      </c>
      <c r="L4248">
        <v>1.248E-2</v>
      </c>
      <c r="M4248">
        <v>1.9199999999999998E-2</v>
      </c>
      <c r="N4248">
        <v>0.54710000000000003</v>
      </c>
      <c r="O4248">
        <v>2.7560000000000001E-2</v>
      </c>
      <c r="P4248" s="3">
        <f t="shared" si="264"/>
        <v>8059.9018352315879</v>
      </c>
      <c r="Q4248" s="3">
        <f t="shared" si="265"/>
        <v>-5.781623714028683E-3</v>
      </c>
      <c r="R4248" s="3">
        <f t="shared" si="266"/>
        <v>1.248E-2</v>
      </c>
      <c r="S4248">
        <f t="shared" si="267"/>
        <v>148</v>
      </c>
      <c r="T4248">
        <f>INDEX([1]IDEN_level_ids!$B:$B,MATCH(G4248,[1]IDEN_level_ids!$A:$A,0),1)</f>
        <v>893</v>
      </c>
      <c r="U4248">
        <f>INDEX([1]IDEN_level_ids!$B:$B,MATCH(H4248,[1]IDEN_level_ids!$A:$A,0),1)</f>
        <v>790</v>
      </c>
    </row>
    <row r="4249" spans="1:21" hidden="1" x14ac:dyDescent="0.25">
      <c r="A4249">
        <v>12391.053599999999</v>
      </c>
      <c r="B4249">
        <v>8070.3387000000002</v>
      </c>
      <c r="C4249">
        <v>26</v>
      </c>
      <c r="D4249" t="s">
        <v>823</v>
      </c>
      <c r="F4249">
        <v>1974</v>
      </c>
      <c r="G4249" s="1" t="s">
        <v>69</v>
      </c>
      <c r="H4249" s="1" t="s">
        <v>362</v>
      </c>
      <c r="I4249">
        <v>0</v>
      </c>
      <c r="J4249">
        <v>12391.073</v>
      </c>
      <c r="K4249">
        <v>1.2630000000000001E-2</v>
      </c>
      <c r="L4249">
        <v>0.03</v>
      </c>
      <c r="M4249">
        <v>4.6100000000000002E-2</v>
      </c>
      <c r="N4249">
        <v>0.4098</v>
      </c>
      <c r="O4249">
        <v>5.0840000000000003E-2</v>
      </c>
      <c r="P4249" s="3">
        <f t="shared" si="264"/>
        <v>8070.3387482723829</v>
      </c>
      <c r="Q4249" s="3">
        <f t="shared" si="265"/>
        <v>1.2635271515136992E-2</v>
      </c>
      <c r="R4249" s="3">
        <f t="shared" si="266"/>
        <v>0.03</v>
      </c>
      <c r="S4249">
        <f t="shared" si="267"/>
        <v>148</v>
      </c>
      <c r="T4249">
        <f>INDEX([1]IDEN_level_ids!$B:$B,MATCH(G4249,[1]IDEN_level_ids!$A:$A,0),1)</f>
        <v>1218</v>
      </c>
      <c r="U4249">
        <f>INDEX([1]IDEN_level_ids!$B:$B,MATCH(H4249,[1]IDEN_level_ids!$A:$A,0),1)</f>
        <v>1147</v>
      </c>
    </row>
    <row r="4250" spans="1:21" hidden="1" x14ac:dyDescent="0.25">
      <c r="A4250">
        <v>12348.020200000001</v>
      </c>
      <c r="B4250">
        <v>8098.4642999999996</v>
      </c>
      <c r="C4250">
        <v>26</v>
      </c>
      <c r="D4250" t="s">
        <v>823</v>
      </c>
      <c r="F4250">
        <v>1974</v>
      </c>
      <c r="G4250" s="1" t="s">
        <v>129</v>
      </c>
      <c r="H4250" s="1" t="s">
        <v>168</v>
      </c>
      <c r="I4250">
        <v>0</v>
      </c>
      <c r="J4250">
        <v>12348.0319</v>
      </c>
      <c r="K4250">
        <v>7.6899999999999998E-3</v>
      </c>
      <c r="L4250">
        <v>3.0210000000000001E-2</v>
      </c>
      <c r="M4250">
        <v>4.6100000000000002E-2</v>
      </c>
      <c r="N4250">
        <v>0.23200000000000001</v>
      </c>
      <c r="O4250">
        <v>3.934E-2</v>
      </c>
      <c r="P4250" s="3">
        <f t="shared" si="264"/>
        <v>8098.4642380160658</v>
      </c>
      <c r="Q4250" s="3">
        <f t="shared" si="265"/>
        <v>7.6734521207981743E-3</v>
      </c>
      <c r="R4250" s="3">
        <f t="shared" si="266"/>
        <v>3.0210000000000001E-2</v>
      </c>
      <c r="S4250">
        <f t="shared" si="267"/>
        <v>148</v>
      </c>
      <c r="T4250">
        <f>INDEX([1]IDEN_level_ids!$B:$B,MATCH(G4250,[1]IDEN_level_ids!$A:$A,0),1)</f>
        <v>866</v>
      </c>
      <c r="U4250">
        <f>INDEX([1]IDEN_level_ids!$B:$B,MATCH(H4250,[1]IDEN_level_ids!$A:$A,0),1)</f>
        <v>729</v>
      </c>
    </row>
    <row r="4251" spans="1:21" hidden="1" x14ac:dyDescent="0.25">
      <c r="A4251">
        <v>12345.696400000001</v>
      </c>
      <c r="B4251">
        <v>8099.9885999999997</v>
      </c>
      <c r="C4251">
        <v>26</v>
      </c>
      <c r="D4251" t="s">
        <v>823</v>
      </c>
      <c r="F4251">
        <v>1974</v>
      </c>
      <c r="G4251" s="1" t="s">
        <v>116</v>
      </c>
      <c r="H4251" s="1" t="s">
        <v>233</v>
      </c>
      <c r="I4251">
        <v>0</v>
      </c>
      <c r="J4251">
        <v>12345.731</v>
      </c>
      <c r="K4251">
        <v>2.274E-2</v>
      </c>
      <c r="L4251">
        <v>3.022E-2</v>
      </c>
      <c r="M4251">
        <v>4.6100000000000002E-2</v>
      </c>
      <c r="N4251">
        <v>0.22919999999999999</v>
      </c>
      <c r="O4251">
        <v>3.9210000000000002E-2</v>
      </c>
      <c r="P4251" s="3">
        <f t="shared" si="264"/>
        <v>8099.9885919760663</v>
      </c>
      <c r="Q4251" s="3">
        <f t="shared" si="265"/>
        <v>2.2700932433508569E-2</v>
      </c>
      <c r="R4251" s="3">
        <f t="shared" si="266"/>
        <v>3.022E-2</v>
      </c>
      <c r="S4251">
        <f t="shared" si="267"/>
        <v>148</v>
      </c>
      <c r="T4251">
        <f>INDEX([1]IDEN_level_ids!$B:$B,MATCH(G4251,[1]IDEN_level_ids!$A:$A,0),1)</f>
        <v>879</v>
      </c>
      <c r="U4251">
        <f>INDEX([1]IDEN_level_ids!$B:$B,MATCH(H4251,[1]IDEN_level_ids!$A:$A,0),1)</f>
        <v>766</v>
      </c>
    </row>
    <row r="4252" spans="1:21" hidden="1" x14ac:dyDescent="0.25">
      <c r="A4252">
        <v>12337.8619</v>
      </c>
      <c r="B4252">
        <v>8105.1320999999998</v>
      </c>
      <c r="C4252">
        <v>26</v>
      </c>
      <c r="D4252" t="s">
        <v>823</v>
      </c>
      <c r="F4252">
        <v>1974</v>
      </c>
      <c r="G4252" s="1" t="s">
        <v>88</v>
      </c>
      <c r="H4252" s="1" t="s">
        <v>134</v>
      </c>
      <c r="I4252">
        <v>0</v>
      </c>
      <c r="J4252">
        <v>12337.8704</v>
      </c>
      <c r="K4252">
        <v>5.5999999999999999E-3</v>
      </c>
      <c r="L4252">
        <v>3.0259999999999999E-2</v>
      </c>
      <c r="M4252">
        <v>4.6100000000000002E-2</v>
      </c>
      <c r="N4252">
        <v>0.41660000000000003</v>
      </c>
      <c r="O4252">
        <v>5.1869999999999999E-2</v>
      </c>
      <c r="P4252" s="3">
        <f t="shared" si="264"/>
        <v>8105.1320569571299</v>
      </c>
      <c r="Q4252" s="3">
        <f t="shared" si="265"/>
        <v>5.5839152346379706E-3</v>
      </c>
      <c r="R4252" s="3">
        <f t="shared" si="266"/>
        <v>3.0259999999999999E-2</v>
      </c>
      <c r="S4252">
        <f t="shared" si="267"/>
        <v>148</v>
      </c>
      <c r="T4252">
        <f>INDEX([1]IDEN_level_ids!$B:$B,MATCH(G4252,[1]IDEN_level_ids!$A:$A,0),1)</f>
        <v>1166</v>
      </c>
      <c r="U4252">
        <f>INDEX([1]IDEN_level_ids!$B:$B,MATCH(H4252,[1]IDEN_level_ids!$A:$A,0),1)</f>
        <v>1114</v>
      </c>
    </row>
    <row r="4253" spans="1:21" hidden="1" x14ac:dyDescent="0.25">
      <c r="A4253">
        <v>12326.2201</v>
      </c>
      <c r="B4253">
        <v>8112.7870999999996</v>
      </c>
      <c r="C4253">
        <v>26</v>
      </c>
      <c r="D4253" t="s">
        <v>823</v>
      </c>
      <c r="F4253">
        <v>1974</v>
      </c>
      <c r="G4253" s="1" t="s">
        <v>129</v>
      </c>
      <c r="H4253" s="1" t="s">
        <v>169</v>
      </c>
      <c r="I4253">
        <v>0</v>
      </c>
      <c r="J4253">
        <v>12326.2209</v>
      </c>
      <c r="K4253">
        <v>5.2999999999999998E-4</v>
      </c>
      <c r="L4253">
        <v>3.032E-2</v>
      </c>
      <c r="M4253">
        <v>4.6100000000000002E-2</v>
      </c>
      <c r="N4253">
        <v>0.23899999999999999</v>
      </c>
      <c r="O4253">
        <v>3.984E-2</v>
      </c>
      <c r="P4253" s="3">
        <f t="shared" si="264"/>
        <v>8112.7871471319904</v>
      </c>
      <c r="Q4253" s="3">
        <f t="shared" si="265"/>
        <v>5.2653848797490355E-4</v>
      </c>
      <c r="R4253" s="3">
        <f t="shared" si="266"/>
        <v>3.032E-2</v>
      </c>
      <c r="S4253">
        <f t="shared" si="267"/>
        <v>148</v>
      </c>
      <c r="T4253">
        <f>INDEX([1]IDEN_level_ids!$B:$B,MATCH(G4253,[1]IDEN_level_ids!$A:$A,0),1)</f>
        <v>866</v>
      </c>
      <c r="U4253">
        <f>INDEX([1]IDEN_level_ids!$B:$B,MATCH(H4253,[1]IDEN_level_ids!$A:$A,0),1)</f>
        <v>727</v>
      </c>
    </row>
    <row r="4254" spans="1:21" hidden="1" x14ac:dyDescent="0.25">
      <c r="A4254">
        <v>12312.587799999999</v>
      </c>
      <c r="B4254">
        <v>8121.7695000000003</v>
      </c>
      <c r="C4254">
        <v>26</v>
      </c>
      <c r="D4254" t="s">
        <v>823</v>
      </c>
      <c r="F4254">
        <v>1974</v>
      </c>
      <c r="G4254" s="1" t="s">
        <v>320</v>
      </c>
      <c r="H4254" s="1" t="s">
        <v>203</v>
      </c>
      <c r="I4254">
        <v>0</v>
      </c>
      <c r="J4254">
        <v>12312.5893</v>
      </c>
      <c r="K4254">
        <v>1.0300000000000001E-3</v>
      </c>
      <c r="L4254">
        <v>3.039E-2</v>
      </c>
      <c r="M4254">
        <v>4.6100000000000002E-2</v>
      </c>
      <c r="N4254">
        <v>0.16350000000000001</v>
      </c>
      <c r="O4254">
        <v>3.6330000000000001E-2</v>
      </c>
      <c r="P4254" s="3">
        <f t="shared" si="264"/>
        <v>8121.7694951178346</v>
      </c>
      <c r="Q4254" s="3">
        <f t="shared" si="265"/>
        <v>9.8944697583647212E-4</v>
      </c>
      <c r="R4254" s="3">
        <f t="shared" si="266"/>
        <v>3.039E-2</v>
      </c>
      <c r="S4254">
        <f t="shared" si="267"/>
        <v>148</v>
      </c>
      <c r="T4254">
        <f>INDEX([1]IDEN_level_ids!$B:$B,MATCH(G4254,[1]IDEN_level_ids!$A:$A,0),1)</f>
        <v>1180</v>
      </c>
      <c r="U4254">
        <f>INDEX([1]IDEN_level_ids!$B:$B,MATCH(H4254,[1]IDEN_level_ids!$A:$A,0),1)</f>
        <v>1127</v>
      </c>
    </row>
    <row r="4255" spans="1:21" hidden="1" x14ac:dyDescent="0.25">
      <c r="A4255">
        <v>12293.365599999999</v>
      </c>
      <c r="B4255">
        <v>8134.4688999999998</v>
      </c>
      <c r="C4255">
        <v>26</v>
      </c>
      <c r="D4255" t="s">
        <v>823</v>
      </c>
      <c r="F4255">
        <v>1974</v>
      </c>
      <c r="G4255" s="1" t="s">
        <v>729</v>
      </c>
      <c r="H4255" s="1" t="s">
        <v>83</v>
      </c>
      <c r="I4255">
        <v>0</v>
      </c>
      <c r="J4255">
        <v>12293.373600000001</v>
      </c>
      <c r="K4255">
        <v>5.3299999999999997E-3</v>
      </c>
      <c r="L4255">
        <v>3.048E-2</v>
      </c>
      <c r="M4255">
        <v>4.6100000000000002E-2</v>
      </c>
      <c r="N4255">
        <v>0.1358</v>
      </c>
      <c r="O4255">
        <v>3.5270000000000003E-2</v>
      </c>
      <c r="P4255" s="3">
        <f t="shared" si="264"/>
        <v>8134.4688878365423</v>
      </c>
      <c r="Q4255" s="3">
        <f t="shared" si="265"/>
        <v>5.2935632829758106E-3</v>
      </c>
      <c r="R4255" s="3">
        <f t="shared" si="266"/>
        <v>3.048E-2</v>
      </c>
      <c r="S4255">
        <f t="shared" si="267"/>
        <v>148</v>
      </c>
      <c r="T4255">
        <f>INDEX([1]IDEN_level_ids!$B:$B,MATCH(G4255,[1]IDEN_level_ids!$A:$A,0),1)</f>
        <v>1243</v>
      </c>
      <c r="U4255">
        <f>INDEX([1]IDEN_level_ids!$B:$B,MATCH(H4255,[1]IDEN_level_ids!$A:$A,0),1)</f>
        <v>1175</v>
      </c>
    </row>
    <row r="4256" spans="1:21" hidden="1" x14ac:dyDescent="0.25">
      <c r="A4256">
        <v>12284.1361</v>
      </c>
      <c r="B4256">
        <v>8140.5806000000002</v>
      </c>
      <c r="C4256">
        <v>26</v>
      </c>
      <c r="D4256" t="s">
        <v>823</v>
      </c>
      <c r="F4256">
        <v>1974</v>
      </c>
      <c r="G4256" s="1" t="s">
        <v>320</v>
      </c>
      <c r="H4256" s="1" t="s">
        <v>138</v>
      </c>
      <c r="I4256">
        <v>0</v>
      </c>
      <c r="J4256">
        <v>12284.1325</v>
      </c>
      <c r="K4256">
        <v>-2.4299999999999999E-3</v>
      </c>
      <c r="L4256">
        <v>3.0530000000000002E-2</v>
      </c>
      <c r="M4256">
        <v>4.6100000000000002E-2</v>
      </c>
      <c r="N4256">
        <v>0.1507</v>
      </c>
      <c r="O4256">
        <v>3.594E-2</v>
      </c>
      <c r="P4256" s="3">
        <f t="shared" si="264"/>
        <v>8140.5805980935038</v>
      </c>
      <c r="Q4256" s="3">
        <f t="shared" si="265"/>
        <v>-2.3856865882407874E-3</v>
      </c>
      <c r="R4256" s="3">
        <f t="shared" si="266"/>
        <v>3.0530000000000002E-2</v>
      </c>
      <c r="S4256">
        <f t="shared" si="267"/>
        <v>148</v>
      </c>
      <c r="T4256">
        <f>INDEX([1]IDEN_level_ids!$B:$B,MATCH(G4256,[1]IDEN_level_ids!$A:$A,0),1)</f>
        <v>1180</v>
      </c>
      <c r="U4256">
        <f>INDEX([1]IDEN_level_ids!$B:$B,MATCH(H4256,[1]IDEN_level_ids!$A:$A,0),1)</f>
        <v>1126</v>
      </c>
    </row>
    <row r="4257" spans="1:21" hidden="1" x14ac:dyDescent="0.25">
      <c r="A4257">
        <v>12240.5216</v>
      </c>
      <c r="B4257">
        <v>8169.5865000000003</v>
      </c>
      <c r="C4257">
        <v>26</v>
      </c>
      <c r="D4257" t="s">
        <v>823</v>
      </c>
      <c r="F4257">
        <v>1974</v>
      </c>
      <c r="G4257" s="1" t="s">
        <v>715</v>
      </c>
      <c r="H4257" s="1" t="s">
        <v>77</v>
      </c>
      <c r="I4257">
        <v>0</v>
      </c>
      <c r="J4257">
        <v>12240.501700000001</v>
      </c>
      <c r="K4257">
        <v>-1.3259999999999999E-2</v>
      </c>
      <c r="L4257">
        <v>3.075E-2</v>
      </c>
      <c r="M4257">
        <v>4.6100000000000002E-2</v>
      </c>
      <c r="N4257">
        <v>0.1605</v>
      </c>
      <c r="O4257">
        <v>3.662E-2</v>
      </c>
      <c r="P4257" s="3">
        <f t="shared" si="264"/>
        <v>8169.5864986668539</v>
      </c>
      <c r="Q4257" s="3">
        <f t="shared" si="265"/>
        <v>-1.3281708161230199E-2</v>
      </c>
      <c r="R4257" s="3">
        <f t="shared" si="266"/>
        <v>3.075E-2</v>
      </c>
      <c r="S4257">
        <f t="shared" si="267"/>
        <v>148</v>
      </c>
      <c r="T4257">
        <f>INDEX([1]IDEN_level_ids!$B:$B,MATCH(G4257,[1]IDEN_level_ids!$A:$A,0),1)</f>
        <v>1249</v>
      </c>
      <c r="U4257">
        <f>INDEX([1]IDEN_level_ids!$B:$B,MATCH(H4257,[1]IDEN_level_ids!$A:$A,0),1)</f>
        <v>1197</v>
      </c>
    </row>
    <row r="4258" spans="1:21" hidden="1" x14ac:dyDescent="0.25">
      <c r="A4258">
        <v>12236.8</v>
      </c>
      <c r="B4258">
        <v>8172.0711000000001</v>
      </c>
      <c r="C4258">
        <v>26</v>
      </c>
      <c r="D4258" t="s">
        <v>823</v>
      </c>
      <c r="F4258">
        <v>1974</v>
      </c>
      <c r="G4258" s="1" t="s">
        <v>633</v>
      </c>
      <c r="H4258" s="1" t="s">
        <v>133</v>
      </c>
      <c r="I4258">
        <v>0</v>
      </c>
      <c r="J4258">
        <v>12236.783799999999</v>
      </c>
      <c r="K4258">
        <v>-1.078E-2</v>
      </c>
      <c r="L4258">
        <v>3.0759999999999999E-2</v>
      </c>
      <c r="M4258">
        <v>4.6100000000000002E-2</v>
      </c>
      <c r="N4258">
        <v>0.22409999999999999</v>
      </c>
      <c r="O4258">
        <v>3.9649999999999998E-2</v>
      </c>
      <c r="P4258" s="3">
        <f t="shared" si="264"/>
        <v>8172.0711297071139</v>
      </c>
      <c r="Q4258" s="3">
        <f t="shared" si="265"/>
        <v>-1.0818819263477053E-2</v>
      </c>
      <c r="R4258" s="3">
        <f t="shared" si="266"/>
        <v>3.0759999999999999E-2</v>
      </c>
      <c r="S4258">
        <f t="shared" si="267"/>
        <v>148</v>
      </c>
      <c r="T4258">
        <f>INDEX([1]IDEN_level_ids!$B:$B,MATCH(G4258,[1]IDEN_level_ids!$A:$A,0),1)</f>
        <v>878</v>
      </c>
      <c r="U4258">
        <f>INDEX([1]IDEN_level_ids!$B:$B,MATCH(H4258,[1]IDEN_level_ids!$A:$A,0),1)</f>
        <v>765</v>
      </c>
    </row>
    <row r="4259" spans="1:21" hidden="1" x14ac:dyDescent="0.25">
      <c r="A4259">
        <v>12227.9514</v>
      </c>
      <c r="B4259">
        <v>8177.9848000000002</v>
      </c>
      <c r="C4259">
        <v>26</v>
      </c>
      <c r="D4259" t="s">
        <v>823</v>
      </c>
      <c r="E4259" t="s">
        <v>818</v>
      </c>
      <c r="F4259">
        <v>1974</v>
      </c>
      <c r="G4259" s="1" t="s">
        <v>715</v>
      </c>
      <c r="H4259" s="1" t="s">
        <v>247</v>
      </c>
      <c r="I4259">
        <v>0</v>
      </c>
      <c r="J4259">
        <v>12227.9303</v>
      </c>
      <c r="K4259">
        <v>-1.409E-2</v>
      </c>
      <c r="L4259">
        <v>1.285E-2</v>
      </c>
      <c r="M4259">
        <v>1.9199999999999998E-2</v>
      </c>
      <c r="N4259">
        <v>0.7893</v>
      </c>
      <c r="O4259">
        <v>6.0979999999999999E-2</v>
      </c>
      <c r="P4259" s="3">
        <f t="shared" si="264"/>
        <v>8177.984744034884</v>
      </c>
      <c r="Q4259" s="3">
        <f t="shared" si="265"/>
        <v>-1.4111585023783846E-2</v>
      </c>
      <c r="R4259" s="3">
        <f t="shared" si="266"/>
        <v>1.285E-2</v>
      </c>
      <c r="S4259">
        <f t="shared" si="267"/>
        <v>148</v>
      </c>
      <c r="T4259">
        <f>INDEX([1]IDEN_level_ids!$B:$B,MATCH(G4259,[1]IDEN_level_ids!$A:$A,0),1)</f>
        <v>1249</v>
      </c>
      <c r="U4259">
        <f>INDEX([1]IDEN_level_ids!$B:$B,MATCH(H4259,[1]IDEN_level_ids!$A:$A,0),1)</f>
        <v>1200</v>
      </c>
    </row>
    <row r="4260" spans="1:21" hidden="1" x14ac:dyDescent="0.25">
      <c r="A4260">
        <v>12208.570400000001</v>
      </c>
      <c r="B4260">
        <v>8190.9672</v>
      </c>
      <c r="C4260">
        <v>27</v>
      </c>
      <c r="D4260" t="s">
        <v>824</v>
      </c>
      <c r="F4260">
        <v>1974</v>
      </c>
      <c r="G4260" s="1" t="s">
        <v>791</v>
      </c>
      <c r="H4260" s="1" t="s">
        <v>100</v>
      </c>
      <c r="I4260">
        <v>0</v>
      </c>
      <c r="J4260">
        <v>12208.5777</v>
      </c>
      <c r="K4260">
        <v>4.9100000000000003E-3</v>
      </c>
      <c r="L4260">
        <v>3.091E-2</v>
      </c>
      <c r="M4260">
        <v>4.6100000000000002E-2</v>
      </c>
      <c r="N4260">
        <v>0.16</v>
      </c>
      <c r="O4260">
        <v>3.6790000000000003E-2</v>
      </c>
      <c r="P4260" s="3">
        <f t="shared" si="264"/>
        <v>8190.9672241395274</v>
      </c>
      <c r="Q4260" s="3">
        <f t="shared" si="265"/>
        <v>4.8977089882100699E-3</v>
      </c>
      <c r="R4260" s="3">
        <f t="shared" si="266"/>
        <v>3.091E-2</v>
      </c>
      <c r="S4260">
        <f t="shared" si="267"/>
        <v>149</v>
      </c>
      <c r="T4260">
        <f>INDEX([1]IDEN_level_ids!$B:$B,MATCH(G4260,[1]IDEN_level_ids!$A:$A,0),1)</f>
        <v>1215</v>
      </c>
      <c r="U4260">
        <f>INDEX([1]IDEN_level_ids!$B:$B,MATCH(H4260,[1]IDEN_level_ids!$A:$A,0),1)</f>
        <v>1146</v>
      </c>
    </row>
    <row r="4261" spans="1:21" hidden="1" x14ac:dyDescent="0.25">
      <c r="A4261">
        <v>12199.0018</v>
      </c>
      <c r="B4261">
        <v>8197.3919999999998</v>
      </c>
      <c r="C4261">
        <v>27</v>
      </c>
      <c r="D4261" t="s">
        <v>824</v>
      </c>
      <c r="E4261" t="s">
        <v>427</v>
      </c>
      <c r="F4261">
        <v>1974</v>
      </c>
      <c r="G4261" s="1" t="s">
        <v>794</v>
      </c>
      <c r="H4261" s="1" t="s">
        <v>350</v>
      </c>
      <c r="I4261">
        <v>0</v>
      </c>
      <c r="J4261">
        <v>12199.0191</v>
      </c>
      <c r="K4261">
        <v>1.1639999999999999E-2</v>
      </c>
      <c r="L4261">
        <v>3.2739999999999998E-2</v>
      </c>
      <c r="M4261">
        <v>4.87E-2</v>
      </c>
      <c r="N4261">
        <v>0.19700000000000001</v>
      </c>
      <c r="O4261">
        <v>4.0779999999999997E-2</v>
      </c>
      <c r="P4261" s="3">
        <f t="shared" si="264"/>
        <v>8197.3920194027687</v>
      </c>
      <c r="Q4261" s="3">
        <f t="shared" si="265"/>
        <v>1.1625105327766505E-2</v>
      </c>
      <c r="R4261" s="3">
        <f t="shared" si="266"/>
        <v>3.2739999999999998E-2</v>
      </c>
      <c r="S4261">
        <f t="shared" si="267"/>
        <v>149</v>
      </c>
      <c r="T4261">
        <f>INDEX([1]IDEN_level_ids!$B:$B,MATCH(G4261,[1]IDEN_level_ids!$A:$A,0),1)</f>
        <v>1164</v>
      </c>
      <c r="U4261">
        <f>INDEX([1]IDEN_level_ids!$B:$B,MATCH(H4261,[1]IDEN_level_ids!$A:$A,0),1)</f>
        <v>1112</v>
      </c>
    </row>
    <row r="4262" spans="1:21" hidden="1" x14ac:dyDescent="0.25">
      <c r="A4262">
        <v>12181.2839</v>
      </c>
      <c r="B4262">
        <v>8209.3153000000002</v>
      </c>
      <c r="C4262">
        <v>27</v>
      </c>
      <c r="D4262" t="s">
        <v>824</v>
      </c>
      <c r="F4262">
        <v>1974</v>
      </c>
      <c r="G4262" s="1" t="s">
        <v>340</v>
      </c>
      <c r="H4262" s="1" t="s">
        <v>263</v>
      </c>
      <c r="I4262">
        <v>0</v>
      </c>
      <c r="J4262">
        <v>12181.2665</v>
      </c>
      <c r="K4262">
        <v>-1.1730000000000001E-2</v>
      </c>
      <c r="L4262">
        <v>3.1050000000000001E-2</v>
      </c>
      <c r="M4262">
        <v>4.6100000000000002E-2</v>
      </c>
      <c r="N4262">
        <v>0.32219999999999999</v>
      </c>
      <c r="O4262">
        <v>4.58E-2</v>
      </c>
      <c r="P4262" s="3">
        <f t="shared" si="264"/>
        <v>8209.3152758717006</v>
      </c>
      <c r="Q4262" s="3">
        <f t="shared" si="265"/>
        <v>-1.1726373919373145E-2</v>
      </c>
      <c r="R4262" s="3">
        <f t="shared" si="266"/>
        <v>3.1050000000000001E-2</v>
      </c>
      <c r="S4262">
        <f t="shared" si="267"/>
        <v>149</v>
      </c>
      <c r="T4262">
        <f>INDEX([1]IDEN_level_ids!$B:$B,MATCH(G4262,[1]IDEN_level_ids!$A:$A,0),1)</f>
        <v>875</v>
      </c>
      <c r="U4262">
        <f>INDEX([1]IDEN_level_ids!$B:$B,MATCH(H4262,[1]IDEN_level_ids!$A:$A,0),1)</f>
        <v>759</v>
      </c>
    </row>
    <row r="4263" spans="1:21" hidden="1" x14ac:dyDescent="0.25">
      <c r="A4263">
        <v>12160.7605</v>
      </c>
      <c r="B4263">
        <v>8223.17</v>
      </c>
      <c r="C4263">
        <v>27</v>
      </c>
      <c r="D4263" t="s">
        <v>824</v>
      </c>
      <c r="E4263" t="s">
        <v>427</v>
      </c>
      <c r="F4263">
        <v>1974</v>
      </c>
      <c r="G4263" s="1" t="s">
        <v>764</v>
      </c>
      <c r="H4263" s="1" t="s">
        <v>271</v>
      </c>
      <c r="I4263">
        <v>0</v>
      </c>
      <c r="J4263">
        <v>12160.772999999999</v>
      </c>
      <c r="K4263">
        <v>8.4899999999999993E-3</v>
      </c>
      <c r="L4263">
        <v>3.295E-2</v>
      </c>
      <c r="M4263">
        <v>4.87E-2</v>
      </c>
      <c r="N4263">
        <v>0.1105</v>
      </c>
      <c r="O4263">
        <v>3.7039999999999997E-2</v>
      </c>
      <c r="P4263" s="3">
        <f t="shared" si="264"/>
        <v>8223.1699242822851</v>
      </c>
      <c r="Q4263" s="3">
        <f t="shared" si="265"/>
        <v>8.4525567617674824E-3</v>
      </c>
      <c r="R4263" s="3">
        <f t="shared" si="266"/>
        <v>3.295E-2</v>
      </c>
      <c r="S4263">
        <f t="shared" si="267"/>
        <v>149</v>
      </c>
      <c r="T4263">
        <f>INDEX([1]IDEN_level_ids!$B:$B,MATCH(G4263,[1]IDEN_level_ids!$A:$A,0),1)</f>
        <v>1234</v>
      </c>
      <c r="U4263">
        <f>INDEX([1]IDEN_level_ids!$B:$B,MATCH(H4263,[1]IDEN_level_ids!$A:$A,0),1)</f>
        <v>1158</v>
      </c>
    </row>
    <row r="4264" spans="1:21" hidden="1" x14ac:dyDescent="0.25">
      <c r="A4264">
        <v>12154.3143</v>
      </c>
      <c r="B4264">
        <v>8227.5311999999994</v>
      </c>
      <c r="C4264">
        <v>27</v>
      </c>
      <c r="D4264" t="s">
        <v>824</v>
      </c>
      <c r="F4264">
        <v>1974</v>
      </c>
      <c r="G4264" s="1" t="s">
        <v>314</v>
      </c>
      <c r="H4264" s="1" t="s">
        <v>178</v>
      </c>
      <c r="I4264">
        <v>0</v>
      </c>
      <c r="J4264">
        <v>12154.2598</v>
      </c>
      <c r="K4264">
        <v>-3.6900000000000002E-2</v>
      </c>
      <c r="L4264">
        <v>3.1179999999999999E-2</v>
      </c>
      <c r="M4264">
        <v>4.6100000000000002E-2</v>
      </c>
      <c r="N4264">
        <v>0.29480000000000001</v>
      </c>
      <c r="O4264">
        <v>4.4220000000000002E-2</v>
      </c>
      <c r="P4264" s="3">
        <f t="shared" si="264"/>
        <v>8227.5311903033471</v>
      </c>
      <c r="Q4264" s="3">
        <f t="shared" si="265"/>
        <v>-3.6892452297252021E-2</v>
      </c>
      <c r="R4264" s="3">
        <f t="shared" si="266"/>
        <v>3.1179999999999999E-2</v>
      </c>
      <c r="S4264">
        <f t="shared" si="267"/>
        <v>149</v>
      </c>
      <c r="T4264">
        <f>INDEX([1]IDEN_level_ids!$B:$B,MATCH(G4264,[1]IDEN_level_ids!$A:$A,0),1)</f>
        <v>889</v>
      </c>
      <c r="U4264">
        <f>INDEX([1]IDEN_level_ids!$B:$B,MATCH(H4264,[1]IDEN_level_ids!$A:$A,0),1)</f>
        <v>782</v>
      </c>
    </row>
    <row r="4265" spans="1:21" hidden="1" x14ac:dyDescent="0.25">
      <c r="A4265">
        <v>12139.473</v>
      </c>
      <c r="B4265">
        <v>8237.5899000000009</v>
      </c>
      <c r="C4265">
        <v>27</v>
      </c>
      <c r="D4265" t="s">
        <v>824</v>
      </c>
      <c r="E4265" t="s">
        <v>427</v>
      </c>
      <c r="F4265">
        <v>1974</v>
      </c>
      <c r="G4265" s="1" t="s">
        <v>712</v>
      </c>
      <c r="H4265" s="1" t="s">
        <v>244</v>
      </c>
      <c r="I4265">
        <v>0</v>
      </c>
      <c r="J4265">
        <v>12139.4836</v>
      </c>
      <c r="K4265">
        <v>7.1900000000000002E-3</v>
      </c>
      <c r="L4265">
        <v>3.3070000000000002E-2</v>
      </c>
      <c r="M4265">
        <v>4.87E-2</v>
      </c>
      <c r="N4265">
        <v>0.1421</v>
      </c>
      <c r="O4265">
        <v>3.8539999999999998E-2</v>
      </c>
      <c r="P4265" s="3">
        <f t="shared" si="264"/>
        <v>8237.5898854917341</v>
      </c>
      <c r="Q4265" s="3">
        <f t="shared" si="265"/>
        <v>7.1929297537280945E-3</v>
      </c>
      <c r="R4265" s="3">
        <f t="shared" si="266"/>
        <v>3.3070000000000002E-2</v>
      </c>
      <c r="S4265">
        <f t="shared" si="267"/>
        <v>149</v>
      </c>
      <c r="T4265">
        <f>INDEX([1]IDEN_level_ids!$B:$B,MATCH(G4265,[1]IDEN_level_ids!$A:$A,0),1)</f>
        <v>1247</v>
      </c>
      <c r="U4265">
        <f>INDEX([1]IDEN_level_ids!$B:$B,MATCH(H4265,[1]IDEN_level_ids!$A:$A,0),1)</f>
        <v>1195</v>
      </c>
    </row>
    <row r="4266" spans="1:21" hidden="1" x14ac:dyDescent="0.25">
      <c r="A4266">
        <v>12125.3959</v>
      </c>
      <c r="B4266">
        <v>8247.1533999999992</v>
      </c>
      <c r="C4266">
        <v>27</v>
      </c>
      <c r="D4266" t="s">
        <v>824</v>
      </c>
      <c r="E4266" t="s">
        <v>427</v>
      </c>
      <c r="F4266">
        <v>1974</v>
      </c>
      <c r="G4266" s="1" t="s">
        <v>335</v>
      </c>
      <c r="H4266" s="1" t="s">
        <v>289</v>
      </c>
      <c r="I4266">
        <v>0</v>
      </c>
      <c r="J4266">
        <v>12125.390799999999</v>
      </c>
      <c r="K4266">
        <v>-3.5000000000000001E-3</v>
      </c>
      <c r="L4266">
        <v>3.3140000000000003E-2</v>
      </c>
      <c r="M4266">
        <v>4.87E-2</v>
      </c>
      <c r="N4266">
        <v>0.217</v>
      </c>
      <c r="O4266">
        <v>4.233E-2</v>
      </c>
      <c r="P4266" s="3">
        <f t="shared" si="264"/>
        <v>8247.1533981005941</v>
      </c>
      <c r="Q4266" s="3">
        <f t="shared" si="265"/>
        <v>-3.4687939569266746E-3</v>
      </c>
      <c r="R4266" s="3">
        <f t="shared" si="266"/>
        <v>3.3140000000000003E-2</v>
      </c>
      <c r="S4266">
        <f t="shared" si="267"/>
        <v>149</v>
      </c>
      <c r="T4266">
        <f>INDEX([1]IDEN_level_ids!$B:$B,MATCH(G4266,[1]IDEN_level_ids!$A:$A,0),1)</f>
        <v>1174</v>
      </c>
      <c r="U4266">
        <f>INDEX([1]IDEN_level_ids!$B:$B,MATCH(H4266,[1]IDEN_level_ids!$A:$A,0),1)</f>
        <v>1122</v>
      </c>
    </row>
    <row r="4267" spans="1:21" hidden="1" x14ac:dyDescent="0.25">
      <c r="A4267">
        <v>12117.5344</v>
      </c>
      <c r="B4267">
        <v>8252.5038999999997</v>
      </c>
      <c r="C4267">
        <v>27</v>
      </c>
      <c r="D4267" t="s">
        <v>824</v>
      </c>
      <c r="F4267">
        <v>1974</v>
      </c>
      <c r="G4267" s="1" t="s">
        <v>143</v>
      </c>
      <c r="H4267" s="1" t="s">
        <v>164</v>
      </c>
      <c r="I4267">
        <v>0</v>
      </c>
      <c r="J4267">
        <v>12117.5281</v>
      </c>
      <c r="K4267">
        <v>-4.2700000000000004E-3</v>
      </c>
      <c r="L4267">
        <v>3.1370000000000002E-2</v>
      </c>
      <c r="M4267">
        <v>4.6100000000000002E-2</v>
      </c>
      <c r="N4267">
        <v>0.29430000000000001</v>
      </c>
      <c r="O4267">
        <v>4.446E-2</v>
      </c>
      <c r="P4267" s="3">
        <f t="shared" si="264"/>
        <v>8252.5039087159512</v>
      </c>
      <c r="Q4267" s="3">
        <f t="shared" si="265"/>
        <v>-4.2905429399979766E-3</v>
      </c>
      <c r="R4267" s="3">
        <f t="shared" si="266"/>
        <v>3.1370000000000002E-2</v>
      </c>
      <c r="S4267">
        <f t="shared" si="267"/>
        <v>149</v>
      </c>
      <c r="T4267">
        <f>INDEX([1]IDEN_level_ids!$B:$B,MATCH(G4267,[1]IDEN_level_ids!$A:$A,0),1)</f>
        <v>890</v>
      </c>
      <c r="U4267">
        <f>INDEX([1]IDEN_level_ids!$B:$B,MATCH(H4267,[1]IDEN_level_ids!$A:$A,0),1)</f>
        <v>787</v>
      </c>
    </row>
    <row r="4268" spans="1:21" hidden="1" x14ac:dyDescent="0.25">
      <c r="A4268">
        <v>12100.3613</v>
      </c>
      <c r="B4268">
        <v>8264.2160999999996</v>
      </c>
      <c r="C4268">
        <v>27</v>
      </c>
      <c r="D4268" t="s">
        <v>824</v>
      </c>
      <c r="E4268" t="s">
        <v>427</v>
      </c>
      <c r="F4268">
        <v>1974</v>
      </c>
      <c r="G4268" s="1" t="s">
        <v>669</v>
      </c>
      <c r="H4268" s="1" t="s">
        <v>251</v>
      </c>
      <c r="I4268">
        <v>0</v>
      </c>
      <c r="J4268">
        <v>12100.342000000001</v>
      </c>
      <c r="K4268">
        <v>-1.32E-2</v>
      </c>
      <c r="L4268">
        <v>3.3279999999999997E-2</v>
      </c>
      <c r="M4268">
        <v>4.87E-2</v>
      </c>
      <c r="N4268">
        <v>0.1968</v>
      </c>
      <c r="O4268">
        <v>4.1439999999999998E-2</v>
      </c>
      <c r="P4268" s="3">
        <f t="shared" si="264"/>
        <v>8264.2160445242243</v>
      </c>
      <c r="Q4268" s="3">
        <f t="shared" si="265"/>
        <v>-1.3181393522245344E-2</v>
      </c>
      <c r="R4268" s="3">
        <f t="shared" si="266"/>
        <v>3.3279999999999997E-2</v>
      </c>
      <c r="S4268">
        <f t="shared" si="267"/>
        <v>149</v>
      </c>
      <c r="T4268">
        <f>INDEX([1]IDEN_level_ids!$B:$B,MATCH(G4268,[1]IDEN_level_ids!$A:$A,0),1)</f>
        <v>1245</v>
      </c>
      <c r="U4268">
        <f>INDEX([1]IDEN_level_ids!$B:$B,MATCH(H4268,[1]IDEN_level_ids!$A:$A,0),1)</f>
        <v>1192</v>
      </c>
    </row>
    <row r="4269" spans="1:21" hidden="1" x14ac:dyDescent="0.25">
      <c r="A4269">
        <v>12047.352500000001</v>
      </c>
      <c r="B4269">
        <v>8300.5789000000004</v>
      </c>
      <c r="C4269">
        <v>27</v>
      </c>
      <c r="D4269" t="s">
        <v>824</v>
      </c>
      <c r="E4269" t="s">
        <v>661</v>
      </c>
      <c r="F4269">
        <v>1974</v>
      </c>
      <c r="G4269" s="1" t="s">
        <v>706</v>
      </c>
      <c r="H4269" s="1" t="s">
        <v>239</v>
      </c>
      <c r="I4269">
        <v>0</v>
      </c>
      <c r="J4269">
        <v>12047.3902</v>
      </c>
      <c r="K4269">
        <v>2.5999999999999999E-2</v>
      </c>
      <c r="L4269">
        <v>3.49E-2</v>
      </c>
      <c r="M4269">
        <v>5.0700000000000002E-2</v>
      </c>
      <c r="N4269">
        <v>0.10059999999999999</v>
      </c>
      <c r="O4269">
        <v>3.8809999999999997E-2</v>
      </c>
      <c r="P4269" s="3">
        <f t="shared" si="264"/>
        <v>8300.5789031241511</v>
      </c>
      <c r="Q4269" s="3">
        <f t="shared" si="265"/>
        <v>2.59750717341376E-2</v>
      </c>
      <c r="R4269" s="3">
        <f t="shared" si="266"/>
        <v>3.49E-2</v>
      </c>
      <c r="S4269">
        <f t="shared" si="267"/>
        <v>149</v>
      </c>
      <c r="T4269">
        <f>INDEX([1]IDEN_level_ids!$B:$B,MATCH(G4269,[1]IDEN_level_ids!$A:$A,0),1)</f>
        <v>1240</v>
      </c>
      <c r="U4269">
        <f>INDEX([1]IDEN_level_ids!$B:$B,MATCH(H4269,[1]IDEN_level_ids!$A:$A,0),1)</f>
        <v>1167</v>
      </c>
    </row>
    <row r="4270" spans="1:21" hidden="1" x14ac:dyDescent="0.25">
      <c r="A4270">
        <v>11966.799800000001</v>
      </c>
      <c r="B4270">
        <v>8356.4529999999995</v>
      </c>
      <c r="C4270">
        <v>27</v>
      </c>
      <c r="D4270" t="s">
        <v>824</v>
      </c>
      <c r="F4270">
        <v>1974</v>
      </c>
      <c r="G4270" s="1" t="s">
        <v>736</v>
      </c>
      <c r="H4270" s="1" t="s">
        <v>22</v>
      </c>
      <c r="I4270">
        <v>0</v>
      </c>
      <c r="J4270">
        <v>11966.8601</v>
      </c>
      <c r="K4270">
        <v>4.2099999999999999E-2</v>
      </c>
      <c r="L4270">
        <v>3.2169999999999997E-2</v>
      </c>
      <c r="M4270">
        <v>4.6100000000000002E-2</v>
      </c>
      <c r="N4270">
        <v>0.19289999999999999</v>
      </c>
      <c r="O4270">
        <v>3.986E-2</v>
      </c>
      <c r="P4270" s="3">
        <f t="shared" si="264"/>
        <v>8356.4529925536135</v>
      </c>
      <c r="Q4270" s="3">
        <f t="shared" si="265"/>
        <v>4.2107462712010602E-2</v>
      </c>
      <c r="R4270" s="3">
        <f t="shared" si="266"/>
        <v>3.2169999999999997E-2</v>
      </c>
      <c r="S4270">
        <f t="shared" si="267"/>
        <v>149</v>
      </c>
      <c r="T4270">
        <f>INDEX([1]IDEN_level_ids!$B:$B,MATCH(G4270,[1]IDEN_level_ids!$A:$A,0),1)</f>
        <v>1251</v>
      </c>
      <c r="U4270">
        <f>INDEX([1]IDEN_level_ids!$B:$B,MATCH(H4270,[1]IDEN_level_ids!$A:$A,0),1)</f>
        <v>1236</v>
      </c>
    </row>
    <row r="4271" spans="1:21" hidden="1" x14ac:dyDescent="0.25">
      <c r="A4271">
        <v>11942.7677</v>
      </c>
      <c r="B4271">
        <v>8373.2685000000001</v>
      </c>
      <c r="C4271">
        <v>27</v>
      </c>
      <c r="D4271" t="s">
        <v>824</v>
      </c>
      <c r="E4271" t="s">
        <v>427</v>
      </c>
      <c r="F4271">
        <v>1974</v>
      </c>
      <c r="G4271" s="1" t="s">
        <v>712</v>
      </c>
      <c r="H4271" s="1" t="s">
        <v>81</v>
      </c>
      <c r="I4271">
        <v>0</v>
      </c>
      <c r="J4271">
        <v>11942.763199999999</v>
      </c>
      <c r="K4271">
        <v>-3.13E-3</v>
      </c>
      <c r="L4271">
        <v>3.4160000000000003E-2</v>
      </c>
      <c r="M4271">
        <v>4.87E-2</v>
      </c>
      <c r="N4271">
        <v>0.10589999999999999</v>
      </c>
      <c r="O4271">
        <v>3.8210000000000001E-2</v>
      </c>
      <c r="P4271" s="3">
        <f t="shared" si="264"/>
        <v>8373.2684509973351</v>
      </c>
      <c r="Q4271" s="3">
        <f t="shared" si="265"/>
        <v>-3.1550242929370143E-3</v>
      </c>
      <c r="R4271" s="3">
        <f t="shared" si="266"/>
        <v>3.4160000000000003E-2</v>
      </c>
      <c r="S4271">
        <f t="shared" si="267"/>
        <v>149</v>
      </c>
      <c r="T4271">
        <f>INDEX([1]IDEN_level_ids!$B:$B,MATCH(G4271,[1]IDEN_level_ids!$A:$A,0),1)</f>
        <v>1247</v>
      </c>
      <c r="U4271">
        <f>INDEX([1]IDEN_level_ids!$B:$B,MATCH(H4271,[1]IDEN_level_ids!$A:$A,0),1)</f>
        <v>1196</v>
      </c>
    </row>
    <row r="4272" spans="1:21" s="4" customFormat="1" hidden="1" x14ac:dyDescent="0.25">
      <c r="A4272">
        <v>11934.867700000001</v>
      </c>
      <c r="B4272">
        <v>8378.8109999999997</v>
      </c>
      <c r="C4272">
        <v>27</v>
      </c>
      <c r="D4272" t="s">
        <v>825</v>
      </c>
      <c r="E4272"/>
      <c r="F4272">
        <v>1974</v>
      </c>
      <c r="G4272" s="1" t="s">
        <v>306</v>
      </c>
      <c r="H4272" s="1" t="s">
        <v>148</v>
      </c>
      <c r="I4272">
        <v>0</v>
      </c>
      <c r="J4272">
        <v>11934.915300000001</v>
      </c>
      <c r="K4272">
        <v>3.3439999999999998E-2</v>
      </c>
      <c r="L4272">
        <v>3.2340000000000001E-2</v>
      </c>
      <c r="M4272">
        <v>4.6100000000000002E-2</v>
      </c>
      <c r="N4272">
        <v>0.28899999999999998</v>
      </c>
      <c r="O4272">
        <v>4.5490000000000003E-2</v>
      </c>
      <c r="P4272" s="5">
        <f t="shared" si="264"/>
        <v>8378.8109356252007</v>
      </c>
      <c r="Q4272" s="5"/>
      <c r="R4272" s="5">
        <f t="shared" si="266"/>
        <v>3.2340000000000001E-2</v>
      </c>
      <c r="S4272" s="4">
        <f t="shared" si="267"/>
        <v>150</v>
      </c>
      <c r="T4272" s="4">
        <f>INDEX([1]IDEN_level_ids!$B:$B,MATCH(G4272,[1]IDEN_level_ids!$A:$A,0),1)</f>
        <v>862</v>
      </c>
      <c r="U4272" s="4">
        <f>INDEX([1]IDEN_level_ids!$B:$B,MATCH(H4272,[1]IDEN_level_ids!$A:$A,0),1)</f>
        <v>728</v>
      </c>
    </row>
    <row r="4273" spans="1:21" hidden="1" x14ac:dyDescent="0.25">
      <c r="A4273">
        <v>11915.489100000001</v>
      </c>
      <c r="B4273">
        <v>8392.4377000000004</v>
      </c>
      <c r="C4273">
        <v>27</v>
      </c>
      <c r="D4273" t="s">
        <v>825</v>
      </c>
      <c r="F4273">
        <v>1974</v>
      </c>
      <c r="G4273" s="1" t="s">
        <v>94</v>
      </c>
      <c r="H4273" s="1" t="s">
        <v>365</v>
      </c>
      <c r="I4273">
        <v>0</v>
      </c>
      <c r="J4273">
        <v>11915.4933</v>
      </c>
      <c r="K4273">
        <v>2.9299999999999999E-3</v>
      </c>
      <c r="L4273">
        <v>3.245E-2</v>
      </c>
      <c r="M4273">
        <v>4.6100000000000002E-2</v>
      </c>
      <c r="N4273">
        <v>0.39190000000000003</v>
      </c>
      <c r="O4273">
        <v>5.3359999999999998E-2</v>
      </c>
      <c r="P4273" s="3">
        <f t="shared" si="264"/>
        <v>8392.437705305776</v>
      </c>
      <c r="Q4273" s="3">
        <f t="shared" si="265"/>
        <v>2.9581854032585397E-3</v>
      </c>
      <c r="R4273" s="3">
        <f t="shared" si="266"/>
        <v>3.245E-2</v>
      </c>
      <c r="S4273">
        <f t="shared" si="267"/>
        <v>150</v>
      </c>
      <c r="T4273">
        <f>INDEX([1]IDEN_level_ids!$B:$B,MATCH(G4273,[1]IDEN_level_ids!$A:$A,0),1)</f>
        <v>1207</v>
      </c>
      <c r="U4273">
        <f>INDEX([1]IDEN_level_ids!$B:$B,MATCH(H4273,[1]IDEN_level_ids!$A:$A,0),1)</f>
        <v>1143</v>
      </c>
    </row>
    <row r="4274" spans="1:21" hidden="1" x14ac:dyDescent="0.25">
      <c r="A4274">
        <v>11899.1327</v>
      </c>
      <c r="B4274">
        <v>8403.9737999999998</v>
      </c>
      <c r="C4274">
        <v>27</v>
      </c>
      <c r="D4274" t="s">
        <v>825</v>
      </c>
      <c r="E4274" t="s">
        <v>427</v>
      </c>
      <c r="F4274">
        <v>1974</v>
      </c>
      <c r="G4274" s="1" t="s">
        <v>734</v>
      </c>
      <c r="H4274" s="1" t="s">
        <v>271</v>
      </c>
      <c r="I4274">
        <v>0</v>
      </c>
      <c r="J4274">
        <v>11899.1306</v>
      </c>
      <c r="K4274">
        <v>-1.47E-3</v>
      </c>
      <c r="L4274">
        <v>3.4419999999999999E-2</v>
      </c>
      <c r="M4274">
        <v>4.87E-2</v>
      </c>
      <c r="N4274">
        <v>9.8599999999999993E-2</v>
      </c>
      <c r="O4274">
        <v>3.8179999999999999E-2</v>
      </c>
      <c r="P4274" s="3">
        <f t="shared" si="264"/>
        <v>8403.9738459257624</v>
      </c>
      <c r="Q4274" s="3">
        <f t="shared" si="265"/>
        <v>-1.4831625667284243E-3</v>
      </c>
      <c r="R4274" s="3">
        <f t="shared" si="266"/>
        <v>3.4419999999999999E-2</v>
      </c>
      <c r="S4274">
        <f t="shared" si="267"/>
        <v>150</v>
      </c>
      <c r="T4274">
        <f>INDEX([1]IDEN_level_ids!$B:$B,MATCH(G4274,[1]IDEN_level_ids!$A:$A,0),1)</f>
        <v>1232</v>
      </c>
      <c r="U4274">
        <f>INDEX([1]IDEN_level_ids!$B:$B,MATCH(H4274,[1]IDEN_level_ids!$A:$A,0),1)</f>
        <v>1158</v>
      </c>
    </row>
    <row r="4275" spans="1:21" hidden="1" x14ac:dyDescent="0.25">
      <c r="A4275">
        <v>11891.834800000001</v>
      </c>
      <c r="B4275">
        <v>8409.1312999999991</v>
      </c>
      <c r="C4275">
        <v>27</v>
      </c>
      <c r="D4275" t="s">
        <v>825</v>
      </c>
      <c r="F4275">
        <v>1974</v>
      </c>
      <c r="G4275" s="1" t="s">
        <v>339</v>
      </c>
      <c r="H4275" s="1" t="s">
        <v>361</v>
      </c>
      <c r="I4275">
        <v>0</v>
      </c>
      <c r="J4275">
        <v>11891.8465</v>
      </c>
      <c r="K4275">
        <v>8.2400000000000008E-3</v>
      </c>
      <c r="L4275">
        <v>3.2579999999999998E-2</v>
      </c>
      <c r="M4275">
        <v>4.6100000000000002E-2</v>
      </c>
      <c r="N4275">
        <v>0.18770000000000001</v>
      </c>
      <c r="O4275">
        <v>4.0099999999999997E-2</v>
      </c>
      <c r="P4275" s="3">
        <f t="shared" si="264"/>
        <v>8409.1312805657199</v>
      </c>
      <c r="Q4275" s="3">
        <f t="shared" si="265"/>
        <v>8.2734700590663124E-3</v>
      </c>
      <c r="R4275" s="3">
        <f t="shared" si="266"/>
        <v>3.2579999999999998E-2</v>
      </c>
      <c r="S4275">
        <f t="shared" si="267"/>
        <v>150</v>
      </c>
      <c r="T4275">
        <f>INDEX([1]IDEN_level_ids!$B:$B,MATCH(G4275,[1]IDEN_level_ids!$A:$A,0),1)</f>
        <v>1189</v>
      </c>
      <c r="U4275">
        <f>INDEX([1]IDEN_level_ids!$B:$B,MATCH(H4275,[1]IDEN_level_ids!$A:$A,0),1)</f>
        <v>1133</v>
      </c>
    </row>
    <row r="4276" spans="1:21" hidden="1" x14ac:dyDescent="0.25">
      <c r="A4276">
        <v>11890.656800000001</v>
      </c>
      <c r="B4276">
        <v>8409.9644000000008</v>
      </c>
      <c r="C4276">
        <v>27</v>
      </c>
      <c r="D4276" t="s">
        <v>825</v>
      </c>
      <c r="F4276">
        <v>1974</v>
      </c>
      <c r="G4276" s="1" t="s">
        <v>679</v>
      </c>
      <c r="H4276" s="1" t="s">
        <v>169</v>
      </c>
      <c r="I4276">
        <v>0</v>
      </c>
      <c r="J4276">
        <v>11890.702300000001</v>
      </c>
      <c r="K4276">
        <v>3.2199999999999999E-2</v>
      </c>
      <c r="L4276">
        <v>3.2579999999999998E-2</v>
      </c>
      <c r="M4276">
        <v>4.6100000000000002E-2</v>
      </c>
      <c r="N4276">
        <v>0.64429999999999998</v>
      </c>
      <c r="O4276">
        <v>9.1600000000000001E-2</v>
      </c>
      <c r="P4276" s="3">
        <f t="shared" si="264"/>
        <v>8409.9643679901674</v>
      </c>
      <c r="Q4276" s="3">
        <f t="shared" si="265"/>
        <v>3.2180889664232382E-2</v>
      </c>
      <c r="R4276" s="3">
        <f t="shared" si="266"/>
        <v>3.2579999999999998E-2</v>
      </c>
      <c r="S4276">
        <f t="shared" si="267"/>
        <v>150</v>
      </c>
      <c r="T4276">
        <f>INDEX([1]IDEN_level_ids!$B:$B,MATCH(G4276,[1]IDEN_level_ids!$A:$A,0),1)</f>
        <v>859</v>
      </c>
      <c r="U4276">
        <f>INDEX([1]IDEN_level_ids!$B:$B,MATCH(H4276,[1]IDEN_level_ids!$A:$A,0),1)</f>
        <v>727</v>
      </c>
    </row>
    <row r="4277" spans="1:21" hidden="1" x14ac:dyDescent="0.25">
      <c r="A4277">
        <v>11890.1675</v>
      </c>
      <c r="B4277">
        <v>8410.3104999999996</v>
      </c>
      <c r="C4277">
        <v>27</v>
      </c>
      <c r="D4277" t="s">
        <v>825</v>
      </c>
      <c r="F4277">
        <v>1974</v>
      </c>
      <c r="G4277" s="1" t="s">
        <v>719</v>
      </c>
      <c r="H4277" s="1" t="s">
        <v>166</v>
      </c>
      <c r="I4277">
        <v>0</v>
      </c>
      <c r="J4277">
        <v>11890.194</v>
      </c>
      <c r="K4277">
        <v>1.874E-2</v>
      </c>
      <c r="L4277">
        <v>3.2579999999999998E-2</v>
      </c>
      <c r="M4277">
        <v>4.6100000000000002E-2</v>
      </c>
      <c r="N4277">
        <v>0.1191</v>
      </c>
      <c r="O4277">
        <v>3.6990000000000002E-2</v>
      </c>
      <c r="P4277" s="3">
        <f t="shared" si="264"/>
        <v>8410.3104518922883</v>
      </c>
      <c r="Q4277" s="3">
        <f t="shared" si="265"/>
        <v>1.874428852715937E-2</v>
      </c>
      <c r="R4277" s="3">
        <f t="shared" si="266"/>
        <v>3.2579999999999998E-2</v>
      </c>
      <c r="S4277">
        <f t="shared" si="267"/>
        <v>150</v>
      </c>
      <c r="T4277">
        <f>INDEX([1]IDEN_level_ids!$B:$B,MATCH(G4277,[1]IDEN_level_ids!$A:$A,0),1)</f>
        <v>1244</v>
      </c>
      <c r="U4277">
        <f>INDEX([1]IDEN_level_ids!$B:$B,MATCH(H4277,[1]IDEN_level_ids!$A:$A,0),1)</f>
        <v>1186</v>
      </c>
    </row>
    <row r="4278" spans="1:21" hidden="1" x14ac:dyDescent="0.25">
      <c r="A4278">
        <v>11888.616400000001</v>
      </c>
      <c r="B4278">
        <v>8411.4078000000009</v>
      </c>
      <c r="C4278">
        <v>27</v>
      </c>
      <c r="D4278" t="s">
        <v>825</v>
      </c>
      <c r="F4278">
        <v>1974</v>
      </c>
      <c r="G4278" s="1" t="s">
        <v>710</v>
      </c>
      <c r="H4278" s="1" t="s">
        <v>76</v>
      </c>
      <c r="I4278">
        <v>0</v>
      </c>
      <c r="J4278">
        <v>11888.6464</v>
      </c>
      <c r="K4278">
        <v>2.1250000000000002E-2</v>
      </c>
      <c r="L4278">
        <v>3.2590000000000001E-2</v>
      </c>
      <c r="M4278">
        <v>4.6100000000000002E-2</v>
      </c>
      <c r="N4278">
        <v>0.124</v>
      </c>
      <c r="O4278">
        <v>3.721E-2</v>
      </c>
      <c r="P4278" s="3">
        <f t="shared" si="264"/>
        <v>8411.4077395919667</v>
      </c>
      <c r="Q4278" s="3">
        <f t="shared" si="265"/>
        <v>2.1225480486464221E-2</v>
      </c>
      <c r="R4278" s="3">
        <f t="shared" si="266"/>
        <v>3.2590000000000001E-2</v>
      </c>
      <c r="S4278">
        <f t="shared" si="267"/>
        <v>150</v>
      </c>
      <c r="T4278">
        <f>INDEX([1]IDEN_level_ids!$B:$B,MATCH(G4278,[1]IDEN_level_ids!$A:$A,0),1)</f>
        <v>1246</v>
      </c>
      <c r="U4278">
        <f>INDEX([1]IDEN_level_ids!$B:$B,MATCH(H4278,[1]IDEN_level_ids!$A:$A,0),1)</f>
        <v>1194</v>
      </c>
    </row>
    <row r="4279" spans="1:21" hidden="1" x14ac:dyDescent="0.25">
      <c r="A4279">
        <v>11840.7934</v>
      </c>
      <c r="B4279">
        <v>8445.3799999999992</v>
      </c>
      <c r="C4279">
        <v>27</v>
      </c>
      <c r="D4279" t="s">
        <v>825</v>
      </c>
      <c r="E4279" t="s">
        <v>661</v>
      </c>
      <c r="F4279">
        <v>1974</v>
      </c>
      <c r="G4279" s="1" t="s">
        <v>725</v>
      </c>
      <c r="H4279" s="1" t="s">
        <v>290</v>
      </c>
      <c r="I4279">
        <v>0</v>
      </c>
      <c r="J4279">
        <v>11840.7989</v>
      </c>
      <c r="K4279">
        <v>3.9699999999999996E-3</v>
      </c>
      <c r="L4279">
        <v>3.6130000000000002E-2</v>
      </c>
      <c r="M4279">
        <v>5.0700000000000002E-2</v>
      </c>
      <c r="N4279">
        <v>0.24879999999999999</v>
      </c>
      <c r="O4279">
        <v>4.8090000000000001E-2</v>
      </c>
      <c r="P4279" s="3">
        <f t="shared" si="264"/>
        <v>8445.380019889546</v>
      </c>
      <c r="Q4279" s="3">
        <f t="shared" si="265"/>
        <v>3.922842581232544E-3</v>
      </c>
      <c r="R4279" s="3">
        <f t="shared" si="266"/>
        <v>3.6130000000000002E-2</v>
      </c>
      <c r="S4279">
        <f t="shared" si="267"/>
        <v>150</v>
      </c>
      <c r="T4279">
        <f>INDEX([1]IDEN_level_ids!$B:$B,MATCH(G4279,[1]IDEN_level_ids!$A:$A,0),1)</f>
        <v>1227</v>
      </c>
      <c r="U4279">
        <f>INDEX([1]IDEN_level_ids!$B:$B,MATCH(H4279,[1]IDEN_level_ids!$A:$A,0),1)</f>
        <v>1153</v>
      </c>
    </row>
    <row r="4280" spans="1:21" hidden="1" x14ac:dyDescent="0.25">
      <c r="A4280">
        <v>11831.808000000001</v>
      </c>
      <c r="B4280">
        <v>8451.7937000000002</v>
      </c>
      <c r="C4280">
        <v>27</v>
      </c>
      <c r="D4280" t="s">
        <v>825</v>
      </c>
      <c r="F4280">
        <v>1974</v>
      </c>
      <c r="G4280" s="1" t="s">
        <v>311</v>
      </c>
      <c r="H4280" s="1" t="s">
        <v>233</v>
      </c>
      <c r="I4280">
        <v>0</v>
      </c>
      <c r="J4280">
        <v>11831.8359</v>
      </c>
      <c r="K4280">
        <v>1.9939999999999999E-2</v>
      </c>
      <c r="L4280">
        <v>3.2910000000000002E-2</v>
      </c>
      <c r="M4280">
        <v>4.6100000000000002E-2</v>
      </c>
      <c r="N4280">
        <v>0.21079999999999999</v>
      </c>
      <c r="O4280">
        <v>4.1700000000000001E-2</v>
      </c>
      <c r="P4280" s="3">
        <f t="shared" si="264"/>
        <v>8451.7936734605555</v>
      </c>
      <c r="Q4280" s="3">
        <f t="shared" si="265"/>
        <v>1.9929708751078579E-2</v>
      </c>
      <c r="R4280" s="3">
        <f t="shared" si="266"/>
        <v>3.2910000000000002E-2</v>
      </c>
      <c r="S4280">
        <f t="shared" si="267"/>
        <v>150</v>
      </c>
      <c r="T4280">
        <f>INDEX([1]IDEN_level_ids!$B:$B,MATCH(G4280,[1]IDEN_level_ids!$A:$A,0),1)</f>
        <v>876</v>
      </c>
      <c r="U4280">
        <f>INDEX([1]IDEN_level_ids!$B:$B,MATCH(H4280,[1]IDEN_level_ids!$A:$A,0),1)</f>
        <v>766</v>
      </c>
    </row>
    <row r="4281" spans="1:21" hidden="1" x14ac:dyDescent="0.25">
      <c r="A4281">
        <v>11830.733899999999</v>
      </c>
      <c r="B4281">
        <v>8452.5609999999997</v>
      </c>
      <c r="C4281">
        <v>27</v>
      </c>
      <c r="D4281" t="s">
        <v>825</v>
      </c>
      <c r="F4281">
        <v>1974</v>
      </c>
      <c r="G4281" s="1" t="s">
        <v>646</v>
      </c>
      <c r="H4281" s="1" t="s">
        <v>218</v>
      </c>
      <c r="I4281">
        <v>0</v>
      </c>
      <c r="J4281">
        <v>11830.7436</v>
      </c>
      <c r="K4281">
        <v>6.9100000000000003E-3</v>
      </c>
      <c r="L4281">
        <v>3.2910000000000002E-2</v>
      </c>
      <c r="M4281">
        <v>4.6100000000000002E-2</v>
      </c>
      <c r="N4281">
        <v>0.35749999999999998</v>
      </c>
      <c r="O4281">
        <v>5.1229999999999998E-2</v>
      </c>
      <c r="P4281" s="3">
        <f t="shared" si="264"/>
        <v>8452.5610029991458</v>
      </c>
      <c r="Q4281" s="3">
        <f t="shared" si="265"/>
        <v>6.9302357060223585E-3</v>
      </c>
      <c r="R4281" s="3">
        <f t="shared" si="266"/>
        <v>3.2910000000000002E-2</v>
      </c>
      <c r="S4281">
        <f t="shared" si="267"/>
        <v>150</v>
      </c>
      <c r="T4281">
        <f>INDEX([1]IDEN_level_ids!$B:$B,MATCH(G4281,[1]IDEN_level_ids!$A:$A,0),1)</f>
        <v>829</v>
      </c>
      <c r="U4281">
        <f>INDEX([1]IDEN_level_ids!$B:$B,MATCH(H4281,[1]IDEN_level_ids!$A:$A,0),1)</f>
        <v>666</v>
      </c>
    </row>
    <row r="4282" spans="1:21" hidden="1" x14ac:dyDescent="0.25">
      <c r="A4282">
        <v>11779.3428</v>
      </c>
      <c r="B4282">
        <v>8489.4379000000008</v>
      </c>
      <c r="C4282">
        <v>27</v>
      </c>
      <c r="D4282" t="s">
        <v>825</v>
      </c>
      <c r="F4282">
        <v>1974</v>
      </c>
      <c r="G4282" s="1" t="s">
        <v>624</v>
      </c>
      <c r="H4282" s="1" t="s">
        <v>178</v>
      </c>
      <c r="I4282">
        <v>0</v>
      </c>
      <c r="J4282">
        <v>11779.362300000001</v>
      </c>
      <c r="K4282">
        <v>1.404E-2</v>
      </c>
      <c r="L4282">
        <v>3.32E-2</v>
      </c>
      <c r="M4282">
        <v>4.6100000000000002E-2</v>
      </c>
      <c r="N4282">
        <v>0.2344</v>
      </c>
      <c r="O4282">
        <v>4.3369999999999999E-2</v>
      </c>
      <c r="P4282" s="3">
        <f t="shared" si="264"/>
        <v>8489.4379676258341</v>
      </c>
      <c r="Q4282" s="3">
        <f t="shared" si="265"/>
        <v>1.4053735350898933E-2</v>
      </c>
      <c r="R4282" s="3">
        <f t="shared" si="266"/>
        <v>3.32E-2</v>
      </c>
      <c r="S4282">
        <f t="shared" si="267"/>
        <v>150</v>
      </c>
      <c r="T4282">
        <f>INDEX([1]IDEN_level_ids!$B:$B,MATCH(G4282,[1]IDEN_level_ids!$A:$A,0),1)</f>
        <v>887</v>
      </c>
      <c r="U4282">
        <f>INDEX([1]IDEN_level_ids!$B:$B,MATCH(H4282,[1]IDEN_level_ids!$A:$A,0),1)</f>
        <v>782</v>
      </c>
    </row>
    <row r="4283" spans="1:21" hidden="1" x14ac:dyDescent="0.25">
      <c r="A4283">
        <v>11777.630499999999</v>
      </c>
      <c r="B4283">
        <v>8490.6722000000009</v>
      </c>
      <c r="C4283">
        <v>27</v>
      </c>
      <c r="D4283" t="s">
        <v>825</v>
      </c>
      <c r="E4283" t="s">
        <v>678</v>
      </c>
      <c r="F4283">
        <v>1974</v>
      </c>
      <c r="G4283" s="1" t="s">
        <v>715</v>
      </c>
      <c r="H4283" s="1" t="s">
        <v>187</v>
      </c>
      <c r="I4283">
        <v>0</v>
      </c>
      <c r="J4283">
        <v>11777.7399</v>
      </c>
      <c r="K4283">
        <v>7.893E-2</v>
      </c>
      <c r="L4283">
        <v>5.2499999999999998E-2</v>
      </c>
      <c r="M4283">
        <v>7.2800000000000004E-2</v>
      </c>
      <c r="N4283">
        <v>8.4500000000000006E-2</v>
      </c>
      <c r="O4283">
        <v>5.7349999999999998E-2</v>
      </c>
      <c r="P4283" s="3">
        <f t="shared" si="264"/>
        <v>8490.6722111888303</v>
      </c>
      <c r="Q4283" s="3">
        <f t="shared" si="265"/>
        <v>7.886738438901375E-2</v>
      </c>
      <c r="R4283" s="3">
        <f t="shared" si="266"/>
        <v>5.2499999999999998E-2</v>
      </c>
      <c r="S4283">
        <f t="shared" si="267"/>
        <v>150</v>
      </c>
      <c r="T4283">
        <f>INDEX([1]IDEN_level_ids!$B:$B,MATCH(G4283,[1]IDEN_level_ids!$A:$A,0),1)</f>
        <v>1249</v>
      </c>
      <c r="U4283">
        <f>INDEX([1]IDEN_level_ids!$B:$B,MATCH(H4283,[1]IDEN_level_ids!$A:$A,0),1)</f>
        <v>1204</v>
      </c>
    </row>
    <row r="4284" spans="1:21" hidden="1" x14ac:dyDescent="0.25">
      <c r="A4284">
        <v>11768.4164</v>
      </c>
      <c r="B4284">
        <v>8497.32</v>
      </c>
      <c r="C4284">
        <v>27</v>
      </c>
      <c r="D4284" t="s">
        <v>825</v>
      </c>
      <c r="E4284" t="s">
        <v>427</v>
      </c>
      <c r="F4284">
        <v>1974</v>
      </c>
      <c r="G4284" s="1" t="s">
        <v>337</v>
      </c>
      <c r="H4284" s="1" t="s">
        <v>273</v>
      </c>
      <c r="I4284">
        <v>0</v>
      </c>
      <c r="J4284">
        <v>11768.4359</v>
      </c>
      <c r="K4284">
        <v>1.405E-2</v>
      </c>
      <c r="L4284">
        <v>3.5180000000000003E-2</v>
      </c>
      <c r="M4284">
        <v>4.87E-2</v>
      </c>
      <c r="N4284">
        <v>0.1908</v>
      </c>
      <c r="O4284">
        <v>4.3479999999999998E-2</v>
      </c>
      <c r="P4284" s="3">
        <f t="shared" si="264"/>
        <v>8497.3199962570998</v>
      </c>
      <c r="Q4284" s="3">
        <f t="shared" si="265"/>
        <v>1.4079843856961816E-2</v>
      </c>
      <c r="R4284" s="3">
        <f t="shared" si="266"/>
        <v>3.5180000000000003E-2</v>
      </c>
      <c r="S4284">
        <f t="shared" si="267"/>
        <v>150</v>
      </c>
      <c r="T4284">
        <f>INDEX([1]IDEN_level_ids!$B:$B,MATCH(G4284,[1]IDEN_level_ids!$A:$A,0),1)</f>
        <v>1157</v>
      </c>
      <c r="U4284">
        <f>INDEX([1]IDEN_level_ids!$B:$B,MATCH(H4284,[1]IDEN_level_ids!$A:$A,0),1)</f>
        <v>1105</v>
      </c>
    </row>
    <row r="4285" spans="1:21" hidden="1" x14ac:dyDescent="0.25">
      <c r="A4285">
        <v>11765.6227</v>
      </c>
      <c r="B4285">
        <v>8499.3376000000007</v>
      </c>
      <c r="C4285">
        <v>27</v>
      </c>
      <c r="D4285" t="s">
        <v>825</v>
      </c>
      <c r="F4285">
        <v>1974</v>
      </c>
      <c r="G4285" s="1" t="s">
        <v>121</v>
      </c>
      <c r="H4285" s="1" t="s">
        <v>168</v>
      </c>
      <c r="I4285">
        <v>0</v>
      </c>
      <c r="J4285">
        <v>11765.617</v>
      </c>
      <c r="K4285">
        <v>-4.1200000000000004E-3</v>
      </c>
      <c r="L4285">
        <v>3.3279999999999997E-2</v>
      </c>
      <c r="M4285">
        <v>4.6100000000000002E-2</v>
      </c>
      <c r="N4285">
        <v>0.25819999999999999</v>
      </c>
      <c r="O4285">
        <v>4.4859999999999997E-2</v>
      </c>
      <c r="P4285" s="3">
        <f t="shared" si="264"/>
        <v>8499.3376508665369</v>
      </c>
      <c r="Q4285" s="3">
        <f t="shared" si="265"/>
        <v>-4.1176102040481055E-3</v>
      </c>
      <c r="R4285" s="3">
        <f t="shared" si="266"/>
        <v>3.3279999999999997E-2</v>
      </c>
      <c r="S4285">
        <f t="shared" si="267"/>
        <v>150</v>
      </c>
      <c r="T4285">
        <f>INDEX([1]IDEN_level_ids!$B:$B,MATCH(G4285,[1]IDEN_level_ids!$A:$A,0),1)</f>
        <v>860</v>
      </c>
      <c r="U4285">
        <f>INDEX([1]IDEN_level_ids!$B:$B,MATCH(H4285,[1]IDEN_level_ids!$A:$A,0),1)</f>
        <v>729</v>
      </c>
    </row>
    <row r="4286" spans="1:21" hidden="1" x14ac:dyDescent="0.25">
      <c r="A4286">
        <v>11753.892400000001</v>
      </c>
      <c r="B4286">
        <v>8507.8199000000004</v>
      </c>
      <c r="C4286">
        <v>27</v>
      </c>
      <c r="D4286" t="s">
        <v>826</v>
      </c>
      <c r="F4286">
        <v>1974</v>
      </c>
      <c r="G4286" s="1" t="s">
        <v>335</v>
      </c>
      <c r="H4286" s="1" t="s">
        <v>212</v>
      </c>
      <c r="I4286">
        <v>0</v>
      </c>
      <c r="J4286">
        <v>11753.872799999999</v>
      </c>
      <c r="K4286">
        <v>-1.422E-2</v>
      </c>
      <c r="L4286">
        <v>3.3340000000000002E-2</v>
      </c>
      <c r="M4286">
        <v>4.6100000000000002E-2</v>
      </c>
      <c r="N4286">
        <v>0.2233</v>
      </c>
      <c r="O4286">
        <v>4.2930000000000003E-2</v>
      </c>
      <c r="P4286" s="3">
        <f t="shared" si="264"/>
        <v>8507.8199286561448</v>
      </c>
      <c r="Q4286" s="3">
        <f t="shared" si="265"/>
        <v>-1.4187091644998873E-2</v>
      </c>
      <c r="R4286" s="3">
        <f t="shared" si="266"/>
        <v>3.3340000000000002E-2</v>
      </c>
      <c r="S4286">
        <f t="shared" si="267"/>
        <v>151</v>
      </c>
      <c r="T4286">
        <f>INDEX([1]IDEN_level_ids!$B:$B,MATCH(G4286,[1]IDEN_level_ids!$A:$A,0),1)</f>
        <v>1174</v>
      </c>
      <c r="U4286">
        <f>INDEX([1]IDEN_level_ids!$B:$B,MATCH(H4286,[1]IDEN_level_ids!$A:$A,0),1)</f>
        <v>1123</v>
      </c>
    </row>
    <row r="4287" spans="1:21" hidden="1" x14ac:dyDescent="0.25">
      <c r="A4287">
        <v>11752.9584</v>
      </c>
      <c r="B4287">
        <v>8508.4959999999992</v>
      </c>
      <c r="C4287">
        <v>27</v>
      </c>
      <c r="D4287" t="s">
        <v>826</v>
      </c>
      <c r="F4287">
        <v>1974</v>
      </c>
      <c r="G4287" s="1" t="s">
        <v>121</v>
      </c>
      <c r="H4287" s="1" t="s">
        <v>148</v>
      </c>
      <c r="I4287">
        <v>0</v>
      </c>
      <c r="J4287">
        <v>11752.9619</v>
      </c>
      <c r="K4287">
        <v>2.5500000000000002E-3</v>
      </c>
      <c r="L4287">
        <v>3.3349999999999998E-2</v>
      </c>
      <c r="M4287">
        <v>4.6100000000000002E-2</v>
      </c>
      <c r="N4287">
        <v>0.21629999999999999</v>
      </c>
      <c r="O4287">
        <v>4.2549999999999998E-2</v>
      </c>
      <c r="P4287" s="3">
        <f t="shared" si="264"/>
        <v>8508.4960396013994</v>
      </c>
      <c r="Q4287" s="3">
        <f t="shared" si="265"/>
        <v>2.5338069153804099E-3</v>
      </c>
      <c r="R4287" s="3">
        <f t="shared" si="266"/>
        <v>3.3349999999999998E-2</v>
      </c>
      <c r="S4287">
        <f t="shared" si="267"/>
        <v>151</v>
      </c>
      <c r="T4287">
        <f>INDEX([1]IDEN_level_ids!$B:$B,MATCH(G4287,[1]IDEN_level_ids!$A:$A,0),1)</f>
        <v>860</v>
      </c>
      <c r="U4287">
        <f>INDEX([1]IDEN_level_ids!$B:$B,MATCH(H4287,[1]IDEN_level_ids!$A:$A,0),1)</f>
        <v>728</v>
      </c>
    </row>
    <row r="4288" spans="1:21" hidden="1" x14ac:dyDescent="0.25">
      <c r="A4288">
        <v>11749.720600000001</v>
      </c>
      <c r="B4288">
        <v>8510.8407000000007</v>
      </c>
      <c r="C4288">
        <v>27</v>
      </c>
      <c r="D4288" t="s">
        <v>826</v>
      </c>
      <c r="F4288">
        <v>1974</v>
      </c>
      <c r="G4288" s="1" t="s">
        <v>311</v>
      </c>
      <c r="H4288" s="1" t="s">
        <v>186</v>
      </c>
      <c r="I4288">
        <v>0</v>
      </c>
      <c r="J4288">
        <v>11749.7132</v>
      </c>
      <c r="K4288">
        <v>-5.3200000000000001E-3</v>
      </c>
      <c r="L4288">
        <v>3.3369999999999997E-2</v>
      </c>
      <c r="M4288">
        <v>4.6100000000000002E-2</v>
      </c>
      <c r="N4288">
        <v>0.246</v>
      </c>
      <c r="O4288">
        <v>4.4249999999999998E-2</v>
      </c>
      <c r="P4288" s="3">
        <f t="shared" si="264"/>
        <v>8510.8406747986846</v>
      </c>
      <c r="Q4288" s="3">
        <f t="shared" si="265"/>
        <v>-5.3601496401824988E-3</v>
      </c>
      <c r="R4288" s="3">
        <f t="shared" si="266"/>
        <v>3.3369999999999997E-2</v>
      </c>
      <c r="S4288">
        <f t="shared" si="267"/>
        <v>151</v>
      </c>
      <c r="T4288">
        <f>INDEX([1]IDEN_level_ids!$B:$B,MATCH(G4288,[1]IDEN_level_ids!$A:$A,0),1)</f>
        <v>876</v>
      </c>
      <c r="U4288">
        <f>INDEX([1]IDEN_level_ids!$B:$B,MATCH(H4288,[1]IDEN_level_ids!$A:$A,0),1)</f>
        <v>768</v>
      </c>
    </row>
    <row r="4289" spans="1:21" hidden="1" x14ac:dyDescent="0.25">
      <c r="A4289">
        <v>11747.5942</v>
      </c>
      <c r="B4289">
        <v>8512.3811999999998</v>
      </c>
      <c r="C4289">
        <v>27</v>
      </c>
      <c r="D4289" t="s">
        <v>826</v>
      </c>
      <c r="F4289">
        <v>1974</v>
      </c>
      <c r="G4289" s="1" t="s">
        <v>313</v>
      </c>
      <c r="H4289" s="1" t="s">
        <v>239</v>
      </c>
      <c r="I4289">
        <v>0</v>
      </c>
      <c r="J4289">
        <v>11747.647800000001</v>
      </c>
      <c r="K4289">
        <v>3.884E-2</v>
      </c>
      <c r="L4289">
        <v>3.338E-2</v>
      </c>
      <c r="M4289">
        <v>4.6100000000000002E-2</v>
      </c>
      <c r="N4289">
        <v>0.1799</v>
      </c>
      <c r="O4289">
        <v>4.07E-2</v>
      </c>
      <c r="P4289" s="3">
        <f t="shared" si="264"/>
        <v>8512.3811988670841</v>
      </c>
      <c r="Q4289" s="3">
        <f t="shared" si="265"/>
        <v>3.8838722442960716E-2</v>
      </c>
      <c r="R4289" s="3">
        <f t="shared" si="266"/>
        <v>3.338E-2</v>
      </c>
      <c r="S4289">
        <f t="shared" si="267"/>
        <v>151</v>
      </c>
      <c r="T4289">
        <f>INDEX([1]IDEN_level_ids!$B:$B,MATCH(G4289,[1]IDEN_level_ids!$A:$A,0),1)</f>
        <v>1239</v>
      </c>
      <c r="U4289">
        <f>INDEX([1]IDEN_level_ids!$B:$B,MATCH(H4289,[1]IDEN_level_ids!$A:$A,0),1)</f>
        <v>1167</v>
      </c>
    </row>
    <row r="4290" spans="1:21" hidden="1" x14ac:dyDescent="0.25">
      <c r="A4290">
        <v>11734.5555</v>
      </c>
      <c r="B4290">
        <v>8521.8395999999993</v>
      </c>
      <c r="C4290">
        <v>27</v>
      </c>
      <c r="D4290" t="s">
        <v>826</v>
      </c>
      <c r="F4290">
        <v>1974</v>
      </c>
      <c r="G4290" s="1" t="s">
        <v>666</v>
      </c>
      <c r="H4290" s="1" t="s">
        <v>133</v>
      </c>
      <c r="I4290">
        <v>0</v>
      </c>
      <c r="J4290">
        <v>11734.550999999999</v>
      </c>
      <c r="K4290">
        <v>-3.29E-3</v>
      </c>
      <c r="L4290">
        <v>3.3450000000000001E-2</v>
      </c>
      <c r="M4290">
        <v>4.6100000000000002E-2</v>
      </c>
      <c r="N4290">
        <v>0.43709999999999999</v>
      </c>
      <c r="O4290">
        <v>5.9429999999999997E-2</v>
      </c>
      <c r="P4290" s="3">
        <f t="shared" ref="P4290:P4353" si="268">100000000/$A4290</f>
        <v>8521.839621449657</v>
      </c>
      <c r="Q4290" s="3">
        <f t="shared" ref="Q4290:Q4353" si="269">100000000/($A4290)-100000000/$J4290</f>
        <v>-3.2679800278856419E-3</v>
      </c>
      <c r="R4290" s="3">
        <f t="shared" si="266"/>
        <v>3.3450000000000001E-2</v>
      </c>
      <c r="S4290">
        <f t="shared" si="267"/>
        <v>151</v>
      </c>
      <c r="T4290">
        <f>INDEX([1]IDEN_level_ids!$B:$B,MATCH(G4290,[1]IDEN_level_ids!$A:$A,0),1)</f>
        <v>874</v>
      </c>
      <c r="U4290">
        <f>INDEX([1]IDEN_level_ids!$B:$B,MATCH(H4290,[1]IDEN_level_ids!$A:$A,0),1)</f>
        <v>765</v>
      </c>
    </row>
    <row r="4291" spans="1:21" hidden="1" x14ac:dyDescent="0.25">
      <c r="A4291">
        <v>11695.041300000001</v>
      </c>
      <c r="B4291">
        <v>8550.6324999999997</v>
      </c>
      <c r="C4291">
        <v>27</v>
      </c>
      <c r="D4291" t="s">
        <v>826</v>
      </c>
      <c r="F4291">
        <v>1974</v>
      </c>
      <c r="G4291" s="1" t="s">
        <v>764</v>
      </c>
      <c r="H4291" s="1" t="s">
        <v>117</v>
      </c>
      <c r="I4291">
        <v>0</v>
      </c>
      <c r="J4291">
        <v>11695.059499999999</v>
      </c>
      <c r="K4291">
        <v>1.3310000000000001E-2</v>
      </c>
      <c r="L4291">
        <v>3.3680000000000002E-2</v>
      </c>
      <c r="M4291">
        <v>4.6100000000000002E-2</v>
      </c>
      <c r="N4291">
        <v>0.12330000000000001</v>
      </c>
      <c r="O4291">
        <v>3.8420000000000003E-2</v>
      </c>
      <c r="P4291" s="3">
        <f t="shared" si="268"/>
        <v>8550.6324804513515</v>
      </c>
      <c r="Q4291" s="3">
        <f t="shared" si="269"/>
        <v>1.3306602770171594E-2</v>
      </c>
      <c r="R4291" s="3">
        <f t="shared" ref="R4291:R4354" si="270">$L4291</f>
        <v>3.3680000000000002E-2</v>
      </c>
      <c r="S4291">
        <f t="shared" si="267"/>
        <v>151</v>
      </c>
      <c r="T4291">
        <f>INDEX([1]IDEN_level_ids!$B:$B,MATCH(G4291,[1]IDEN_level_ids!$A:$A,0),1)</f>
        <v>1234</v>
      </c>
      <c r="U4291">
        <f>INDEX([1]IDEN_level_ids!$B:$B,MATCH(H4291,[1]IDEN_level_ids!$A:$A,0),1)</f>
        <v>1162</v>
      </c>
    </row>
    <row r="4292" spans="1:21" hidden="1" x14ac:dyDescent="0.25">
      <c r="A4292">
        <v>11680.5383</v>
      </c>
      <c r="B4292">
        <v>8561.2492999999995</v>
      </c>
      <c r="C4292">
        <v>27</v>
      </c>
      <c r="D4292" t="s">
        <v>826</v>
      </c>
      <c r="F4292">
        <v>1974</v>
      </c>
      <c r="G4292" s="1" t="s">
        <v>719</v>
      </c>
      <c r="H4292" s="1" t="s">
        <v>194</v>
      </c>
      <c r="I4292">
        <v>0</v>
      </c>
      <c r="J4292">
        <v>11680.5483</v>
      </c>
      <c r="K4292">
        <v>7.3699999999999998E-3</v>
      </c>
      <c r="L4292">
        <v>3.3759999999999998E-2</v>
      </c>
      <c r="M4292">
        <v>4.6100000000000002E-2</v>
      </c>
      <c r="N4292">
        <v>0.1249</v>
      </c>
      <c r="O4292">
        <v>3.8580000000000003E-2</v>
      </c>
      <c r="P4292" s="3">
        <f t="shared" si="268"/>
        <v>8561.2492705066506</v>
      </c>
      <c r="Q4292" s="3">
        <f t="shared" si="269"/>
        <v>7.3294926314702025E-3</v>
      </c>
      <c r="R4292" s="3">
        <f t="shared" si="270"/>
        <v>3.3759999999999998E-2</v>
      </c>
      <c r="S4292">
        <f t="shared" ref="S4292:S4355" si="271">IF(D4292=D4291,S4291,S4291+1)</f>
        <v>151</v>
      </c>
      <c r="T4292">
        <f>INDEX([1]IDEN_level_ids!$B:$B,MATCH(G4292,[1]IDEN_level_ids!$A:$A,0),1)</f>
        <v>1244</v>
      </c>
      <c r="U4292">
        <f>INDEX([1]IDEN_level_ids!$B:$B,MATCH(H4292,[1]IDEN_level_ids!$A:$A,0),1)</f>
        <v>1187</v>
      </c>
    </row>
    <row r="4293" spans="1:21" hidden="1" x14ac:dyDescent="0.25">
      <c r="A4293">
        <v>11672.1335</v>
      </c>
      <c r="B4293">
        <v>8567.4140000000007</v>
      </c>
      <c r="C4293">
        <v>27</v>
      </c>
      <c r="D4293" t="s">
        <v>826</v>
      </c>
      <c r="F4293">
        <v>1974</v>
      </c>
      <c r="G4293" s="1" t="s">
        <v>318</v>
      </c>
      <c r="H4293" s="1" t="s">
        <v>175</v>
      </c>
      <c r="I4293">
        <v>0</v>
      </c>
      <c r="J4293">
        <v>11672.129300000001</v>
      </c>
      <c r="K4293">
        <v>-3.0599999999999998E-3</v>
      </c>
      <c r="L4293">
        <v>3.381E-2</v>
      </c>
      <c r="M4293">
        <v>4.6100000000000002E-2</v>
      </c>
      <c r="N4293">
        <v>0.1822</v>
      </c>
      <c r="O4293">
        <v>4.1349999999999998E-2</v>
      </c>
      <c r="P4293" s="3">
        <f t="shared" si="268"/>
        <v>8567.4140036181052</v>
      </c>
      <c r="Q4293" s="3">
        <f t="shared" si="269"/>
        <v>-3.0828255821688799E-3</v>
      </c>
      <c r="R4293" s="3">
        <f t="shared" si="270"/>
        <v>3.381E-2</v>
      </c>
      <c r="S4293">
        <f t="shared" si="271"/>
        <v>151</v>
      </c>
      <c r="T4293">
        <f>INDEX([1]IDEN_level_ids!$B:$B,MATCH(G4293,[1]IDEN_level_ids!$A:$A,0),1)</f>
        <v>888</v>
      </c>
      <c r="U4293">
        <f>INDEX([1]IDEN_level_ids!$B:$B,MATCH(H4293,[1]IDEN_level_ids!$A:$A,0),1)</f>
        <v>790</v>
      </c>
    </row>
    <row r="4294" spans="1:21" hidden="1" x14ac:dyDescent="0.25">
      <c r="A4294">
        <v>11668.6378</v>
      </c>
      <c r="B4294">
        <v>8569.9806000000008</v>
      </c>
      <c r="C4294">
        <v>27</v>
      </c>
      <c r="D4294" t="s">
        <v>826</v>
      </c>
      <c r="E4294" t="s">
        <v>427</v>
      </c>
      <c r="F4294">
        <v>1974</v>
      </c>
      <c r="G4294" s="1" t="s">
        <v>710</v>
      </c>
      <c r="H4294" s="1" t="s">
        <v>82</v>
      </c>
      <c r="I4294">
        <v>0</v>
      </c>
      <c r="J4294">
        <v>11668.657499999999</v>
      </c>
      <c r="K4294">
        <v>1.4449999999999999E-2</v>
      </c>
      <c r="L4294">
        <v>3.5790000000000002E-2</v>
      </c>
      <c r="M4294">
        <v>4.87E-2</v>
      </c>
      <c r="N4294">
        <v>9.9500000000000005E-2</v>
      </c>
      <c r="O4294">
        <v>3.9739999999999998E-2</v>
      </c>
      <c r="P4294" s="3">
        <f t="shared" si="268"/>
        <v>8569.9806364715514</v>
      </c>
      <c r="Q4294" s="3">
        <f t="shared" si="269"/>
        <v>1.4468555489656865E-2</v>
      </c>
      <c r="R4294" s="3">
        <f t="shared" si="270"/>
        <v>3.5790000000000002E-2</v>
      </c>
      <c r="S4294">
        <f t="shared" si="271"/>
        <v>151</v>
      </c>
      <c r="T4294">
        <f>INDEX([1]IDEN_level_ids!$B:$B,MATCH(G4294,[1]IDEN_level_ids!$A:$A,0),1)</f>
        <v>1246</v>
      </c>
      <c r="U4294">
        <f>INDEX([1]IDEN_level_ids!$B:$B,MATCH(H4294,[1]IDEN_level_ids!$A:$A,0),1)</f>
        <v>1193</v>
      </c>
    </row>
    <row r="4295" spans="1:21" hidden="1" x14ac:dyDescent="0.25">
      <c r="A4295">
        <v>11631.217699999999</v>
      </c>
      <c r="B4295">
        <v>8597.5521000000008</v>
      </c>
      <c r="C4295">
        <v>27</v>
      </c>
      <c r="D4295" t="s">
        <v>826</v>
      </c>
      <c r="F4295">
        <v>1974</v>
      </c>
      <c r="G4295" s="1" t="s">
        <v>337</v>
      </c>
      <c r="H4295" s="1" t="s">
        <v>250</v>
      </c>
      <c r="I4295">
        <v>0</v>
      </c>
      <c r="J4295">
        <v>11631.2515</v>
      </c>
      <c r="K4295">
        <v>2.5020000000000001E-2</v>
      </c>
      <c r="L4295">
        <v>3.4049999999999997E-2</v>
      </c>
      <c r="M4295">
        <v>4.6100000000000002E-2</v>
      </c>
      <c r="N4295">
        <v>0.20780000000000001</v>
      </c>
      <c r="O4295">
        <v>4.299E-2</v>
      </c>
      <c r="P4295" s="3">
        <f t="shared" si="268"/>
        <v>8597.5520860554443</v>
      </c>
      <c r="Q4295" s="3">
        <f t="shared" si="269"/>
        <v>2.4984178229715326E-2</v>
      </c>
      <c r="R4295" s="3">
        <f t="shared" si="270"/>
        <v>3.4049999999999997E-2</v>
      </c>
      <c r="S4295">
        <f t="shared" si="271"/>
        <v>151</v>
      </c>
      <c r="T4295">
        <f>INDEX([1]IDEN_level_ids!$B:$B,MATCH(G4295,[1]IDEN_level_ids!$A:$A,0),1)</f>
        <v>1157</v>
      </c>
      <c r="U4295">
        <f>INDEX([1]IDEN_level_ids!$B:$B,MATCH(H4295,[1]IDEN_level_ids!$A:$A,0),1)</f>
        <v>1107</v>
      </c>
    </row>
    <row r="4296" spans="1:21" hidden="1" x14ac:dyDescent="0.25">
      <c r="A4296">
        <v>11628.409</v>
      </c>
      <c r="B4296">
        <v>8599.6286999999993</v>
      </c>
      <c r="C4296">
        <v>27</v>
      </c>
      <c r="D4296" t="s">
        <v>826</v>
      </c>
      <c r="E4296" t="s">
        <v>427</v>
      </c>
      <c r="F4296">
        <v>1974</v>
      </c>
      <c r="G4296" s="1" t="s">
        <v>794</v>
      </c>
      <c r="H4296" s="1" t="s">
        <v>342</v>
      </c>
      <c r="I4296">
        <v>0</v>
      </c>
      <c r="J4296">
        <v>11628.4007</v>
      </c>
      <c r="K4296">
        <v>-6.1799999999999997E-3</v>
      </c>
      <c r="L4296">
        <v>3.6040000000000003E-2</v>
      </c>
      <c r="M4296">
        <v>4.87E-2</v>
      </c>
      <c r="N4296">
        <v>0.20100000000000001</v>
      </c>
      <c r="O4296">
        <v>4.5100000000000001E-2</v>
      </c>
      <c r="P4296" s="3">
        <f t="shared" si="268"/>
        <v>8599.6287196296598</v>
      </c>
      <c r="Q4296" s="3">
        <f t="shared" si="269"/>
        <v>-6.1381543509924086E-3</v>
      </c>
      <c r="R4296" s="3">
        <f t="shared" si="270"/>
        <v>3.6040000000000003E-2</v>
      </c>
      <c r="S4296">
        <f t="shared" si="271"/>
        <v>151</v>
      </c>
      <c r="T4296">
        <f>INDEX([1]IDEN_level_ids!$B:$B,MATCH(G4296,[1]IDEN_level_ids!$A:$A,0),1)</f>
        <v>1164</v>
      </c>
      <c r="U4296">
        <f>INDEX([1]IDEN_level_ids!$B:$B,MATCH(H4296,[1]IDEN_level_ids!$A:$A,0),1)</f>
        <v>1119</v>
      </c>
    </row>
    <row r="4297" spans="1:21" hidden="1" x14ac:dyDescent="0.25">
      <c r="A4297">
        <v>11621.015100000001</v>
      </c>
      <c r="B4297">
        <v>8605.1002000000008</v>
      </c>
      <c r="C4297">
        <v>27</v>
      </c>
      <c r="D4297" t="s">
        <v>826</v>
      </c>
      <c r="E4297" t="s">
        <v>427</v>
      </c>
      <c r="F4297">
        <v>1974</v>
      </c>
      <c r="G4297" s="1" t="s">
        <v>308</v>
      </c>
      <c r="H4297" s="1" t="s">
        <v>288</v>
      </c>
      <c r="I4297">
        <v>0</v>
      </c>
      <c r="J4297">
        <v>11621.010399999999</v>
      </c>
      <c r="K4297">
        <v>-3.46E-3</v>
      </c>
      <c r="L4297">
        <v>3.6080000000000001E-2</v>
      </c>
      <c r="M4297">
        <v>4.87E-2</v>
      </c>
      <c r="N4297">
        <v>0.2344</v>
      </c>
      <c r="O4297">
        <v>4.7129999999999998E-2</v>
      </c>
      <c r="P4297" s="3">
        <f t="shared" si="268"/>
        <v>8605.1002549682598</v>
      </c>
      <c r="Q4297" s="3">
        <f t="shared" si="269"/>
        <v>-3.4802456775651081E-3</v>
      </c>
      <c r="R4297" s="3">
        <f t="shared" si="270"/>
        <v>3.6080000000000001E-2</v>
      </c>
      <c r="S4297">
        <f t="shared" si="271"/>
        <v>151</v>
      </c>
      <c r="T4297">
        <f>INDEX([1]IDEN_level_ids!$B:$B,MATCH(G4297,[1]IDEN_level_ids!$A:$A,0),1)</f>
        <v>1222</v>
      </c>
      <c r="U4297">
        <f>INDEX([1]IDEN_level_ids!$B:$B,MATCH(H4297,[1]IDEN_level_ids!$A:$A,0),1)</f>
        <v>1151</v>
      </c>
    </row>
    <row r="4298" spans="1:21" hidden="1" x14ac:dyDescent="0.25">
      <c r="A4298">
        <v>11618.41</v>
      </c>
      <c r="B4298">
        <v>8607.0296999999991</v>
      </c>
      <c r="C4298">
        <v>27</v>
      </c>
      <c r="D4298" t="s">
        <v>826</v>
      </c>
      <c r="F4298">
        <v>1974</v>
      </c>
      <c r="G4298" s="1" t="s">
        <v>624</v>
      </c>
      <c r="H4298" s="1" t="s">
        <v>164</v>
      </c>
      <c r="I4298">
        <v>0</v>
      </c>
      <c r="J4298">
        <v>11618.3773</v>
      </c>
      <c r="K4298">
        <v>-2.4250000000000001E-2</v>
      </c>
      <c r="L4298">
        <v>3.4130000000000001E-2</v>
      </c>
      <c r="M4298">
        <v>4.6100000000000002E-2</v>
      </c>
      <c r="N4298">
        <v>0.20130000000000001</v>
      </c>
      <c r="O4298">
        <v>4.2729999999999997E-2</v>
      </c>
      <c r="P4298" s="3">
        <f t="shared" si="268"/>
        <v>8607.0297054416224</v>
      </c>
      <c r="Q4298" s="3">
        <f t="shared" si="269"/>
        <v>-2.4224542214142275E-2</v>
      </c>
      <c r="R4298" s="3">
        <f t="shared" si="270"/>
        <v>3.4130000000000001E-2</v>
      </c>
      <c r="S4298">
        <f t="shared" si="271"/>
        <v>151</v>
      </c>
      <c r="T4298">
        <f>INDEX([1]IDEN_level_ids!$B:$B,MATCH(G4298,[1]IDEN_level_ids!$A:$A,0),1)</f>
        <v>887</v>
      </c>
      <c r="U4298">
        <f>INDEX([1]IDEN_level_ids!$B:$B,MATCH(H4298,[1]IDEN_level_ids!$A:$A,0),1)</f>
        <v>787</v>
      </c>
    </row>
    <row r="4299" spans="1:21" hidden="1" x14ac:dyDescent="0.25">
      <c r="A4299">
        <v>11593.962799999999</v>
      </c>
      <c r="B4299">
        <v>8625.1785999999993</v>
      </c>
      <c r="C4299">
        <v>27</v>
      </c>
      <c r="D4299" t="s">
        <v>827</v>
      </c>
      <c r="F4299">
        <v>1974</v>
      </c>
      <c r="G4299" s="1" t="s">
        <v>370</v>
      </c>
      <c r="H4299" s="1" t="s">
        <v>263</v>
      </c>
      <c r="I4299">
        <v>0</v>
      </c>
      <c r="J4299">
        <v>11593.9681</v>
      </c>
      <c r="K4299">
        <v>3.98E-3</v>
      </c>
      <c r="L4299">
        <v>3.4270000000000002E-2</v>
      </c>
      <c r="M4299">
        <v>4.6100000000000002E-2</v>
      </c>
      <c r="N4299">
        <v>0.3584</v>
      </c>
      <c r="O4299">
        <v>5.3420000000000002E-2</v>
      </c>
      <c r="P4299" s="3">
        <f t="shared" si="268"/>
        <v>8625.1786145113383</v>
      </c>
      <c r="Q4299" s="3">
        <f t="shared" si="269"/>
        <v>3.9428646214219043E-3</v>
      </c>
      <c r="R4299" s="3">
        <f t="shared" si="270"/>
        <v>3.4270000000000002E-2</v>
      </c>
      <c r="S4299">
        <f t="shared" si="271"/>
        <v>152</v>
      </c>
      <c r="T4299">
        <f>INDEX([1]IDEN_level_ids!$B:$B,MATCH(G4299,[1]IDEN_level_ids!$A:$A,0),1)</f>
        <v>873</v>
      </c>
      <c r="U4299">
        <f>INDEX([1]IDEN_level_ids!$B:$B,MATCH(H4299,[1]IDEN_level_ids!$A:$A,0),1)</f>
        <v>759</v>
      </c>
    </row>
    <row r="4300" spans="1:21" hidden="1" x14ac:dyDescent="0.25">
      <c r="A4300">
        <v>11562.6775</v>
      </c>
      <c r="B4300">
        <v>8648.5159000000003</v>
      </c>
      <c r="C4300">
        <v>27</v>
      </c>
      <c r="D4300" t="s">
        <v>827</v>
      </c>
      <c r="E4300" t="s">
        <v>818</v>
      </c>
      <c r="F4300">
        <v>1974</v>
      </c>
      <c r="G4300" s="1" t="s">
        <v>639</v>
      </c>
      <c r="H4300" s="1" t="s">
        <v>152</v>
      </c>
      <c r="I4300">
        <v>0</v>
      </c>
      <c r="J4300">
        <v>11562.6682</v>
      </c>
      <c r="K4300">
        <v>-6.9699999999999996E-3</v>
      </c>
      <c r="L4300">
        <v>1.4370000000000001E-2</v>
      </c>
      <c r="M4300">
        <v>1.9199999999999998E-2</v>
      </c>
      <c r="N4300">
        <v>0.76590000000000003</v>
      </c>
      <c r="O4300">
        <v>6.139E-2</v>
      </c>
      <c r="P4300" s="3">
        <f t="shared" si="268"/>
        <v>8648.5158822426729</v>
      </c>
      <c r="Q4300" s="3">
        <f t="shared" si="269"/>
        <v>-6.9561105028697057E-3</v>
      </c>
      <c r="R4300" s="3">
        <f t="shared" si="270"/>
        <v>1.4370000000000001E-2</v>
      </c>
      <c r="S4300">
        <f t="shared" si="271"/>
        <v>152</v>
      </c>
      <c r="T4300">
        <f>INDEX([1]IDEN_level_ids!$B:$B,MATCH(G4300,[1]IDEN_level_ids!$A:$A,0),1)</f>
        <v>893</v>
      </c>
      <c r="U4300">
        <f>INDEX([1]IDEN_level_ids!$B:$B,MATCH(H4300,[1]IDEN_level_ids!$A:$A,0),1)</f>
        <v>793</v>
      </c>
    </row>
    <row r="4301" spans="1:21" hidden="1" x14ac:dyDescent="0.25">
      <c r="A4301">
        <v>11558.8927</v>
      </c>
      <c r="B4301">
        <v>8651.3477000000003</v>
      </c>
      <c r="C4301">
        <v>27</v>
      </c>
      <c r="D4301" t="s">
        <v>827</v>
      </c>
      <c r="F4301">
        <v>1974</v>
      </c>
      <c r="G4301" s="1" t="s">
        <v>366</v>
      </c>
      <c r="H4301" s="1" t="s">
        <v>190</v>
      </c>
      <c r="I4301">
        <v>0</v>
      </c>
      <c r="J4301">
        <v>11558.9421</v>
      </c>
      <c r="K4301">
        <v>3.6970000000000003E-2</v>
      </c>
      <c r="L4301">
        <v>3.4479999999999997E-2</v>
      </c>
      <c r="M4301">
        <v>4.6100000000000002E-2</v>
      </c>
      <c r="N4301">
        <v>0.29399999999999998</v>
      </c>
      <c r="O4301">
        <v>4.8829999999999998E-2</v>
      </c>
      <c r="P4301" s="3">
        <f t="shared" si="268"/>
        <v>8651.3477194921961</v>
      </c>
      <c r="Q4301" s="3">
        <f t="shared" si="269"/>
        <v>3.6973675760236802E-2</v>
      </c>
      <c r="R4301" s="3">
        <f t="shared" si="270"/>
        <v>3.4479999999999997E-2</v>
      </c>
      <c r="S4301">
        <f t="shared" si="271"/>
        <v>152</v>
      </c>
      <c r="T4301">
        <f>INDEX([1]IDEN_level_ids!$B:$B,MATCH(G4301,[1]IDEN_level_ids!$A:$A,0),1)</f>
        <v>853</v>
      </c>
      <c r="U4301">
        <f>INDEX([1]IDEN_level_ids!$B:$B,MATCH(H4301,[1]IDEN_level_ids!$A:$A,0),1)</f>
        <v>719</v>
      </c>
    </row>
    <row r="4302" spans="1:21" hidden="1" x14ac:dyDescent="0.25">
      <c r="A4302">
        <v>11531.213299999999</v>
      </c>
      <c r="B4302">
        <v>8672.1142999999993</v>
      </c>
      <c r="C4302">
        <v>27</v>
      </c>
      <c r="D4302" t="s">
        <v>827</v>
      </c>
      <c r="F4302">
        <v>1974</v>
      </c>
      <c r="G4302" s="1" t="s">
        <v>369</v>
      </c>
      <c r="H4302" s="1" t="s">
        <v>300</v>
      </c>
      <c r="I4302">
        <v>0</v>
      </c>
      <c r="J4302">
        <v>11531.211499999999</v>
      </c>
      <c r="K4302">
        <v>-1.2999999999999999E-3</v>
      </c>
      <c r="L4302">
        <v>3.4639999999999997E-2</v>
      </c>
      <c r="M4302">
        <v>4.6100000000000002E-2</v>
      </c>
      <c r="N4302">
        <v>0.2606</v>
      </c>
      <c r="O4302">
        <v>4.6850000000000003E-2</v>
      </c>
      <c r="P4302" s="3">
        <f t="shared" si="268"/>
        <v>8672.1143212223815</v>
      </c>
      <c r="Q4302" s="3">
        <f t="shared" si="269"/>
        <v>-1.3537004142563092E-3</v>
      </c>
      <c r="R4302" s="3">
        <f t="shared" si="270"/>
        <v>3.4639999999999997E-2</v>
      </c>
      <c r="S4302">
        <f t="shared" si="271"/>
        <v>152</v>
      </c>
      <c r="T4302">
        <f>INDEX([1]IDEN_level_ids!$B:$B,MATCH(G4302,[1]IDEN_level_ids!$A:$A,0),1)</f>
        <v>884</v>
      </c>
      <c r="U4302">
        <f>INDEX([1]IDEN_level_ids!$B:$B,MATCH(H4302,[1]IDEN_level_ids!$A:$A,0),1)</f>
        <v>783</v>
      </c>
    </row>
    <row r="4303" spans="1:21" hidden="1" x14ac:dyDescent="0.25">
      <c r="A4303">
        <v>11523.359399999999</v>
      </c>
      <c r="B4303">
        <v>8678.0249000000003</v>
      </c>
      <c r="C4303">
        <v>27</v>
      </c>
      <c r="D4303" t="s">
        <v>827</v>
      </c>
      <c r="E4303" t="s">
        <v>427</v>
      </c>
      <c r="F4303">
        <v>1974</v>
      </c>
      <c r="G4303" s="1" t="s">
        <v>346</v>
      </c>
      <c r="H4303" s="1" t="s">
        <v>350</v>
      </c>
      <c r="I4303">
        <v>0</v>
      </c>
      <c r="J4303">
        <v>11523.3526</v>
      </c>
      <c r="K4303">
        <v>-5.1200000000000004E-3</v>
      </c>
      <c r="L4303">
        <v>3.6700000000000003E-2</v>
      </c>
      <c r="M4303">
        <v>4.87E-2</v>
      </c>
      <c r="N4303">
        <v>0.20530000000000001</v>
      </c>
      <c r="O4303">
        <v>4.6170000000000003E-2</v>
      </c>
      <c r="P4303" s="3">
        <f t="shared" si="268"/>
        <v>8678.0249169352483</v>
      </c>
      <c r="Q4303" s="3">
        <f t="shared" si="269"/>
        <v>-5.1209549401391996E-3</v>
      </c>
      <c r="R4303" s="3">
        <f t="shared" si="270"/>
        <v>3.6700000000000003E-2</v>
      </c>
      <c r="S4303">
        <f t="shared" si="271"/>
        <v>152</v>
      </c>
      <c r="T4303">
        <f>INDEX([1]IDEN_level_ids!$B:$B,MATCH(G4303,[1]IDEN_level_ids!$A:$A,0),1)</f>
        <v>1159</v>
      </c>
      <c r="U4303">
        <f>INDEX([1]IDEN_level_ids!$B:$B,MATCH(H4303,[1]IDEN_level_ids!$A:$A,0),1)</f>
        <v>1112</v>
      </c>
    </row>
    <row r="4304" spans="1:21" hidden="1" x14ac:dyDescent="0.25">
      <c r="A4304">
        <v>11522.1363</v>
      </c>
      <c r="B4304">
        <v>8678.9460999999992</v>
      </c>
      <c r="C4304">
        <v>27</v>
      </c>
      <c r="D4304" t="s">
        <v>827</v>
      </c>
      <c r="F4304">
        <v>1974</v>
      </c>
      <c r="G4304" s="1" t="s">
        <v>706</v>
      </c>
      <c r="H4304" s="1" t="s">
        <v>216</v>
      </c>
      <c r="I4304">
        <v>0</v>
      </c>
      <c r="J4304">
        <v>11522.1657</v>
      </c>
      <c r="K4304">
        <v>2.2120000000000001E-2</v>
      </c>
      <c r="L4304">
        <v>3.4700000000000002E-2</v>
      </c>
      <c r="M4304">
        <v>4.6100000000000002E-2</v>
      </c>
      <c r="N4304">
        <v>0.1145</v>
      </c>
      <c r="O4304">
        <v>3.918E-2</v>
      </c>
      <c r="P4304" s="3">
        <f t="shared" si="268"/>
        <v>8678.946108283757</v>
      </c>
      <c r="Q4304" s="3">
        <f t="shared" si="269"/>
        <v>2.2145230526803061E-2</v>
      </c>
      <c r="R4304" s="3">
        <f t="shared" si="270"/>
        <v>3.4700000000000002E-2</v>
      </c>
      <c r="S4304">
        <f t="shared" si="271"/>
        <v>152</v>
      </c>
      <c r="T4304">
        <f>INDEX([1]IDEN_level_ids!$B:$B,MATCH(G4304,[1]IDEN_level_ids!$A:$A,0),1)</f>
        <v>1240</v>
      </c>
      <c r="U4304">
        <f>INDEX([1]IDEN_level_ids!$B:$B,MATCH(H4304,[1]IDEN_level_ids!$A:$A,0),1)</f>
        <v>1170</v>
      </c>
    </row>
    <row r="4305" spans="1:21" hidden="1" x14ac:dyDescent="0.25">
      <c r="A4305">
        <v>11516.438200000001</v>
      </c>
      <c r="B4305">
        <v>8683.2402999999995</v>
      </c>
      <c r="C4305">
        <v>27</v>
      </c>
      <c r="D4305" t="s">
        <v>827</v>
      </c>
      <c r="F4305">
        <v>1974</v>
      </c>
      <c r="G4305" s="1" t="s">
        <v>671</v>
      </c>
      <c r="H4305" s="1" t="s">
        <v>263</v>
      </c>
      <c r="I4305">
        <v>0</v>
      </c>
      <c r="J4305">
        <v>11516.4516</v>
      </c>
      <c r="K4305">
        <v>1.0149999999999999E-2</v>
      </c>
      <c r="L4305">
        <v>3.4729999999999997E-2</v>
      </c>
      <c r="M4305">
        <v>4.6100000000000002E-2</v>
      </c>
      <c r="N4305">
        <v>0.5766</v>
      </c>
      <c r="O4305">
        <v>8.2030000000000006E-2</v>
      </c>
      <c r="P4305" s="3">
        <f t="shared" si="268"/>
        <v>8683.2402747578672</v>
      </c>
      <c r="Q4305" s="3">
        <f t="shared" si="269"/>
        <v>1.0103408907525591E-2</v>
      </c>
      <c r="R4305" s="3">
        <f t="shared" si="270"/>
        <v>3.4729999999999997E-2</v>
      </c>
      <c r="S4305">
        <f t="shared" si="271"/>
        <v>152</v>
      </c>
      <c r="T4305">
        <f>INDEX([1]IDEN_level_ids!$B:$B,MATCH(G4305,[1]IDEN_level_ids!$A:$A,0),1)</f>
        <v>871</v>
      </c>
      <c r="U4305">
        <f>INDEX([1]IDEN_level_ids!$B:$B,MATCH(H4305,[1]IDEN_level_ids!$A:$A,0),1)</f>
        <v>759</v>
      </c>
    </row>
    <row r="4306" spans="1:21" hidden="1" x14ac:dyDescent="0.25">
      <c r="A4306">
        <v>11502.227500000001</v>
      </c>
      <c r="B4306">
        <v>8693.9681999999993</v>
      </c>
      <c r="C4306">
        <v>27</v>
      </c>
      <c r="D4306" t="s">
        <v>827</v>
      </c>
      <c r="F4306">
        <v>1974</v>
      </c>
      <c r="G4306" s="1" t="s">
        <v>714</v>
      </c>
      <c r="H4306" s="1" t="s">
        <v>40</v>
      </c>
      <c r="I4306">
        <v>0</v>
      </c>
      <c r="J4306">
        <v>11502.2353</v>
      </c>
      <c r="K4306">
        <v>5.8900000000000003E-3</v>
      </c>
      <c r="L4306">
        <v>3.4819999999999997E-2</v>
      </c>
      <c r="M4306">
        <v>4.6100000000000002E-2</v>
      </c>
      <c r="N4306">
        <v>0.1176</v>
      </c>
      <c r="O4306">
        <v>3.9460000000000002E-2</v>
      </c>
      <c r="P4306" s="3">
        <f t="shared" si="268"/>
        <v>8693.9681900744872</v>
      </c>
      <c r="Q4306" s="3">
        <f t="shared" si="269"/>
        <v>5.8956324664904969E-3</v>
      </c>
      <c r="R4306" s="3">
        <f t="shared" si="270"/>
        <v>3.4819999999999997E-2</v>
      </c>
      <c r="S4306">
        <f t="shared" si="271"/>
        <v>152</v>
      </c>
      <c r="T4306">
        <f>INDEX([1]IDEN_level_ids!$B:$B,MATCH(G4306,[1]IDEN_level_ids!$A:$A,0),1)</f>
        <v>1248</v>
      </c>
      <c r="U4306">
        <f>INDEX([1]IDEN_level_ids!$B:$B,MATCH(H4306,[1]IDEN_level_ids!$A:$A,0),1)</f>
        <v>1199</v>
      </c>
    </row>
    <row r="4307" spans="1:21" hidden="1" x14ac:dyDescent="0.25">
      <c r="A4307">
        <v>11488.4624</v>
      </c>
      <c r="B4307">
        <v>8704.3850999999995</v>
      </c>
      <c r="C4307">
        <v>27</v>
      </c>
      <c r="D4307" t="s">
        <v>827</v>
      </c>
      <c r="F4307">
        <v>1974</v>
      </c>
      <c r="G4307" s="1" t="s">
        <v>347</v>
      </c>
      <c r="H4307" s="1" t="s">
        <v>190</v>
      </c>
      <c r="I4307">
        <v>0</v>
      </c>
      <c r="J4307">
        <v>11488.474</v>
      </c>
      <c r="K4307">
        <v>8.8599999999999998E-3</v>
      </c>
      <c r="L4307">
        <v>3.49E-2</v>
      </c>
      <c r="M4307">
        <v>4.6100000000000002E-2</v>
      </c>
      <c r="N4307">
        <v>0.31840000000000002</v>
      </c>
      <c r="O4307">
        <v>5.1209999999999999E-2</v>
      </c>
      <c r="P4307" s="3">
        <f t="shared" si="268"/>
        <v>8704.3850184860239</v>
      </c>
      <c r="Q4307" s="3">
        <f t="shared" si="269"/>
        <v>8.7888840771483956E-3</v>
      </c>
      <c r="R4307" s="3">
        <f t="shared" si="270"/>
        <v>3.49E-2</v>
      </c>
      <c r="S4307">
        <f t="shared" si="271"/>
        <v>152</v>
      </c>
      <c r="T4307">
        <f>INDEX([1]IDEN_level_ids!$B:$B,MATCH(G4307,[1]IDEN_level_ids!$A:$A,0),1)</f>
        <v>851</v>
      </c>
      <c r="U4307">
        <f>INDEX([1]IDEN_level_ids!$B:$B,MATCH(H4307,[1]IDEN_level_ids!$A:$A,0),1)</f>
        <v>719</v>
      </c>
    </row>
    <row r="4308" spans="1:21" hidden="1" x14ac:dyDescent="0.25">
      <c r="A4308">
        <v>11477.7734</v>
      </c>
      <c r="B4308">
        <v>8712.4912999999997</v>
      </c>
      <c r="C4308">
        <v>27</v>
      </c>
      <c r="D4308" t="s">
        <v>827</v>
      </c>
      <c r="E4308" t="s">
        <v>681</v>
      </c>
      <c r="F4308">
        <v>1974</v>
      </c>
      <c r="G4308" s="1" t="s">
        <v>715</v>
      </c>
      <c r="H4308" s="1" t="s">
        <v>243</v>
      </c>
      <c r="I4308">
        <v>0</v>
      </c>
      <c r="J4308">
        <v>11477.717699999999</v>
      </c>
      <c r="K4308">
        <v>-4.224E-2</v>
      </c>
      <c r="L4308">
        <v>6.096E-2</v>
      </c>
      <c r="M4308">
        <v>8.0299999999999996E-2</v>
      </c>
      <c r="N4308">
        <v>5.8799999999999998E-2</v>
      </c>
      <c r="O4308">
        <v>6.4769999999999994E-2</v>
      </c>
      <c r="P4308" s="3">
        <f t="shared" si="268"/>
        <v>8712.4912223829051</v>
      </c>
      <c r="Q4308" s="3">
        <f t="shared" si="269"/>
        <v>-4.2280684521756484E-2</v>
      </c>
      <c r="R4308" s="3">
        <f t="shared" si="270"/>
        <v>6.096E-2</v>
      </c>
      <c r="S4308">
        <f t="shared" si="271"/>
        <v>152</v>
      </c>
      <c r="T4308">
        <f>INDEX([1]IDEN_level_ids!$B:$B,MATCH(G4308,[1]IDEN_level_ids!$A:$A,0),1)</f>
        <v>1249</v>
      </c>
      <c r="U4308">
        <f>INDEX([1]IDEN_level_ids!$B:$B,MATCH(H4308,[1]IDEN_level_ids!$A:$A,0),1)</f>
        <v>1205</v>
      </c>
    </row>
    <row r="4309" spans="1:21" hidden="1" x14ac:dyDescent="0.25">
      <c r="A4309">
        <v>11476.092199999999</v>
      </c>
      <c r="B4309">
        <v>8713.7675999999992</v>
      </c>
      <c r="C4309">
        <v>27</v>
      </c>
      <c r="D4309" t="s">
        <v>827</v>
      </c>
      <c r="E4309" t="s">
        <v>818</v>
      </c>
      <c r="F4309">
        <v>1974</v>
      </c>
      <c r="G4309" s="1" t="s">
        <v>650</v>
      </c>
      <c r="H4309" s="1" t="s">
        <v>163</v>
      </c>
      <c r="I4309">
        <v>0</v>
      </c>
      <c r="J4309">
        <v>11476.0792</v>
      </c>
      <c r="K4309">
        <v>-9.8799999999999999E-3</v>
      </c>
      <c r="L4309">
        <v>1.4590000000000001E-2</v>
      </c>
      <c r="M4309">
        <v>1.9199999999999998E-2</v>
      </c>
      <c r="N4309">
        <v>0.64949999999999997</v>
      </c>
      <c r="O4309">
        <v>4.1610000000000001E-2</v>
      </c>
      <c r="P4309" s="3">
        <f t="shared" si="268"/>
        <v>8713.7675662800975</v>
      </c>
      <c r="Q4309" s="3">
        <f t="shared" si="269"/>
        <v>-9.8708780569722876E-3</v>
      </c>
      <c r="R4309" s="3">
        <f t="shared" si="270"/>
        <v>1.4590000000000001E-2</v>
      </c>
      <c r="S4309">
        <f t="shared" si="271"/>
        <v>152</v>
      </c>
      <c r="T4309">
        <f>INDEX([1]IDEN_level_ids!$B:$B,MATCH(G4309,[1]IDEN_level_ids!$A:$A,0),1)</f>
        <v>870</v>
      </c>
      <c r="U4309">
        <f>INDEX([1]IDEN_level_ids!$B:$B,MATCH(H4309,[1]IDEN_level_ids!$A:$A,0),1)</f>
        <v>747</v>
      </c>
    </row>
    <row r="4310" spans="1:21" hidden="1" x14ac:dyDescent="0.25">
      <c r="A4310">
        <v>11473.0051</v>
      </c>
      <c r="B4310">
        <v>8716.1123000000007</v>
      </c>
      <c r="C4310">
        <v>27</v>
      </c>
      <c r="D4310" t="s">
        <v>827</v>
      </c>
      <c r="F4310">
        <v>1974</v>
      </c>
      <c r="G4310" s="1" t="s">
        <v>712</v>
      </c>
      <c r="H4310" s="1" t="s">
        <v>77</v>
      </c>
      <c r="I4310">
        <v>0</v>
      </c>
      <c r="J4310">
        <v>11472.990599999999</v>
      </c>
      <c r="K4310">
        <v>-1.094E-2</v>
      </c>
      <c r="L4310">
        <v>3.5000000000000003E-2</v>
      </c>
      <c r="M4310">
        <v>4.6100000000000002E-2</v>
      </c>
      <c r="N4310">
        <v>0.1368</v>
      </c>
      <c r="O4310">
        <v>4.054E-2</v>
      </c>
      <c r="P4310" s="3">
        <f t="shared" si="268"/>
        <v>8716.1122241634839</v>
      </c>
      <c r="Q4310" s="3">
        <f t="shared" si="269"/>
        <v>-1.1015752706953208E-2</v>
      </c>
      <c r="R4310" s="3">
        <f t="shared" si="270"/>
        <v>3.5000000000000003E-2</v>
      </c>
      <c r="S4310">
        <f t="shared" si="271"/>
        <v>152</v>
      </c>
      <c r="T4310">
        <f>INDEX([1]IDEN_level_ids!$B:$B,MATCH(G4310,[1]IDEN_level_ids!$A:$A,0),1)</f>
        <v>1247</v>
      </c>
      <c r="U4310">
        <f>INDEX([1]IDEN_level_ids!$B:$B,MATCH(H4310,[1]IDEN_level_ids!$A:$A,0),1)</f>
        <v>1197</v>
      </c>
    </row>
    <row r="4311" spans="1:21" hidden="1" x14ac:dyDescent="0.25">
      <c r="A4311">
        <v>11470.472400000001</v>
      </c>
      <c r="B4311">
        <v>8718.0367000000006</v>
      </c>
      <c r="C4311">
        <v>27</v>
      </c>
      <c r="D4311" t="s">
        <v>827</v>
      </c>
      <c r="E4311" t="s">
        <v>818</v>
      </c>
      <c r="F4311">
        <v>1974</v>
      </c>
      <c r="G4311" s="1" t="s">
        <v>320</v>
      </c>
      <c r="H4311" s="1" t="s">
        <v>282</v>
      </c>
      <c r="I4311">
        <v>0</v>
      </c>
      <c r="J4311">
        <v>11470.470600000001</v>
      </c>
      <c r="K4311">
        <v>-1.3699999999999999E-3</v>
      </c>
      <c r="L4311">
        <v>1.46E-2</v>
      </c>
      <c r="M4311">
        <v>1.9199999999999998E-2</v>
      </c>
      <c r="N4311">
        <v>0.58150000000000002</v>
      </c>
      <c r="O4311">
        <v>3.4889999999999997E-2</v>
      </c>
      <c r="P4311" s="3">
        <f t="shared" si="268"/>
        <v>8718.0367567075955</v>
      </c>
      <c r="Q4311" s="3">
        <f t="shared" si="269"/>
        <v>-1.3680751835636329E-3</v>
      </c>
      <c r="R4311" s="3">
        <f t="shared" si="270"/>
        <v>1.46E-2</v>
      </c>
      <c r="S4311">
        <f t="shared" si="271"/>
        <v>152</v>
      </c>
      <c r="T4311">
        <f>INDEX([1]IDEN_level_ids!$B:$B,MATCH(G4311,[1]IDEN_level_ids!$A:$A,0),1)</f>
        <v>1180</v>
      </c>
      <c r="U4311">
        <f>INDEX([1]IDEN_level_ids!$B:$B,MATCH(H4311,[1]IDEN_level_ids!$A:$A,0),1)</f>
        <v>1128</v>
      </c>
    </row>
    <row r="4312" spans="1:21" hidden="1" x14ac:dyDescent="0.25">
      <c r="A4312">
        <v>11439.0468</v>
      </c>
      <c r="B4312">
        <v>8741.9871999999996</v>
      </c>
      <c r="C4312">
        <v>27</v>
      </c>
      <c r="D4312" t="s">
        <v>827</v>
      </c>
      <c r="F4312">
        <v>1974</v>
      </c>
      <c r="G4312" s="1" t="s">
        <v>325</v>
      </c>
      <c r="H4312" s="1" t="s">
        <v>805</v>
      </c>
      <c r="I4312">
        <v>0</v>
      </c>
      <c r="J4312">
        <v>11439.0882</v>
      </c>
      <c r="K4312">
        <v>3.1640000000000001E-2</v>
      </c>
      <c r="L4312">
        <v>3.5209999999999998E-2</v>
      </c>
      <c r="M4312">
        <v>4.6100000000000002E-2</v>
      </c>
      <c r="N4312">
        <v>0.27050000000000002</v>
      </c>
      <c r="O4312">
        <v>4.8259999999999997E-2</v>
      </c>
      <c r="P4312" s="3">
        <f t="shared" si="268"/>
        <v>8741.9871382989713</v>
      </c>
      <c r="Q4312" s="3">
        <f t="shared" si="269"/>
        <v>3.163873389166838E-2</v>
      </c>
      <c r="R4312" s="3">
        <f t="shared" si="270"/>
        <v>3.5209999999999998E-2</v>
      </c>
      <c r="S4312">
        <f t="shared" si="271"/>
        <v>152</v>
      </c>
      <c r="T4312">
        <f>INDEX([1]IDEN_level_ids!$B:$B,MATCH(G4312,[1]IDEN_level_ids!$A:$A,0),1)</f>
        <v>822</v>
      </c>
      <c r="U4312">
        <f>INDEX([1]IDEN_level_ids!$B:$B,MATCH(H4312,[1]IDEN_level_ids!$A:$A,0),1)</f>
        <v>661</v>
      </c>
    </row>
    <row r="4313" spans="1:21" hidden="1" x14ac:dyDescent="0.25">
      <c r="A4313">
        <v>11407.7901</v>
      </c>
      <c r="B4313">
        <v>8765.9397000000008</v>
      </c>
      <c r="C4313">
        <v>28</v>
      </c>
      <c r="D4313" t="s">
        <v>828</v>
      </c>
      <c r="F4313">
        <v>1974</v>
      </c>
      <c r="G4313" s="1" t="s">
        <v>642</v>
      </c>
      <c r="H4313" s="1" t="s">
        <v>155</v>
      </c>
      <c r="I4313">
        <v>0</v>
      </c>
      <c r="J4313">
        <v>11407.7757</v>
      </c>
      <c r="K4313">
        <v>-1.106E-2</v>
      </c>
      <c r="L4313">
        <v>3.5400000000000001E-2</v>
      </c>
      <c r="M4313">
        <v>4.6100000000000002E-2</v>
      </c>
      <c r="N4313">
        <v>0.4325</v>
      </c>
      <c r="O4313">
        <v>6.2370000000000002E-2</v>
      </c>
      <c r="P4313" s="3">
        <f t="shared" si="268"/>
        <v>8765.9396888797946</v>
      </c>
      <c r="Q4313" s="3">
        <f t="shared" si="269"/>
        <v>-1.1065218570365687E-2</v>
      </c>
      <c r="R4313" s="3">
        <f t="shared" si="270"/>
        <v>3.5400000000000001E-2</v>
      </c>
      <c r="S4313">
        <f t="shared" si="271"/>
        <v>153</v>
      </c>
      <c r="T4313">
        <f>INDEX([1]IDEN_level_ids!$B:$B,MATCH(G4313,[1]IDEN_level_ids!$A:$A,0),1)</f>
        <v>894</v>
      </c>
      <c r="U4313">
        <f>INDEX([1]IDEN_level_ids!$B:$B,MATCH(H4313,[1]IDEN_level_ids!$A:$A,0),1)</f>
        <v>797</v>
      </c>
    </row>
    <row r="4314" spans="1:21" hidden="1" x14ac:dyDescent="0.25">
      <c r="A4314">
        <v>11397.5807</v>
      </c>
      <c r="B4314">
        <v>8773.7918000000009</v>
      </c>
      <c r="C4314">
        <v>28</v>
      </c>
      <c r="D4314" t="s">
        <v>828</v>
      </c>
      <c r="F4314">
        <v>1974</v>
      </c>
      <c r="G4314" s="1" t="s">
        <v>351</v>
      </c>
      <c r="H4314" s="1" t="s">
        <v>138</v>
      </c>
      <c r="I4314">
        <v>0</v>
      </c>
      <c r="J4314">
        <v>11397.4897</v>
      </c>
      <c r="K4314">
        <v>-7.0069999999999993E-2</v>
      </c>
      <c r="L4314">
        <v>3.5459999999999998E-2</v>
      </c>
      <c r="M4314">
        <v>4.6100000000000002E-2</v>
      </c>
      <c r="N4314">
        <v>0.30259999999999998</v>
      </c>
      <c r="O4314">
        <v>5.0849999999999999E-2</v>
      </c>
      <c r="P4314" s="3">
        <f t="shared" si="268"/>
        <v>8773.7917924985595</v>
      </c>
      <c r="Q4314" s="3">
        <f t="shared" si="269"/>
        <v>-7.0051833705292665E-2</v>
      </c>
      <c r="R4314" s="3">
        <f t="shared" si="270"/>
        <v>3.5459999999999998E-2</v>
      </c>
      <c r="S4314">
        <f t="shared" si="271"/>
        <v>153</v>
      </c>
      <c r="T4314">
        <f>INDEX([1]IDEN_level_ids!$B:$B,MATCH(G4314,[1]IDEN_level_ids!$A:$A,0),1)</f>
        <v>1172</v>
      </c>
      <c r="U4314">
        <f>INDEX([1]IDEN_level_ids!$B:$B,MATCH(H4314,[1]IDEN_level_ids!$A:$A,0),1)</f>
        <v>1126</v>
      </c>
    </row>
    <row r="4315" spans="1:21" hidden="1" x14ac:dyDescent="0.25">
      <c r="A4315">
        <v>11291.1623</v>
      </c>
      <c r="B4315">
        <v>8856.4842000000008</v>
      </c>
      <c r="C4315">
        <v>28</v>
      </c>
      <c r="D4315" t="s">
        <v>828</v>
      </c>
      <c r="F4315">
        <v>1974</v>
      </c>
      <c r="G4315" s="1" t="s">
        <v>310</v>
      </c>
      <c r="H4315" s="1" t="s">
        <v>268</v>
      </c>
      <c r="I4315">
        <v>0</v>
      </c>
      <c r="J4315">
        <v>11291.1792</v>
      </c>
      <c r="K4315">
        <v>1.3299999999999999E-2</v>
      </c>
      <c r="L4315">
        <v>3.6130000000000002E-2</v>
      </c>
      <c r="M4315">
        <v>4.6100000000000002E-2</v>
      </c>
      <c r="N4315">
        <v>0.16600000000000001</v>
      </c>
      <c r="O4315">
        <v>4.333E-2</v>
      </c>
      <c r="P4315" s="3">
        <f t="shared" si="268"/>
        <v>8856.4841548686272</v>
      </c>
      <c r="Q4315" s="3">
        <f t="shared" si="269"/>
        <v>1.3255885818580282E-2</v>
      </c>
      <c r="R4315" s="3">
        <f t="shared" si="270"/>
        <v>3.6130000000000002E-2</v>
      </c>
      <c r="S4315">
        <f t="shared" si="271"/>
        <v>153</v>
      </c>
      <c r="T4315">
        <f>INDEX([1]IDEN_level_ids!$B:$B,MATCH(G4315,[1]IDEN_level_ids!$A:$A,0),1)</f>
        <v>1230</v>
      </c>
      <c r="U4315">
        <f>INDEX([1]IDEN_level_ids!$B:$B,MATCH(H4315,[1]IDEN_level_ids!$A:$A,0),1)</f>
        <v>1160</v>
      </c>
    </row>
    <row r="4316" spans="1:21" hidden="1" x14ac:dyDescent="0.25">
      <c r="A4316">
        <v>11280.661400000001</v>
      </c>
      <c r="B4316">
        <v>8864.7284</v>
      </c>
      <c r="C4316">
        <v>28</v>
      </c>
      <c r="D4316" t="s">
        <v>828</v>
      </c>
      <c r="F4316">
        <v>1974</v>
      </c>
      <c r="G4316" s="1" t="s">
        <v>712</v>
      </c>
      <c r="H4316" s="1" t="s">
        <v>193</v>
      </c>
      <c r="I4316">
        <v>0</v>
      </c>
      <c r="J4316">
        <v>11280.632900000001</v>
      </c>
      <c r="K4316">
        <v>-2.247E-2</v>
      </c>
      <c r="L4316">
        <v>3.6200000000000003E-2</v>
      </c>
      <c r="M4316">
        <v>4.6100000000000002E-2</v>
      </c>
      <c r="N4316">
        <v>0.1489</v>
      </c>
      <c r="O4316">
        <v>4.2529999999999998E-2</v>
      </c>
      <c r="P4316" s="3">
        <f t="shared" si="268"/>
        <v>8864.7284457983988</v>
      </c>
      <c r="Q4316" s="3">
        <f t="shared" si="269"/>
        <v>-2.2396328553440981E-2</v>
      </c>
      <c r="R4316" s="3">
        <f t="shared" si="270"/>
        <v>3.6200000000000003E-2</v>
      </c>
      <c r="S4316">
        <f t="shared" si="271"/>
        <v>153</v>
      </c>
      <c r="T4316">
        <f>INDEX([1]IDEN_level_ids!$B:$B,MATCH(G4316,[1]IDEN_level_ids!$A:$A,0),1)</f>
        <v>1247</v>
      </c>
      <c r="U4316">
        <f>INDEX([1]IDEN_level_ids!$B:$B,MATCH(H4316,[1]IDEN_level_ids!$A:$A,0),1)</f>
        <v>1202</v>
      </c>
    </row>
    <row r="4317" spans="1:21" hidden="1" x14ac:dyDescent="0.25">
      <c r="A4317">
        <v>11250.349399999999</v>
      </c>
      <c r="B4317">
        <v>8888.6128000000008</v>
      </c>
      <c r="C4317">
        <v>28</v>
      </c>
      <c r="D4317" t="s">
        <v>828</v>
      </c>
      <c r="F4317">
        <v>1974</v>
      </c>
      <c r="G4317" s="1" t="s">
        <v>324</v>
      </c>
      <c r="H4317" s="1" t="s">
        <v>138</v>
      </c>
      <c r="I4317">
        <v>0</v>
      </c>
      <c r="J4317">
        <v>11250.3472</v>
      </c>
      <c r="K4317">
        <v>-1.6900000000000001E-3</v>
      </c>
      <c r="L4317">
        <v>3.6400000000000002E-2</v>
      </c>
      <c r="M4317">
        <v>4.6100000000000002E-2</v>
      </c>
      <c r="N4317">
        <v>0.25540000000000002</v>
      </c>
      <c r="O4317">
        <v>4.888E-2</v>
      </c>
      <c r="P4317" s="3">
        <f t="shared" si="268"/>
        <v>8888.6128283269154</v>
      </c>
      <c r="Q4317" s="3">
        <f t="shared" si="269"/>
        <v>-1.7381639754603384E-3</v>
      </c>
      <c r="R4317" s="3">
        <f t="shared" si="270"/>
        <v>3.6400000000000002E-2</v>
      </c>
      <c r="S4317">
        <f t="shared" si="271"/>
        <v>153</v>
      </c>
      <c r="T4317">
        <f>INDEX([1]IDEN_level_ids!$B:$B,MATCH(G4317,[1]IDEN_level_ids!$A:$A,0),1)</f>
        <v>1171</v>
      </c>
      <c r="U4317">
        <f>INDEX([1]IDEN_level_ids!$B:$B,MATCH(H4317,[1]IDEN_level_ids!$A:$A,0),1)</f>
        <v>1126</v>
      </c>
    </row>
    <row r="4318" spans="1:21" hidden="1" x14ac:dyDescent="0.25">
      <c r="A4318">
        <v>11237.552799999999</v>
      </c>
      <c r="B4318">
        <v>8898.7345999999998</v>
      </c>
      <c r="C4318">
        <v>28</v>
      </c>
      <c r="D4318" t="s">
        <v>828</v>
      </c>
      <c r="F4318">
        <v>1974</v>
      </c>
      <c r="G4318" s="1" t="s">
        <v>641</v>
      </c>
      <c r="H4318" s="1" t="s">
        <v>149</v>
      </c>
      <c r="I4318">
        <v>0</v>
      </c>
      <c r="J4318">
        <v>11237.5537</v>
      </c>
      <c r="K4318">
        <v>7.3999999999999999E-4</v>
      </c>
      <c r="L4318">
        <v>3.6479999999999999E-2</v>
      </c>
      <c r="M4318">
        <v>4.6100000000000002E-2</v>
      </c>
      <c r="N4318">
        <v>0.37890000000000001</v>
      </c>
      <c r="O4318">
        <v>5.8740000000000001E-2</v>
      </c>
      <c r="P4318" s="3">
        <f t="shared" si="268"/>
        <v>8898.7346070578642</v>
      </c>
      <c r="Q4318" s="3">
        <f t="shared" si="269"/>
        <v>7.1268724241235759E-4</v>
      </c>
      <c r="R4318" s="3">
        <f t="shared" si="270"/>
        <v>3.6479999999999999E-2</v>
      </c>
      <c r="S4318">
        <f t="shared" si="271"/>
        <v>153</v>
      </c>
      <c r="T4318">
        <f>INDEX([1]IDEN_level_ids!$B:$B,MATCH(G4318,[1]IDEN_level_ids!$A:$A,0),1)</f>
        <v>880</v>
      </c>
      <c r="U4318">
        <f>INDEX([1]IDEN_level_ids!$B:$B,MATCH(H4318,[1]IDEN_level_ids!$A:$A,0),1)</f>
        <v>772</v>
      </c>
    </row>
    <row r="4319" spans="1:21" hidden="1" x14ac:dyDescent="0.25">
      <c r="A4319">
        <v>11221.903700000001</v>
      </c>
      <c r="B4319">
        <v>8911.1440000000002</v>
      </c>
      <c r="C4319">
        <v>28</v>
      </c>
      <c r="D4319" t="s">
        <v>828</v>
      </c>
      <c r="F4319">
        <v>1974</v>
      </c>
      <c r="G4319" s="1" t="s">
        <v>710</v>
      </c>
      <c r="H4319" s="1" t="s">
        <v>81</v>
      </c>
      <c r="I4319">
        <v>0</v>
      </c>
      <c r="J4319">
        <v>11221.886500000001</v>
      </c>
      <c r="K4319">
        <v>-1.37E-2</v>
      </c>
      <c r="L4319">
        <v>3.6580000000000001E-2</v>
      </c>
      <c r="M4319">
        <v>4.6100000000000002E-2</v>
      </c>
      <c r="N4319">
        <v>0.1067</v>
      </c>
      <c r="O4319">
        <v>4.095E-2</v>
      </c>
      <c r="P4319" s="3">
        <f t="shared" si="268"/>
        <v>8911.1440156094013</v>
      </c>
      <c r="Q4319" s="3">
        <f t="shared" si="269"/>
        <v>-1.365828081361542E-2</v>
      </c>
      <c r="R4319" s="3">
        <f t="shared" si="270"/>
        <v>3.6580000000000001E-2</v>
      </c>
      <c r="S4319">
        <f t="shared" si="271"/>
        <v>153</v>
      </c>
      <c r="T4319">
        <f>INDEX([1]IDEN_level_ids!$B:$B,MATCH(G4319,[1]IDEN_level_ids!$A:$A,0),1)</f>
        <v>1246</v>
      </c>
      <c r="U4319">
        <f>INDEX([1]IDEN_level_ids!$B:$B,MATCH(H4319,[1]IDEN_level_ids!$A:$A,0),1)</f>
        <v>1196</v>
      </c>
    </row>
    <row r="4320" spans="1:21" hidden="1" x14ac:dyDescent="0.25">
      <c r="A4320">
        <v>11174.038</v>
      </c>
      <c r="B4320">
        <v>8949.3163000000004</v>
      </c>
      <c r="C4320">
        <v>28</v>
      </c>
      <c r="D4320" t="s">
        <v>828</v>
      </c>
      <c r="F4320">
        <v>1974</v>
      </c>
      <c r="G4320" s="1" t="s">
        <v>636</v>
      </c>
      <c r="H4320" s="1" t="s">
        <v>170</v>
      </c>
      <c r="I4320">
        <v>0</v>
      </c>
      <c r="J4320">
        <v>11174.0627</v>
      </c>
      <c r="K4320">
        <v>1.975E-2</v>
      </c>
      <c r="L4320">
        <v>3.6889999999999999E-2</v>
      </c>
      <c r="M4320">
        <v>4.6100000000000002E-2</v>
      </c>
      <c r="N4320">
        <v>0.38669999999999999</v>
      </c>
      <c r="O4320">
        <v>6.0159999999999998E-2</v>
      </c>
      <c r="P4320" s="3">
        <f t="shared" si="268"/>
        <v>8949.3162632881686</v>
      </c>
      <c r="Q4320" s="3">
        <f t="shared" si="269"/>
        <v>1.9782250881689833E-2</v>
      </c>
      <c r="R4320" s="3">
        <f t="shared" si="270"/>
        <v>3.6889999999999999E-2</v>
      </c>
      <c r="S4320">
        <f t="shared" si="271"/>
        <v>153</v>
      </c>
      <c r="T4320">
        <f>INDEX([1]IDEN_level_ids!$B:$B,MATCH(G4320,[1]IDEN_level_ids!$A:$A,0),1)</f>
        <v>868</v>
      </c>
      <c r="U4320">
        <f>INDEX([1]IDEN_level_ids!$B:$B,MATCH(H4320,[1]IDEN_level_ids!$A:$A,0),1)</f>
        <v>746</v>
      </c>
    </row>
    <row r="4321" spans="1:24" hidden="1" x14ac:dyDescent="0.25">
      <c r="A4321">
        <v>11156.7135</v>
      </c>
      <c r="B4321">
        <v>8963.2131000000008</v>
      </c>
      <c r="C4321">
        <v>28</v>
      </c>
      <c r="D4321" t="s">
        <v>828</v>
      </c>
      <c r="F4321">
        <v>1974</v>
      </c>
      <c r="G4321" s="1" t="s">
        <v>712</v>
      </c>
      <c r="H4321" s="1" t="s">
        <v>38</v>
      </c>
      <c r="I4321">
        <v>0</v>
      </c>
      <c r="J4321">
        <v>11156.704</v>
      </c>
      <c r="K4321">
        <v>-7.6E-3</v>
      </c>
      <c r="L4321">
        <v>3.7010000000000001E-2</v>
      </c>
      <c r="M4321">
        <v>4.6100000000000002E-2</v>
      </c>
      <c r="N4321">
        <v>0.129</v>
      </c>
      <c r="O4321">
        <v>4.249E-2</v>
      </c>
      <c r="P4321" s="3">
        <f t="shared" si="268"/>
        <v>8963.2130465660885</v>
      </c>
      <c r="Q4321" s="3">
        <f t="shared" si="269"/>
        <v>-7.6322293698467547E-3</v>
      </c>
      <c r="R4321" s="3">
        <f t="shared" si="270"/>
        <v>3.7010000000000001E-2</v>
      </c>
      <c r="S4321">
        <f t="shared" si="271"/>
        <v>153</v>
      </c>
      <c r="T4321">
        <f>INDEX([1]IDEN_level_ids!$B:$B,MATCH(G4321,[1]IDEN_level_ids!$A:$A,0),1)</f>
        <v>1247</v>
      </c>
      <c r="U4321">
        <f>INDEX([1]IDEN_level_ids!$B:$B,MATCH(H4321,[1]IDEN_level_ids!$A:$A,0),1)</f>
        <v>1201</v>
      </c>
    </row>
    <row r="4322" spans="1:24" hidden="1" x14ac:dyDescent="0.25">
      <c r="A4322">
        <v>11088.018400000001</v>
      </c>
      <c r="B4322">
        <v>9018.7440000000006</v>
      </c>
      <c r="C4322">
        <v>28</v>
      </c>
      <c r="D4322" t="s">
        <v>828</v>
      </c>
      <c r="F4322">
        <v>1974</v>
      </c>
      <c r="G4322" s="1" t="s">
        <v>639</v>
      </c>
      <c r="H4322" s="1" t="s">
        <v>160</v>
      </c>
      <c r="I4322">
        <v>0</v>
      </c>
      <c r="J4322">
        <v>11088.032300000001</v>
      </c>
      <c r="K4322">
        <v>1.129E-2</v>
      </c>
      <c r="L4322">
        <v>3.7470000000000003E-2</v>
      </c>
      <c r="M4322">
        <v>4.6100000000000002E-2</v>
      </c>
      <c r="N4322">
        <v>0.28120000000000001</v>
      </c>
      <c r="O4322">
        <v>5.2130000000000003E-2</v>
      </c>
      <c r="P4322" s="3">
        <f t="shared" si="268"/>
        <v>9018.7440525892343</v>
      </c>
      <c r="Q4322" s="3">
        <f t="shared" si="269"/>
        <v>1.1305932282994036E-2</v>
      </c>
      <c r="R4322" s="3">
        <f t="shared" si="270"/>
        <v>3.7470000000000003E-2</v>
      </c>
      <c r="S4322">
        <f t="shared" si="271"/>
        <v>153</v>
      </c>
      <c r="T4322">
        <f>INDEX([1]IDEN_level_ids!$B:$B,MATCH(G4322,[1]IDEN_level_ids!$A:$A,0),1)</f>
        <v>893</v>
      </c>
      <c r="U4322">
        <f>INDEX([1]IDEN_level_ids!$B:$B,MATCH(H4322,[1]IDEN_level_ids!$A:$A,0),1)</f>
        <v>798</v>
      </c>
    </row>
    <row r="4323" spans="1:24" x14ac:dyDescent="0.25">
      <c r="A4323">
        <v>11064.2695</v>
      </c>
      <c r="B4323">
        <v>9038.1023000000005</v>
      </c>
      <c r="C4323">
        <v>29</v>
      </c>
      <c r="D4323" t="s">
        <v>829</v>
      </c>
      <c r="F4323">
        <v>1974</v>
      </c>
      <c r="G4323" s="1" t="s">
        <v>116</v>
      </c>
      <c r="H4323" s="1" t="s">
        <v>123</v>
      </c>
      <c r="I4323">
        <v>0</v>
      </c>
      <c r="J4323">
        <v>11064.280500000001</v>
      </c>
      <c r="K4323">
        <v>8.9099999999999995E-3</v>
      </c>
      <c r="L4323">
        <v>3.7629999999999997E-2</v>
      </c>
      <c r="M4323">
        <v>4.6100000000000002E-2</v>
      </c>
      <c r="N4323">
        <v>0.3947</v>
      </c>
      <c r="O4323">
        <v>6.2170000000000003E-2</v>
      </c>
      <c r="P4323" s="3">
        <f t="shared" si="268"/>
        <v>9038.1023347271148</v>
      </c>
      <c r="Q4323" s="3">
        <f t="shared" si="269"/>
        <v>8.9855933874787297E-3</v>
      </c>
      <c r="R4323" s="3">
        <f t="shared" si="270"/>
        <v>3.7629999999999997E-2</v>
      </c>
      <c r="S4323">
        <f t="shared" si="271"/>
        <v>154</v>
      </c>
      <c r="T4323">
        <f>INDEX([1]IDEN_level_ids!$B:$B,MATCH(G4323,[1]IDEN_level_ids!$A:$A,0),1)</f>
        <v>879</v>
      </c>
      <c r="U4323">
        <f>INDEX([1]IDEN_level_ids!$B:$B,MATCH(H4323,[1]IDEN_level_ids!$A:$A,0),1)</f>
        <v>775</v>
      </c>
      <c r="V4323" s="6">
        <f>-0.008105-0.0058317296170841+0.0000136332546763384*($P4323-9682.761435)+8.19918542261614E-08*($P4323-9682.761435)^2</f>
        <v>1.1349082581460404E-2</v>
      </c>
      <c r="X4323" s="7">
        <f>($Q4323-$V4323)/$R4323</f>
        <v>-6.2808641880990557E-2</v>
      </c>
    </row>
    <row r="4324" spans="1:24" x14ac:dyDescent="0.25">
      <c r="A4324">
        <v>11055.925999999999</v>
      </c>
      <c r="B4324">
        <v>9044.9231</v>
      </c>
      <c r="C4324">
        <v>29</v>
      </c>
      <c r="D4324" t="s">
        <v>829</v>
      </c>
      <c r="F4324">
        <v>1974</v>
      </c>
      <c r="G4324" s="1" t="s">
        <v>630</v>
      </c>
      <c r="H4324" s="1" t="s">
        <v>163</v>
      </c>
      <c r="I4324">
        <v>0</v>
      </c>
      <c r="J4324">
        <v>11055.947899999999</v>
      </c>
      <c r="K4324">
        <v>1.7950000000000001E-2</v>
      </c>
      <c r="L4324">
        <v>3.7690000000000001E-2</v>
      </c>
      <c r="M4324">
        <v>4.6100000000000002E-2</v>
      </c>
      <c r="N4324">
        <v>0.25069999999999998</v>
      </c>
      <c r="O4324">
        <v>5.0299999999999997E-2</v>
      </c>
      <c r="P4324" s="3">
        <f t="shared" si="268"/>
        <v>9044.9230575530273</v>
      </c>
      <c r="Q4324" s="3">
        <f t="shared" si="269"/>
        <v>1.7916493163284031E-2</v>
      </c>
      <c r="R4324" s="3">
        <f t="shared" si="270"/>
        <v>3.7690000000000001E-2</v>
      </c>
      <c r="S4324">
        <f t="shared" si="271"/>
        <v>154</v>
      </c>
      <c r="T4324">
        <f>INDEX([1]IDEN_level_ids!$B:$B,MATCH(G4324,[1]IDEN_level_ids!$A:$A,0),1)</f>
        <v>867</v>
      </c>
      <c r="U4324">
        <f>INDEX([1]IDEN_level_ids!$B:$B,MATCH(H4324,[1]IDEN_level_ids!$A:$A,0),1)</f>
        <v>747</v>
      </c>
      <c r="V4324" s="6">
        <f>-0.008105-0.0058317296170841+0.0000136332546763384*($P4324-9682.761435)+8.19918542261614E-08*($P4324-9682.761435)^2</f>
        <v>1.0724842583189086E-2</v>
      </c>
      <c r="X4324" s="7">
        <f>($Q4324-$V4324)/$R4324</f>
        <v>0.19081057522141004</v>
      </c>
    </row>
    <row r="4325" spans="1:24" x14ac:dyDescent="0.25">
      <c r="A4325">
        <v>11025.2952</v>
      </c>
      <c r="B4325">
        <v>9070.0519000000004</v>
      </c>
      <c r="C4325">
        <v>29</v>
      </c>
      <c r="D4325" t="s">
        <v>829</v>
      </c>
      <c r="F4325">
        <v>1974</v>
      </c>
      <c r="G4325" s="1" t="s">
        <v>129</v>
      </c>
      <c r="H4325" s="1" t="s">
        <v>163</v>
      </c>
      <c r="I4325">
        <v>0</v>
      </c>
      <c r="J4325">
        <v>11025.299199999999</v>
      </c>
      <c r="K4325">
        <v>3.2499999999999999E-3</v>
      </c>
      <c r="L4325">
        <v>3.7900000000000003E-2</v>
      </c>
      <c r="M4325">
        <v>4.6100000000000002E-2</v>
      </c>
      <c r="N4325">
        <v>0.24229999999999999</v>
      </c>
      <c r="O4325">
        <v>5.0020000000000002E-2</v>
      </c>
      <c r="P4325" s="3">
        <f t="shared" si="268"/>
        <v>9070.0519293125144</v>
      </c>
      <c r="Q4325" s="3">
        <f t="shared" si="269"/>
        <v>3.290632486823597E-3</v>
      </c>
      <c r="R4325" s="3">
        <f t="shared" si="270"/>
        <v>3.7900000000000003E-2</v>
      </c>
      <c r="S4325">
        <f t="shared" si="271"/>
        <v>154</v>
      </c>
      <c r="T4325">
        <f>INDEX([1]IDEN_level_ids!$B:$B,MATCH(G4325,[1]IDEN_level_ids!$A:$A,0),1)</f>
        <v>866</v>
      </c>
      <c r="U4325">
        <f>INDEX([1]IDEN_level_ids!$B:$B,MATCH(H4325,[1]IDEN_level_ids!$A:$A,0),1)</f>
        <v>747</v>
      </c>
      <c r="V4325" s="6">
        <f t="shared" ref="V4325:V4373" si="272">-0.008105-0.0058317296170841+0.0000136332546763384*($P4325-9682.761435)+8.19918542261614E-08*($P4325-9682.761435)^2</f>
        <v>8.4908485658769031E-3</v>
      </c>
      <c r="X4325" s="7">
        <f t="shared" ref="X4325:X4373" si="273">($Q4325-$V4325)/$R4325</f>
        <v>-0.1372088675211954</v>
      </c>
    </row>
    <row r="4326" spans="1:24" x14ac:dyDescent="0.25">
      <c r="A4326">
        <v>10986.014800000001</v>
      </c>
      <c r="B4326">
        <v>9102.4817999999996</v>
      </c>
      <c r="C4326">
        <v>29</v>
      </c>
      <c r="D4326" t="s">
        <v>829</v>
      </c>
      <c r="F4326">
        <v>1974</v>
      </c>
      <c r="G4326" s="1" t="s">
        <v>719</v>
      </c>
      <c r="H4326" s="1" t="s">
        <v>76</v>
      </c>
      <c r="I4326">
        <v>0</v>
      </c>
      <c r="J4326">
        <v>10986.013199999999</v>
      </c>
      <c r="K4326">
        <v>-1.3699999999999999E-3</v>
      </c>
      <c r="L4326">
        <v>3.8170000000000003E-2</v>
      </c>
      <c r="M4326">
        <v>4.6100000000000002E-2</v>
      </c>
      <c r="N4326">
        <v>0.14280000000000001</v>
      </c>
      <c r="O4326">
        <v>4.453E-2</v>
      </c>
      <c r="P4326" s="3">
        <f t="shared" si="268"/>
        <v>9102.4818207963817</v>
      </c>
      <c r="Q4326" s="3">
        <f t="shared" si="269"/>
        <v>-1.3256829988677055E-3</v>
      </c>
      <c r="R4326" s="3">
        <f t="shared" si="270"/>
        <v>3.8170000000000003E-2</v>
      </c>
      <c r="S4326">
        <f t="shared" si="271"/>
        <v>154</v>
      </c>
      <c r="T4326">
        <f>INDEX([1]IDEN_level_ids!$B:$B,MATCH(G4326,[1]IDEN_level_ids!$A:$A,0),1)</f>
        <v>1244</v>
      </c>
      <c r="U4326">
        <f>INDEX([1]IDEN_level_ids!$B:$B,MATCH(H4326,[1]IDEN_level_ids!$A:$A,0),1)</f>
        <v>1194</v>
      </c>
      <c r="V4326" s="6">
        <f t="shared" si="272"/>
        <v>5.7608310520771214E-3</v>
      </c>
      <c r="X4326" s="7">
        <f t="shared" si="273"/>
        <v>-0.18565664267604995</v>
      </c>
    </row>
    <row r="4327" spans="1:24" x14ac:dyDescent="0.25">
      <c r="A4327">
        <v>10947.6201</v>
      </c>
      <c r="B4327">
        <v>9134.4053999999996</v>
      </c>
      <c r="C4327">
        <v>29</v>
      </c>
      <c r="D4327" t="s">
        <v>829</v>
      </c>
      <c r="F4327">
        <v>1974</v>
      </c>
      <c r="G4327" s="1" t="s">
        <v>729</v>
      </c>
      <c r="H4327" s="1" t="s">
        <v>194</v>
      </c>
      <c r="I4327">
        <v>0</v>
      </c>
      <c r="J4327">
        <v>10947.611999999999</v>
      </c>
      <c r="K4327">
        <v>-6.7600000000000004E-3</v>
      </c>
      <c r="L4327">
        <v>3.8440000000000002E-2</v>
      </c>
      <c r="M4327">
        <v>4.6100000000000002E-2</v>
      </c>
      <c r="N4327">
        <v>0.15110000000000001</v>
      </c>
      <c r="O4327">
        <v>4.5280000000000001E-2</v>
      </c>
      <c r="P4327" s="3">
        <f t="shared" si="268"/>
        <v>9134.4053855138791</v>
      </c>
      <c r="Q4327" s="3">
        <f t="shared" si="269"/>
        <v>-6.7584313037514221E-3</v>
      </c>
      <c r="R4327" s="3">
        <f t="shared" si="270"/>
        <v>3.8440000000000002E-2</v>
      </c>
      <c r="S4327">
        <f t="shared" si="271"/>
        <v>154</v>
      </c>
      <c r="T4327">
        <f>INDEX([1]IDEN_level_ids!$B:$B,MATCH(G4327,[1]IDEN_level_ids!$A:$A,0),1)</f>
        <v>1243</v>
      </c>
      <c r="U4327">
        <f>INDEX([1]IDEN_level_ids!$B:$B,MATCH(H4327,[1]IDEN_level_ids!$A:$A,0),1)</f>
        <v>1187</v>
      </c>
      <c r="V4327" s="6">
        <f t="shared" si="272"/>
        <v>3.2418805933921435E-3</v>
      </c>
      <c r="X4327" s="7">
        <f t="shared" si="273"/>
        <v>-0.26015379545118533</v>
      </c>
    </row>
    <row r="4328" spans="1:24" x14ac:dyDescent="0.25">
      <c r="A4328">
        <v>10922.525100000001</v>
      </c>
      <c r="B4328">
        <v>9155.3920999999991</v>
      </c>
      <c r="C4328">
        <v>29</v>
      </c>
      <c r="D4328" t="s">
        <v>829</v>
      </c>
      <c r="F4328">
        <v>1974</v>
      </c>
      <c r="G4328" s="1" t="s">
        <v>337</v>
      </c>
      <c r="H4328" s="1" t="s">
        <v>255</v>
      </c>
      <c r="I4328">
        <v>0</v>
      </c>
      <c r="J4328">
        <v>10922.500599999999</v>
      </c>
      <c r="K4328">
        <v>-2.0490000000000001E-2</v>
      </c>
      <c r="L4328">
        <v>3.8609999999999998E-2</v>
      </c>
      <c r="M4328">
        <v>4.6100000000000002E-2</v>
      </c>
      <c r="N4328">
        <v>0.2291</v>
      </c>
      <c r="O4328">
        <v>5.0090000000000003E-2</v>
      </c>
      <c r="P4328" s="3">
        <f t="shared" si="268"/>
        <v>9155.3920988471782</v>
      </c>
      <c r="Q4328" s="3">
        <f t="shared" si="269"/>
        <v>-2.0536241165245883E-2</v>
      </c>
      <c r="R4328" s="3">
        <f t="shared" si="270"/>
        <v>3.8609999999999998E-2</v>
      </c>
      <c r="S4328">
        <f t="shared" si="271"/>
        <v>154</v>
      </c>
      <c r="T4328">
        <f>INDEX([1]IDEN_level_ids!$B:$B,MATCH(G4328,[1]IDEN_level_ids!$A:$A,0),1)</f>
        <v>1157</v>
      </c>
      <c r="U4328">
        <f>INDEX([1]IDEN_level_ids!$B:$B,MATCH(H4328,[1]IDEN_level_ids!$A:$A,0),1)</f>
        <v>1111</v>
      </c>
      <c r="V4328" s="6">
        <f t="shared" si="272"/>
        <v>1.6769545955000568E-3</v>
      </c>
      <c r="X4328" s="7">
        <f t="shared" si="273"/>
        <v>-0.57532234552566541</v>
      </c>
    </row>
    <row r="4329" spans="1:24" x14ac:dyDescent="0.25">
      <c r="A4329">
        <v>10893.339099999999</v>
      </c>
      <c r="B4329">
        <v>9179.9217000000008</v>
      </c>
      <c r="C4329">
        <v>29</v>
      </c>
      <c r="D4329" t="s">
        <v>829</v>
      </c>
      <c r="F4329">
        <v>1974</v>
      </c>
      <c r="G4329" s="1" t="s">
        <v>672</v>
      </c>
      <c r="H4329" s="1" t="s">
        <v>160</v>
      </c>
      <c r="I4329">
        <v>0</v>
      </c>
      <c r="J4329">
        <v>10893.3506</v>
      </c>
      <c r="K4329">
        <v>9.6799999999999994E-3</v>
      </c>
      <c r="L4329">
        <v>3.882E-2</v>
      </c>
      <c r="M4329">
        <v>4.6100000000000002E-2</v>
      </c>
      <c r="N4329">
        <v>0.36919999999999997</v>
      </c>
      <c r="O4329">
        <v>6.1539999999999997E-2</v>
      </c>
      <c r="P4329" s="3">
        <f t="shared" si="268"/>
        <v>9179.9217009594431</v>
      </c>
      <c r="Q4329" s="3">
        <f t="shared" si="269"/>
        <v>9.6911504497256828E-3</v>
      </c>
      <c r="R4329" s="3">
        <f t="shared" si="270"/>
        <v>3.882E-2</v>
      </c>
      <c r="S4329">
        <f t="shared" si="271"/>
        <v>154</v>
      </c>
      <c r="T4329">
        <f>INDEX([1]IDEN_level_ids!$B:$B,MATCH(G4329,[1]IDEN_level_ids!$A:$A,0),1)</f>
        <v>891</v>
      </c>
      <c r="U4329">
        <f>INDEX([1]IDEN_level_ids!$B:$B,MATCH(H4329,[1]IDEN_level_ids!$A:$A,0),1)</f>
        <v>798</v>
      </c>
      <c r="V4329" s="6">
        <f t="shared" si="272"/>
        <v>-6.061196696221724E-5</v>
      </c>
      <c r="X4329" s="7">
        <f t="shared" si="273"/>
        <v>0.25120459599917311</v>
      </c>
    </row>
    <row r="4330" spans="1:24" x14ac:dyDescent="0.25">
      <c r="A4330">
        <v>10840.283600000001</v>
      </c>
      <c r="B4330">
        <v>9224.8508999999995</v>
      </c>
      <c r="C4330">
        <v>29</v>
      </c>
      <c r="D4330" t="s">
        <v>829</v>
      </c>
      <c r="F4330">
        <v>1974</v>
      </c>
      <c r="G4330" s="1" t="s">
        <v>64</v>
      </c>
      <c r="H4330" s="1" t="s">
        <v>271</v>
      </c>
      <c r="I4330">
        <v>0</v>
      </c>
      <c r="J4330">
        <v>10840.2727</v>
      </c>
      <c r="K4330">
        <v>-9.2999999999999992E-3</v>
      </c>
      <c r="L4330">
        <v>3.9199999999999999E-2</v>
      </c>
      <c r="M4330">
        <v>4.6100000000000002E-2</v>
      </c>
      <c r="N4330">
        <v>0.16</v>
      </c>
      <c r="O4330">
        <v>4.6670000000000003E-2</v>
      </c>
      <c r="P4330" s="3">
        <f t="shared" si="268"/>
        <v>9224.8509070371547</v>
      </c>
      <c r="Q4330" s="3">
        <f t="shared" si="269"/>
        <v>-9.2756776211899705E-3</v>
      </c>
      <c r="R4330" s="3">
        <f t="shared" si="270"/>
        <v>3.9199999999999999E-2</v>
      </c>
      <c r="S4330">
        <f t="shared" si="271"/>
        <v>154</v>
      </c>
      <c r="T4330">
        <f>INDEX([1]IDEN_level_ids!$B:$B,MATCH(G4330,[1]IDEN_level_ids!$A:$A,0),1)</f>
        <v>1228</v>
      </c>
      <c r="U4330">
        <f>INDEX([1]IDEN_level_ids!$B:$B,MATCH(H4330,[1]IDEN_level_ids!$A:$A,0),1)</f>
        <v>1158</v>
      </c>
      <c r="V4330" s="6">
        <f t="shared" si="272"/>
        <v>-2.9873202535732682E-3</v>
      </c>
      <c r="X4330" s="7">
        <f t="shared" si="273"/>
        <v>-0.16041727978614037</v>
      </c>
    </row>
    <row r="4331" spans="1:24" x14ac:dyDescent="0.25">
      <c r="A4331">
        <v>10834.136200000001</v>
      </c>
      <c r="B4331">
        <v>9230.0851999999995</v>
      </c>
      <c r="C4331">
        <v>29</v>
      </c>
      <c r="D4331" t="s">
        <v>829</v>
      </c>
      <c r="F4331">
        <v>1974</v>
      </c>
      <c r="G4331" s="1" t="s">
        <v>116</v>
      </c>
      <c r="H4331" s="1" t="s">
        <v>157</v>
      </c>
      <c r="I4331">
        <v>0</v>
      </c>
      <c r="J4331">
        <v>10834.119500000001</v>
      </c>
      <c r="K4331">
        <v>-1.418E-2</v>
      </c>
      <c r="L4331">
        <v>3.925E-2</v>
      </c>
      <c r="M4331">
        <v>4.6100000000000002E-2</v>
      </c>
      <c r="N4331">
        <v>0.3357</v>
      </c>
      <c r="O4331">
        <v>5.9080000000000001E-2</v>
      </c>
      <c r="P4331" s="3">
        <f t="shared" si="268"/>
        <v>9230.0851820563221</v>
      </c>
      <c r="Q4331" s="3">
        <f t="shared" si="269"/>
        <v>-1.4227498833861318E-2</v>
      </c>
      <c r="R4331" s="3">
        <f t="shared" si="270"/>
        <v>3.925E-2</v>
      </c>
      <c r="S4331">
        <f t="shared" si="271"/>
        <v>154</v>
      </c>
      <c r="T4331">
        <f>INDEX([1]IDEN_level_ids!$B:$B,MATCH(G4331,[1]IDEN_level_ids!$A:$A,0),1)</f>
        <v>879</v>
      </c>
      <c r="U4331">
        <f>INDEX([1]IDEN_level_ids!$B:$B,MATCH(H4331,[1]IDEN_level_ids!$A:$A,0),1)</f>
        <v>778</v>
      </c>
      <c r="V4331" s="6">
        <f t="shared" si="272"/>
        <v>-3.306754678788399E-3</v>
      </c>
      <c r="X4331" s="7">
        <f t="shared" si="273"/>
        <v>-0.27823551987446926</v>
      </c>
    </row>
    <row r="4332" spans="1:24" x14ac:dyDescent="0.25">
      <c r="A4332">
        <v>10800.472599999999</v>
      </c>
      <c r="B4332">
        <v>9258.8541000000005</v>
      </c>
      <c r="C4332">
        <v>29</v>
      </c>
      <c r="D4332" t="s">
        <v>829</v>
      </c>
      <c r="F4332">
        <v>1974</v>
      </c>
      <c r="G4332" s="1" t="s">
        <v>116</v>
      </c>
      <c r="H4332" s="1" t="s">
        <v>198</v>
      </c>
      <c r="I4332">
        <v>0</v>
      </c>
      <c r="J4332">
        <v>10800.482099999999</v>
      </c>
      <c r="K4332">
        <v>8.1200000000000005E-3</v>
      </c>
      <c r="L4332">
        <v>3.9489999999999997E-2</v>
      </c>
      <c r="M4332">
        <v>4.6100000000000002E-2</v>
      </c>
      <c r="N4332">
        <v>0.4143</v>
      </c>
      <c r="O4332">
        <v>6.7419999999999994E-2</v>
      </c>
      <c r="P4332" s="3">
        <f t="shared" si="268"/>
        <v>9258.8540986623138</v>
      </c>
      <c r="Q4332" s="3">
        <f t="shared" si="269"/>
        <v>8.1439988643978722E-3</v>
      </c>
      <c r="R4332" s="3">
        <f t="shared" si="270"/>
        <v>3.9489999999999997E-2</v>
      </c>
      <c r="S4332">
        <f t="shared" si="271"/>
        <v>154</v>
      </c>
      <c r="T4332">
        <f>INDEX([1]IDEN_level_ids!$B:$B,MATCH(G4332,[1]IDEN_level_ids!$A:$A,0),1)</f>
        <v>879</v>
      </c>
      <c r="U4332">
        <f>INDEX([1]IDEN_level_ids!$B:$B,MATCH(H4332,[1]IDEN_level_ids!$A:$A,0),1)</f>
        <v>780</v>
      </c>
      <c r="V4332" s="6">
        <f t="shared" si="272"/>
        <v>-4.982240823491732E-3</v>
      </c>
      <c r="X4332" s="7">
        <f t="shared" si="273"/>
        <v>0.3323940158999647</v>
      </c>
    </row>
    <row r="4333" spans="1:24" x14ac:dyDescent="0.25">
      <c r="A4333">
        <v>10789.693799999999</v>
      </c>
      <c r="B4333">
        <v>9268.1036000000004</v>
      </c>
      <c r="C4333">
        <v>29</v>
      </c>
      <c r="D4333" t="s">
        <v>829</v>
      </c>
      <c r="E4333" t="s">
        <v>427</v>
      </c>
      <c r="F4333">
        <v>1974</v>
      </c>
      <c r="G4333" s="1" t="s">
        <v>715</v>
      </c>
      <c r="H4333" s="1" t="s">
        <v>182</v>
      </c>
      <c r="I4333">
        <v>0</v>
      </c>
      <c r="J4333">
        <v>10789.6769</v>
      </c>
      <c r="K4333">
        <v>-1.452E-2</v>
      </c>
      <c r="L4333">
        <v>4.1860000000000001E-2</v>
      </c>
      <c r="M4333">
        <v>4.87E-2</v>
      </c>
      <c r="N4333">
        <v>0.2457</v>
      </c>
      <c r="O4333">
        <v>5.5489999999999998E-2</v>
      </c>
      <c r="P4333" s="3">
        <f t="shared" si="268"/>
        <v>9268.1036045712444</v>
      </c>
      <c r="Q4333" s="3">
        <f t="shared" si="269"/>
        <v>-1.4516741544866818E-2</v>
      </c>
      <c r="R4333" s="3">
        <f t="shared" si="270"/>
        <v>4.1860000000000001E-2</v>
      </c>
      <c r="S4333">
        <f t="shared" si="271"/>
        <v>154</v>
      </c>
      <c r="T4333">
        <f>INDEX([1]IDEN_level_ids!$B:$B,MATCH(G4333,[1]IDEN_level_ids!$A:$A,0),1)</f>
        <v>1249</v>
      </c>
      <c r="U4333">
        <f>INDEX([1]IDEN_level_ids!$B:$B,MATCH(H4333,[1]IDEN_level_ids!$A:$A,0),1)</f>
        <v>1210</v>
      </c>
      <c r="V4333" s="6">
        <f t="shared" si="272"/>
        <v>-5.4920944767621032E-3</v>
      </c>
      <c r="X4333" s="7">
        <f t="shared" si="273"/>
        <v>-0.21559118652901851</v>
      </c>
    </row>
    <row r="4334" spans="1:24" x14ac:dyDescent="0.25">
      <c r="A4334">
        <v>10766.023999999999</v>
      </c>
      <c r="B4334">
        <v>9288.4801000000007</v>
      </c>
      <c r="C4334">
        <v>29</v>
      </c>
      <c r="D4334" t="s">
        <v>829</v>
      </c>
      <c r="F4334">
        <v>1974</v>
      </c>
      <c r="G4334" s="1" t="s">
        <v>719</v>
      </c>
      <c r="H4334" s="1" t="s">
        <v>82</v>
      </c>
      <c r="I4334">
        <v>0</v>
      </c>
      <c r="J4334">
        <v>10766.0242</v>
      </c>
      <c r="K4334">
        <v>2.0000000000000001E-4</v>
      </c>
      <c r="L4334">
        <v>3.9739999999999998E-2</v>
      </c>
      <c r="M4334">
        <v>4.6100000000000002E-2</v>
      </c>
      <c r="N4334">
        <v>0.13059999999999999</v>
      </c>
      <c r="O4334">
        <v>4.5710000000000001E-2</v>
      </c>
      <c r="P4334" s="3">
        <f t="shared" si="268"/>
        <v>9288.4801297117683</v>
      </c>
      <c r="Q4334" s="3">
        <f t="shared" si="269"/>
        <v>1.725517231534468E-4</v>
      </c>
      <c r="R4334" s="3">
        <f t="shared" si="270"/>
        <v>3.9739999999999998E-2</v>
      </c>
      <c r="S4334">
        <f t="shared" si="271"/>
        <v>154</v>
      </c>
      <c r="T4334">
        <f>INDEX([1]IDEN_level_ids!$B:$B,MATCH(G4334,[1]IDEN_level_ids!$A:$A,0),1)</f>
        <v>1244</v>
      </c>
      <c r="U4334">
        <f>INDEX([1]IDEN_level_ids!$B:$B,MATCH(H4334,[1]IDEN_level_ids!$A:$A,0),1)</f>
        <v>1193</v>
      </c>
      <c r="V4334" s="6">
        <f t="shared" si="272"/>
        <v>-6.5657980784689703E-3</v>
      </c>
      <c r="X4334" s="7">
        <f t="shared" si="273"/>
        <v>0.16956089083096168</v>
      </c>
    </row>
    <row r="4335" spans="1:24" x14ac:dyDescent="0.25">
      <c r="A4335">
        <v>10741.8289</v>
      </c>
      <c r="B4335">
        <v>9309.4017000000003</v>
      </c>
      <c r="C4335">
        <v>29</v>
      </c>
      <c r="D4335" t="s">
        <v>830</v>
      </c>
      <c r="F4335">
        <v>1974</v>
      </c>
      <c r="G4335" s="1" t="s">
        <v>734</v>
      </c>
      <c r="H4335" s="1" t="s">
        <v>238</v>
      </c>
      <c r="I4335">
        <v>0</v>
      </c>
      <c r="J4335">
        <v>10741.8387</v>
      </c>
      <c r="K4335">
        <v>8.5299999999999994E-3</v>
      </c>
      <c r="L4335">
        <v>3.9919999999999997E-2</v>
      </c>
      <c r="M4335">
        <v>4.6100000000000002E-2</v>
      </c>
      <c r="N4335">
        <v>0.1166</v>
      </c>
      <c r="O4335">
        <v>4.5190000000000001E-2</v>
      </c>
      <c r="P4335" s="3">
        <f t="shared" si="268"/>
        <v>9309.4016792615257</v>
      </c>
      <c r="Q4335" s="3">
        <f t="shared" si="269"/>
        <v>8.4931582932767924E-3</v>
      </c>
      <c r="R4335" s="3">
        <f t="shared" si="270"/>
        <v>3.9919999999999997E-2</v>
      </c>
      <c r="S4335">
        <f t="shared" si="271"/>
        <v>155</v>
      </c>
      <c r="T4335">
        <f>INDEX([1]IDEN_level_ids!$B:$B,MATCH(G4335,[1]IDEN_level_ids!$A:$A,0),1)</f>
        <v>1232</v>
      </c>
      <c r="U4335">
        <f>INDEX([1]IDEN_level_ids!$B:$B,MATCH(H4335,[1]IDEN_level_ids!$A:$A,0),1)</f>
        <v>1165</v>
      </c>
      <c r="V4335" s="6">
        <f t="shared" si="272"/>
        <v>-7.597378162711917E-3</v>
      </c>
      <c r="X4335" s="7">
        <f t="shared" si="273"/>
        <v>0.40306955050071913</v>
      </c>
    </row>
    <row r="4336" spans="1:24" x14ac:dyDescent="0.25">
      <c r="A4336">
        <v>10729.408100000001</v>
      </c>
      <c r="B4336">
        <v>9320.1785999999993</v>
      </c>
      <c r="C4336">
        <v>29</v>
      </c>
      <c r="D4336" t="s">
        <v>830</v>
      </c>
      <c r="F4336">
        <v>1974</v>
      </c>
      <c r="G4336" s="1" t="s">
        <v>126</v>
      </c>
      <c r="H4336" s="1" t="s">
        <v>160</v>
      </c>
      <c r="I4336">
        <v>0</v>
      </c>
      <c r="J4336">
        <v>10729.4084</v>
      </c>
      <c r="K4336">
        <v>2.7E-4</v>
      </c>
      <c r="L4336">
        <v>4.002E-2</v>
      </c>
      <c r="M4336">
        <v>4.6100000000000002E-2</v>
      </c>
      <c r="N4336">
        <v>0.34189999999999998</v>
      </c>
      <c r="O4336">
        <v>6.0810000000000003E-2</v>
      </c>
      <c r="P4336" s="3">
        <f t="shared" si="268"/>
        <v>9320.1786219689038</v>
      </c>
      <c r="Q4336" s="3">
        <f t="shared" si="269"/>
        <v>2.6059718038595747E-4</v>
      </c>
      <c r="R4336" s="3">
        <f t="shared" si="270"/>
        <v>4.002E-2</v>
      </c>
      <c r="S4336">
        <f t="shared" si="271"/>
        <v>155</v>
      </c>
      <c r="T4336">
        <f>INDEX([1]IDEN_level_ids!$B:$B,MATCH(G4336,[1]IDEN_level_ids!$A:$A,0),1)</f>
        <v>892</v>
      </c>
      <c r="U4336">
        <f>INDEX([1]IDEN_level_ids!$B:$B,MATCH(H4336,[1]IDEN_level_ids!$A:$A,0),1)</f>
        <v>798</v>
      </c>
      <c r="V4336" s="6">
        <f t="shared" si="272"/>
        <v>-8.1007480460627973E-3</v>
      </c>
      <c r="X4336" s="7">
        <f t="shared" si="273"/>
        <v>0.20892916607817977</v>
      </c>
    </row>
    <row r="4337" spans="1:24" x14ac:dyDescent="0.25">
      <c r="A4337">
        <v>10726.051299999999</v>
      </c>
      <c r="B4337">
        <v>9323.0954999999994</v>
      </c>
      <c r="C4337">
        <v>29</v>
      </c>
      <c r="D4337" t="s">
        <v>830</v>
      </c>
      <c r="F4337">
        <v>1974</v>
      </c>
      <c r="G4337" s="1" t="s">
        <v>715</v>
      </c>
      <c r="H4337" s="1" t="s">
        <v>230</v>
      </c>
      <c r="I4337">
        <v>0</v>
      </c>
      <c r="J4337">
        <v>10726.0317</v>
      </c>
      <c r="K4337">
        <v>-1.7069999999999998E-2</v>
      </c>
      <c r="L4337">
        <v>4.0039999999999999E-2</v>
      </c>
      <c r="M4337">
        <v>4.6100000000000002E-2</v>
      </c>
      <c r="N4337">
        <v>0.50719999999999998</v>
      </c>
      <c r="O4337">
        <v>8.1259999999999999E-2</v>
      </c>
      <c r="P4337" s="3">
        <f t="shared" si="268"/>
        <v>9323.0954433343068</v>
      </c>
      <c r="Q4337" s="3">
        <f t="shared" si="269"/>
        <v>-1.7036372424627189E-2</v>
      </c>
      <c r="R4337" s="3">
        <f t="shared" si="270"/>
        <v>4.0039999999999999E-2</v>
      </c>
      <c r="S4337">
        <f t="shared" si="271"/>
        <v>155</v>
      </c>
      <c r="T4337">
        <f>INDEX([1]IDEN_level_ids!$B:$B,MATCH(G4337,[1]IDEN_level_ids!$A:$A,0),1)</f>
        <v>1249</v>
      </c>
      <c r="U4337">
        <f>INDEX([1]IDEN_level_ids!$B:$B,MATCH(H4337,[1]IDEN_level_ids!$A:$A,0),1)</f>
        <v>1208</v>
      </c>
      <c r="V4337" s="6">
        <f t="shared" si="272"/>
        <v>-8.2337121181428937E-3</v>
      </c>
      <c r="X4337" s="7">
        <f t="shared" si="273"/>
        <v>-0.21984666100110628</v>
      </c>
    </row>
    <row r="4338" spans="1:24" x14ac:dyDescent="0.25">
      <c r="A4338">
        <v>10710.200699999999</v>
      </c>
      <c r="B4338">
        <v>9336.8932000000004</v>
      </c>
      <c r="C4338">
        <v>29</v>
      </c>
      <c r="D4338" t="s">
        <v>830</v>
      </c>
      <c r="F4338">
        <v>1974</v>
      </c>
      <c r="G4338" s="1" t="s">
        <v>712</v>
      </c>
      <c r="H4338" s="1" t="s">
        <v>243</v>
      </c>
      <c r="I4338">
        <v>0</v>
      </c>
      <c r="J4338">
        <v>10710.2066</v>
      </c>
      <c r="K4338">
        <v>5.1399999999999996E-3</v>
      </c>
      <c r="L4338">
        <v>4.0160000000000001E-2</v>
      </c>
      <c r="M4338">
        <v>4.6100000000000002E-2</v>
      </c>
      <c r="N4338">
        <v>0.14219999999999999</v>
      </c>
      <c r="O4338">
        <v>4.6820000000000001E-2</v>
      </c>
      <c r="P4338" s="3">
        <f t="shared" si="268"/>
        <v>9336.8931919268325</v>
      </c>
      <c r="Q4338" s="3">
        <f t="shared" si="269"/>
        <v>5.1434740598779172E-3</v>
      </c>
      <c r="R4338" s="3">
        <f t="shared" si="270"/>
        <v>4.0160000000000001E-2</v>
      </c>
      <c r="S4338">
        <f t="shared" si="271"/>
        <v>155</v>
      </c>
      <c r="T4338">
        <f>INDEX([1]IDEN_level_ids!$B:$B,MATCH(G4338,[1]IDEN_level_ids!$A:$A,0),1)</f>
        <v>1247</v>
      </c>
      <c r="U4338">
        <f>INDEX([1]IDEN_level_ids!$B:$B,MATCH(H4338,[1]IDEN_level_ids!$A:$A,0),1)</f>
        <v>1205</v>
      </c>
      <c r="V4338" s="6">
        <f t="shared" si="272"/>
        <v>-8.8437768878085569E-3</v>
      </c>
      <c r="X4338" s="7">
        <f t="shared" si="273"/>
        <v>0.34828812120733249</v>
      </c>
    </row>
    <row r="4339" spans="1:24" x14ac:dyDescent="0.25">
      <c r="A4339">
        <v>10686.5674</v>
      </c>
      <c r="B4339">
        <v>9357.5416999999998</v>
      </c>
      <c r="C4339">
        <v>29</v>
      </c>
      <c r="D4339" t="s">
        <v>830</v>
      </c>
      <c r="F4339">
        <v>1974</v>
      </c>
      <c r="G4339" s="1" t="s">
        <v>626</v>
      </c>
      <c r="H4339" s="1" t="s">
        <v>104</v>
      </c>
      <c r="I4339">
        <v>0</v>
      </c>
      <c r="J4339">
        <v>10686.570100000001</v>
      </c>
      <c r="K4339">
        <v>2.4299999999999999E-3</v>
      </c>
      <c r="L4339">
        <v>4.0340000000000001E-2</v>
      </c>
      <c r="M4339">
        <v>4.6100000000000002E-2</v>
      </c>
      <c r="N4339">
        <v>0.78580000000000005</v>
      </c>
      <c r="O4339">
        <v>0.18834999999999999</v>
      </c>
      <c r="P4339" s="3">
        <f t="shared" si="268"/>
        <v>9357.5416929481016</v>
      </c>
      <c r="Q4339" s="3">
        <f t="shared" si="269"/>
        <v>2.3642162395844935E-3</v>
      </c>
      <c r="R4339" s="3">
        <f t="shared" si="270"/>
        <v>4.0340000000000001E-2</v>
      </c>
      <c r="S4339">
        <f t="shared" si="271"/>
        <v>155</v>
      </c>
      <c r="T4339">
        <f>INDEX([1]IDEN_level_ids!$B:$B,MATCH(G4339,[1]IDEN_level_ids!$A:$A,0),1)</f>
        <v>813</v>
      </c>
      <c r="U4339">
        <f>INDEX([1]IDEN_level_ids!$B:$B,MATCH(H4339,[1]IDEN_level_ids!$A:$A,0),1)</f>
        <v>636</v>
      </c>
      <c r="V4339" s="6">
        <f t="shared" si="272"/>
        <v>-9.6984285366207498E-3</v>
      </c>
      <c r="X4339" s="7">
        <f t="shared" si="273"/>
        <v>0.29902441190394752</v>
      </c>
    </row>
    <row r="4340" spans="1:24" x14ac:dyDescent="0.25">
      <c r="A4340">
        <v>10676.105799999999</v>
      </c>
      <c r="B4340">
        <v>9366.7111999999997</v>
      </c>
      <c r="C4340">
        <v>29</v>
      </c>
      <c r="D4340" t="s">
        <v>830</v>
      </c>
      <c r="F4340">
        <v>1974</v>
      </c>
      <c r="G4340" s="1" t="s">
        <v>710</v>
      </c>
      <c r="H4340" s="1" t="s">
        <v>40</v>
      </c>
      <c r="I4340">
        <v>0</v>
      </c>
      <c r="J4340">
        <v>10676.089400000001</v>
      </c>
      <c r="K4340">
        <v>-1.4449999999999999E-2</v>
      </c>
      <c r="L4340">
        <v>4.0419999999999998E-2</v>
      </c>
      <c r="M4340">
        <v>4.6100000000000002E-2</v>
      </c>
      <c r="N4340">
        <v>0.10929999999999999</v>
      </c>
      <c r="O4340">
        <v>4.5370000000000001E-2</v>
      </c>
      <c r="P4340" s="3">
        <f t="shared" si="268"/>
        <v>9366.7112216141595</v>
      </c>
      <c r="Q4340" s="3">
        <f t="shared" si="269"/>
        <v>-1.4388607874934678E-2</v>
      </c>
      <c r="R4340" s="3">
        <f t="shared" si="270"/>
        <v>4.0419999999999998E-2</v>
      </c>
      <c r="S4340">
        <f t="shared" si="271"/>
        <v>155</v>
      </c>
      <c r="T4340">
        <f>INDEX([1]IDEN_level_ids!$B:$B,MATCH(G4340,[1]IDEN_level_ids!$A:$A,0),1)</f>
        <v>1246</v>
      </c>
      <c r="U4340">
        <f>INDEX([1]IDEN_level_ids!$B:$B,MATCH(H4340,[1]IDEN_level_ids!$A:$A,0),1)</f>
        <v>1199</v>
      </c>
      <c r="V4340" s="6">
        <f t="shared" si="272"/>
        <v>-1.005554186434101E-2</v>
      </c>
      <c r="X4340" s="7">
        <f t="shared" si="273"/>
        <v>-0.1072010393516494</v>
      </c>
    </row>
    <row r="4341" spans="1:24" x14ac:dyDescent="0.25">
      <c r="A4341">
        <v>10660.9663</v>
      </c>
      <c r="B4341">
        <v>9380.0128000000004</v>
      </c>
      <c r="C4341">
        <v>29</v>
      </c>
      <c r="D4341" t="s">
        <v>830</v>
      </c>
      <c r="F4341">
        <v>1974</v>
      </c>
      <c r="G4341" s="1" t="s">
        <v>669</v>
      </c>
      <c r="H4341" s="1" t="s">
        <v>77</v>
      </c>
      <c r="I4341">
        <v>0</v>
      </c>
      <c r="J4341">
        <v>10660.9115</v>
      </c>
      <c r="K4341">
        <v>-4.8189999999999997E-2</v>
      </c>
      <c r="L4341">
        <v>4.0529999999999997E-2</v>
      </c>
      <c r="M4341">
        <v>4.6100000000000002E-2</v>
      </c>
      <c r="N4341">
        <v>0.14430000000000001</v>
      </c>
      <c r="O4341">
        <v>4.7370000000000002E-2</v>
      </c>
      <c r="P4341" s="3">
        <f t="shared" si="268"/>
        <v>9380.0127667601755</v>
      </c>
      <c r="Q4341" s="3">
        <f t="shared" si="269"/>
        <v>-4.8215830291155726E-2</v>
      </c>
      <c r="R4341" s="3">
        <f t="shared" si="270"/>
        <v>4.0529999999999997E-2</v>
      </c>
      <c r="S4341">
        <f t="shared" si="271"/>
        <v>155</v>
      </c>
      <c r="T4341">
        <f>INDEX([1]IDEN_level_ids!$B:$B,MATCH(G4341,[1]IDEN_level_ids!$A:$A,0),1)</f>
        <v>1245</v>
      </c>
      <c r="U4341">
        <f>INDEX([1]IDEN_level_ids!$B:$B,MATCH(H4341,[1]IDEN_level_ids!$A:$A,0),1)</f>
        <v>1197</v>
      </c>
      <c r="V4341" s="6">
        <f t="shared" si="272"/>
        <v>-1.0549071927405078E-2</v>
      </c>
      <c r="X4341" s="7">
        <f t="shared" si="273"/>
        <v>-0.92935500527388726</v>
      </c>
    </row>
    <row r="4342" spans="1:24" x14ac:dyDescent="0.25">
      <c r="A4342">
        <v>10657.4635</v>
      </c>
      <c r="B4342">
        <v>9383.0956999999999</v>
      </c>
      <c r="C4342">
        <v>29</v>
      </c>
      <c r="D4342" t="s">
        <v>830</v>
      </c>
      <c r="F4342">
        <v>1974</v>
      </c>
      <c r="G4342" s="1" t="s">
        <v>314</v>
      </c>
      <c r="H4342" s="1" t="s">
        <v>155</v>
      </c>
      <c r="I4342">
        <v>0</v>
      </c>
      <c r="J4342">
        <v>10657.479499999999</v>
      </c>
      <c r="K4342">
        <v>1.41E-2</v>
      </c>
      <c r="L4342">
        <v>4.0559999999999999E-2</v>
      </c>
      <c r="M4342">
        <v>4.6100000000000002E-2</v>
      </c>
      <c r="N4342">
        <v>0.46679999999999999</v>
      </c>
      <c r="O4342">
        <v>7.6060000000000003E-2</v>
      </c>
      <c r="P4342" s="3">
        <f t="shared" si="268"/>
        <v>9383.095705652664</v>
      </c>
      <c r="Q4342" s="3">
        <f t="shared" si="269"/>
        <v>1.4086776454860228E-2</v>
      </c>
      <c r="R4342" s="3">
        <f t="shared" si="270"/>
        <v>4.0559999999999999E-2</v>
      </c>
      <c r="S4342">
        <f t="shared" si="271"/>
        <v>155</v>
      </c>
      <c r="T4342">
        <f>INDEX([1]IDEN_level_ids!$B:$B,MATCH(G4342,[1]IDEN_level_ids!$A:$A,0),1)</f>
        <v>889</v>
      </c>
      <c r="U4342">
        <f>INDEX([1]IDEN_level_ids!$B:$B,MATCH(H4342,[1]IDEN_level_ids!$A:$A,0),1)</f>
        <v>797</v>
      </c>
      <c r="V4342" s="6">
        <f t="shared" si="272"/>
        <v>-1.0659317263554579E-2</v>
      </c>
      <c r="X4342" s="7">
        <f t="shared" si="273"/>
        <v>0.61011079187413231</v>
      </c>
    </row>
    <row r="4343" spans="1:24" x14ac:dyDescent="0.25">
      <c r="A4343">
        <v>10653.2093</v>
      </c>
      <c r="B4343">
        <v>9386.8426999999992</v>
      </c>
      <c r="C4343">
        <v>29</v>
      </c>
      <c r="D4343" t="s">
        <v>830</v>
      </c>
      <c r="F4343">
        <v>1974</v>
      </c>
      <c r="G4343" s="1" t="s">
        <v>630</v>
      </c>
      <c r="H4343" s="1" t="s">
        <v>162</v>
      </c>
      <c r="I4343">
        <v>0</v>
      </c>
      <c r="J4343">
        <v>10653.219800000001</v>
      </c>
      <c r="K4343">
        <v>9.2700000000000005E-3</v>
      </c>
      <c r="L4343">
        <v>4.0590000000000001E-2</v>
      </c>
      <c r="M4343">
        <v>4.6100000000000002E-2</v>
      </c>
      <c r="N4343">
        <v>0.37359999999999999</v>
      </c>
      <c r="O4343">
        <v>6.4799999999999996E-2</v>
      </c>
      <c r="P4343" s="3">
        <f t="shared" si="268"/>
        <v>9386.8427047612768</v>
      </c>
      <c r="Q4343" s="3">
        <f t="shared" si="269"/>
        <v>9.2518365563591942E-3</v>
      </c>
      <c r="R4343" s="3">
        <f t="shared" si="270"/>
        <v>4.0590000000000001E-2</v>
      </c>
      <c r="S4343">
        <f t="shared" si="271"/>
        <v>155</v>
      </c>
      <c r="T4343">
        <f>INDEX([1]IDEN_level_ids!$B:$B,MATCH(G4343,[1]IDEN_level_ids!$A:$A,0),1)</f>
        <v>867</v>
      </c>
      <c r="U4343">
        <f>INDEX([1]IDEN_level_ids!$B:$B,MATCH(H4343,[1]IDEN_level_ids!$A:$A,0),1)</f>
        <v>754</v>
      </c>
      <c r="V4343" s="6">
        <f t="shared" si="272"/>
        <v>-1.0791210955894652E-2</v>
      </c>
      <c r="X4343" s="7">
        <f t="shared" si="273"/>
        <v>0.49379274482024743</v>
      </c>
    </row>
    <row r="4344" spans="1:24" x14ac:dyDescent="0.25">
      <c r="A4344">
        <v>10648.335800000001</v>
      </c>
      <c r="B4344">
        <v>9391.1388000000006</v>
      </c>
      <c r="C4344">
        <v>29</v>
      </c>
      <c r="D4344" t="s">
        <v>830</v>
      </c>
      <c r="F4344">
        <v>1974</v>
      </c>
      <c r="G4344" s="1" t="s">
        <v>669</v>
      </c>
      <c r="H4344" s="1" t="s">
        <v>247</v>
      </c>
      <c r="I4344">
        <v>0</v>
      </c>
      <c r="J4344">
        <v>10648.340099999999</v>
      </c>
      <c r="K4344">
        <v>3.7200000000000002E-3</v>
      </c>
      <c r="L4344">
        <v>4.0629999999999999E-2</v>
      </c>
      <c r="M4344">
        <v>4.6100000000000002E-2</v>
      </c>
      <c r="N4344">
        <v>0.23760000000000001</v>
      </c>
      <c r="O4344">
        <v>5.3289999999999997E-2</v>
      </c>
      <c r="P4344" s="3">
        <f t="shared" si="268"/>
        <v>9391.1388481944741</v>
      </c>
      <c r="Q4344" s="3">
        <f t="shared" si="269"/>
        <v>3.7923184881947236E-3</v>
      </c>
      <c r="R4344" s="3">
        <f t="shared" si="270"/>
        <v>4.0629999999999999E-2</v>
      </c>
      <c r="S4344">
        <f t="shared" si="271"/>
        <v>155</v>
      </c>
      <c r="T4344">
        <f>INDEX([1]IDEN_level_ids!$B:$B,MATCH(G4344,[1]IDEN_level_ids!$A:$A,0),1)</f>
        <v>1245</v>
      </c>
      <c r="U4344">
        <f>INDEX([1]IDEN_level_ids!$B:$B,MATCH(H4344,[1]IDEN_level_ids!$A:$A,0),1)</f>
        <v>1200</v>
      </c>
      <c r="V4344" s="6">
        <f t="shared" si="272"/>
        <v>-1.0939601242310925E-2</v>
      </c>
      <c r="X4344" s="7">
        <f t="shared" si="273"/>
        <v>0.36258724416701082</v>
      </c>
    </row>
    <row r="4345" spans="1:24" x14ac:dyDescent="0.25">
      <c r="A4345">
        <v>10606.754199999999</v>
      </c>
      <c r="B4345">
        <v>9427.9549000000006</v>
      </c>
      <c r="C4345">
        <v>29</v>
      </c>
      <c r="D4345" t="s">
        <v>830</v>
      </c>
      <c r="F4345">
        <v>1974</v>
      </c>
      <c r="G4345" s="1" t="s">
        <v>121</v>
      </c>
      <c r="H4345" s="1" t="s">
        <v>211</v>
      </c>
      <c r="I4345">
        <v>0</v>
      </c>
      <c r="J4345">
        <v>10606.768899999999</v>
      </c>
      <c r="K4345">
        <v>1.302E-2</v>
      </c>
      <c r="L4345">
        <v>4.095E-2</v>
      </c>
      <c r="M4345">
        <v>4.6100000000000002E-2</v>
      </c>
      <c r="N4345">
        <v>0.48549999999999999</v>
      </c>
      <c r="O4345">
        <v>7.9589999999999994E-2</v>
      </c>
      <c r="P4345" s="3">
        <f t="shared" si="268"/>
        <v>9427.9548780342247</v>
      </c>
      <c r="Q4345" s="3">
        <f t="shared" si="269"/>
        <v>1.3066272867945372E-2</v>
      </c>
      <c r="R4345" s="3">
        <f t="shared" si="270"/>
        <v>4.095E-2</v>
      </c>
      <c r="S4345">
        <f t="shared" si="271"/>
        <v>155</v>
      </c>
      <c r="T4345">
        <f>INDEX([1]IDEN_level_ids!$B:$B,MATCH(G4345,[1]IDEN_level_ids!$A:$A,0),1)</f>
        <v>860</v>
      </c>
      <c r="U4345">
        <f>INDEX([1]IDEN_level_ids!$B:$B,MATCH(H4345,[1]IDEN_level_ids!$A:$A,0),1)</f>
        <v>744</v>
      </c>
      <c r="V4345" s="6">
        <f t="shared" si="272"/>
        <v>-1.2087137896253333E-2</v>
      </c>
      <c r="X4345" s="7">
        <f t="shared" si="273"/>
        <v>0.61424690510863744</v>
      </c>
    </row>
    <row r="4346" spans="1:24" x14ac:dyDescent="0.25">
      <c r="A4346">
        <v>10599.811</v>
      </c>
      <c r="B4346">
        <v>9434.1304999999993</v>
      </c>
      <c r="C4346">
        <v>29</v>
      </c>
      <c r="D4346" t="s">
        <v>830</v>
      </c>
      <c r="F4346">
        <v>1974</v>
      </c>
      <c r="G4346" s="1" t="s">
        <v>337</v>
      </c>
      <c r="H4346" s="1" t="s">
        <v>262</v>
      </c>
      <c r="I4346">
        <v>0</v>
      </c>
      <c r="J4346">
        <v>10599.796700000001</v>
      </c>
      <c r="K4346">
        <v>-1.265E-2</v>
      </c>
      <c r="L4346">
        <v>4.1000000000000002E-2</v>
      </c>
      <c r="M4346">
        <v>4.6100000000000002E-2</v>
      </c>
      <c r="N4346">
        <v>0.2152</v>
      </c>
      <c r="O4346">
        <v>5.2240000000000002E-2</v>
      </c>
      <c r="P4346" s="3">
        <f t="shared" si="268"/>
        <v>9434.1304764773631</v>
      </c>
      <c r="Q4346" s="3">
        <f t="shared" si="269"/>
        <v>-1.2727420122246258E-2</v>
      </c>
      <c r="R4346" s="3">
        <f t="shared" si="270"/>
        <v>4.1000000000000002E-2</v>
      </c>
      <c r="S4346">
        <f t="shared" si="271"/>
        <v>155</v>
      </c>
      <c r="T4346">
        <f>INDEX([1]IDEN_level_ids!$B:$B,MATCH(G4346,[1]IDEN_level_ids!$A:$A,0),1)</f>
        <v>1157</v>
      </c>
      <c r="U4346">
        <f>INDEX([1]IDEN_level_ids!$B:$B,MATCH(H4346,[1]IDEN_level_ids!$A:$A,0),1)</f>
        <v>1115</v>
      </c>
      <c r="V4346" s="6">
        <f t="shared" si="272"/>
        <v>-1.2257859355283948E-2</v>
      </c>
      <c r="X4346" s="7">
        <f t="shared" si="273"/>
        <v>-1.1452701633227083E-2</v>
      </c>
    </row>
    <row r="4347" spans="1:24" x14ac:dyDescent="0.25">
      <c r="A4347">
        <v>10583.3215</v>
      </c>
      <c r="B4347">
        <v>9448.8294999999998</v>
      </c>
      <c r="C4347">
        <v>29</v>
      </c>
      <c r="D4347" t="s">
        <v>830</v>
      </c>
      <c r="F4347">
        <v>1974</v>
      </c>
      <c r="G4347" s="1" t="s">
        <v>706</v>
      </c>
      <c r="H4347" s="1" t="s">
        <v>71</v>
      </c>
      <c r="I4347">
        <v>0</v>
      </c>
      <c r="J4347">
        <v>10583.312599999999</v>
      </c>
      <c r="K4347">
        <v>-7.9399999999999991E-3</v>
      </c>
      <c r="L4347">
        <v>4.113E-2</v>
      </c>
      <c r="M4347">
        <v>4.6100000000000002E-2</v>
      </c>
      <c r="N4347">
        <v>0.12429999999999999</v>
      </c>
      <c r="O4347">
        <v>4.6960000000000002E-2</v>
      </c>
      <c r="P4347" s="3">
        <f t="shared" si="268"/>
        <v>9448.8294624707378</v>
      </c>
      <c r="Q4347" s="3">
        <f t="shared" si="269"/>
        <v>-7.9459603439318016E-3</v>
      </c>
      <c r="R4347" s="3">
        <f t="shared" si="270"/>
        <v>4.113E-2</v>
      </c>
      <c r="S4347">
        <f t="shared" si="271"/>
        <v>155</v>
      </c>
      <c r="T4347">
        <f>INDEX([1]IDEN_level_ids!$B:$B,MATCH(G4347,[1]IDEN_level_ids!$A:$A,0),1)</f>
        <v>1240</v>
      </c>
      <c r="U4347">
        <f>INDEX([1]IDEN_level_ids!$B:$B,MATCH(H4347,[1]IDEN_level_ids!$A:$A,0),1)</f>
        <v>1179</v>
      </c>
      <c r="V4347" s="6">
        <f t="shared" si="272"/>
        <v>-1.263904778895051E-2</v>
      </c>
      <c r="X4347" s="7">
        <f t="shared" si="273"/>
        <v>0.11410375504543419</v>
      </c>
    </row>
    <row r="4348" spans="1:24" x14ac:dyDescent="0.25">
      <c r="A4348">
        <v>10573.6693</v>
      </c>
      <c r="B4348">
        <v>9457.4547999999995</v>
      </c>
      <c r="C4348">
        <v>29</v>
      </c>
      <c r="D4348" t="s">
        <v>831</v>
      </c>
      <c r="F4348">
        <v>1974</v>
      </c>
      <c r="G4348" s="1" t="s">
        <v>706</v>
      </c>
      <c r="H4348" s="1" t="s">
        <v>207</v>
      </c>
      <c r="I4348">
        <v>0</v>
      </c>
      <c r="J4348">
        <v>10573.643700000001</v>
      </c>
      <c r="K4348">
        <v>-2.2939999999999999E-2</v>
      </c>
      <c r="L4348">
        <v>4.1200000000000001E-2</v>
      </c>
      <c r="M4348">
        <v>4.6100000000000002E-2</v>
      </c>
      <c r="N4348">
        <v>0.12330000000000001</v>
      </c>
      <c r="O4348">
        <v>4.7E-2</v>
      </c>
      <c r="P4348" s="3">
        <f t="shared" si="268"/>
        <v>9457.4548496613188</v>
      </c>
      <c r="Q4348" s="3">
        <f t="shared" si="269"/>
        <v>-2.2897579208802199E-2</v>
      </c>
      <c r="R4348" s="3">
        <f t="shared" si="270"/>
        <v>4.1200000000000001E-2</v>
      </c>
      <c r="S4348">
        <f t="shared" si="271"/>
        <v>156</v>
      </c>
      <c r="T4348">
        <f>INDEX([1]IDEN_level_ids!$B:$B,MATCH(G4348,[1]IDEN_level_ids!$A:$A,0),1)</f>
        <v>1240</v>
      </c>
      <c r="U4348">
        <f>INDEX([1]IDEN_level_ids!$B:$B,MATCH(H4348,[1]IDEN_level_ids!$A:$A,0),1)</f>
        <v>1177</v>
      </c>
      <c r="V4348" s="6">
        <f t="shared" si="272"/>
        <v>-1.2846234473095349E-2</v>
      </c>
      <c r="X4348" s="7">
        <f t="shared" si="273"/>
        <v>-0.24396467805113714</v>
      </c>
    </row>
    <row r="4349" spans="1:24" x14ac:dyDescent="0.25">
      <c r="A4349">
        <v>10516.295700000001</v>
      </c>
      <c r="B4349">
        <v>9509.0517</v>
      </c>
      <c r="C4349">
        <v>29</v>
      </c>
      <c r="D4349" t="s">
        <v>831</v>
      </c>
      <c r="F4349">
        <v>1974</v>
      </c>
      <c r="G4349" s="1" t="s">
        <v>631</v>
      </c>
      <c r="H4349" s="1" t="s">
        <v>215</v>
      </c>
      <c r="I4349">
        <v>0</v>
      </c>
      <c r="J4349">
        <v>10516.2912</v>
      </c>
      <c r="K4349">
        <v>-4.0600000000000002E-3</v>
      </c>
      <c r="L4349">
        <v>4.165E-2</v>
      </c>
      <c r="M4349">
        <v>4.6100000000000002E-2</v>
      </c>
      <c r="N4349">
        <v>0.53469999999999995</v>
      </c>
      <c r="O4349">
        <v>8.9529999999999998E-2</v>
      </c>
      <c r="P4349" s="3">
        <f t="shared" si="268"/>
        <v>9509.0517471850853</v>
      </c>
      <c r="Q4349" s="3">
        <f t="shared" si="269"/>
        <v>-4.0689946727070492E-3</v>
      </c>
      <c r="R4349" s="3">
        <f t="shared" si="270"/>
        <v>4.165E-2</v>
      </c>
      <c r="S4349">
        <f t="shared" si="271"/>
        <v>156</v>
      </c>
      <c r="T4349">
        <f>INDEX([1]IDEN_level_ids!$B:$B,MATCH(G4349,[1]IDEN_level_ids!$A:$A,0),1)</f>
        <v>832</v>
      </c>
      <c r="U4349">
        <f>INDEX([1]IDEN_level_ids!$B:$B,MATCH(H4349,[1]IDEN_level_ids!$A:$A,0),1)</f>
        <v>699</v>
      </c>
      <c r="V4349" s="6">
        <f t="shared" si="272"/>
        <v>-1.3830849267448962E-2</v>
      </c>
      <c r="X4349" s="7">
        <f t="shared" si="273"/>
        <v>0.23437826157843727</v>
      </c>
    </row>
    <row r="4350" spans="1:24" x14ac:dyDescent="0.25">
      <c r="A4350">
        <v>10511.9876</v>
      </c>
      <c r="B4350">
        <v>9512.9488000000001</v>
      </c>
      <c r="C4350">
        <v>29</v>
      </c>
      <c r="D4350" t="s">
        <v>831</v>
      </c>
      <c r="F4350">
        <v>1974</v>
      </c>
      <c r="G4350" s="1" t="s">
        <v>336</v>
      </c>
      <c r="H4350" s="1" t="s">
        <v>170</v>
      </c>
      <c r="I4350">
        <v>0</v>
      </c>
      <c r="J4350">
        <v>10511.9643</v>
      </c>
      <c r="K4350">
        <v>-2.111E-2</v>
      </c>
      <c r="L4350">
        <v>4.1689999999999998E-2</v>
      </c>
      <c r="M4350">
        <v>4.6100000000000002E-2</v>
      </c>
      <c r="N4350">
        <v>0.41570000000000001</v>
      </c>
      <c r="O4350">
        <v>7.1349999999999997E-2</v>
      </c>
      <c r="P4350" s="3">
        <f t="shared" si="268"/>
        <v>9512.9488166443425</v>
      </c>
      <c r="Q4350" s="3">
        <f t="shared" si="269"/>
        <v>-2.1085660215248936E-2</v>
      </c>
      <c r="R4350" s="3">
        <f t="shared" si="270"/>
        <v>4.1689999999999998E-2</v>
      </c>
      <c r="S4350">
        <f t="shared" si="271"/>
        <v>156</v>
      </c>
      <c r="T4350">
        <f>INDEX([1]IDEN_level_ids!$B:$B,MATCH(G4350,[1]IDEN_level_ids!$A:$A,0),1)</f>
        <v>861</v>
      </c>
      <c r="U4350">
        <f>INDEX([1]IDEN_level_ids!$B:$B,MATCH(H4350,[1]IDEN_level_ids!$A:$A,0),1)</f>
        <v>746</v>
      </c>
      <c r="V4350" s="6">
        <f t="shared" si="272"/>
        <v>-1.3887484505637345E-2</v>
      </c>
      <c r="X4350" s="7">
        <f t="shared" si="273"/>
        <v>-0.1726595276951689</v>
      </c>
    </row>
    <row r="4351" spans="1:24" x14ac:dyDescent="0.25">
      <c r="A4351">
        <v>10491.487499999999</v>
      </c>
      <c r="B4351">
        <v>9531.5367999999999</v>
      </c>
      <c r="C4351">
        <v>29</v>
      </c>
      <c r="D4351" t="s">
        <v>831</v>
      </c>
      <c r="F4351">
        <v>1974</v>
      </c>
      <c r="G4351" s="1" t="s">
        <v>764</v>
      </c>
      <c r="H4351" s="1" t="s">
        <v>239</v>
      </c>
      <c r="I4351">
        <v>0</v>
      </c>
      <c r="J4351">
        <v>10491.4953</v>
      </c>
      <c r="K4351">
        <v>7.0600000000000003E-3</v>
      </c>
      <c r="L4351">
        <v>4.1849999999999998E-2</v>
      </c>
      <c r="M4351">
        <v>4.6100000000000002E-2</v>
      </c>
      <c r="N4351">
        <v>0.13619999999999999</v>
      </c>
      <c r="O4351">
        <v>4.845E-2</v>
      </c>
      <c r="P4351" s="3">
        <f t="shared" si="268"/>
        <v>9531.5368769204561</v>
      </c>
      <c r="Q4351" s="3">
        <f t="shared" si="269"/>
        <v>7.0863099608686753E-3</v>
      </c>
      <c r="R4351" s="3">
        <f t="shared" si="270"/>
        <v>4.1849999999999998E-2</v>
      </c>
      <c r="S4351">
        <f t="shared" si="271"/>
        <v>156</v>
      </c>
      <c r="T4351">
        <f>INDEX([1]IDEN_level_ids!$B:$B,MATCH(G4351,[1]IDEN_level_ids!$A:$A,0),1)</f>
        <v>1234</v>
      </c>
      <c r="U4351">
        <f>INDEX([1]IDEN_level_ids!$B:$B,MATCH(H4351,[1]IDEN_level_ids!$A:$A,0),1)</f>
        <v>1167</v>
      </c>
      <c r="V4351" s="6">
        <f t="shared" si="272"/>
        <v>-1.4123351724076524E-2</v>
      </c>
      <c r="X4351" s="7">
        <f t="shared" si="273"/>
        <v>0.50680195185054244</v>
      </c>
    </row>
    <row r="4352" spans="1:24" x14ac:dyDescent="0.25">
      <c r="A4352">
        <v>10468.588100000001</v>
      </c>
      <c r="B4352">
        <v>9552.3865000000005</v>
      </c>
      <c r="C4352">
        <v>29</v>
      </c>
      <c r="D4352" t="s">
        <v>831</v>
      </c>
      <c r="F4352">
        <v>1974</v>
      </c>
      <c r="G4352" s="1" t="s">
        <v>669</v>
      </c>
      <c r="H4352" s="1" t="s">
        <v>193</v>
      </c>
      <c r="I4352">
        <v>0</v>
      </c>
      <c r="J4352">
        <v>10468.5537</v>
      </c>
      <c r="K4352">
        <v>-3.143E-2</v>
      </c>
      <c r="L4352">
        <v>4.2029999999999998E-2</v>
      </c>
      <c r="M4352">
        <v>4.6100000000000002E-2</v>
      </c>
      <c r="N4352">
        <v>0.1547</v>
      </c>
      <c r="O4352">
        <v>4.9730000000000003E-2</v>
      </c>
      <c r="P4352" s="3">
        <f t="shared" si="268"/>
        <v>9552.386534340767</v>
      </c>
      <c r="Q4352" s="3">
        <f t="shared" si="269"/>
        <v>-3.1389445590320975E-2</v>
      </c>
      <c r="R4352" s="3">
        <f t="shared" si="270"/>
        <v>4.2029999999999998E-2</v>
      </c>
      <c r="S4352">
        <f t="shared" si="271"/>
        <v>156</v>
      </c>
      <c r="T4352">
        <f>INDEX([1]IDEN_level_ids!$B:$B,MATCH(G4352,[1]IDEN_level_ids!$A:$A,0),1)</f>
        <v>1245</v>
      </c>
      <c r="U4352">
        <f>INDEX([1]IDEN_level_ids!$B:$B,MATCH(H4352,[1]IDEN_level_ids!$A:$A,0),1)</f>
        <v>1202</v>
      </c>
      <c r="V4352" s="6">
        <f t="shared" si="272"/>
        <v>-1.4320497892702861E-2</v>
      </c>
      <c r="X4352" s="7">
        <f t="shared" si="273"/>
        <v>-0.40611343558453755</v>
      </c>
    </row>
    <row r="4353" spans="1:24" x14ac:dyDescent="0.25">
      <c r="A4353">
        <v>10435.829900000001</v>
      </c>
      <c r="B4353">
        <v>9582.3716000000004</v>
      </c>
      <c r="C4353">
        <v>29</v>
      </c>
      <c r="D4353" t="s">
        <v>831</v>
      </c>
      <c r="F4353">
        <v>1974</v>
      </c>
      <c r="G4353" s="1" t="s">
        <v>710</v>
      </c>
      <c r="H4353" s="1" t="s">
        <v>38</v>
      </c>
      <c r="I4353">
        <v>0</v>
      </c>
      <c r="J4353">
        <v>10435.827300000001</v>
      </c>
      <c r="K4353">
        <v>-2.3800000000000002E-3</v>
      </c>
      <c r="L4353">
        <v>4.2299999999999997E-2</v>
      </c>
      <c r="M4353">
        <v>4.6100000000000002E-2</v>
      </c>
      <c r="N4353">
        <v>0.12870000000000001</v>
      </c>
      <c r="O4353">
        <v>4.8550000000000003E-2</v>
      </c>
      <c r="P4353" s="3">
        <f t="shared" si="268"/>
        <v>9582.3715946155844</v>
      </c>
      <c r="Q4353" s="3">
        <f t="shared" si="269"/>
        <v>-2.387368575000437E-3</v>
      </c>
      <c r="R4353" s="3">
        <f t="shared" si="270"/>
        <v>4.2299999999999997E-2</v>
      </c>
      <c r="S4353">
        <f t="shared" si="271"/>
        <v>156</v>
      </c>
      <c r="T4353">
        <f>INDEX([1]IDEN_level_ids!$B:$B,MATCH(G4353,[1]IDEN_level_ids!$A:$A,0),1)</f>
        <v>1246</v>
      </c>
      <c r="U4353">
        <f>INDEX([1]IDEN_level_ids!$B:$B,MATCH(H4353,[1]IDEN_level_ids!$A:$A,0),1)</f>
        <v>1201</v>
      </c>
      <c r="V4353" s="6">
        <f t="shared" si="272"/>
        <v>-1.447904612775097E-2</v>
      </c>
      <c r="X4353" s="7">
        <f t="shared" si="273"/>
        <v>0.28585526129433886</v>
      </c>
    </row>
    <row r="4354" spans="1:24" x14ac:dyDescent="0.25">
      <c r="A4354">
        <v>10371.2667</v>
      </c>
      <c r="B4354">
        <v>9642.0238000000008</v>
      </c>
      <c r="C4354">
        <v>29</v>
      </c>
      <c r="D4354" t="s">
        <v>831</v>
      </c>
      <c r="F4354">
        <v>1974</v>
      </c>
      <c r="G4354" s="1" t="s">
        <v>634</v>
      </c>
      <c r="H4354" s="1" t="s">
        <v>107</v>
      </c>
      <c r="I4354">
        <v>0</v>
      </c>
      <c r="J4354">
        <v>10371.2482</v>
      </c>
      <c r="K4354">
        <v>-1.7160000000000002E-2</v>
      </c>
      <c r="L4354">
        <v>4.283E-2</v>
      </c>
      <c r="M4354">
        <v>4.6100000000000002E-2</v>
      </c>
      <c r="N4354">
        <v>0.50329999999999997</v>
      </c>
      <c r="O4354">
        <v>8.6220000000000005E-2</v>
      </c>
      <c r="P4354" s="3">
        <f t="shared" ref="P4354:P4374" si="274">100000000/$A4354</f>
        <v>9642.0237655251894</v>
      </c>
      <c r="Q4354" s="3">
        <f t="shared" ref="Q4354:Q4374" si="275">100000000/($A4354)-100000000/$J4354</f>
        <v>-1.7199225803778972E-2</v>
      </c>
      <c r="R4354" s="3">
        <f t="shared" si="270"/>
        <v>4.283E-2</v>
      </c>
      <c r="S4354">
        <f t="shared" si="271"/>
        <v>156</v>
      </c>
      <c r="T4354">
        <f>INDEX([1]IDEN_level_ids!$B:$B,MATCH(G4354,[1]IDEN_level_ids!$A:$A,0),1)</f>
        <v>838</v>
      </c>
      <c r="U4354">
        <f>INDEX([1]IDEN_level_ids!$B:$B,MATCH(H4354,[1]IDEN_level_ids!$A:$A,0),1)</f>
        <v>714</v>
      </c>
      <c r="V4354" s="6">
        <f t="shared" si="272"/>
        <v>-1.4356046425768912E-2</v>
      </c>
      <c r="X4354" s="7">
        <f t="shared" si="273"/>
        <v>-6.6382894653515295E-2</v>
      </c>
    </row>
    <row r="4355" spans="1:24" x14ac:dyDescent="0.25">
      <c r="A4355">
        <v>10356.816800000001</v>
      </c>
      <c r="B4355">
        <v>9655.4763999999996</v>
      </c>
      <c r="C4355">
        <v>29</v>
      </c>
      <c r="D4355" t="s">
        <v>831</v>
      </c>
      <c r="F4355">
        <v>1974</v>
      </c>
      <c r="G4355" s="1" t="s">
        <v>725</v>
      </c>
      <c r="H4355" s="1" t="s">
        <v>265</v>
      </c>
      <c r="I4355">
        <v>0</v>
      </c>
      <c r="J4355">
        <v>10356.797399999999</v>
      </c>
      <c r="K4355">
        <v>-1.8089999999999998E-2</v>
      </c>
      <c r="L4355">
        <v>4.2950000000000002E-2</v>
      </c>
      <c r="M4355">
        <v>4.6100000000000002E-2</v>
      </c>
      <c r="N4355">
        <v>0.19589999999999999</v>
      </c>
      <c r="O4355">
        <v>5.3409999999999999E-2</v>
      </c>
      <c r="P4355" s="3">
        <f t="shared" si="274"/>
        <v>9655.4763815074912</v>
      </c>
      <c r="Q4355" s="3">
        <f t="shared" si="275"/>
        <v>-1.8086309364662156E-2</v>
      </c>
      <c r="R4355" s="3">
        <f t="shared" ref="R4355:R4372" si="276">$L4355</f>
        <v>4.2950000000000002E-2</v>
      </c>
      <c r="S4355">
        <f t="shared" si="271"/>
        <v>156</v>
      </c>
      <c r="T4355">
        <f>INDEX([1]IDEN_level_ids!$B:$B,MATCH(G4355,[1]IDEN_level_ids!$A:$A,0),1)</f>
        <v>1227</v>
      </c>
      <c r="U4355">
        <f>INDEX([1]IDEN_level_ids!$B:$B,MATCH(H4355,[1]IDEN_level_ids!$A:$A,0),1)</f>
        <v>1161</v>
      </c>
      <c r="V4355" s="6">
        <f t="shared" si="272"/>
        <v>-1.4247672884707695E-2</v>
      </c>
      <c r="X4355" s="7">
        <f t="shared" si="273"/>
        <v>-8.937453969626219E-2</v>
      </c>
    </row>
    <row r="4356" spans="1:24" x14ac:dyDescent="0.25">
      <c r="A4356">
        <v>10319.251899999999</v>
      </c>
      <c r="B4356">
        <v>9690.625</v>
      </c>
      <c r="C4356">
        <v>29</v>
      </c>
      <c r="D4356" t="s">
        <v>831</v>
      </c>
      <c r="F4356">
        <v>1974</v>
      </c>
      <c r="G4356" s="1" t="s">
        <v>719</v>
      </c>
      <c r="H4356" s="1" t="s">
        <v>81</v>
      </c>
      <c r="I4356">
        <v>0</v>
      </c>
      <c r="J4356">
        <v>10319.2533</v>
      </c>
      <c r="K4356">
        <v>1.2999999999999999E-3</v>
      </c>
      <c r="L4356">
        <v>4.326E-2</v>
      </c>
      <c r="M4356">
        <v>4.6100000000000002E-2</v>
      </c>
      <c r="N4356">
        <v>0.1255</v>
      </c>
      <c r="O4356">
        <v>4.947E-2</v>
      </c>
      <c r="P4356" s="3">
        <f t="shared" si="274"/>
        <v>9690.6249570281361</v>
      </c>
      <c r="Q4356" s="3">
        <f t="shared" si="275"/>
        <v>1.3147147910785861E-3</v>
      </c>
      <c r="R4356" s="3">
        <f t="shared" si="276"/>
        <v>4.326E-2</v>
      </c>
      <c r="S4356">
        <f t="shared" ref="S4356:S4374" si="277">IF(D4356=D4355,S4355,S4355+1)</f>
        <v>156</v>
      </c>
      <c r="T4356">
        <f>INDEX([1]IDEN_level_ids!$B:$B,MATCH(G4356,[1]IDEN_level_ids!$A:$A,0),1)</f>
        <v>1244</v>
      </c>
      <c r="U4356">
        <f>INDEX([1]IDEN_level_ids!$B:$B,MATCH(H4356,[1]IDEN_level_ids!$A:$A,0),1)</f>
        <v>1196</v>
      </c>
      <c r="V4356" s="6">
        <f t="shared" si="272"/>
        <v>-1.3824454254062946E-2</v>
      </c>
      <c r="X4356" s="7">
        <f t="shared" si="273"/>
        <v>0.34995767556961471</v>
      </c>
    </row>
    <row r="4357" spans="1:24" x14ac:dyDescent="0.25">
      <c r="A4357">
        <v>10305.002699999999</v>
      </c>
      <c r="B4357">
        <v>9704.0246000000006</v>
      </c>
      <c r="C4357">
        <v>29</v>
      </c>
      <c r="D4357" t="s">
        <v>831</v>
      </c>
      <c r="E4357" t="s">
        <v>427</v>
      </c>
      <c r="F4357">
        <v>1974</v>
      </c>
      <c r="G4357" s="1" t="s">
        <v>321</v>
      </c>
      <c r="H4357" s="1" t="s">
        <v>151</v>
      </c>
      <c r="I4357">
        <v>0</v>
      </c>
      <c r="J4357">
        <v>10305.0473</v>
      </c>
      <c r="K4357">
        <v>4.2020000000000002E-2</v>
      </c>
      <c r="L4357">
        <v>4.589E-2</v>
      </c>
      <c r="M4357">
        <v>4.87E-2</v>
      </c>
      <c r="N4357">
        <v>0.76129999999999998</v>
      </c>
      <c r="O4357">
        <v>0.19219</v>
      </c>
      <c r="P4357" s="3">
        <f t="shared" si="274"/>
        <v>9704.0246287368773</v>
      </c>
      <c r="Q4357" s="5">
        <f t="shared" si="275"/>
        <v>4.1998788152341149E-2</v>
      </c>
      <c r="R4357" s="3">
        <f t="shared" si="276"/>
        <v>4.589E-2</v>
      </c>
      <c r="S4357">
        <f t="shared" si="277"/>
        <v>156</v>
      </c>
      <c r="T4357">
        <f>INDEX([1]IDEN_level_ids!$B:$B,MATCH(G4357,[1]IDEN_level_ids!$A:$A,0),1)</f>
        <v>823</v>
      </c>
      <c r="U4357">
        <f>INDEX([1]IDEN_level_ids!$B:$B,MATCH(H4357,[1]IDEN_level_ids!$A:$A,0),1)</f>
        <v>685</v>
      </c>
      <c r="V4357" s="6">
        <f t="shared" si="272"/>
        <v>-1.360977264508482E-2</v>
      </c>
      <c r="X4357" s="8">
        <f t="shared" si="273"/>
        <v>1.2117794900288945</v>
      </c>
    </row>
    <row r="4358" spans="1:24" x14ac:dyDescent="0.25">
      <c r="A4358">
        <v>10276.1711</v>
      </c>
      <c r="B4358">
        <v>9731.2510000000002</v>
      </c>
      <c r="C4358">
        <v>29</v>
      </c>
      <c r="D4358" t="s">
        <v>831</v>
      </c>
      <c r="F4358">
        <v>1974</v>
      </c>
      <c r="G4358" s="1" t="s">
        <v>794</v>
      </c>
      <c r="H4358" s="1" t="s">
        <v>293</v>
      </c>
      <c r="I4358">
        <v>0</v>
      </c>
      <c r="J4358">
        <v>10276.157800000001</v>
      </c>
      <c r="K4358">
        <v>-1.2630000000000001E-2</v>
      </c>
      <c r="L4358">
        <v>4.3619999999999999E-2</v>
      </c>
      <c r="M4358">
        <v>4.6100000000000002E-2</v>
      </c>
      <c r="N4358">
        <v>0.21340000000000001</v>
      </c>
      <c r="O4358">
        <v>5.5460000000000002E-2</v>
      </c>
      <c r="P4358" s="3">
        <f t="shared" si="274"/>
        <v>9731.2509714829484</v>
      </c>
      <c r="Q4358" s="3">
        <f t="shared" si="275"/>
        <v>-1.2594749947311357E-2</v>
      </c>
      <c r="R4358" s="3">
        <f t="shared" si="276"/>
        <v>4.3619999999999999E-2</v>
      </c>
      <c r="S4358">
        <f t="shared" si="277"/>
        <v>156</v>
      </c>
      <c r="T4358">
        <f>INDEX([1]IDEN_level_ids!$B:$B,MATCH(G4358,[1]IDEN_level_ids!$A:$A,0),1)</f>
        <v>1164</v>
      </c>
      <c r="U4358">
        <f>INDEX([1]IDEN_level_ids!$B:$B,MATCH(H4358,[1]IDEN_level_ids!$A:$A,0),1)</f>
        <v>1121</v>
      </c>
      <c r="V4358" s="6">
        <f t="shared" si="272"/>
        <v>-1.3082877287541071E-2</v>
      </c>
      <c r="X4358" s="7">
        <f t="shared" si="273"/>
        <v>1.1190447964917787E-2</v>
      </c>
    </row>
    <row r="4359" spans="1:24" x14ac:dyDescent="0.25">
      <c r="A4359">
        <v>10273.946</v>
      </c>
      <c r="B4359">
        <v>9733.3585000000003</v>
      </c>
      <c r="C4359">
        <v>29</v>
      </c>
      <c r="D4359" t="s">
        <v>831</v>
      </c>
      <c r="F4359">
        <v>1974</v>
      </c>
      <c r="G4359" s="1" t="s">
        <v>313</v>
      </c>
      <c r="H4359" s="1" t="s">
        <v>207</v>
      </c>
      <c r="I4359">
        <v>0</v>
      </c>
      <c r="J4359">
        <v>10273.9013</v>
      </c>
      <c r="K4359">
        <v>-4.2380000000000001E-2</v>
      </c>
      <c r="L4359">
        <v>4.3639999999999998E-2</v>
      </c>
      <c r="M4359">
        <v>4.6100000000000002E-2</v>
      </c>
      <c r="N4359">
        <v>0.1731</v>
      </c>
      <c r="O4359">
        <v>5.2780000000000001E-2</v>
      </c>
      <c r="P4359" s="3">
        <f t="shared" si="274"/>
        <v>9733.3585362430367</v>
      </c>
      <c r="Q4359" s="3">
        <f t="shared" si="275"/>
        <v>-4.2348190221673576E-2</v>
      </c>
      <c r="R4359" s="3">
        <f t="shared" si="276"/>
        <v>4.3639999999999998E-2</v>
      </c>
      <c r="S4359">
        <f t="shared" si="277"/>
        <v>156</v>
      </c>
      <c r="T4359">
        <f>INDEX([1]IDEN_level_ids!$B:$B,MATCH(G4359,[1]IDEN_level_ids!$A:$A,0),1)</f>
        <v>1239</v>
      </c>
      <c r="U4359">
        <f>INDEX([1]IDEN_level_ids!$B:$B,MATCH(H4359,[1]IDEN_level_ids!$A:$A,0),1)</f>
        <v>1177</v>
      </c>
      <c r="V4359" s="6">
        <f t="shared" si="272"/>
        <v>-1.3037021838033042E-2</v>
      </c>
      <c r="X4359" s="7">
        <f t="shared" si="273"/>
        <v>-0.67165830393310122</v>
      </c>
    </row>
    <row r="4360" spans="1:24" x14ac:dyDescent="0.25">
      <c r="A4360">
        <v>10221.751700000001</v>
      </c>
      <c r="B4360">
        <v>9783.0589999999993</v>
      </c>
      <c r="C4360">
        <v>29</v>
      </c>
      <c r="D4360" t="s">
        <v>832</v>
      </c>
      <c r="F4360">
        <v>1974</v>
      </c>
      <c r="G4360" s="1" t="s">
        <v>791</v>
      </c>
      <c r="H4360" s="1" t="s">
        <v>295</v>
      </c>
      <c r="I4360">
        <v>0</v>
      </c>
      <c r="J4360">
        <v>10221.715</v>
      </c>
      <c r="K4360">
        <v>-3.5090000000000003E-2</v>
      </c>
      <c r="L4360">
        <v>4.4089999999999997E-2</v>
      </c>
      <c r="M4360">
        <v>4.6100000000000002E-2</v>
      </c>
      <c r="N4360">
        <v>0.1583</v>
      </c>
      <c r="O4360">
        <v>5.2380000000000003E-2</v>
      </c>
      <c r="P4360" s="3">
        <f t="shared" si="274"/>
        <v>9783.059003477847</v>
      </c>
      <c r="Q4360" s="3">
        <f t="shared" si="275"/>
        <v>-3.5125051465001889E-2</v>
      </c>
      <c r="R4360" s="3">
        <f t="shared" si="276"/>
        <v>4.4089999999999997E-2</v>
      </c>
      <c r="S4360">
        <f t="shared" si="277"/>
        <v>157</v>
      </c>
      <c r="T4360">
        <f>INDEX([1]IDEN_level_ids!$B:$B,MATCH(G4360,[1]IDEN_level_ids!$A:$A,0),1)</f>
        <v>1215</v>
      </c>
      <c r="U4360">
        <f>INDEX([1]IDEN_level_ids!$B:$B,MATCH(H4360,[1]IDEN_level_ids!$A:$A,0),1)</f>
        <v>1152</v>
      </c>
      <c r="V4360" s="6">
        <f t="shared" si="272"/>
        <v>-1.1744541881962296E-2</v>
      </c>
      <c r="X4360" s="7">
        <f t="shared" si="273"/>
        <v>-0.53029053261600345</v>
      </c>
    </row>
    <row r="4361" spans="1:24" x14ac:dyDescent="0.25">
      <c r="A4361">
        <v>10198.186400000001</v>
      </c>
      <c r="B4361">
        <v>9805.6651000000002</v>
      </c>
      <c r="C4361">
        <v>29</v>
      </c>
      <c r="D4361" t="s">
        <v>832</v>
      </c>
      <c r="F4361">
        <v>1974</v>
      </c>
      <c r="G4361" s="1" t="s">
        <v>669</v>
      </c>
      <c r="H4361" s="1" t="s">
        <v>187</v>
      </c>
      <c r="I4361">
        <v>0</v>
      </c>
      <c r="J4361">
        <v>10198.1497</v>
      </c>
      <c r="K4361">
        <v>-3.5279999999999999E-2</v>
      </c>
      <c r="L4361">
        <v>4.4290000000000003E-2</v>
      </c>
      <c r="M4361">
        <v>4.6100000000000002E-2</v>
      </c>
      <c r="N4361">
        <v>0.16839999999999999</v>
      </c>
      <c r="O4361">
        <v>5.3260000000000002E-2</v>
      </c>
      <c r="P4361" s="3">
        <f t="shared" si="274"/>
        <v>9805.6650543276992</v>
      </c>
      <c r="Q4361" s="3">
        <f t="shared" si="275"/>
        <v>-3.5287568634885247E-2</v>
      </c>
      <c r="R4361" s="3">
        <f t="shared" si="276"/>
        <v>4.4290000000000003E-2</v>
      </c>
      <c r="S4361">
        <f t="shared" si="277"/>
        <v>157</v>
      </c>
      <c r="T4361">
        <f>INDEX([1]IDEN_level_ids!$B:$B,MATCH(G4361,[1]IDEN_level_ids!$A:$A,0),1)</f>
        <v>1245</v>
      </c>
      <c r="U4361">
        <f>INDEX([1]IDEN_level_ids!$B:$B,MATCH(H4361,[1]IDEN_level_ids!$A:$A,0),1)</f>
        <v>1204</v>
      </c>
      <c r="V4361" s="6">
        <f t="shared" si="272"/>
        <v>-1.1022641747704971E-2</v>
      </c>
      <c r="X4361" s="7">
        <f t="shared" si="273"/>
        <v>-0.54786468474103123</v>
      </c>
    </row>
    <row r="4362" spans="1:24" x14ac:dyDescent="0.25">
      <c r="A4362">
        <v>10194.659900000001</v>
      </c>
      <c r="B4362">
        <v>9809.0570000000007</v>
      </c>
      <c r="C4362">
        <v>29</v>
      </c>
      <c r="D4362" t="s">
        <v>832</v>
      </c>
      <c r="F4362">
        <v>1974</v>
      </c>
      <c r="G4362" s="1" t="s">
        <v>92</v>
      </c>
      <c r="H4362" s="1" t="s">
        <v>271</v>
      </c>
      <c r="I4362">
        <v>0</v>
      </c>
      <c r="J4362">
        <v>10194.6405</v>
      </c>
      <c r="K4362">
        <v>-1.8589999999999999E-2</v>
      </c>
      <c r="L4362">
        <v>4.4319999999999998E-2</v>
      </c>
      <c r="M4362">
        <v>4.6100000000000002E-2</v>
      </c>
      <c r="N4362">
        <v>0.25629999999999997</v>
      </c>
      <c r="O4362">
        <v>5.96E-2</v>
      </c>
      <c r="P4362" s="3">
        <f t="shared" si="274"/>
        <v>9809.0569946330434</v>
      </c>
      <c r="Q4362" s="3">
        <f t="shared" si="275"/>
        <v>-1.8666249750822317E-2</v>
      </c>
      <c r="R4362" s="3">
        <f t="shared" si="276"/>
        <v>4.4319999999999998E-2</v>
      </c>
      <c r="S4362">
        <f t="shared" si="277"/>
        <v>157</v>
      </c>
      <c r="T4362">
        <f>INDEX([1]IDEN_level_ids!$B:$B,MATCH(G4362,[1]IDEN_level_ids!$A:$A,0),1)</f>
        <v>1224</v>
      </c>
      <c r="U4362">
        <f>INDEX([1]IDEN_level_ids!$B:$B,MATCH(H4362,[1]IDEN_level_ids!$A:$A,0),1)</f>
        <v>1158</v>
      </c>
      <c r="V4362" s="6">
        <f t="shared" si="272"/>
        <v>-1.0907093410430856E-2</v>
      </c>
      <c r="X4362" s="7">
        <f t="shared" si="273"/>
        <v>-0.17507121706659434</v>
      </c>
    </row>
    <row r="4363" spans="1:24" x14ac:dyDescent="0.25">
      <c r="A4363">
        <v>10121.861000000001</v>
      </c>
      <c r="B4363">
        <v>9879.6062000000002</v>
      </c>
      <c r="C4363">
        <v>29</v>
      </c>
      <c r="D4363" t="s">
        <v>832</v>
      </c>
      <c r="F4363">
        <v>1974</v>
      </c>
      <c r="G4363" s="1" t="s">
        <v>313</v>
      </c>
      <c r="H4363" s="1" t="s">
        <v>204</v>
      </c>
      <c r="I4363">
        <v>0</v>
      </c>
      <c r="J4363">
        <v>10121.8649</v>
      </c>
      <c r="K4363">
        <v>3.8400000000000001E-3</v>
      </c>
      <c r="L4363">
        <v>4.496E-2</v>
      </c>
      <c r="M4363">
        <v>4.6100000000000002E-2</v>
      </c>
      <c r="N4363">
        <v>0.1938</v>
      </c>
      <c r="O4363">
        <v>5.577E-2</v>
      </c>
      <c r="P4363" s="3">
        <f t="shared" si="274"/>
        <v>9879.6061317182666</v>
      </c>
      <c r="Q4363" s="3">
        <f t="shared" si="275"/>
        <v>3.8066566085035447E-3</v>
      </c>
      <c r="R4363" s="3">
        <f t="shared" si="276"/>
        <v>4.496E-2</v>
      </c>
      <c r="S4363">
        <f t="shared" si="277"/>
        <v>157</v>
      </c>
      <c r="T4363">
        <f>INDEX([1]IDEN_level_ids!$B:$B,MATCH(G4363,[1]IDEN_level_ids!$A:$A,0),1)</f>
        <v>1239</v>
      </c>
      <c r="U4363">
        <f>INDEX([1]IDEN_level_ids!$B:$B,MATCH(H4363,[1]IDEN_level_ids!$A:$A,0),1)</f>
        <v>1176</v>
      </c>
      <c r="V4363" s="6">
        <f t="shared" si="272"/>
        <v>-8.0760889267942702E-3</v>
      </c>
      <c r="X4363" s="7">
        <f t="shared" si="273"/>
        <v>0.26429594162139269</v>
      </c>
    </row>
    <row r="4364" spans="1:24" x14ac:dyDescent="0.25">
      <c r="A4364">
        <v>10095.6695</v>
      </c>
      <c r="B4364">
        <v>9905.2371000000003</v>
      </c>
      <c r="C4364">
        <v>29</v>
      </c>
      <c r="D4364" t="s">
        <v>832</v>
      </c>
      <c r="F4364">
        <v>1974</v>
      </c>
      <c r="G4364" s="1" t="s">
        <v>333</v>
      </c>
      <c r="H4364" s="1" t="s">
        <v>154</v>
      </c>
      <c r="I4364">
        <v>0</v>
      </c>
      <c r="J4364">
        <v>10095.6603</v>
      </c>
      <c r="K4364">
        <v>-9.0200000000000002E-3</v>
      </c>
      <c r="L4364">
        <v>4.5199999999999997E-2</v>
      </c>
      <c r="M4364">
        <v>4.6100000000000002E-2</v>
      </c>
      <c r="N4364">
        <v>0.71479999999999999</v>
      </c>
      <c r="O4364">
        <v>0.15848999999999999</v>
      </c>
      <c r="P4364" s="3">
        <f t="shared" si="274"/>
        <v>9905.237092002666</v>
      </c>
      <c r="Q4364" s="3">
        <f t="shared" si="275"/>
        <v>-9.026470635944861E-3</v>
      </c>
      <c r="R4364" s="3">
        <f t="shared" si="276"/>
        <v>4.5199999999999997E-2</v>
      </c>
      <c r="S4364">
        <f t="shared" si="277"/>
        <v>157</v>
      </c>
      <c r="T4364">
        <f>INDEX([1]IDEN_level_ids!$B:$B,MATCH(G4364,[1]IDEN_level_ids!$A:$A,0),1)</f>
        <v>848</v>
      </c>
      <c r="U4364">
        <f>INDEX([1]IDEN_level_ids!$B:$B,MATCH(H4364,[1]IDEN_level_ids!$A:$A,0),1)</f>
        <v>739</v>
      </c>
      <c r="V4364" s="6">
        <f t="shared" si="272"/>
        <v>-6.8454412317428331E-3</v>
      </c>
      <c r="X4364" s="7">
        <f t="shared" si="273"/>
        <v>-4.8252862924823628E-2</v>
      </c>
    </row>
    <row r="4365" spans="1:24" x14ac:dyDescent="0.25">
      <c r="A4365">
        <v>10063.3187</v>
      </c>
      <c r="B4365">
        <v>9937.0797000000002</v>
      </c>
      <c r="C4365">
        <v>29</v>
      </c>
      <c r="D4365" t="s">
        <v>832</v>
      </c>
      <c r="F4365">
        <v>1974</v>
      </c>
      <c r="G4365" s="1" t="s">
        <v>313</v>
      </c>
      <c r="H4365" s="1" t="s">
        <v>283</v>
      </c>
      <c r="I4365">
        <v>0</v>
      </c>
      <c r="J4365">
        <v>10063.263199999999</v>
      </c>
      <c r="K4365">
        <v>-5.4760000000000003E-2</v>
      </c>
      <c r="L4365">
        <v>4.5490000000000003E-2</v>
      </c>
      <c r="M4365">
        <v>4.6100000000000002E-2</v>
      </c>
      <c r="N4365">
        <v>0.21290000000000001</v>
      </c>
      <c r="O4365">
        <v>5.7790000000000001E-2</v>
      </c>
      <c r="P4365" s="3">
        <f t="shared" si="274"/>
        <v>9937.079703140078</v>
      </c>
      <c r="Q4365" s="3">
        <f t="shared" si="275"/>
        <v>-5.4804084180432255E-2</v>
      </c>
      <c r="R4365" s="3">
        <f t="shared" si="276"/>
        <v>4.5490000000000003E-2</v>
      </c>
      <c r="S4365">
        <f t="shared" si="277"/>
        <v>157</v>
      </c>
      <c r="T4365">
        <f>INDEX([1]IDEN_level_ids!$B:$B,MATCH(G4365,[1]IDEN_level_ids!$A:$A,0),1)</f>
        <v>1239</v>
      </c>
      <c r="U4365">
        <f>INDEX([1]IDEN_level_ids!$B:$B,MATCH(H4365,[1]IDEN_level_ids!$A:$A,0),1)</f>
        <v>1178</v>
      </c>
      <c r="V4365" s="6">
        <f t="shared" si="272"/>
        <v>-5.1664926654646538E-3</v>
      </c>
      <c r="X4365" s="8">
        <f t="shared" si="273"/>
        <v>-1.0911758961303055</v>
      </c>
    </row>
    <row r="4366" spans="1:24" x14ac:dyDescent="0.25">
      <c r="A4366">
        <v>10022.193300000001</v>
      </c>
      <c r="B4366">
        <v>9977.8557999999994</v>
      </c>
      <c r="C4366">
        <v>29</v>
      </c>
      <c r="D4366" t="s">
        <v>832</v>
      </c>
      <c r="F4366">
        <v>1974</v>
      </c>
      <c r="G4366" s="1" t="s">
        <v>712</v>
      </c>
      <c r="H4366" s="1" t="s">
        <v>182</v>
      </c>
      <c r="I4366">
        <v>0</v>
      </c>
      <c r="J4366">
        <v>10022.165800000001</v>
      </c>
      <c r="K4366">
        <v>-2.741E-2</v>
      </c>
      <c r="L4366">
        <v>4.5859999999999998E-2</v>
      </c>
      <c r="M4366">
        <v>4.6100000000000002E-2</v>
      </c>
      <c r="N4366">
        <v>0.24249999999999999</v>
      </c>
      <c r="O4366">
        <v>6.055E-2</v>
      </c>
      <c r="P4366" s="3">
        <f t="shared" si="274"/>
        <v>9977.8558451870995</v>
      </c>
      <c r="Q4366" s="3">
        <f t="shared" si="275"/>
        <v>-2.7378417124054977E-2</v>
      </c>
      <c r="R4366" s="3">
        <f t="shared" si="276"/>
        <v>4.5859999999999998E-2</v>
      </c>
      <c r="S4366">
        <f t="shared" si="277"/>
        <v>157</v>
      </c>
      <c r="T4366">
        <f>INDEX([1]IDEN_level_ids!$B:$B,MATCH(G4366,[1]IDEN_level_ids!$A:$A,0),1)</f>
        <v>1247</v>
      </c>
      <c r="U4366">
        <f>INDEX([1]IDEN_level_ids!$B:$B,MATCH(H4366,[1]IDEN_level_ids!$A:$A,0),1)</f>
        <v>1210</v>
      </c>
      <c r="V4366" s="6">
        <f t="shared" si="272"/>
        <v>-2.7737234134753014E-3</v>
      </c>
      <c r="X4366" s="7">
        <f t="shared" si="273"/>
        <v>-0.53651752530701435</v>
      </c>
    </row>
    <row r="4367" spans="1:24" x14ac:dyDescent="0.25">
      <c r="A4367">
        <v>10006.1086</v>
      </c>
      <c r="B4367">
        <v>9993.8950999999997</v>
      </c>
      <c r="C4367">
        <v>29</v>
      </c>
      <c r="D4367" t="s">
        <v>832</v>
      </c>
      <c r="E4367" t="s">
        <v>427</v>
      </c>
      <c r="F4367">
        <v>1974</v>
      </c>
      <c r="G4367" s="1" t="s">
        <v>310</v>
      </c>
      <c r="H4367" s="1" t="s">
        <v>245</v>
      </c>
      <c r="I4367">
        <v>0</v>
      </c>
      <c r="J4367">
        <v>10006.1011</v>
      </c>
      <c r="K4367">
        <v>-7.4900000000000001E-3</v>
      </c>
      <c r="L4367">
        <v>4.8669999999999998E-2</v>
      </c>
      <c r="M4367">
        <v>4.87E-2</v>
      </c>
      <c r="N4367">
        <v>0.1545</v>
      </c>
      <c r="O4367">
        <v>5.7570000000000003E-2</v>
      </c>
      <c r="P4367" s="3">
        <f t="shared" si="274"/>
        <v>9993.8951292213642</v>
      </c>
      <c r="Q4367" s="3">
        <f t="shared" si="275"/>
        <v>-7.4908511032845126E-3</v>
      </c>
      <c r="R4367" s="3">
        <f t="shared" si="276"/>
        <v>4.8669999999999998E-2</v>
      </c>
      <c r="S4367">
        <f t="shared" si="277"/>
        <v>157</v>
      </c>
      <c r="T4367">
        <f>INDEX([1]IDEN_level_ids!$B:$B,MATCH(G4367,[1]IDEN_level_ids!$A:$A,0),1)</f>
        <v>1230</v>
      </c>
      <c r="U4367">
        <f>INDEX([1]IDEN_level_ids!$B:$B,MATCH(H4367,[1]IDEN_level_ids!$A:$A,0),1)</f>
        <v>1169</v>
      </c>
      <c r="V4367" s="6">
        <f t="shared" si="272"/>
        <v>-1.7578108645496526E-3</v>
      </c>
      <c r="X4367" s="7">
        <f t="shared" si="273"/>
        <v>-0.11779412859533306</v>
      </c>
    </row>
    <row r="4368" spans="1:24" x14ac:dyDescent="0.25">
      <c r="A4368">
        <v>9966.2662999999993</v>
      </c>
      <c r="B4368">
        <v>10033.847900000001</v>
      </c>
      <c r="C4368">
        <v>29</v>
      </c>
      <c r="D4368" t="s">
        <v>832</v>
      </c>
      <c r="F4368">
        <v>1974</v>
      </c>
      <c r="G4368" s="1" t="s">
        <v>764</v>
      </c>
      <c r="H4368" s="1" t="s">
        <v>216</v>
      </c>
      <c r="I4368">
        <v>0</v>
      </c>
      <c r="J4368">
        <v>9966.2708000000002</v>
      </c>
      <c r="K4368">
        <v>4.5100000000000001E-3</v>
      </c>
      <c r="L4368">
        <v>4.6379999999999998E-2</v>
      </c>
      <c r="M4368">
        <v>4.6100000000000002E-2</v>
      </c>
      <c r="N4368">
        <v>0.1241</v>
      </c>
      <c r="O4368">
        <v>5.2949999999999997E-2</v>
      </c>
      <c r="P4368" s="3">
        <f t="shared" si="274"/>
        <v>10033.847881427773</v>
      </c>
      <c r="Q4368" s="3">
        <f t="shared" si="275"/>
        <v>4.530512604105752E-3</v>
      </c>
      <c r="R4368" s="3">
        <f t="shared" si="276"/>
        <v>4.6379999999999998E-2</v>
      </c>
      <c r="S4368">
        <f t="shared" si="277"/>
        <v>157</v>
      </c>
      <c r="T4368">
        <f>INDEX([1]IDEN_level_ids!$B:$B,MATCH(G4368,[1]IDEN_level_ids!$A:$A,0),1)</f>
        <v>1234</v>
      </c>
      <c r="U4368">
        <f>INDEX([1]IDEN_level_ids!$B:$B,MATCH(H4368,[1]IDEN_level_ids!$A:$A,0),1)</f>
        <v>1170</v>
      </c>
      <c r="V4368" s="6">
        <f t="shared" si="272"/>
        <v>9.5617607355640184E-4</v>
      </c>
      <c r="X4368" s="7">
        <f t="shared" si="273"/>
        <v>7.7066333129567705E-2</v>
      </c>
    </row>
    <row r="4369" spans="1:24" x14ac:dyDescent="0.25">
      <c r="A4369">
        <v>9839.4991000000009</v>
      </c>
      <c r="B4369">
        <v>10163.119000000001</v>
      </c>
      <c r="C4369">
        <v>29</v>
      </c>
      <c r="D4369" t="s">
        <v>832</v>
      </c>
      <c r="F4369">
        <v>1974</v>
      </c>
      <c r="G4369" s="1" t="s">
        <v>714</v>
      </c>
      <c r="H4369" s="1" t="s">
        <v>94</v>
      </c>
      <c r="I4369">
        <v>0</v>
      </c>
      <c r="J4369">
        <v>9839.5334000000003</v>
      </c>
      <c r="K4369">
        <v>3.542E-2</v>
      </c>
      <c r="L4369">
        <v>4.7579999999999997E-2</v>
      </c>
      <c r="M4369">
        <v>4.6100000000000002E-2</v>
      </c>
      <c r="N4369">
        <v>0.13400000000000001</v>
      </c>
      <c r="O4369">
        <v>5.4949999999999999E-2</v>
      </c>
      <c r="P4369" s="3">
        <f t="shared" si="274"/>
        <v>10163.118974216888</v>
      </c>
      <c r="Q4369" s="3">
        <f t="shared" si="275"/>
        <v>3.5427999137027655E-2</v>
      </c>
      <c r="R4369" s="3">
        <f t="shared" si="276"/>
        <v>4.7579999999999997E-2</v>
      </c>
      <c r="S4369">
        <f t="shared" si="277"/>
        <v>157</v>
      </c>
      <c r="T4369">
        <f>INDEX([1]IDEN_level_ids!$B:$B,MATCH(G4369,[1]IDEN_level_ids!$A:$A,0),1)</f>
        <v>1248</v>
      </c>
      <c r="U4369">
        <f>INDEX([1]IDEN_level_ids!$B:$B,MATCH(H4369,[1]IDEN_level_ids!$A:$A,0),1)</f>
        <v>1207</v>
      </c>
      <c r="V4369" s="6">
        <f t="shared" si="272"/>
        <v>1.1531183437054279E-2</v>
      </c>
      <c r="X4369" s="7">
        <f t="shared" si="273"/>
        <v>0.5022449705753127</v>
      </c>
    </row>
    <row r="4370" spans="1:24" x14ac:dyDescent="0.25">
      <c r="A4370">
        <v>9764.2592999999997</v>
      </c>
      <c r="B4370">
        <v>10241.432199999999</v>
      </c>
      <c r="C4370">
        <v>29</v>
      </c>
      <c r="D4370" t="s">
        <v>832</v>
      </c>
      <c r="F4370">
        <v>1974</v>
      </c>
      <c r="G4370" s="1" t="s">
        <v>706</v>
      </c>
      <c r="H4370" s="1" t="s">
        <v>166</v>
      </c>
      <c r="I4370">
        <v>0</v>
      </c>
      <c r="J4370">
        <v>9764.2957999999999</v>
      </c>
      <c r="K4370">
        <v>3.8269999999999998E-2</v>
      </c>
      <c r="L4370">
        <v>4.8320000000000002E-2</v>
      </c>
      <c r="M4370">
        <v>4.6100000000000002E-2</v>
      </c>
      <c r="N4370">
        <v>0.1096</v>
      </c>
      <c r="O4370">
        <v>5.4269999999999999E-2</v>
      </c>
      <c r="P4370" s="3">
        <f t="shared" si="274"/>
        <v>10241.432240538717</v>
      </c>
      <c r="Q4370" s="3">
        <f t="shared" si="275"/>
        <v>3.8283587924524909E-2</v>
      </c>
      <c r="R4370" s="3">
        <f t="shared" si="276"/>
        <v>4.8320000000000002E-2</v>
      </c>
      <c r="S4370">
        <f t="shared" si="277"/>
        <v>157</v>
      </c>
      <c r="T4370">
        <f>INDEX([1]IDEN_level_ids!$B:$B,MATCH(G4370,[1]IDEN_level_ids!$A:$A,0),1)</f>
        <v>1240</v>
      </c>
      <c r="U4370">
        <f>INDEX([1]IDEN_level_ids!$B:$B,MATCH(H4370,[1]IDEN_level_ids!$A:$A,0),1)</f>
        <v>1186</v>
      </c>
      <c r="V4370" s="6">
        <f t="shared" si="272"/>
        <v>1.9270501007413406E-2</v>
      </c>
      <c r="X4370" s="7">
        <f t="shared" si="273"/>
        <v>0.39348275904618174</v>
      </c>
    </row>
    <row r="4371" spans="1:24" x14ac:dyDescent="0.25">
      <c r="A4371">
        <v>9704.5843999999997</v>
      </c>
      <c r="B4371">
        <v>10304.408299999999</v>
      </c>
      <c r="C4371">
        <v>29</v>
      </c>
      <c r="D4371" t="s">
        <v>832</v>
      </c>
      <c r="F4371">
        <v>1974</v>
      </c>
      <c r="G4371" s="1" t="s">
        <v>734</v>
      </c>
      <c r="H4371" s="1" t="s">
        <v>216</v>
      </c>
      <c r="I4371">
        <v>0</v>
      </c>
      <c r="J4371">
        <v>9704.6283999999996</v>
      </c>
      <c r="K4371">
        <v>4.6699999999999998E-2</v>
      </c>
      <c r="L4371">
        <v>4.8910000000000002E-2</v>
      </c>
      <c r="M4371">
        <v>4.6100000000000002E-2</v>
      </c>
      <c r="N4371">
        <v>0.1085</v>
      </c>
      <c r="O4371">
        <v>5.4870000000000002E-2</v>
      </c>
      <c r="P4371" s="3">
        <f t="shared" si="274"/>
        <v>10304.40829593898</v>
      </c>
      <c r="Q4371" s="3">
        <f t="shared" si="275"/>
        <v>4.6719353522348683E-2</v>
      </c>
      <c r="R4371" s="3">
        <f t="shared" si="276"/>
        <v>4.8910000000000002E-2</v>
      </c>
      <c r="S4371">
        <f t="shared" si="277"/>
        <v>157</v>
      </c>
      <c r="T4371">
        <f>INDEX([1]IDEN_level_ids!$B:$B,MATCH(G4371,[1]IDEN_level_ids!$A:$A,0),1)</f>
        <v>1232</v>
      </c>
      <c r="U4371">
        <f>INDEX([1]IDEN_level_ids!$B:$B,MATCH(H4371,[1]IDEN_level_ids!$A:$A,0),1)</f>
        <v>1170</v>
      </c>
      <c r="V4371" s="6">
        <f t="shared" si="272"/>
        <v>2.6223667681394346E-2</v>
      </c>
      <c r="X4371" s="7">
        <f t="shared" si="273"/>
        <v>0.41904898468522461</v>
      </c>
    </row>
    <row r="4372" spans="1:24" x14ac:dyDescent="0.25">
      <c r="A4372">
        <v>9682.9599999999991</v>
      </c>
      <c r="B4372">
        <v>10327.4205</v>
      </c>
      <c r="C4372">
        <v>29</v>
      </c>
      <c r="D4372" t="s">
        <v>832</v>
      </c>
      <c r="F4372">
        <v>1974</v>
      </c>
      <c r="G4372" s="1" t="s">
        <v>64</v>
      </c>
      <c r="H4372" s="1" t="s">
        <v>238</v>
      </c>
      <c r="I4372">
        <v>0</v>
      </c>
      <c r="J4372">
        <v>9682.9807999999994</v>
      </c>
      <c r="K4372">
        <v>2.2110000000000001E-2</v>
      </c>
      <c r="L4372">
        <v>4.913E-2</v>
      </c>
      <c r="M4372">
        <v>4.6100000000000002E-2</v>
      </c>
      <c r="N4372">
        <v>0.155</v>
      </c>
      <c r="O4372">
        <v>5.815E-2</v>
      </c>
      <c r="P4372" s="3">
        <f t="shared" si="274"/>
        <v>10327.420540826361</v>
      </c>
      <c r="Q4372" s="3">
        <f t="shared" si="275"/>
        <v>2.2184320272572222E-2</v>
      </c>
      <c r="R4372" s="3">
        <f t="shared" si="276"/>
        <v>4.913E-2</v>
      </c>
      <c r="S4372">
        <f t="shared" si="277"/>
        <v>157</v>
      </c>
      <c r="T4372">
        <f>INDEX([1]IDEN_level_ids!$B:$B,MATCH(G4372,[1]IDEN_level_ids!$A:$A,0),1)</f>
        <v>1228</v>
      </c>
      <c r="U4372">
        <f>INDEX([1]IDEN_level_ids!$B:$B,MATCH(H4372,[1]IDEN_level_ids!$A:$A,0),1)</f>
        <v>1165</v>
      </c>
      <c r="V4372" s="6">
        <f t="shared" si="272"/>
        <v>2.8926686631128941E-2</v>
      </c>
      <c r="X4372" s="7">
        <f t="shared" si="273"/>
        <v>-0.13723521999911906</v>
      </c>
    </row>
    <row r="4373" spans="1:24" hidden="1" x14ac:dyDescent="0.25">
      <c r="A4373">
        <v>9328.777</v>
      </c>
      <c r="B4373">
        <v>10719.5188</v>
      </c>
      <c r="C4373">
        <v>30</v>
      </c>
      <c r="F4373">
        <v>1974</v>
      </c>
      <c r="G4373" s="1" t="s">
        <v>734</v>
      </c>
      <c r="H4373" s="1" t="s">
        <v>73</v>
      </c>
      <c r="I4373">
        <v>0</v>
      </c>
      <c r="J4373">
        <v>9328.7680999999993</v>
      </c>
      <c r="K4373">
        <v>-1.023E-2</v>
      </c>
      <c r="L4373">
        <v>5.2929999999999998E-2</v>
      </c>
      <c r="M4373">
        <v>4.6100000000000002E-2</v>
      </c>
      <c r="N4373">
        <v>0.1087</v>
      </c>
      <c r="O4373">
        <v>5.9389999999999998E-2</v>
      </c>
      <c r="P4373" s="3"/>
      <c r="Q4373" s="3"/>
      <c r="R4373" s="3"/>
      <c r="V4373" s="6"/>
      <c r="X4373" s="7"/>
    </row>
    <row r="4374" spans="1:24" hidden="1" x14ac:dyDescent="0.25">
      <c r="A4374">
        <v>9328.777</v>
      </c>
      <c r="B4374">
        <v>10719.5188</v>
      </c>
      <c r="C4374">
        <v>30</v>
      </c>
      <c r="F4374">
        <v>1974</v>
      </c>
      <c r="G4374" s="1" t="s">
        <v>734</v>
      </c>
      <c r="H4374" s="1" t="s">
        <v>73</v>
      </c>
      <c r="I4374">
        <v>0</v>
      </c>
      <c r="J4374">
        <v>9328.7674999999999</v>
      </c>
      <c r="K4374">
        <v>-1.0880000000000001E-2</v>
      </c>
      <c r="L4374">
        <v>5.2740000000000002E-2</v>
      </c>
      <c r="M4374">
        <v>4.5900000000000003E-2</v>
      </c>
      <c r="N4374">
        <v>0.1084</v>
      </c>
      <c r="O4374">
        <v>5.9150000000000001E-2</v>
      </c>
      <c r="P4374" s="3">
        <f t="shared" si="274"/>
        <v>10719.518753637267</v>
      </c>
      <c r="Q4374" s="3">
        <f t="shared" si="275"/>
        <v>-1.0916278935837909E-2</v>
      </c>
      <c r="R4374" s="3">
        <f t="shared" ref="R4355:R4374" si="278">$L4374</f>
        <v>5.2740000000000002E-2</v>
      </c>
      <c r="S4374">
        <f t="shared" si="277"/>
        <v>0</v>
      </c>
      <c r="T4374">
        <f>INDEX([1]IDEN_level_ids!$B:$B,MATCH(G4374,[1]IDEN_level_ids!$A:$A,0),1)</f>
        <v>1232</v>
      </c>
      <c r="U4374">
        <f>INDEX([1]IDEN_level_ids!$B:$B,MATCH(H4374,[1]IDEN_level_ids!$A:$A,0),1)</f>
        <v>1173</v>
      </c>
    </row>
  </sheetData>
  <autoFilter ref="A1:O4374" xr:uid="{6172D216-FA37-45A6-A7F2-CE363EFCBFA4}">
    <filterColumn colId="2">
      <filters>
        <filter val="29"/>
      </filters>
    </filterColumn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2E121-5AEE-427A-AC32-D6E0EBD4A9A7}">
  <sheetPr filterMode="1"/>
  <dimension ref="A1:N31"/>
  <sheetViews>
    <sheetView workbookViewId="0">
      <pane ySplit="1" topLeftCell="A11" activePane="bottomLeft" state="frozen"/>
      <selection pane="bottomLeft" activeCell="E30" sqref="E30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6.140625" bestFit="1" customWidth="1"/>
    <col min="4" max="5" width="9.28515625" bestFit="1" customWidth="1"/>
    <col min="6" max="6" width="11" bestFit="1" customWidth="1"/>
    <col min="7" max="7" width="10.140625" bestFit="1" customWidth="1"/>
    <col min="8" max="8" width="8.7109375" bestFit="1" customWidth="1"/>
    <col min="9" max="9" width="8.7109375" customWidth="1"/>
    <col min="10" max="10" width="7.42578125" bestFit="1" customWidth="1"/>
    <col min="11" max="11" width="12.7109375" bestFit="1" customWidth="1"/>
    <col min="12" max="12" width="11.28515625" bestFit="1" customWidth="1"/>
  </cols>
  <sheetData>
    <row r="1" spans="1:14" x14ac:dyDescent="0.25">
      <c r="A1" t="s">
        <v>842</v>
      </c>
      <c r="B1" t="s">
        <v>843</v>
      </c>
      <c r="C1" t="s">
        <v>5</v>
      </c>
      <c r="D1" t="s">
        <v>844</v>
      </c>
      <c r="E1" t="s">
        <v>845</v>
      </c>
      <c r="F1" t="s">
        <v>852</v>
      </c>
      <c r="G1" t="s">
        <v>846</v>
      </c>
      <c r="H1" t="s">
        <v>847</v>
      </c>
      <c r="I1" t="s">
        <v>853</v>
      </c>
      <c r="J1" t="s">
        <v>848</v>
      </c>
      <c r="K1" t="s">
        <v>849</v>
      </c>
      <c r="L1" t="s">
        <v>850</v>
      </c>
      <c r="M1" t="s">
        <v>853</v>
      </c>
    </row>
    <row r="2" spans="1:14" hidden="1" x14ac:dyDescent="0.25">
      <c r="A2">
        <v>1</v>
      </c>
      <c r="B2">
        <v>5</v>
      </c>
      <c r="C2">
        <v>1969</v>
      </c>
      <c r="D2">
        <v>822.7</v>
      </c>
      <c r="E2">
        <v>827.3</v>
      </c>
      <c r="F2" s="9">
        <f>AVERAGE(D2:E2)</f>
        <v>825</v>
      </c>
      <c r="G2">
        <v>1.6999999999999999E-3</v>
      </c>
      <c r="H2">
        <v>1.2999999999999999E-3</v>
      </c>
      <c r="I2" s="2">
        <f>H2/SQRT($B2)</f>
        <v>5.8137767414994529E-4</v>
      </c>
      <c r="J2">
        <v>0.76</v>
      </c>
      <c r="K2">
        <v>0.245</v>
      </c>
      <c r="L2">
        <v>0.18759999999999999</v>
      </c>
      <c r="M2" s="2">
        <f t="shared" ref="M2:M31" si="0">L2/SQRT($B2)</f>
        <v>8.3897270515792099E-2</v>
      </c>
    </row>
    <row r="3" spans="1:14" hidden="1" x14ac:dyDescent="0.25">
      <c r="A3">
        <v>2</v>
      </c>
      <c r="B3">
        <v>72</v>
      </c>
      <c r="C3">
        <v>1969</v>
      </c>
      <c r="D3">
        <v>828.2</v>
      </c>
      <c r="E3">
        <v>886.2</v>
      </c>
      <c r="F3" s="9">
        <f t="shared" ref="F3:F31" si="1">AVERAGE(D3:E3)</f>
        <v>857.2</v>
      </c>
      <c r="G3">
        <v>1.8E-3</v>
      </c>
      <c r="H3">
        <v>3.0999999999999999E-3</v>
      </c>
      <c r="I3" s="2">
        <f t="shared" ref="I3:I5" si="2">H3/SQRT($B3)</f>
        <v>3.6533850361304958E-4</v>
      </c>
      <c r="J3">
        <v>1.68</v>
      </c>
      <c r="K3">
        <v>0.25469999999999998</v>
      </c>
      <c r="L3">
        <v>0.42770000000000002</v>
      </c>
      <c r="M3" s="2">
        <f t="shared" si="0"/>
        <v>5.0404928385581069E-2</v>
      </c>
    </row>
    <row r="4" spans="1:14" hidden="1" x14ac:dyDescent="0.25">
      <c r="A4">
        <v>3</v>
      </c>
      <c r="B4">
        <v>16</v>
      </c>
      <c r="C4">
        <v>1969</v>
      </c>
      <c r="D4">
        <v>889.3</v>
      </c>
      <c r="E4">
        <v>965.3</v>
      </c>
      <c r="F4" s="9">
        <f t="shared" si="1"/>
        <v>927.3</v>
      </c>
      <c r="G4">
        <v>2.0999999999999999E-3</v>
      </c>
      <c r="H4">
        <v>2.5999999999999999E-3</v>
      </c>
      <c r="I4" s="2">
        <f t="shared" si="2"/>
        <v>6.4999999999999997E-4</v>
      </c>
      <c r="J4">
        <v>1.22</v>
      </c>
      <c r="K4">
        <v>0.245</v>
      </c>
      <c r="L4">
        <v>0.31319999999999998</v>
      </c>
      <c r="M4" s="2">
        <f t="shared" si="0"/>
        <v>7.8299999999999995E-2</v>
      </c>
    </row>
    <row r="5" spans="1:14" hidden="1" x14ac:dyDescent="0.25">
      <c r="A5">
        <v>4</v>
      </c>
      <c r="B5">
        <v>710</v>
      </c>
      <c r="C5">
        <v>1969</v>
      </c>
      <c r="D5">
        <v>966.5</v>
      </c>
      <c r="E5">
        <v>1163.8</v>
      </c>
      <c r="F5" s="9">
        <f t="shared" si="1"/>
        <v>1065.1500000000001</v>
      </c>
      <c r="G5">
        <v>2.8999999999999998E-3</v>
      </c>
      <c r="H5">
        <v>2.7000000000000001E-3</v>
      </c>
      <c r="I5" s="2">
        <f t="shared" si="2"/>
        <v>1.0132919438050821E-4</v>
      </c>
      <c r="J5">
        <v>0.93</v>
      </c>
      <c r="K5">
        <v>0.25059999999999999</v>
      </c>
      <c r="L5">
        <v>0.23499999999999999</v>
      </c>
      <c r="M5" s="2">
        <f t="shared" si="0"/>
        <v>8.8193928442294178E-3</v>
      </c>
    </row>
    <row r="6" spans="1:14" hidden="1" x14ac:dyDescent="0.25">
      <c r="A6">
        <v>5</v>
      </c>
      <c r="B6">
        <v>3</v>
      </c>
      <c r="C6">
        <v>1969</v>
      </c>
      <c r="D6">
        <v>1164.7</v>
      </c>
      <c r="E6">
        <v>1166.8</v>
      </c>
      <c r="F6" s="9">
        <f t="shared" si="1"/>
        <v>1165.75</v>
      </c>
      <c r="G6">
        <v>3.3E-3</v>
      </c>
      <c r="H6">
        <v>6.7999999999999996E-3</v>
      </c>
      <c r="I6" s="2">
        <f>H6/SQRT($B6)</f>
        <v>3.9259818304894552E-3</v>
      </c>
      <c r="J6" s="4">
        <v>2.04</v>
      </c>
      <c r="K6">
        <v>0.245</v>
      </c>
      <c r="L6">
        <v>0.50080000000000002</v>
      </c>
      <c r="M6" s="2">
        <f t="shared" si="0"/>
        <v>0.28913701481016463</v>
      </c>
    </row>
    <row r="7" spans="1:14" hidden="1" x14ac:dyDescent="0.25">
      <c r="A7">
        <v>6</v>
      </c>
      <c r="B7">
        <v>450</v>
      </c>
      <c r="C7">
        <v>1969</v>
      </c>
      <c r="D7">
        <v>1175.4000000000001</v>
      </c>
      <c r="E7">
        <v>1522.5</v>
      </c>
      <c r="F7" s="9">
        <f t="shared" si="1"/>
        <v>1348.95</v>
      </c>
      <c r="G7">
        <v>5.1000000000000004E-3</v>
      </c>
      <c r="H7">
        <v>4.1999999999999997E-3</v>
      </c>
      <c r="I7" s="2">
        <f t="shared" ref="I7:I23" si="3">H7/SQRT($B7)</f>
        <v>1.9798989873223328E-4</v>
      </c>
      <c r="J7">
        <v>0.82</v>
      </c>
      <c r="K7">
        <v>0.26590000000000003</v>
      </c>
      <c r="L7">
        <v>0.21970000000000001</v>
      </c>
      <c r="M7" s="2">
        <f t="shared" si="0"/>
        <v>1.0356757321778966E-2</v>
      </c>
    </row>
    <row r="8" spans="1:14" hidden="1" x14ac:dyDescent="0.25">
      <c r="A8">
        <v>7</v>
      </c>
      <c r="B8">
        <v>15</v>
      </c>
      <c r="C8">
        <v>1969</v>
      </c>
      <c r="D8">
        <v>1529.9</v>
      </c>
      <c r="E8">
        <v>1661</v>
      </c>
      <c r="F8" s="9">
        <f t="shared" si="1"/>
        <v>1595.45</v>
      </c>
      <c r="G8">
        <v>7.1999999999999998E-3</v>
      </c>
      <c r="H8">
        <v>7.0000000000000001E-3</v>
      </c>
      <c r="I8" s="2">
        <f t="shared" si="3"/>
        <v>1.8073922282301278E-3</v>
      </c>
      <c r="J8">
        <v>0.98</v>
      </c>
      <c r="K8">
        <v>0.27660000000000001</v>
      </c>
      <c r="L8">
        <v>0.26829999999999998</v>
      </c>
      <c r="M8" s="2">
        <f t="shared" si="0"/>
        <v>6.9274762119163322E-2</v>
      </c>
    </row>
    <row r="9" spans="1:14" hidden="1" x14ac:dyDescent="0.25">
      <c r="A9">
        <v>8</v>
      </c>
      <c r="B9">
        <v>57</v>
      </c>
      <c r="C9">
        <v>1969</v>
      </c>
      <c r="D9">
        <v>1665.1</v>
      </c>
      <c r="E9">
        <v>1749.2</v>
      </c>
      <c r="F9" s="9">
        <f t="shared" si="1"/>
        <v>1707.15</v>
      </c>
      <c r="G9">
        <v>8.0000000000000002E-3</v>
      </c>
      <c r="H9">
        <v>5.4999999999999997E-3</v>
      </c>
      <c r="I9" s="2">
        <f t="shared" si="3"/>
        <v>7.2849279638577402E-4</v>
      </c>
      <c r="J9">
        <v>0.68</v>
      </c>
      <c r="K9">
        <v>0.27279999999999999</v>
      </c>
      <c r="L9">
        <v>0.18709999999999999</v>
      </c>
      <c r="M9" s="2">
        <f t="shared" si="0"/>
        <v>2.4782000400686968E-2</v>
      </c>
    </row>
    <row r="10" spans="1:14" hidden="1" x14ac:dyDescent="0.25">
      <c r="A10">
        <v>9</v>
      </c>
      <c r="B10">
        <v>598</v>
      </c>
      <c r="C10">
        <v>1969</v>
      </c>
      <c r="D10">
        <v>1750.5</v>
      </c>
      <c r="E10">
        <v>2102.9</v>
      </c>
      <c r="F10" s="9">
        <f t="shared" si="1"/>
        <v>1926.7</v>
      </c>
      <c r="G10">
        <v>9.7999999999999997E-3</v>
      </c>
      <c r="H10">
        <v>4.7999999999999996E-3</v>
      </c>
      <c r="I10" s="2">
        <f t="shared" si="3"/>
        <v>1.9628659682628736E-4</v>
      </c>
      <c r="J10">
        <v>0.49</v>
      </c>
      <c r="K10">
        <v>0.2601</v>
      </c>
      <c r="L10">
        <v>0.13619999999999999</v>
      </c>
      <c r="M10" s="2">
        <f t="shared" si="0"/>
        <v>5.5696321849459038E-3</v>
      </c>
    </row>
    <row r="11" spans="1:14" x14ac:dyDescent="0.25">
      <c r="A11">
        <v>10</v>
      </c>
      <c r="B11">
        <v>62</v>
      </c>
      <c r="C11" t="s">
        <v>851</v>
      </c>
      <c r="D11">
        <v>2103.5</v>
      </c>
      <c r="E11">
        <v>2190.6</v>
      </c>
      <c r="F11" s="9">
        <f t="shared" si="1"/>
        <v>2147.0500000000002</v>
      </c>
      <c r="G11">
        <v>2.3E-3</v>
      </c>
      <c r="H11">
        <v>2.7000000000000001E-3</v>
      </c>
      <c r="I11" s="2">
        <f t="shared" si="3"/>
        <v>3.4290034290051434E-4</v>
      </c>
      <c r="J11">
        <v>1.18</v>
      </c>
      <c r="K11">
        <v>4.9000000000000002E-2</v>
      </c>
      <c r="L11">
        <v>5.8200000000000002E-2</v>
      </c>
      <c r="M11" s="2">
        <f t="shared" si="0"/>
        <v>7.3914073914110876E-3</v>
      </c>
    </row>
    <row r="12" spans="1:14" x14ac:dyDescent="0.25">
      <c r="A12">
        <v>11</v>
      </c>
      <c r="B12">
        <v>61</v>
      </c>
      <c r="C12">
        <v>1974</v>
      </c>
      <c r="D12">
        <v>2191</v>
      </c>
      <c r="E12">
        <v>2224.3000000000002</v>
      </c>
      <c r="F12" s="9">
        <f t="shared" si="1"/>
        <v>2207.65</v>
      </c>
      <c r="G12">
        <v>2.3E-3</v>
      </c>
      <c r="H12">
        <v>2.0999999999999999E-3</v>
      </c>
      <c r="I12" s="2">
        <f t="shared" si="3"/>
        <v>2.6887744785908152E-4</v>
      </c>
      <c r="J12">
        <v>0.92</v>
      </c>
      <c r="K12">
        <v>4.65E-2</v>
      </c>
      <c r="L12">
        <v>4.2900000000000001E-2</v>
      </c>
      <c r="M12" s="2">
        <f t="shared" si="0"/>
        <v>5.4927821491212378E-3</v>
      </c>
    </row>
    <row r="13" spans="1:14" x14ac:dyDescent="0.25">
      <c r="A13">
        <v>12</v>
      </c>
      <c r="B13">
        <v>70</v>
      </c>
      <c r="C13">
        <v>1974</v>
      </c>
      <c r="D13">
        <v>2225.6</v>
      </c>
      <c r="E13">
        <v>2249.8000000000002</v>
      </c>
      <c r="F13" s="9">
        <f t="shared" si="1"/>
        <v>2237.6999999999998</v>
      </c>
      <c r="G13">
        <v>2.3E-3</v>
      </c>
      <c r="H13">
        <v>2.7000000000000001E-3</v>
      </c>
      <c r="I13" s="2">
        <f t="shared" si="3"/>
        <v>3.2271172452028632E-4</v>
      </c>
      <c r="J13">
        <v>1.1499999999999999</v>
      </c>
      <c r="K13">
        <v>4.6699999999999998E-2</v>
      </c>
      <c r="L13">
        <v>5.3400000000000003E-2</v>
      </c>
      <c r="M13" s="2">
        <f t="shared" si="0"/>
        <v>6.3825207738456621E-3</v>
      </c>
    </row>
    <row r="14" spans="1:14" x14ac:dyDescent="0.25">
      <c r="A14">
        <v>13</v>
      </c>
      <c r="B14">
        <v>79</v>
      </c>
      <c r="C14">
        <v>1974</v>
      </c>
      <c r="D14">
        <v>2250.4</v>
      </c>
      <c r="E14">
        <v>2282</v>
      </c>
      <c r="F14" s="9">
        <f t="shared" si="1"/>
        <v>2266.1999999999998</v>
      </c>
      <c r="G14">
        <v>2.3999999999999998E-3</v>
      </c>
      <c r="H14">
        <v>2.2000000000000001E-3</v>
      </c>
      <c r="I14" s="2">
        <f t="shared" si="3"/>
        <v>2.4751933820372525E-4</v>
      </c>
      <c r="J14">
        <v>0.93</v>
      </c>
      <c r="K14">
        <v>4.6300000000000001E-2</v>
      </c>
      <c r="L14">
        <v>4.2900000000000001E-2</v>
      </c>
      <c r="M14" s="2">
        <f t="shared" si="0"/>
        <v>4.8266270949726426E-3</v>
      </c>
      <c r="N14" s="6"/>
    </row>
    <row r="15" spans="1:14" x14ac:dyDescent="0.25">
      <c r="A15">
        <v>14</v>
      </c>
      <c r="B15">
        <v>162</v>
      </c>
      <c r="C15">
        <v>1974</v>
      </c>
      <c r="D15">
        <v>2284.8000000000002</v>
      </c>
      <c r="E15">
        <v>2342.4</v>
      </c>
      <c r="F15" s="9">
        <f t="shared" si="1"/>
        <v>2313.6000000000004</v>
      </c>
      <c r="G15">
        <v>2.5000000000000001E-3</v>
      </c>
      <c r="H15">
        <v>2.2000000000000001E-3</v>
      </c>
      <c r="I15" s="2">
        <f t="shared" si="3"/>
        <v>1.7284832429004495E-4</v>
      </c>
      <c r="J15">
        <v>0.89</v>
      </c>
      <c r="K15">
        <v>4.6300000000000001E-2</v>
      </c>
      <c r="L15">
        <v>4.1300000000000003E-2</v>
      </c>
      <c r="M15" s="2">
        <f t="shared" si="0"/>
        <v>3.2448344514449351E-3</v>
      </c>
    </row>
    <row r="16" spans="1:14" x14ac:dyDescent="0.25">
      <c r="A16">
        <v>15</v>
      </c>
      <c r="B16">
        <v>290</v>
      </c>
      <c r="C16">
        <v>1974</v>
      </c>
      <c r="D16">
        <v>2343.9</v>
      </c>
      <c r="E16">
        <v>2497.9</v>
      </c>
      <c r="F16" s="9">
        <f t="shared" si="1"/>
        <v>2420.9</v>
      </c>
      <c r="G16">
        <v>2.7000000000000001E-3</v>
      </c>
      <c r="H16">
        <v>2.5999999999999999E-3</v>
      </c>
      <c r="I16" s="2">
        <f t="shared" si="3"/>
        <v>1.5267725707382288E-4</v>
      </c>
      <c r="J16">
        <v>0.94</v>
      </c>
      <c r="K16">
        <v>4.6699999999999998E-2</v>
      </c>
      <c r="L16">
        <v>4.3200000000000002E-2</v>
      </c>
      <c r="M16" s="2">
        <f t="shared" si="0"/>
        <v>2.5367913483035189E-3</v>
      </c>
    </row>
    <row r="17" spans="1:14" x14ac:dyDescent="0.25">
      <c r="A17">
        <v>16</v>
      </c>
      <c r="B17">
        <v>92</v>
      </c>
      <c r="C17">
        <v>1974</v>
      </c>
      <c r="D17">
        <v>2498.8000000000002</v>
      </c>
      <c r="E17">
        <v>2543.1</v>
      </c>
      <c r="F17" s="9">
        <f t="shared" si="1"/>
        <v>2520.9499999999998</v>
      </c>
      <c r="G17">
        <v>3.0000000000000001E-3</v>
      </c>
      <c r="H17">
        <v>2.8E-3</v>
      </c>
      <c r="I17" s="2">
        <f t="shared" si="3"/>
        <v>2.9192017967990467E-4</v>
      </c>
      <c r="J17">
        <v>0.96</v>
      </c>
      <c r="K17">
        <v>4.6600000000000003E-2</v>
      </c>
      <c r="L17">
        <v>4.4999999999999998E-2</v>
      </c>
      <c r="M17" s="2">
        <f t="shared" si="0"/>
        <v>4.6915743162841824E-3</v>
      </c>
    </row>
    <row r="18" spans="1:14" x14ac:dyDescent="0.25">
      <c r="A18">
        <v>17</v>
      </c>
      <c r="B18">
        <v>162</v>
      </c>
      <c r="C18">
        <v>1974</v>
      </c>
      <c r="D18">
        <v>2543.5</v>
      </c>
      <c r="E18">
        <v>2631.5</v>
      </c>
      <c r="F18" s="9">
        <f t="shared" si="1"/>
        <v>2587.5</v>
      </c>
      <c r="G18">
        <v>3.2000000000000002E-3</v>
      </c>
      <c r="H18">
        <v>3.3999999999999998E-3</v>
      </c>
      <c r="I18" s="2">
        <f t="shared" si="3"/>
        <v>2.6712922844825127E-4</v>
      </c>
      <c r="J18">
        <v>1.05</v>
      </c>
      <c r="K18">
        <v>4.7699999999999999E-2</v>
      </c>
      <c r="L18">
        <v>5.0200000000000002E-2</v>
      </c>
      <c r="M18" s="2">
        <f t="shared" si="0"/>
        <v>3.9440844906182982E-3</v>
      </c>
      <c r="N18" s="6" cm="1">
        <f t="array" ref="N18">SUM(L11:L18/M11:M18^2)/SUM(1/M11:M18^2)</f>
        <v>4.4981691581390044E-2</v>
      </c>
    </row>
    <row r="19" spans="1:14" x14ac:dyDescent="0.25">
      <c r="A19">
        <v>18</v>
      </c>
      <c r="B19">
        <v>176</v>
      </c>
      <c r="C19">
        <v>1974</v>
      </c>
      <c r="D19">
        <v>2632</v>
      </c>
      <c r="E19">
        <v>2780.1</v>
      </c>
      <c r="F19" s="9">
        <f t="shared" si="1"/>
        <v>2706.05</v>
      </c>
      <c r="G19">
        <v>4.3E-3</v>
      </c>
      <c r="H19">
        <v>5.0000000000000001E-3</v>
      </c>
      <c r="I19" s="2">
        <f t="shared" si="3"/>
        <v>3.7688918072220455E-4</v>
      </c>
      <c r="J19">
        <v>1.1499999999999999</v>
      </c>
      <c r="K19">
        <v>5.8599999999999999E-2</v>
      </c>
      <c r="L19">
        <v>6.6699999999999995E-2</v>
      </c>
      <c r="M19" s="2">
        <f t="shared" si="0"/>
        <v>5.0277016708342084E-3</v>
      </c>
    </row>
    <row r="20" spans="1:14" x14ac:dyDescent="0.25">
      <c r="A20">
        <v>19</v>
      </c>
      <c r="B20">
        <v>10</v>
      </c>
      <c r="C20">
        <v>1974</v>
      </c>
      <c r="D20">
        <v>2783.6</v>
      </c>
      <c r="E20">
        <v>2806.5</v>
      </c>
      <c r="F20" s="9">
        <f t="shared" si="1"/>
        <v>2795.05</v>
      </c>
      <c r="G20">
        <v>3.8999999999999998E-3</v>
      </c>
      <c r="H20">
        <v>3.2000000000000002E-3</v>
      </c>
      <c r="I20" s="2">
        <f t="shared" si="3"/>
        <v>1.0119288512538814E-3</v>
      </c>
      <c r="J20">
        <v>0.83</v>
      </c>
      <c r="K20">
        <v>5.0200000000000002E-2</v>
      </c>
      <c r="L20">
        <v>4.1500000000000002E-2</v>
      </c>
      <c r="M20" s="2">
        <f t="shared" si="0"/>
        <v>1.3123452289698774E-2</v>
      </c>
    </row>
    <row r="21" spans="1:14" x14ac:dyDescent="0.25">
      <c r="A21">
        <v>20</v>
      </c>
      <c r="B21">
        <v>294</v>
      </c>
      <c r="C21">
        <v>1974</v>
      </c>
      <c r="D21">
        <v>2808.8</v>
      </c>
      <c r="E21">
        <v>3209.6</v>
      </c>
      <c r="F21" s="9">
        <f t="shared" si="1"/>
        <v>3009.2</v>
      </c>
      <c r="G21">
        <v>6.1999999999999998E-3</v>
      </c>
      <c r="H21">
        <v>6.7999999999999996E-3</v>
      </c>
      <c r="I21" s="2">
        <f t="shared" si="3"/>
        <v>3.9658405359346686E-4</v>
      </c>
      <c r="J21">
        <v>1.1000000000000001</v>
      </c>
      <c r="K21">
        <v>6.9199999999999998E-2</v>
      </c>
      <c r="L21">
        <v>7.3800000000000004E-2</v>
      </c>
      <c r="M21" s="2">
        <f t="shared" si="0"/>
        <v>4.3041034051761557E-3</v>
      </c>
    </row>
    <row r="22" spans="1:14" x14ac:dyDescent="0.25">
      <c r="A22">
        <v>21</v>
      </c>
      <c r="B22">
        <v>8</v>
      </c>
      <c r="C22">
        <v>1974</v>
      </c>
      <c r="D22">
        <v>3219.9</v>
      </c>
      <c r="E22">
        <v>3249.3</v>
      </c>
      <c r="F22" s="9">
        <f t="shared" si="1"/>
        <v>3234.6000000000004</v>
      </c>
      <c r="G22">
        <v>6.4999999999999997E-3</v>
      </c>
      <c r="H22">
        <v>4.0000000000000001E-3</v>
      </c>
      <c r="I22" s="2">
        <f t="shared" si="3"/>
        <v>1.414213562373095E-3</v>
      </c>
      <c r="J22">
        <v>0.61</v>
      </c>
      <c r="K22">
        <v>6.2199999999999998E-2</v>
      </c>
      <c r="L22">
        <v>3.8100000000000002E-2</v>
      </c>
      <c r="M22" s="2">
        <f t="shared" si="0"/>
        <v>1.347038418160373E-2</v>
      </c>
      <c r="N22" s="6" cm="1">
        <f t="array" ref="N22">SUM(L19:L22/M19:M22^2)/SUM(1/M19:M22^2)</f>
        <v>6.745646222426542E-2</v>
      </c>
    </row>
    <row r="23" spans="1:14" x14ac:dyDescent="0.25">
      <c r="A23">
        <v>22</v>
      </c>
      <c r="B23">
        <v>539</v>
      </c>
      <c r="C23">
        <v>1974</v>
      </c>
      <c r="D23">
        <v>3256.9</v>
      </c>
      <c r="E23">
        <v>4930.5</v>
      </c>
      <c r="F23" s="9">
        <f t="shared" si="1"/>
        <v>4093.7</v>
      </c>
      <c r="G23">
        <v>8.9999999999999993E-3</v>
      </c>
      <c r="H23">
        <v>9.5999999999999992E-3</v>
      </c>
      <c r="I23" s="2">
        <f t="shared" si="3"/>
        <v>4.1350127256379004E-4</v>
      </c>
      <c r="J23" s="10">
        <v>1.07</v>
      </c>
      <c r="K23">
        <v>5.8000000000000003E-2</v>
      </c>
      <c r="L23">
        <v>6.5199999999999994E-2</v>
      </c>
      <c r="M23" s="2">
        <f t="shared" si="0"/>
        <v>2.8083628094957408E-3</v>
      </c>
    </row>
    <row r="24" spans="1:14" x14ac:dyDescent="0.25">
      <c r="A24">
        <v>23</v>
      </c>
      <c r="B24">
        <v>3</v>
      </c>
      <c r="C24">
        <v>1974</v>
      </c>
      <c r="D24">
        <v>4966</v>
      </c>
      <c r="E24">
        <v>5032.1000000000004</v>
      </c>
      <c r="F24" s="9">
        <f t="shared" si="1"/>
        <v>4999.05</v>
      </c>
      <c r="G24">
        <v>1.1900000000000001E-2</v>
      </c>
      <c r="H24">
        <v>3.5000000000000001E-3</v>
      </c>
      <c r="I24" s="2">
        <f t="shared" ref="I24:I31" si="4">H24/SQRT($B24)</f>
        <v>2.0207259421636905E-3</v>
      </c>
      <c r="J24">
        <v>0.3</v>
      </c>
      <c r="K24">
        <v>4.7600000000000003E-2</v>
      </c>
      <c r="L24">
        <v>1.4E-2</v>
      </c>
      <c r="M24" s="2">
        <f t="shared" si="0"/>
        <v>8.082903768654762E-3</v>
      </c>
    </row>
    <row r="25" spans="1:14" x14ac:dyDescent="0.25">
      <c r="A25">
        <v>24</v>
      </c>
      <c r="B25">
        <v>19</v>
      </c>
      <c r="C25">
        <v>1974</v>
      </c>
      <c r="D25">
        <v>5077.7</v>
      </c>
      <c r="E25">
        <v>5363.1</v>
      </c>
      <c r="F25" s="9">
        <f t="shared" si="1"/>
        <v>5220.3999999999996</v>
      </c>
      <c r="G25">
        <v>1.23E-2</v>
      </c>
      <c r="H25">
        <v>6.6E-3</v>
      </c>
      <c r="I25" s="2">
        <f t="shared" si="4"/>
        <v>1.5141438435457076E-3</v>
      </c>
      <c r="J25">
        <v>0.54</v>
      </c>
      <c r="K25">
        <v>4.4900000000000002E-2</v>
      </c>
      <c r="L25">
        <v>2.4299999999999999E-2</v>
      </c>
      <c r="M25" s="2">
        <f t="shared" si="0"/>
        <v>5.5748023330546501E-3</v>
      </c>
    </row>
    <row r="26" spans="1:14" x14ac:dyDescent="0.25">
      <c r="A26">
        <v>25</v>
      </c>
      <c r="B26">
        <v>203</v>
      </c>
      <c r="C26">
        <v>1974</v>
      </c>
      <c r="D26">
        <v>5404.2</v>
      </c>
      <c r="E26">
        <v>7384.9</v>
      </c>
      <c r="F26" s="9">
        <f t="shared" si="1"/>
        <v>6394.5499999999993</v>
      </c>
      <c r="G26">
        <v>1.9E-2</v>
      </c>
      <c r="H26">
        <v>9.5999999999999992E-3</v>
      </c>
      <c r="I26" s="2">
        <f t="shared" si="4"/>
        <v>6.7378791008985256E-4</v>
      </c>
      <c r="J26">
        <v>0.51</v>
      </c>
      <c r="K26">
        <v>4.7199999999999999E-2</v>
      </c>
      <c r="L26">
        <v>2.3400000000000001E-2</v>
      </c>
      <c r="M26" s="2">
        <f t="shared" si="0"/>
        <v>1.6423580308440157E-3</v>
      </c>
    </row>
    <row r="27" spans="1:14" x14ac:dyDescent="0.25">
      <c r="A27">
        <v>26</v>
      </c>
      <c r="B27">
        <v>102</v>
      </c>
      <c r="C27">
        <v>1974</v>
      </c>
      <c r="D27">
        <v>7399.9</v>
      </c>
      <c r="E27">
        <v>8178</v>
      </c>
      <c r="F27" s="9">
        <f t="shared" si="1"/>
        <v>7788.95</v>
      </c>
      <c r="G27">
        <v>2.41E-2</v>
      </c>
      <c r="H27">
        <v>1.5699999999999999E-2</v>
      </c>
      <c r="I27" s="2">
        <f t="shared" si="4"/>
        <v>1.5545316424733786E-3</v>
      </c>
      <c r="J27">
        <v>0.65</v>
      </c>
      <c r="K27">
        <v>0.04</v>
      </c>
      <c r="L27">
        <v>2.63E-2</v>
      </c>
      <c r="M27" s="2">
        <f t="shared" si="0"/>
        <v>2.6040880380286536E-3</v>
      </c>
    </row>
    <row r="28" spans="1:14" x14ac:dyDescent="0.25">
      <c r="A28">
        <v>27</v>
      </c>
      <c r="B28">
        <v>53</v>
      </c>
      <c r="C28">
        <v>1974</v>
      </c>
      <c r="D28">
        <v>8191</v>
      </c>
      <c r="E28">
        <v>8742</v>
      </c>
      <c r="F28" s="9">
        <f t="shared" si="1"/>
        <v>8466.5</v>
      </c>
      <c r="G28">
        <v>3.3500000000000002E-2</v>
      </c>
      <c r="H28">
        <v>2.3099999999999999E-2</v>
      </c>
      <c r="I28" s="2">
        <f t="shared" si="4"/>
        <v>3.1730290272147165E-3</v>
      </c>
      <c r="J28">
        <v>0.69</v>
      </c>
      <c r="K28">
        <v>4.65E-2</v>
      </c>
      <c r="L28">
        <v>3.2000000000000001E-2</v>
      </c>
      <c r="M28" s="2">
        <f t="shared" si="0"/>
        <v>4.3955380463580494E-3</v>
      </c>
    </row>
    <row r="29" spans="1:14" x14ac:dyDescent="0.25">
      <c r="A29">
        <v>28</v>
      </c>
      <c r="B29">
        <v>10</v>
      </c>
      <c r="C29">
        <v>1974</v>
      </c>
      <c r="D29">
        <v>8765.9</v>
      </c>
      <c r="E29">
        <v>9018.7000000000007</v>
      </c>
      <c r="F29" s="9">
        <f t="shared" si="1"/>
        <v>8892.2999999999993</v>
      </c>
      <c r="G29">
        <v>3.6400000000000002E-2</v>
      </c>
      <c r="H29">
        <v>2.9600000000000001E-2</v>
      </c>
      <c r="I29" s="2">
        <f t="shared" si="4"/>
        <v>9.3603418740984025E-3</v>
      </c>
      <c r="J29">
        <v>0.81</v>
      </c>
      <c r="K29">
        <v>4.6100000000000002E-2</v>
      </c>
      <c r="L29">
        <v>3.8199999999999998E-2</v>
      </c>
      <c r="M29" s="2">
        <f t="shared" si="0"/>
        <v>1.2079900661843208E-2</v>
      </c>
    </row>
    <row r="30" spans="1:14" x14ac:dyDescent="0.25">
      <c r="A30">
        <v>29</v>
      </c>
      <c r="B30">
        <v>50</v>
      </c>
      <c r="C30">
        <v>1974</v>
      </c>
      <c r="D30">
        <v>9038.1</v>
      </c>
      <c r="E30">
        <v>10327.4</v>
      </c>
      <c r="F30" s="9">
        <f t="shared" si="1"/>
        <v>9682.75</v>
      </c>
      <c r="G30">
        <v>4.2200000000000001E-2</v>
      </c>
      <c r="H30">
        <v>2.4899999999999999E-2</v>
      </c>
      <c r="I30" s="2">
        <f t="shared" si="4"/>
        <v>3.5213917703090063E-3</v>
      </c>
      <c r="J30">
        <v>0.59</v>
      </c>
      <c r="K30">
        <v>4.6300000000000001E-2</v>
      </c>
      <c r="L30">
        <v>2.5999999999999999E-2</v>
      </c>
      <c r="M30" s="2">
        <f t="shared" si="0"/>
        <v>3.6769552621700469E-3</v>
      </c>
      <c r="N30" s="6" cm="1">
        <f t="array" ref="N30">SUM(L23:L30/M23:M30^2)/SUM(1/M23:M30^2)</f>
        <v>3.1098316464155912E-2</v>
      </c>
    </row>
    <row r="31" spans="1:14" hidden="1" x14ac:dyDescent="0.25">
      <c r="A31">
        <v>30</v>
      </c>
      <c r="B31">
        <v>1</v>
      </c>
      <c r="C31">
        <v>1974</v>
      </c>
      <c r="D31">
        <v>10719.5</v>
      </c>
      <c r="E31">
        <v>10719.5</v>
      </c>
      <c r="F31" s="9">
        <f t="shared" si="1"/>
        <v>10719.5</v>
      </c>
      <c r="G31">
        <v>5.2900000000000003E-2</v>
      </c>
      <c r="H31">
        <v>1.0200000000000001E-2</v>
      </c>
      <c r="I31" s="2">
        <f t="shared" si="4"/>
        <v>1.0200000000000001E-2</v>
      </c>
      <c r="J31" s="4">
        <v>0.19</v>
      </c>
      <c r="K31">
        <v>4.6100000000000002E-2</v>
      </c>
      <c r="L31">
        <v>8.8999999999999999E-3</v>
      </c>
      <c r="M31" s="2">
        <f t="shared" si="0"/>
        <v>8.8999999999999999E-3</v>
      </c>
    </row>
  </sheetData>
  <autoFilter ref="A1:L31" xr:uid="{9002E121-5AEE-427A-AC32-D6E0EBD4A9A7}">
    <filterColumn colId="2">
      <filters>
        <filter val="1974"/>
        <filter val="both"/>
      </filters>
    </filterColumn>
    <filterColumn colId="9">
      <colorFilter dxfId="0"/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FEF2F-6095-4D38-823A-E9267AF6A7C6}">
  <dimension ref="A1:G12"/>
  <sheetViews>
    <sheetView workbookViewId="0">
      <selection activeCell="F12" sqref="F12"/>
    </sheetView>
  </sheetViews>
  <sheetFormatPr defaultRowHeight="15" x14ac:dyDescent="0.25"/>
  <sheetData>
    <row r="1" spans="1:7" x14ac:dyDescent="0.25">
      <c r="A1" t="s">
        <v>4</v>
      </c>
      <c r="B1" t="s">
        <v>5</v>
      </c>
      <c r="C1" t="s">
        <v>843</v>
      </c>
      <c r="D1" t="s">
        <v>854</v>
      </c>
      <c r="E1" t="s">
        <v>855</v>
      </c>
      <c r="F1" t="s">
        <v>856</v>
      </c>
      <c r="G1" t="s">
        <v>857</v>
      </c>
    </row>
    <row r="2" spans="1:7" x14ac:dyDescent="0.25">
      <c r="A2" t="s">
        <v>858</v>
      </c>
      <c r="B2">
        <v>1969</v>
      </c>
      <c r="C2">
        <v>1759</v>
      </c>
      <c r="D2">
        <v>2.5999999999999999E-3</v>
      </c>
      <c r="E2">
        <v>9.1800000000000007E-2</v>
      </c>
      <c r="F2">
        <v>0.96899999999999997</v>
      </c>
      <c r="G2">
        <v>0.60299999999999998</v>
      </c>
    </row>
    <row r="3" spans="1:7" x14ac:dyDescent="0.25">
      <c r="A3" t="s">
        <v>858</v>
      </c>
      <c r="B3">
        <v>1974</v>
      </c>
      <c r="C3">
        <v>1617</v>
      </c>
      <c r="D3">
        <v>1.6999999999999999E-3</v>
      </c>
      <c r="E3">
        <v>2.9100000000000001E-2</v>
      </c>
      <c r="F3">
        <v>0.96299999999999997</v>
      </c>
      <c r="G3">
        <v>0.64800000000000002</v>
      </c>
    </row>
    <row r="4" spans="1:7" x14ac:dyDescent="0.25">
      <c r="A4" t="s">
        <v>427</v>
      </c>
      <c r="B4">
        <v>1974</v>
      </c>
      <c r="C4">
        <v>423</v>
      </c>
      <c r="D4">
        <v>2.8E-3</v>
      </c>
      <c r="E4">
        <v>2.8199999999999999E-2</v>
      </c>
      <c r="F4">
        <v>0.91400000000000003</v>
      </c>
      <c r="G4">
        <v>0.84199999999999997</v>
      </c>
    </row>
    <row r="5" spans="1:7" x14ac:dyDescent="0.25">
      <c r="A5" t="s">
        <v>681</v>
      </c>
      <c r="B5">
        <v>1974</v>
      </c>
      <c r="C5">
        <v>131</v>
      </c>
      <c r="D5">
        <v>0</v>
      </c>
      <c r="E5">
        <v>7.9600000000000004E-2</v>
      </c>
      <c r="F5">
        <v>1.0009999999999999</v>
      </c>
      <c r="G5">
        <v>0.98399999999999999</v>
      </c>
    </row>
    <row r="6" spans="1:7" x14ac:dyDescent="0.25">
      <c r="A6" t="s">
        <v>678</v>
      </c>
      <c r="B6">
        <v>1974</v>
      </c>
      <c r="C6">
        <v>125</v>
      </c>
      <c r="D6">
        <v>0</v>
      </c>
      <c r="E6">
        <v>7.0499999999999993E-2</v>
      </c>
      <c r="F6">
        <v>0.995</v>
      </c>
      <c r="G6">
        <v>0.93300000000000005</v>
      </c>
    </row>
    <row r="7" spans="1:7" x14ac:dyDescent="0.25">
      <c r="A7" t="s">
        <v>52</v>
      </c>
      <c r="B7">
        <v>1969</v>
      </c>
      <c r="C7">
        <v>76</v>
      </c>
      <c r="D7">
        <v>3.3999999999999998E-3</v>
      </c>
      <c r="E7">
        <v>0.13869999999999999</v>
      </c>
      <c r="F7">
        <v>1.02</v>
      </c>
      <c r="G7">
        <v>1.075</v>
      </c>
    </row>
    <row r="8" spans="1:7" x14ac:dyDescent="0.25">
      <c r="A8" t="s">
        <v>638</v>
      </c>
      <c r="B8">
        <v>1974</v>
      </c>
      <c r="C8">
        <v>62</v>
      </c>
      <c r="D8">
        <v>0</v>
      </c>
      <c r="E8">
        <v>0.17730000000000001</v>
      </c>
      <c r="F8">
        <v>1.0289999999999999</v>
      </c>
      <c r="G8">
        <v>1.083</v>
      </c>
    </row>
    <row r="9" spans="1:7" x14ac:dyDescent="0.25">
      <c r="A9" t="s">
        <v>45</v>
      </c>
      <c r="B9">
        <v>1969</v>
      </c>
      <c r="C9">
        <v>49</v>
      </c>
      <c r="D9">
        <v>2.5999999999999999E-3</v>
      </c>
      <c r="E9">
        <v>0.4012</v>
      </c>
      <c r="F9">
        <v>1.006</v>
      </c>
      <c r="G9">
        <v>0.79100000000000004</v>
      </c>
    </row>
    <row r="10" spans="1:7" x14ac:dyDescent="0.25">
      <c r="A10" t="s">
        <v>661</v>
      </c>
      <c r="B10">
        <v>1974</v>
      </c>
      <c r="C10">
        <v>40</v>
      </c>
      <c r="D10">
        <v>5.7000000000000002E-3</v>
      </c>
      <c r="E10">
        <v>1.67E-2</v>
      </c>
      <c r="F10">
        <v>1.0029999999999999</v>
      </c>
      <c r="G10">
        <v>0.91400000000000003</v>
      </c>
    </row>
    <row r="11" spans="1:7" x14ac:dyDescent="0.25">
      <c r="A11" t="s">
        <v>818</v>
      </c>
      <c r="B11">
        <v>1974</v>
      </c>
      <c r="C11">
        <v>29</v>
      </c>
      <c r="D11">
        <v>0</v>
      </c>
      <c r="E11">
        <v>1.7000000000000001E-2</v>
      </c>
      <c r="F11">
        <v>1.093</v>
      </c>
      <c r="G11">
        <v>0.86099999999999999</v>
      </c>
    </row>
    <row r="12" spans="1:7" x14ac:dyDescent="0.25">
      <c r="A12" t="s">
        <v>66</v>
      </c>
      <c r="B12">
        <v>1969</v>
      </c>
      <c r="C12">
        <v>21</v>
      </c>
      <c r="D12">
        <v>8.0000000000000002E-3</v>
      </c>
      <c r="E12">
        <v>0.2838</v>
      </c>
      <c r="F12">
        <v>1</v>
      </c>
      <c r="G12">
        <v>0.66300000000000003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DC32B-F339-4EB7-AD96-9F5E56A575E2}">
  <sheetPr filterMode="1"/>
  <dimension ref="A1:G16"/>
  <sheetViews>
    <sheetView workbookViewId="0">
      <selection activeCell="J19" sqref="J19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11" bestFit="1" customWidth="1"/>
    <col min="4" max="4" width="10.140625" bestFit="1" customWidth="1"/>
    <col min="5" max="5" width="10.85546875" bestFit="1" customWidth="1"/>
    <col min="6" max="6" width="10.7109375" bestFit="1" customWidth="1"/>
    <col min="7" max="7" width="11.42578125" bestFit="1" customWidth="1"/>
  </cols>
  <sheetData>
    <row r="1" spans="1:7" x14ac:dyDescent="0.25">
      <c r="A1" t="s">
        <v>842</v>
      </c>
      <c r="B1" t="s">
        <v>843</v>
      </c>
      <c r="C1" t="s">
        <v>852</v>
      </c>
      <c r="D1" t="s">
        <v>846</v>
      </c>
      <c r="E1" t="s">
        <v>859</v>
      </c>
      <c r="F1" t="s">
        <v>857</v>
      </c>
      <c r="G1" t="s">
        <v>856</v>
      </c>
    </row>
    <row r="2" spans="1:7" hidden="1" x14ac:dyDescent="0.25">
      <c r="A2">
        <v>4</v>
      </c>
      <c r="B2">
        <v>710</v>
      </c>
      <c r="C2">
        <v>1069</v>
      </c>
      <c r="D2">
        <v>2.8999999999999998E-3</v>
      </c>
      <c r="E2">
        <v>2.8999999999999998E-3</v>
      </c>
      <c r="F2">
        <v>0.86899999999999999</v>
      </c>
      <c r="G2">
        <v>0.85199999999999998</v>
      </c>
    </row>
    <row r="3" spans="1:7" hidden="1" x14ac:dyDescent="0.25">
      <c r="A3">
        <v>6</v>
      </c>
      <c r="B3">
        <v>450</v>
      </c>
      <c r="C3">
        <v>1379</v>
      </c>
      <c r="D3">
        <v>5.1000000000000004E-3</v>
      </c>
      <c r="E3">
        <v>3.5000000000000001E-3</v>
      </c>
      <c r="F3">
        <v>0.58099999999999996</v>
      </c>
      <c r="G3">
        <v>1.248</v>
      </c>
    </row>
    <row r="4" spans="1:7" hidden="1" x14ac:dyDescent="0.25">
      <c r="A4">
        <v>8</v>
      </c>
      <c r="B4">
        <v>57</v>
      </c>
      <c r="C4">
        <v>1712</v>
      </c>
      <c r="D4">
        <v>8.0000000000000002E-3</v>
      </c>
      <c r="E4">
        <v>4.5999999999999999E-3</v>
      </c>
      <c r="F4">
        <v>0.40200000000000002</v>
      </c>
      <c r="G4">
        <v>1.373</v>
      </c>
    </row>
    <row r="5" spans="1:7" hidden="1" x14ac:dyDescent="0.25">
      <c r="A5">
        <v>9</v>
      </c>
      <c r="B5">
        <v>598</v>
      </c>
      <c r="C5">
        <v>1948</v>
      </c>
      <c r="D5">
        <v>9.7999999999999997E-3</v>
      </c>
      <c r="E5">
        <v>4.7999999999999996E-3</v>
      </c>
      <c r="F5">
        <v>0.215</v>
      </c>
      <c r="G5">
        <v>0.91400000000000003</v>
      </c>
    </row>
    <row r="6" spans="1:7" x14ac:dyDescent="0.25">
      <c r="A6">
        <v>11</v>
      </c>
      <c r="B6">
        <v>61</v>
      </c>
      <c r="C6">
        <v>2208</v>
      </c>
      <c r="D6">
        <v>2.3E-3</v>
      </c>
      <c r="E6">
        <v>2.5000000000000001E-3</v>
      </c>
      <c r="F6">
        <v>0.84</v>
      </c>
      <c r="G6">
        <v>0.75</v>
      </c>
    </row>
    <row r="7" spans="1:7" x14ac:dyDescent="0.25">
      <c r="A7">
        <v>14</v>
      </c>
      <c r="B7">
        <v>162</v>
      </c>
      <c r="C7">
        <v>2312</v>
      </c>
      <c r="D7">
        <v>2.5000000000000001E-3</v>
      </c>
      <c r="E7">
        <v>2.3999999999999998E-3</v>
      </c>
      <c r="F7">
        <v>0.79300000000000004</v>
      </c>
      <c r="G7">
        <v>0.82899999999999996</v>
      </c>
    </row>
    <row r="8" spans="1:7" x14ac:dyDescent="0.25">
      <c r="A8">
        <v>15</v>
      </c>
      <c r="B8">
        <v>290</v>
      </c>
      <c r="C8">
        <v>2423</v>
      </c>
      <c r="D8">
        <v>2.7000000000000001E-3</v>
      </c>
      <c r="E8">
        <v>2.5999999999999999E-3</v>
      </c>
      <c r="F8">
        <v>0.82399999999999995</v>
      </c>
      <c r="G8">
        <v>0.91300000000000003</v>
      </c>
    </row>
    <row r="9" spans="1:7" x14ac:dyDescent="0.25">
      <c r="A9">
        <v>17</v>
      </c>
      <c r="B9">
        <v>162</v>
      </c>
      <c r="C9">
        <v>2587</v>
      </c>
      <c r="D9">
        <v>3.2000000000000002E-3</v>
      </c>
      <c r="E9">
        <v>2.8999999999999998E-3</v>
      </c>
      <c r="F9">
        <v>0.995</v>
      </c>
      <c r="G9">
        <v>1.1839999999999999</v>
      </c>
    </row>
    <row r="10" spans="1:7" x14ac:dyDescent="0.25">
      <c r="A10">
        <v>18</v>
      </c>
      <c r="B10">
        <v>176</v>
      </c>
      <c r="C10">
        <v>2704</v>
      </c>
      <c r="D10">
        <v>4.3E-3</v>
      </c>
      <c r="E10">
        <v>3.8999999999999998E-3</v>
      </c>
      <c r="F10">
        <v>0.55800000000000005</v>
      </c>
      <c r="G10">
        <v>0.66800000000000004</v>
      </c>
    </row>
    <row r="11" spans="1:7" x14ac:dyDescent="0.25">
      <c r="A11">
        <v>20</v>
      </c>
      <c r="B11">
        <v>294</v>
      </c>
      <c r="C11">
        <v>2989</v>
      </c>
      <c r="D11">
        <v>6.1999999999999998E-3</v>
      </c>
      <c r="E11">
        <v>5.7999999999999996E-3</v>
      </c>
      <c r="F11">
        <v>0.76200000000000001</v>
      </c>
      <c r="G11">
        <v>0.91400000000000003</v>
      </c>
    </row>
    <row r="12" spans="1:7" x14ac:dyDescent="0.25">
      <c r="A12">
        <v>22</v>
      </c>
      <c r="B12">
        <v>539</v>
      </c>
      <c r="C12">
        <v>3983</v>
      </c>
      <c r="D12">
        <v>8.9999999999999993E-3</v>
      </c>
      <c r="E12">
        <v>7.0000000000000001E-3</v>
      </c>
      <c r="F12">
        <v>0.75800000000000001</v>
      </c>
      <c r="G12">
        <v>1.22</v>
      </c>
    </row>
    <row r="13" spans="1:7" x14ac:dyDescent="0.25">
      <c r="A13">
        <v>25</v>
      </c>
      <c r="B13">
        <v>203</v>
      </c>
      <c r="C13">
        <v>6316</v>
      </c>
      <c r="D13">
        <v>1.9E-2</v>
      </c>
      <c r="E13">
        <v>1.1900000000000001E-2</v>
      </c>
      <c r="F13">
        <v>0.247</v>
      </c>
      <c r="G13">
        <v>0.63500000000000001</v>
      </c>
    </row>
    <row r="14" spans="1:7" x14ac:dyDescent="0.25">
      <c r="A14">
        <v>26</v>
      </c>
      <c r="B14">
        <v>102</v>
      </c>
      <c r="C14">
        <v>7773</v>
      </c>
      <c r="D14">
        <v>2.41E-2</v>
      </c>
      <c r="E14">
        <v>1.61E-2</v>
      </c>
      <c r="F14">
        <v>0.33500000000000002</v>
      </c>
      <c r="G14">
        <v>0.65200000000000002</v>
      </c>
    </row>
    <row r="15" spans="1:7" x14ac:dyDescent="0.25">
      <c r="A15">
        <v>27</v>
      </c>
      <c r="B15">
        <v>53</v>
      </c>
      <c r="C15">
        <v>8492</v>
      </c>
      <c r="D15">
        <v>3.3500000000000002E-2</v>
      </c>
      <c r="E15">
        <v>2.1399999999999999E-2</v>
      </c>
      <c r="F15">
        <v>0.40500000000000003</v>
      </c>
      <c r="G15">
        <v>0.92400000000000004</v>
      </c>
    </row>
    <row r="16" spans="1:7" x14ac:dyDescent="0.25">
      <c r="A16">
        <v>29</v>
      </c>
      <c r="B16">
        <v>50</v>
      </c>
      <c r="C16">
        <v>9547</v>
      </c>
      <c r="D16">
        <v>4.2200000000000001E-2</v>
      </c>
      <c r="E16">
        <v>2.6499999999999999E-2</v>
      </c>
      <c r="F16">
        <v>0.316</v>
      </c>
      <c r="G16">
        <v>0.80200000000000005</v>
      </c>
    </row>
  </sheetData>
  <autoFilter ref="A1:G16" xr:uid="{5C8DC32B-F339-4EB7-AD96-9F5E56A575E2}">
    <filterColumn colId="2">
      <filters>
        <filter val="2208"/>
        <filter val="2312"/>
        <filter val="2423"/>
        <filter val="2587"/>
        <filter val="2704"/>
        <filter val="2989"/>
        <filter val="3983"/>
        <filter val="6316"/>
        <filter val="7773"/>
        <filter val="8492"/>
        <filter val="9547"/>
      </filters>
    </filterColumn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E301-7D08-4573-BE65-E3A50A2AD64C}">
  <dimension ref="A1:S57"/>
  <sheetViews>
    <sheetView topLeftCell="A37" workbookViewId="0">
      <selection activeCell="K52" sqref="K52"/>
    </sheetView>
  </sheetViews>
  <sheetFormatPr defaultRowHeight="15" x14ac:dyDescent="0.25"/>
  <cols>
    <col min="9" max="9" width="11" bestFit="1" customWidth="1"/>
    <col min="10" max="11" width="11" customWidth="1"/>
  </cols>
  <sheetData>
    <row r="1" spans="1:19" x14ac:dyDescent="0.25">
      <c r="A1" t="s">
        <v>860</v>
      </c>
    </row>
    <row r="2" spans="1:19" x14ac:dyDescent="0.25">
      <c r="A2" t="s">
        <v>844</v>
      </c>
      <c r="B2" t="s">
        <v>845</v>
      </c>
      <c r="C2" t="s">
        <v>852</v>
      </c>
      <c r="D2" t="s">
        <v>865</v>
      </c>
      <c r="E2" t="s">
        <v>843</v>
      </c>
      <c r="F2" t="s">
        <v>847</v>
      </c>
      <c r="G2" t="s">
        <v>867</v>
      </c>
      <c r="H2" t="s">
        <v>868</v>
      </c>
      <c r="I2" t="s">
        <v>864</v>
      </c>
      <c r="J2" t="s">
        <v>878</v>
      </c>
      <c r="K2" t="s">
        <v>877</v>
      </c>
      <c r="L2" t="s">
        <v>861</v>
      </c>
      <c r="M2" t="s">
        <v>874</v>
      </c>
      <c r="N2" t="s">
        <v>873</v>
      </c>
      <c r="O2" t="s">
        <v>875</v>
      </c>
      <c r="Q2" t="s">
        <v>850</v>
      </c>
      <c r="R2" t="s">
        <v>862</v>
      </c>
      <c r="S2" t="s">
        <v>863</v>
      </c>
    </row>
    <row r="3" spans="1:19" x14ac:dyDescent="0.25">
      <c r="A3">
        <v>2107.9</v>
      </c>
      <c r="B3">
        <v>2305.8000000000002</v>
      </c>
      <c r="C3" s="9">
        <f>AVERAGE(A3:B3)</f>
        <v>2206.8500000000004</v>
      </c>
      <c r="D3" s="9">
        <f>100000000/C3</f>
        <v>45313.455830708925</v>
      </c>
      <c r="E3">
        <v>269</v>
      </c>
      <c r="F3">
        <v>2.3E-3</v>
      </c>
      <c r="G3" s="9">
        <f>$C3</f>
        <v>2206.8500000000004</v>
      </c>
      <c r="H3" s="11">
        <f>F3/C3</f>
        <v>1.0422094841063052E-6</v>
      </c>
      <c r="I3" s="12">
        <f>F3^2</f>
        <v>5.2900000000000002E-6</v>
      </c>
      <c r="J3" s="12">
        <f>SQRT(I3-0.0019171^2)</f>
        <v>1.2707193199129382E-3</v>
      </c>
      <c r="K3" s="11">
        <f>0.0259220582671272*0.00000001*$C3^2</f>
        <v>1.2624526917684594E-3</v>
      </c>
      <c r="L3">
        <v>2.3E-3</v>
      </c>
      <c r="M3" s="2">
        <f>SQRT(0.0019^2+(0.027/D3^2*100000000)^2)</f>
        <v>2.3106481203594292E-3</v>
      </c>
      <c r="N3" s="2">
        <f>L3-M3</f>
        <v>-1.0648120359429275E-5</v>
      </c>
      <c r="O3" s="2">
        <f>$F3-$L3</f>
        <v>0</v>
      </c>
      <c r="Q3">
        <v>4.6399999999999997E-2</v>
      </c>
      <c r="R3">
        <v>4.5100000000000001E-2</v>
      </c>
      <c r="S3">
        <v>1.0469999999999999</v>
      </c>
    </row>
    <row r="4" spans="1:19" x14ac:dyDescent="0.25">
      <c r="A4">
        <v>2306</v>
      </c>
      <c r="B4">
        <v>2456.5</v>
      </c>
      <c r="C4" s="9">
        <f t="shared" ref="C4:C8" si="0">AVERAGE(A4:B4)</f>
        <v>2381.25</v>
      </c>
      <c r="D4" s="9">
        <f t="shared" ref="D4:D8" si="1">100000000/C4</f>
        <v>41994.750656167977</v>
      </c>
      <c r="E4">
        <v>269</v>
      </c>
      <c r="F4">
        <v>2.0999999999999999E-3</v>
      </c>
      <c r="G4" s="9">
        <f t="shared" ref="G4:G8" si="2">$C4</f>
        <v>2381.25</v>
      </c>
      <c r="H4" s="11">
        <f t="shared" ref="H4:H8" si="3">F4/C4</f>
        <v>8.818897637795275E-7</v>
      </c>
      <c r="I4" s="12">
        <f t="shared" ref="I4:I8" si="4">F4^2</f>
        <v>4.4099999999999993E-6</v>
      </c>
      <c r="J4" s="12">
        <f t="shared" ref="J4:J8" si="5">SQRT(I4-0.0019171^2)</f>
        <v>8.5716252251250426E-4</v>
      </c>
      <c r="K4" s="11">
        <f t="shared" ref="K4:K8" si="6">0.0259220582671272*0.00000001*$C4^2</f>
        <v>1.4698718359822077E-3</v>
      </c>
      <c r="L4">
        <v>2.3999999999999998E-3</v>
      </c>
      <c r="M4" s="2">
        <f t="shared" ref="M4:M8" si="7">SQRT(0.0019^2+(0.027/D4^2*100000000)^2)</f>
        <v>2.4400707880729688E-3</v>
      </c>
      <c r="N4" s="2">
        <f t="shared" ref="N4:N8" si="8">L4-M4</f>
        <v>-4.0070788072968985E-5</v>
      </c>
      <c r="O4" s="2">
        <f t="shared" ref="O4:O8" si="9">$F4-$L4</f>
        <v>-2.9999999999999992E-4</v>
      </c>
      <c r="Q4">
        <v>3.6499999999999998E-2</v>
      </c>
      <c r="R4">
        <v>4.2200000000000001E-2</v>
      </c>
      <c r="S4">
        <v>0.748</v>
      </c>
    </row>
    <row r="5" spans="1:19" x14ac:dyDescent="0.25">
      <c r="A5">
        <v>2456.6999999999998</v>
      </c>
      <c r="B5">
        <v>2650.8</v>
      </c>
      <c r="C5" s="9">
        <f t="shared" si="0"/>
        <v>2553.75</v>
      </c>
      <c r="D5" s="9">
        <f t="shared" si="1"/>
        <v>39158.100832109645</v>
      </c>
      <c r="E5">
        <v>269</v>
      </c>
      <c r="F5">
        <v>2.7000000000000001E-3</v>
      </c>
      <c r="G5" s="9">
        <f t="shared" si="2"/>
        <v>2553.75</v>
      </c>
      <c r="H5" s="11">
        <f t="shared" si="3"/>
        <v>1.0572687224669604E-6</v>
      </c>
      <c r="I5" s="12">
        <f t="shared" si="4"/>
        <v>7.2900000000000005E-6</v>
      </c>
      <c r="J5" s="12">
        <f t="shared" si="5"/>
        <v>1.9012436955845511E-3</v>
      </c>
      <c r="K5" s="11">
        <f t="shared" si="6"/>
        <v>1.6905430777529782E-3</v>
      </c>
      <c r="L5">
        <v>2.5999999999999999E-3</v>
      </c>
      <c r="M5" s="2">
        <f t="shared" si="7"/>
        <v>2.5904761096920458E-3</v>
      </c>
      <c r="N5" s="2">
        <f t="shared" si="8"/>
        <v>9.5238903079540929E-6</v>
      </c>
      <c r="O5" s="2">
        <f t="shared" si="9"/>
        <v>1.0000000000000026E-4</v>
      </c>
      <c r="Q5">
        <v>4.2599999999999999E-2</v>
      </c>
      <c r="R5">
        <v>3.95E-2</v>
      </c>
      <c r="S5">
        <v>1.159</v>
      </c>
    </row>
    <row r="6" spans="1:19" x14ac:dyDescent="0.25">
      <c r="A6">
        <v>2651</v>
      </c>
      <c r="B6">
        <v>3683.7</v>
      </c>
      <c r="C6" s="9">
        <f t="shared" si="0"/>
        <v>3167.35</v>
      </c>
      <c r="D6" s="9">
        <f t="shared" si="1"/>
        <v>31572.134434148422</v>
      </c>
      <c r="E6">
        <v>269</v>
      </c>
      <c r="F6">
        <v>3.0000000000000001E-3</v>
      </c>
      <c r="G6" s="9">
        <f t="shared" si="2"/>
        <v>3167.35</v>
      </c>
      <c r="H6" s="11">
        <f t="shared" si="3"/>
        <v>9.4716403302445266E-7</v>
      </c>
      <c r="I6" s="12">
        <f t="shared" si="4"/>
        <v>9.0000000000000002E-6</v>
      </c>
      <c r="J6" s="12">
        <f t="shared" si="5"/>
        <v>2.307537126461891E-3</v>
      </c>
      <c r="K6" s="11">
        <f t="shared" si="6"/>
        <v>2.6005283685724269E-3</v>
      </c>
      <c r="L6">
        <v>3.2000000000000002E-3</v>
      </c>
      <c r="M6" s="2">
        <f t="shared" si="7"/>
        <v>3.3086078229193358E-3</v>
      </c>
      <c r="N6" s="2">
        <f t="shared" si="8"/>
        <v>-1.0860782291933569E-4</v>
      </c>
      <c r="O6" s="2">
        <f t="shared" si="9"/>
        <v>-2.0000000000000009E-4</v>
      </c>
      <c r="Q6">
        <v>3.2800000000000003E-2</v>
      </c>
      <c r="R6">
        <v>3.5400000000000001E-2</v>
      </c>
      <c r="S6">
        <v>0.86799999999999999</v>
      </c>
    </row>
    <row r="7" spans="1:19" x14ac:dyDescent="0.25">
      <c r="A7">
        <v>3684.8</v>
      </c>
      <c r="B7">
        <v>5561.1</v>
      </c>
      <c r="C7" s="9">
        <f t="shared" si="0"/>
        <v>4622.9500000000007</v>
      </c>
      <c r="D7" s="9">
        <f t="shared" si="1"/>
        <v>21631.209509079697</v>
      </c>
      <c r="E7">
        <v>269</v>
      </c>
      <c r="F7">
        <v>6.8999999999999999E-3</v>
      </c>
      <c r="G7" s="9">
        <f t="shared" si="2"/>
        <v>4622.9500000000007</v>
      </c>
      <c r="H7" s="11">
        <f t="shared" si="3"/>
        <v>1.4925534561264991E-6</v>
      </c>
      <c r="I7" s="12">
        <f t="shared" si="4"/>
        <v>4.761E-5</v>
      </c>
      <c r="J7" s="12">
        <f t="shared" si="5"/>
        <v>6.6283276616353236E-3</v>
      </c>
      <c r="K7" s="11">
        <f t="shared" si="6"/>
        <v>5.5399758952782742E-3</v>
      </c>
      <c r="L7">
        <v>6.0000000000000001E-3</v>
      </c>
      <c r="M7" s="2">
        <f t="shared" si="7"/>
        <v>6.0751081664573098E-3</v>
      </c>
      <c r="N7" s="2">
        <f t="shared" si="8"/>
        <v>-7.5108166457309687E-5</v>
      </c>
      <c r="O7" s="2">
        <f t="shared" si="9"/>
        <v>8.9999999999999976E-4</v>
      </c>
      <c r="Q7">
        <v>3.5000000000000003E-2</v>
      </c>
      <c r="R7">
        <v>3.0499999999999999E-2</v>
      </c>
      <c r="S7">
        <v>1.3080000000000001</v>
      </c>
    </row>
    <row r="8" spans="1:19" x14ac:dyDescent="0.25">
      <c r="A8">
        <v>5566.1</v>
      </c>
      <c r="B8">
        <v>10241.4</v>
      </c>
      <c r="C8" s="9">
        <f t="shared" si="0"/>
        <v>7903.75</v>
      </c>
      <c r="D8" s="9">
        <f t="shared" si="1"/>
        <v>12652.222046496916</v>
      </c>
      <c r="E8">
        <v>269</v>
      </c>
      <c r="F8">
        <v>1.5900000000000001E-2</v>
      </c>
      <c r="G8" s="9">
        <f t="shared" si="2"/>
        <v>7903.75</v>
      </c>
      <c r="H8" s="11">
        <f t="shared" si="3"/>
        <v>2.0117033053930099E-6</v>
      </c>
      <c r="I8" s="12">
        <f t="shared" si="4"/>
        <v>2.5281000000000001E-4</v>
      </c>
      <c r="J8" s="12">
        <f t="shared" si="5"/>
        <v>1.5784002267802674E-2</v>
      </c>
      <c r="K8" s="11">
        <f t="shared" si="6"/>
        <v>1.6193319029326803E-2</v>
      </c>
      <c r="L8">
        <v>1.7000000000000001E-2</v>
      </c>
      <c r="M8" s="2">
        <f t="shared" si="7"/>
        <v>1.6973379529074486E-2</v>
      </c>
      <c r="N8" s="2">
        <f t="shared" si="8"/>
        <v>2.6620470925515366E-5</v>
      </c>
      <c r="O8" s="2">
        <f t="shared" si="9"/>
        <v>-1.1000000000000003E-3</v>
      </c>
      <c r="Q8">
        <v>2.4199999999999999E-2</v>
      </c>
      <c r="R8">
        <v>2.93E-2</v>
      </c>
      <c r="S8">
        <v>0.68500000000000005</v>
      </c>
    </row>
    <row r="11" spans="1:19" x14ac:dyDescent="0.25">
      <c r="A11" t="s">
        <v>866</v>
      </c>
      <c r="C11" t="s">
        <v>869</v>
      </c>
      <c r="D11" t="s">
        <v>871</v>
      </c>
    </row>
    <row r="12" spans="1:19" x14ac:dyDescent="0.25">
      <c r="I12">
        <f>0.027/1.04158395609502</f>
        <v>2.5922058267127231E-2</v>
      </c>
    </row>
    <row r="13" spans="1:19" x14ac:dyDescent="0.25">
      <c r="A13" t="s">
        <v>870</v>
      </c>
      <c r="C13" t="s">
        <v>872</v>
      </c>
      <c r="I13">
        <v>2.5922058267127231E-2</v>
      </c>
    </row>
    <row r="14" spans="1:19" x14ac:dyDescent="0.25">
      <c r="A14" t="s">
        <v>876</v>
      </c>
    </row>
    <row r="28" spans="1:15" x14ac:dyDescent="0.25">
      <c r="A28" t="s">
        <v>879</v>
      </c>
    </row>
    <row r="29" spans="1:15" x14ac:dyDescent="0.25">
      <c r="A29" t="s">
        <v>844</v>
      </c>
      <c r="B29" t="s">
        <v>845</v>
      </c>
      <c r="C29" t="s">
        <v>852</v>
      </c>
      <c r="D29" t="s">
        <v>865</v>
      </c>
      <c r="E29" t="s">
        <v>843</v>
      </c>
      <c r="F29" t="s">
        <v>847</v>
      </c>
      <c r="G29" t="s">
        <v>867</v>
      </c>
      <c r="H29" t="s">
        <v>868</v>
      </c>
      <c r="I29" t="s">
        <v>864</v>
      </c>
      <c r="J29" t="s">
        <v>878</v>
      </c>
      <c r="K29" t="s">
        <v>877</v>
      </c>
    </row>
    <row r="30" spans="1:15" x14ac:dyDescent="0.25">
      <c r="A30">
        <v>822.7</v>
      </c>
      <c r="B30">
        <v>1043</v>
      </c>
      <c r="C30" s="9">
        <f t="shared" ref="C30:C35" si="10">AVERAGE(A30:B30)</f>
        <v>932.85</v>
      </c>
      <c r="E30">
        <v>293</v>
      </c>
      <c r="F30">
        <v>2.5000000000000001E-3</v>
      </c>
      <c r="G30" s="9">
        <f t="shared" ref="G30:G35" si="11">$C30</f>
        <v>932.85</v>
      </c>
      <c r="H30" s="11">
        <f>F30/C30</f>
        <v>2.6799592646191779E-6</v>
      </c>
      <c r="I30" s="12">
        <f>F30^2</f>
        <v>6.2500000000000003E-6</v>
      </c>
      <c r="J30" s="12">
        <f>SQRT(I30-0.0022^2)</f>
        <v>1.1874342087037917E-3</v>
      </c>
      <c r="K30" s="11">
        <f>0.0918*0.00000001*$C30^2</f>
        <v>7.9885197445500003E-4</v>
      </c>
      <c r="L30">
        <v>2.7000000000000001E-3</v>
      </c>
      <c r="M30">
        <v>0.27139999999999997</v>
      </c>
      <c r="N30">
        <v>0.29409999999999997</v>
      </c>
      <c r="O30">
        <v>0.83899999999999997</v>
      </c>
    </row>
    <row r="31" spans="1:15" x14ac:dyDescent="0.25">
      <c r="A31">
        <v>1043.0999999999999</v>
      </c>
      <c r="B31">
        <v>1108</v>
      </c>
      <c r="C31" s="9">
        <f t="shared" si="10"/>
        <v>1075.55</v>
      </c>
      <c r="E31">
        <v>293</v>
      </c>
      <c r="F31">
        <v>2.5999999999999999E-3</v>
      </c>
      <c r="G31" s="9">
        <f t="shared" si="11"/>
        <v>1075.55</v>
      </c>
      <c r="H31" s="11">
        <f t="shared" ref="H31:H35" si="12">F31/C31</f>
        <v>2.4173678583050534E-6</v>
      </c>
      <c r="I31" s="12">
        <f t="shared" ref="I31:I35" si="13">F31^2</f>
        <v>6.7599999999999997E-6</v>
      </c>
      <c r="J31" s="12">
        <f t="shared" ref="J31:J35" si="14">SQRT(I31-0.0022^2)</f>
        <v>1.3856406460551016E-3</v>
      </c>
      <c r="K31" s="11">
        <f t="shared" ref="K31:K35" si="15">0.0918*0.00000001*$C31^2</f>
        <v>1.0619495626949999E-3</v>
      </c>
      <c r="L31">
        <v>2.8E-3</v>
      </c>
      <c r="M31">
        <v>0.2261</v>
      </c>
      <c r="N31">
        <v>0.24160000000000001</v>
      </c>
      <c r="O31">
        <v>0.88</v>
      </c>
    </row>
    <row r="32" spans="1:15" x14ac:dyDescent="0.25">
      <c r="A32">
        <v>1108.0999999999999</v>
      </c>
      <c r="B32">
        <v>1332.4</v>
      </c>
      <c r="C32" s="9">
        <f t="shared" si="10"/>
        <v>1220.25</v>
      </c>
      <c r="E32">
        <v>293</v>
      </c>
      <c r="F32">
        <v>2.8E-3</v>
      </c>
      <c r="G32" s="9">
        <f t="shared" si="11"/>
        <v>1220.25</v>
      </c>
      <c r="H32" s="11">
        <f t="shared" si="12"/>
        <v>2.2946117598852693E-6</v>
      </c>
      <c r="I32" s="12">
        <f t="shared" si="13"/>
        <v>7.8399999999999995E-6</v>
      </c>
      <c r="J32" s="12">
        <f t="shared" si="14"/>
        <v>1.7320508075688772E-3</v>
      </c>
      <c r="K32" s="11">
        <f t="shared" si="15"/>
        <v>1.366911237375E-3</v>
      </c>
      <c r="L32">
        <v>2.8999999999999998E-3</v>
      </c>
      <c r="M32">
        <v>0.2046</v>
      </c>
      <c r="N32">
        <v>0.20680000000000001</v>
      </c>
      <c r="O32">
        <v>0.96499999999999997</v>
      </c>
    </row>
    <row r="33" spans="1:15" x14ac:dyDescent="0.25">
      <c r="A33">
        <v>1335</v>
      </c>
      <c r="B33">
        <v>1692.8</v>
      </c>
      <c r="C33" s="9">
        <f t="shared" si="10"/>
        <v>1513.9</v>
      </c>
      <c r="E33">
        <v>293</v>
      </c>
      <c r="F33">
        <v>3.8E-3</v>
      </c>
      <c r="G33" s="9">
        <f t="shared" si="11"/>
        <v>1513.9</v>
      </c>
      <c r="H33" s="11">
        <f t="shared" si="12"/>
        <v>2.5100733205627849E-6</v>
      </c>
      <c r="I33" s="12">
        <f t="shared" si="13"/>
        <v>1.4440000000000001E-5</v>
      </c>
      <c r="J33" s="12">
        <f t="shared" si="14"/>
        <v>3.0983866769659332E-3</v>
      </c>
      <c r="K33" s="11">
        <f t="shared" si="15"/>
        <v>2.1039579667800003E-3</v>
      </c>
      <c r="L33">
        <v>3.2000000000000002E-3</v>
      </c>
      <c r="M33">
        <v>0.17460000000000001</v>
      </c>
      <c r="N33">
        <v>0.1527</v>
      </c>
      <c r="O33">
        <v>1.3260000000000001</v>
      </c>
    </row>
    <row r="34" spans="1:15" x14ac:dyDescent="0.25">
      <c r="A34">
        <v>1694.5</v>
      </c>
      <c r="B34">
        <v>1952.4</v>
      </c>
      <c r="C34" s="9">
        <f t="shared" si="10"/>
        <v>1823.45</v>
      </c>
      <c r="E34">
        <v>293</v>
      </c>
      <c r="F34">
        <v>4.5999999999999999E-3</v>
      </c>
      <c r="G34" s="9">
        <f t="shared" si="11"/>
        <v>1823.45</v>
      </c>
      <c r="H34" s="11">
        <f t="shared" si="12"/>
        <v>2.5226905042638951E-6</v>
      </c>
      <c r="I34" s="12">
        <f t="shared" si="13"/>
        <v>2.1160000000000001E-5</v>
      </c>
      <c r="J34" s="12">
        <f t="shared" si="14"/>
        <v>4.0398019753448309E-3</v>
      </c>
      <c r="K34" s="11">
        <f t="shared" si="15"/>
        <v>3.0523223704950002E-3</v>
      </c>
      <c r="L34">
        <v>4.1000000000000003E-3</v>
      </c>
      <c r="M34">
        <v>0.1358</v>
      </c>
      <c r="N34">
        <v>0.1193</v>
      </c>
      <c r="O34">
        <v>1.2829999999999999</v>
      </c>
    </row>
    <row r="35" spans="1:15" x14ac:dyDescent="0.25">
      <c r="A35">
        <v>1953.3</v>
      </c>
      <c r="B35">
        <v>2102.9</v>
      </c>
      <c r="C35" s="9">
        <f t="shared" si="10"/>
        <v>2028.1</v>
      </c>
      <c r="E35">
        <v>293</v>
      </c>
      <c r="F35" s="4">
        <v>3.3999999999999998E-3</v>
      </c>
      <c r="G35" s="9">
        <f t="shared" si="11"/>
        <v>2028.1</v>
      </c>
      <c r="H35" s="13">
        <f t="shared" si="12"/>
        <v>1.6764459346186086E-6</v>
      </c>
      <c r="I35" s="12">
        <f t="shared" si="13"/>
        <v>1.1559999999999999E-5</v>
      </c>
      <c r="J35" s="12">
        <f t="shared" si="14"/>
        <v>2.5922962793631437E-3</v>
      </c>
      <c r="K35" s="11">
        <f t="shared" si="15"/>
        <v>3.7759080619799994E-3</v>
      </c>
      <c r="L35">
        <v>4.5999999999999999E-3</v>
      </c>
      <c r="M35">
        <v>8.09E-2</v>
      </c>
      <c r="N35">
        <v>0.1111</v>
      </c>
      <c r="O35">
        <v>0.53100000000000003</v>
      </c>
    </row>
    <row r="50" spans="1:15" x14ac:dyDescent="0.25">
      <c r="A50" t="s">
        <v>880</v>
      </c>
    </row>
    <row r="51" spans="1:15" x14ac:dyDescent="0.25">
      <c r="A51" t="s">
        <v>844</v>
      </c>
      <c r="B51" t="s">
        <v>845</v>
      </c>
      <c r="C51" t="s">
        <v>852</v>
      </c>
      <c r="E51" t="s">
        <v>843</v>
      </c>
      <c r="F51" t="s">
        <v>847</v>
      </c>
      <c r="G51" t="s">
        <v>867</v>
      </c>
      <c r="H51" t="s">
        <v>868</v>
      </c>
      <c r="I51" t="s">
        <v>864</v>
      </c>
      <c r="J51" t="s">
        <v>878</v>
      </c>
      <c r="K51" t="s">
        <v>877</v>
      </c>
      <c r="L51" t="s">
        <v>861</v>
      </c>
      <c r="M51" t="s">
        <v>850</v>
      </c>
      <c r="N51" t="s">
        <v>862</v>
      </c>
      <c r="O51" t="s">
        <v>863</v>
      </c>
    </row>
    <row r="52" spans="1:15" x14ac:dyDescent="0.25">
      <c r="A52">
        <v>2142.1999999999998</v>
      </c>
      <c r="B52">
        <v>2326.9</v>
      </c>
      <c r="C52" s="9">
        <f t="shared" ref="C52:C57" si="16">AVERAGE(A52:B52)</f>
        <v>2234.5500000000002</v>
      </c>
      <c r="E52">
        <v>70</v>
      </c>
      <c r="F52">
        <v>2.7000000000000001E-3</v>
      </c>
      <c r="G52" s="9">
        <f t="shared" ref="G52:G57" si="17">$C52</f>
        <v>2234.5500000000002</v>
      </c>
      <c r="H52" s="11">
        <f>F52/C52</f>
        <v>1.2082969725448077E-6</v>
      </c>
      <c r="I52" s="12">
        <f>F52^2</f>
        <v>7.2900000000000005E-6</v>
      </c>
      <c r="J52" s="12">
        <f>SQRT(I52-0.0027^2)</f>
        <v>0</v>
      </c>
      <c r="K52" s="11">
        <f>0.019725*0.00000001*$C52^2</f>
        <v>9.8491140281812498E-4</v>
      </c>
      <c r="L52">
        <v>3.0999999999999999E-3</v>
      </c>
      <c r="M52">
        <v>5.4199999999999998E-2</v>
      </c>
      <c r="N52">
        <v>6.2899999999999998E-2</v>
      </c>
      <c r="O52">
        <v>0.749</v>
      </c>
    </row>
    <row r="53" spans="1:15" x14ac:dyDescent="0.25">
      <c r="A53">
        <v>2329.3000000000002</v>
      </c>
      <c r="B53">
        <v>2572.5</v>
      </c>
      <c r="C53" s="9">
        <f t="shared" si="16"/>
        <v>2450.9</v>
      </c>
      <c r="E53">
        <v>70</v>
      </c>
      <c r="F53">
        <v>3.5999999999999999E-3</v>
      </c>
      <c r="G53" s="9">
        <f t="shared" si="17"/>
        <v>2450.9</v>
      </c>
      <c r="H53" s="11">
        <f t="shared" ref="H53:H57" si="18">F53/C53</f>
        <v>1.4688481782202456E-6</v>
      </c>
      <c r="I53" s="12">
        <f t="shared" ref="I53:I57" si="19">F53^2</f>
        <v>1.296E-5</v>
      </c>
      <c r="J53" s="12">
        <f t="shared" ref="J53:J57" si="20">SQRT(I53-0.0027^2)</f>
        <v>2.3811761799581313E-3</v>
      </c>
      <c r="K53" s="11">
        <f t="shared" ref="K53:K57" si="21">0.019725*0.00000001*$C53^2</f>
        <v>1.1848631572725001E-3</v>
      </c>
      <c r="L53">
        <v>3.3E-3</v>
      </c>
      <c r="M53">
        <v>5.8700000000000002E-2</v>
      </c>
      <c r="N53">
        <v>5.4199999999999998E-2</v>
      </c>
      <c r="O53">
        <v>1.1910000000000001</v>
      </c>
    </row>
    <row r="54" spans="1:15" x14ac:dyDescent="0.25">
      <c r="A54">
        <v>2572.9</v>
      </c>
      <c r="B54">
        <v>2879.1</v>
      </c>
      <c r="C54" s="9">
        <f t="shared" si="16"/>
        <v>2726</v>
      </c>
      <c r="E54">
        <v>70</v>
      </c>
      <c r="F54">
        <v>3.5999999999999999E-3</v>
      </c>
      <c r="G54" s="9">
        <f t="shared" si="17"/>
        <v>2726</v>
      </c>
      <c r="H54" s="11">
        <f t="shared" si="18"/>
        <v>1.3206162876008803E-6</v>
      </c>
      <c r="I54" s="12">
        <f t="shared" si="19"/>
        <v>1.296E-5</v>
      </c>
      <c r="J54" s="12">
        <f t="shared" si="20"/>
        <v>2.3811761799581313E-3</v>
      </c>
      <c r="K54" s="11">
        <f t="shared" si="21"/>
        <v>1.465779741E-3</v>
      </c>
      <c r="L54">
        <v>3.5000000000000001E-3</v>
      </c>
      <c r="M54">
        <v>5.11E-2</v>
      </c>
      <c r="N54">
        <v>4.8399999999999999E-2</v>
      </c>
      <c r="O54">
        <v>1.085</v>
      </c>
    </row>
    <row r="55" spans="1:15" x14ac:dyDescent="0.25">
      <c r="A55">
        <v>2880.5</v>
      </c>
      <c r="B55">
        <v>4263.7</v>
      </c>
      <c r="C55" s="9">
        <f t="shared" si="16"/>
        <v>3572.1</v>
      </c>
      <c r="E55">
        <v>70</v>
      </c>
      <c r="F55">
        <v>4.3E-3</v>
      </c>
      <c r="G55" s="9">
        <f t="shared" si="17"/>
        <v>3572.1</v>
      </c>
      <c r="H55" s="11">
        <f t="shared" si="18"/>
        <v>1.2037736905461773E-6</v>
      </c>
      <c r="I55" s="12">
        <f t="shared" si="19"/>
        <v>1.8490000000000001E-5</v>
      </c>
      <c r="J55" s="12">
        <f t="shared" si="20"/>
        <v>3.3466401061363026E-3</v>
      </c>
      <c r="K55" s="11">
        <f t="shared" si="21"/>
        <v>2.5168899613724999E-3</v>
      </c>
      <c r="L55">
        <v>4.3E-3</v>
      </c>
      <c r="M55">
        <v>3.6700000000000003E-2</v>
      </c>
      <c r="N55">
        <v>3.9100000000000003E-2</v>
      </c>
      <c r="O55">
        <v>0.92</v>
      </c>
    </row>
    <row r="56" spans="1:15" x14ac:dyDescent="0.25">
      <c r="A56">
        <v>4274.1000000000004</v>
      </c>
      <c r="B56">
        <v>6225.8</v>
      </c>
      <c r="C56" s="9">
        <f t="shared" si="16"/>
        <v>5249.9500000000007</v>
      </c>
      <c r="E56">
        <v>70</v>
      </c>
      <c r="F56">
        <v>7.0000000000000001E-3</v>
      </c>
      <c r="G56" s="9">
        <f t="shared" si="17"/>
        <v>5249.9500000000007</v>
      </c>
      <c r="H56" s="11">
        <f t="shared" si="18"/>
        <v>1.33334603186697E-6</v>
      </c>
      <c r="I56" s="12">
        <f t="shared" si="19"/>
        <v>4.9000000000000005E-5</v>
      </c>
      <c r="J56" s="12">
        <f t="shared" si="20"/>
        <v>6.4583279569870103E-3</v>
      </c>
      <c r="K56" s="11">
        <f t="shared" si="21"/>
        <v>5.4365995692431269E-3</v>
      </c>
      <c r="L56">
        <v>7.4000000000000003E-3</v>
      </c>
      <c r="M56">
        <v>3.09E-2</v>
      </c>
      <c r="N56">
        <v>3.09E-2</v>
      </c>
      <c r="O56">
        <v>0.97699999999999998</v>
      </c>
    </row>
    <row r="57" spans="1:15" x14ac:dyDescent="0.25">
      <c r="A57">
        <v>6226.9</v>
      </c>
      <c r="B57">
        <v>8678</v>
      </c>
      <c r="C57" s="9">
        <f t="shared" si="16"/>
        <v>7452.45</v>
      </c>
      <c r="E57">
        <v>70</v>
      </c>
      <c r="F57">
        <v>1.0999999999999999E-2</v>
      </c>
      <c r="G57" s="9">
        <f t="shared" si="17"/>
        <v>7452.45</v>
      </c>
      <c r="H57" s="11">
        <f t="shared" si="18"/>
        <v>1.4760246630302786E-6</v>
      </c>
      <c r="I57" s="12">
        <f t="shared" si="19"/>
        <v>1.2099999999999999E-4</v>
      </c>
      <c r="J57" s="12">
        <f t="shared" si="20"/>
        <v>1.0663489110042734E-2</v>
      </c>
      <c r="K57" s="11">
        <f t="shared" si="21"/>
        <v>1.0955069920243124E-2</v>
      </c>
      <c r="L57">
        <v>1.5800000000000002E-2</v>
      </c>
      <c r="M57">
        <v>2.0799999999999999E-2</v>
      </c>
      <c r="N57">
        <v>2.87E-2</v>
      </c>
      <c r="O57">
        <v>0.52200000000000002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3E505-C48A-4212-8404-1187614F5044}">
  <dimension ref="A1:M11"/>
  <sheetViews>
    <sheetView tabSelected="1" workbookViewId="0">
      <selection activeCell="L2" sqref="L2:M11"/>
    </sheetView>
  </sheetViews>
  <sheetFormatPr defaultRowHeight="15" x14ac:dyDescent="0.25"/>
  <cols>
    <col min="1" max="1" width="11" bestFit="1" customWidth="1"/>
    <col min="10" max="11" width="13.7109375" bestFit="1" customWidth="1"/>
  </cols>
  <sheetData>
    <row r="1" spans="1:13" x14ac:dyDescent="0.25">
      <c r="A1" t="s">
        <v>0</v>
      </c>
      <c r="B1" t="s">
        <v>881</v>
      </c>
      <c r="C1" t="s">
        <v>842</v>
      </c>
      <c r="D1" t="s">
        <v>4</v>
      </c>
      <c r="E1" t="s">
        <v>882</v>
      </c>
      <c r="F1" t="s">
        <v>883</v>
      </c>
      <c r="G1" t="s">
        <v>884</v>
      </c>
      <c r="H1" t="s">
        <v>888</v>
      </c>
      <c r="I1" t="s">
        <v>889</v>
      </c>
      <c r="J1" t="s">
        <v>885</v>
      </c>
      <c r="K1" t="s">
        <v>886</v>
      </c>
      <c r="L1" t="s">
        <v>887</v>
      </c>
    </row>
    <row r="2" spans="1:13" x14ac:dyDescent="0.25">
      <c r="A2">
        <v>87487.520799999998</v>
      </c>
      <c r="B2">
        <v>1143.02</v>
      </c>
      <c r="C2">
        <v>4</v>
      </c>
      <c r="D2" t="s">
        <v>858</v>
      </c>
      <c r="E2">
        <v>0.76060000000000005</v>
      </c>
      <c r="F2">
        <v>0.2248</v>
      </c>
      <c r="G2">
        <v>3.81</v>
      </c>
      <c r="H2">
        <v>0</v>
      </c>
      <c r="I2">
        <v>0</v>
      </c>
      <c r="J2" t="s">
        <v>285</v>
      </c>
      <c r="K2" t="s">
        <v>110</v>
      </c>
      <c r="L2">
        <f>INDEX([1]IDEN_level_ids!$B:$B,MATCH(J2,[1]IDEN_level_ids!$A:$A,0),1)</f>
        <v>1150</v>
      </c>
      <c r="M2">
        <f>INDEX([1]IDEN_level_ids!$B:$B,MATCH(K2,[1]IDEN_level_ids!$A:$A,0),1)</f>
        <v>730</v>
      </c>
    </row>
    <row r="3" spans="1:13" x14ac:dyDescent="0.25">
      <c r="A3">
        <v>69190.794200000004</v>
      </c>
      <c r="B3">
        <v>1445.28</v>
      </c>
      <c r="C3">
        <v>6</v>
      </c>
      <c r="D3" t="s">
        <v>858</v>
      </c>
      <c r="E3">
        <v>0.6996</v>
      </c>
      <c r="F3">
        <v>0.1525</v>
      </c>
      <c r="G3">
        <v>5.43</v>
      </c>
      <c r="H3">
        <v>1</v>
      </c>
      <c r="I3">
        <v>1</v>
      </c>
      <c r="J3" t="s">
        <v>307</v>
      </c>
      <c r="K3" t="s">
        <v>146</v>
      </c>
      <c r="L3">
        <f>INDEX([1]IDEN_level_ids!$B:$B,MATCH(J3,[1]IDEN_level_ids!$A:$A,0),1)</f>
        <v>1095</v>
      </c>
      <c r="M3">
        <f>INDEX([1]IDEN_level_ids!$B:$B,MATCH(K3,[1]IDEN_level_ids!$A:$A,0),1)</f>
        <v>723</v>
      </c>
    </row>
    <row r="4" spans="1:13" x14ac:dyDescent="0.25">
      <c r="A4">
        <v>66262.238599999997</v>
      </c>
      <c r="B4">
        <v>1509.16</v>
      </c>
      <c r="C4">
        <v>6</v>
      </c>
      <c r="D4" t="s">
        <v>52</v>
      </c>
      <c r="E4">
        <v>0.74299999999999999</v>
      </c>
      <c r="F4">
        <v>0.19950000000000001</v>
      </c>
      <c r="G4">
        <v>3.81</v>
      </c>
      <c r="H4">
        <v>0</v>
      </c>
      <c r="I4">
        <v>0</v>
      </c>
      <c r="J4" t="s">
        <v>301</v>
      </c>
      <c r="K4" t="s">
        <v>338</v>
      </c>
      <c r="L4">
        <f>INDEX([1]IDEN_level_ids!$B:$B,MATCH(J4,[1]IDEN_level_ids!$A:$A,0),1)</f>
        <v>1154</v>
      </c>
      <c r="M4">
        <f>INDEX([1]IDEN_level_ids!$B:$B,MATCH(K4,[1]IDEN_level_ids!$A:$A,0),1)</f>
        <v>904</v>
      </c>
    </row>
    <row r="5" spans="1:13" x14ac:dyDescent="0.25">
      <c r="A5">
        <v>60205.386400000003</v>
      </c>
      <c r="B5">
        <v>1660.98</v>
      </c>
      <c r="C5">
        <v>7</v>
      </c>
      <c r="D5" t="s">
        <v>858</v>
      </c>
      <c r="E5">
        <v>0.42230000000000001</v>
      </c>
      <c r="F5">
        <v>0.12570000000000001</v>
      </c>
      <c r="G5">
        <v>3.94</v>
      </c>
      <c r="H5">
        <v>1</v>
      </c>
      <c r="I5">
        <v>1</v>
      </c>
      <c r="J5" t="s">
        <v>250</v>
      </c>
      <c r="K5" t="s">
        <v>430</v>
      </c>
      <c r="L5">
        <f>INDEX([1]IDEN_level_ids!$B:$B,MATCH(J5,[1]IDEN_level_ids!$A:$A,0),1)</f>
        <v>1107</v>
      </c>
      <c r="M5">
        <f>INDEX([1]IDEN_level_ids!$B:$B,MATCH(K5,[1]IDEN_level_ids!$A:$A,0),1)</f>
        <v>897</v>
      </c>
    </row>
    <row r="6" spans="1:13" x14ac:dyDescent="0.25">
      <c r="A6">
        <v>56820.8943</v>
      </c>
      <c r="B6">
        <v>1759.92</v>
      </c>
      <c r="C6">
        <v>9</v>
      </c>
      <c r="D6" t="s">
        <v>858</v>
      </c>
      <c r="E6">
        <v>0.49990000000000001</v>
      </c>
      <c r="F6">
        <v>0.1171</v>
      </c>
      <c r="G6">
        <v>4.7300000000000004</v>
      </c>
      <c r="H6">
        <v>1</v>
      </c>
      <c r="I6">
        <v>1</v>
      </c>
      <c r="J6" t="s">
        <v>511</v>
      </c>
      <c r="K6" t="s">
        <v>433</v>
      </c>
      <c r="L6">
        <f>INDEX([1]IDEN_level_ids!$B:$B,MATCH(J6,[1]IDEN_level_ids!$A:$A,0),1)</f>
        <v>1139</v>
      </c>
      <c r="M6">
        <f>INDEX([1]IDEN_level_ids!$B:$B,MATCH(K6,[1]IDEN_level_ids!$A:$A,0),1)</f>
        <v>918</v>
      </c>
    </row>
    <row r="7" spans="1:13" x14ac:dyDescent="0.25">
      <c r="A7">
        <v>52321.7549</v>
      </c>
      <c r="B7">
        <v>1911.25</v>
      </c>
      <c r="C7">
        <v>9</v>
      </c>
      <c r="D7" t="s">
        <v>858</v>
      </c>
      <c r="E7">
        <v>0.48559999999999998</v>
      </c>
      <c r="F7">
        <v>0.1071</v>
      </c>
      <c r="G7">
        <v>5.38</v>
      </c>
      <c r="H7">
        <v>1</v>
      </c>
      <c r="I7">
        <v>1</v>
      </c>
      <c r="J7" t="s">
        <v>511</v>
      </c>
      <c r="K7" t="s">
        <v>409</v>
      </c>
      <c r="L7">
        <f>INDEX([1]IDEN_level_ids!$B:$B,MATCH(J7,[1]IDEN_level_ids!$A:$A,0),1)</f>
        <v>1139</v>
      </c>
      <c r="M7">
        <f>INDEX([1]IDEN_level_ids!$B:$B,MATCH(K7,[1]IDEN_level_ids!$A:$A,0),1)</f>
        <v>933</v>
      </c>
    </row>
    <row r="8" spans="1:13" x14ac:dyDescent="0.25">
      <c r="A8">
        <v>38873.019500000002</v>
      </c>
      <c r="B8">
        <v>2572.48</v>
      </c>
      <c r="C8">
        <v>17</v>
      </c>
      <c r="D8" t="s">
        <v>427</v>
      </c>
      <c r="E8">
        <v>0.19170000000000001</v>
      </c>
      <c r="F8">
        <v>4.5199999999999997E-2</v>
      </c>
      <c r="G8">
        <v>4.59</v>
      </c>
      <c r="H8">
        <v>1</v>
      </c>
      <c r="I8">
        <v>0</v>
      </c>
      <c r="J8" t="s">
        <v>472</v>
      </c>
      <c r="K8" t="s">
        <v>325</v>
      </c>
      <c r="L8">
        <f>INDEX([1]IDEN_level_ids!$B:$B,MATCH(J8,[1]IDEN_level_ids!$A:$A,0),1)</f>
        <v>1012</v>
      </c>
      <c r="M8">
        <f>INDEX([1]IDEN_level_ids!$B:$B,MATCH(K8,[1]IDEN_level_ids!$A:$A,0),1)</f>
        <v>822</v>
      </c>
    </row>
    <row r="9" spans="1:13" x14ac:dyDescent="0.25">
      <c r="A9">
        <v>38425.768700000001</v>
      </c>
      <c r="B9">
        <v>2602.42</v>
      </c>
      <c r="C9">
        <v>17</v>
      </c>
      <c r="D9" t="s">
        <v>427</v>
      </c>
      <c r="E9">
        <v>0.16470000000000001</v>
      </c>
      <c r="F9">
        <v>4.4400000000000002E-2</v>
      </c>
      <c r="G9">
        <v>4.3600000000000003</v>
      </c>
      <c r="H9">
        <v>1</v>
      </c>
      <c r="I9">
        <v>0</v>
      </c>
      <c r="J9" t="s">
        <v>383</v>
      </c>
      <c r="K9" t="s">
        <v>489</v>
      </c>
      <c r="L9">
        <f>INDEX([1]IDEN_level_ids!$B:$B,MATCH(J9,[1]IDEN_level_ids!$A:$A,0),1)</f>
        <v>1097</v>
      </c>
      <c r="M9">
        <f>INDEX([1]IDEN_level_ids!$B:$B,MATCH(K9,[1]IDEN_level_ids!$A:$A,0),1)</f>
        <v>945</v>
      </c>
    </row>
    <row r="10" spans="1:13" x14ac:dyDescent="0.25">
      <c r="A10">
        <v>33401.329299999998</v>
      </c>
      <c r="B10">
        <v>2993.89</v>
      </c>
      <c r="C10">
        <v>20</v>
      </c>
      <c r="D10" t="s">
        <v>858</v>
      </c>
      <c r="E10">
        <v>-7.5499999999999998E-2</v>
      </c>
      <c r="F10">
        <v>3.1E-2</v>
      </c>
      <c r="G10">
        <v>-3.75</v>
      </c>
      <c r="H10">
        <v>1</v>
      </c>
      <c r="I10">
        <v>1</v>
      </c>
      <c r="J10" t="s">
        <v>697</v>
      </c>
      <c r="K10" t="s">
        <v>489</v>
      </c>
      <c r="L10">
        <f>INDEX([1]IDEN_level_ids!$B:$B,MATCH(J10,[1]IDEN_level_ids!$A:$A,0),1)</f>
        <v>1089</v>
      </c>
      <c r="M10">
        <f>INDEX([1]IDEN_level_ids!$B:$B,MATCH(K10,[1]IDEN_level_ids!$A:$A,0),1)</f>
        <v>945</v>
      </c>
    </row>
    <row r="11" spans="1:13" x14ac:dyDescent="0.25">
      <c r="A11">
        <v>23083.642800000001</v>
      </c>
      <c r="B11">
        <v>4332.07</v>
      </c>
      <c r="C11">
        <v>22</v>
      </c>
      <c r="D11" t="s">
        <v>858</v>
      </c>
      <c r="E11">
        <v>3.2199999999999999E-2</v>
      </c>
      <c r="F11">
        <v>2.3400000000000001E-2</v>
      </c>
      <c r="G11">
        <v>3.97</v>
      </c>
      <c r="H11">
        <v>1</v>
      </c>
      <c r="I11">
        <v>0</v>
      </c>
      <c r="J11" t="s">
        <v>258</v>
      </c>
      <c r="K11" t="s">
        <v>769</v>
      </c>
      <c r="L11">
        <f>INDEX([1]IDEN_level_ids!$B:$B,MATCH(J11,[1]IDEN_level_ids!$A:$A,0),1)</f>
        <v>755</v>
      </c>
      <c r="M11">
        <f>INDEX([1]IDEN_level_ids!$B:$B,MATCH(K11,[1]IDEN_level_ids!$A:$A,0),1)</f>
        <v>276</v>
      </c>
    </row>
  </sheetData>
  <sortState xmlns:xlrd2="http://schemas.microsoft.com/office/spreadsheetml/2017/richdata2" ref="A2:L11">
    <sortCondition descending="1" ref="A2:A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pts</vt:lpstr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2026-09-24T11:08:49Z</dcterms:created>
  <dcterms:modified xsi:type="dcterms:W3CDTF">2026-09-24T18:26:20Z</dcterms:modified>
</cp:coreProperties>
</file>