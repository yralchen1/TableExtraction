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TableExtraction\"/>
    </mc:Choice>
  </mc:AlternateContent>
  <xr:revisionPtr revIDLastSave="0" documentId="13_ncr:1_{7EB622BD-2EF3-47AF-93C4-71B5A0D29C55}" xr6:coauthVersionLast="47" xr6:coauthVersionMax="47" xr10:uidLastSave="{00000000-0000-0000-0000-000000000000}"/>
  <bookViews>
    <workbookView xWindow="5070" yWindow="3375" windowWidth="22005" windowHeight="17505" activeTab="1" xr2:uid="{C2648616-8084-4099-8238-BA480DFA87E6}"/>
  </bookViews>
  <sheets>
    <sheet name="ASD512" sheetId="1" r:id="rId1"/>
    <sheet name="Wyart2000" sheetId="2" r:id="rId2"/>
  </sheets>
  <definedNames>
    <definedName name="_xlnm._FilterDatabase" localSheetId="0" hidden="1">'ASD512'!$A$1:$O$402</definedName>
    <definedName name="_xlnm._FilterDatabase" localSheetId="1" hidden="1">Wyart2000!$A$1:$AA$594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76" i="2" l="1" a="1"/>
  <c r="Z576" i="2" a="1"/>
  <c r="Y576" i="2" a="1"/>
  <c r="F575" i="2"/>
  <c r="Z3" i="2" a="1"/>
  <c r="Z4" i="2" a="1"/>
  <c r="Z5" i="2" a="1"/>
  <c r="Z6" i="2" a="1"/>
  <c r="Z7" i="2" a="1"/>
  <c r="Z8" i="2" a="1"/>
  <c r="Z9" i="2" a="1"/>
  <c r="Z10" i="2" a="1"/>
  <c r="Z11" i="2" a="1"/>
  <c r="Z12" i="2" a="1"/>
  <c r="Z13" i="2" a="1"/>
  <c r="Z14" i="2" a="1"/>
  <c r="Z15" i="2" a="1"/>
  <c r="Z16" i="2" a="1"/>
  <c r="Z17" i="2" a="1"/>
  <c r="Z18" i="2" a="1"/>
  <c r="Z19" i="2" a="1"/>
  <c r="Z20" i="2" a="1"/>
  <c r="Z21" i="2" a="1"/>
  <c r="Z22" i="2" a="1"/>
  <c r="Z23" i="2" a="1"/>
  <c r="Z24" i="2" a="1"/>
  <c r="Z25" i="2" a="1"/>
  <c r="Z26" i="2" a="1"/>
  <c r="Z27" i="2" a="1"/>
  <c r="Z28" i="2" a="1"/>
  <c r="Z29" i="2" a="1"/>
  <c r="Z30" i="2" a="1"/>
  <c r="Z31" i="2" a="1"/>
  <c r="Z32" i="2" a="1"/>
  <c r="Z33" i="2" a="1"/>
  <c r="Z34" i="2" a="1"/>
  <c r="Z35" i="2" a="1"/>
  <c r="Z36" i="2" a="1"/>
  <c r="Z37" i="2" a="1"/>
  <c r="Z38" i="2" a="1"/>
  <c r="Z39" i="2" a="1"/>
  <c r="Z40" i="2" a="1"/>
  <c r="Z41" i="2" a="1"/>
  <c r="Z42" i="2" a="1"/>
  <c r="Z43" i="2" a="1"/>
  <c r="Z44" i="2" a="1"/>
  <c r="Z45" i="2" a="1"/>
  <c r="Z46" i="2" a="1"/>
  <c r="Z47" i="2" a="1"/>
  <c r="Z48" i="2" a="1"/>
  <c r="Z49" i="2" a="1"/>
  <c r="Z50" i="2" a="1"/>
  <c r="Z51" i="2" a="1"/>
  <c r="Z52" i="2" a="1"/>
  <c r="Z53" i="2" a="1"/>
  <c r="Z54" i="2" a="1"/>
  <c r="Z55" i="2" a="1"/>
  <c r="Z56" i="2" a="1"/>
  <c r="Z57" i="2" a="1"/>
  <c r="Z58" i="2" a="1"/>
  <c r="Z59" i="2" a="1"/>
  <c r="Z60" i="2" a="1"/>
  <c r="Z61" i="2" a="1"/>
  <c r="Z62" i="2" a="1"/>
  <c r="Z63" i="2" a="1"/>
  <c r="Z64" i="2" a="1"/>
  <c r="Z65" i="2" a="1"/>
  <c r="Z66" i="2" a="1"/>
  <c r="Z67" i="2" a="1"/>
  <c r="Z68" i="2" a="1"/>
  <c r="Z69" i="2" a="1"/>
  <c r="Z70" i="2" a="1"/>
  <c r="Z71" i="2" a="1"/>
  <c r="Z72" i="2" a="1"/>
  <c r="Z73" i="2" a="1"/>
  <c r="Z74" i="2" a="1"/>
  <c r="Z75" i="2" a="1"/>
  <c r="Z76" i="2" a="1"/>
  <c r="Z77" i="2" a="1"/>
  <c r="Z78" i="2" a="1"/>
  <c r="Z79" i="2" a="1"/>
  <c r="Z80" i="2" a="1"/>
  <c r="Z81" i="2" a="1"/>
  <c r="Z82" i="2" a="1"/>
  <c r="Z83" i="2" a="1"/>
  <c r="Z84" i="2" a="1"/>
  <c r="Z85" i="2" a="1"/>
  <c r="Z86" i="2" a="1"/>
  <c r="Z87" i="2" a="1"/>
  <c r="Z88" i="2" a="1"/>
  <c r="Z89" i="2" a="1"/>
  <c r="Z90" i="2" a="1"/>
  <c r="Z91" i="2" a="1"/>
  <c r="Z92" i="2" a="1"/>
  <c r="Z93" i="2" a="1"/>
  <c r="Z94" i="2" a="1"/>
  <c r="Z95" i="2" a="1"/>
  <c r="Z96" i="2" a="1"/>
  <c r="Z97" i="2" a="1"/>
  <c r="Z98" i="2" a="1"/>
  <c r="Z99" i="2" a="1"/>
  <c r="Z100" i="2" a="1"/>
  <c r="Z101" i="2" a="1"/>
  <c r="Z102" i="2" a="1"/>
  <c r="Z103" i="2" a="1"/>
  <c r="Z104" i="2" a="1"/>
  <c r="Z105" i="2" a="1"/>
  <c r="Z106" i="2" a="1"/>
  <c r="Z107" i="2" a="1"/>
  <c r="Z108" i="2" a="1"/>
  <c r="Z109" i="2" a="1"/>
  <c r="Z110" i="2" a="1"/>
  <c r="Z111" i="2" a="1"/>
  <c r="Z112" i="2" a="1"/>
  <c r="Z113" i="2" a="1"/>
  <c r="Z114" i="2" a="1"/>
  <c r="Z115" i="2" a="1"/>
  <c r="Z116" i="2" a="1"/>
  <c r="Z117" i="2" a="1"/>
  <c r="Z118" i="2" a="1"/>
  <c r="Z119" i="2" a="1"/>
  <c r="Z120" i="2" a="1"/>
  <c r="Z121" i="2" a="1"/>
  <c r="Z122" i="2" a="1"/>
  <c r="Z123" i="2" a="1"/>
  <c r="Z124" i="2" a="1"/>
  <c r="Z125" i="2" a="1"/>
  <c r="Z126" i="2" a="1"/>
  <c r="Z127" i="2" a="1"/>
  <c r="Z128" i="2" a="1"/>
  <c r="Z129" i="2" a="1"/>
  <c r="Z130" i="2" a="1"/>
  <c r="Z131" i="2" a="1"/>
  <c r="Z132" i="2" a="1"/>
  <c r="Z133" i="2" a="1"/>
  <c r="Z134" i="2" a="1"/>
  <c r="Z135" i="2" a="1"/>
  <c r="Z136" i="2" a="1"/>
  <c r="Z137" i="2" a="1"/>
  <c r="Z138" i="2" a="1"/>
  <c r="Z139" i="2" a="1"/>
  <c r="Z140" i="2" a="1"/>
  <c r="Z141" i="2" a="1"/>
  <c r="Z142" i="2" a="1"/>
  <c r="Z143" i="2" a="1"/>
  <c r="Z144" i="2" a="1"/>
  <c r="Z145" i="2" a="1"/>
  <c r="Z146" i="2" a="1"/>
  <c r="Z147" i="2" a="1"/>
  <c r="Z148" i="2" a="1"/>
  <c r="Z149" i="2" a="1"/>
  <c r="Z150" i="2" a="1"/>
  <c r="Z151" i="2" a="1"/>
  <c r="Z152" i="2" a="1"/>
  <c r="Z153" i="2" a="1"/>
  <c r="Z154" i="2" a="1"/>
  <c r="Z155" i="2" a="1"/>
  <c r="Z156" i="2" a="1"/>
  <c r="Z157" i="2" a="1"/>
  <c r="Z158" i="2" a="1"/>
  <c r="Z159" i="2" a="1"/>
  <c r="Z160" i="2" a="1"/>
  <c r="Z161" i="2" a="1"/>
  <c r="Z162" i="2" a="1"/>
  <c r="Z163" i="2" a="1"/>
  <c r="Z164" i="2" a="1"/>
  <c r="Z165" i="2" a="1"/>
  <c r="Z166" i="2" a="1"/>
  <c r="Z167" i="2" a="1"/>
  <c r="Z168" i="2" a="1"/>
  <c r="Z169" i="2" a="1"/>
  <c r="Z170" i="2" a="1"/>
  <c r="Z171" i="2" a="1"/>
  <c r="Z172" i="2" a="1"/>
  <c r="Z173" i="2" a="1"/>
  <c r="Z174" i="2" a="1"/>
  <c r="Z175" i="2" a="1"/>
  <c r="Z176" i="2" a="1"/>
  <c r="Z177" i="2" a="1"/>
  <c r="Z178" i="2" a="1"/>
  <c r="Z179" i="2" a="1"/>
  <c r="Z180" i="2" a="1"/>
  <c r="Z181" i="2" a="1"/>
  <c r="Z182" i="2" a="1"/>
  <c r="Z183" i="2" a="1"/>
  <c r="Z184" i="2" a="1"/>
  <c r="Z185" i="2" a="1"/>
  <c r="Z186" i="2" a="1"/>
  <c r="Z187" i="2" a="1"/>
  <c r="Z188" i="2" a="1"/>
  <c r="Z189" i="2" a="1"/>
  <c r="Z190" i="2" a="1"/>
  <c r="Z191" i="2" a="1"/>
  <c r="Z192" i="2" a="1"/>
  <c r="Z193" i="2" a="1"/>
  <c r="Z194" i="2" a="1"/>
  <c r="Z195" i="2" a="1"/>
  <c r="Z196" i="2" a="1"/>
  <c r="Z197" i="2" a="1"/>
  <c r="Z198" i="2" a="1"/>
  <c r="Z199" i="2" a="1"/>
  <c r="Z200" i="2" a="1"/>
  <c r="Z201" i="2" a="1"/>
  <c r="Z202" i="2" a="1"/>
  <c r="Z203" i="2" a="1"/>
  <c r="Z204" i="2" a="1"/>
  <c r="Z205" i="2" a="1"/>
  <c r="Z206" i="2" a="1"/>
  <c r="Z207" i="2" a="1"/>
  <c r="Z208" i="2" a="1"/>
  <c r="Z209" i="2" a="1"/>
  <c r="Z210" i="2" a="1"/>
  <c r="Z211" i="2" a="1"/>
  <c r="Z212" i="2" a="1"/>
  <c r="Z213" i="2" a="1"/>
  <c r="Z214" i="2" a="1"/>
  <c r="Z215" i="2" a="1"/>
  <c r="Z216" i="2" a="1"/>
  <c r="Z217" i="2" a="1"/>
  <c r="Z218" i="2" a="1"/>
  <c r="Z219" i="2" a="1"/>
  <c r="Z220" i="2" a="1"/>
  <c r="Z221" i="2" a="1"/>
  <c r="Z222" i="2" a="1"/>
  <c r="Z223" i="2" a="1"/>
  <c r="Z224" i="2" a="1"/>
  <c r="Z225" i="2" a="1"/>
  <c r="Z226" i="2" a="1"/>
  <c r="Z227" i="2" a="1"/>
  <c r="Z228" i="2" a="1"/>
  <c r="Z229" i="2" a="1"/>
  <c r="Z230" i="2" a="1"/>
  <c r="Z231" i="2" a="1"/>
  <c r="Z232" i="2" a="1"/>
  <c r="Z233" i="2" a="1"/>
  <c r="Z234" i="2" a="1"/>
  <c r="Z235" i="2" a="1"/>
  <c r="Z236" i="2" a="1"/>
  <c r="Z237" i="2" a="1"/>
  <c r="Z238" i="2" a="1"/>
  <c r="Z239" i="2" a="1"/>
  <c r="Z240" i="2" a="1"/>
  <c r="Z241" i="2" a="1"/>
  <c r="Z242" i="2" a="1"/>
  <c r="Z243" i="2" a="1"/>
  <c r="Z244" i="2" a="1"/>
  <c r="Z245" i="2" a="1"/>
  <c r="Z246" i="2" a="1"/>
  <c r="Z247" i="2" a="1"/>
  <c r="Z248" i="2" a="1"/>
  <c r="Z249" i="2" a="1"/>
  <c r="Z250" i="2" a="1"/>
  <c r="Z251" i="2" a="1"/>
  <c r="Z252" i="2" a="1"/>
  <c r="Z253" i="2" a="1"/>
  <c r="Z254" i="2" a="1"/>
  <c r="Z255" i="2" a="1"/>
  <c r="Z256" i="2" a="1"/>
  <c r="Z257" i="2" a="1"/>
  <c r="Z258" i="2" a="1"/>
  <c r="Z259" i="2" a="1"/>
  <c r="Z260" i="2" a="1"/>
  <c r="Z261" i="2" a="1"/>
  <c r="Z262" i="2" a="1"/>
  <c r="Z263" i="2" a="1"/>
  <c r="Z264" i="2" a="1"/>
  <c r="Z265" i="2" a="1"/>
  <c r="Z266" i="2" a="1"/>
  <c r="Z267" i="2" a="1"/>
  <c r="Z268" i="2" a="1"/>
  <c r="Z269" i="2" a="1"/>
  <c r="Z270" i="2" a="1"/>
  <c r="Z271" i="2" a="1"/>
  <c r="Z272" i="2" a="1"/>
  <c r="Z273" i="2" a="1"/>
  <c r="Z274" i="2" a="1"/>
  <c r="Z275" i="2" a="1"/>
  <c r="Z276" i="2" a="1"/>
  <c r="Z277" i="2" a="1"/>
  <c r="Z278" i="2" a="1"/>
  <c r="Z279" i="2" a="1"/>
  <c r="Z280" i="2" a="1"/>
  <c r="Z281" i="2" a="1"/>
  <c r="Z282" i="2" a="1"/>
  <c r="Z283" i="2" a="1"/>
  <c r="Z284" i="2" a="1"/>
  <c r="Z285" i="2" a="1"/>
  <c r="Z286" i="2" a="1"/>
  <c r="Z287" i="2" a="1"/>
  <c r="Z288" i="2" a="1"/>
  <c r="Z289" i="2" a="1"/>
  <c r="Z290" i="2" a="1"/>
  <c r="Z291" i="2" a="1"/>
  <c r="Z292" i="2" a="1"/>
  <c r="Z293" i="2" a="1"/>
  <c r="Z294" i="2" a="1"/>
  <c r="Z295" i="2" a="1"/>
  <c r="Z296" i="2" a="1"/>
  <c r="Z297" i="2" a="1"/>
  <c r="Z298" i="2" a="1"/>
  <c r="Z299" i="2" a="1"/>
  <c r="Z300" i="2" a="1"/>
  <c r="Z301" i="2" a="1"/>
  <c r="Z302" i="2" a="1"/>
  <c r="Z303" i="2" a="1"/>
  <c r="Z304" i="2" a="1"/>
  <c r="Z305" i="2" a="1"/>
  <c r="Z306" i="2" a="1"/>
  <c r="Z307" i="2" a="1"/>
  <c r="Z308" i="2" a="1"/>
  <c r="Z309" i="2" a="1"/>
  <c r="Z310" i="2" a="1"/>
  <c r="Z311" i="2" a="1"/>
  <c r="Z312" i="2" a="1"/>
  <c r="Z313" i="2" a="1"/>
  <c r="Z314" i="2" a="1"/>
  <c r="Z315" i="2" a="1"/>
  <c r="Z316" i="2" a="1"/>
  <c r="Z317" i="2" a="1"/>
  <c r="Z318" i="2" a="1"/>
  <c r="Z319" i="2" a="1"/>
  <c r="Z320" i="2" a="1"/>
  <c r="Z321" i="2" a="1"/>
  <c r="Z322" i="2" a="1"/>
  <c r="Z323" i="2" a="1"/>
  <c r="Z324" i="2" a="1"/>
  <c r="Z325" i="2" a="1"/>
  <c r="Z326" i="2" a="1"/>
  <c r="Z327" i="2" a="1"/>
  <c r="Z328" i="2" a="1"/>
  <c r="Z329" i="2" a="1"/>
  <c r="Z330" i="2" a="1"/>
  <c r="Z331" i="2" a="1"/>
  <c r="Z332" i="2" a="1"/>
  <c r="Z333" i="2" a="1"/>
  <c r="Z334" i="2" a="1"/>
  <c r="Z335" i="2" a="1"/>
  <c r="Z336" i="2" a="1"/>
  <c r="Z337" i="2" a="1"/>
  <c r="Z338" i="2" a="1"/>
  <c r="Z339" i="2" a="1"/>
  <c r="Z340" i="2" a="1"/>
  <c r="Z341" i="2" a="1"/>
  <c r="Z342" i="2" a="1"/>
  <c r="Z343" i="2" a="1"/>
  <c r="Z344" i="2" a="1"/>
  <c r="Z345" i="2" a="1"/>
  <c r="Z346" i="2" a="1"/>
  <c r="Z347" i="2" a="1"/>
  <c r="Z348" i="2" a="1"/>
  <c r="Z349" i="2" a="1"/>
  <c r="Z350" i="2" a="1"/>
  <c r="Z351" i="2" a="1"/>
  <c r="Z352" i="2" a="1"/>
  <c r="Z353" i="2" a="1"/>
  <c r="Z354" i="2" a="1"/>
  <c r="Z355" i="2" a="1"/>
  <c r="Z356" i="2" a="1"/>
  <c r="Z357" i="2" a="1"/>
  <c r="Z358" i="2" a="1"/>
  <c r="Z359" i="2" a="1"/>
  <c r="Z360" i="2" a="1"/>
  <c r="Z361" i="2" a="1"/>
  <c r="Z362" i="2" a="1"/>
  <c r="Z363" i="2" a="1"/>
  <c r="Z364" i="2" a="1"/>
  <c r="Z365" i="2" a="1"/>
  <c r="Z366" i="2" a="1"/>
  <c r="Z367" i="2" a="1"/>
  <c r="Z368" i="2" a="1"/>
  <c r="Z369" i="2" a="1"/>
  <c r="Z370" i="2" a="1"/>
  <c r="Z371" i="2" a="1"/>
  <c r="Z372" i="2" a="1"/>
  <c r="Z373" i="2" a="1"/>
  <c r="Z374" i="2" a="1"/>
  <c r="Z375" i="2" a="1"/>
  <c r="Z376" i="2" a="1"/>
  <c r="Z377" i="2" a="1"/>
  <c r="Z378" i="2" a="1"/>
  <c r="Z379" i="2" a="1"/>
  <c r="Z380" i="2" a="1"/>
  <c r="Z381" i="2" a="1"/>
  <c r="Z382" i="2" a="1"/>
  <c r="Z383" i="2" a="1"/>
  <c r="Z384" i="2" a="1"/>
  <c r="Z385" i="2" a="1"/>
  <c r="Z386" i="2" a="1"/>
  <c r="Z387" i="2" a="1"/>
  <c r="Z388" i="2" a="1"/>
  <c r="Z389" i="2" a="1"/>
  <c r="Z390" i="2" a="1"/>
  <c r="Z391" i="2" a="1"/>
  <c r="Z392" i="2" a="1"/>
  <c r="Z393" i="2" a="1"/>
  <c r="Z394" i="2" a="1"/>
  <c r="Z395" i="2" a="1"/>
  <c r="Z396" i="2" a="1"/>
  <c r="Z397" i="2" a="1"/>
  <c r="Z398" i="2" a="1"/>
  <c r="Z399" i="2" a="1"/>
  <c r="Z400" i="2" a="1"/>
  <c r="Z401" i="2" a="1"/>
  <c r="Z402" i="2" a="1"/>
  <c r="Z403" i="2" a="1"/>
  <c r="Z404" i="2" a="1"/>
  <c r="Z405" i="2" a="1"/>
  <c r="Z406" i="2" a="1"/>
  <c r="Z407" i="2" a="1"/>
  <c r="Z408" i="2" a="1"/>
  <c r="Z409" i="2" a="1"/>
  <c r="Z410" i="2" a="1"/>
  <c r="Z411" i="2" a="1"/>
  <c r="Z412" i="2" a="1"/>
  <c r="Z413" i="2" a="1"/>
  <c r="Z414" i="2" a="1"/>
  <c r="Z415" i="2" a="1"/>
  <c r="Z416" i="2" a="1"/>
  <c r="Z417" i="2" a="1"/>
  <c r="Z418" i="2" a="1"/>
  <c r="Z419" i="2" a="1"/>
  <c r="Z420" i="2" a="1"/>
  <c r="Z421" i="2" a="1"/>
  <c r="Z422" i="2" a="1"/>
  <c r="Z423" i="2" a="1"/>
  <c r="Z424" i="2" a="1"/>
  <c r="Z425" i="2" a="1"/>
  <c r="Z426" i="2" a="1"/>
  <c r="Z427" i="2" a="1"/>
  <c r="Z428" i="2" a="1"/>
  <c r="Z429" i="2" a="1"/>
  <c r="Z430" i="2" a="1"/>
  <c r="Z431" i="2" a="1"/>
  <c r="Z432" i="2" a="1"/>
  <c r="Z433" i="2" a="1"/>
  <c r="Z434" i="2" a="1"/>
  <c r="Z435" i="2" a="1"/>
  <c r="Z436" i="2" a="1"/>
  <c r="Z437" i="2" a="1"/>
  <c r="Z438" i="2" a="1"/>
  <c r="Z439" i="2" a="1"/>
  <c r="Z440" i="2" a="1"/>
  <c r="Z441" i="2" a="1"/>
  <c r="Z442" i="2" a="1"/>
  <c r="Z443" i="2" a="1"/>
  <c r="Z444" i="2" a="1"/>
  <c r="Z445" i="2" a="1"/>
  <c r="Z446" i="2" a="1"/>
  <c r="Z447" i="2" a="1"/>
  <c r="Z448" i="2" a="1"/>
  <c r="Z449" i="2" a="1"/>
  <c r="Z450" i="2" a="1"/>
  <c r="Z451" i="2" a="1"/>
  <c r="Z452" i="2" a="1"/>
  <c r="Z453" i="2" a="1"/>
  <c r="Z454" i="2" a="1"/>
  <c r="Z455" i="2" a="1"/>
  <c r="Z456" i="2" a="1"/>
  <c r="Z457" i="2" a="1"/>
  <c r="Z458" i="2" a="1"/>
  <c r="Z459" i="2" a="1"/>
  <c r="Z460" i="2" a="1"/>
  <c r="Z461" i="2" a="1"/>
  <c r="Z462" i="2" a="1"/>
  <c r="Z463" i="2" a="1"/>
  <c r="Z464" i="2" a="1"/>
  <c r="Z465" i="2" a="1"/>
  <c r="Z466" i="2" a="1"/>
  <c r="Z467" i="2" a="1"/>
  <c r="Z468" i="2" a="1"/>
  <c r="Z469" i="2" a="1"/>
  <c r="Z470" i="2" a="1"/>
  <c r="Z471" i="2" a="1"/>
  <c r="Z472" i="2" a="1"/>
  <c r="Z473" i="2" a="1"/>
  <c r="Z474" i="2" a="1"/>
  <c r="Z475" i="2" a="1"/>
  <c r="Z476" i="2" a="1"/>
  <c r="Z477" i="2" a="1"/>
  <c r="Z478" i="2" a="1"/>
  <c r="Z479" i="2" a="1"/>
  <c r="Z480" i="2" a="1"/>
  <c r="Z481" i="2" a="1"/>
  <c r="Z482" i="2" a="1"/>
  <c r="Z483" i="2" a="1"/>
  <c r="Z484" i="2" a="1"/>
  <c r="Z485" i="2" a="1"/>
  <c r="Z486" i="2" a="1"/>
  <c r="Z487" i="2" a="1"/>
  <c r="Z488" i="2" a="1"/>
  <c r="Z489" i="2" a="1"/>
  <c r="Z490" i="2" a="1"/>
  <c r="Z491" i="2" a="1"/>
  <c r="Z492" i="2" a="1"/>
  <c r="Z493" i="2" a="1"/>
  <c r="Z494" i="2" a="1"/>
  <c r="Z495" i="2" a="1"/>
  <c r="Z496" i="2" a="1"/>
  <c r="Z497" i="2" a="1"/>
  <c r="Z498" i="2" a="1"/>
  <c r="Z499" i="2" a="1"/>
  <c r="Z500" i="2" a="1"/>
  <c r="Z501" i="2" a="1"/>
  <c r="Z502" i="2" a="1"/>
  <c r="Z503" i="2" a="1"/>
  <c r="Z504" i="2" a="1"/>
  <c r="Z505" i="2" a="1"/>
  <c r="Z506" i="2" a="1"/>
  <c r="Z507" i="2" a="1"/>
  <c r="Z508" i="2" a="1"/>
  <c r="Z509" i="2" a="1"/>
  <c r="Z510" i="2" a="1"/>
  <c r="Z511" i="2" a="1"/>
  <c r="Z512" i="2" a="1"/>
  <c r="Z513" i="2" a="1"/>
  <c r="Z514" i="2" a="1"/>
  <c r="Z515" i="2" a="1"/>
  <c r="Z516" i="2" a="1"/>
  <c r="Z517" i="2" a="1"/>
  <c r="Z518" i="2" a="1"/>
  <c r="Z519" i="2" a="1"/>
  <c r="Z520" i="2" a="1"/>
  <c r="Z521" i="2" a="1"/>
  <c r="Z522" i="2" a="1"/>
  <c r="Z523" i="2" a="1"/>
  <c r="Z524" i="2" a="1"/>
  <c r="Z525" i="2" a="1"/>
  <c r="Z526" i="2" a="1"/>
  <c r="Z527" i="2" a="1"/>
  <c r="Z528" i="2" a="1"/>
  <c r="Z529" i="2" a="1"/>
  <c r="Z530" i="2" a="1"/>
  <c r="Z531" i="2" a="1"/>
  <c r="Z532" i="2" a="1"/>
  <c r="Z533" i="2" a="1"/>
  <c r="Z534" i="2" a="1"/>
  <c r="Z535" i="2" a="1"/>
  <c r="Z536" i="2" a="1"/>
  <c r="Z537" i="2" a="1"/>
  <c r="Z538" i="2" a="1"/>
  <c r="Z539" i="2" a="1"/>
  <c r="Z540" i="2" a="1"/>
  <c r="Z541" i="2" a="1"/>
  <c r="Z542" i="2" a="1"/>
  <c r="Z543" i="2" a="1"/>
  <c r="Z544" i="2" a="1"/>
  <c r="Z545" i="2" a="1"/>
  <c r="Z546" i="2" a="1"/>
  <c r="Z547" i="2" a="1"/>
  <c r="Z548" i="2" a="1"/>
  <c r="Z549" i="2" a="1"/>
  <c r="Z550" i="2" a="1"/>
  <c r="Z551" i="2" a="1"/>
  <c r="Z552" i="2" a="1"/>
  <c r="Z553" i="2" a="1"/>
  <c r="Z554" i="2" a="1"/>
  <c r="Z555" i="2" a="1"/>
  <c r="Z556" i="2" a="1"/>
  <c r="Z557" i="2" a="1"/>
  <c r="Z558" i="2" a="1"/>
  <c r="Z559" i="2" a="1"/>
  <c r="Z560" i="2" a="1"/>
  <c r="Z561" i="2" a="1"/>
  <c r="Z562" i="2" a="1"/>
  <c r="Z563" i="2" a="1"/>
  <c r="Z564" i="2" a="1"/>
  <c r="Z565" i="2" a="1"/>
  <c r="Z566" i="2" a="1"/>
  <c r="Z567" i="2" a="1"/>
  <c r="Z568" i="2" a="1"/>
  <c r="Z569" i="2" a="1"/>
  <c r="Z570" i="2" a="1"/>
  <c r="Z571" i="2" a="1"/>
  <c r="Z572" i="2" a="1"/>
  <c r="Z573" i="2" a="1"/>
  <c r="Z574" i="2" a="1"/>
  <c r="Z575" i="2" a="1"/>
  <c r="Z577" i="2" a="1"/>
  <c r="Z578" i="2" a="1"/>
  <c r="Z579" i="2" a="1"/>
  <c r="Z580" i="2" a="1"/>
  <c r="Z581" i="2" a="1"/>
  <c r="Z582" i="2" a="1"/>
  <c r="Z583" i="2" a="1"/>
  <c r="Z584" i="2" a="1"/>
  <c r="Z585" i="2" a="1"/>
  <c r="Z586" i="2" a="1"/>
  <c r="Z587" i="2" a="1"/>
  <c r="Z588" i="2" a="1"/>
  <c r="Z589" i="2" a="1"/>
  <c r="Z590" i="2" a="1"/>
  <c r="Z591" i="2" a="1"/>
  <c r="Z592" i="2" a="1"/>
  <c r="Z593" i="2" a="1"/>
  <c r="Z594" i="2" a="1"/>
  <c r="Z2" i="2" a="1"/>
  <c r="Y3" i="2" a="1"/>
  <c r="Y4" i="2" a="1"/>
  <c r="Y5" i="2" a="1"/>
  <c r="Y6" i="2" a="1"/>
  <c r="Y7" i="2" a="1"/>
  <c r="Y8" i="2" a="1"/>
  <c r="Y9" i="2" a="1"/>
  <c r="Y10" i="2" a="1"/>
  <c r="Y11" i="2" a="1"/>
  <c r="Y12" i="2" a="1"/>
  <c r="Y13" i="2" a="1"/>
  <c r="Y14" i="2" a="1"/>
  <c r="Y15" i="2" a="1"/>
  <c r="Y16" i="2" a="1"/>
  <c r="Y17" i="2" a="1"/>
  <c r="Y18" i="2" a="1"/>
  <c r="Y19" i="2" a="1"/>
  <c r="Y20" i="2" a="1"/>
  <c r="Y21" i="2" a="1"/>
  <c r="Y22" i="2" a="1"/>
  <c r="Y23" i="2" a="1"/>
  <c r="Y24" i="2" a="1"/>
  <c r="Y25" i="2" a="1"/>
  <c r="Y26" i="2" a="1"/>
  <c r="Y27" i="2" a="1"/>
  <c r="Y28" i="2" a="1"/>
  <c r="Y29" i="2" a="1"/>
  <c r="Y30" i="2" a="1"/>
  <c r="Y31" i="2" a="1"/>
  <c r="Y32" i="2" a="1"/>
  <c r="Y33" i="2" a="1"/>
  <c r="Y34" i="2" a="1"/>
  <c r="Y35" i="2" a="1"/>
  <c r="Y36" i="2" a="1"/>
  <c r="Y37" i="2" a="1"/>
  <c r="Y38" i="2" a="1"/>
  <c r="Y39" i="2" a="1"/>
  <c r="Y40" i="2" a="1"/>
  <c r="Y41" i="2" a="1"/>
  <c r="Y42" i="2" a="1"/>
  <c r="Y43" i="2" a="1"/>
  <c r="Y44" i="2" a="1"/>
  <c r="Y45" i="2" a="1"/>
  <c r="Y46" i="2" a="1"/>
  <c r="Y47" i="2" a="1"/>
  <c r="Y48" i="2" a="1"/>
  <c r="Y49" i="2" a="1"/>
  <c r="Y50" i="2" a="1"/>
  <c r="Y51" i="2" a="1"/>
  <c r="Y52" i="2" a="1"/>
  <c r="Y53" i="2" a="1"/>
  <c r="Y54" i="2" a="1"/>
  <c r="Y55" i="2" a="1"/>
  <c r="Y56" i="2" a="1"/>
  <c r="Y57" i="2" a="1"/>
  <c r="Y58" i="2" a="1"/>
  <c r="Y59" i="2" a="1"/>
  <c r="Y60" i="2" a="1"/>
  <c r="Y61" i="2" a="1"/>
  <c r="Y62" i="2" a="1"/>
  <c r="Y63" i="2" a="1"/>
  <c r="Y64" i="2" a="1"/>
  <c r="Y65" i="2" a="1"/>
  <c r="Y66" i="2" a="1"/>
  <c r="Y67" i="2" a="1"/>
  <c r="Y68" i="2" a="1"/>
  <c r="Y69" i="2" a="1"/>
  <c r="Y70" i="2" a="1"/>
  <c r="Y71" i="2" a="1"/>
  <c r="Y72" i="2" a="1"/>
  <c r="Y73" i="2" a="1"/>
  <c r="Y74" i="2" a="1"/>
  <c r="Y75" i="2" a="1"/>
  <c r="Y76" i="2" a="1"/>
  <c r="Y77" i="2" a="1"/>
  <c r="Y78" i="2" a="1"/>
  <c r="Y79" i="2" a="1"/>
  <c r="Y80" i="2" a="1"/>
  <c r="Y81" i="2" a="1"/>
  <c r="Y82" i="2" a="1"/>
  <c r="Y83" i="2" a="1"/>
  <c r="Y84" i="2" a="1"/>
  <c r="Y85" i="2" a="1"/>
  <c r="Y86" i="2" a="1"/>
  <c r="Y87" i="2" a="1"/>
  <c r="Y88" i="2" a="1"/>
  <c r="Y89" i="2" a="1"/>
  <c r="Y90" i="2" a="1"/>
  <c r="Y91" i="2" a="1"/>
  <c r="Y92" i="2" a="1"/>
  <c r="Y93" i="2" a="1"/>
  <c r="Y94" i="2" a="1"/>
  <c r="Y95" i="2" a="1"/>
  <c r="Y96" i="2" a="1"/>
  <c r="Y97" i="2" a="1"/>
  <c r="Y98" i="2" a="1"/>
  <c r="Y99" i="2" a="1"/>
  <c r="Y100" i="2" a="1"/>
  <c r="Y101" i="2" a="1"/>
  <c r="Y102" i="2" a="1"/>
  <c r="Y103" i="2" a="1"/>
  <c r="Y104" i="2" a="1"/>
  <c r="Y105" i="2" a="1"/>
  <c r="Y106" i="2" a="1"/>
  <c r="Y107" i="2" a="1"/>
  <c r="Y108" i="2" a="1"/>
  <c r="Y109" i="2" a="1"/>
  <c r="Y110" i="2" a="1"/>
  <c r="Y111" i="2" a="1"/>
  <c r="Y112" i="2" a="1"/>
  <c r="Y113" i="2" a="1"/>
  <c r="Y114" i="2" a="1"/>
  <c r="Y115" i="2" a="1"/>
  <c r="Y116" i="2" a="1"/>
  <c r="Y117" i="2" a="1"/>
  <c r="Y118" i="2" a="1"/>
  <c r="Y119" i="2" a="1"/>
  <c r="Y120" i="2" a="1"/>
  <c r="Y121" i="2" a="1"/>
  <c r="Y122" i="2" a="1"/>
  <c r="Y123" i="2" a="1"/>
  <c r="Y124" i="2" a="1"/>
  <c r="Y125" i="2" a="1"/>
  <c r="Y126" i="2" a="1"/>
  <c r="Y127" i="2" a="1"/>
  <c r="Y128" i="2" a="1"/>
  <c r="Y129" i="2" a="1"/>
  <c r="Y130" i="2" a="1"/>
  <c r="Y131" i="2" a="1"/>
  <c r="Y132" i="2" a="1"/>
  <c r="Y133" i="2" a="1"/>
  <c r="Y134" i="2" a="1"/>
  <c r="Y135" i="2" a="1"/>
  <c r="Y136" i="2" a="1"/>
  <c r="Y137" i="2" a="1"/>
  <c r="Y138" i="2" a="1"/>
  <c r="Y139" i="2" a="1"/>
  <c r="Y140" i="2" a="1"/>
  <c r="Y141" i="2" a="1"/>
  <c r="Y142" i="2" a="1"/>
  <c r="Y143" i="2" a="1"/>
  <c r="Y144" i="2" a="1"/>
  <c r="Y145" i="2" a="1"/>
  <c r="Y146" i="2" a="1"/>
  <c r="Y147" i="2" a="1"/>
  <c r="Y148" i="2" a="1"/>
  <c r="Y149" i="2" a="1"/>
  <c r="Y150" i="2" a="1"/>
  <c r="Y151" i="2" a="1"/>
  <c r="Y152" i="2" a="1"/>
  <c r="Y153" i="2" a="1"/>
  <c r="Y154" i="2" a="1"/>
  <c r="Y155" i="2" a="1"/>
  <c r="Y156" i="2" a="1"/>
  <c r="Y157" i="2" a="1"/>
  <c r="Y158" i="2" a="1"/>
  <c r="Y159" i="2" a="1"/>
  <c r="Y160" i="2" a="1"/>
  <c r="Y161" i="2" a="1"/>
  <c r="Y162" i="2" a="1"/>
  <c r="Y163" i="2" a="1"/>
  <c r="Y164" i="2" a="1"/>
  <c r="Y165" i="2" a="1"/>
  <c r="Y166" i="2" a="1"/>
  <c r="Y167" i="2" a="1"/>
  <c r="Y168" i="2" a="1"/>
  <c r="Y169" i="2" a="1"/>
  <c r="Y170" i="2" a="1"/>
  <c r="Y171" i="2" a="1"/>
  <c r="Y172" i="2" a="1"/>
  <c r="Y173" i="2" a="1"/>
  <c r="Y174" i="2" a="1"/>
  <c r="Y175" i="2" a="1"/>
  <c r="Y176" i="2" a="1"/>
  <c r="Y177" i="2" a="1"/>
  <c r="Y178" i="2" a="1"/>
  <c r="Y179" i="2" a="1"/>
  <c r="Y180" i="2" a="1"/>
  <c r="Y181" i="2" a="1"/>
  <c r="Y182" i="2" a="1"/>
  <c r="Y183" i="2" a="1"/>
  <c r="Y184" i="2" a="1"/>
  <c r="Y185" i="2" a="1"/>
  <c r="Y186" i="2" a="1"/>
  <c r="Y187" i="2" a="1"/>
  <c r="Y188" i="2" a="1"/>
  <c r="Y189" i="2" a="1"/>
  <c r="Y190" i="2" a="1"/>
  <c r="Y191" i="2" a="1"/>
  <c r="Y192" i="2" a="1"/>
  <c r="Y193" i="2" a="1"/>
  <c r="Y194" i="2" a="1"/>
  <c r="Y195" i="2" a="1"/>
  <c r="Y196" i="2" a="1"/>
  <c r="Y197" i="2" a="1"/>
  <c r="Y198" i="2" a="1"/>
  <c r="Y199" i="2" a="1"/>
  <c r="Y200" i="2" a="1"/>
  <c r="Y201" i="2" a="1"/>
  <c r="Y202" i="2" a="1"/>
  <c r="Y203" i="2" a="1"/>
  <c r="Y204" i="2" a="1"/>
  <c r="Y205" i="2" a="1"/>
  <c r="Y206" i="2" a="1"/>
  <c r="Y207" i="2" a="1"/>
  <c r="Y208" i="2" a="1"/>
  <c r="Y209" i="2" a="1"/>
  <c r="Y210" i="2" a="1"/>
  <c r="Y211" i="2" a="1"/>
  <c r="Y212" i="2" a="1"/>
  <c r="Y213" i="2" a="1"/>
  <c r="Y214" i="2" a="1"/>
  <c r="Y215" i="2" a="1"/>
  <c r="Y216" i="2" a="1"/>
  <c r="Y217" i="2" a="1"/>
  <c r="Y218" i="2" a="1"/>
  <c r="Y219" i="2" a="1"/>
  <c r="Y220" i="2" a="1"/>
  <c r="Y221" i="2" a="1"/>
  <c r="Y222" i="2" a="1"/>
  <c r="Y223" i="2" a="1"/>
  <c r="Y224" i="2" a="1"/>
  <c r="Y225" i="2" a="1"/>
  <c r="Y226" i="2" a="1"/>
  <c r="Y227" i="2" a="1"/>
  <c r="Y228" i="2" a="1"/>
  <c r="Y229" i="2" a="1"/>
  <c r="Y230" i="2" a="1"/>
  <c r="Y231" i="2" a="1"/>
  <c r="Y232" i="2" a="1"/>
  <c r="Y233" i="2" a="1"/>
  <c r="Y234" i="2" a="1"/>
  <c r="Y235" i="2" a="1"/>
  <c r="Y236" i="2" a="1"/>
  <c r="Y237" i="2" a="1"/>
  <c r="Y238" i="2" a="1"/>
  <c r="Y239" i="2" a="1"/>
  <c r="Y240" i="2" a="1"/>
  <c r="Y241" i="2" a="1"/>
  <c r="Y242" i="2" a="1"/>
  <c r="Y243" i="2" a="1"/>
  <c r="Y244" i="2" a="1"/>
  <c r="Y245" i="2" a="1"/>
  <c r="Y246" i="2" a="1"/>
  <c r="Y247" i="2" a="1"/>
  <c r="Y248" i="2" a="1"/>
  <c r="Y249" i="2" a="1"/>
  <c r="Y250" i="2" a="1"/>
  <c r="Y251" i="2" a="1"/>
  <c r="Y252" i="2" a="1"/>
  <c r="Y253" i="2" a="1"/>
  <c r="Y254" i="2" a="1"/>
  <c r="Y255" i="2" a="1"/>
  <c r="Y256" i="2" a="1"/>
  <c r="Y257" i="2" a="1"/>
  <c r="Y258" i="2" a="1"/>
  <c r="Y259" i="2" a="1"/>
  <c r="Y260" i="2" a="1"/>
  <c r="Y261" i="2" a="1"/>
  <c r="Y262" i="2" a="1"/>
  <c r="Y263" i="2" a="1"/>
  <c r="Y264" i="2" a="1"/>
  <c r="Y265" i="2" a="1"/>
  <c r="Y266" i="2" a="1"/>
  <c r="Y267" i="2" a="1"/>
  <c r="Y268" i="2" a="1"/>
  <c r="Y269" i="2" a="1"/>
  <c r="Y270" i="2" a="1"/>
  <c r="Y271" i="2" a="1"/>
  <c r="Y272" i="2" a="1"/>
  <c r="Y273" i="2" a="1"/>
  <c r="Y274" i="2" a="1"/>
  <c r="Y275" i="2" a="1"/>
  <c r="Y276" i="2" a="1"/>
  <c r="Y277" i="2" a="1"/>
  <c r="Y278" i="2" a="1"/>
  <c r="Y279" i="2" a="1"/>
  <c r="Y280" i="2" a="1"/>
  <c r="Y281" i="2" a="1"/>
  <c r="Y282" i="2" a="1"/>
  <c r="Y283" i="2" a="1"/>
  <c r="Y284" i="2" a="1"/>
  <c r="Y285" i="2" a="1"/>
  <c r="Y286" i="2" a="1"/>
  <c r="Y287" i="2" a="1"/>
  <c r="Y288" i="2" a="1"/>
  <c r="Y289" i="2" a="1"/>
  <c r="Y290" i="2" a="1"/>
  <c r="Y291" i="2" a="1"/>
  <c r="Y292" i="2" a="1"/>
  <c r="Y293" i="2" a="1"/>
  <c r="Y294" i="2" a="1"/>
  <c r="Y295" i="2" a="1"/>
  <c r="Y296" i="2" a="1"/>
  <c r="Y297" i="2" a="1"/>
  <c r="Y298" i="2" a="1"/>
  <c r="Y299" i="2" a="1"/>
  <c r="Y300" i="2" a="1"/>
  <c r="Y301" i="2" a="1"/>
  <c r="Y302" i="2" a="1"/>
  <c r="Y303" i="2" a="1"/>
  <c r="Y304" i="2" a="1"/>
  <c r="Y305" i="2" a="1"/>
  <c r="Y306" i="2" a="1"/>
  <c r="Y307" i="2" a="1"/>
  <c r="Y308" i="2" a="1"/>
  <c r="Y309" i="2" a="1"/>
  <c r="Y310" i="2" a="1"/>
  <c r="Y311" i="2" a="1"/>
  <c r="Y312" i="2" a="1"/>
  <c r="Y313" i="2" a="1"/>
  <c r="Y314" i="2" a="1"/>
  <c r="Y315" i="2" a="1"/>
  <c r="Y316" i="2" a="1"/>
  <c r="Y317" i="2" a="1"/>
  <c r="Y318" i="2" a="1"/>
  <c r="Y319" i="2" a="1"/>
  <c r="Y320" i="2" a="1"/>
  <c r="Y321" i="2" a="1"/>
  <c r="Y322" i="2" a="1"/>
  <c r="Y323" i="2" a="1"/>
  <c r="Y324" i="2" a="1"/>
  <c r="Y325" i="2" a="1"/>
  <c r="Y326" i="2" a="1"/>
  <c r="Y327" i="2" a="1"/>
  <c r="Y328" i="2" a="1"/>
  <c r="Y329" i="2" a="1"/>
  <c r="Y330" i="2" a="1"/>
  <c r="Y331" i="2" a="1"/>
  <c r="Y332" i="2" a="1"/>
  <c r="Y333" i="2" a="1"/>
  <c r="Y334" i="2" a="1"/>
  <c r="Y335" i="2" a="1"/>
  <c r="Y336" i="2" a="1"/>
  <c r="Y337" i="2" a="1"/>
  <c r="Y338" i="2" a="1"/>
  <c r="Y339" i="2" a="1"/>
  <c r="Y340" i="2" a="1"/>
  <c r="Y341" i="2" a="1"/>
  <c r="Y342" i="2" a="1"/>
  <c r="Y343" i="2" a="1"/>
  <c r="Y344" i="2" a="1"/>
  <c r="Y345" i="2" a="1"/>
  <c r="Y346" i="2" a="1"/>
  <c r="Y347" i="2" a="1"/>
  <c r="Y348" i="2" a="1"/>
  <c r="Y349" i="2" a="1"/>
  <c r="Y350" i="2" a="1"/>
  <c r="Y351" i="2" a="1"/>
  <c r="Y352" i="2" a="1"/>
  <c r="Y353" i="2" a="1"/>
  <c r="Y354" i="2" a="1"/>
  <c r="Y355" i="2" a="1"/>
  <c r="Y356" i="2" a="1"/>
  <c r="Y357" i="2" a="1"/>
  <c r="Y358" i="2" a="1"/>
  <c r="Y359" i="2" a="1"/>
  <c r="Y360" i="2" a="1"/>
  <c r="Y361" i="2" a="1"/>
  <c r="Y362" i="2" a="1"/>
  <c r="Y363" i="2" a="1"/>
  <c r="Y364" i="2" a="1"/>
  <c r="Y365" i="2" a="1"/>
  <c r="Y366" i="2" a="1"/>
  <c r="Y367" i="2" a="1"/>
  <c r="Y368" i="2" a="1"/>
  <c r="Y369" i="2" a="1"/>
  <c r="Y370" i="2" a="1"/>
  <c r="Y371" i="2" a="1"/>
  <c r="Y372" i="2" a="1"/>
  <c r="Y373" i="2" a="1"/>
  <c r="Y374" i="2" a="1"/>
  <c r="Y375" i="2" a="1"/>
  <c r="Y376" i="2" a="1"/>
  <c r="Y377" i="2" a="1"/>
  <c r="Y378" i="2" a="1"/>
  <c r="Y379" i="2" a="1"/>
  <c r="Y380" i="2" a="1"/>
  <c r="Y381" i="2" a="1"/>
  <c r="Y382" i="2" a="1"/>
  <c r="Y383" i="2" a="1"/>
  <c r="Y384" i="2" a="1"/>
  <c r="Y385" i="2" a="1"/>
  <c r="Y386" i="2" a="1"/>
  <c r="Y387" i="2" a="1"/>
  <c r="Y388" i="2" a="1"/>
  <c r="Y389" i="2" a="1"/>
  <c r="Y390" i="2" a="1"/>
  <c r="Y391" i="2" a="1"/>
  <c r="Y392" i="2" a="1"/>
  <c r="Y393" i="2" a="1"/>
  <c r="Y394" i="2" a="1"/>
  <c r="Y395" i="2" a="1"/>
  <c r="Y396" i="2" a="1"/>
  <c r="Y397" i="2" a="1"/>
  <c r="Y398" i="2" a="1"/>
  <c r="Y399" i="2" a="1"/>
  <c r="Y400" i="2" a="1"/>
  <c r="Y401" i="2" a="1"/>
  <c r="Y402" i="2" a="1"/>
  <c r="Y403" i="2" a="1"/>
  <c r="Y404" i="2" a="1"/>
  <c r="Y405" i="2" a="1"/>
  <c r="Y406" i="2" a="1"/>
  <c r="Y407" i="2" a="1"/>
  <c r="Y408" i="2" a="1"/>
  <c r="Y409" i="2" a="1"/>
  <c r="Y410" i="2" a="1"/>
  <c r="Y411" i="2" a="1"/>
  <c r="Y412" i="2" a="1"/>
  <c r="Y413" i="2" a="1"/>
  <c r="Y414" i="2" a="1"/>
  <c r="Y415" i="2" a="1"/>
  <c r="Y416" i="2" a="1"/>
  <c r="Y417" i="2" a="1"/>
  <c r="Y418" i="2" a="1"/>
  <c r="Y419" i="2" a="1"/>
  <c r="Y420" i="2" a="1"/>
  <c r="Y421" i="2" a="1"/>
  <c r="Y422" i="2" a="1"/>
  <c r="Y423" i="2" a="1"/>
  <c r="Y424" i="2" a="1"/>
  <c r="Y425" i="2" a="1"/>
  <c r="Y426" i="2" a="1"/>
  <c r="Y427" i="2" a="1"/>
  <c r="Y428" i="2" a="1"/>
  <c r="Y429" i="2" a="1"/>
  <c r="Y430" i="2" a="1"/>
  <c r="Y431" i="2" a="1"/>
  <c r="Y432" i="2" a="1"/>
  <c r="Y433" i="2" a="1"/>
  <c r="Y434" i="2" a="1"/>
  <c r="Y435" i="2" a="1"/>
  <c r="Y436" i="2" a="1"/>
  <c r="Y437" i="2" a="1"/>
  <c r="Y438" i="2" a="1"/>
  <c r="Y439" i="2" a="1"/>
  <c r="Y440" i="2" a="1"/>
  <c r="Y441" i="2" a="1"/>
  <c r="Y442" i="2" a="1"/>
  <c r="Y443" i="2" a="1"/>
  <c r="Y444" i="2" a="1"/>
  <c r="Y445" i="2" a="1"/>
  <c r="Y446" i="2" a="1"/>
  <c r="Y447" i="2" a="1"/>
  <c r="Y448" i="2" a="1"/>
  <c r="Y449" i="2" a="1"/>
  <c r="Y450" i="2" a="1"/>
  <c r="Y451" i="2" a="1"/>
  <c r="Y452" i="2" a="1"/>
  <c r="Y453" i="2" a="1"/>
  <c r="Y454" i="2" a="1"/>
  <c r="Y455" i="2" a="1"/>
  <c r="Y456" i="2" a="1"/>
  <c r="Y457" i="2" a="1"/>
  <c r="Y458" i="2" a="1"/>
  <c r="Y459" i="2" a="1"/>
  <c r="Y460" i="2" a="1"/>
  <c r="Y461" i="2" a="1"/>
  <c r="Y462" i="2" a="1"/>
  <c r="Y463" i="2" a="1"/>
  <c r="Y464" i="2" a="1"/>
  <c r="Y465" i="2" a="1"/>
  <c r="Y466" i="2" a="1"/>
  <c r="Y467" i="2" a="1"/>
  <c r="Y468" i="2" a="1"/>
  <c r="Y469" i="2" a="1"/>
  <c r="Y470" i="2" a="1"/>
  <c r="Y471" i="2" a="1"/>
  <c r="Y472" i="2" a="1"/>
  <c r="Y473" i="2" a="1"/>
  <c r="Y474" i="2" a="1"/>
  <c r="Y475" i="2" a="1"/>
  <c r="Y476" i="2" a="1"/>
  <c r="Y477" i="2" a="1"/>
  <c r="Y478" i="2" a="1"/>
  <c r="Y479" i="2" a="1"/>
  <c r="Y480" i="2" a="1"/>
  <c r="Y481" i="2" a="1"/>
  <c r="Y482" i="2" a="1"/>
  <c r="Y483" i="2" a="1"/>
  <c r="Y484" i="2" a="1"/>
  <c r="Y485" i="2" a="1"/>
  <c r="Y486" i="2" a="1"/>
  <c r="Y487" i="2" a="1"/>
  <c r="Y488" i="2" a="1"/>
  <c r="Y489" i="2" a="1"/>
  <c r="Y490" i="2" a="1"/>
  <c r="Y491" i="2" a="1"/>
  <c r="Y492" i="2" a="1"/>
  <c r="Y493" i="2" a="1"/>
  <c r="Y494" i="2" a="1"/>
  <c r="Y495" i="2" a="1"/>
  <c r="Y496" i="2" a="1"/>
  <c r="Y497" i="2" a="1"/>
  <c r="Y498" i="2" a="1"/>
  <c r="Y499" i="2" a="1"/>
  <c r="Y500" i="2" a="1"/>
  <c r="Y501" i="2" a="1"/>
  <c r="Y502" i="2" a="1"/>
  <c r="Y503" i="2" a="1"/>
  <c r="Y504" i="2" a="1"/>
  <c r="Y505" i="2" a="1"/>
  <c r="Y506" i="2" a="1"/>
  <c r="Y507" i="2" a="1"/>
  <c r="Y508" i="2" a="1"/>
  <c r="Y509" i="2" a="1"/>
  <c r="Y510" i="2" a="1"/>
  <c r="Y511" i="2" a="1"/>
  <c r="Y512" i="2" a="1"/>
  <c r="Y513" i="2" a="1"/>
  <c r="Y514" i="2" a="1"/>
  <c r="Y515" i="2" a="1"/>
  <c r="Y516" i="2" a="1"/>
  <c r="Y517" i="2" a="1"/>
  <c r="Y518" i="2" a="1"/>
  <c r="Y519" i="2" a="1"/>
  <c r="Y520" i="2" a="1"/>
  <c r="Y521" i="2" a="1"/>
  <c r="Y522" i="2" a="1"/>
  <c r="Y523" i="2" a="1"/>
  <c r="Y524" i="2" a="1"/>
  <c r="Y525" i="2" a="1"/>
  <c r="Y526" i="2" a="1"/>
  <c r="Y527" i="2" a="1"/>
  <c r="Y528" i="2" a="1"/>
  <c r="Y529" i="2" a="1"/>
  <c r="Y530" i="2" a="1"/>
  <c r="Y531" i="2" a="1"/>
  <c r="Y532" i="2" a="1"/>
  <c r="Y533" i="2" a="1"/>
  <c r="Y534" i="2" a="1"/>
  <c r="Y535" i="2" a="1"/>
  <c r="Y536" i="2" a="1"/>
  <c r="Y537" i="2" a="1"/>
  <c r="Y538" i="2" a="1"/>
  <c r="Y539" i="2" a="1"/>
  <c r="Y540" i="2" a="1"/>
  <c r="Y541" i="2" a="1"/>
  <c r="Y542" i="2" a="1"/>
  <c r="Y543" i="2" a="1"/>
  <c r="Y544" i="2" a="1"/>
  <c r="Y545" i="2" a="1"/>
  <c r="Y546" i="2" a="1"/>
  <c r="Y547" i="2" a="1"/>
  <c r="Y548" i="2" a="1"/>
  <c r="Y549" i="2" a="1"/>
  <c r="Y550" i="2" a="1"/>
  <c r="Y551" i="2" a="1"/>
  <c r="Y552" i="2" a="1"/>
  <c r="Y553" i="2" a="1"/>
  <c r="Y554" i="2" a="1"/>
  <c r="Y555" i="2" a="1"/>
  <c r="Y556" i="2" a="1"/>
  <c r="Y557" i="2" a="1"/>
  <c r="Y558" i="2" a="1"/>
  <c r="Y559" i="2" a="1"/>
  <c r="Y560" i="2" a="1"/>
  <c r="Y561" i="2" a="1"/>
  <c r="Y562" i="2" a="1"/>
  <c r="Y563" i="2" a="1"/>
  <c r="Y564" i="2" a="1"/>
  <c r="Y565" i="2" a="1"/>
  <c r="Y566" i="2" a="1"/>
  <c r="Y567" i="2" a="1"/>
  <c r="Y568" i="2" a="1"/>
  <c r="Y569" i="2" a="1"/>
  <c r="Y570" i="2" a="1"/>
  <c r="Y571" i="2" a="1"/>
  <c r="Y572" i="2" a="1"/>
  <c r="Y573" i="2" a="1"/>
  <c r="Y574" i="2" a="1"/>
  <c r="Y575" i="2" a="1"/>
  <c r="Y577" i="2" a="1"/>
  <c r="Y578" i="2" a="1"/>
  <c r="Y579" i="2" a="1"/>
  <c r="Y580" i="2" a="1"/>
  <c r="Y581" i="2" a="1"/>
  <c r="Y582" i="2" a="1"/>
  <c r="Y583" i="2" a="1"/>
  <c r="Y584" i="2" a="1"/>
  <c r="Y585" i="2" a="1"/>
  <c r="Y586" i="2" a="1"/>
  <c r="Y587" i="2" a="1"/>
  <c r="Y588" i="2" a="1"/>
  <c r="Y589" i="2" a="1"/>
  <c r="Y590" i="2" a="1"/>
  <c r="Y591" i="2" a="1"/>
  <c r="Y592" i="2" a="1"/>
  <c r="Y593" i="2" a="1"/>
  <c r="Y594" i="2" a="1"/>
  <c r="Y2" i="2" a="1"/>
  <c r="AA593" i="2" a="1"/>
  <c r="AA592" i="2" a="1"/>
  <c r="AA591" i="2" a="1"/>
  <c r="AA590" i="2" a="1"/>
  <c r="AA589" i="2" a="1"/>
  <c r="AA588" i="2" a="1"/>
  <c r="AA587" i="2" a="1"/>
  <c r="AA586" i="2" a="1"/>
  <c r="AA585" i="2" a="1"/>
  <c r="AA584" i="2" a="1"/>
  <c r="AA583" i="2" a="1"/>
  <c r="AA582" i="2" a="1"/>
  <c r="AA581" i="2" a="1"/>
  <c r="AA580" i="2" a="1"/>
  <c r="AA579" i="2" a="1"/>
  <c r="AA578" i="2" a="1"/>
  <c r="AA577" i="2" a="1"/>
  <c r="AA575" i="2" a="1"/>
  <c r="AA574" i="2" a="1"/>
  <c r="AA573" i="2" a="1"/>
  <c r="AA572" i="2" a="1"/>
  <c r="AA571" i="2" a="1"/>
  <c r="AA570" i="2" a="1"/>
  <c r="AA569" i="2" a="1"/>
  <c r="AA568" i="2" a="1"/>
  <c r="AA567" i="2" a="1"/>
  <c r="AA566" i="2" a="1"/>
  <c r="AA565" i="2" a="1"/>
  <c r="AA564" i="2" a="1"/>
  <c r="AA563" i="2" a="1"/>
  <c r="AA562" i="2" a="1"/>
  <c r="AA561" i="2" a="1"/>
  <c r="AA560" i="2" a="1"/>
  <c r="AA559" i="2" a="1"/>
  <c r="AA558" i="2" a="1"/>
  <c r="AA557" i="2" a="1"/>
  <c r="AA556" i="2" a="1"/>
  <c r="AA555" i="2" a="1"/>
  <c r="AA554" i="2" a="1"/>
  <c r="AA553" i="2" a="1"/>
  <c r="AA552" i="2" a="1"/>
  <c r="AA551" i="2" a="1"/>
  <c r="AA550" i="2" a="1"/>
  <c r="AA549" i="2" a="1"/>
  <c r="AA548" i="2" a="1"/>
  <c r="AA547" i="2" a="1"/>
  <c r="AA546" i="2" a="1"/>
  <c r="AA545" i="2" a="1"/>
  <c r="AA544" i="2" a="1"/>
  <c r="AA543" i="2" a="1"/>
  <c r="AA542" i="2" a="1"/>
  <c r="AA541" i="2" a="1"/>
  <c r="AA540" i="2" a="1"/>
  <c r="AA539" i="2" a="1"/>
  <c r="AA538" i="2" a="1"/>
  <c r="AA537" i="2" a="1"/>
  <c r="AA536" i="2" a="1"/>
  <c r="AA535" i="2" a="1"/>
  <c r="AA534" i="2" a="1"/>
  <c r="AA533" i="2" a="1"/>
  <c r="AA532" i="2" a="1"/>
  <c r="AA531" i="2" a="1"/>
  <c r="AA530" i="2" a="1"/>
  <c r="AA529" i="2" a="1"/>
  <c r="AA528" i="2" a="1"/>
  <c r="AA527" i="2" a="1"/>
  <c r="AA526" i="2" a="1"/>
  <c r="AA525" i="2" a="1"/>
  <c r="AA524" i="2" a="1"/>
  <c r="AA523" i="2" a="1"/>
  <c r="AA522" i="2" a="1"/>
  <c r="AA521" i="2" a="1"/>
  <c r="AA520" i="2" a="1"/>
  <c r="AA519" i="2" a="1"/>
  <c r="AA518" i="2" a="1"/>
  <c r="AA517" i="2" a="1"/>
  <c r="AA516" i="2" a="1"/>
  <c r="AA515" i="2" a="1"/>
  <c r="AA514" i="2" a="1"/>
  <c r="AA513" i="2" a="1"/>
  <c r="AA512" i="2" a="1"/>
  <c r="AA511" i="2" a="1"/>
  <c r="AA510" i="2" a="1"/>
  <c r="AA509" i="2" a="1"/>
  <c r="AA508" i="2" a="1"/>
  <c r="AA507" i="2" a="1"/>
  <c r="AA506" i="2" a="1"/>
  <c r="AA505" i="2" a="1"/>
  <c r="AA504" i="2" a="1"/>
  <c r="AA503" i="2" a="1"/>
  <c r="AA502" i="2" a="1"/>
  <c r="AA501" i="2" a="1"/>
  <c r="AA500" i="2" a="1"/>
  <c r="AA499" i="2" a="1"/>
  <c r="AA498" i="2" a="1"/>
  <c r="AA497" i="2" a="1"/>
  <c r="AA496" i="2" a="1"/>
  <c r="AA495" i="2" a="1"/>
  <c r="AA494" i="2" a="1"/>
  <c r="AA493" i="2" a="1"/>
  <c r="AA492" i="2" a="1"/>
  <c r="AA491" i="2" a="1"/>
  <c r="AA490" i="2" a="1"/>
  <c r="AA489" i="2" a="1"/>
  <c r="AA488" i="2" a="1"/>
  <c r="AA487" i="2" a="1"/>
  <c r="AA486" i="2" a="1"/>
  <c r="AA485" i="2" a="1"/>
  <c r="AA484" i="2" a="1"/>
  <c r="AA483" i="2" a="1"/>
  <c r="AA482" i="2" a="1"/>
  <c r="AA481" i="2" a="1"/>
  <c r="AA480" i="2" a="1"/>
  <c r="AA479" i="2" a="1"/>
  <c r="AA478" i="2" a="1"/>
  <c r="AA477" i="2" a="1"/>
  <c r="AA476" i="2" a="1"/>
  <c r="AA475" i="2" a="1"/>
  <c r="AA474" i="2" a="1"/>
  <c r="AA473" i="2" a="1"/>
  <c r="AA472" i="2" a="1"/>
  <c r="AA471" i="2" a="1"/>
  <c r="AA470" i="2" a="1"/>
  <c r="AA469" i="2" a="1"/>
  <c r="AA468" i="2" a="1"/>
  <c r="AA467" i="2" a="1"/>
  <c r="AA466" i="2" a="1"/>
  <c r="AA465" i="2" a="1"/>
  <c r="AA464" i="2" a="1"/>
  <c r="AA463" i="2" a="1"/>
  <c r="AA462" i="2" a="1"/>
  <c r="AA461" i="2" a="1"/>
  <c r="AA460" i="2" a="1"/>
  <c r="AA459" i="2" a="1"/>
  <c r="AA458" i="2" a="1"/>
  <c r="AA457" i="2" a="1"/>
  <c r="AA456" i="2" a="1"/>
  <c r="AA455" i="2" a="1"/>
  <c r="AA454" i="2" a="1"/>
  <c r="AA453" i="2" a="1"/>
  <c r="AA452" i="2" a="1"/>
  <c r="AA451" i="2" a="1"/>
  <c r="AA450" i="2" a="1"/>
  <c r="AA449" i="2" a="1"/>
  <c r="AA448" i="2" a="1"/>
  <c r="AA447" i="2" a="1"/>
  <c r="AA446" i="2" a="1"/>
  <c r="AA445" i="2" a="1"/>
  <c r="AA444" i="2" a="1"/>
  <c r="AA443" i="2" a="1"/>
  <c r="AA442" i="2" a="1"/>
  <c r="AA441" i="2" a="1"/>
  <c r="AA440" i="2" a="1"/>
  <c r="AA439" i="2" a="1"/>
  <c r="AA438" i="2" a="1"/>
  <c r="AA437" i="2" a="1"/>
  <c r="AA436" i="2" a="1"/>
  <c r="AA435" i="2" a="1"/>
  <c r="AA434" i="2" a="1"/>
  <c r="AA433" i="2" a="1"/>
  <c r="AA432" i="2" a="1"/>
  <c r="AA431" i="2" a="1"/>
  <c r="AA430" i="2" a="1"/>
  <c r="AA429" i="2" a="1"/>
  <c r="AA428" i="2" a="1"/>
  <c r="AA427" i="2" a="1"/>
  <c r="AA426" i="2" a="1"/>
  <c r="AA425" i="2" a="1"/>
  <c r="AA424" i="2" a="1"/>
  <c r="AA423" i="2" a="1"/>
  <c r="AA422" i="2" a="1"/>
  <c r="AA421" i="2" a="1"/>
  <c r="AA420" i="2" a="1"/>
  <c r="AA419" i="2" a="1"/>
  <c r="AA418" i="2" a="1"/>
  <c r="AA417" i="2" a="1"/>
  <c r="AA416" i="2" a="1"/>
  <c r="AA415" i="2" a="1"/>
  <c r="AA414" i="2" a="1"/>
  <c r="AA413" i="2" a="1"/>
  <c r="AA412" i="2" a="1"/>
  <c r="AA411" i="2" a="1"/>
  <c r="AA410" i="2" a="1"/>
  <c r="AA409" i="2" a="1"/>
  <c r="AA408" i="2" a="1"/>
  <c r="AA407" i="2" a="1"/>
  <c r="AA406" i="2" a="1"/>
  <c r="AA405" i="2" a="1"/>
  <c r="AA404" i="2" a="1"/>
  <c r="AA403" i="2" a="1"/>
  <c r="AA402" i="2" a="1"/>
  <c r="AA401" i="2" a="1"/>
  <c r="AA400" i="2" a="1"/>
  <c r="AA399" i="2" a="1"/>
  <c r="AA398" i="2" a="1"/>
  <c r="AA397" i="2" a="1"/>
  <c r="AA396" i="2" a="1"/>
  <c r="AA395" i="2" a="1"/>
  <c r="AA394" i="2" a="1"/>
  <c r="AA393" i="2" a="1"/>
  <c r="AA392" i="2" a="1"/>
  <c r="AA391" i="2" a="1"/>
  <c r="AA390" i="2" a="1"/>
  <c r="AA389" i="2" a="1"/>
  <c r="AA388" i="2" a="1"/>
  <c r="AA387" i="2" a="1"/>
  <c r="AA386" i="2" a="1"/>
  <c r="AA385" i="2" a="1"/>
  <c r="AA384" i="2" a="1"/>
  <c r="AA383" i="2" a="1"/>
  <c r="AA382" i="2" a="1"/>
  <c r="AA381" i="2" a="1"/>
  <c r="AA380" i="2" a="1"/>
  <c r="AA379" i="2" a="1"/>
  <c r="AA378" i="2" a="1"/>
  <c r="AA377" i="2" a="1"/>
  <c r="AA376" i="2" a="1"/>
  <c r="AA375" i="2" a="1"/>
  <c r="AA374" i="2" a="1"/>
  <c r="AA373" i="2" a="1"/>
  <c r="AA372" i="2" a="1"/>
  <c r="AA371" i="2" a="1"/>
  <c r="AA370" i="2" a="1"/>
  <c r="AA369" i="2" a="1"/>
  <c r="AA368" i="2" a="1"/>
  <c r="AA367" i="2" a="1"/>
  <c r="AA366" i="2" a="1"/>
  <c r="AA365" i="2" a="1"/>
  <c r="AA364" i="2" a="1"/>
  <c r="AA363" i="2" a="1"/>
  <c r="AA362" i="2" a="1"/>
  <c r="AA361" i="2" a="1"/>
  <c r="AA360" i="2" a="1"/>
  <c r="AA359" i="2" a="1"/>
  <c r="AA358" i="2" a="1"/>
  <c r="AA357" i="2" a="1"/>
  <c r="AA356" i="2" a="1"/>
  <c r="AA355" i="2" a="1"/>
  <c r="AA354" i="2" a="1"/>
  <c r="AA353" i="2" a="1"/>
  <c r="AA352" i="2" a="1"/>
  <c r="AA351" i="2" a="1"/>
  <c r="AA350" i="2" a="1"/>
  <c r="AA349" i="2" a="1"/>
  <c r="AA348" i="2" a="1"/>
  <c r="AA347" i="2" a="1"/>
  <c r="AA346" i="2" a="1"/>
  <c r="AA345" i="2" a="1"/>
  <c r="AA344" i="2" a="1"/>
  <c r="AA343" i="2" a="1"/>
  <c r="AA342" i="2" a="1"/>
  <c r="AA341" i="2" a="1"/>
  <c r="AA340" i="2" a="1"/>
  <c r="AA339" i="2" a="1"/>
  <c r="AA338" i="2" a="1"/>
  <c r="AA337" i="2" a="1"/>
  <c r="AA336" i="2" a="1"/>
  <c r="AA335" i="2" a="1"/>
  <c r="AA334" i="2" a="1"/>
  <c r="AA333" i="2" a="1"/>
  <c r="AA332" i="2" a="1"/>
  <c r="AA331" i="2" a="1"/>
  <c r="AA330" i="2" a="1"/>
  <c r="AA329" i="2" a="1"/>
  <c r="AA328" i="2" a="1"/>
  <c r="AA327" i="2" a="1"/>
  <c r="AA326" i="2" a="1"/>
  <c r="AA325" i="2" a="1"/>
  <c r="AA324" i="2" a="1"/>
  <c r="AA323" i="2" a="1"/>
  <c r="AA322" i="2" a="1"/>
  <c r="AA321" i="2" a="1"/>
  <c r="AA320" i="2" a="1"/>
  <c r="AA319" i="2" a="1"/>
  <c r="AA318" i="2" a="1"/>
  <c r="AA317" i="2" a="1"/>
  <c r="AA316" i="2" a="1"/>
  <c r="AA315" i="2" a="1"/>
  <c r="AA314" i="2" a="1"/>
  <c r="AA313" i="2" a="1"/>
  <c r="AA312" i="2" a="1"/>
  <c r="AA311" i="2" a="1"/>
  <c r="AA310" i="2" a="1"/>
  <c r="AA309" i="2" a="1"/>
  <c r="AA308" i="2" a="1"/>
  <c r="AA307" i="2" a="1"/>
  <c r="AA306" i="2" a="1"/>
  <c r="AA305" i="2" a="1"/>
  <c r="AA304" i="2" a="1"/>
  <c r="AA303" i="2" a="1"/>
  <c r="AA302" i="2" a="1"/>
  <c r="AA301" i="2" a="1"/>
  <c r="AA300" i="2" a="1"/>
  <c r="AA299" i="2" a="1"/>
  <c r="AA298" i="2" a="1"/>
  <c r="AA297" i="2" a="1"/>
  <c r="AA296" i="2" a="1"/>
  <c r="AA295" i="2" a="1"/>
  <c r="AA294" i="2" a="1"/>
  <c r="AA293" i="2" a="1"/>
  <c r="AA292" i="2" a="1"/>
  <c r="AA291" i="2" a="1"/>
  <c r="AA290" i="2" a="1"/>
  <c r="AA289" i="2" a="1"/>
  <c r="AA288" i="2" a="1"/>
  <c r="AA287" i="2" a="1"/>
  <c r="AA286" i="2" a="1"/>
  <c r="AA285" i="2" a="1"/>
  <c r="AA284" i="2" a="1"/>
  <c r="AA283" i="2" a="1"/>
  <c r="AA282" i="2" a="1"/>
  <c r="AA281" i="2" a="1"/>
  <c r="AA280" i="2" a="1"/>
  <c r="AA279" i="2" a="1"/>
  <c r="AA278" i="2" a="1"/>
  <c r="AA277" i="2" a="1"/>
  <c r="AA276" i="2" a="1"/>
  <c r="AA275" i="2" a="1"/>
  <c r="AA274" i="2" a="1"/>
  <c r="AA273" i="2" a="1"/>
  <c r="AA272" i="2" a="1"/>
  <c r="AA271" i="2" a="1"/>
  <c r="AA270" i="2" a="1"/>
  <c r="AA269" i="2" a="1"/>
  <c r="AA268" i="2" a="1"/>
  <c r="AA267" i="2" a="1"/>
  <c r="AA266" i="2" a="1"/>
  <c r="AA265" i="2" a="1"/>
  <c r="AA264" i="2" a="1"/>
  <c r="AA263" i="2" a="1"/>
  <c r="AA262" i="2" a="1"/>
  <c r="AA261" i="2" a="1"/>
  <c r="AA260" i="2" a="1"/>
  <c r="AA259" i="2" a="1"/>
  <c r="AA258" i="2" a="1"/>
  <c r="AA257" i="2" a="1"/>
  <c r="AA256" i="2" a="1"/>
  <c r="AA255" i="2" a="1"/>
  <c r="AA254" i="2" a="1"/>
  <c r="AA253" i="2" a="1"/>
  <c r="AA252" i="2" a="1"/>
  <c r="AA251" i="2" a="1"/>
  <c r="AA250" i="2" a="1"/>
  <c r="AA249" i="2" a="1"/>
  <c r="AA248" i="2" a="1"/>
  <c r="AA247" i="2" a="1"/>
  <c r="AA246" i="2" a="1"/>
  <c r="AA245" i="2" a="1"/>
  <c r="AA244" i="2" a="1"/>
  <c r="AA243" i="2" a="1"/>
  <c r="AA242" i="2" a="1"/>
  <c r="AA241" i="2" a="1"/>
  <c r="AA240" i="2" a="1"/>
  <c r="AA239" i="2" a="1"/>
  <c r="AA238" i="2" a="1"/>
  <c r="AA237" i="2" a="1"/>
  <c r="AA236" i="2" a="1"/>
  <c r="AA235" i="2" a="1"/>
  <c r="AA234" i="2" a="1"/>
  <c r="AA233" i="2" a="1"/>
  <c r="AA232" i="2" a="1"/>
  <c r="AA231" i="2" a="1"/>
  <c r="AA230" i="2" a="1"/>
  <c r="AA229" i="2" a="1"/>
  <c r="AA228" i="2" a="1"/>
  <c r="AA227" i="2" a="1"/>
  <c r="AA226" i="2" a="1"/>
  <c r="AA225" i="2" a="1"/>
  <c r="AA224" i="2" a="1"/>
  <c r="AA223" i="2" a="1"/>
  <c r="AA222" i="2" a="1"/>
  <c r="AA221" i="2" a="1"/>
  <c r="AA220" i="2" a="1"/>
  <c r="AA219" i="2" a="1"/>
  <c r="AA218" i="2" a="1"/>
  <c r="AA217" i="2" a="1"/>
  <c r="AA216" i="2" a="1"/>
  <c r="AA215" i="2" a="1"/>
  <c r="AA214" i="2" a="1"/>
  <c r="AA213" i="2" a="1"/>
  <c r="AA212" i="2" a="1"/>
  <c r="AA211" i="2" a="1"/>
  <c r="AA210" i="2" a="1"/>
  <c r="AA209" i="2" a="1"/>
  <c r="AA208" i="2" a="1"/>
  <c r="AA207" i="2" a="1"/>
  <c r="AA206" i="2" a="1"/>
  <c r="AA205" i="2" a="1"/>
  <c r="AA204" i="2" a="1"/>
  <c r="AA203" i="2" a="1"/>
  <c r="AA202" i="2" a="1"/>
  <c r="AA201" i="2" a="1"/>
  <c r="AA200" i="2" a="1"/>
  <c r="AA199" i="2" a="1"/>
  <c r="AA198" i="2" a="1"/>
  <c r="AA197" i="2" a="1"/>
  <c r="AA196" i="2" a="1"/>
  <c r="AA195" i="2" a="1"/>
  <c r="AA194" i="2" a="1"/>
  <c r="AA193" i="2" a="1"/>
  <c r="AA192" i="2" a="1"/>
  <c r="AA191" i="2" a="1"/>
  <c r="AA190" i="2" a="1"/>
  <c r="AA189" i="2" a="1"/>
  <c r="AA188" i="2" a="1"/>
  <c r="AA187" i="2" a="1"/>
  <c r="AA186" i="2" a="1"/>
  <c r="AA185" i="2" a="1"/>
  <c r="AA184" i="2" a="1"/>
  <c r="AA183" i="2" a="1"/>
  <c r="AA182" i="2" a="1"/>
  <c r="AA181" i="2" a="1"/>
  <c r="AA180" i="2" a="1"/>
  <c r="AA179" i="2" a="1"/>
  <c r="AA178" i="2" a="1"/>
  <c r="AA177" i="2" a="1"/>
  <c r="AA176" i="2" a="1"/>
  <c r="AA175" i="2" a="1"/>
  <c r="AA174" i="2" a="1"/>
  <c r="AA173" i="2" a="1"/>
  <c r="AA172" i="2" a="1"/>
  <c r="AA171" i="2" a="1"/>
  <c r="AA170" i="2" a="1"/>
  <c r="AA169" i="2" a="1"/>
  <c r="AA168" i="2" a="1"/>
  <c r="AA167" i="2" a="1"/>
  <c r="AA166" i="2" a="1"/>
  <c r="AA165" i="2" a="1"/>
  <c r="AA164" i="2" a="1"/>
  <c r="AA163" i="2" a="1"/>
  <c r="AA162" i="2" a="1"/>
  <c r="AA161" i="2" a="1"/>
  <c r="AA160" i="2" a="1"/>
  <c r="AA159" i="2" a="1"/>
  <c r="AA158" i="2" a="1"/>
  <c r="AA157" i="2" a="1"/>
  <c r="AA156" i="2" a="1"/>
  <c r="AA155" i="2" a="1"/>
  <c r="AA154" i="2" a="1"/>
  <c r="AA153" i="2" a="1"/>
  <c r="AA152" i="2" a="1"/>
  <c r="AA151" i="2" a="1"/>
  <c r="AA150" i="2" a="1"/>
  <c r="AA149" i="2" a="1"/>
  <c r="AA148" i="2" a="1"/>
  <c r="AA147" i="2" a="1"/>
  <c r="AA146" i="2" a="1"/>
  <c r="AA145" i="2" a="1"/>
  <c r="AA144" i="2" a="1"/>
  <c r="AA143" i="2" a="1"/>
  <c r="AA142" i="2" a="1"/>
  <c r="AA141" i="2" a="1"/>
  <c r="AA140" i="2" a="1"/>
  <c r="AA139" i="2" a="1"/>
  <c r="AA138" i="2" a="1"/>
  <c r="AA137" i="2" a="1"/>
  <c r="AA136" i="2" a="1"/>
  <c r="AA135" i="2" a="1"/>
  <c r="AA134" i="2" a="1"/>
  <c r="AA133" i="2" a="1"/>
  <c r="AA132" i="2" a="1"/>
  <c r="AA131" i="2" a="1"/>
  <c r="AA130" i="2" a="1"/>
  <c r="AA129" i="2" a="1"/>
  <c r="AA128" i="2" a="1"/>
  <c r="AA127" i="2" a="1"/>
  <c r="AA126" i="2" a="1"/>
  <c r="AA125" i="2" a="1"/>
  <c r="AA124" i="2" a="1"/>
  <c r="AA123" i="2" a="1"/>
  <c r="AA122" i="2" a="1"/>
  <c r="AA121" i="2" a="1"/>
  <c r="AA120" i="2" a="1"/>
  <c r="AA119" i="2" a="1"/>
  <c r="AA118" i="2" a="1"/>
  <c r="AA117" i="2" a="1"/>
  <c r="AA116" i="2" a="1"/>
  <c r="AA115" i="2" a="1"/>
  <c r="AA114" i="2" a="1"/>
  <c r="AA113" i="2" a="1"/>
  <c r="AA112" i="2" a="1"/>
  <c r="AA111" i="2" a="1"/>
  <c r="AA110" i="2" a="1"/>
  <c r="AA109" i="2" a="1"/>
  <c r="AA108" i="2" a="1"/>
  <c r="AA107" i="2" a="1"/>
  <c r="AA106" i="2" a="1"/>
  <c r="AA105" i="2" a="1"/>
  <c r="AA104" i="2" a="1"/>
  <c r="AA103" i="2" a="1"/>
  <c r="AA102" i="2" a="1"/>
  <c r="AA101" i="2" a="1"/>
  <c r="AA100" i="2" a="1"/>
  <c r="AA99" i="2" a="1"/>
  <c r="AA98" i="2" a="1"/>
  <c r="AA97" i="2" a="1"/>
  <c r="AA96" i="2" a="1"/>
  <c r="AA95" i="2" a="1"/>
  <c r="AA94" i="2" a="1"/>
  <c r="AA93" i="2" a="1"/>
  <c r="AA92" i="2" a="1"/>
  <c r="AA91" i="2" a="1"/>
  <c r="AA90" i="2" a="1"/>
  <c r="AA89" i="2" a="1"/>
  <c r="AA88" i="2" a="1"/>
  <c r="AA87" i="2" a="1"/>
  <c r="AA86" i="2" a="1"/>
  <c r="AA85" i="2" a="1"/>
  <c r="AA84" i="2" a="1"/>
  <c r="AA83" i="2" a="1"/>
  <c r="AA82" i="2" a="1"/>
  <c r="AA81" i="2" a="1"/>
  <c r="AA80" i="2" a="1"/>
  <c r="AA79" i="2" a="1"/>
  <c r="AA78" i="2" a="1"/>
  <c r="AA77" i="2" a="1"/>
  <c r="AA76" i="2" a="1"/>
  <c r="AA75" i="2" a="1"/>
  <c r="AA74" i="2" a="1"/>
  <c r="AA73" i="2" a="1"/>
  <c r="AA72" i="2" a="1"/>
  <c r="AA71" i="2" a="1"/>
  <c r="AA70" i="2" a="1"/>
  <c r="AA69" i="2" a="1"/>
  <c r="AA68" i="2" a="1"/>
  <c r="AA67" i="2" a="1"/>
  <c r="AA66" i="2" a="1"/>
  <c r="AA65" i="2" a="1"/>
  <c r="AA64" i="2" a="1"/>
  <c r="AA63" i="2" a="1"/>
  <c r="AA62" i="2" a="1"/>
  <c r="AA61" i="2" a="1"/>
  <c r="AA60" i="2" a="1"/>
  <c r="AA59" i="2" a="1"/>
  <c r="AA58" i="2" a="1"/>
  <c r="AA57" i="2" a="1"/>
  <c r="AA56" i="2" a="1"/>
  <c r="AA55" i="2" a="1"/>
  <c r="AA54" i="2" a="1"/>
  <c r="AA53" i="2" a="1"/>
  <c r="AA52" i="2" a="1"/>
  <c r="AA51" i="2" a="1"/>
  <c r="AA50" i="2" a="1"/>
  <c r="AA49" i="2" a="1"/>
  <c r="AA48" i="2" a="1"/>
  <c r="AA47" i="2" a="1"/>
  <c r="AA46" i="2" a="1"/>
  <c r="AA45" i="2" a="1"/>
  <c r="AA44" i="2" a="1"/>
  <c r="AA43" i="2" a="1"/>
  <c r="AA42" i="2" a="1"/>
  <c r="AA41" i="2" a="1"/>
  <c r="AA40" i="2" a="1"/>
  <c r="AA39" i="2" a="1"/>
  <c r="AA38" i="2" a="1"/>
  <c r="AA37" i="2" a="1"/>
  <c r="AA36" i="2" a="1"/>
  <c r="AA35" i="2" a="1"/>
  <c r="AA34" i="2" a="1"/>
  <c r="AA33" i="2" a="1"/>
  <c r="AA32" i="2" a="1"/>
  <c r="AA31" i="2" a="1"/>
  <c r="AA30" i="2" a="1"/>
  <c r="AA29" i="2" a="1"/>
  <c r="AA28" i="2" a="1"/>
  <c r="AA27" i="2" a="1"/>
  <c r="AA26" i="2" a="1"/>
  <c r="AA25" i="2" a="1"/>
  <c r="AA24" i="2" a="1"/>
  <c r="AA23" i="2" a="1"/>
  <c r="AA22" i="2" a="1"/>
  <c r="AA21" i="2" a="1"/>
  <c r="AA20" i="2" a="1"/>
  <c r="AA19" i="2" a="1"/>
  <c r="AA18" i="2" a="1"/>
  <c r="AA17" i="2" a="1"/>
  <c r="AA16" i="2" a="1"/>
  <c r="AA15" i="2" a="1"/>
  <c r="AA14" i="2" a="1"/>
  <c r="AA13" i="2" a="1"/>
  <c r="AA12" i="2" a="1"/>
  <c r="AA11" i="2" a="1"/>
  <c r="AA10" i="2" a="1"/>
  <c r="AA9" i="2" a="1"/>
  <c r="AA8" i="2" a="1"/>
  <c r="AA7" i="2" a="1"/>
  <c r="AA6" i="2" a="1"/>
  <c r="AA5" i="2" a="1"/>
  <c r="AA4" i="2" a="1"/>
  <c r="AA3" i="2" a="1"/>
  <c r="AA2" i="2" a="1"/>
  <c r="AA594" i="2" a="1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2" i="2"/>
  <c r="F163" i="2"/>
  <c r="F164" i="2"/>
  <c r="F165" i="2"/>
  <c r="F166" i="2"/>
  <c r="F167" i="2"/>
  <c r="F168" i="2"/>
  <c r="F169" i="2"/>
  <c r="F170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2" i="2"/>
  <c r="L402" i="1" a="1"/>
  <c r="L401" i="1" a="1"/>
  <c r="L400" i="1" a="1"/>
  <c r="L399" i="1" a="1"/>
  <c r="L398" i="1" a="1"/>
  <c r="L397" i="1" a="1"/>
  <c r="L396" i="1" a="1"/>
  <c r="L395" i="1" a="1"/>
  <c r="L394" i="1" a="1"/>
  <c r="L393" i="1" a="1"/>
  <c r="L392" i="1" a="1"/>
  <c r="L391" i="1" a="1"/>
  <c r="L390" i="1" a="1"/>
  <c r="L389" i="1" a="1"/>
  <c r="L388" i="1" a="1"/>
  <c r="L387" i="1" a="1"/>
  <c r="L386" i="1" a="1"/>
  <c r="L385" i="1" a="1"/>
  <c r="L384" i="1" a="1"/>
  <c r="L383" i="1" a="1"/>
  <c r="L382" i="1" a="1"/>
  <c r="L381" i="1" a="1"/>
  <c r="L380" i="1" a="1"/>
  <c r="L379" i="1" a="1"/>
  <c r="L378" i="1" a="1"/>
  <c r="L377" i="1" a="1"/>
  <c r="L376" i="1" a="1"/>
  <c r="L375" i="1" a="1"/>
  <c r="L374" i="1" a="1"/>
  <c r="L373" i="1" a="1"/>
  <c r="L372" i="1" a="1"/>
  <c r="L371" i="1" a="1"/>
  <c r="L370" i="1" a="1"/>
  <c r="L369" i="1" a="1"/>
  <c r="L368" i="1" a="1"/>
  <c r="L367" i="1" a="1"/>
  <c r="L366" i="1" a="1"/>
  <c r="L365" i="1" a="1"/>
  <c r="L364" i="1" a="1"/>
  <c r="L363" i="1" a="1"/>
  <c r="L362" i="1" a="1"/>
  <c r="L361" i="1" a="1"/>
  <c r="L360" i="1" a="1"/>
  <c r="L359" i="1" a="1"/>
  <c r="L358" i="1" a="1"/>
  <c r="L357" i="1" a="1"/>
  <c r="L356" i="1" a="1"/>
  <c r="L355" i="1" a="1"/>
  <c r="L354" i="1" a="1"/>
  <c r="L353" i="1" a="1"/>
  <c r="L352" i="1" a="1"/>
  <c r="L351" i="1" a="1"/>
  <c r="L350" i="1" a="1"/>
  <c r="L349" i="1" a="1"/>
  <c r="L348" i="1" a="1"/>
  <c r="L347" i="1" a="1"/>
  <c r="L346" i="1" a="1"/>
  <c r="L345" i="1" a="1"/>
  <c r="L344" i="1" a="1"/>
  <c r="L343" i="1" a="1"/>
  <c r="L342" i="1" a="1"/>
  <c r="L341" i="1" a="1"/>
  <c r="L340" i="1" a="1"/>
  <c r="L339" i="1" a="1"/>
  <c r="L338" i="1" a="1"/>
  <c r="L337" i="1" a="1"/>
  <c r="L336" i="1" a="1"/>
  <c r="L335" i="1" a="1"/>
  <c r="L334" i="1" a="1"/>
  <c r="L333" i="1" a="1"/>
  <c r="L332" i="1" a="1"/>
  <c r="L331" i="1" a="1"/>
  <c r="L330" i="1" a="1"/>
  <c r="L329" i="1" a="1"/>
  <c r="L328" i="1" a="1"/>
  <c r="L327" i="1" a="1"/>
  <c r="L326" i="1" a="1"/>
  <c r="L325" i="1" a="1"/>
  <c r="L324" i="1" a="1"/>
  <c r="L323" i="1" a="1"/>
  <c r="L322" i="1" a="1"/>
  <c r="L321" i="1" a="1"/>
  <c r="L320" i="1" a="1"/>
  <c r="L319" i="1" a="1"/>
  <c r="L318" i="1" a="1"/>
  <c r="L317" i="1" a="1"/>
  <c r="L316" i="1" a="1"/>
  <c r="L315" i="1" a="1"/>
  <c r="L314" i="1" a="1"/>
  <c r="L313" i="1" a="1"/>
  <c r="L312" i="1" a="1"/>
  <c r="L311" i="1" a="1"/>
  <c r="L310" i="1" a="1"/>
  <c r="L309" i="1" a="1"/>
  <c r="L308" i="1" a="1"/>
  <c r="L307" i="1" a="1"/>
  <c r="L306" i="1" a="1"/>
  <c r="L305" i="1" a="1"/>
  <c r="L304" i="1" a="1"/>
  <c r="L303" i="1" a="1"/>
  <c r="L302" i="1" a="1"/>
  <c r="L301" i="1" a="1"/>
  <c r="L300" i="1" a="1"/>
  <c r="L299" i="1" a="1"/>
  <c r="L298" i="1" a="1"/>
  <c r="L297" i="1" a="1"/>
  <c r="L296" i="1" a="1"/>
  <c r="L295" i="1" a="1"/>
  <c r="L294" i="1" a="1"/>
  <c r="L293" i="1" a="1"/>
  <c r="L292" i="1" a="1"/>
  <c r="L291" i="1" a="1"/>
  <c r="L290" i="1" a="1"/>
  <c r="L289" i="1" a="1"/>
  <c r="L288" i="1" a="1"/>
  <c r="L287" i="1" a="1"/>
  <c r="L286" i="1" a="1"/>
  <c r="L285" i="1" a="1"/>
  <c r="L284" i="1" a="1"/>
  <c r="L283" i="1" a="1"/>
  <c r="L282" i="1" a="1"/>
  <c r="L281" i="1" a="1"/>
  <c r="L280" i="1" a="1"/>
  <c r="L279" i="1" a="1"/>
  <c r="L278" i="1" a="1"/>
  <c r="L277" i="1" a="1"/>
  <c r="L276" i="1" a="1"/>
  <c r="L275" i="1" a="1"/>
  <c r="L274" i="1" a="1"/>
  <c r="L273" i="1" a="1"/>
  <c r="L272" i="1" a="1"/>
  <c r="L271" i="1" a="1"/>
  <c r="L270" i="1" a="1"/>
  <c r="L269" i="1" a="1"/>
  <c r="L268" i="1" a="1"/>
  <c r="L267" i="1" a="1"/>
  <c r="L266" i="1" a="1"/>
  <c r="L265" i="1" a="1"/>
  <c r="L264" i="1" a="1"/>
  <c r="L263" i="1" a="1"/>
  <c r="L262" i="1" a="1"/>
  <c r="L261" i="1" a="1"/>
  <c r="L260" i="1" a="1"/>
  <c r="L259" i="1" a="1"/>
  <c r="L258" i="1" a="1"/>
  <c r="L257" i="1" a="1"/>
  <c r="L256" i="1" a="1"/>
  <c r="L255" i="1" a="1"/>
  <c r="L254" i="1" a="1"/>
  <c r="L253" i="1" a="1"/>
  <c r="L252" i="1" a="1"/>
  <c r="L251" i="1" a="1"/>
  <c r="L250" i="1" a="1"/>
  <c r="L249" i="1" a="1"/>
  <c r="L248" i="1" a="1"/>
  <c r="L247" i="1" a="1"/>
  <c r="L246" i="1" a="1"/>
  <c r="L245" i="1" a="1"/>
  <c r="L244" i="1" a="1"/>
  <c r="L243" i="1" a="1"/>
  <c r="L242" i="1" a="1"/>
  <c r="L241" i="1" a="1"/>
  <c r="L240" i="1" a="1"/>
  <c r="L239" i="1" a="1"/>
  <c r="L238" i="1" a="1"/>
  <c r="L237" i="1" a="1"/>
  <c r="L236" i="1" a="1"/>
  <c r="L235" i="1" a="1"/>
  <c r="L234" i="1" a="1"/>
  <c r="L233" i="1" a="1"/>
  <c r="L232" i="1" a="1"/>
  <c r="L231" i="1" a="1"/>
  <c r="L230" i="1" a="1"/>
  <c r="L229" i="1" a="1"/>
  <c r="L228" i="1" a="1"/>
  <c r="L227" i="1" a="1"/>
  <c r="L226" i="1" a="1"/>
  <c r="L225" i="1" a="1"/>
  <c r="L224" i="1" a="1"/>
  <c r="L223" i="1" a="1"/>
  <c r="L222" i="1" a="1"/>
  <c r="L221" i="1" a="1"/>
  <c r="L220" i="1" a="1"/>
  <c r="L219" i="1" a="1"/>
  <c r="L218" i="1" a="1"/>
  <c r="L217" i="1" a="1"/>
  <c r="L216" i="1" a="1"/>
  <c r="L215" i="1" a="1"/>
  <c r="L214" i="1" a="1"/>
  <c r="L213" i="1" a="1"/>
  <c r="L212" i="1" a="1"/>
  <c r="L211" i="1" a="1"/>
  <c r="L210" i="1" a="1"/>
  <c r="L209" i="1" a="1"/>
  <c r="L208" i="1" a="1"/>
  <c r="L207" i="1" a="1"/>
  <c r="L206" i="1" a="1"/>
  <c r="L205" i="1" a="1"/>
  <c r="L204" i="1" a="1"/>
  <c r="L203" i="1" a="1"/>
  <c r="L202" i="1" a="1"/>
  <c r="L201" i="1" a="1"/>
  <c r="L200" i="1" a="1"/>
  <c r="L199" i="1" a="1"/>
  <c r="L198" i="1" a="1"/>
  <c r="L197" i="1" a="1"/>
  <c r="L196" i="1" a="1"/>
  <c r="L195" i="1" a="1"/>
  <c r="L194" i="1" a="1"/>
  <c r="L193" i="1" a="1"/>
  <c r="L192" i="1" a="1"/>
  <c r="L191" i="1" a="1"/>
  <c r="L190" i="1" a="1"/>
  <c r="L189" i="1" a="1"/>
  <c r="L188" i="1" a="1"/>
  <c r="L187" i="1" a="1"/>
  <c r="L186" i="1" a="1"/>
  <c r="L185" i="1" a="1"/>
  <c r="L184" i="1" a="1"/>
  <c r="L183" i="1" a="1"/>
  <c r="L182" i="1" a="1"/>
  <c r="L181" i="1" a="1"/>
  <c r="L180" i="1" a="1"/>
  <c r="L179" i="1" a="1"/>
  <c r="L178" i="1" a="1"/>
  <c r="L177" i="1" a="1"/>
  <c r="L176" i="1" a="1"/>
  <c r="L175" i="1" a="1"/>
  <c r="L174" i="1" a="1"/>
  <c r="L173" i="1" a="1"/>
  <c r="L172" i="1" a="1"/>
  <c r="L171" i="1" a="1"/>
  <c r="L170" i="1" a="1"/>
  <c r="L169" i="1" a="1"/>
  <c r="L168" i="1" a="1"/>
  <c r="L167" i="1" a="1"/>
  <c r="L166" i="1" a="1"/>
  <c r="L165" i="1" a="1"/>
  <c r="L164" i="1" a="1"/>
  <c r="L163" i="1" a="1"/>
  <c r="L162" i="1" a="1"/>
  <c r="L161" i="1" a="1"/>
  <c r="L160" i="1" a="1"/>
  <c r="L159" i="1" a="1"/>
  <c r="L158" i="1" a="1"/>
  <c r="L157" i="1" a="1"/>
  <c r="L156" i="1" a="1"/>
  <c r="L155" i="1" a="1"/>
  <c r="L154" i="1" a="1"/>
  <c r="L153" i="1" a="1"/>
  <c r="L152" i="1" a="1"/>
  <c r="L151" i="1" a="1"/>
  <c r="L150" i="1" a="1"/>
  <c r="L149" i="1" a="1"/>
  <c r="L148" i="1" a="1"/>
  <c r="L147" i="1" a="1"/>
  <c r="L146" i="1" a="1"/>
  <c r="L145" i="1" a="1"/>
  <c r="L144" i="1" a="1"/>
  <c r="L143" i="1" a="1"/>
  <c r="L142" i="1" a="1"/>
  <c r="L141" i="1" a="1"/>
  <c r="L140" i="1" a="1"/>
  <c r="L139" i="1" a="1"/>
  <c r="L138" i="1" a="1"/>
  <c r="L137" i="1" a="1"/>
  <c r="L136" i="1" a="1"/>
  <c r="L135" i="1" a="1"/>
  <c r="L134" i="1" a="1"/>
  <c r="L133" i="1" a="1"/>
  <c r="L132" i="1" a="1"/>
  <c r="L131" i="1" a="1"/>
  <c r="L130" i="1" a="1"/>
  <c r="L129" i="1" a="1"/>
  <c r="L128" i="1" a="1"/>
  <c r="L127" i="1" a="1"/>
  <c r="L126" i="1" a="1"/>
  <c r="L125" i="1" a="1"/>
  <c r="L124" i="1" a="1"/>
  <c r="L123" i="1" a="1"/>
  <c r="L122" i="1" a="1"/>
  <c r="L121" i="1" a="1"/>
  <c r="L120" i="1" a="1"/>
  <c r="L119" i="1" a="1"/>
  <c r="L118" i="1" a="1"/>
  <c r="L117" i="1" a="1"/>
  <c r="L116" i="1" a="1"/>
  <c r="L115" i="1" a="1"/>
  <c r="L114" i="1" a="1"/>
  <c r="L113" i="1" a="1"/>
  <c r="L112" i="1" a="1"/>
  <c r="L111" i="1" a="1"/>
  <c r="L110" i="1" a="1"/>
  <c r="L109" i="1" a="1"/>
  <c r="L108" i="1" a="1"/>
  <c r="L107" i="1" a="1"/>
  <c r="L106" i="1" a="1"/>
  <c r="L105" i="1" a="1"/>
  <c r="L104" i="1" a="1"/>
  <c r="L103" i="1" a="1"/>
  <c r="L102" i="1" a="1"/>
  <c r="L101" i="1" a="1"/>
  <c r="L100" i="1" a="1"/>
  <c r="L99" i="1" a="1"/>
  <c r="L98" i="1" a="1"/>
  <c r="L97" i="1" a="1"/>
  <c r="L96" i="1" a="1"/>
  <c r="L95" i="1" a="1"/>
  <c r="L94" i="1" a="1"/>
  <c r="L93" i="1" a="1"/>
  <c r="L92" i="1" a="1"/>
  <c r="L91" i="1" a="1"/>
  <c r="L90" i="1" a="1"/>
  <c r="L89" i="1" a="1"/>
  <c r="L88" i="1" a="1"/>
  <c r="L87" i="1" a="1"/>
  <c r="L86" i="1" a="1"/>
  <c r="L85" i="1" a="1"/>
  <c r="L84" i="1" a="1"/>
  <c r="L83" i="1" a="1"/>
  <c r="L82" i="1" a="1"/>
  <c r="L81" i="1" a="1"/>
  <c r="L80" i="1" a="1"/>
  <c r="L79" i="1" a="1"/>
  <c r="L78" i="1" a="1"/>
  <c r="L77" i="1" a="1"/>
  <c r="L76" i="1" a="1"/>
  <c r="L75" i="1" a="1"/>
  <c r="L74" i="1" a="1"/>
  <c r="L73" i="1" a="1"/>
  <c r="L72" i="1" a="1"/>
  <c r="L71" i="1" a="1"/>
  <c r="L70" i="1" a="1"/>
  <c r="L69" i="1" a="1"/>
  <c r="L68" i="1" a="1"/>
  <c r="L67" i="1" a="1"/>
  <c r="L66" i="1" a="1"/>
  <c r="L65" i="1" a="1"/>
  <c r="L64" i="1" a="1"/>
  <c r="L63" i="1" a="1"/>
  <c r="L62" i="1" a="1"/>
  <c r="L61" i="1" a="1"/>
  <c r="L60" i="1" a="1"/>
  <c r="L59" i="1" a="1"/>
  <c r="L58" i="1" a="1"/>
  <c r="L57" i="1" a="1"/>
  <c r="L56" i="1" a="1"/>
  <c r="L55" i="1" a="1"/>
  <c r="L54" i="1" a="1"/>
  <c r="L53" i="1" a="1"/>
  <c r="L52" i="1" a="1"/>
  <c r="L51" i="1" a="1"/>
  <c r="L50" i="1" a="1"/>
  <c r="L49" i="1" a="1"/>
  <c r="L48" i="1" a="1"/>
  <c r="L47" i="1" a="1"/>
  <c r="L46" i="1" a="1"/>
  <c r="L45" i="1" a="1"/>
  <c r="L44" i="1" a="1"/>
  <c r="L43" i="1" a="1"/>
  <c r="L42" i="1" a="1"/>
  <c r="L41" i="1" a="1"/>
  <c r="L40" i="1" a="1"/>
  <c r="L39" i="1" a="1"/>
  <c r="L38" i="1" a="1"/>
  <c r="L37" i="1" a="1"/>
  <c r="L36" i="1" a="1"/>
  <c r="L35" i="1" a="1"/>
  <c r="L34" i="1" a="1"/>
  <c r="L33" i="1" a="1"/>
  <c r="L32" i="1" a="1"/>
  <c r="L31" i="1" a="1"/>
  <c r="L30" i="1" a="1"/>
  <c r="L29" i="1" a="1"/>
  <c r="L28" i="1" a="1"/>
  <c r="L27" i="1" a="1"/>
  <c r="L26" i="1" a="1"/>
  <c r="L25" i="1" a="1"/>
  <c r="L24" i="1" a="1"/>
  <c r="L23" i="1" a="1"/>
  <c r="L22" i="1" a="1"/>
  <c r="L21" i="1" a="1"/>
  <c r="L20" i="1" a="1"/>
  <c r="L19" i="1" a="1"/>
  <c r="L18" i="1" a="1"/>
  <c r="L17" i="1" a="1"/>
  <c r="L16" i="1" a="1"/>
  <c r="L15" i="1" a="1"/>
  <c r="L14" i="1" a="1"/>
  <c r="L13" i="1" a="1"/>
  <c r="L12" i="1" a="1"/>
  <c r="L11" i="1" a="1"/>
  <c r="L10" i="1" a="1"/>
  <c r="L9" i="1" a="1"/>
  <c r="L8" i="1" a="1"/>
  <c r="L7" i="1" a="1"/>
  <c r="L6" i="1" a="1"/>
  <c r="L5" i="1" a="1"/>
  <c r="L4" i="1" a="1"/>
  <c r="L3" i="1" a="1"/>
  <c r="L2" i="1" a="1"/>
  <c r="M3" i="1" l="1"/>
  <c r="M35" i="1"/>
  <c r="M67" i="1"/>
  <c r="M99" i="1"/>
  <c r="M131" i="1"/>
  <c r="M163" i="1"/>
  <c r="M195" i="1"/>
  <c r="M227" i="1"/>
  <c r="M259" i="1"/>
  <c r="M291" i="1"/>
  <c r="M323" i="1"/>
  <c r="M355" i="1"/>
  <c r="M387" i="1"/>
  <c r="M4" i="1"/>
  <c r="M36" i="1"/>
  <c r="M68" i="1"/>
  <c r="M100" i="1"/>
  <c r="M132" i="1"/>
  <c r="M164" i="1"/>
  <c r="M196" i="1"/>
  <c r="M228" i="1"/>
  <c r="M260" i="1"/>
  <c r="M292" i="1"/>
  <c r="M324" i="1"/>
  <c r="M356" i="1"/>
  <c r="M388" i="1"/>
  <c r="M5" i="1"/>
  <c r="M37" i="1"/>
  <c r="M69" i="1"/>
  <c r="M101" i="1"/>
  <c r="M133" i="1"/>
  <c r="M165" i="1"/>
  <c r="M197" i="1"/>
  <c r="M229" i="1"/>
  <c r="M261" i="1"/>
  <c r="M293" i="1"/>
  <c r="M325" i="1"/>
  <c r="M357" i="1"/>
  <c r="M389" i="1"/>
  <c r="M6" i="1"/>
  <c r="M38" i="1"/>
  <c r="M70" i="1"/>
  <c r="M102" i="1"/>
  <c r="M134" i="1"/>
  <c r="M166" i="1"/>
  <c r="M198" i="1"/>
  <c r="M230" i="1"/>
  <c r="M262" i="1"/>
  <c r="M294" i="1"/>
  <c r="M326" i="1"/>
  <c r="M358" i="1"/>
  <c r="M390" i="1"/>
  <c r="M7" i="1"/>
  <c r="M39" i="1"/>
  <c r="M71" i="1"/>
  <c r="M103" i="1"/>
  <c r="M135" i="1"/>
  <c r="M167" i="1"/>
  <c r="M199" i="1"/>
  <c r="M231" i="1"/>
  <c r="M263" i="1"/>
  <c r="M295" i="1"/>
  <c r="M327" i="1"/>
  <c r="M359" i="1"/>
  <c r="M391" i="1"/>
  <c r="M8" i="1"/>
  <c r="M40" i="1"/>
  <c r="M72" i="1"/>
  <c r="M104" i="1"/>
  <c r="M136" i="1"/>
  <c r="M168" i="1"/>
  <c r="M200" i="1"/>
  <c r="M232" i="1"/>
  <c r="M264" i="1"/>
  <c r="M296" i="1"/>
  <c r="M328" i="1"/>
  <c r="M360" i="1"/>
  <c r="M392" i="1"/>
  <c r="M9" i="1"/>
  <c r="M41" i="1"/>
  <c r="M73" i="1"/>
  <c r="M105" i="1"/>
  <c r="M137" i="1"/>
  <c r="M169" i="1"/>
  <c r="M201" i="1"/>
  <c r="M233" i="1"/>
  <c r="M265" i="1"/>
  <c r="M297" i="1"/>
  <c r="M329" i="1"/>
  <c r="M361" i="1"/>
  <c r="M393" i="1"/>
  <c r="M10" i="1"/>
  <c r="M42" i="1"/>
  <c r="M74" i="1"/>
  <c r="M106" i="1"/>
  <c r="M138" i="1"/>
  <c r="M170" i="1"/>
  <c r="M202" i="1"/>
  <c r="M234" i="1"/>
  <c r="M266" i="1"/>
  <c r="M298" i="1"/>
  <c r="M330" i="1"/>
  <c r="M362" i="1"/>
  <c r="M394" i="1"/>
  <c r="M11" i="1"/>
  <c r="M43" i="1"/>
  <c r="M75" i="1"/>
  <c r="M107" i="1"/>
  <c r="M139" i="1"/>
  <c r="M171" i="1"/>
  <c r="M203" i="1"/>
  <c r="M235" i="1"/>
  <c r="M267" i="1"/>
  <c r="M299" i="1"/>
  <c r="M331" i="1"/>
  <c r="M363" i="1"/>
  <c r="M395" i="1"/>
  <c r="M12" i="1"/>
  <c r="M44" i="1"/>
  <c r="M76" i="1"/>
  <c r="M108" i="1"/>
  <c r="M140" i="1"/>
  <c r="M172" i="1"/>
  <c r="M204" i="1"/>
  <c r="M236" i="1"/>
  <c r="M268" i="1"/>
  <c r="M300" i="1"/>
  <c r="M332" i="1"/>
  <c r="M364" i="1"/>
  <c r="M396" i="1"/>
  <c r="M13" i="1"/>
  <c r="M45" i="1"/>
  <c r="M77" i="1"/>
  <c r="M109" i="1"/>
  <c r="M141" i="1"/>
  <c r="M173" i="1"/>
  <c r="M205" i="1"/>
  <c r="M237" i="1"/>
  <c r="M269" i="1"/>
  <c r="M301" i="1"/>
  <c r="M333" i="1"/>
  <c r="M365" i="1"/>
  <c r="M397" i="1"/>
  <c r="M14" i="1"/>
  <c r="M46" i="1"/>
  <c r="M78" i="1"/>
  <c r="M110" i="1"/>
  <c r="M142" i="1"/>
  <c r="M174" i="1"/>
  <c r="M206" i="1"/>
  <c r="M238" i="1"/>
  <c r="M270" i="1"/>
  <c r="M302" i="1"/>
  <c r="M334" i="1"/>
  <c r="M366" i="1"/>
  <c r="M398" i="1"/>
  <c r="M15" i="1"/>
  <c r="M47" i="1"/>
  <c r="M79" i="1"/>
  <c r="M111" i="1"/>
  <c r="M143" i="1"/>
  <c r="M175" i="1"/>
  <c r="M207" i="1"/>
  <c r="M239" i="1"/>
  <c r="M271" i="1"/>
  <c r="M303" i="1"/>
  <c r="M335" i="1"/>
  <c r="M367" i="1"/>
  <c r="M399" i="1"/>
  <c r="M16" i="1"/>
  <c r="M48" i="1"/>
  <c r="M80" i="1"/>
  <c r="M112" i="1"/>
  <c r="M144" i="1"/>
  <c r="M176" i="1"/>
  <c r="M208" i="1"/>
  <c r="M240" i="1"/>
  <c r="M272" i="1"/>
  <c r="M304" i="1"/>
  <c r="M336" i="1"/>
  <c r="M368" i="1"/>
  <c r="M400" i="1"/>
  <c r="M17" i="1"/>
  <c r="M49" i="1"/>
  <c r="M81" i="1"/>
  <c r="M113" i="1"/>
  <c r="M145" i="1"/>
  <c r="M177" i="1"/>
  <c r="M209" i="1"/>
  <c r="M241" i="1"/>
  <c r="M273" i="1"/>
  <c r="M305" i="1"/>
  <c r="M337" i="1"/>
  <c r="M369" i="1"/>
  <c r="M401" i="1"/>
  <c r="M18" i="1"/>
  <c r="M50" i="1"/>
  <c r="M82" i="1"/>
  <c r="M114" i="1"/>
  <c r="M146" i="1"/>
  <c r="M178" i="1"/>
  <c r="M210" i="1"/>
  <c r="M242" i="1"/>
  <c r="M274" i="1"/>
  <c r="M306" i="1"/>
  <c r="M338" i="1"/>
  <c r="M370" i="1"/>
  <c r="M402" i="1"/>
  <c r="M19" i="1"/>
  <c r="M51" i="1"/>
  <c r="M83" i="1"/>
  <c r="M115" i="1"/>
  <c r="M147" i="1"/>
  <c r="M179" i="1"/>
  <c r="M211" i="1"/>
  <c r="M243" i="1"/>
  <c r="M275" i="1"/>
  <c r="M307" i="1"/>
  <c r="M339" i="1"/>
  <c r="M371" i="1"/>
  <c r="M2" i="1"/>
  <c r="M20" i="1"/>
  <c r="M52" i="1"/>
  <c r="M84" i="1"/>
  <c r="M116" i="1"/>
  <c r="M148" i="1"/>
  <c r="M180" i="1"/>
  <c r="M212" i="1"/>
  <c r="M244" i="1"/>
  <c r="M276" i="1"/>
  <c r="M308" i="1"/>
  <c r="M340" i="1"/>
  <c r="M372" i="1"/>
  <c r="M21" i="1"/>
  <c r="M53" i="1"/>
  <c r="M85" i="1"/>
  <c r="M117" i="1"/>
  <c r="M149" i="1"/>
  <c r="M181" i="1"/>
  <c r="M213" i="1"/>
  <c r="M245" i="1"/>
  <c r="M277" i="1"/>
  <c r="M309" i="1"/>
  <c r="M341" i="1"/>
  <c r="M373" i="1"/>
  <c r="M162" i="1"/>
  <c r="M22" i="1"/>
  <c r="M54" i="1"/>
  <c r="M86" i="1"/>
  <c r="M118" i="1"/>
  <c r="M150" i="1"/>
  <c r="M182" i="1"/>
  <c r="M214" i="1"/>
  <c r="M246" i="1"/>
  <c r="M278" i="1"/>
  <c r="M310" i="1"/>
  <c r="M342" i="1"/>
  <c r="M374" i="1"/>
  <c r="M66" i="1"/>
  <c r="M23" i="1"/>
  <c r="M55" i="1"/>
  <c r="M87" i="1"/>
  <c r="M119" i="1"/>
  <c r="M151" i="1"/>
  <c r="M183" i="1"/>
  <c r="M215" i="1"/>
  <c r="M247" i="1"/>
  <c r="M279" i="1"/>
  <c r="M311" i="1"/>
  <c r="M343" i="1"/>
  <c r="M375" i="1"/>
  <c r="M130" i="1"/>
  <c r="M24" i="1"/>
  <c r="M56" i="1"/>
  <c r="M88" i="1"/>
  <c r="M120" i="1"/>
  <c r="M152" i="1"/>
  <c r="M184" i="1"/>
  <c r="M216" i="1"/>
  <c r="M248" i="1"/>
  <c r="M280" i="1"/>
  <c r="M312" i="1"/>
  <c r="M344" i="1"/>
  <c r="M376" i="1"/>
  <c r="M98" i="1"/>
  <c r="M25" i="1"/>
  <c r="M57" i="1"/>
  <c r="M89" i="1"/>
  <c r="M121" i="1"/>
  <c r="M153" i="1"/>
  <c r="M185" i="1"/>
  <c r="M217" i="1"/>
  <c r="M249" i="1"/>
  <c r="M281" i="1"/>
  <c r="M313" i="1"/>
  <c r="M345" i="1"/>
  <c r="M377" i="1"/>
  <c r="M26" i="1"/>
  <c r="M58" i="1"/>
  <c r="M90" i="1"/>
  <c r="M122" i="1"/>
  <c r="M154" i="1"/>
  <c r="M186" i="1"/>
  <c r="M218" i="1"/>
  <c r="M250" i="1"/>
  <c r="M282" i="1"/>
  <c r="M314" i="1"/>
  <c r="M346" i="1"/>
  <c r="M378" i="1"/>
  <c r="M258" i="1"/>
  <c r="M27" i="1"/>
  <c r="M59" i="1"/>
  <c r="M91" i="1"/>
  <c r="M123" i="1"/>
  <c r="M155" i="1"/>
  <c r="M187" i="1"/>
  <c r="M219" i="1"/>
  <c r="M251" i="1"/>
  <c r="M283" i="1"/>
  <c r="M315" i="1"/>
  <c r="M347" i="1"/>
  <c r="M379" i="1"/>
  <c r="M322" i="1"/>
  <c r="M28" i="1"/>
  <c r="M60" i="1"/>
  <c r="M92" i="1"/>
  <c r="M124" i="1"/>
  <c r="M156" i="1"/>
  <c r="M188" i="1"/>
  <c r="M220" i="1"/>
  <c r="M252" i="1"/>
  <c r="M284" i="1"/>
  <c r="M316" i="1"/>
  <c r="M348" i="1"/>
  <c r="M380" i="1"/>
  <c r="M386" i="1"/>
  <c r="M29" i="1"/>
  <c r="M61" i="1"/>
  <c r="M93" i="1"/>
  <c r="M125" i="1"/>
  <c r="M157" i="1"/>
  <c r="M189" i="1"/>
  <c r="M221" i="1"/>
  <c r="M253" i="1"/>
  <c r="M285" i="1"/>
  <c r="M317" i="1"/>
  <c r="M349" i="1"/>
  <c r="M381" i="1"/>
  <c r="M290" i="1"/>
  <c r="M30" i="1"/>
  <c r="M62" i="1"/>
  <c r="M94" i="1"/>
  <c r="M126" i="1"/>
  <c r="M158" i="1"/>
  <c r="M190" i="1"/>
  <c r="M222" i="1"/>
  <c r="M254" i="1"/>
  <c r="M286" i="1"/>
  <c r="M318" i="1"/>
  <c r="M350" i="1"/>
  <c r="M382" i="1"/>
  <c r="M354" i="1"/>
  <c r="M31" i="1"/>
  <c r="M63" i="1"/>
  <c r="M95" i="1"/>
  <c r="M127" i="1"/>
  <c r="M159" i="1"/>
  <c r="M191" i="1"/>
  <c r="M223" i="1"/>
  <c r="M255" i="1"/>
  <c r="M287" i="1"/>
  <c r="M319" i="1"/>
  <c r="M351" i="1"/>
  <c r="M383" i="1"/>
  <c r="M226" i="1"/>
  <c r="M32" i="1"/>
  <c r="M64" i="1"/>
  <c r="M96" i="1"/>
  <c r="M128" i="1"/>
  <c r="M160" i="1"/>
  <c r="M192" i="1"/>
  <c r="M224" i="1"/>
  <c r="M256" i="1"/>
  <c r="M288" i="1"/>
  <c r="M320" i="1"/>
  <c r="M352" i="1"/>
  <c r="M384" i="1"/>
  <c r="M194" i="1"/>
  <c r="M33" i="1"/>
  <c r="M65" i="1"/>
  <c r="M97" i="1"/>
  <c r="M129" i="1"/>
  <c r="M161" i="1"/>
  <c r="M193" i="1"/>
  <c r="M225" i="1"/>
  <c r="M257" i="1"/>
  <c r="M289" i="1"/>
  <c r="M321" i="1"/>
  <c r="M353" i="1"/>
  <c r="M385" i="1"/>
  <c r="M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<sst xmlns="http://schemas.openxmlformats.org/spreadsheetml/2006/main" count="12115" uniqueCount="2130">
  <si>
    <t>Configuration</t>
  </si>
  <si>
    <t>Term</t>
  </si>
  <si>
    <t>J</t>
  </si>
  <si>
    <t>g</t>
  </si>
  <si>
    <t>parity</t>
  </si>
  <si>
    <t>Level (cm-1)</t>
  </si>
  <si>
    <t>Suffix</t>
  </si>
  <si>
    <t>Uncertainty (cm-1)</t>
  </si>
  <si>
    <t>Leading percentages</t>
  </si>
  <si>
    <t>Level ID</t>
  </si>
  <si>
    <t>Reference</t>
  </si>
  <si>
    <t>chkdup</t>
  </si>
  <si>
    <t>4f3</t>
  </si>
  <si>
    <t>4I*</t>
  </si>
  <si>
    <t>9/2</t>
  </si>
  <si>
    <t>o</t>
  </si>
  <si>
    <t>0.00</t>
  </si>
  <si>
    <t/>
  </si>
  <si>
    <t>0</t>
  </si>
  <si>
    <t xml:space="preserve">  97                 :     2                      2H2*             </t>
  </si>
  <si>
    <t>059003.000001</t>
  </si>
  <si>
    <t>L3974</t>
  </si>
  <si>
    <t>11/2</t>
  </si>
  <si>
    <t>1398.34</t>
  </si>
  <si>
    <t xml:space="preserve">  99                 :     1                      2H2*             </t>
  </si>
  <si>
    <t>059003.000031</t>
  </si>
  <si>
    <t>13/2</t>
  </si>
  <si>
    <t>2893.14</t>
  </si>
  <si>
    <t xml:space="preserve"> 100                                                               </t>
  </si>
  <si>
    <t>059003.000032</t>
  </si>
  <si>
    <t>15/2</t>
  </si>
  <si>
    <t>4453.76</t>
  </si>
  <si>
    <t xml:space="preserve">  99                 :     1                      2K*              </t>
  </si>
  <si>
    <t>059003.000033</t>
  </si>
  <si>
    <t>4F*</t>
  </si>
  <si>
    <t>3/2</t>
  </si>
  <si>
    <t>9370.66</t>
  </si>
  <si>
    <t xml:space="preserve">  95                 :     5                      2D1*             </t>
  </si>
  <si>
    <t>059003.000034</t>
  </si>
  <si>
    <t>2H2*</t>
  </si>
  <si>
    <t>10032.92</t>
  </si>
  <si>
    <t xml:space="preserve">  60                 :    10                      2G1*             </t>
  </si>
  <si>
    <t>059003.000035</t>
  </si>
  <si>
    <t>5/2</t>
  </si>
  <si>
    <t>10138.18</t>
  </si>
  <si>
    <t xml:space="preserve">  98                 :     2                      2D1*             </t>
  </si>
  <si>
    <t>059003.000036</t>
  </si>
  <si>
    <t>7/2</t>
  </si>
  <si>
    <t>10859.06</t>
  </si>
  <si>
    <t xml:space="preserve">  93                 :     4                      2G1*             </t>
  </si>
  <si>
    <t>059003.000037</t>
  </si>
  <si>
    <t>4S*</t>
  </si>
  <si>
    <t>10950.24</t>
  </si>
  <si>
    <t xml:space="preserve">  95                 :     4                      2P*              </t>
  </si>
  <si>
    <t>059003.000038</t>
  </si>
  <si>
    <t>11761.69</t>
  </si>
  <si>
    <t xml:space="preserve">  79                 :    15                      2H2*             </t>
  </si>
  <si>
    <t>059003.000039</t>
  </si>
  <si>
    <t>12494.63</t>
  </si>
  <si>
    <t xml:space="preserve">  82                 :    13                      2H1*             </t>
  </si>
  <si>
    <t>059003.000040</t>
  </si>
  <si>
    <t>4f2.(3H).5d</t>
  </si>
  <si>
    <t>2H</t>
  </si>
  <si>
    <t>e</t>
  </si>
  <si>
    <t>12846.66</t>
  </si>
  <si>
    <t xml:space="preserve">  52                 :    38                      (3H) 4I          </t>
  </si>
  <si>
    <t>059003.000041</t>
  </si>
  <si>
    <t>4K</t>
  </si>
  <si>
    <t>13352.10</t>
  </si>
  <si>
    <t xml:space="preserve">  80                                                               </t>
  </si>
  <si>
    <t>059003.000042</t>
  </si>
  <si>
    <t>*</t>
  </si>
  <si>
    <t>13887.60</t>
  </si>
  <si>
    <t xml:space="preserve">  41  2G1*           :    29                      2G2*             </t>
  </si>
  <si>
    <t>059003.000043</t>
  </si>
  <si>
    <t>4G*</t>
  </si>
  <si>
    <t>14187.35</t>
  </si>
  <si>
    <t xml:space="preserve">  99                                                               </t>
  </si>
  <si>
    <t>059003.000044</t>
  </si>
  <si>
    <t>4I</t>
  </si>
  <si>
    <t>14558.82</t>
  </si>
  <si>
    <t xml:space="preserve">  59                 :    26                      (3H) 2H          </t>
  </si>
  <si>
    <t>059003.000045</t>
  </si>
  <si>
    <t>14859.96</t>
  </si>
  <si>
    <t xml:space="preserve">  46                 :    27                      (3H) 4I          </t>
  </si>
  <si>
    <t>059003.000046</t>
  </si>
  <si>
    <t>4G</t>
  </si>
  <si>
    <t>15045.80</t>
  </si>
  <si>
    <t xml:space="preserve">  50                 :    25                      (3F) 4G          </t>
  </si>
  <si>
    <t>059003.000047</t>
  </si>
  <si>
    <t>15443.48</t>
  </si>
  <si>
    <t xml:space="preserve">  75                 :    15                      2G1*             </t>
  </si>
  <si>
    <t>059003.000048</t>
  </si>
  <si>
    <t>15454.16</t>
  </si>
  <si>
    <t xml:space="preserve">  95                                                               </t>
  </si>
  <si>
    <t>059003.000049</t>
  </si>
  <si>
    <t>15525.50</t>
  </si>
  <si>
    <t xml:space="preserve">  68                                                               </t>
  </si>
  <si>
    <t>059003.000050</t>
  </si>
  <si>
    <t>15705.13</t>
  </si>
  <si>
    <t xml:space="preserve">  55                 :    17                      2G1*             </t>
  </si>
  <si>
    <t>059003.000051</t>
  </si>
  <si>
    <t>2K*</t>
  </si>
  <si>
    <t>16089.14</t>
  </si>
  <si>
    <t xml:space="preserve">  99                 :     1                      2I*              </t>
  </si>
  <si>
    <t>059003.000052</t>
  </si>
  <si>
    <t>4H</t>
  </si>
  <si>
    <t>16135.97</t>
  </si>
  <si>
    <t xml:space="preserve">  76                                                               </t>
  </si>
  <si>
    <t>059003.000053</t>
  </si>
  <si>
    <t>16516.15</t>
  </si>
  <si>
    <t xml:space="preserve">  57                 :    25                      (3F) 4G          </t>
  </si>
  <si>
    <t>059003.000054</t>
  </si>
  <si>
    <t>16763.98</t>
  </si>
  <si>
    <t xml:space="preserve">  43  4G*            :    30                      2G1*             </t>
  </si>
  <si>
    <t>059003.000055</t>
  </si>
  <si>
    <t>2D1*</t>
  </si>
  <si>
    <t>17095.63</t>
  </si>
  <si>
    <t xml:space="preserve">  50                 :    40                      2P*              </t>
  </si>
  <si>
    <t>059003.000056</t>
  </si>
  <si>
    <t>17113.19</t>
  </si>
  <si>
    <t xml:space="preserve">  98                                                               </t>
  </si>
  <si>
    <t>059003.000057</t>
  </si>
  <si>
    <t>17409.58</t>
  </si>
  <si>
    <t xml:space="preserve">  95                 :     3                      2H1*             </t>
  </si>
  <si>
    <t>059003.000058</t>
  </si>
  <si>
    <t>17534.76</t>
  </si>
  <si>
    <t>059003.000059</t>
  </si>
  <si>
    <t>17627.00</t>
  </si>
  <si>
    <t xml:space="preserve">  76                 :    10                      (3H) 4G          </t>
  </si>
  <si>
    <t>059003.000060</t>
  </si>
  <si>
    <t>17642.06</t>
  </si>
  <si>
    <t xml:space="preserve">  96                 :     3                      2L*              </t>
  </si>
  <si>
    <t>059003.000061</t>
  </si>
  <si>
    <t>18063.36</t>
  </si>
  <si>
    <t xml:space="preserve">  56                 :    25                      (3F) 4G          </t>
  </si>
  <si>
    <t>059003.000062</t>
  </si>
  <si>
    <t>18211.76</t>
  </si>
  <si>
    <t xml:space="preserve">  34  2F             :    21                      (3F) 2F          </t>
  </si>
  <si>
    <t>059003.000063</t>
  </si>
  <si>
    <t>2I</t>
  </si>
  <si>
    <t>18241.54</t>
  </si>
  <si>
    <t xml:space="preserve">  47                 :    16                      (1G) 2I          </t>
  </si>
  <si>
    <t>059003.000064</t>
  </si>
  <si>
    <t>2P*</t>
  </si>
  <si>
    <t>1/2</t>
  </si>
  <si>
    <t>18693.65</t>
  </si>
  <si>
    <t xml:space="preserve">  95                 :     5                      4D*              </t>
  </si>
  <si>
    <t>059003.000065</t>
  </si>
  <si>
    <t>18921.24</t>
  </si>
  <si>
    <t>059003.000066</t>
  </si>
  <si>
    <t>4f2.(3F).5d</t>
  </si>
  <si>
    <t>18990.08</t>
  </si>
  <si>
    <t xml:space="preserve">  88                                                               </t>
  </si>
  <si>
    <t>059003.000067</t>
  </si>
  <si>
    <t>19046.09</t>
  </si>
  <si>
    <t xml:space="preserve">  98                 :     2                      4F*              </t>
  </si>
  <si>
    <t>059003.000068</t>
  </si>
  <si>
    <t>19308.93</t>
  </si>
  <si>
    <t xml:space="preserve">  85                                                               </t>
  </si>
  <si>
    <t>059003.000069</t>
  </si>
  <si>
    <t>19360.10</t>
  </si>
  <si>
    <t xml:space="preserve">  50                 :    19                      (3H) 4H          </t>
  </si>
  <si>
    <t>059003.000070</t>
  </si>
  <si>
    <t>17/2</t>
  </si>
  <si>
    <t>19649.67</t>
  </si>
  <si>
    <t>059003.000071</t>
  </si>
  <si>
    <t>19700.90</t>
  </si>
  <si>
    <t xml:space="preserve">  52                 :    29                      (3F) 4G          </t>
  </si>
  <si>
    <t>059003.000072</t>
  </si>
  <si>
    <t>19872.43</t>
  </si>
  <si>
    <t xml:space="preserve">  33  2F             :    23                      (3F) 2F          </t>
  </si>
  <si>
    <t>059003.000073</t>
  </si>
  <si>
    <t>4F</t>
  </si>
  <si>
    <t>20160.36</t>
  </si>
  <si>
    <t xml:space="preserve">  78                 :    16                      (3F) 4F          </t>
  </si>
  <si>
    <t>059003.000074</t>
  </si>
  <si>
    <t>20315.65</t>
  </si>
  <si>
    <t xml:space="preserve">  89                                                               </t>
  </si>
  <si>
    <t>059003.000075</t>
  </si>
  <si>
    <t>20848.39</t>
  </si>
  <si>
    <t xml:space="preserve">  41                 :    17                      (3F) 4G          </t>
  </si>
  <si>
    <t>059003.000076</t>
  </si>
  <si>
    <t>20856.86</t>
  </si>
  <si>
    <t xml:space="preserve">  53                 :    40                      2D1*             </t>
  </si>
  <si>
    <t>059003.000077</t>
  </si>
  <si>
    <t>4P</t>
  </si>
  <si>
    <t>21148.43</t>
  </si>
  <si>
    <t xml:space="preserve">  60                 :    17                      (3F) 2P          </t>
  </si>
  <si>
    <t>059003.000078</t>
  </si>
  <si>
    <t>21238.78</t>
  </si>
  <si>
    <t xml:space="preserve">  77                 :    13                      (3H) 2I          </t>
  </si>
  <si>
    <t>059003.000079</t>
  </si>
  <si>
    <t>2G</t>
  </si>
  <si>
    <t>21294.89</t>
  </si>
  <si>
    <t xml:space="preserve">  38                                                               </t>
  </si>
  <si>
    <t>059003.000080</t>
  </si>
  <si>
    <t>21418.84</t>
  </si>
  <si>
    <t xml:space="preserve">  40                 :    16                      (3F) 4P          </t>
  </si>
  <si>
    <t>059003.000081</t>
  </si>
  <si>
    <t>4f2.(1G).5d</t>
  </si>
  <si>
    <t>21535.17</t>
  </si>
  <si>
    <t xml:space="preserve">  33  2H             :    13                      (3F) 4G          </t>
  </si>
  <si>
    <t>059003.000082</t>
  </si>
  <si>
    <t>21611.19</t>
  </si>
  <si>
    <t xml:space="preserve">  39                 :    14                      (3H) 4F          </t>
  </si>
  <si>
    <t>059003.000083</t>
  </si>
  <si>
    <t>21755.84</t>
  </si>
  <si>
    <t>059003.000084</t>
  </si>
  <si>
    <t>22080.94</t>
  </si>
  <si>
    <t xml:space="preserve">  40                 :    27                      (3H) 4F          </t>
  </si>
  <si>
    <t>059003.000085</t>
  </si>
  <si>
    <t>22277.66</t>
  </si>
  <si>
    <t xml:space="preserve">  30  4D             :    27                      (3F) 2D          </t>
  </si>
  <si>
    <t>059003.000086</t>
  </si>
  <si>
    <t>22527.70</t>
  </si>
  <si>
    <t xml:space="preserve">  22  4F             :    16                      (3F) 4G          </t>
  </si>
  <si>
    <t>059003.000087</t>
  </si>
  <si>
    <t>22747.69</t>
  </si>
  <si>
    <t xml:space="preserve">  49                 :    13                      (1G) 2H          </t>
  </si>
  <si>
    <t>059003.000088</t>
  </si>
  <si>
    <t>4D</t>
  </si>
  <si>
    <t>23050.61</t>
  </si>
  <si>
    <t xml:space="preserve">  30                 :    23                      (3F) 4P          </t>
  </si>
  <si>
    <t>059003.000089</t>
  </si>
  <si>
    <t>4D*</t>
  </si>
  <si>
    <t>23091.70</t>
  </si>
  <si>
    <t xml:space="preserve">  82                 :    15                      2D2*             </t>
  </si>
  <si>
    <t>059003.000090</t>
  </si>
  <si>
    <t>23175.09</t>
  </si>
  <si>
    <t xml:space="preserve">  71                 :    15                      (3H) 2K          </t>
  </si>
  <si>
    <t>059003.000091</t>
  </si>
  <si>
    <t>23245.99</t>
  </si>
  <si>
    <t xml:space="preserve">  81                 :    18                      2D2*             </t>
  </si>
  <si>
    <t>059003.000092</t>
  </si>
  <si>
    <t>23442.25</t>
  </si>
  <si>
    <t xml:space="preserve">  35  2H             :    22                      (3F) 4G          </t>
  </si>
  <si>
    <t>059003.000093</t>
  </si>
  <si>
    <t>23465.43</t>
  </si>
  <si>
    <t xml:space="preserve">  95                 :     5                      2P*              </t>
  </si>
  <si>
    <t>059003.000094</t>
  </si>
  <si>
    <t>23532.86</t>
  </si>
  <si>
    <t xml:space="preserve">  23  4F             :    15                      (3H) 2F          </t>
  </si>
  <si>
    <t>059003.000095</t>
  </si>
  <si>
    <t>2K</t>
  </si>
  <si>
    <t>23647.77</t>
  </si>
  <si>
    <t xml:space="preserve">  71                 :    19                      (3F) 4H          </t>
  </si>
  <si>
    <t>059003.000096</t>
  </si>
  <si>
    <t>23651.88</t>
  </si>
  <si>
    <t xml:space="preserve">  24  2G             :    17                      (1G) 2F          </t>
  </si>
  <si>
    <t>059003.000097</t>
  </si>
  <si>
    <t>23751.57</t>
  </si>
  <si>
    <t xml:space="preserve">  76                 :    10                      (1G) 2F          </t>
  </si>
  <si>
    <t>059003.000098</t>
  </si>
  <si>
    <t>23844.58</t>
  </si>
  <si>
    <t xml:space="preserve">  48                 :    14                      (3H) 4G          </t>
  </si>
  <si>
    <t>059003.000099</t>
  </si>
  <si>
    <t>23955.37</t>
  </si>
  <si>
    <t xml:space="preserve">  66                 :    28                      (3F) 2P          </t>
  </si>
  <si>
    <t>059003.000100</t>
  </si>
  <si>
    <t>24250.62</t>
  </si>
  <si>
    <t xml:space="preserve">  38                 :    20                      (3F) 2P          </t>
  </si>
  <si>
    <t>059003.000101</t>
  </si>
  <si>
    <t>24309.20</t>
  </si>
  <si>
    <t xml:space="preserve">  28  4D             :    26                      (3F) 2P          </t>
  </si>
  <si>
    <t>059003.000102</t>
  </si>
  <si>
    <t>2I*</t>
  </si>
  <si>
    <t>24357.98</t>
  </si>
  <si>
    <t xml:space="preserve">  84                 :    14                      2H1*             </t>
  </si>
  <si>
    <t>059003.000103</t>
  </si>
  <si>
    <t>24461.24</t>
  </si>
  <si>
    <t xml:space="preserve">  43                 :    18                      (3F) 2D          </t>
  </si>
  <si>
    <t>059003.000104</t>
  </si>
  <si>
    <t>24470.90</t>
  </si>
  <si>
    <t xml:space="preserve">  69                                                               </t>
  </si>
  <si>
    <t>059003.000105</t>
  </si>
  <si>
    <t>24788.02</t>
  </si>
  <si>
    <t xml:space="preserve">  48                 :    15                      (3F) 4F          </t>
  </si>
  <si>
    <t>059003.000106</t>
  </si>
  <si>
    <t>24886.51</t>
  </si>
  <si>
    <t>059003.000107</t>
  </si>
  <si>
    <t>25033.91</t>
  </si>
  <si>
    <t xml:space="preserve">  36  2G             :    33                      (3H) 4F          </t>
  </si>
  <si>
    <t>059003.000108</t>
  </si>
  <si>
    <t>2L*</t>
  </si>
  <si>
    <t>25244.61</t>
  </si>
  <si>
    <t xml:space="preserve">  97                 :     3                      2K*              </t>
  </si>
  <si>
    <t>059003.000109</t>
  </si>
  <si>
    <t>25391.75</t>
  </si>
  <si>
    <t>059003.000110</t>
  </si>
  <si>
    <t>25409.74</t>
  </si>
  <si>
    <t xml:space="preserve">  30  4F             :    25                      (1G) 2G          </t>
  </si>
  <si>
    <t>059003.000111</t>
  </si>
  <si>
    <t>25934.98</t>
  </si>
  <si>
    <t xml:space="preserve">  18  2D             :    17                      (3F) 2F          </t>
  </si>
  <si>
    <t>059003.000112</t>
  </si>
  <si>
    <t>25979.34</t>
  </si>
  <si>
    <t xml:space="preserve">  86                 :    11                      (1I) 2K          </t>
  </si>
  <si>
    <t>059003.000113</t>
  </si>
  <si>
    <t>26095.23</t>
  </si>
  <si>
    <t xml:space="preserve">  42                 :    24                      (1G) 2H          </t>
  </si>
  <si>
    <t>059003.000114</t>
  </si>
  <si>
    <t>26446.97</t>
  </si>
  <si>
    <t xml:space="preserve">  34                 :    21                      (3H) 2F          </t>
  </si>
  <si>
    <t>059003.000115</t>
  </si>
  <si>
    <t>26447.88</t>
  </si>
  <si>
    <t>059003.000116</t>
  </si>
  <si>
    <t>2D2*</t>
  </si>
  <si>
    <t>26921.49</t>
  </si>
  <si>
    <t xml:space="preserve">  80                 :    16                      4D*              </t>
  </si>
  <si>
    <t>059003.000117</t>
  </si>
  <si>
    <t>2H1*</t>
  </si>
  <si>
    <t>26979.66</t>
  </si>
  <si>
    <t xml:space="preserve">  87                 :    11                      2H2*             </t>
  </si>
  <si>
    <t>059003.000118</t>
  </si>
  <si>
    <t>27138.55</t>
  </si>
  <si>
    <t xml:space="preserve">  42                 :    17                      (1D) 2G          </t>
  </si>
  <si>
    <t>059003.000119</t>
  </si>
  <si>
    <t>27380.31</t>
  </si>
  <si>
    <t xml:space="preserve">  64                 :    17                      (3H) 2I          </t>
  </si>
  <si>
    <t>059003.000120</t>
  </si>
  <si>
    <t>2D</t>
  </si>
  <si>
    <t>27452.45</t>
  </si>
  <si>
    <t xml:space="preserve">  56                 :    27                      (3F) 2D          </t>
  </si>
  <si>
    <t>059003.000121</t>
  </si>
  <si>
    <t>27597.13</t>
  </si>
  <si>
    <t xml:space="preserve">  77                 :    19                      4D*              </t>
  </si>
  <si>
    <t>059003.000122</t>
  </si>
  <si>
    <t>27604.26</t>
  </si>
  <si>
    <t xml:space="preserve">  56                 :    26                      (1G) 2G          </t>
  </si>
  <si>
    <t>059003.000123</t>
  </si>
  <si>
    <t>28101.77</t>
  </si>
  <si>
    <t xml:space="preserve">  70                 :    16                      2I*              </t>
  </si>
  <si>
    <t>059003.000124</t>
  </si>
  <si>
    <t>4f2.(3H&lt;4&gt;).6s&lt;1/2&gt;</t>
  </si>
  <si>
    <t>(4,1/2)</t>
  </si>
  <si>
    <t>28399.43</t>
  </si>
  <si>
    <t xml:space="preserve">  97                                                               </t>
  </si>
  <si>
    <t>059003.000125</t>
  </si>
  <si>
    <t>28720.71</t>
  </si>
  <si>
    <t xml:space="preserve">  52                 :    15                      (3F) 2H          </t>
  </si>
  <si>
    <t>059003.000126</t>
  </si>
  <si>
    <t>28885.14</t>
  </si>
  <si>
    <t xml:space="preserve">  93                                                               </t>
  </si>
  <si>
    <t>059003.000127</t>
  </si>
  <si>
    <t>28936.46</t>
  </si>
  <si>
    <t xml:space="preserve">  66                 :    18                      (3F) 2D          </t>
  </si>
  <si>
    <t>059003.000128</t>
  </si>
  <si>
    <t>29263.08</t>
  </si>
  <si>
    <t xml:space="preserve">  68                 :    22                      (3H) 2I          </t>
  </si>
  <si>
    <t>059003.000129</t>
  </si>
  <si>
    <t>2F</t>
  </si>
  <si>
    <t>29267.86</t>
  </si>
  <si>
    <t xml:space="preserve">  55                 :    23                      (3F) 2F          </t>
  </si>
  <si>
    <t>059003.000130</t>
  </si>
  <si>
    <t>29835.09</t>
  </si>
  <si>
    <t xml:space="preserve">  37                 :    27                      (1G) 2H          </t>
  </si>
  <si>
    <t>059003.000131</t>
  </si>
  <si>
    <t>30505.72</t>
  </si>
  <si>
    <t xml:space="preserve">  57                 :    19                      (1G) 2H          </t>
  </si>
  <si>
    <t>059003.000132</t>
  </si>
  <si>
    <t>4f2.(3H&lt;5&gt;).6s&lt;1/2&gt;</t>
  </si>
  <si>
    <t>(5,1/2)</t>
  </si>
  <si>
    <t>30733.53</t>
  </si>
  <si>
    <t>059003.000133</t>
  </si>
  <si>
    <t>30994.55</t>
  </si>
  <si>
    <t>059003.000134</t>
  </si>
  <si>
    <t>31254.71</t>
  </si>
  <si>
    <t xml:space="preserve">  35  2F             :    27                      (3F) 2F          </t>
  </si>
  <si>
    <t>059003.000135</t>
  </si>
  <si>
    <t>2F2*</t>
  </si>
  <si>
    <t>31787.93</t>
  </si>
  <si>
    <t xml:space="preserve">  82                 :    17                      2F1*             </t>
  </si>
  <si>
    <t>059003.000136</t>
  </si>
  <si>
    <t>4f2.(1D).5d</t>
  </si>
  <si>
    <t>2S</t>
  </si>
  <si>
    <t>31803.70</t>
  </si>
  <si>
    <t xml:space="preserve">  68                 :    19                      (1D) 2P          </t>
  </si>
  <si>
    <t>059003.000137</t>
  </si>
  <si>
    <t>2P</t>
  </si>
  <si>
    <t>32288.92</t>
  </si>
  <si>
    <t xml:space="preserve">  73                 :    17                      (3P) 2P          </t>
  </si>
  <si>
    <t>059003.000138</t>
  </si>
  <si>
    <t>4f2.(3H&lt;6&gt;).6s&lt;1/2&gt;</t>
  </si>
  <si>
    <t>(6,1/2)</t>
  </si>
  <si>
    <t>32760.11</t>
  </si>
  <si>
    <t>059003.000139</t>
  </si>
  <si>
    <t>4f2.(3F&lt;2&gt;).6s&lt;1/2&gt;</t>
  </si>
  <si>
    <t>(2,1/2)</t>
  </si>
  <si>
    <t>33338.37</t>
  </si>
  <si>
    <t>059003.000140</t>
  </si>
  <si>
    <t>33466.41</t>
  </si>
  <si>
    <t>059003.000141</t>
  </si>
  <si>
    <t>33659.99</t>
  </si>
  <si>
    <t xml:space="preserve">  89                 :     9                      (3F&lt;3&gt;) (3,1/2)  </t>
  </si>
  <si>
    <t>059003.000142</t>
  </si>
  <si>
    <t>34198.61</t>
  </si>
  <si>
    <t xml:space="preserve">  68                 :    25                      (1D) 2S          </t>
  </si>
  <si>
    <t>059003.000143</t>
  </si>
  <si>
    <t>34520.27</t>
  </si>
  <si>
    <t xml:space="preserve">  53                 :    18                      (3P) 4F          </t>
  </si>
  <si>
    <t>059003.000144</t>
  </si>
  <si>
    <t>4f2.(3F&lt;3&gt;).6s&lt;1/2&gt;</t>
  </si>
  <si>
    <t>(3,1/2)</t>
  </si>
  <si>
    <t>34825.49</t>
  </si>
  <si>
    <t>059003.000145</t>
  </si>
  <si>
    <t>35024.49</t>
  </si>
  <si>
    <t xml:space="preserve">  48                 :    19                      (3F) 2G          </t>
  </si>
  <si>
    <t>059003.000146</t>
  </si>
  <si>
    <t>4f2.(3P).5d</t>
  </si>
  <si>
    <t>35137.82</t>
  </si>
  <si>
    <t xml:space="preserve">  32  4F             :    31                      (1D) 2D          </t>
  </si>
  <si>
    <t>059003.000147</t>
  </si>
  <si>
    <t>4f2.(3F&lt;4&gt;).6s&lt;1/2&gt;</t>
  </si>
  <si>
    <t>35291.00</t>
  </si>
  <si>
    <t xml:space="preserve">  69                 :    30                      (1G&lt;4&gt;) (4,1/2)  </t>
  </si>
  <si>
    <t>059003.000148</t>
  </si>
  <si>
    <t>35384.17</t>
  </si>
  <si>
    <t xml:space="preserve">  91                 :     9                      (3F&lt;2&gt;) (2,1/2)  </t>
  </si>
  <si>
    <t>059003.000149</t>
  </si>
  <si>
    <t>35801.12</t>
  </si>
  <si>
    <t xml:space="preserve">  50                 :    39                      (1G&lt;4&gt;) (4,1/2)  </t>
  </si>
  <si>
    <t>059003.000150</t>
  </si>
  <si>
    <t>35828.46</t>
  </si>
  <si>
    <t xml:space="preserve">  54                 :    22                      (3P) 4F          </t>
  </si>
  <si>
    <t>059003.000151</t>
  </si>
  <si>
    <t>35863.74</t>
  </si>
  <si>
    <t xml:space="preserve">  65                 :    12                      (3P) 2P          </t>
  </si>
  <si>
    <t>059003.000152</t>
  </si>
  <si>
    <t>36640.38</t>
  </si>
  <si>
    <t xml:space="preserve">  39                 :    22                      (3P) 4F          </t>
  </si>
  <si>
    <t>059003.000153</t>
  </si>
  <si>
    <t>4f2.(1I).5d</t>
  </si>
  <si>
    <t>36642.13</t>
  </si>
  <si>
    <t xml:space="preserve">  69                 :    26                      (1I) 2K          </t>
  </si>
  <si>
    <t>059003.000154</t>
  </si>
  <si>
    <t>36652.29</t>
  </si>
  <si>
    <t xml:space="preserve">  80                 :    11                      (1D) 2F          </t>
  </si>
  <si>
    <t>059003.000155</t>
  </si>
  <si>
    <t>36670.57</t>
  </si>
  <si>
    <t xml:space="preserve">  92                                                               </t>
  </si>
  <si>
    <t>059003.000156</t>
  </si>
  <si>
    <t>36683.21</t>
  </si>
  <si>
    <t xml:space="preserve">  57                 :    35                      (3P) 2P          </t>
  </si>
  <si>
    <t>059003.000157</t>
  </si>
  <si>
    <t>37011.92</t>
  </si>
  <si>
    <t xml:space="preserve">  41  4P             :    39                      (1D) 2D          </t>
  </si>
  <si>
    <t>059003.000158</t>
  </si>
  <si>
    <t>37197.64</t>
  </si>
  <si>
    <t xml:space="preserve">  40                 :    32                      (1D) 2D          </t>
  </si>
  <si>
    <t>059003.000159</t>
  </si>
  <si>
    <t>37919.58</t>
  </si>
  <si>
    <t xml:space="preserve">  61                 :    23                      (1D) 2F          </t>
  </si>
  <si>
    <t>059003.000160</t>
  </si>
  <si>
    <t>4f2.(1G&lt;4&gt;).6s&lt;1/2&gt;</t>
  </si>
  <si>
    <t>38448.38</t>
  </si>
  <si>
    <t xml:space="preserve">  68                 :    30                      (3F&lt;4&gt;) (4,1/2)  </t>
  </si>
  <si>
    <t>059003.000161</t>
  </si>
  <si>
    <t>38549.90</t>
  </si>
  <si>
    <t xml:space="preserve">  35  4D             :    30                      (3P) 4P          </t>
  </si>
  <si>
    <t>059003.000162</t>
  </si>
  <si>
    <t>38694.51</t>
  </si>
  <si>
    <t xml:space="preserve">  50                 :    23                      (1D) 2D          </t>
  </si>
  <si>
    <t>059003.000163</t>
  </si>
  <si>
    <t>38701.59</t>
  </si>
  <si>
    <t xml:space="preserve">  63                 :    28                      (1I) 2I          </t>
  </si>
  <si>
    <t>059003.000164</t>
  </si>
  <si>
    <t>38726.50</t>
  </si>
  <si>
    <t xml:space="preserve">  57                 :    42                      (3F&lt;4&gt;) (4,1/2)  </t>
  </si>
  <si>
    <t>059003.000165</t>
  </si>
  <si>
    <t>38785.76</t>
  </si>
  <si>
    <t xml:space="preserve">  72                 :    16                      (1I) 2L          </t>
  </si>
  <si>
    <t>059003.000166</t>
  </si>
  <si>
    <t>39024.27</t>
  </si>
  <si>
    <t xml:space="preserve">  73                 :    16                      (1D) 2G          </t>
  </si>
  <si>
    <t>059003.000167</t>
  </si>
  <si>
    <t>39120.49</t>
  </si>
  <si>
    <t xml:space="preserve">  56                 :    22                      (3P) 4P          </t>
  </si>
  <si>
    <t>059003.000168</t>
  </si>
  <si>
    <t>2G2*</t>
  </si>
  <si>
    <t>39225.60</t>
  </si>
  <si>
    <t xml:space="preserve">  59                 :    41                      2G1*             </t>
  </si>
  <si>
    <t>059003.000169</t>
  </si>
  <si>
    <t>39485.48</t>
  </si>
  <si>
    <t xml:space="preserve">  57                 :    34                      (3P) 2P          </t>
  </si>
  <si>
    <t>059003.000170</t>
  </si>
  <si>
    <t>2L</t>
  </si>
  <si>
    <t>39725.99</t>
  </si>
  <si>
    <t xml:space="preserve">  83                 :    16                      (1I) 2K          </t>
  </si>
  <si>
    <t>059003.000171</t>
  </si>
  <si>
    <t>39732.99</t>
  </si>
  <si>
    <t xml:space="preserve">  86                                                               </t>
  </si>
  <si>
    <t>059003.000172</t>
  </si>
  <si>
    <t>39870.17</t>
  </si>
  <si>
    <t xml:space="preserve">  81                                                               </t>
  </si>
  <si>
    <t>059003.000173</t>
  </si>
  <si>
    <t>39940.72</t>
  </si>
  <si>
    <t xml:space="preserve">  59                 :    40                      2G1*             </t>
  </si>
  <si>
    <t>059003.000174</t>
  </si>
  <si>
    <t>40098.66</t>
  </si>
  <si>
    <t xml:space="preserve">  71                 :    19                      (1D) 2D          </t>
  </si>
  <si>
    <t>059003.000175</t>
  </si>
  <si>
    <t>40205.74</t>
  </si>
  <si>
    <t xml:space="preserve">  32  2P             :    29                      (3P) 4D          </t>
  </si>
  <si>
    <t>059003.000176</t>
  </si>
  <si>
    <t>41023.98</t>
  </si>
  <si>
    <t xml:space="preserve">  85                 :    11                      (1D) 2F          </t>
  </si>
  <si>
    <t>059003.000177</t>
  </si>
  <si>
    <t>41026.87</t>
  </si>
  <si>
    <t>059003.000178</t>
  </si>
  <si>
    <t>44679.98</t>
  </si>
  <si>
    <t xml:space="preserve">  77                 :    10                      (3F) 2F          </t>
  </si>
  <si>
    <t>059003.000179</t>
  </si>
  <si>
    <t>44903.42</t>
  </si>
  <si>
    <t xml:space="preserve">  71                 :    12                      (1D) 2F          </t>
  </si>
  <si>
    <t>059003.000180</t>
  </si>
  <si>
    <t>45805.95</t>
  </si>
  <si>
    <t xml:space="preserve">  94                                                               </t>
  </si>
  <si>
    <t>059003.000181</t>
  </si>
  <si>
    <t>4f2.(1D&lt;2&gt;).6s&lt;1/2&gt;</t>
  </si>
  <si>
    <t>45807.1</t>
  </si>
  <si>
    <t xml:space="preserve">  88                 :     9                      (3P&lt;2&gt;) (2,1/2)  </t>
  </si>
  <si>
    <t>059003.000182</t>
  </si>
  <si>
    <t>45844.65</t>
  </si>
  <si>
    <t xml:space="preserve">  90                 :     8                      (3P&lt;2&gt;) (2,1/2)  </t>
  </si>
  <si>
    <t>059003.000183</t>
  </si>
  <si>
    <t>46673.78</t>
  </si>
  <si>
    <t>059003.000184</t>
  </si>
  <si>
    <t>48401.64</t>
  </si>
  <si>
    <t xml:space="preserve">  90                                                               </t>
  </si>
  <si>
    <t>059003.000185</t>
  </si>
  <si>
    <t>48745.48</t>
  </si>
  <si>
    <t xml:space="preserve">  87                                                               </t>
  </si>
  <si>
    <t>059003.000186</t>
  </si>
  <si>
    <t>4f2.(3P&lt;1&gt;).6s&lt;1/2&gt;</t>
  </si>
  <si>
    <t>(1,1/2)</t>
  </si>
  <si>
    <t>50227.79</t>
  </si>
  <si>
    <t>059003.000187</t>
  </si>
  <si>
    <t>4f2.(1I&lt;6&gt;).6s&lt;1/2&gt;</t>
  </si>
  <si>
    <t>50647.35</t>
  </si>
  <si>
    <t>059003.000188</t>
  </si>
  <si>
    <t>50658.72</t>
  </si>
  <si>
    <t>059003.000189</t>
  </si>
  <si>
    <t>50869.3</t>
  </si>
  <si>
    <t xml:space="preserve">  86                 :    14                      (3P&lt;0&gt;) (0,1/2)  </t>
  </si>
  <si>
    <t>059003.000190</t>
  </si>
  <si>
    <t>4f2.(3P&lt;2&gt;).6s&lt;1/2&gt;</t>
  </si>
  <si>
    <t>51312.8</t>
  </si>
  <si>
    <t xml:space="preserve">  91                 :     9                      (1D&lt;2&gt;) (2,1/2)  </t>
  </si>
  <si>
    <t>059003.000191</t>
  </si>
  <si>
    <t>52026.9</t>
  </si>
  <si>
    <t xml:space="preserve">  90                 :     7                      (1D&lt;2&gt;) (2,1/2)  </t>
  </si>
  <si>
    <t>059003.000192</t>
  </si>
  <si>
    <t>2F1*</t>
  </si>
  <si>
    <t>53092.80</t>
  </si>
  <si>
    <t xml:space="preserve">  82                 :    17                      2F2*             </t>
  </si>
  <si>
    <t>059003.000193</t>
  </si>
  <si>
    <t>4f2.(3H&lt;4&gt;).6p&lt;1/2&gt;</t>
  </si>
  <si>
    <t>(4,1/2)*</t>
  </si>
  <si>
    <t>58158.08</t>
  </si>
  <si>
    <t xml:space="preserve">  82                 :     6  4f.(2F*).5d2.(3F)   4H*              </t>
  </si>
  <si>
    <t>059003.000194</t>
  </si>
  <si>
    <t>58174.15</t>
  </si>
  <si>
    <t>059003.000195</t>
  </si>
  <si>
    <t>4f2.(3H&lt;5&gt;).6p&lt;1/2&gt;</t>
  </si>
  <si>
    <t>(5,1/2)*</t>
  </si>
  <si>
    <t>60166.20</t>
  </si>
  <si>
    <t xml:space="preserve">  79                 :     7                      (3H&lt;4&gt;) (4,3/2)* </t>
  </si>
  <si>
    <t>059003.000196</t>
  </si>
  <si>
    <t>60419.73</t>
  </si>
  <si>
    <t>059003.000197</t>
  </si>
  <si>
    <t>4f.(2F*).5d2.(3F)</t>
  </si>
  <si>
    <t>60520.32</t>
  </si>
  <si>
    <t xml:space="preserve">  43  4H*            :    33                      (3F) 2G*         </t>
  </si>
  <si>
    <t>059003.000198</t>
  </si>
  <si>
    <t>4f2.(3H&lt;4&gt;).6p&lt;3/2&gt;</t>
  </si>
  <si>
    <t>(4,3/2)*</t>
  </si>
  <si>
    <t>61357.04</t>
  </si>
  <si>
    <t xml:space="preserve">  53                 :    19  4f.(2F*).5d2.(3F)   4I*              </t>
  </si>
  <si>
    <t>059003.000199</t>
  </si>
  <si>
    <t>61605.66</t>
  </si>
  <si>
    <t xml:space="preserve">  80                 :     7  4f.(2F*).5d2.(3F)   2G*              </t>
  </si>
  <si>
    <t>059003.000200</t>
  </si>
  <si>
    <t>61717.98</t>
  </si>
  <si>
    <t xml:space="preserve">  72                 :    18                      (3F&lt;2&gt;) (2,1/2)* </t>
  </si>
  <si>
    <t>059003.000201</t>
  </si>
  <si>
    <t>62062.63</t>
  </si>
  <si>
    <t xml:space="preserve">  44                 :    32  4f2.(3H&lt;5&gt;).6p&lt;3/2&gt;                  </t>
  </si>
  <si>
    <t>059003.000202</t>
  </si>
  <si>
    <t>62240.83</t>
  </si>
  <si>
    <t xml:space="preserve">  40                 :    35                      (3H&lt;6&gt;) (6,1/2)* </t>
  </si>
  <si>
    <t>059003.000203</t>
  </si>
  <si>
    <t>62535.62</t>
  </si>
  <si>
    <t xml:space="preserve">  33  2G*            :    27                      (3F*) 4H*        </t>
  </si>
  <si>
    <t>059003.000204</t>
  </si>
  <si>
    <t>4f2.(3H&lt;6&gt;).6p&lt;1/2&gt;</t>
  </si>
  <si>
    <t>(6,1/2)*</t>
  </si>
  <si>
    <t>62558.67</t>
  </si>
  <si>
    <t xml:space="preserve">  55                 :    37                      (3H&lt;4&gt;) (4,3/2)* </t>
  </si>
  <si>
    <t>059003.000205</t>
  </si>
  <si>
    <t>62678.70</t>
  </si>
  <si>
    <t xml:space="preserve">  89                 :     6                      (3H&lt;6&gt;) (6,3/2)* </t>
  </si>
  <si>
    <t>059003.000206</t>
  </si>
  <si>
    <t>4f2.(3F&lt;2&gt;).6p&lt;1/2&gt;</t>
  </si>
  <si>
    <t>(2,1/2)*</t>
  </si>
  <si>
    <t>63221.28</t>
  </si>
  <si>
    <t xml:space="preserve">  91                                                               </t>
  </si>
  <si>
    <t>059003.000207</t>
  </si>
  <si>
    <t>4H*</t>
  </si>
  <si>
    <t>63232.14</t>
  </si>
  <si>
    <t xml:space="preserve">  42                 :    20                      (3F*) 2G*        </t>
  </si>
  <si>
    <t>059003.000208</t>
  </si>
  <si>
    <t>63576.27</t>
  </si>
  <si>
    <t xml:space="preserve">  75                 :    20                      (3H&lt;4&gt;) (4,3/2)* </t>
  </si>
  <si>
    <t>059003.000209</t>
  </si>
  <si>
    <t>4f2.(3H&lt;5&gt;).6p&lt;3/2&gt;</t>
  </si>
  <si>
    <t>(5,3/2)*</t>
  </si>
  <si>
    <t>63593.35</t>
  </si>
  <si>
    <t xml:space="preserve">  67                 :    11  4f.(2F*).5d2.(3F)   4H*              </t>
  </si>
  <si>
    <t>059003.000210</t>
  </si>
  <si>
    <t>63768.66</t>
  </si>
  <si>
    <t xml:space="preserve">  47                 :    34                      (3F&lt;3&gt;) (3,1/2)* </t>
  </si>
  <si>
    <t>059003.000211</t>
  </si>
  <si>
    <t>63816.91</t>
  </si>
  <si>
    <t xml:space="preserve">  50                 :    24  4f2.(3H&lt;5&gt;).6p&lt;3/2&gt;                  </t>
  </si>
  <si>
    <t>059003.000212</t>
  </si>
  <si>
    <t>64150.94</t>
  </si>
  <si>
    <t xml:space="preserve">  42  4I*            :    39  4f2.(3H&lt;5&gt;).6p&lt;3/2&gt;                  </t>
  </si>
  <si>
    <t>059003.000213</t>
  </si>
  <si>
    <t>64215.45</t>
  </si>
  <si>
    <t xml:space="preserve">  86                 :     8                      (3H&lt;6&gt;) (6,3/2)* </t>
  </si>
  <si>
    <t>059003.000214</t>
  </si>
  <si>
    <t>64235.61</t>
  </si>
  <si>
    <t xml:space="preserve">  46                 :    24  4f2.(3H&lt;5&gt;).6p&lt;3/2&gt;                  </t>
  </si>
  <si>
    <t>059003.000215</t>
  </si>
  <si>
    <t>4f2.(3F&lt;3&gt;).6p&lt;1/2&gt;</t>
  </si>
  <si>
    <t>(3,1/2)*</t>
  </si>
  <si>
    <t>64401.03</t>
  </si>
  <si>
    <t xml:space="preserve">  75                 :     7  4f.(2F*).5d2.(3F)   4D*              </t>
  </si>
  <si>
    <t>059003.000216</t>
  </si>
  <si>
    <t>64817.53</t>
  </si>
  <si>
    <t xml:space="preserve">  31  2F*            :    27                      (3F*) 4G*        </t>
  </si>
  <si>
    <t>059003.000217</t>
  </si>
  <si>
    <t>4f2.(3F&lt;4&gt;).6p&lt;1/2&gt;</t>
  </si>
  <si>
    <t>64857.15</t>
  </si>
  <si>
    <t xml:space="preserve">  57                 :    24                      (1G&lt;4&gt;) (4,1/2)* </t>
  </si>
  <si>
    <t>059003.000218</t>
  </si>
  <si>
    <t>64865.15</t>
  </si>
  <si>
    <t xml:space="preserve">  73                 :    15  4f2.(3H&lt;5&gt;).6p&lt;3/2&gt;                  </t>
  </si>
  <si>
    <t>059003.000219</t>
  </si>
  <si>
    <t>64979.55</t>
  </si>
  <si>
    <t xml:space="preserve">  46                 :    17                      (1G&lt;4&gt;) (4,1/2)* </t>
  </si>
  <si>
    <t>059003.000220</t>
  </si>
  <si>
    <t>65295.90</t>
  </si>
  <si>
    <t xml:space="preserve">  45                 :    39                      (3H&lt;5&gt;) (5,3/2)* </t>
  </si>
  <si>
    <t>059003.000221</t>
  </si>
  <si>
    <t>65909.44</t>
  </si>
  <si>
    <t xml:space="preserve">  47                 :    18                      (3F*) 4D*        </t>
  </si>
  <si>
    <t>059003.000222</t>
  </si>
  <si>
    <t>4f2.(3H&lt;6&gt;).6p&lt;3/2&gt;</t>
  </si>
  <si>
    <t>(6,3/2)*</t>
  </si>
  <si>
    <t>65922.42</t>
  </si>
  <si>
    <t xml:space="preserve">  88                 :     4  4f.(2F*).5d2.(3F)   4H*              </t>
  </si>
  <si>
    <t>059003.000223</t>
  </si>
  <si>
    <t>65935.25</t>
  </si>
  <si>
    <t xml:space="preserve">  22  2F*            :    12                      (3F) 4D*         </t>
  </si>
  <si>
    <t>059003.000224</t>
  </si>
  <si>
    <t>65967.15</t>
  </si>
  <si>
    <t xml:space="preserve">  86                 :     5                      (2F*)(3F) 4H*    </t>
  </si>
  <si>
    <t>059003.000225</t>
  </si>
  <si>
    <t>66148.40</t>
  </si>
  <si>
    <t xml:space="preserve">  51                 :    25  4f.(2F*).5d2.(3F)   4H*              </t>
  </si>
  <si>
    <t>059003.000226</t>
  </si>
  <si>
    <t>66301.35</t>
  </si>
  <si>
    <t xml:space="preserve">  96                                                               </t>
  </si>
  <si>
    <t>059003.000227</t>
  </si>
  <si>
    <t>4f2.(3F&lt;2&gt;).6p&lt;3/2&gt;</t>
  </si>
  <si>
    <t>(2,3/2)*</t>
  </si>
  <si>
    <t>66324.84</t>
  </si>
  <si>
    <t xml:space="preserve">  81                 :     4  4f.(2F*).5d2.(3F)   2S*              </t>
  </si>
  <si>
    <t>059003.000228</t>
  </si>
  <si>
    <t>66681.14</t>
  </si>
  <si>
    <t xml:space="preserve">  52                 :    30  4f2.(3F&lt;2&gt;).6p&lt;3/2&gt;                  </t>
  </si>
  <si>
    <t>059003.000229</t>
  </si>
  <si>
    <t>66735.88</t>
  </si>
  <si>
    <t xml:space="preserve">  53                 :    32  4f2.(3H&lt;6&gt;).6p&lt;3/2&gt;                  </t>
  </si>
  <si>
    <t>059003.000230</t>
  </si>
  <si>
    <t>66852.87</t>
  </si>
  <si>
    <t xml:space="preserve">  47                 :    18  4f2.(3F&lt;2&gt;).6p&lt;3/2&gt;                  </t>
  </si>
  <si>
    <t>059003.000231</t>
  </si>
  <si>
    <t>66867.09</t>
  </si>
  <si>
    <t xml:space="preserve">  76                 :     7  4f.(2F*).5d2.(3F)   4F*              </t>
  </si>
  <si>
    <t>059003.000232</t>
  </si>
  <si>
    <t>66943.04</t>
  </si>
  <si>
    <t xml:space="preserve">  24  4D*            :    14  4f2.(3F&lt;2&gt;).6p&lt;3/2&gt;                  </t>
  </si>
  <si>
    <t>059003.000233</t>
  </si>
  <si>
    <t>67049.18</t>
  </si>
  <si>
    <t xml:space="preserve">  60                 :    12                      (1G&lt;4&gt;) (4,1/2)* </t>
  </si>
  <si>
    <t>059003.000234</t>
  </si>
  <si>
    <t>67240.35</t>
  </si>
  <si>
    <t xml:space="preserve">  58                 :    27  4f.(2F*).5d2.(3F)   4G*              </t>
  </si>
  <si>
    <t>059003.000235</t>
  </si>
  <si>
    <t>67395.32</t>
  </si>
  <si>
    <t xml:space="preserve">  44                 :    22  4f.(2F*).5d2.(3F)   4F*              </t>
  </si>
  <si>
    <t>059003.000236</t>
  </si>
  <si>
    <t>4f.(2F*).5d2.(1D)</t>
  </si>
  <si>
    <t>67398.79</t>
  </si>
  <si>
    <t xml:space="preserve">  29  2H*            :    20                      (3F) 2H*         </t>
  </si>
  <si>
    <t>059003.000237</t>
  </si>
  <si>
    <t>67679.21</t>
  </si>
  <si>
    <t xml:space="preserve">  32                 :    32  4f2.(1G&lt;4&gt;).6p&lt;1/2&gt;                  </t>
  </si>
  <si>
    <t>059003.000238</t>
  </si>
  <si>
    <t>4f2.(3F&lt;3&gt;).6p&lt;3/2&gt;</t>
  </si>
  <si>
    <t>(3,3/2)*</t>
  </si>
  <si>
    <t>67870.76</t>
  </si>
  <si>
    <t xml:space="preserve">  48                 :    26  4f.(2F*).5d2.(3F)   4G*              </t>
  </si>
  <si>
    <t>059003.000239</t>
  </si>
  <si>
    <t>67965.47</t>
  </si>
  <si>
    <t>059003.000240</t>
  </si>
  <si>
    <t>68238.12</t>
  </si>
  <si>
    <t xml:space="preserve">  51                 :    36                      (1G) 2I*         </t>
  </si>
  <si>
    <t>059003.000241</t>
  </si>
  <si>
    <t>68305.1</t>
  </si>
  <si>
    <t>059003.000242</t>
  </si>
  <si>
    <t>68331.73</t>
  </si>
  <si>
    <t xml:space="preserve">  22  4F*            :    21  4f2.(3F&lt;3&gt;).6p&lt;3/2&gt;                  </t>
  </si>
  <si>
    <t>059003.000243</t>
  </si>
  <si>
    <t>4f2.(1G&lt;4&gt;).6p&lt;1/2&gt;</t>
  </si>
  <si>
    <t>68374.54</t>
  </si>
  <si>
    <t xml:space="preserve">  41  (4,1/2)*       :    22                      (3F&lt;4&gt;) (4,1/2)* </t>
  </si>
  <si>
    <t>059003.000244</t>
  </si>
  <si>
    <t>68492.43</t>
  </si>
  <si>
    <t xml:space="preserve">  37                 :    17  4f.(2F*).5d2.(3F)   4F*              </t>
  </si>
  <si>
    <t>059003.000245</t>
  </si>
  <si>
    <t>4f2.(3F&lt;4&gt;).6p&lt;3/2&gt;</t>
  </si>
  <si>
    <t>68525.62</t>
  </si>
  <si>
    <t xml:space="preserve">  53                 :    20                      (1G&lt;4&gt;) (4,3/2)* </t>
  </si>
  <si>
    <t>059003.000246</t>
  </si>
  <si>
    <t>68544.19</t>
  </si>
  <si>
    <t xml:space="preserve">  50                 :    35  4f2.(3F&lt;3&gt;).6p&lt;3/2&gt;                  </t>
  </si>
  <si>
    <t>059003.000247</t>
  </si>
  <si>
    <t>68801.67</t>
  </si>
  <si>
    <t xml:space="preserve">  29  (4,3/2)*       :    23                      (1G&lt;4&gt;) (4,3/2)* </t>
  </si>
  <si>
    <t>059003.000248</t>
  </si>
  <si>
    <t>68978.55</t>
  </si>
  <si>
    <t xml:space="preserve">  41                 :    35                      (3F&lt;4&gt;) (4,3/2)* </t>
  </si>
  <si>
    <t>059003.000249</t>
  </si>
  <si>
    <t>68987.07</t>
  </si>
  <si>
    <t xml:space="preserve">  19  4D*            :    15                      (3P) 4G*         </t>
  </si>
  <si>
    <t>059003.000250</t>
  </si>
  <si>
    <t>69138.28</t>
  </si>
  <si>
    <t xml:space="preserve">  36  (4,3/2)*       :    32                      (1G&lt;4&gt;) (4,3/2)* </t>
  </si>
  <si>
    <t>059003.000251</t>
  </si>
  <si>
    <t>69408.51</t>
  </si>
  <si>
    <t xml:space="preserve">  37  2H*            :    25                      (1D) 2G*         </t>
  </si>
  <si>
    <t>059003.000252</t>
  </si>
  <si>
    <t>69431.00</t>
  </si>
  <si>
    <t xml:space="preserve">  18  4D*            :    17                      (3P) 4G*         </t>
  </si>
  <si>
    <t>059003.000253</t>
  </si>
  <si>
    <t>4f.(2F*).5d2.(3P)</t>
  </si>
  <si>
    <t>69681.6</t>
  </si>
  <si>
    <t xml:space="preserve">  83                 :     6                      (3F) 4P*         </t>
  </si>
  <si>
    <t>059003.000254</t>
  </si>
  <si>
    <t>69686.26</t>
  </si>
  <si>
    <t xml:space="preserve">  65                 :     8  4f2.(3F&lt;4&gt;).6p&lt;1/2&gt;                  </t>
  </si>
  <si>
    <t>059003.000255</t>
  </si>
  <si>
    <t>69978.08</t>
  </si>
  <si>
    <t xml:space="preserve">  62                 :    11                      (1D) 2H*         </t>
  </si>
  <si>
    <t>059003.000256</t>
  </si>
  <si>
    <t>70381.48</t>
  </si>
  <si>
    <t xml:space="preserve">  53                 :    29                      (1G) 2I*         </t>
  </si>
  <si>
    <t>059003.000257</t>
  </si>
  <si>
    <t>71021.1</t>
  </si>
  <si>
    <t xml:space="preserve">  43                 :    17                      (3P) 2G*         </t>
  </si>
  <si>
    <t>059003.000258</t>
  </si>
  <si>
    <t>71385.6</t>
  </si>
  <si>
    <t xml:space="preserve">  58                 :    24                      (1D) 2G*         </t>
  </si>
  <si>
    <t>059003.000259</t>
  </si>
  <si>
    <t>71501.0</t>
  </si>
  <si>
    <t xml:space="preserve">  32  2D*            :    25                      (3F) 4S*         </t>
  </si>
  <si>
    <t>059003.000260</t>
  </si>
  <si>
    <t>4f2.(1G&lt;4&gt;).6p&lt;3/2&gt;</t>
  </si>
  <si>
    <t>71536.38</t>
  </si>
  <si>
    <t xml:space="preserve">  61                 :    28                      (3F&lt;4&gt;) (4,3/2)* </t>
  </si>
  <si>
    <t>059003.000261</t>
  </si>
  <si>
    <t>71592.34</t>
  </si>
  <si>
    <t xml:space="preserve">  51                 :    37                      (3F&lt;4&gt;) (4,3/2)* </t>
  </si>
  <si>
    <t>059003.000262</t>
  </si>
  <si>
    <t>71736.45</t>
  </si>
  <si>
    <t xml:space="preserve">  65                 :    29                      (3F&lt;4&gt;) (4,3/2)* </t>
  </si>
  <si>
    <t>059003.000263</t>
  </si>
  <si>
    <t>71978.52</t>
  </si>
  <si>
    <t xml:space="preserve">  48                 :    38                      (3F&lt;4&gt;) (4,3/2)* </t>
  </si>
  <si>
    <t>059003.000264</t>
  </si>
  <si>
    <t>71994.81</t>
  </si>
  <si>
    <t xml:space="preserve">  26  2D*            :    17                      (3P) 4D*         </t>
  </si>
  <si>
    <t>059003.000265</t>
  </si>
  <si>
    <t>73029.9</t>
  </si>
  <si>
    <t xml:space="preserve">  36  4G*            :    25                      (1G) 2H*         </t>
  </si>
  <si>
    <t>059003.000266</t>
  </si>
  <si>
    <t>4f.(2F*).5d2.(1G)</t>
  </si>
  <si>
    <t>2G*</t>
  </si>
  <si>
    <t>73378.42</t>
  </si>
  <si>
    <t xml:space="preserve">  65                 :     9                      (3P) 2G*         </t>
  </si>
  <si>
    <t>059003.000267</t>
  </si>
  <si>
    <t>73606.17</t>
  </si>
  <si>
    <t xml:space="preserve">  42                 :    12                      (1G) 2H*         </t>
  </si>
  <si>
    <t>059003.000268</t>
  </si>
  <si>
    <t>73609.1</t>
  </si>
  <si>
    <t xml:space="preserve">  76                 :     9                      (3F) 2H*         </t>
  </si>
  <si>
    <t>059003.000269</t>
  </si>
  <si>
    <t>74105.2</t>
  </si>
  <si>
    <t xml:space="preserve">  27  4D*            :    23                      (3P) 4F*         </t>
  </si>
  <si>
    <t>059003.000270</t>
  </si>
  <si>
    <t>74463.7</t>
  </si>
  <si>
    <t xml:space="preserve">  45                 :    26                      (3F) 2D*         </t>
  </si>
  <si>
    <t>059003.000271</t>
  </si>
  <si>
    <t>75294.0</t>
  </si>
  <si>
    <t xml:space="preserve">  74                 :     7                      (3P) 4D*         </t>
  </si>
  <si>
    <t>059003.000272</t>
  </si>
  <si>
    <t>4f2.(1D&lt;2&gt;).6p&lt;1/2&gt;</t>
  </si>
  <si>
    <t>75409.58</t>
  </si>
  <si>
    <t xml:space="preserve">  79                 :     8                      (3P&lt;2&gt;) (2,1/2)* </t>
  </si>
  <si>
    <t>059003.000273</t>
  </si>
  <si>
    <t>75560.75</t>
  </si>
  <si>
    <t xml:space="preserve">  35  2D*            :    18  4f2.(1D&lt;2&gt;).6p&lt;1/2&gt;                  </t>
  </si>
  <si>
    <t>059003.000274</t>
  </si>
  <si>
    <t>75614.81</t>
  </si>
  <si>
    <t xml:space="preserve">  60                 :    10  4f.(2F*).5d2.(1D)   2D*              </t>
  </si>
  <si>
    <t>059003.000275</t>
  </si>
  <si>
    <t>75640.00</t>
  </si>
  <si>
    <t xml:space="preserve">  32  2H*            :    18                      (1D) 2H*         </t>
  </si>
  <si>
    <t>059003.000276</t>
  </si>
  <si>
    <t>75762.23</t>
  </si>
  <si>
    <t xml:space="preserve">  38                 :    21                      (1G) 2H*         </t>
  </si>
  <si>
    <t>059003.000277</t>
  </si>
  <si>
    <t>76892.4</t>
  </si>
  <si>
    <t xml:space="preserve">  30  2D*            :    27                      (1D) 2P*         </t>
  </si>
  <si>
    <t>059003.000278</t>
  </si>
  <si>
    <t>2F*</t>
  </si>
  <si>
    <t>77822.00</t>
  </si>
  <si>
    <t xml:space="preserve">  70                 :     5                      (3F) 2F*         </t>
  </si>
  <si>
    <t>059003.000279</t>
  </si>
  <si>
    <t>4f2.(1D&lt;2&gt;).6p&lt;3/2&gt;</t>
  </si>
  <si>
    <t>78312.91</t>
  </si>
  <si>
    <t xml:space="preserve">  68                 :    11                      (3P&lt;2&gt;) (2,3/2)* </t>
  </si>
  <si>
    <t>059003.000280</t>
  </si>
  <si>
    <t>78463.6</t>
  </si>
  <si>
    <t xml:space="preserve">  58                 :    20  4f2.(1D&lt;2&gt;).6p&lt;3/2&gt;                  </t>
  </si>
  <si>
    <t>059003.000281</t>
  </si>
  <si>
    <t>78694.57</t>
  </si>
  <si>
    <t xml:space="preserve">  35                 :    25                      (3F) 2I*         </t>
  </si>
  <si>
    <t>059003.000282</t>
  </si>
  <si>
    <t>78889.14</t>
  </si>
  <si>
    <t xml:space="preserve">  76                 :     8                      (3P&lt;2&gt;) (2,3/2)* </t>
  </si>
  <si>
    <t>059003.000283</t>
  </si>
  <si>
    <t>79136.23</t>
  </si>
  <si>
    <t xml:space="preserve">  51                 :    26                      (3F) 2I*         </t>
  </si>
  <si>
    <t>059003.000284</t>
  </si>
  <si>
    <t>79366.65</t>
  </si>
  <si>
    <t xml:space="preserve">  79                 :     7                      (3P&lt;2&gt;) (2,3/2)* </t>
  </si>
  <si>
    <t>059003.000285</t>
  </si>
  <si>
    <t>79395.55</t>
  </si>
  <si>
    <t xml:space="preserve">  66                 :    14  4f.(2F*).5d2.(1G)   2F*              </t>
  </si>
  <si>
    <t>059003.000286</t>
  </si>
  <si>
    <t>4f2.(3P&lt;1&gt;).6p&lt;1/2&gt;</t>
  </si>
  <si>
    <t>(1,1/2)*</t>
  </si>
  <si>
    <t>79742.36</t>
  </si>
  <si>
    <t xml:space="preserve">  79                 :    12                      (3P&lt;0&gt;) (0,1/2)* </t>
  </si>
  <si>
    <t>059003.000287</t>
  </si>
  <si>
    <t>80164.04</t>
  </si>
  <si>
    <t xml:space="preserve">  88                 :     5                      (1D&lt;2&gt;) (2,3/2)* </t>
  </si>
  <si>
    <t>059003.000288</t>
  </si>
  <si>
    <t>4f2.(1I&lt;6&gt;).6p&lt;1/2&gt;</t>
  </si>
  <si>
    <t>80360.82</t>
  </si>
  <si>
    <t xml:space="preserve">  80                 :     6  4f.(2F*).5d2.(3F)   2I*              </t>
  </si>
  <si>
    <t>059003.000289</t>
  </si>
  <si>
    <t>4f2.(3P&lt;2&gt;).6p&lt;1/2&gt;</t>
  </si>
  <si>
    <t>80897.85</t>
  </si>
  <si>
    <t xml:space="preserve">  75                 :     7                      (1D&lt;2&gt;) (2,1/2)* </t>
  </si>
  <si>
    <t>059003.000290</t>
  </si>
  <si>
    <t>80988.76</t>
  </si>
  <si>
    <t xml:space="preserve">  70                 :    12  4f.(2F*).5d2.(1G)   2I*              </t>
  </si>
  <si>
    <t>059003.000291</t>
  </si>
  <si>
    <t>81404.52</t>
  </si>
  <si>
    <t xml:space="preserve">  83                 :     8                      (1D&lt;2&gt;) (2,1/2)* </t>
  </si>
  <si>
    <t>059003.000292</t>
  </si>
  <si>
    <t>4f2.(3P&lt;0&gt;).6p&lt;3/2&gt;</t>
  </si>
  <si>
    <t>(0,3/2)*</t>
  </si>
  <si>
    <t>82492.4</t>
  </si>
  <si>
    <t xml:space="preserve">  44                 :    35  4f.(2F*).5d2.(1G)   2D*              </t>
  </si>
  <si>
    <t>059003.000293</t>
  </si>
  <si>
    <t>4f2.(3P&lt;1&gt;).6p&lt;3/2&gt;</t>
  </si>
  <si>
    <t>(1,3/2)*</t>
  </si>
  <si>
    <t>83025.91</t>
  </si>
  <si>
    <t xml:space="preserve">  43                 :    23                      (3P&lt;0&gt;) (0,3/2)* </t>
  </si>
  <si>
    <t>059003.000294</t>
  </si>
  <si>
    <t>83426.55</t>
  </si>
  <si>
    <t xml:space="preserve">  79                 :    10  4f.(2F*).5d2.(1G)   2D*              </t>
  </si>
  <si>
    <t>059003.000295</t>
  </si>
  <si>
    <t>4f2.(1I&lt;6&gt;).6p&lt;3/2&gt;</t>
  </si>
  <si>
    <t>83607.32</t>
  </si>
  <si>
    <t xml:space="preserve">  87                 :     7                      (1I&lt;6&gt;) (6,1/2)* </t>
  </si>
  <si>
    <t>059003.000296</t>
  </si>
  <si>
    <t>83703.43</t>
  </si>
  <si>
    <t xml:space="preserve">  87                 :    11                      (1I&lt;6&gt;) (6,1/2)* </t>
  </si>
  <si>
    <t>059003.000297</t>
  </si>
  <si>
    <t>4f.5d.(3F*).6s</t>
  </si>
  <si>
    <t>84409.93</t>
  </si>
  <si>
    <t xml:space="preserve">  62                 :    11  4f2.(3P&lt;1&gt;).6p&lt;3/2&gt;                  </t>
  </si>
  <si>
    <t>059003.000298</t>
  </si>
  <si>
    <t>84410.63</t>
  </si>
  <si>
    <t xml:space="preserve">  78                 :     8  4f.(2F*).5d2.(1H)   2H*              </t>
  </si>
  <si>
    <t>059003.000299</t>
  </si>
  <si>
    <t>4f2.(3P&lt;2&gt;).6p&lt;3/2&gt;</t>
  </si>
  <si>
    <t>84430.98</t>
  </si>
  <si>
    <t xml:space="preserve">  85                 :     9                      (1D&lt;2&gt;) (2,3/2)* </t>
  </si>
  <si>
    <t>059003.000300</t>
  </si>
  <si>
    <t>84992.04</t>
  </si>
  <si>
    <t>059003.000301</t>
  </si>
  <si>
    <t>85306.10</t>
  </si>
  <si>
    <t xml:space="preserve">  52                 :    19  4f.(2F*).5d2.(1G)   2D*              </t>
  </si>
  <si>
    <t>059003.000302</t>
  </si>
  <si>
    <t>4f.5d.(3G*).6s</t>
  </si>
  <si>
    <t>87511.6</t>
  </si>
  <si>
    <t xml:space="preserve">  52                 :    26                      (1G*) 2G*        </t>
  </si>
  <si>
    <t>059003.000303</t>
  </si>
  <si>
    <t>88220.2</t>
  </si>
  <si>
    <t xml:space="preserve">  57                 :    35                      (3F*) 4F*        </t>
  </si>
  <si>
    <t>059003.000304</t>
  </si>
  <si>
    <t>88948.6</t>
  </si>
  <si>
    <t xml:space="preserve">  39                 :    35                      (3G*) 4G*        </t>
  </si>
  <si>
    <t>059003.000305</t>
  </si>
  <si>
    <t>90119.8</t>
  </si>
  <si>
    <t>059003.000306</t>
  </si>
  <si>
    <t>4f.5d.(3H*).6s</t>
  </si>
  <si>
    <t>2H*</t>
  </si>
  <si>
    <t>90629.2</t>
  </si>
  <si>
    <t xml:space="preserve">  79                 :     5  4f.(2F*).5d2.(1D)   2H*              </t>
  </si>
  <si>
    <t>059003.000307</t>
  </si>
  <si>
    <t>92441.7</t>
  </si>
  <si>
    <t xml:space="preserve">  53                 :    21                      (3D*) 4D*        </t>
  </si>
  <si>
    <t>059003.000308</t>
  </si>
  <si>
    <t>4f.(2F*).5d2.(1S)</t>
  </si>
  <si>
    <t>92554.8</t>
  </si>
  <si>
    <t xml:space="preserve">  54                 :    13  4f.5d.(1F*).6s      2F*              </t>
  </si>
  <si>
    <t>059003.000309</t>
  </si>
  <si>
    <t>93296.5</t>
  </si>
  <si>
    <t xml:space="preserve">  80                 :     9                      (1H*) 2H*        </t>
  </si>
  <si>
    <t>059003.000310</t>
  </si>
  <si>
    <t>93967.4</t>
  </si>
  <si>
    <t xml:space="preserve">  74                 :     4  4f.5d.(3G*).6s      2G*              </t>
  </si>
  <si>
    <t>059003.000311</t>
  </si>
  <si>
    <t>95147.9</t>
  </si>
  <si>
    <t xml:space="preserve">  77                 :     8  4f.(2F*).5d2.(1D)   2G*              </t>
  </si>
  <si>
    <t>059003.000312</t>
  </si>
  <si>
    <t>4f.5d.(1F*).6s</t>
  </si>
  <si>
    <t>96830.5</t>
  </si>
  <si>
    <t xml:space="preserve">  51                 :    23                      (3F*) 2F*        </t>
  </si>
  <si>
    <t>059003.000313</t>
  </si>
  <si>
    <t>4f2.(3H&lt;4&gt;).7s&lt;1/2&gt;</t>
  </si>
  <si>
    <t>100321.12</t>
  </si>
  <si>
    <t xml:space="preserve">                                                                   </t>
  </si>
  <si>
    <t>059003.000314</t>
  </si>
  <si>
    <t>4f2.(3H&lt;4&gt;).6d&lt;3/2&gt;</t>
  </si>
  <si>
    <t>(4,3/2)</t>
  </si>
  <si>
    <t>100430.29</t>
  </si>
  <si>
    <t>059003.000315</t>
  </si>
  <si>
    <t>100625.04</t>
  </si>
  <si>
    <t>059003.000316</t>
  </si>
  <si>
    <t>100788.95</t>
  </si>
  <si>
    <t xml:space="preserve">  65                 :    31                      (3H&lt;4&gt;) (4,5/2)  </t>
  </si>
  <si>
    <t>059003.000317</t>
  </si>
  <si>
    <t>4f2.(3H&lt;4&gt;).6d&lt;5/2&gt;</t>
  </si>
  <si>
    <t>(4,5/2)</t>
  </si>
  <si>
    <t>100947.18</t>
  </si>
  <si>
    <t>059003.000318</t>
  </si>
  <si>
    <t>101071.43</t>
  </si>
  <si>
    <t xml:space="preserve">  50                 :    45                      (3H&lt;4&gt;) (4,5/2)  </t>
  </si>
  <si>
    <t>059003.000319</t>
  </si>
  <si>
    <t>101165.33</t>
  </si>
  <si>
    <t>059003.000320</t>
  </si>
  <si>
    <t>101446.27</t>
  </si>
  <si>
    <t xml:space="preserve">  64                 :    28                      (3H&lt;4&gt;) (4,3/2)  </t>
  </si>
  <si>
    <t>059003.000321</t>
  </si>
  <si>
    <t>101665.58</t>
  </si>
  <si>
    <t xml:space="preserve">  52                 :    43                      (3H&lt;4&gt;) (4,3/2)  </t>
  </si>
  <si>
    <t>059003.000322</t>
  </si>
  <si>
    <t>101680.38</t>
  </si>
  <si>
    <t xml:space="preserve">  84                 :    10                      (3H&lt;5&gt;) (5,3/2)  </t>
  </si>
  <si>
    <t>059003.000323</t>
  </si>
  <si>
    <t>4f2.(3H&lt;5&gt;).7s&lt;1/2&gt;</t>
  </si>
  <si>
    <t>102435.67</t>
  </si>
  <si>
    <t>059003.000324</t>
  </si>
  <si>
    <t>102484.66</t>
  </si>
  <si>
    <t>059003.000325</t>
  </si>
  <si>
    <t>4f2.(3H&lt;5&gt;).6d&lt;3/2&gt;</t>
  </si>
  <si>
    <t>(5,3/2)</t>
  </si>
  <si>
    <t>102617.24</t>
  </si>
  <si>
    <t>059003.000326</t>
  </si>
  <si>
    <t>102830.43</t>
  </si>
  <si>
    <t xml:space="preserve">  79                 :    18                      (3H&lt;5&gt;) (5,5/2)  </t>
  </si>
  <si>
    <t>059003.000327</t>
  </si>
  <si>
    <t>102981.94</t>
  </si>
  <si>
    <t xml:space="preserve">  51                 :    47                      (3H&lt;5&gt;) (5,5/2)  </t>
  </si>
  <si>
    <t>059003.000328</t>
  </si>
  <si>
    <t>103308.53</t>
  </si>
  <si>
    <t>059003.000329</t>
  </si>
  <si>
    <t>4f2.(3H&lt;5&gt;).6d&lt;5/2&gt;</t>
  </si>
  <si>
    <t>(5,5/2)</t>
  </si>
  <si>
    <t>103335.06</t>
  </si>
  <si>
    <t xml:space="preserve">  74                 :    18                      (3H&lt;5&gt;) (5,3/2)  </t>
  </si>
  <si>
    <t>059003.000330</t>
  </si>
  <si>
    <t>103344.35</t>
  </si>
  <si>
    <t>059003.000331</t>
  </si>
  <si>
    <t>103484.19</t>
  </si>
  <si>
    <t>059003.000332</t>
  </si>
  <si>
    <t>103805.38</t>
  </si>
  <si>
    <t xml:space="preserve">  48                 :    39                      (3H&lt;5&gt;) (5,3/2)  </t>
  </si>
  <si>
    <t>059003.000333</t>
  </si>
  <si>
    <t>103895.83</t>
  </si>
  <si>
    <t>059003.000334</t>
  </si>
  <si>
    <t>4f2.(3H&lt;6&gt;).7s&lt;1/2&gt;</t>
  </si>
  <si>
    <t>104598.99</t>
  </si>
  <si>
    <t>059003.000335</t>
  </si>
  <si>
    <t>104788.68</t>
  </si>
  <si>
    <t>059003.000336</t>
  </si>
  <si>
    <t>4f2.(3H&lt;6&gt;).6d&lt;3/2&gt;</t>
  </si>
  <si>
    <t>(6,3/2)</t>
  </si>
  <si>
    <t>104904.55</t>
  </si>
  <si>
    <t>059003.000337</t>
  </si>
  <si>
    <t>105019.06</t>
  </si>
  <si>
    <t xml:space="preserve">  86                 :    13                      (3H&lt;6&gt;) (6,5/2)  </t>
  </si>
  <si>
    <t>059003.000338</t>
  </si>
  <si>
    <t>4f2.(3H&lt;6&gt;).6d&lt;5/2&gt;</t>
  </si>
  <si>
    <t>(6,5/2)</t>
  </si>
  <si>
    <t>105049.72</t>
  </si>
  <si>
    <t xml:space="preserve">  57                 :    42                      (3H&lt;6&gt;) (6,3/2)  </t>
  </si>
  <si>
    <t>059003.000339</t>
  </si>
  <si>
    <t>105450.18</t>
  </si>
  <si>
    <t xml:space="preserve">  82                                                               </t>
  </si>
  <si>
    <t>059003.000340</t>
  </si>
  <si>
    <t>105566.62</t>
  </si>
  <si>
    <t>059003.000341</t>
  </si>
  <si>
    <t>105632.16</t>
  </si>
  <si>
    <t xml:space="preserve">  85                 :    12                      (3H&lt;6&gt;) (6,3/2)  </t>
  </si>
  <si>
    <t>059003.000342</t>
  </si>
  <si>
    <t>4f2.(3F&lt;3&gt;).7s&lt;1/2&gt;</t>
  </si>
  <si>
    <t>106665.07</t>
  </si>
  <si>
    <t>059003.000343</t>
  </si>
  <si>
    <t>106745.65</t>
  </si>
  <si>
    <t>059003.000344</t>
  </si>
  <si>
    <t>4f2.(3F&lt;4&gt;).7s&lt;1/2&gt;</t>
  </si>
  <si>
    <t>107081.94</t>
  </si>
  <si>
    <t>059003.000345</t>
  </si>
  <si>
    <t>4f2.(3F&lt;3&gt;).6d&lt;3/2&gt;</t>
  </si>
  <si>
    <t>(3,3/2)</t>
  </si>
  <si>
    <t>107299.07</t>
  </si>
  <si>
    <t xml:space="preserve">  64                 :     8                      (3F&lt;4&gt;) (4,3/2)  </t>
  </si>
  <si>
    <t>059003.000346</t>
  </si>
  <si>
    <t>4f2.(3F&lt;4&gt;).6d&lt;3/2&gt;</t>
  </si>
  <si>
    <t>107854.46</t>
  </si>
  <si>
    <t xml:space="preserve">  32  (4,3/2)        :    20                      (3F&lt;3&gt;) (3,3/2)  </t>
  </si>
  <si>
    <t>059003.000347</t>
  </si>
  <si>
    <t>4f2.(3F&lt;4&gt;).6d&lt;5/2&gt;</t>
  </si>
  <si>
    <t>108559.40</t>
  </si>
  <si>
    <t xml:space="preserve">  42                 :    21                      (1G&lt;4&gt;) (4,5/2)  </t>
  </si>
  <si>
    <t>059003.000348</t>
  </si>
  <si>
    <t>4f2.(3H&lt;4&gt;).5f</t>
  </si>
  <si>
    <t>2[6]*</t>
  </si>
  <si>
    <t>110295.1</t>
  </si>
  <si>
    <t xml:space="preserve">  83             or  :    74                      (3H) 4K*         </t>
  </si>
  <si>
    <t>059003.000349</t>
  </si>
  <si>
    <t>2[4]*</t>
  </si>
  <si>
    <t>110333.5</t>
  </si>
  <si>
    <t xml:space="preserve">  91             or  :    81                      (3H) 4H*         </t>
  </si>
  <si>
    <t>059003.000350</t>
  </si>
  <si>
    <t>2[7]*</t>
  </si>
  <si>
    <t>110530.9</t>
  </si>
  <si>
    <t xml:space="preserve">  97             or  :    89                      (3H) 4L*         </t>
  </si>
  <si>
    <t>059003.000351</t>
  </si>
  <si>
    <t>2[5]*</t>
  </si>
  <si>
    <t>110881.1</t>
  </si>
  <si>
    <t xml:space="preserve">  78             or  :    41                      (3H) 2I*         </t>
  </si>
  <si>
    <t>059003.000352</t>
  </si>
  <si>
    <t>110922.5</t>
  </si>
  <si>
    <t xml:space="preserve">  66             or  :    70                      (3F) 4H*         </t>
  </si>
  <si>
    <t>059003.000353</t>
  </si>
  <si>
    <t>111110.3</t>
  </si>
  <si>
    <t xml:space="preserve">  87             or  :    59                      (3H) 4K*         </t>
  </si>
  <si>
    <t>059003.000354</t>
  </si>
  <si>
    <t>2[2]*</t>
  </si>
  <si>
    <t>111268.7</t>
  </si>
  <si>
    <t xml:space="preserve">  92             or  :    80                      (3H) 4F*         </t>
  </si>
  <si>
    <t>059003.000355</t>
  </si>
  <si>
    <t>111335.1</t>
  </si>
  <si>
    <t xml:space="preserve">  82             or  :    67                      (3H) 4L*         </t>
  </si>
  <si>
    <t>059003.000356</t>
  </si>
  <si>
    <t>2[3]*</t>
  </si>
  <si>
    <t>111342.8</t>
  </si>
  <si>
    <t xml:space="preserve">  87             or  :    40                      (3H) 2G*         </t>
  </si>
  <si>
    <t>059003.000357</t>
  </si>
  <si>
    <t>111494.8</t>
  </si>
  <si>
    <t xml:space="preserve">  64             or  :    59                      (3H) 4F*         </t>
  </si>
  <si>
    <t>059003.000358</t>
  </si>
  <si>
    <t>111993.0</t>
  </si>
  <si>
    <t xml:space="preserve">  72             or  :    58                      (3F) 2I*         </t>
  </si>
  <si>
    <t>059003.000359</t>
  </si>
  <si>
    <t>4f2.(3H&lt;5&gt;).5f</t>
  </si>
  <si>
    <t>112643.2</t>
  </si>
  <si>
    <t xml:space="preserve">  66             or  :    61                      (3H) 4H*         </t>
  </si>
  <si>
    <t>059003.000360</t>
  </si>
  <si>
    <t>112769.7</t>
  </si>
  <si>
    <t xml:space="preserve">  51             or  :    39                      (3H) 2I*         </t>
  </si>
  <si>
    <t>059003.000361</t>
  </si>
  <si>
    <t>112896.3</t>
  </si>
  <si>
    <t xml:space="preserve">  88             or  :    72                      (3H) 4K*         </t>
  </si>
  <si>
    <t>059003.000362</t>
  </si>
  <si>
    <t>2[8]*</t>
  </si>
  <si>
    <t>113023.5</t>
  </si>
  <si>
    <t xml:space="preserve">  94             or  :    94                      (3H) 4L*         </t>
  </si>
  <si>
    <t>059003.000363</t>
  </si>
  <si>
    <t>113158.8</t>
  </si>
  <si>
    <t xml:space="preserve">  62                                                               </t>
  </si>
  <si>
    <t>059003.000364</t>
  </si>
  <si>
    <t>113291.8</t>
  </si>
  <si>
    <t xml:space="preserve">  50             or  :    44                      (3H) 4F*         </t>
  </si>
  <si>
    <t>059003.000365</t>
  </si>
  <si>
    <t>113556.8</t>
  </si>
  <si>
    <t xml:space="preserve">  45             or  :    23                      (3H) 4D*         </t>
  </si>
  <si>
    <t>059003.000366</t>
  </si>
  <si>
    <t>113600.3</t>
  </si>
  <si>
    <t xml:space="preserve">  49             or  :    43                      (3H) 2K*         </t>
  </si>
  <si>
    <t>059003.000367</t>
  </si>
  <si>
    <t>113630.9</t>
  </si>
  <si>
    <t xml:space="preserve">  46             or  :    51                      (3H) 4G*         </t>
  </si>
  <si>
    <t>059003.000368</t>
  </si>
  <si>
    <t>113664.3</t>
  </si>
  <si>
    <t xml:space="preserve">  61             or  :    67                      (3H) 4I*         </t>
  </si>
  <si>
    <t>059003.000369</t>
  </si>
  <si>
    <t>113780.5</t>
  </si>
  <si>
    <t xml:space="preserve">  66             or  :    35                      (3H) 2H*         </t>
  </si>
  <si>
    <t>059003.000370</t>
  </si>
  <si>
    <t>113825.5</t>
  </si>
  <si>
    <t xml:space="preserve">  93             or  :    45                      (3H) 2D*         </t>
  </si>
  <si>
    <t>059003.000371</t>
  </si>
  <si>
    <t>113833.9</t>
  </si>
  <si>
    <t xml:space="preserve">  79             or  :    76                      (3H) 2L*         </t>
  </si>
  <si>
    <t>059003.000372</t>
  </si>
  <si>
    <t>113914.1</t>
  </si>
  <si>
    <t xml:space="preserve">  46             or  :    38                      (3H) 2F*         </t>
  </si>
  <si>
    <t>059003.000373</t>
  </si>
  <si>
    <t>4f2.(3H&lt;6&gt;).5f</t>
  </si>
  <si>
    <t>114725.6</t>
  </si>
  <si>
    <t xml:space="preserve">  95             or  :    95                      (3H) 4K*         </t>
  </si>
  <si>
    <t>059003.000374</t>
  </si>
  <si>
    <t>114797.2</t>
  </si>
  <si>
    <t xml:space="preserve">  69             or  :    48                      (3H) 4H*         </t>
  </si>
  <si>
    <t>059003.000375</t>
  </si>
  <si>
    <t>2[9]*</t>
  </si>
  <si>
    <t>19/2</t>
  </si>
  <si>
    <t>114970.7</t>
  </si>
  <si>
    <t xml:space="preserve"> 100             or  :   100                      (3H) 4L*         </t>
  </si>
  <si>
    <t>059003.000376</t>
  </si>
  <si>
    <t>115324.3</t>
  </si>
  <si>
    <t xml:space="preserve">  46             or  :    35                      (3H) 4F*         </t>
  </si>
  <si>
    <t>059003.000377</t>
  </si>
  <si>
    <t>115403.3</t>
  </si>
  <si>
    <t xml:space="preserve">  64             or  :    34                      (3H) 2H*         </t>
  </si>
  <si>
    <t>059003.000378</t>
  </si>
  <si>
    <t>115408.4</t>
  </si>
  <si>
    <t xml:space="preserve">  64             or  :    60                      (3H) 4I*         </t>
  </si>
  <si>
    <t>059003.000379</t>
  </si>
  <si>
    <t>115420.8</t>
  </si>
  <si>
    <t xml:space="preserve">  36  2[3]*      or  :    35                      (3H) 4D*         </t>
  </si>
  <si>
    <t>059003.000380</t>
  </si>
  <si>
    <t>115499.8</t>
  </si>
  <si>
    <t xml:space="preserve">  59             or  :    54                      (3H) 2G*         </t>
  </si>
  <si>
    <t>059003.000381</t>
  </si>
  <si>
    <t>4f2.(3F&lt;2&gt;).5f</t>
  </si>
  <si>
    <t>115670.0</t>
  </si>
  <si>
    <t xml:space="preserve">  89             or  :    82                      (3F) 4H*         </t>
  </si>
  <si>
    <t>059003.000382</t>
  </si>
  <si>
    <t>115672.2</t>
  </si>
  <si>
    <t xml:space="preserve">  71             or  :    57                      (3H) 2K*         </t>
  </si>
  <si>
    <t>059003.000383</t>
  </si>
  <si>
    <t>115800.0</t>
  </si>
  <si>
    <t xml:space="preserve">  48             or  :    47                      (3H) 2D*         </t>
  </si>
  <si>
    <t>059003.000384</t>
  </si>
  <si>
    <t>115933.2</t>
  </si>
  <si>
    <t xml:space="preserve">  50             or  :    41                      (3H) 4G*         </t>
  </si>
  <si>
    <t>059003.000385</t>
  </si>
  <si>
    <t>116021.8</t>
  </si>
  <si>
    <t xml:space="preserve">  41  2[3]*      or  :    42                      (3H) 2F*         </t>
  </si>
  <si>
    <t>059003.000386</t>
  </si>
  <si>
    <t>116238.8</t>
  </si>
  <si>
    <t xml:space="preserve">  78             or  :    72                      (3H) 4I*         </t>
  </si>
  <si>
    <t>059003.000387</t>
  </si>
  <si>
    <t>116309.2</t>
  </si>
  <si>
    <t xml:space="preserve">  63             or  :    31                      (3F) 4I*         </t>
  </si>
  <si>
    <t>059003.000388</t>
  </si>
  <si>
    <t>116453.2</t>
  </si>
  <si>
    <t xml:space="preserve">  52             or  :    54                      (3P) 4H*         </t>
  </si>
  <si>
    <t>059003.000389</t>
  </si>
  <si>
    <t>116489.8</t>
  </si>
  <si>
    <t xml:space="preserve">  89             or  :    89                      (3H) 2L*         </t>
  </si>
  <si>
    <t>059003.000390</t>
  </si>
  <si>
    <t>116727.1</t>
  </si>
  <si>
    <t xml:space="preserve">  66             or  :    50                      (3F) 4G*         </t>
  </si>
  <si>
    <t>059003.000391</t>
  </si>
  <si>
    <t>117044.6</t>
  </si>
  <si>
    <t xml:space="preserve">  57             or  :    21                      (3F) 4G*         </t>
  </si>
  <si>
    <t>059003.000392</t>
  </si>
  <si>
    <t>4f2.(3F&lt;3&gt;).5f</t>
  </si>
  <si>
    <t>117248.2</t>
  </si>
  <si>
    <t xml:space="preserve">  56             or  :    54                      (3F) 4H*         </t>
  </si>
  <si>
    <t>059003.000393</t>
  </si>
  <si>
    <t>117323.1</t>
  </si>
  <si>
    <t xml:space="preserve">  35             or  :    28                      (3F) 4H*         </t>
  </si>
  <si>
    <t>059003.000394</t>
  </si>
  <si>
    <t>117540.5</t>
  </si>
  <si>
    <t xml:space="preserve">  26  2[1]*      or  :    24                      (3F) 2P*         </t>
  </si>
  <si>
    <t>059003.000395</t>
  </si>
  <si>
    <t>117574.5</t>
  </si>
  <si>
    <t xml:space="preserve">  51             or  :    48                      (3F) 2I*         </t>
  </si>
  <si>
    <t>059003.000396</t>
  </si>
  <si>
    <t>117647.2</t>
  </si>
  <si>
    <t xml:space="preserve">  64             or  :    33                      (3F) 2F*         </t>
  </si>
  <si>
    <t>059003.000397</t>
  </si>
  <si>
    <t>117686.4</t>
  </si>
  <si>
    <t xml:space="preserve">  33             or  :    42                      (3F) 4D*         </t>
  </si>
  <si>
    <t>059003.000398</t>
  </si>
  <si>
    <t>4f2.(3F&lt;4&gt;).5f</t>
  </si>
  <si>
    <t>117775.3</t>
  </si>
  <si>
    <t xml:space="preserve">  28  2[6]*      or  :    61                      (3F) 4I*         </t>
  </si>
  <si>
    <t>059003.000399</t>
  </si>
  <si>
    <t>118063.0</t>
  </si>
  <si>
    <t xml:space="preserve">  70             or  :    65                      (3F) 4I*         </t>
  </si>
  <si>
    <t>059003.000400</t>
  </si>
  <si>
    <t>118081.1</t>
  </si>
  <si>
    <t xml:space="preserve">  40             or  :    36                      (3F) 2G*         </t>
  </si>
  <si>
    <t>059003.000401</t>
  </si>
  <si>
    <t>118201.4</t>
  </si>
  <si>
    <t xml:space="preserve">  59             or  :    34                      (3F) 4F*         </t>
  </si>
  <si>
    <t>059003.000402</t>
  </si>
  <si>
    <t>118271.6</t>
  </si>
  <si>
    <t xml:space="preserve">  22  2[5]*      or  :    32                      (3F) 4G*         </t>
  </si>
  <si>
    <t>059003.000403</t>
  </si>
  <si>
    <t>118318.6</t>
  </si>
  <si>
    <t xml:space="preserve">  60             or  :    41                      (3F) 2G*         </t>
  </si>
  <si>
    <t>059003.000404</t>
  </si>
  <si>
    <t>118468.8</t>
  </si>
  <si>
    <t xml:space="preserve">  36  2[5]*      or  :    36                      (3F) 4G*         </t>
  </si>
  <si>
    <t>059003.000405</t>
  </si>
  <si>
    <t>118610.9</t>
  </si>
  <si>
    <t xml:space="preserve">  36             or  :    55                      (3F) 2I*         </t>
  </si>
  <si>
    <t>059003.000406</t>
  </si>
  <si>
    <t>118879.3</t>
  </si>
  <si>
    <t xml:space="preserve">  35  2[5]*      or  :    37                      (3F) 2H*         </t>
  </si>
  <si>
    <t>059003.000407</t>
  </si>
  <si>
    <t>4f2.(1G&lt;4&gt;).5f</t>
  </si>
  <si>
    <t>120498.7</t>
  </si>
  <si>
    <t xml:space="preserve">  61             or  :    56                      (1G) 2I*         </t>
  </si>
  <si>
    <t>059003.000408</t>
  </si>
  <si>
    <t>121095.2</t>
  </si>
  <si>
    <t xml:space="preserve">  45             or  :    40                      (1G) 2H*         </t>
  </si>
  <si>
    <t>059003.000409</t>
  </si>
  <si>
    <t>121119.2</t>
  </si>
  <si>
    <t xml:space="preserve">  73             or  :    67                      (1G) 2K*         </t>
  </si>
  <si>
    <t>059003.000410</t>
  </si>
  <si>
    <t>121382.6</t>
  </si>
  <si>
    <t xml:space="preserve">  51             or  :    46                      (1G) 2H*         </t>
  </si>
  <si>
    <t>059003.000411</t>
  </si>
  <si>
    <t>121431.2</t>
  </si>
  <si>
    <t xml:space="preserve">  50             or  :    44                      (1G) 2K*         </t>
  </si>
  <si>
    <t>059003.000412</t>
  </si>
  <si>
    <t>121532.5</t>
  </si>
  <si>
    <t xml:space="preserve">  35             or  :    31                      (1G) 2I*         </t>
  </si>
  <si>
    <t>059003.000413</t>
  </si>
  <si>
    <t>4f2.(1D&lt;2&gt;).5f</t>
  </si>
  <si>
    <t>2[1]*</t>
  </si>
  <si>
    <t>128214.2</t>
  </si>
  <si>
    <t xml:space="preserve">  84             or  :    83                      (1D) 2P*         </t>
  </si>
  <si>
    <t>059003.000414</t>
  </si>
  <si>
    <t>128352.8</t>
  </si>
  <si>
    <t xml:space="preserve">  78             or  :    77                      (1D) 2H*         </t>
  </si>
  <si>
    <t>059003.000415</t>
  </si>
  <si>
    <t>128381.6</t>
  </si>
  <si>
    <t xml:space="preserve">  89             or  :    88                      (1D) 2H*         </t>
  </si>
  <si>
    <t>059003.000416</t>
  </si>
  <si>
    <t>128453.2</t>
  </si>
  <si>
    <t xml:space="preserve">  87             or  :    86                      (1D) 2G*         </t>
  </si>
  <si>
    <t>059003.000417</t>
  </si>
  <si>
    <t>128568.6</t>
  </si>
  <si>
    <t xml:space="preserve">  79             or  :    78                      (1D) 2G*         </t>
  </si>
  <si>
    <t>059003.000418</t>
  </si>
  <si>
    <t>4f2.(3H&lt;4&gt;).8s&lt;1/2&gt;</t>
  </si>
  <si>
    <t>129106.1</t>
  </si>
  <si>
    <t>059003.000419</t>
  </si>
  <si>
    <t>4f2.(3H&lt;5&gt;).8s&lt;1/2&gt;</t>
  </si>
  <si>
    <t>131200.3</t>
  </si>
  <si>
    <t>059003.000420</t>
  </si>
  <si>
    <t>131226.3</t>
  </si>
  <si>
    <t>059003.000421</t>
  </si>
  <si>
    <t>4f2.(1I&lt;6&gt;).5f</t>
  </si>
  <si>
    <t>133194.3</t>
  </si>
  <si>
    <t xml:space="preserve">  98             or  :    98                      (1I) 2M*         </t>
  </si>
  <si>
    <t>059003.000422</t>
  </si>
  <si>
    <t>133242.3</t>
  </si>
  <si>
    <t xml:space="preserve"> 100             or  :   100                      (1I) 2M*         </t>
  </si>
  <si>
    <t>059003.000423</t>
  </si>
  <si>
    <t>133352.2</t>
  </si>
  <si>
    <t xml:space="preserve">  98             or  :    98                      (1I) 2L*         </t>
  </si>
  <si>
    <t>059003.000424</t>
  </si>
  <si>
    <t>133373.0</t>
  </si>
  <si>
    <t xml:space="preserve">  97             or  :    97                      (1I) 2L*         </t>
  </si>
  <si>
    <t>059003.000425</t>
  </si>
  <si>
    <t>4f2.(3H&lt;6&gt;).8s&lt;1/2&gt;</t>
  </si>
  <si>
    <t>133393.2</t>
  </si>
  <si>
    <t>059003.000426</t>
  </si>
  <si>
    <t>133503.9</t>
  </si>
  <si>
    <t>059003.000427</t>
  </si>
  <si>
    <t>4f2.(3F&lt;3&gt;).8s&lt;1/2&gt;</t>
  </si>
  <si>
    <t>135445.2</t>
  </si>
  <si>
    <t>059003.000428</t>
  </si>
  <si>
    <t>4f2.(3F&lt;4&gt;).8s&lt;1/2&gt;</t>
  </si>
  <si>
    <t>135868.8</t>
  </si>
  <si>
    <t>059003.000429</t>
  </si>
  <si>
    <t>Pr IV (4f2.5s2.5p6 3H&lt;4&gt;)</t>
  </si>
  <si>
    <t>Limit</t>
  </si>
  <si>
    <t>---</t>
  </si>
  <si>
    <t>174407</t>
  </si>
  <si>
    <t>20</t>
  </si>
  <si>
    <t>059003.Lim001</t>
  </si>
  <si>
    <t>f34I</t>
  </si>
  <si>
    <t>f34F</t>
  </si>
  <si>
    <t>f32H</t>
  </si>
  <si>
    <t>f34S</t>
  </si>
  <si>
    <t>f32G</t>
  </si>
  <si>
    <t>f34G</t>
  </si>
  <si>
    <t>f32K</t>
  </si>
  <si>
    <t>f3</t>
  </si>
  <si>
    <t>f32D</t>
  </si>
  <si>
    <t>f32P</t>
  </si>
  <si>
    <t>f34D</t>
  </si>
  <si>
    <t>f32I</t>
  </si>
  <si>
    <t>f32L</t>
  </si>
  <si>
    <t>30602.83</t>
  </si>
  <si>
    <t>f32F</t>
  </si>
  <si>
    <t>f2pH</t>
  </si>
  <si>
    <t>fd2F</t>
  </si>
  <si>
    <t>f2pF</t>
  </si>
  <si>
    <t>65073.26</t>
  </si>
  <si>
    <t>65765.17</t>
  </si>
  <si>
    <t>fd2D</t>
  </si>
  <si>
    <t>68331.68</t>
  </si>
  <si>
    <t>68331.75</t>
  </si>
  <si>
    <t>f2pG</t>
  </si>
  <si>
    <t>68556.35</t>
  </si>
  <si>
    <t>68676.55</t>
  </si>
  <si>
    <t>mix</t>
  </si>
  <si>
    <t>fd2P</t>
  </si>
  <si>
    <t>fd2G</t>
  </si>
  <si>
    <t>74619.63</t>
  </si>
  <si>
    <t>74696.20</t>
  </si>
  <si>
    <t>f2pD</t>
  </si>
  <si>
    <t>75982.80</t>
  </si>
  <si>
    <t>76130.52</t>
  </si>
  <si>
    <t>76411.04</t>
  </si>
  <si>
    <t>76534.72</t>
  </si>
  <si>
    <t>76894.56</t>
  </si>
  <si>
    <t>79377.15</t>
  </si>
  <si>
    <t>79378.38</t>
  </si>
  <si>
    <t>f2pP</t>
  </si>
  <si>
    <t>f2pI</t>
  </si>
  <si>
    <t>82082.70</t>
  </si>
  <si>
    <t>84270.44</t>
  </si>
  <si>
    <t>84690.20</t>
  </si>
  <si>
    <t>84804.11</t>
  </si>
  <si>
    <t>85981.65</t>
  </si>
  <si>
    <t>86938.55</t>
  </si>
  <si>
    <t>fdsG</t>
  </si>
  <si>
    <t>87726.9</t>
  </si>
  <si>
    <t>88210.1</t>
  </si>
  <si>
    <t>replaces 88220, rejected</t>
  </si>
  <si>
    <t>fdsF</t>
  </si>
  <si>
    <t>89969.42</t>
  </si>
  <si>
    <t>fdsH</t>
  </si>
  <si>
    <t>fd2S</t>
  </si>
  <si>
    <t>99681.9</t>
  </si>
  <si>
    <t>fds</t>
  </si>
  <si>
    <t>99938.5</t>
  </si>
  <si>
    <t>5fH4</t>
  </si>
  <si>
    <t>110295.20</t>
  </si>
  <si>
    <t>110333.55</t>
  </si>
  <si>
    <t>110530.96</t>
  </si>
  <si>
    <t>110880.92</t>
  </si>
  <si>
    <t>110922.18</t>
  </si>
  <si>
    <t>111109.95</t>
  </si>
  <si>
    <t>111268.60</t>
  </si>
  <si>
    <t>111334.87</t>
  </si>
  <si>
    <t>111342.43</t>
  </si>
  <si>
    <t>111494.56</t>
  </si>
  <si>
    <t>111518.34</t>
  </si>
  <si>
    <t>111728.91</t>
  </si>
  <si>
    <t>111772.91</t>
  </si>
  <si>
    <t>111779.59</t>
  </si>
  <si>
    <t>111902.78</t>
  </si>
  <si>
    <t>111992.97</t>
  </si>
  <si>
    <t>5fH5</t>
  </si>
  <si>
    <t>112643.09</t>
  </si>
  <si>
    <t>112769.67</t>
  </si>
  <si>
    <t>112837.43</t>
  </si>
  <si>
    <t>113064.69</t>
  </si>
  <si>
    <t>113158.53</t>
  </si>
  <si>
    <t>113211.64</t>
  </si>
  <si>
    <t>113225.66</t>
  </si>
  <si>
    <t>113291.67</t>
  </si>
  <si>
    <t>113600.13</t>
  </si>
  <si>
    <t>113630.90</t>
  </si>
  <si>
    <t>113664.57</t>
  </si>
  <si>
    <t>113780.27</t>
  </si>
  <si>
    <t>113854.85</t>
  </si>
  <si>
    <t>113894.44</t>
  </si>
  <si>
    <t>113914.16</t>
  </si>
  <si>
    <t>5fH6</t>
  </si>
  <si>
    <t>114797.12</t>
  </si>
  <si>
    <t>114970.95</t>
  </si>
  <si>
    <t>115094.1</t>
  </si>
  <si>
    <t>115176.16</t>
  </si>
  <si>
    <t>115218.75</t>
  </si>
  <si>
    <t>115324.47</t>
  </si>
  <si>
    <t>115403.34</t>
  </si>
  <si>
    <t>115408.39</t>
  </si>
  <si>
    <t>115489.74</t>
  </si>
  <si>
    <t>115499.67</t>
  </si>
  <si>
    <t>5fF2</t>
  </si>
  <si>
    <t>115672.26</t>
  </si>
  <si>
    <t>115712.03</t>
  </si>
  <si>
    <t>115800.17</t>
  </si>
  <si>
    <t>115881.55</t>
  </si>
  <si>
    <t>115933.14</t>
  </si>
  <si>
    <t>115990.73</t>
  </si>
  <si>
    <t>116021.78</t>
  </si>
  <si>
    <t>116078.6</t>
  </si>
  <si>
    <t>116238.71</t>
  </si>
  <si>
    <t>116309.14</t>
  </si>
  <si>
    <t>116489.75</t>
  </si>
  <si>
    <t>116777.55</t>
  </si>
  <si>
    <t>5fF3</t>
  </si>
  <si>
    <t>117359.30</t>
  </si>
  <si>
    <t>117376.01</t>
  </si>
  <si>
    <t>117385.10</t>
  </si>
  <si>
    <t>117397.80</t>
  </si>
  <si>
    <t>117507.88</t>
  </si>
  <si>
    <t>117592.2</t>
  </si>
  <si>
    <t>5fF4</t>
  </si>
  <si>
    <t>118069.2</t>
  </si>
  <si>
    <t>118224.13</t>
  </si>
  <si>
    <t>118588.65</t>
  </si>
  <si>
    <t>118860.77</t>
  </si>
  <si>
    <t>118885.4</t>
  </si>
  <si>
    <t>118987.0</t>
  </si>
  <si>
    <t>119019.05</t>
  </si>
  <si>
    <t>119077.25</t>
  </si>
  <si>
    <t>5fG4</t>
  </si>
  <si>
    <t>120715.55</t>
  </si>
  <si>
    <t>121411.77</t>
  </si>
  <si>
    <t>121580.90</t>
  </si>
  <si>
    <t>121582.6</t>
  </si>
  <si>
    <t>122141.46</t>
  </si>
  <si>
    <t>5fD2</t>
  </si>
  <si>
    <t>128479.6</t>
  </si>
  <si>
    <t>128800.05</t>
  </si>
  <si>
    <t>128912.95</t>
  </si>
  <si>
    <t>132415.6</t>
  </si>
  <si>
    <t>132651.7</t>
  </si>
  <si>
    <t>132783.0</t>
  </si>
  <si>
    <t>132958.22</t>
  </si>
  <si>
    <t>133037.30</t>
  </si>
  <si>
    <t>133150.95</t>
  </si>
  <si>
    <t>5fI6</t>
  </si>
  <si>
    <t>133306.90</t>
  </si>
  <si>
    <t>133370.49</t>
  </si>
  <si>
    <t>133511.58</t>
  </si>
  <si>
    <t>133566.52</t>
  </si>
  <si>
    <t>133594.97</t>
  </si>
  <si>
    <t>133650.5</t>
  </si>
  <si>
    <t>134001.32</t>
  </si>
  <si>
    <t>134007.65</t>
  </si>
  <si>
    <t>134069.5</t>
  </si>
  <si>
    <t>134163.18</t>
  </si>
  <si>
    <t>134163.33</t>
  </si>
  <si>
    <t>134220.3</t>
  </si>
  <si>
    <t>134375.60</t>
  </si>
  <si>
    <t>134868.82</t>
  </si>
  <si>
    <t>134932.15</t>
  </si>
  <si>
    <t>135896.6</t>
  </si>
  <si>
    <t>135927.0</t>
  </si>
  <si>
    <t>136034.02</t>
  </si>
  <si>
    <t>136111.0</t>
  </si>
  <si>
    <t>136326.70</t>
  </si>
  <si>
    <t>136435.34</t>
  </si>
  <si>
    <t>136485.6</t>
  </si>
  <si>
    <t>136606.4</t>
  </si>
  <si>
    <t>136643.4</t>
  </si>
  <si>
    <t>137960.61</t>
  </si>
  <si>
    <t>138034.95</t>
  </si>
  <si>
    <t>138077.80</t>
  </si>
  <si>
    <t>138342.75</t>
  </si>
  <si>
    <t>138410.5</t>
  </si>
  <si>
    <t>138445.3</t>
  </si>
  <si>
    <t>138839.85</t>
  </si>
  <si>
    <t>138900.40</t>
  </si>
  <si>
    <t>139081.40</t>
  </si>
  <si>
    <t>aH2H</t>
  </si>
  <si>
    <t>aH4K</t>
  </si>
  <si>
    <t>aH4I</t>
  </si>
  <si>
    <t>aH4G</t>
  </si>
  <si>
    <t>aH4H</t>
  </si>
  <si>
    <t>aH</t>
  </si>
  <si>
    <t>aH2I</t>
  </si>
  <si>
    <t>aF4H</t>
  </si>
  <si>
    <t>20096.73</t>
  </si>
  <si>
    <t>aH4F</t>
  </si>
  <si>
    <t>aF4P</t>
  </si>
  <si>
    <t>aH2G</t>
  </si>
  <si>
    <t>aF4G</t>
  </si>
  <si>
    <t>aG</t>
  </si>
  <si>
    <t>21598.58</t>
  </si>
  <si>
    <t>aF</t>
  </si>
  <si>
    <t>aF4D</t>
  </si>
  <si>
    <t>aH2K</t>
  </si>
  <si>
    <t>aF4F</t>
  </si>
  <si>
    <t>aF2G</t>
  </si>
  <si>
    <t>aG2I</t>
  </si>
  <si>
    <t>aG2D</t>
  </si>
  <si>
    <t>bH4</t>
  </si>
  <si>
    <t>aG2F</t>
  </si>
  <si>
    <t>aF2H</t>
  </si>
  <si>
    <t>bH5</t>
  </si>
  <si>
    <t>aD2S</t>
  </si>
  <si>
    <t>aD2P</t>
  </si>
  <si>
    <t>bH6</t>
  </si>
  <si>
    <t>bF2</t>
  </si>
  <si>
    <t>aD2F</t>
  </si>
  <si>
    <t>bF3</t>
  </si>
  <si>
    <t>aD2G</t>
  </si>
  <si>
    <t>aP</t>
  </si>
  <si>
    <t>bF4</t>
  </si>
  <si>
    <t>aP4F</t>
  </si>
  <si>
    <t>aI2I</t>
  </si>
  <si>
    <t>aP4P</t>
  </si>
  <si>
    <t>bG4</t>
  </si>
  <si>
    <t>aI2K</t>
  </si>
  <si>
    <t>aP4D</t>
  </si>
  <si>
    <t>39120.40</t>
  </si>
  <si>
    <t>aI2L</t>
  </si>
  <si>
    <t>aI2H</t>
  </si>
  <si>
    <t>aP2F</t>
  </si>
  <si>
    <t>aI2G</t>
  </si>
  <si>
    <t>bD2</t>
  </si>
  <si>
    <t>46783.64</t>
  </si>
  <si>
    <t>replaces 46673.78, rejected</t>
  </si>
  <si>
    <t>aP2D</t>
  </si>
  <si>
    <t>bP1</t>
  </si>
  <si>
    <t>bI6</t>
  </si>
  <si>
    <t>bP2</t>
  </si>
  <si>
    <t>100214.99</t>
  </si>
  <si>
    <t>7sH4</t>
  </si>
  <si>
    <t>6dH4</t>
  </si>
  <si>
    <t>101778.0</t>
  </si>
  <si>
    <t>7sH5</t>
  </si>
  <si>
    <t>6dH5</t>
  </si>
  <si>
    <t>103973.35</t>
  </si>
  <si>
    <t>7sH6</t>
  </si>
  <si>
    <t>6dH6</t>
  </si>
  <si>
    <t>105191.13</t>
  </si>
  <si>
    <t>105338.51</t>
  </si>
  <si>
    <t>105485.30</t>
  </si>
  <si>
    <t>105534.64</t>
  </si>
  <si>
    <t>106153.75</t>
  </si>
  <si>
    <t>106224.22</t>
  </si>
  <si>
    <t>106306.51</t>
  </si>
  <si>
    <t>106384.65</t>
  </si>
  <si>
    <t>106394.09</t>
  </si>
  <si>
    <t>106468.42</t>
  </si>
  <si>
    <t>7sF3</t>
  </si>
  <si>
    <t>7sF4</t>
  </si>
  <si>
    <t>107177.80</t>
  </si>
  <si>
    <t>107233.20</t>
  </si>
  <si>
    <t>107262.71</t>
  </si>
  <si>
    <t>6dF3</t>
  </si>
  <si>
    <t>107403.91</t>
  </si>
  <si>
    <t>107697.07</t>
  </si>
  <si>
    <t>6dF4</t>
  </si>
  <si>
    <t>107978.56</t>
  </si>
  <si>
    <t>108574.00</t>
  </si>
  <si>
    <t>111039.75</t>
  </si>
  <si>
    <t>111193.29</t>
  </si>
  <si>
    <t>119225.52</t>
  </si>
  <si>
    <t>121143.3</t>
  </si>
  <si>
    <t>122932.6</t>
  </si>
  <si>
    <t>124594.4</t>
  </si>
  <si>
    <t>125145.1</t>
  </si>
  <si>
    <t>126743.3</t>
  </si>
  <si>
    <t>129009.15</t>
  </si>
  <si>
    <t>8sH4</t>
  </si>
  <si>
    <t>129454.45</t>
  </si>
  <si>
    <t>129744.09</t>
  </si>
  <si>
    <t>129934.50</t>
  </si>
  <si>
    <t>130218.64</t>
  </si>
  <si>
    <t>8sH5</t>
  </si>
  <si>
    <t>131788.15</t>
  </si>
  <si>
    <t>131980.00</t>
  </si>
  <si>
    <t>8sH6</t>
  </si>
  <si>
    <t>134394.16</t>
  </si>
  <si>
    <t>134402.02</t>
  </si>
  <si>
    <t>134402.83</t>
  </si>
  <si>
    <t>134405.44</t>
  </si>
  <si>
    <t>134425.98</t>
  </si>
  <si>
    <t>134428.63</t>
  </si>
  <si>
    <t>134433.41</t>
  </si>
  <si>
    <t>134454.31</t>
  </si>
  <si>
    <t>134454.76</t>
  </si>
  <si>
    <t>134480.15</t>
  </si>
  <si>
    <t>134480.72</t>
  </si>
  <si>
    <t>134488.70</t>
  </si>
  <si>
    <t>134492.68</t>
  </si>
  <si>
    <t>134496.12</t>
  </si>
  <si>
    <t>8sF3</t>
  </si>
  <si>
    <t>8sF4</t>
  </si>
  <si>
    <t>136554.97</t>
  </si>
  <si>
    <t>136555.45</t>
  </si>
  <si>
    <t>136557.98</t>
  </si>
  <si>
    <t>136559.59</t>
  </si>
  <si>
    <t>136570.81</t>
  </si>
  <si>
    <t>136572.21</t>
  </si>
  <si>
    <t>136589.34</t>
  </si>
  <si>
    <t>136589.44</t>
  </si>
  <si>
    <t>136596.37</t>
  </si>
  <si>
    <t>136596.63</t>
  </si>
  <si>
    <t>136620.17</t>
  </si>
  <si>
    <t>136641.80</t>
  </si>
  <si>
    <t>136649.4</t>
  </si>
  <si>
    <t>136650.9</t>
  </si>
  <si>
    <t>138783.50</t>
  </si>
  <si>
    <t>138787.95</t>
  </si>
  <si>
    <t>138794.58</t>
  </si>
  <si>
    <t>138796.56</t>
  </si>
  <si>
    <t>138799.39</t>
  </si>
  <si>
    <t>138799.91</t>
  </si>
  <si>
    <t>138822.38</t>
  </si>
  <si>
    <t>138822.40</t>
  </si>
  <si>
    <t>138827.78</t>
  </si>
  <si>
    <t>138833.55</t>
  </si>
  <si>
    <t>138849.86</t>
  </si>
  <si>
    <t>138874.91</t>
  </si>
  <si>
    <t>138883.81</t>
  </si>
  <si>
    <t>138888.98</t>
  </si>
  <si>
    <t>138895.87</t>
  </si>
  <si>
    <t>141328.8</t>
  </si>
  <si>
    <t>?</t>
  </si>
  <si>
    <t>2F??</t>
  </si>
  <si>
    <t>N</t>
  </si>
  <si>
    <t>fd2*</t>
  </si>
  <si>
    <t>f2p*</t>
  </si>
  <si>
    <t>fd2</t>
  </si>
  <si>
    <t>mix*</t>
  </si>
  <si>
    <t>fds*</t>
  </si>
  <si>
    <t>7pH4</t>
  </si>
  <si>
    <t>7pH5</t>
  </si>
  <si>
    <t>7pH6</t>
  </si>
  <si>
    <t>5fP0</t>
  </si>
  <si>
    <t>5fP1</t>
  </si>
  <si>
    <t>6fH4</t>
  </si>
  <si>
    <t>5fP2</t>
  </si>
  <si>
    <t>5f?P</t>
  </si>
  <si>
    <t>6fH5</t>
  </si>
  <si>
    <t>6fH6</t>
  </si>
  <si>
    <t>aF**</t>
  </si>
  <si>
    <t>7sF2</t>
  </si>
  <si>
    <t>6dF2</t>
  </si>
  <si>
    <t>6dG4</t>
  </si>
  <si>
    <t>fdp</t>
  </si>
  <si>
    <t>N?</t>
  </si>
  <si>
    <t>7dH4</t>
  </si>
  <si>
    <t>7dH5</t>
  </si>
  <si>
    <t>5gH4</t>
  </si>
  <si>
    <t>5gH5</t>
  </si>
  <si>
    <t>5gH6</t>
  </si>
  <si>
    <t>5gF4</t>
  </si>
  <si>
    <t>note</t>
  </si>
  <si>
    <t>note1</t>
  </si>
  <si>
    <t>4S</t>
  </si>
  <si>
    <t>??</t>
  </si>
  <si>
    <t>f2</t>
  </si>
  <si>
    <t>pH</t>
  </si>
  <si>
    <t>fd</t>
  </si>
  <si>
    <t>pF</t>
  </si>
  <si>
    <t>2*</t>
  </si>
  <si>
    <t>p*</t>
  </si>
  <si>
    <t>pG</t>
  </si>
  <si>
    <t>mi</t>
  </si>
  <si>
    <t>x</t>
  </si>
  <si>
    <t>pD</t>
  </si>
  <si>
    <t>pP</t>
  </si>
  <si>
    <t>pI</t>
  </si>
  <si>
    <t>sF</t>
  </si>
  <si>
    <t>s</t>
  </si>
  <si>
    <t>s*</t>
  </si>
  <si>
    <t>sG</t>
  </si>
  <si>
    <t>sH</t>
  </si>
  <si>
    <t>5f</t>
  </si>
  <si>
    <t>H4</t>
  </si>
  <si>
    <t>7p</t>
  </si>
  <si>
    <t>H5</t>
  </si>
  <si>
    <t>H6</t>
  </si>
  <si>
    <t>F2</t>
  </si>
  <si>
    <t>F3</t>
  </si>
  <si>
    <t>F4</t>
  </si>
  <si>
    <t>G4</t>
  </si>
  <si>
    <t>D2</t>
  </si>
  <si>
    <t>P0</t>
  </si>
  <si>
    <t>I6</t>
  </si>
  <si>
    <t>P1</t>
  </si>
  <si>
    <t>6f</t>
  </si>
  <si>
    <t>P2</t>
  </si>
  <si>
    <t>?P</t>
  </si>
  <si>
    <t>**</t>
  </si>
  <si>
    <t>bH</t>
  </si>
  <si>
    <t>aD</t>
  </si>
  <si>
    <t>bF</t>
  </si>
  <si>
    <t>aI</t>
  </si>
  <si>
    <t>bG</t>
  </si>
  <si>
    <t>bD</t>
  </si>
  <si>
    <t>bP</t>
  </si>
  <si>
    <t>bI</t>
  </si>
  <si>
    <t>7s</t>
  </si>
  <si>
    <t>6d</t>
  </si>
  <si>
    <t>p</t>
  </si>
  <si>
    <t>8s</t>
  </si>
  <si>
    <t>7d</t>
  </si>
  <si>
    <t>5g</t>
  </si>
  <si>
    <t>conf</t>
  </si>
  <si>
    <t>par_ASD</t>
  </si>
  <si>
    <t>J-1/2</t>
  </si>
  <si>
    <t>conf_ASD</t>
  </si>
  <si>
    <t>term_ASD</t>
  </si>
  <si>
    <t>ASD_id</t>
  </si>
  <si>
    <t>t</t>
  </si>
  <si>
    <t>ref</t>
  </si>
  <si>
    <t>suffix</t>
  </si>
  <si>
    <t>par</t>
  </si>
  <si>
    <t>u#,L19481</t>
  </si>
  <si>
    <t>E_ASD</t>
  </si>
  <si>
    <t>E_adopt</t>
  </si>
  <si>
    <t>u#</t>
  </si>
  <si>
    <t>u#,L3974</t>
  </si>
  <si>
    <t>4f.5d.6s</t>
  </si>
  <si>
    <t>4f2.(3H&lt;4&gt;).6d</t>
  </si>
  <si>
    <t>4f.(2F*).5d2</t>
  </si>
  <si>
    <t>4f2.6p</t>
  </si>
  <si>
    <t>4f2.(3H&lt;4&gt;).7p</t>
  </si>
  <si>
    <t>4f2.(3H&lt;5&gt;).7p</t>
  </si>
  <si>
    <t>4f2.(3H&lt;6&gt;).7p</t>
  </si>
  <si>
    <t>4f2.(3P&lt;2&gt;).5f</t>
  </si>
  <si>
    <t>4f2.(3P&lt;0&gt;).5f</t>
  </si>
  <si>
    <t>4f2.(3P&lt;1&gt;).5f</t>
  </si>
  <si>
    <t>4f2.(3H&lt;4&gt;).6f</t>
  </si>
  <si>
    <t>4f2.5f</t>
  </si>
  <si>
    <t>4f2.(3H&lt;6&gt;).6f</t>
  </si>
  <si>
    <t>4f2.(3H&lt;5&gt;).6f</t>
  </si>
  <si>
    <t>4f2.(3H&lt;5&gt;).6d</t>
  </si>
  <si>
    <t>4f2.(3F&lt;2&gt;).7s</t>
  </si>
  <si>
    <t>4f2.(3F&lt;2&gt;).6d</t>
  </si>
  <si>
    <t>4f2.(3H&lt;6&gt;).6d</t>
  </si>
  <si>
    <t>4f2.(3F&lt;3&gt;).6d</t>
  </si>
  <si>
    <t>4f2.(3F&lt;4&gt;).7s</t>
  </si>
  <si>
    <t>4f2.(3F&lt;4&gt;).6d</t>
  </si>
  <si>
    <t>4f2.(1G&lt;4&gt;).6d</t>
  </si>
  <si>
    <t>4f.5d.6p</t>
  </si>
  <si>
    <t>4f2.(3H&lt;4&gt;).8s</t>
  </si>
  <si>
    <t>4f2.(3H&lt;4&gt;).7d</t>
  </si>
  <si>
    <t>4f2.(3H&lt;5&gt;).7d</t>
  </si>
  <si>
    <t>4f2.(3H&lt;4&gt;).5g</t>
  </si>
  <si>
    <t>4f2.(3H&lt;5&gt;).5g</t>
  </si>
  <si>
    <t>4f2.(3H&lt;6&gt;).5g</t>
  </si>
  <si>
    <t>4f2.(3F&lt;4&gt;).5g</t>
  </si>
  <si>
    <t>115439.45</t>
  </si>
  <si>
    <t>113854.23</t>
  </si>
  <si>
    <t>84150.65</t>
  </si>
  <si>
    <t>86390.45</t>
  </si>
  <si>
    <t>86455.75</t>
  </si>
  <si>
    <t>4f.5d.(1H).6s</t>
  </si>
  <si>
    <t>E_W99</t>
  </si>
  <si>
    <t>J_adopt</t>
  </si>
  <si>
    <t>21/2</t>
  </si>
  <si>
    <t>E_Wyart</t>
  </si>
  <si>
    <t>J_Wyart</t>
  </si>
  <si>
    <t>remark</t>
  </si>
  <si>
    <t>or</t>
  </si>
  <si>
    <t>2G1*</t>
  </si>
  <si>
    <t>2D*</t>
  </si>
  <si>
    <t>perc</t>
  </si>
  <si>
    <t>term1</t>
  </si>
  <si>
    <t>(3H&lt;4&gt;) (4,3/2)*</t>
  </si>
  <si>
    <t>(3F) 2G*</t>
  </si>
  <si>
    <t>(3F&lt;2&gt;) (2,1/2)*</t>
  </si>
  <si>
    <t>(3H&lt;6&gt;) (6,1/2)*</t>
  </si>
  <si>
    <t>(3F*) 4H*</t>
  </si>
  <si>
    <t>(3H&lt;6&gt;) (6,3/2)*</t>
  </si>
  <si>
    <t>(3F*) 2G*</t>
  </si>
  <si>
    <t>(3F&lt;3&gt;) (3,1/2)*</t>
  </si>
  <si>
    <t>(3F*) 4G*</t>
  </si>
  <si>
    <t>(1G&lt;4&gt;) (4,1/2)*</t>
  </si>
  <si>
    <t>(3H&lt;5&gt;) (5,3/2)*</t>
  </si>
  <si>
    <t>(3F*) 4D*</t>
  </si>
  <si>
    <t>(3F) 4D*</t>
  </si>
  <si>
    <t>(2F*)(3F) 4H*</t>
  </si>
  <si>
    <t>2S*</t>
  </si>
  <si>
    <t>(3F) 2H*</t>
  </si>
  <si>
    <t>(1G) 2I*</t>
  </si>
  <si>
    <t>(3F&lt;4&gt;) (4,1/2)*</t>
  </si>
  <si>
    <t>(1G&lt;4&gt;) (4,3/2)*</t>
  </si>
  <si>
    <t>(3F&lt;4&gt;) (4,3/2)*</t>
  </si>
  <si>
    <t>(3P) 4G*</t>
  </si>
  <si>
    <t>(1D) 2G*</t>
  </si>
  <si>
    <t>(3F) 4P*</t>
  </si>
  <si>
    <t>(1D) 2H*</t>
  </si>
  <si>
    <t>(3P) 2G*</t>
  </si>
  <si>
    <t>(3F) 4S*</t>
  </si>
  <si>
    <t>(3P) 4D*</t>
  </si>
  <si>
    <t>(1G) 2H*</t>
  </si>
  <si>
    <t>(3P) 4F*</t>
  </si>
  <si>
    <t>(3F) 2D*</t>
  </si>
  <si>
    <t>(3P&lt;2&gt;) (2,1/2)*</t>
  </si>
  <si>
    <t>(1D) 2P*</t>
  </si>
  <si>
    <t>(3F) 2F*</t>
  </si>
  <si>
    <t>(3P&lt;2&gt;) (2,3/2)*</t>
  </si>
  <si>
    <t>(3F) 2I*</t>
  </si>
  <si>
    <t>(3P&lt;0&gt;) (0,1/2)*</t>
  </si>
  <si>
    <t>(1D&lt;2&gt;) (2,3/2)*</t>
  </si>
  <si>
    <t>(1D&lt;2&gt;) (2,1/2)*</t>
  </si>
  <si>
    <t>(3P&lt;0&gt;) (0,3/2)*</t>
  </si>
  <si>
    <t>(1I&lt;6&gt;) (6,1/2)*</t>
  </si>
  <si>
    <t>4f.(2F*).5d2.(1H)</t>
  </si>
  <si>
    <t>(1G*) 2G*</t>
  </si>
  <si>
    <t>(3F*) 4F*</t>
  </si>
  <si>
    <t>(3G*) 4G*</t>
  </si>
  <si>
    <t>(3D*) 4D*</t>
  </si>
  <si>
    <t>(1H*) 2H*</t>
  </si>
  <si>
    <t>(3F*) 2F*</t>
  </si>
  <si>
    <t>(3H) 4K*</t>
  </si>
  <si>
    <t>(3H) 4H*</t>
  </si>
  <si>
    <t>(3H) 4L*</t>
  </si>
  <si>
    <t>(3H) 2I*</t>
  </si>
  <si>
    <t>(3F) 4H*</t>
  </si>
  <si>
    <t>(3H) 4F*</t>
  </si>
  <si>
    <t>(3H) 2G*</t>
  </si>
  <si>
    <t>(3H) 4D*</t>
  </si>
  <si>
    <t>(3H) 2K*</t>
  </si>
  <si>
    <t>(3H) 4G*</t>
  </si>
  <si>
    <t>(3H) 4I*</t>
  </si>
  <si>
    <t>(3H) 2H*</t>
  </si>
  <si>
    <t>(3H) 2D*</t>
  </si>
  <si>
    <t>(3H) 2L*</t>
  </si>
  <si>
    <t>(3H) 2F*</t>
  </si>
  <si>
    <t>(3F) 4I*</t>
  </si>
  <si>
    <t>(3P) 4H*</t>
  </si>
  <si>
    <t>(3F) 4G*</t>
  </si>
  <si>
    <t>(3F) 2P*</t>
  </si>
  <si>
    <t>(3F) 4F*</t>
  </si>
  <si>
    <t>(1G) 2K*</t>
  </si>
  <si>
    <t>(1I) 2M*</t>
  </si>
  <si>
    <t>(1I) 2L*</t>
  </si>
  <si>
    <t>(3H) 4I</t>
  </si>
  <si>
    <t>(3H) 2H</t>
  </si>
  <si>
    <t>(3F) 4G</t>
  </si>
  <si>
    <t>(3H) 4G</t>
  </si>
  <si>
    <t>(3F) 2F</t>
  </si>
  <si>
    <t>(1G) 2I</t>
  </si>
  <si>
    <t>(3H) 4H</t>
  </si>
  <si>
    <t>(3F) 4F</t>
  </si>
  <si>
    <t>(3F) 2P</t>
  </si>
  <si>
    <t>(3H) 2I</t>
  </si>
  <si>
    <t>(3F) 4P</t>
  </si>
  <si>
    <t>(3H) 4F</t>
  </si>
  <si>
    <t>(3F) 2D</t>
  </si>
  <si>
    <t>(1G) 2H</t>
  </si>
  <si>
    <t>(3H) 2K</t>
  </si>
  <si>
    <t>(3H) 2F</t>
  </si>
  <si>
    <t>(3F) 4H</t>
  </si>
  <si>
    <t>(1G) 2F</t>
  </si>
  <si>
    <t>(1G) 2G</t>
  </si>
  <si>
    <t>(1I) 2K</t>
  </si>
  <si>
    <t>(1D) 2G</t>
  </si>
  <si>
    <t>(3F) 2H</t>
  </si>
  <si>
    <t>(1D) 2P</t>
  </si>
  <si>
    <t>(3P) 2P</t>
  </si>
  <si>
    <t>(3F&lt;3&gt;) (3,1/2)</t>
  </si>
  <si>
    <t>(1D) 2S</t>
  </si>
  <si>
    <t>(3P) 4F</t>
  </si>
  <si>
    <t>(3F) 2G</t>
  </si>
  <si>
    <t>(1D) 2D</t>
  </si>
  <si>
    <t>(1G&lt;4&gt;) (4,1/2)</t>
  </si>
  <si>
    <t>(3F&lt;2&gt;) (2,1/2)</t>
  </si>
  <si>
    <t>(1D) 2F</t>
  </si>
  <si>
    <t>(3F&lt;4&gt;) (4,1/2)</t>
  </si>
  <si>
    <t>(3P) 4P</t>
  </si>
  <si>
    <t>(1I) 2I</t>
  </si>
  <si>
    <t>(1I) 2L</t>
  </si>
  <si>
    <t>(3P) 4D</t>
  </si>
  <si>
    <t>(3P&lt;2&gt;) (2,1/2)</t>
  </si>
  <si>
    <t>(3P&lt;0&gt;) (0,1/2)</t>
  </si>
  <si>
    <t>(1D&lt;2&gt;) (2,1/2)</t>
  </si>
  <si>
    <t>(3H&lt;4&gt;) (4,5/2)</t>
  </si>
  <si>
    <t>(3H&lt;4&gt;) (4,3/2)</t>
  </si>
  <si>
    <t>(3H&lt;5&gt;) (5,3/2)</t>
  </si>
  <si>
    <t>(3H&lt;5&gt;) (5,5/2)</t>
  </si>
  <si>
    <t>(3H&lt;6&gt;) (6,5/2)</t>
  </si>
  <si>
    <t>(3H&lt;6&gt;) (6,3/2)</t>
  </si>
  <si>
    <t>(3F&lt;4&gt;) (4,3/2)</t>
  </si>
  <si>
    <t>(3F&lt;3&gt;) (3,3/2)</t>
  </si>
  <si>
    <t>(1G&lt;4&gt;) (4,5/2)</t>
  </si>
  <si>
    <t>perc2</t>
  </si>
  <si>
    <t>conf2</t>
  </si>
  <si>
    <t>term2</t>
  </si>
  <si>
    <t>059003.000430</t>
  </si>
  <si>
    <t>059003.000431</t>
  </si>
  <si>
    <t>059003.000432</t>
  </si>
  <si>
    <t>059003.000433</t>
  </si>
  <si>
    <t>059003.000434</t>
  </si>
  <si>
    <t>059003.000435</t>
  </si>
  <si>
    <t>059003.000436</t>
  </si>
  <si>
    <t>059003.000437</t>
  </si>
  <si>
    <t>059003.000537</t>
  </si>
  <si>
    <t>059003.000438</t>
  </si>
  <si>
    <t>059003.000439</t>
  </si>
  <si>
    <t>059003.000440</t>
  </si>
  <si>
    <t>059003.000441</t>
  </si>
  <si>
    <t>059003.000442</t>
  </si>
  <si>
    <t>059003.000443</t>
  </si>
  <si>
    <t>059003.000444</t>
  </si>
  <si>
    <t>059003.000445</t>
  </si>
  <si>
    <t>059003.000446</t>
  </si>
  <si>
    <t>059003.000447</t>
  </si>
  <si>
    <t>059003.000448</t>
  </si>
  <si>
    <t>059003.000558</t>
  </si>
  <si>
    <t>059003.000449</t>
  </si>
  <si>
    <t>059003.000450</t>
  </si>
  <si>
    <t>059003.000451</t>
  </si>
  <si>
    <t>059003.000452</t>
  </si>
  <si>
    <t>059003.000453</t>
  </si>
  <si>
    <t>059003.000454</t>
  </si>
  <si>
    <t>059003.000455</t>
  </si>
  <si>
    <t>059003.000456</t>
  </si>
  <si>
    <t>059003.000457</t>
  </si>
  <si>
    <t>059003.000458</t>
  </si>
  <si>
    <t>059003.000459</t>
  </si>
  <si>
    <t>059003.000460</t>
  </si>
  <si>
    <t>059003.000461</t>
  </si>
  <si>
    <t>059003.000462</t>
  </si>
  <si>
    <t>059003.000463</t>
  </si>
  <si>
    <t>059003.000563</t>
  </si>
  <si>
    <t>059003.000464</t>
  </si>
  <si>
    <t>059003.000465</t>
  </si>
  <si>
    <t>059003.000466</t>
  </si>
  <si>
    <t>059003.000467</t>
  </si>
  <si>
    <t>059003.000468</t>
  </si>
  <si>
    <t>059003.000469</t>
  </si>
  <si>
    <t>059003.000470</t>
  </si>
  <si>
    <t>059003.000471</t>
  </si>
  <si>
    <t>059003.000472</t>
  </si>
  <si>
    <t>059003.000473</t>
  </si>
  <si>
    <t>059003.000474</t>
  </si>
  <si>
    <t>059003.000475</t>
  </si>
  <si>
    <t>059003.000476</t>
  </si>
  <si>
    <t>059003.000477</t>
  </si>
  <si>
    <t>059003.000478</t>
  </si>
  <si>
    <t>059003.000479</t>
  </si>
  <si>
    <t>059003.000480</t>
  </si>
  <si>
    <t>059003.000481</t>
  </si>
  <si>
    <t>059003.000482</t>
  </si>
  <si>
    <t>059003.000483</t>
  </si>
  <si>
    <t>059003.000484</t>
  </si>
  <si>
    <t>059003.000485</t>
  </si>
  <si>
    <t>059003.000486</t>
  </si>
  <si>
    <t>059003.000487</t>
  </si>
  <si>
    <t>059003.000488</t>
  </si>
  <si>
    <t>059003.000489</t>
  </si>
  <si>
    <t>059003.000490</t>
  </si>
  <si>
    <t>059003.000491</t>
  </si>
  <si>
    <t>059003.000492</t>
  </si>
  <si>
    <t>059003.000493</t>
  </si>
  <si>
    <t>059003.000494</t>
  </si>
  <si>
    <t>059003.000495</t>
  </si>
  <si>
    <t>059003.000496</t>
  </si>
  <si>
    <t>059003.000497</t>
  </si>
  <si>
    <t>059003.000498</t>
  </si>
  <si>
    <t>059003.000499</t>
  </si>
  <si>
    <t>059003.000500</t>
  </si>
  <si>
    <t>059003.000501</t>
  </si>
  <si>
    <t>059003.000502</t>
  </si>
  <si>
    <t>059003.000503</t>
  </si>
  <si>
    <t>059003.000504</t>
  </si>
  <si>
    <t>059003.000505</t>
  </si>
  <si>
    <t>059003.000506</t>
  </si>
  <si>
    <t>059003.000507</t>
  </si>
  <si>
    <t>059003.000508</t>
  </si>
  <si>
    <t>059003.000509</t>
  </si>
  <si>
    <t>059003.000510</t>
  </si>
  <si>
    <t>059003.000511</t>
  </si>
  <si>
    <t>059003.000512</t>
  </si>
  <si>
    <t>059003.000513</t>
  </si>
  <si>
    <t>059003.000514</t>
  </si>
  <si>
    <t>059003.000515</t>
  </si>
  <si>
    <t>059003.000516</t>
  </si>
  <si>
    <t>059003.000517</t>
  </si>
  <si>
    <t>059003.000518</t>
  </si>
  <si>
    <t>059003.000519</t>
  </si>
  <si>
    <t>059003.000520</t>
  </si>
  <si>
    <t>059003.000521</t>
  </si>
  <si>
    <t>059003.000522</t>
  </si>
  <si>
    <t>059003.000523</t>
  </si>
  <si>
    <t>059003.000524</t>
  </si>
  <si>
    <t>059003.000525</t>
  </si>
  <si>
    <t>059003.000526</t>
  </si>
  <si>
    <t>059003.000527</t>
  </si>
  <si>
    <t>059003.000528</t>
  </si>
  <si>
    <t>059003.000529</t>
  </si>
  <si>
    <t>059003.000530</t>
  </si>
  <si>
    <t>059003.000531</t>
  </si>
  <si>
    <t>059003.000532</t>
  </si>
  <si>
    <t>059003.000533</t>
  </si>
  <si>
    <t>059003.000534</t>
  </si>
  <si>
    <t>059003.000535</t>
  </si>
  <si>
    <t>059003.000536</t>
  </si>
  <si>
    <t>059003.000538</t>
  </si>
  <si>
    <t>059003.000539</t>
  </si>
  <si>
    <t>059003.000540</t>
  </si>
  <si>
    <t>059003.000541</t>
  </si>
  <si>
    <t>059003.000542</t>
  </si>
  <si>
    <t>059003.000543</t>
  </si>
  <si>
    <t>059003.000544</t>
  </si>
  <si>
    <t>059003.000545</t>
  </si>
  <si>
    <t>059003.000546</t>
  </si>
  <si>
    <t>059003.000547</t>
  </si>
  <si>
    <t>059003.000548</t>
  </si>
  <si>
    <t>059003.000549</t>
  </si>
  <si>
    <t>059003.000550</t>
  </si>
  <si>
    <t>059003.000551</t>
  </si>
  <si>
    <t>059003.000552</t>
  </si>
  <si>
    <t>059003.000553</t>
  </si>
  <si>
    <t>059003.000554</t>
  </si>
  <si>
    <t>059003.000555</t>
  </si>
  <si>
    <t>059003.000556</t>
  </si>
  <si>
    <t>059003.000557</t>
  </si>
  <si>
    <t>059003.000559</t>
  </si>
  <si>
    <t>059003.000560</t>
  </si>
  <si>
    <t>059003.000561</t>
  </si>
  <si>
    <t>059003.000582</t>
  </si>
  <si>
    <t>059003.000572</t>
  </si>
  <si>
    <t>059003.000573</t>
  </si>
  <si>
    <t>059003.000562</t>
  </si>
  <si>
    <t>059003.000564</t>
  </si>
  <si>
    <t>059003.000565</t>
  </si>
  <si>
    <t>059003.000566</t>
  </si>
  <si>
    <t>059003.000567</t>
  </si>
  <si>
    <t>059003.000568</t>
  </si>
  <si>
    <t>059003.000569</t>
  </si>
  <si>
    <t>059003.000570</t>
  </si>
  <si>
    <t>059003.000571</t>
  </si>
  <si>
    <t>059003.000574</t>
  </si>
  <si>
    <t>059003.000575</t>
  </si>
  <si>
    <t>059003.000576</t>
  </si>
  <si>
    <t>059003.000577</t>
  </si>
  <si>
    <t>059003.000578</t>
  </si>
  <si>
    <t>059003.000579</t>
  </si>
  <si>
    <t>059003.000580</t>
  </si>
  <si>
    <t>059003.000581</t>
  </si>
  <si>
    <t>059003.000583</t>
  </si>
  <si>
    <t>059003.000584</t>
  </si>
  <si>
    <t>059003.000585</t>
  </si>
  <si>
    <t>059003.000586</t>
  </si>
  <si>
    <t>059003.000587</t>
  </si>
  <si>
    <t>059003.000588</t>
  </si>
  <si>
    <t>059003.000589</t>
  </si>
  <si>
    <t>059003.000590</t>
  </si>
  <si>
    <t>059003.000591</t>
  </si>
  <si>
    <t>059003.000592</t>
  </si>
  <si>
    <t>059003.000593</t>
  </si>
  <si>
    <t>059003.000594</t>
  </si>
  <si>
    <t>059003.000595</t>
  </si>
  <si>
    <t>059003.000596</t>
  </si>
  <si>
    <t>059003.000597</t>
  </si>
  <si>
    <t>059003.000598</t>
  </si>
  <si>
    <t>059003.000599</t>
  </si>
  <si>
    <t>059003.000600</t>
  </si>
  <si>
    <t>059003.000601</t>
  </si>
  <si>
    <t>059003.000602</t>
  </si>
  <si>
    <t>059003.000603</t>
  </si>
  <si>
    <t>059003.000604</t>
  </si>
  <si>
    <t>059003.000605</t>
  </si>
  <si>
    <t>059003.000606</t>
  </si>
  <si>
    <t>059003.000607</t>
  </si>
  <si>
    <t>059003.000608</t>
  </si>
  <si>
    <t>059003.000609</t>
  </si>
  <si>
    <t>059003.000610</t>
  </si>
  <si>
    <t>059003.000611</t>
  </si>
  <si>
    <t>059003.000612</t>
  </si>
  <si>
    <t>059003.000613</t>
  </si>
  <si>
    <t>059003.000614</t>
  </si>
  <si>
    <t>059003.000615</t>
  </si>
  <si>
    <t>059003.000616</t>
  </si>
  <si>
    <t>059003.000617</t>
  </si>
  <si>
    <t>059003.000618</t>
  </si>
  <si>
    <t>059003.000619</t>
  </si>
  <si>
    <t>059003.000620</t>
  </si>
  <si>
    <t>059003.000621</t>
  </si>
  <si>
    <t>chk1</t>
  </si>
  <si>
    <t>chk</t>
  </si>
  <si>
    <t>chk2</t>
  </si>
  <si>
    <t>136641.9</t>
  </si>
  <si>
    <t>059003.000622</t>
  </si>
  <si>
    <t>L21477</t>
  </si>
  <si>
    <t>107223.20</t>
  </si>
  <si>
    <t>4f2.(3F).7s</t>
  </si>
  <si>
    <t>4f2.(3F).6d</t>
  </si>
  <si>
    <t>141328.85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</si>
</sst>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3" borderId="0" xfId="0" applyNumberFormat="1" applyFill="1"/>
    <xf numFmtId="49" fontId="0" fillId="4" borderId="0" xfId="0" applyNumberFormat="1" applyFill="1"/>
    <xf numFmtId="49" fontId="0" fillId="2" borderId="0" xfId="0" applyNumberFormat="1" applyFill="1"/>
    <xf numFmtId="0" fontId="0" fillId="4" borderId="0" xfId="0" applyFill="1"/>
    <xf numFmtId="49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4F859-27EF-46F5-A93F-79EC2C00D10B}">
  <sheetPr codeName="Sheet1"/>
  <dimension ref="A1:M402"/>
  <sheetViews>
    <sheetView workbookViewId="0">
      <pane ySplit="1" topLeftCell="A341" activePane="bottomLeft" state="frozen"/>
      <selection pane="bottomLeft" activeCell="F165" sqref="F165"/>
    </sheetView>
  </sheetViews>
  <sheetFormatPr defaultRowHeight="15" x14ac:dyDescent="0.25"/>
  <cols>
    <col min="1" max="1" width="22.85546875" bestFit="1" customWidth="1"/>
    <col min="2" max="2" width="7.7109375" bestFit="1" customWidth="1"/>
    <col min="3" max="3" width="4.7109375" bestFit="1" customWidth="1"/>
    <col min="4" max="4" width="4.28515625" bestFit="1" customWidth="1"/>
    <col min="5" max="5" width="8.28515625" bestFit="1" customWidth="1"/>
    <col min="6" max="6" width="13.85546875" bestFit="1" customWidth="1"/>
    <col min="7" max="7" width="8" bestFit="1" customWidth="1"/>
    <col min="8" max="8" width="19.85546875" bestFit="1" customWidth="1"/>
    <col min="9" max="9" width="44.42578125" bestFit="1" customWidth="1"/>
    <col min="10" max="10" width="13.85546875" bestFit="1" customWidth="1"/>
    <col min="11" max="11" width="11.85546875" bestFit="1" customWidth="1"/>
    <col min="12" max="12" width="9.85546875" bestFit="1" customWidth="1"/>
    <col min="13" max="14" width="9.85546875" customWidth="1"/>
    <col min="15" max="15" width="10.8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1795</v>
      </c>
    </row>
    <row r="2" spans="1:13" x14ac:dyDescent="0.25">
      <c r="A2" t="s">
        <v>12</v>
      </c>
      <c r="B2" t="s">
        <v>13</v>
      </c>
      <c r="C2" t="s">
        <v>14</v>
      </c>
      <c r="D2">
        <v>10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cm="1">
        <f t="array" ref="L2">SUM(IF(INT($F$2:$F$402)&amp;$C$2:$C$402=INT($F2)&amp;$C2,1,0))</f>
        <v>1</v>
      </c>
      <c r="M2" t="str">
        <f>INDEX(Wyart2000!$G$2:$G$594,MATCH($J2,Wyart2000!$W$2:$W$594,0),1)</f>
        <v>0.00</v>
      </c>
    </row>
    <row r="3" spans="1:13" x14ac:dyDescent="0.25">
      <c r="A3" t="s">
        <v>12</v>
      </c>
      <c r="B3" t="s">
        <v>13</v>
      </c>
      <c r="C3" t="s">
        <v>22</v>
      </c>
      <c r="D3">
        <v>12</v>
      </c>
      <c r="E3" t="s">
        <v>15</v>
      </c>
      <c r="F3" t="s">
        <v>23</v>
      </c>
      <c r="G3" t="s">
        <v>17</v>
      </c>
      <c r="H3" t="s">
        <v>17</v>
      </c>
      <c r="I3" t="s">
        <v>24</v>
      </c>
      <c r="J3" t="s">
        <v>25</v>
      </c>
      <c r="K3" t="s">
        <v>21</v>
      </c>
      <c r="L3" cm="1">
        <f t="array" ref="L3">SUM(IF(INT($F$2:$F$402)&amp;$C$2:$C$402=INT($F3)&amp;$C3,1,0))</f>
        <v>1</v>
      </c>
      <c r="M3" t="str">
        <f>INDEX(Wyart2000!$G$2:$G$594,MATCH($J3,Wyart2000!$W$2:$W$594,0),1)</f>
        <v>1398.34</v>
      </c>
    </row>
    <row r="4" spans="1:13" x14ac:dyDescent="0.25">
      <c r="A4" t="s">
        <v>12</v>
      </c>
      <c r="B4" t="s">
        <v>13</v>
      </c>
      <c r="C4" t="s">
        <v>26</v>
      </c>
      <c r="D4">
        <v>14</v>
      </c>
      <c r="E4" t="s">
        <v>15</v>
      </c>
      <c r="F4" t="s">
        <v>27</v>
      </c>
      <c r="G4" t="s">
        <v>17</v>
      </c>
      <c r="H4" t="s">
        <v>17</v>
      </c>
      <c r="I4" t="s">
        <v>28</v>
      </c>
      <c r="J4" t="s">
        <v>29</v>
      </c>
      <c r="K4" t="s">
        <v>21</v>
      </c>
      <c r="L4" cm="1">
        <f t="array" ref="L4">SUM(IF(INT($F$2:$F$402)&amp;$C$2:$C$402=INT($F4)&amp;$C4,1,0))</f>
        <v>1</v>
      </c>
      <c r="M4" t="str">
        <f>INDEX(Wyart2000!$G$2:$G$594,MATCH($J4,Wyart2000!$W$2:$W$594,0),1)</f>
        <v>2893.14</v>
      </c>
    </row>
    <row r="5" spans="1:13" x14ac:dyDescent="0.25">
      <c r="A5" t="s">
        <v>12</v>
      </c>
      <c r="B5" t="s">
        <v>13</v>
      </c>
      <c r="C5" t="s">
        <v>30</v>
      </c>
      <c r="D5">
        <v>16</v>
      </c>
      <c r="E5" t="s">
        <v>15</v>
      </c>
      <c r="F5" t="s">
        <v>31</v>
      </c>
      <c r="G5" t="s">
        <v>17</v>
      </c>
      <c r="H5" t="s">
        <v>17</v>
      </c>
      <c r="I5" t="s">
        <v>32</v>
      </c>
      <c r="J5" t="s">
        <v>33</v>
      </c>
      <c r="K5" t="s">
        <v>21</v>
      </c>
      <c r="L5" cm="1">
        <f t="array" ref="L5">SUM(IF(INT($F$2:$F$402)&amp;$C$2:$C$402=INT($F5)&amp;$C5,1,0))</f>
        <v>1</v>
      </c>
      <c r="M5" t="str">
        <f>INDEX(Wyart2000!$G$2:$G$594,MATCH($J5,Wyart2000!$W$2:$W$594,0),1)</f>
        <v>4453.76</v>
      </c>
    </row>
    <row r="6" spans="1:13" x14ac:dyDescent="0.25">
      <c r="A6" t="s">
        <v>12</v>
      </c>
      <c r="B6" t="s">
        <v>34</v>
      </c>
      <c r="C6" t="s">
        <v>35</v>
      </c>
      <c r="D6">
        <v>4</v>
      </c>
      <c r="E6" t="s">
        <v>15</v>
      </c>
      <c r="F6" t="s">
        <v>36</v>
      </c>
      <c r="G6" t="s">
        <v>17</v>
      </c>
      <c r="H6" t="s">
        <v>17</v>
      </c>
      <c r="I6" t="s">
        <v>37</v>
      </c>
      <c r="J6" t="s">
        <v>38</v>
      </c>
      <c r="K6" t="s">
        <v>21</v>
      </c>
      <c r="L6" cm="1">
        <f t="array" ref="L6">SUM(IF(INT($F$2:$F$402)&amp;$C$2:$C$402=INT($F6)&amp;$C6,1,0))</f>
        <v>1</v>
      </c>
      <c r="M6" t="str">
        <f>INDEX(Wyart2000!$G$2:$G$594,MATCH($J6,Wyart2000!$W$2:$W$594,0),1)</f>
        <v>9370.66</v>
      </c>
    </row>
    <row r="7" spans="1:13" x14ac:dyDescent="0.25">
      <c r="A7" t="s">
        <v>12</v>
      </c>
      <c r="B7" t="s">
        <v>39</v>
      </c>
      <c r="C7" t="s">
        <v>14</v>
      </c>
      <c r="D7">
        <v>10</v>
      </c>
      <c r="E7" t="s">
        <v>15</v>
      </c>
      <c r="F7" t="s">
        <v>40</v>
      </c>
      <c r="G7" t="s">
        <v>17</v>
      </c>
      <c r="H7" t="s">
        <v>17</v>
      </c>
      <c r="I7" t="s">
        <v>41</v>
      </c>
      <c r="J7" t="s">
        <v>42</v>
      </c>
      <c r="K7" t="s">
        <v>21</v>
      </c>
      <c r="L7" cm="1">
        <f t="array" ref="L7">SUM(IF(INT($F$2:$F$402)&amp;$C$2:$C$402=INT($F7)&amp;$C7,1,0))</f>
        <v>1</v>
      </c>
      <c r="M7" t="str">
        <f>INDEX(Wyart2000!$G$2:$G$594,MATCH($J7,Wyart2000!$W$2:$W$594,0),1)</f>
        <v>10032.92</v>
      </c>
    </row>
    <row r="8" spans="1:13" x14ac:dyDescent="0.25">
      <c r="A8" t="s">
        <v>12</v>
      </c>
      <c r="B8" t="s">
        <v>34</v>
      </c>
      <c r="C8" t="s">
        <v>43</v>
      </c>
      <c r="D8">
        <v>6</v>
      </c>
      <c r="E8" t="s">
        <v>15</v>
      </c>
      <c r="F8" t="s">
        <v>44</v>
      </c>
      <c r="G8" t="s">
        <v>17</v>
      </c>
      <c r="H8" t="s">
        <v>17</v>
      </c>
      <c r="I8" t="s">
        <v>45</v>
      </c>
      <c r="J8" t="s">
        <v>46</v>
      </c>
      <c r="K8" t="s">
        <v>21</v>
      </c>
      <c r="L8" cm="1">
        <f t="array" ref="L8">SUM(IF(INT($F$2:$F$402)&amp;$C$2:$C$402=INT($F8)&amp;$C8,1,0))</f>
        <v>1</v>
      </c>
      <c r="M8" t="str">
        <f>INDEX(Wyart2000!$G$2:$G$594,MATCH($J8,Wyart2000!$W$2:$W$594,0),1)</f>
        <v>10138.18</v>
      </c>
    </row>
    <row r="9" spans="1:13" x14ac:dyDescent="0.25">
      <c r="A9" t="s">
        <v>12</v>
      </c>
      <c r="B9" t="s">
        <v>34</v>
      </c>
      <c r="C9" t="s">
        <v>47</v>
      </c>
      <c r="D9">
        <v>8</v>
      </c>
      <c r="E9" t="s">
        <v>15</v>
      </c>
      <c r="F9" t="s">
        <v>48</v>
      </c>
      <c r="G9" t="s">
        <v>17</v>
      </c>
      <c r="H9" t="s">
        <v>17</v>
      </c>
      <c r="I9" t="s">
        <v>49</v>
      </c>
      <c r="J9" t="s">
        <v>50</v>
      </c>
      <c r="K9" t="s">
        <v>21</v>
      </c>
      <c r="L9" cm="1">
        <f t="array" ref="L9">SUM(IF(INT($F$2:$F$402)&amp;$C$2:$C$402=INT($F9)&amp;$C9,1,0))</f>
        <v>1</v>
      </c>
      <c r="M9" t="str">
        <f>INDEX(Wyart2000!$G$2:$G$594,MATCH($J9,Wyart2000!$W$2:$W$594,0),1)</f>
        <v>10859.06</v>
      </c>
    </row>
    <row r="10" spans="1:13" x14ac:dyDescent="0.25">
      <c r="A10" t="s">
        <v>12</v>
      </c>
      <c r="B10" t="s">
        <v>51</v>
      </c>
      <c r="C10" t="s">
        <v>35</v>
      </c>
      <c r="D10">
        <v>4</v>
      </c>
      <c r="E10" t="s">
        <v>15</v>
      </c>
      <c r="F10" t="s">
        <v>52</v>
      </c>
      <c r="G10" t="s">
        <v>17</v>
      </c>
      <c r="H10" t="s">
        <v>17</v>
      </c>
      <c r="I10" t="s">
        <v>53</v>
      </c>
      <c r="J10" t="s">
        <v>54</v>
      </c>
      <c r="K10" t="s">
        <v>21</v>
      </c>
      <c r="L10" cm="1">
        <f t="array" ref="L10">SUM(IF(INT($F$2:$F$402)&amp;$C$2:$C$402=INT($F10)&amp;$C10,1,0))</f>
        <v>1</v>
      </c>
      <c r="M10" t="str">
        <f>INDEX(Wyart2000!$G$2:$G$594,MATCH($J10,Wyart2000!$W$2:$W$594,0),1)</f>
        <v>10950.24</v>
      </c>
    </row>
    <row r="11" spans="1:13" x14ac:dyDescent="0.25">
      <c r="A11" t="s">
        <v>12</v>
      </c>
      <c r="B11" t="s">
        <v>34</v>
      </c>
      <c r="C11" t="s">
        <v>14</v>
      </c>
      <c r="D11">
        <v>10</v>
      </c>
      <c r="E11" t="s">
        <v>15</v>
      </c>
      <c r="F11" t="s">
        <v>55</v>
      </c>
      <c r="G11" t="s">
        <v>17</v>
      </c>
      <c r="H11" t="s">
        <v>17</v>
      </c>
      <c r="I11" t="s">
        <v>56</v>
      </c>
      <c r="J11" t="s">
        <v>57</v>
      </c>
      <c r="K11" t="s">
        <v>21</v>
      </c>
      <c r="L11" cm="1">
        <f t="array" ref="L11">SUM(IF(INT($F$2:$F$402)&amp;$C$2:$C$402=INT($F11)&amp;$C11,1,0))</f>
        <v>1</v>
      </c>
      <c r="M11" t="str">
        <f>INDEX(Wyart2000!$G$2:$G$594,MATCH($J11,Wyart2000!$W$2:$W$594,0),1)</f>
        <v>11761.69</v>
      </c>
    </row>
    <row r="12" spans="1:13" x14ac:dyDescent="0.25">
      <c r="A12" t="s">
        <v>12</v>
      </c>
      <c r="B12" t="s">
        <v>39</v>
      </c>
      <c r="C12" t="s">
        <v>22</v>
      </c>
      <c r="D12">
        <v>12</v>
      </c>
      <c r="E12" t="s">
        <v>15</v>
      </c>
      <c r="F12" t="s">
        <v>58</v>
      </c>
      <c r="G12" t="s">
        <v>17</v>
      </c>
      <c r="H12" t="s">
        <v>17</v>
      </c>
      <c r="I12" t="s">
        <v>59</v>
      </c>
      <c r="J12" t="s">
        <v>60</v>
      </c>
      <c r="K12" t="s">
        <v>21</v>
      </c>
      <c r="L12" cm="1">
        <f t="array" ref="L12">SUM(IF(INT($F$2:$F$402)&amp;$C$2:$C$402=INT($F12)&amp;$C12,1,0))</f>
        <v>1</v>
      </c>
      <c r="M12" t="str">
        <f>INDEX(Wyart2000!$G$2:$G$594,MATCH($J12,Wyart2000!$W$2:$W$594,0),1)</f>
        <v>12494.63</v>
      </c>
    </row>
    <row r="13" spans="1:13" x14ac:dyDescent="0.25">
      <c r="A13" t="s">
        <v>61</v>
      </c>
      <c r="B13" t="s">
        <v>62</v>
      </c>
      <c r="C13" t="s">
        <v>14</v>
      </c>
      <c r="D13">
        <v>10</v>
      </c>
      <c r="E13" t="s">
        <v>63</v>
      </c>
      <c r="F13" t="s">
        <v>64</v>
      </c>
      <c r="G13" t="s">
        <v>17</v>
      </c>
      <c r="H13" t="s">
        <v>17</v>
      </c>
      <c r="I13" t="s">
        <v>65</v>
      </c>
      <c r="J13" t="s">
        <v>66</v>
      </c>
      <c r="K13" t="s">
        <v>21</v>
      </c>
      <c r="L13" cm="1">
        <f t="array" ref="L13">SUM(IF(INT($F$2:$F$402)&amp;$C$2:$C$402=INT($F13)&amp;$C13,1,0))</f>
        <v>1</v>
      </c>
      <c r="M13" t="str">
        <f>INDEX(Wyart2000!$G$2:$G$594,MATCH($J13,Wyart2000!$W$2:$W$594,0),1)</f>
        <v>12846.66</v>
      </c>
    </row>
    <row r="14" spans="1:13" x14ac:dyDescent="0.25">
      <c r="A14" t="s">
        <v>61</v>
      </c>
      <c r="B14" t="s">
        <v>67</v>
      </c>
      <c r="C14" t="s">
        <v>22</v>
      </c>
      <c r="D14">
        <v>12</v>
      </c>
      <c r="E14" t="s">
        <v>63</v>
      </c>
      <c r="F14" t="s">
        <v>68</v>
      </c>
      <c r="G14" t="s">
        <v>17</v>
      </c>
      <c r="H14" t="s">
        <v>17</v>
      </c>
      <c r="I14" t="s">
        <v>69</v>
      </c>
      <c r="J14" t="s">
        <v>70</v>
      </c>
      <c r="K14" t="s">
        <v>21</v>
      </c>
      <c r="L14" cm="1">
        <f t="array" ref="L14">SUM(IF(INT($F$2:$F$402)&amp;$C$2:$C$402=INT($F14)&amp;$C14,1,0))</f>
        <v>1</v>
      </c>
      <c r="M14" t="str">
        <f>INDEX(Wyart2000!$G$2:$G$594,MATCH($J14,Wyart2000!$W$2:$W$594,0),1)</f>
        <v>13352.10</v>
      </c>
    </row>
    <row r="15" spans="1:13" x14ac:dyDescent="0.25">
      <c r="A15" t="s">
        <v>12</v>
      </c>
      <c r="B15" t="s">
        <v>71</v>
      </c>
      <c r="C15" t="s">
        <v>47</v>
      </c>
      <c r="D15">
        <v>8</v>
      </c>
      <c r="E15" t="s">
        <v>15</v>
      </c>
      <c r="F15" t="s">
        <v>72</v>
      </c>
      <c r="G15" t="s">
        <v>17</v>
      </c>
      <c r="H15" t="s">
        <v>17</v>
      </c>
      <c r="I15" t="s">
        <v>73</v>
      </c>
      <c r="J15" t="s">
        <v>74</v>
      </c>
      <c r="K15" t="s">
        <v>21</v>
      </c>
      <c r="L15" cm="1">
        <f t="array" ref="L15">SUM(IF(INT($F$2:$F$402)&amp;$C$2:$C$402=INT($F15)&amp;$C15,1,0))</f>
        <v>1</v>
      </c>
      <c r="M15" t="str">
        <f>INDEX(Wyart2000!$G$2:$G$594,MATCH($J15,Wyart2000!$W$2:$W$594,0),1)</f>
        <v>13887.60</v>
      </c>
    </row>
    <row r="16" spans="1:13" x14ac:dyDescent="0.25">
      <c r="A16" t="s">
        <v>12</v>
      </c>
      <c r="B16" t="s">
        <v>75</v>
      </c>
      <c r="C16" t="s">
        <v>43</v>
      </c>
      <c r="D16">
        <v>6</v>
      </c>
      <c r="E16" t="s">
        <v>15</v>
      </c>
      <c r="F16" t="s">
        <v>76</v>
      </c>
      <c r="G16" t="s">
        <v>17</v>
      </c>
      <c r="H16" t="s">
        <v>17</v>
      </c>
      <c r="I16" t="s">
        <v>77</v>
      </c>
      <c r="J16" t="s">
        <v>78</v>
      </c>
      <c r="K16" t="s">
        <v>21</v>
      </c>
      <c r="L16" cm="1">
        <f t="array" ref="L16">SUM(IF(INT($F$2:$F$402)&amp;$C$2:$C$402=INT($F16)&amp;$C16,1,0))</f>
        <v>1</v>
      </c>
      <c r="M16" t="str">
        <f>INDEX(Wyart2000!$G$2:$G$594,MATCH($J16,Wyart2000!$W$2:$W$594,0),1)</f>
        <v>14187.35</v>
      </c>
    </row>
    <row r="17" spans="1:13" x14ac:dyDescent="0.25">
      <c r="A17" t="s">
        <v>61</v>
      </c>
      <c r="B17" t="s">
        <v>79</v>
      </c>
      <c r="C17" t="s">
        <v>14</v>
      </c>
      <c r="D17">
        <v>10</v>
      </c>
      <c r="E17" t="s">
        <v>63</v>
      </c>
      <c r="F17" t="s">
        <v>80</v>
      </c>
      <c r="G17" t="s">
        <v>17</v>
      </c>
      <c r="H17" t="s">
        <v>17</v>
      </c>
      <c r="I17" t="s">
        <v>81</v>
      </c>
      <c r="J17" t="s">
        <v>82</v>
      </c>
      <c r="K17" t="s">
        <v>21</v>
      </c>
      <c r="L17" cm="1">
        <f t="array" ref="L17">SUM(IF(INT($F$2:$F$402)&amp;$C$2:$C$402=INT($F17)&amp;$C17,1,0))</f>
        <v>1</v>
      </c>
      <c r="M17" t="str">
        <f>INDEX(Wyart2000!$G$2:$G$594,MATCH($J17,Wyart2000!$W$2:$W$594,0),1)</f>
        <v>14558.82</v>
      </c>
    </row>
    <row r="18" spans="1:13" x14ac:dyDescent="0.25">
      <c r="A18" t="s">
        <v>61</v>
      </c>
      <c r="B18" t="s">
        <v>62</v>
      </c>
      <c r="C18" t="s">
        <v>22</v>
      </c>
      <c r="D18">
        <v>12</v>
      </c>
      <c r="E18" t="s">
        <v>63</v>
      </c>
      <c r="F18" t="s">
        <v>83</v>
      </c>
      <c r="G18" t="s">
        <v>17</v>
      </c>
      <c r="H18" t="s">
        <v>17</v>
      </c>
      <c r="I18" t="s">
        <v>84</v>
      </c>
      <c r="J18" t="s">
        <v>85</v>
      </c>
      <c r="K18" t="s">
        <v>21</v>
      </c>
      <c r="L18" cm="1">
        <f t="array" ref="L18">SUM(IF(INT($F$2:$F$402)&amp;$C$2:$C$402=INT($F18)&amp;$C18,1,0))</f>
        <v>1</v>
      </c>
      <c r="M18" t="str">
        <f>INDEX(Wyart2000!$G$2:$G$594,MATCH($J18,Wyart2000!$W$2:$W$594,0),1)</f>
        <v>14859.96</v>
      </c>
    </row>
    <row r="19" spans="1:13" x14ac:dyDescent="0.25">
      <c r="A19" t="s">
        <v>61</v>
      </c>
      <c r="B19" t="s">
        <v>86</v>
      </c>
      <c r="C19" t="s">
        <v>43</v>
      </c>
      <c r="D19">
        <v>6</v>
      </c>
      <c r="E19" t="s">
        <v>63</v>
      </c>
      <c r="F19" t="s">
        <v>87</v>
      </c>
      <c r="G19" t="s">
        <v>17</v>
      </c>
      <c r="H19" t="s">
        <v>17</v>
      </c>
      <c r="I19" t="s">
        <v>88</v>
      </c>
      <c r="J19" t="s">
        <v>89</v>
      </c>
      <c r="K19" t="s">
        <v>21</v>
      </c>
      <c r="L19" cm="1">
        <f t="array" ref="L19">SUM(IF(INT($F$2:$F$402)&amp;$C$2:$C$402=INT($F19)&amp;$C19,1,0))</f>
        <v>1</v>
      </c>
      <c r="M19" t="str">
        <f>INDEX(Wyart2000!$G$2:$G$594,MATCH($J19,Wyart2000!$W$2:$W$594,0),1)</f>
        <v>15045.80</v>
      </c>
    </row>
    <row r="20" spans="1:13" x14ac:dyDescent="0.25">
      <c r="A20" t="s">
        <v>12</v>
      </c>
      <c r="B20" t="s">
        <v>75</v>
      </c>
      <c r="C20" t="s">
        <v>47</v>
      </c>
      <c r="D20">
        <v>8</v>
      </c>
      <c r="E20" t="s">
        <v>15</v>
      </c>
      <c r="F20" t="s">
        <v>90</v>
      </c>
      <c r="G20" t="s">
        <v>17</v>
      </c>
      <c r="H20" t="s">
        <v>17</v>
      </c>
      <c r="I20" t="s">
        <v>91</v>
      </c>
      <c r="J20" t="s">
        <v>92</v>
      </c>
      <c r="K20" t="s">
        <v>21</v>
      </c>
      <c r="L20" cm="1">
        <f t="array" ref="L20">SUM(IF(INT($F$2:$F$402)&amp;$C$2:$C$402=INT($F20)&amp;$C20,1,0))</f>
        <v>1</v>
      </c>
      <c r="M20" t="str">
        <f>INDEX(Wyart2000!$G$2:$G$594,MATCH($J20,Wyart2000!$W$2:$W$594,0),1)</f>
        <v>15443.48</v>
      </c>
    </row>
    <row r="21" spans="1:13" x14ac:dyDescent="0.25">
      <c r="A21" t="s">
        <v>61</v>
      </c>
      <c r="B21" t="s">
        <v>67</v>
      </c>
      <c r="C21" t="s">
        <v>26</v>
      </c>
      <c r="D21">
        <v>14</v>
      </c>
      <c r="E21" t="s">
        <v>63</v>
      </c>
      <c r="F21" t="s">
        <v>93</v>
      </c>
      <c r="G21" t="s">
        <v>17</v>
      </c>
      <c r="H21" t="s">
        <v>17</v>
      </c>
      <c r="I21" t="s">
        <v>94</v>
      </c>
      <c r="J21" t="s">
        <v>95</v>
      </c>
      <c r="K21" t="s">
        <v>21</v>
      </c>
      <c r="L21" cm="1">
        <f t="array" ref="L21">SUM(IF(INT($F$2:$F$402)&amp;$C$2:$C$402=INT($F21)&amp;$C21,1,0))</f>
        <v>1</v>
      </c>
      <c r="M21" t="str">
        <f>INDEX(Wyart2000!$G$2:$G$594,MATCH($J21,Wyart2000!$W$2:$W$594,0),1)</f>
        <v>15454.16</v>
      </c>
    </row>
    <row r="22" spans="1:13" x14ac:dyDescent="0.25">
      <c r="A22" t="s">
        <v>61</v>
      </c>
      <c r="B22" t="s">
        <v>79</v>
      </c>
      <c r="C22" t="s">
        <v>22</v>
      </c>
      <c r="D22">
        <v>12</v>
      </c>
      <c r="E22" t="s">
        <v>63</v>
      </c>
      <c r="F22" t="s">
        <v>96</v>
      </c>
      <c r="G22" t="s">
        <v>17</v>
      </c>
      <c r="H22" t="s">
        <v>17</v>
      </c>
      <c r="I22" t="s">
        <v>97</v>
      </c>
      <c r="J22" t="s">
        <v>98</v>
      </c>
      <c r="K22" t="s">
        <v>21</v>
      </c>
      <c r="L22" cm="1">
        <f t="array" ref="L22">SUM(IF(INT($F$2:$F$402)&amp;$C$2:$C$402=INT($F22)&amp;$C22,1,0))</f>
        <v>1</v>
      </c>
      <c r="M22" t="str">
        <f>INDEX(Wyart2000!$G$2:$G$594,MATCH($J22,Wyart2000!$W$2:$W$594,0),1)</f>
        <v>15525.50</v>
      </c>
    </row>
    <row r="23" spans="1:13" x14ac:dyDescent="0.25">
      <c r="A23" t="s">
        <v>12</v>
      </c>
      <c r="B23" t="s">
        <v>75</v>
      </c>
      <c r="C23" t="s">
        <v>14</v>
      </c>
      <c r="D23">
        <v>10</v>
      </c>
      <c r="E23" t="s">
        <v>15</v>
      </c>
      <c r="F23" t="s">
        <v>99</v>
      </c>
      <c r="G23" t="s">
        <v>17</v>
      </c>
      <c r="H23" t="s">
        <v>17</v>
      </c>
      <c r="I23" t="s">
        <v>100</v>
      </c>
      <c r="J23" t="s">
        <v>101</v>
      </c>
      <c r="K23" t="s">
        <v>21</v>
      </c>
      <c r="L23" cm="1">
        <f t="array" ref="L23">SUM(IF(INT($F$2:$F$402)&amp;$C$2:$C$402=INT($F23)&amp;$C23,1,0))</f>
        <v>1</v>
      </c>
      <c r="M23" t="str">
        <f>INDEX(Wyart2000!$G$2:$G$594,MATCH($J23,Wyart2000!$W$2:$W$594,0),1)</f>
        <v>15705.13</v>
      </c>
    </row>
    <row r="24" spans="1:13" x14ac:dyDescent="0.25">
      <c r="A24" t="s">
        <v>12</v>
      </c>
      <c r="B24" t="s">
        <v>102</v>
      </c>
      <c r="C24" t="s">
        <v>26</v>
      </c>
      <c r="D24">
        <v>14</v>
      </c>
      <c r="E24" t="s">
        <v>15</v>
      </c>
      <c r="F24" t="s">
        <v>103</v>
      </c>
      <c r="G24" t="s">
        <v>17</v>
      </c>
      <c r="H24" t="s">
        <v>17</v>
      </c>
      <c r="I24" t="s">
        <v>104</v>
      </c>
      <c r="J24" t="s">
        <v>105</v>
      </c>
      <c r="K24" t="s">
        <v>21</v>
      </c>
      <c r="L24" cm="1">
        <f t="array" ref="L24">SUM(IF(INT($F$2:$F$402)&amp;$C$2:$C$402=INT($F24)&amp;$C24,1,0))</f>
        <v>1</v>
      </c>
      <c r="M24" t="str">
        <f>INDEX(Wyart2000!$G$2:$G$594,MATCH($J24,Wyart2000!$W$2:$W$594,0),1)</f>
        <v>16089.14</v>
      </c>
    </row>
    <row r="25" spans="1:13" x14ac:dyDescent="0.25">
      <c r="A25" t="s">
        <v>61</v>
      </c>
      <c r="B25" t="s">
        <v>106</v>
      </c>
      <c r="C25" t="s">
        <v>47</v>
      </c>
      <c r="D25">
        <v>8</v>
      </c>
      <c r="E25" t="s">
        <v>63</v>
      </c>
      <c r="F25" t="s">
        <v>107</v>
      </c>
      <c r="G25" t="s">
        <v>17</v>
      </c>
      <c r="H25" t="s">
        <v>17</v>
      </c>
      <c r="I25" t="s">
        <v>108</v>
      </c>
      <c r="J25" t="s">
        <v>109</v>
      </c>
      <c r="K25" t="s">
        <v>21</v>
      </c>
      <c r="L25" cm="1">
        <f t="array" ref="L25">SUM(IF(INT($F$2:$F$402)&amp;$C$2:$C$402=INT($F25)&amp;$C25,1,0))</f>
        <v>1</v>
      </c>
      <c r="M25" t="str">
        <f>INDEX(Wyart2000!$G$2:$G$594,MATCH($J25,Wyart2000!$W$2:$W$594,0),1)</f>
        <v>16135.97</v>
      </c>
    </row>
    <row r="26" spans="1:13" x14ac:dyDescent="0.25">
      <c r="A26" t="s">
        <v>61</v>
      </c>
      <c r="B26" t="s">
        <v>86</v>
      </c>
      <c r="C26" t="s">
        <v>47</v>
      </c>
      <c r="D26">
        <v>8</v>
      </c>
      <c r="E26" t="s">
        <v>63</v>
      </c>
      <c r="F26" t="s">
        <v>110</v>
      </c>
      <c r="G26" t="s">
        <v>17</v>
      </c>
      <c r="H26" t="s">
        <v>17</v>
      </c>
      <c r="I26" t="s">
        <v>111</v>
      </c>
      <c r="J26" t="s">
        <v>112</v>
      </c>
      <c r="K26" t="s">
        <v>21</v>
      </c>
      <c r="L26" cm="1">
        <f t="array" ref="L26">SUM(IF(INT($F$2:$F$402)&amp;$C$2:$C$402=INT($F26)&amp;$C26,1,0))</f>
        <v>1</v>
      </c>
      <c r="M26" t="str">
        <f>INDEX(Wyart2000!$G$2:$G$594,MATCH($J26,Wyart2000!$W$2:$W$594,0),1)</f>
        <v>16516.15</v>
      </c>
    </row>
    <row r="27" spans="1:13" x14ac:dyDescent="0.25">
      <c r="A27" t="s">
        <v>12</v>
      </c>
      <c r="B27" t="s">
        <v>71</v>
      </c>
      <c r="C27" t="s">
        <v>14</v>
      </c>
      <c r="D27">
        <v>10</v>
      </c>
      <c r="E27" t="s">
        <v>15</v>
      </c>
      <c r="F27" t="s">
        <v>113</v>
      </c>
      <c r="G27" t="s">
        <v>17</v>
      </c>
      <c r="H27" t="s">
        <v>17</v>
      </c>
      <c r="I27" t="s">
        <v>114</v>
      </c>
      <c r="J27" t="s">
        <v>115</v>
      </c>
      <c r="K27" t="s">
        <v>21</v>
      </c>
      <c r="L27" cm="1">
        <f t="array" ref="L27">SUM(IF(INT($F$2:$F$402)&amp;$C$2:$C$402=INT($F27)&amp;$C27,1,0))</f>
        <v>1</v>
      </c>
      <c r="M27" t="str">
        <f>INDEX(Wyart2000!$G$2:$G$594,MATCH($J27,Wyart2000!$W$2:$W$594,0),1)</f>
        <v>16763.98</v>
      </c>
    </row>
    <row r="28" spans="1:13" x14ac:dyDescent="0.25">
      <c r="A28" t="s">
        <v>12</v>
      </c>
      <c r="B28" t="s">
        <v>116</v>
      </c>
      <c r="C28" t="s">
        <v>35</v>
      </c>
      <c r="D28">
        <v>4</v>
      </c>
      <c r="E28" t="s">
        <v>15</v>
      </c>
      <c r="F28" t="s">
        <v>117</v>
      </c>
      <c r="G28" t="s">
        <v>17</v>
      </c>
      <c r="H28" t="s">
        <v>17</v>
      </c>
      <c r="I28" t="s">
        <v>118</v>
      </c>
      <c r="J28" t="s">
        <v>119</v>
      </c>
      <c r="K28" t="s">
        <v>21</v>
      </c>
      <c r="L28" cm="1">
        <f t="array" ref="L28">SUM(IF(INT($F$2:$F$402)&amp;$C$2:$C$402=INT($F28)&amp;$C28,1,0))</f>
        <v>1</v>
      </c>
      <c r="M28" t="str">
        <f>INDEX(Wyart2000!$G$2:$G$594,MATCH($J28,Wyart2000!$W$2:$W$594,0),1)</f>
        <v>17095.63</v>
      </c>
    </row>
    <row r="29" spans="1:13" x14ac:dyDescent="0.25">
      <c r="A29" t="s">
        <v>61</v>
      </c>
      <c r="B29" t="s">
        <v>79</v>
      </c>
      <c r="C29" t="s">
        <v>26</v>
      </c>
      <c r="D29">
        <v>14</v>
      </c>
      <c r="E29" t="s">
        <v>63</v>
      </c>
      <c r="F29" t="s">
        <v>120</v>
      </c>
      <c r="G29" t="s">
        <v>17</v>
      </c>
      <c r="H29" t="s">
        <v>17</v>
      </c>
      <c r="I29" t="s">
        <v>121</v>
      </c>
      <c r="J29" t="s">
        <v>122</v>
      </c>
      <c r="K29" t="s">
        <v>21</v>
      </c>
      <c r="L29" cm="1">
        <f t="array" ref="L29">SUM(IF(INT($F$2:$F$402)&amp;$C$2:$C$402=INT($F29)&amp;$C29,1,0))</f>
        <v>1</v>
      </c>
      <c r="M29" t="str">
        <f>INDEX(Wyart2000!$G$2:$G$594,MATCH($J29,Wyart2000!$W$2:$W$594,0),1)</f>
        <v>17113.19</v>
      </c>
    </row>
    <row r="30" spans="1:13" x14ac:dyDescent="0.25">
      <c r="A30" t="s">
        <v>12</v>
      </c>
      <c r="B30" t="s">
        <v>75</v>
      </c>
      <c r="C30" t="s">
        <v>22</v>
      </c>
      <c r="D30">
        <v>12</v>
      </c>
      <c r="E30" t="s">
        <v>15</v>
      </c>
      <c r="F30" t="s">
        <v>123</v>
      </c>
      <c r="G30" t="s">
        <v>17</v>
      </c>
      <c r="H30" t="s">
        <v>17</v>
      </c>
      <c r="I30" t="s">
        <v>124</v>
      </c>
      <c r="J30" t="s">
        <v>125</v>
      </c>
      <c r="K30" t="s">
        <v>21</v>
      </c>
      <c r="L30" cm="1">
        <f t="array" ref="L30">SUM(IF(INT($F$2:$F$402)&amp;$C$2:$C$402=INT($F30)&amp;$C30,1,0))</f>
        <v>1</v>
      </c>
      <c r="M30" t="str">
        <f>INDEX(Wyart2000!$G$2:$G$594,MATCH($J30,Wyart2000!$W$2:$W$594,0),1)</f>
        <v>17409.58</v>
      </c>
    </row>
    <row r="31" spans="1:13" x14ac:dyDescent="0.25">
      <c r="A31" t="s">
        <v>61</v>
      </c>
      <c r="B31" t="s">
        <v>67</v>
      </c>
      <c r="C31" t="s">
        <v>30</v>
      </c>
      <c r="D31">
        <v>16</v>
      </c>
      <c r="E31" t="s">
        <v>63</v>
      </c>
      <c r="F31" t="s">
        <v>126</v>
      </c>
      <c r="G31" t="s">
        <v>17</v>
      </c>
      <c r="H31" t="s">
        <v>17</v>
      </c>
      <c r="I31" t="s">
        <v>28</v>
      </c>
      <c r="J31" t="s">
        <v>127</v>
      </c>
      <c r="K31" t="s">
        <v>21</v>
      </c>
      <c r="L31" cm="1">
        <f t="array" ref="L31">SUM(IF(INT($F$2:$F$402)&amp;$C$2:$C$402=INT($F31)&amp;$C31,1,0))</f>
        <v>1</v>
      </c>
      <c r="M31" t="str">
        <f>INDEX(Wyart2000!$G$2:$G$594,MATCH($J31,Wyart2000!$W$2:$W$594,0),1)</f>
        <v>17534.76</v>
      </c>
    </row>
    <row r="32" spans="1:13" x14ac:dyDescent="0.25">
      <c r="A32" t="s">
        <v>61</v>
      </c>
      <c r="B32" t="s">
        <v>106</v>
      </c>
      <c r="C32" t="s">
        <v>14</v>
      </c>
      <c r="D32">
        <v>10</v>
      </c>
      <c r="E32" t="s">
        <v>63</v>
      </c>
      <c r="F32" t="s">
        <v>128</v>
      </c>
      <c r="G32" t="s">
        <v>17</v>
      </c>
      <c r="H32" t="s">
        <v>17</v>
      </c>
      <c r="I32" t="s">
        <v>129</v>
      </c>
      <c r="J32" t="s">
        <v>130</v>
      </c>
      <c r="K32" t="s">
        <v>21</v>
      </c>
      <c r="L32" cm="1">
        <f t="array" ref="L32">SUM(IF(INT($F$2:$F$402)&amp;$C$2:$C$402=INT($F32)&amp;$C32,1,0))</f>
        <v>1</v>
      </c>
      <c r="M32" t="str">
        <f>INDEX(Wyart2000!$G$2:$G$594,MATCH($J32,Wyart2000!$W$2:$W$594,0),1)</f>
        <v>17627.00</v>
      </c>
    </row>
    <row r="33" spans="1:13" x14ac:dyDescent="0.25">
      <c r="A33" t="s">
        <v>12</v>
      </c>
      <c r="B33" t="s">
        <v>102</v>
      </c>
      <c r="C33" t="s">
        <v>30</v>
      </c>
      <c r="D33">
        <v>16</v>
      </c>
      <c r="E33" t="s">
        <v>15</v>
      </c>
      <c r="F33" t="s">
        <v>131</v>
      </c>
      <c r="G33" t="s">
        <v>17</v>
      </c>
      <c r="H33" t="s">
        <v>17</v>
      </c>
      <c r="I33" t="s">
        <v>132</v>
      </c>
      <c r="J33" t="s">
        <v>133</v>
      </c>
      <c r="K33" t="s">
        <v>21</v>
      </c>
      <c r="L33" cm="1">
        <f t="array" ref="L33">SUM(IF(INT($F$2:$F$402)&amp;$C$2:$C$402=INT($F33)&amp;$C33,1,0))</f>
        <v>1</v>
      </c>
      <c r="M33" t="str">
        <f>INDEX(Wyart2000!$G$2:$G$594,MATCH($J33,Wyart2000!$W$2:$W$594,0),1)</f>
        <v>17642.06</v>
      </c>
    </row>
    <row r="34" spans="1:13" x14ac:dyDescent="0.25">
      <c r="A34" t="s">
        <v>61</v>
      </c>
      <c r="B34" t="s">
        <v>86</v>
      </c>
      <c r="C34" t="s">
        <v>14</v>
      </c>
      <c r="D34">
        <v>10</v>
      </c>
      <c r="E34" t="s">
        <v>63</v>
      </c>
      <c r="F34" t="s">
        <v>134</v>
      </c>
      <c r="G34" t="s">
        <v>17</v>
      </c>
      <c r="H34" t="s">
        <v>17</v>
      </c>
      <c r="I34" t="s">
        <v>135</v>
      </c>
      <c r="J34" t="s">
        <v>136</v>
      </c>
      <c r="K34" t="s">
        <v>21</v>
      </c>
      <c r="L34" cm="1">
        <f t="array" ref="L34">SUM(IF(INT($F$2:$F$402)&amp;$C$2:$C$402=INT($F34)&amp;$C34,1,0))</f>
        <v>1</v>
      </c>
      <c r="M34" t="str">
        <f>INDEX(Wyart2000!$G$2:$G$594,MATCH($J34,Wyart2000!$W$2:$W$594,0),1)</f>
        <v>18063.36</v>
      </c>
    </row>
    <row r="35" spans="1:13" x14ac:dyDescent="0.25">
      <c r="A35" t="s">
        <v>61</v>
      </c>
      <c r="B35" t="s">
        <v>17</v>
      </c>
      <c r="C35" t="s">
        <v>43</v>
      </c>
      <c r="D35">
        <v>6</v>
      </c>
      <c r="E35" t="s">
        <v>63</v>
      </c>
      <c r="F35" t="s">
        <v>137</v>
      </c>
      <c r="G35" t="s">
        <v>17</v>
      </c>
      <c r="H35" t="s">
        <v>17</v>
      </c>
      <c r="I35" t="s">
        <v>138</v>
      </c>
      <c r="J35" t="s">
        <v>139</v>
      </c>
      <c r="K35" t="s">
        <v>21</v>
      </c>
      <c r="L35" cm="1">
        <f t="array" ref="L35">SUM(IF(INT($F$2:$F$402)&amp;$C$2:$C$402=INT($F35)&amp;$C35,1,0))</f>
        <v>1</v>
      </c>
      <c r="M35" t="str">
        <f>INDEX(Wyart2000!$G$2:$G$594,MATCH($J35,Wyart2000!$W$2:$W$594,0),1)</f>
        <v>18211.76</v>
      </c>
    </row>
    <row r="36" spans="1:13" x14ac:dyDescent="0.25">
      <c r="A36" t="s">
        <v>61</v>
      </c>
      <c r="B36" t="s">
        <v>140</v>
      </c>
      <c r="C36" t="s">
        <v>22</v>
      </c>
      <c r="D36">
        <v>12</v>
      </c>
      <c r="E36" t="s">
        <v>63</v>
      </c>
      <c r="F36" t="s">
        <v>141</v>
      </c>
      <c r="G36" t="s">
        <v>17</v>
      </c>
      <c r="H36" t="s">
        <v>17</v>
      </c>
      <c r="I36" t="s">
        <v>142</v>
      </c>
      <c r="J36" t="s">
        <v>143</v>
      </c>
      <c r="K36" t="s">
        <v>21</v>
      </c>
      <c r="L36" cm="1">
        <f t="array" ref="L36">SUM(IF(INT($F$2:$F$402)&amp;$C$2:$C$402=INT($F36)&amp;$C36,1,0))</f>
        <v>1</v>
      </c>
      <c r="M36" t="str">
        <f>INDEX(Wyart2000!$G$2:$G$594,MATCH($J36,Wyart2000!$W$2:$W$594,0),1)</f>
        <v>18241.54</v>
      </c>
    </row>
    <row r="37" spans="1:13" x14ac:dyDescent="0.25">
      <c r="A37" t="s">
        <v>12</v>
      </c>
      <c r="B37" t="s">
        <v>144</v>
      </c>
      <c r="C37" t="s">
        <v>145</v>
      </c>
      <c r="D37">
        <v>2</v>
      </c>
      <c r="E37" t="s">
        <v>15</v>
      </c>
      <c r="F37" t="s">
        <v>146</v>
      </c>
      <c r="G37" t="s">
        <v>17</v>
      </c>
      <c r="H37" t="s">
        <v>17</v>
      </c>
      <c r="I37" t="s">
        <v>147</v>
      </c>
      <c r="J37" t="s">
        <v>148</v>
      </c>
      <c r="K37" t="s">
        <v>21</v>
      </c>
      <c r="L37" cm="1">
        <f t="array" ref="L37">SUM(IF(INT($F$2:$F$402)&amp;$C$2:$C$402=INT($F37)&amp;$C37,1,0))</f>
        <v>1</v>
      </c>
      <c r="M37" t="str">
        <f>INDEX(Wyart2000!$G$2:$G$594,MATCH($J37,Wyart2000!$W$2:$W$594,0),1)</f>
        <v>18693.65</v>
      </c>
    </row>
    <row r="38" spans="1:13" x14ac:dyDescent="0.25">
      <c r="A38" t="s">
        <v>61</v>
      </c>
      <c r="B38" t="s">
        <v>79</v>
      </c>
      <c r="C38" t="s">
        <v>30</v>
      </c>
      <c r="D38">
        <v>16</v>
      </c>
      <c r="E38" t="s">
        <v>63</v>
      </c>
      <c r="F38" t="s">
        <v>149</v>
      </c>
      <c r="G38" t="s">
        <v>17</v>
      </c>
      <c r="H38" t="s">
        <v>17</v>
      </c>
      <c r="I38" t="s">
        <v>121</v>
      </c>
      <c r="J38" t="s">
        <v>150</v>
      </c>
      <c r="K38" t="s">
        <v>21</v>
      </c>
      <c r="L38" cm="1">
        <f t="array" ref="L38">SUM(IF(INT($F$2:$F$402)&amp;$C$2:$C$402=INT($F38)&amp;$C38,1,0))</f>
        <v>1</v>
      </c>
      <c r="M38" t="str">
        <f>INDEX(Wyart2000!$G$2:$G$594,MATCH($J38,Wyart2000!$W$2:$W$594,0),1)</f>
        <v>18921.24</v>
      </c>
    </row>
    <row r="39" spans="1:13" x14ac:dyDescent="0.25">
      <c r="A39" t="s">
        <v>151</v>
      </c>
      <c r="B39" t="s">
        <v>106</v>
      </c>
      <c r="C39" t="s">
        <v>47</v>
      </c>
      <c r="D39">
        <v>8</v>
      </c>
      <c r="E39" t="s">
        <v>63</v>
      </c>
      <c r="F39" t="s">
        <v>152</v>
      </c>
      <c r="G39" t="s">
        <v>17</v>
      </c>
      <c r="H39" t="s">
        <v>17</v>
      </c>
      <c r="I39" t="s">
        <v>153</v>
      </c>
      <c r="J39" t="s">
        <v>154</v>
      </c>
      <c r="K39" t="s">
        <v>21</v>
      </c>
      <c r="L39" cm="1">
        <f t="array" ref="L39">SUM(IF(INT($F$2:$F$402)&amp;$C$2:$C$402=INT($F39)&amp;$C39,1,0))</f>
        <v>1</v>
      </c>
      <c r="M39" t="str">
        <f>INDEX(Wyart2000!$G$2:$G$594,MATCH($J39,Wyart2000!$W$2:$W$594,0),1)</f>
        <v>18990.08</v>
      </c>
    </row>
    <row r="40" spans="1:13" x14ac:dyDescent="0.25">
      <c r="A40" t="s">
        <v>12</v>
      </c>
      <c r="B40" t="s">
        <v>116</v>
      </c>
      <c r="C40" t="s">
        <v>43</v>
      </c>
      <c r="D40">
        <v>6</v>
      </c>
      <c r="E40" t="s">
        <v>15</v>
      </c>
      <c r="F40" t="s">
        <v>155</v>
      </c>
      <c r="G40" t="s">
        <v>17</v>
      </c>
      <c r="H40" t="s">
        <v>17</v>
      </c>
      <c r="I40" t="s">
        <v>156</v>
      </c>
      <c r="J40" t="s">
        <v>157</v>
      </c>
      <c r="K40" t="s">
        <v>21</v>
      </c>
      <c r="L40" cm="1">
        <f t="array" ref="L40">SUM(IF(INT($F$2:$F$402)&amp;$C$2:$C$402=INT($F40)&amp;$C40,1,0))</f>
        <v>1</v>
      </c>
      <c r="M40" t="str">
        <f>INDEX(Wyart2000!$G$2:$G$594,MATCH($J40,Wyart2000!$W$2:$W$594,0),1)</f>
        <v>19046.09</v>
      </c>
    </row>
    <row r="41" spans="1:13" x14ac:dyDescent="0.25">
      <c r="A41" t="s">
        <v>61</v>
      </c>
      <c r="B41" t="s">
        <v>106</v>
      </c>
      <c r="C41" t="s">
        <v>22</v>
      </c>
      <c r="D41">
        <v>12</v>
      </c>
      <c r="E41" t="s">
        <v>63</v>
      </c>
      <c r="F41" t="s">
        <v>158</v>
      </c>
      <c r="G41" t="s">
        <v>17</v>
      </c>
      <c r="H41" t="s">
        <v>17</v>
      </c>
      <c r="I41" t="s">
        <v>159</v>
      </c>
      <c r="J41" t="s">
        <v>160</v>
      </c>
      <c r="K41" t="s">
        <v>21</v>
      </c>
      <c r="L41" cm="1">
        <f t="array" ref="L41">SUM(IF(INT($F$2:$F$402)&amp;$C$2:$C$402=INT($F41)&amp;$C41,1,0))</f>
        <v>1</v>
      </c>
      <c r="M41" t="str">
        <f>INDEX(Wyart2000!$G$2:$G$594,MATCH($J41,Wyart2000!$W$2:$W$594,0),1)</f>
        <v>19308.93</v>
      </c>
    </row>
    <row r="42" spans="1:13" x14ac:dyDescent="0.25">
      <c r="A42" t="s">
        <v>61</v>
      </c>
      <c r="B42" t="s">
        <v>140</v>
      </c>
      <c r="C42" t="s">
        <v>26</v>
      </c>
      <c r="D42">
        <v>14</v>
      </c>
      <c r="E42" t="s">
        <v>63</v>
      </c>
      <c r="F42" t="s">
        <v>161</v>
      </c>
      <c r="G42" t="s">
        <v>17</v>
      </c>
      <c r="H42" t="s">
        <v>17</v>
      </c>
      <c r="I42" t="s">
        <v>162</v>
      </c>
      <c r="J42" t="s">
        <v>163</v>
      </c>
      <c r="K42" t="s">
        <v>21</v>
      </c>
      <c r="L42" cm="1">
        <f t="array" ref="L42">SUM(IF(INT($F$2:$F$402)&amp;$C$2:$C$402=INT($F42)&amp;$C42,1,0))</f>
        <v>1</v>
      </c>
      <c r="M42" t="str">
        <f>INDEX(Wyart2000!$G$2:$G$594,MATCH($J42,Wyart2000!$W$2:$W$594,0),1)</f>
        <v>19360.10</v>
      </c>
    </row>
    <row r="43" spans="1:13" x14ac:dyDescent="0.25">
      <c r="A43" t="s">
        <v>61</v>
      </c>
      <c r="B43" t="s">
        <v>67</v>
      </c>
      <c r="C43" t="s">
        <v>164</v>
      </c>
      <c r="D43">
        <v>18</v>
      </c>
      <c r="E43" t="s">
        <v>63</v>
      </c>
      <c r="F43" t="s">
        <v>165</v>
      </c>
      <c r="G43" t="s">
        <v>17</v>
      </c>
      <c r="H43" t="s">
        <v>17</v>
      </c>
      <c r="I43" t="s">
        <v>28</v>
      </c>
      <c r="J43" t="s">
        <v>166</v>
      </c>
      <c r="K43" t="s">
        <v>21</v>
      </c>
      <c r="L43" cm="1">
        <f t="array" ref="L43">SUM(IF(INT($F$2:$F$402)&amp;$C$2:$C$402=INT($F43)&amp;$C43,1,0))</f>
        <v>1</v>
      </c>
      <c r="M43" t="str">
        <f>INDEX(Wyart2000!$G$2:$G$594,MATCH($J43,Wyart2000!$W$2:$W$594,0),1)</f>
        <v>19649.67</v>
      </c>
    </row>
    <row r="44" spans="1:13" x14ac:dyDescent="0.25">
      <c r="A44" t="s">
        <v>61</v>
      </c>
      <c r="B44" t="s">
        <v>86</v>
      </c>
      <c r="C44" t="s">
        <v>22</v>
      </c>
      <c r="D44">
        <v>12</v>
      </c>
      <c r="E44" t="s">
        <v>63</v>
      </c>
      <c r="F44" t="s">
        <v>167</v>
      </c>
      <c r="G44" t="s">
        <v>17</v>
      </c>
      <c r="H44" t="s">
        <v>17</v>
      </c>
      <c r="I44" t="s">
        <v>168</v>
      </c>
      <c r="J44" t="s">
        <v>169</v>
      </c>
      <c r="K44" t="s">
        <v>21</v>
      </c>
      <c r="L44" cm="1">
        <f t="array" ref="L44">SUM(IF(INT($F$2:$F$402)&amp;$C$2:$C$402=INT($F44)&amp;$C44,1,0))</f>
        <v>1</v>
      </c>
      <c r="M44" t="str">
        <f>INDEX(Wyart2000!$G$2:$G$594,MATCH($J44,Wyart2000!$W$2:$W$594,0),1)</f>
        <v>19700.90</v>
      </c>
    </row>
    <row r="45" spans="1:13" x14ac:dyDescent="0.25">
      <c r="A45" t="s">
        <v>61</v>
      </c>
      <c r="B45" t="s">
        <v>17</v>
      </c>
      <c r="C45" t="s">
        <v>47</v>
      </c>
      <c r="D45">
        <v>8</v>
      </c>
      <c r="E45" t="s">
        <v>63</v>
      </c>
      <c r="F45" t="s">
        <v>170</v>
      </c>
      <c r="G45" t="s">
        <v>17</v>
      </c>
      <c r="H45" t="s">
        <v>17</v>
      </c>
      <c r="I45" t="s">
        <v>171</v>
      </c>
      <c r="J45" t="s">
        <v>172</v>
      </c>
      <c r="K45" t="s">
        <v>21</v>
      </c>
      <c r="L45" cm="1">
        <f t="array" ref="L45">SUM(IF(INT($F$2:$F$402)&amp;$C$2:$C$402=INT($F45)&amp;$C45,1,0))</f>
        <v>1</v>
      </c>
      <c r="M45" t="str">
        <f>INDEX(Wyart2000!$G$2:$G$594,MATCH($J45,Wyart2000!$W$2:$W$594,0),1)</f>
        <v>19872.43</v>
      </c>
    </row>
    <row r="46" spans="1:13" x14ac:dyDescent="0.25">
      <c r="A46" t="s">
        <v>61</v>
      </c>
      <c r="B46" t="s">
        <v>173</v>
      </c>
      <c r="C46" t="s">
        <v>35</v>
      </c>
      <c r="D46">
        <v>4</v>
      </c>
      <c r="E46" t="s">
        <v>63</v>
      </c>
      <c r="F46" t="s">
        <v>174</v>
      </c>
      <c r="G46" t="s">
        <v>17</v>
      </c>
      <c r="H46" t="s">
        <v>17</v>
      </c>
      <c r="I46" t="s">
        <v>175</v>
      </c>
      <c r="J46" t="s">
        <v>176</v>
      </c>
      <c r="K46" t="s">
        <v>21</v>
      </c>
      <c r="L46" cm="1">
        <f t="array" ref="L46">SUM(IF(INT($F$2:$F$402)&amp;$C$2:$C$402=INT($F46)&amp;$C46,1,0))</f>
        <v>1</v>
      </c>
      <c r="M46" t="str">
        <f>INDEX(Wyart2000!$G$2:$G$594,MATCH($J46,Wyart2000!$W$2:$W$594,0),1)</f>
        <v>20160.36</v>
      </c>
    </row>
    <row r="47" spans="1:13" x14ac:dyDescent="0.25">
      <c r="A47" t="s">
        <v>151</v>
      </c>
      <c r="B47" t="s">
        <v>106</v>
      </c>
      <c r="C47" t="s">
        <v>14</v>
      </c>
      <c r="D47">
        <v>10</v>
      </c>
      <c r="E47" t="s">
        <v>63</v>
      </c>
      <c r="F47" t="s">
        <v>177</v>
      </c>
      <c r="G47" t="s">
        <v>17</v>
      </c>
      <c r="H47" t="s">
        <v>17</v>
      </c>
      <c r="I47" t="s">
        <v>178</v>
      </c>
      <c r="J47" t="s">
        <v>179</v>
      </c>
      <c r="K47" t="s">
        <v>21</v>
      </c>
      <c r="L47" cm="1">
        <f t="array" ref="L47">SUM(IF(INT($F$2:$F$402)&amp;$C$2:$C$402=INT($F47)&amp;$C47,1,0))</f>
        <v>1</v>
      </c>
      <c r="M47" t="str">
        <f>INDEX(Wyart2000!$G$2:$G$594,MATCH($J47,Wyart2000!$W$2:$W$594,0),1)</f>
        <v>20315.65</v>
      </c>
    </row>
    <row r="48" spans="1:13" x14ac:dyDescent="0.25">
      <c r="A48" t="s">
        <v>61</v>
      </c>
      <c r="B48" t="s">
        <v>173</v>
      </c>
      <c r="C48" t="s">
        <v>43</v>
      </c>
      <c r="D48">
        <v>6</v>
      </c>
      <c r="E48" t="s">
        <v>63</v>
      </c>
      <c r="F48" t="s">
        <v>180</v>
      </c>
      <c r="G48" t="s">
        <v>17</v>
      </c>
      <c r="H48" t="s">
        <v>17</v>
      </c>
      <c r="I48" t="s">
        <v>181</v>
      </c>
      <c r="J48" t="s">
        <v>182</v>
      </c>
      <c r="K48" t="s">
        <v>21</v>
      </c>
      <c r="L48" cm="1">
        <f t="array" ref="L48">SUM(IF(INT($F$2:$F$402)&amp;$C$2:$C$402=INT($F48)&amp;$C48,1,0))</f>
        <v>1</v>
      </c>
      <c r="M48" t="str">
        <f>INDEX(Wyart2000!$G$2:$G$594,MATCH($J48,Wyart2000!$W$2:$W$594,0),1)</f>
        <v>20848.39</v>
      </c>
    </row>
    <row r="49" spans="1:13" x14ac:dyDescent="0.25">
      <c r="A49" t="s">
        <v>12</v>
      </c>
      <c r="B49" t="s">
        <v>144</v>
      </c>
      <c r="C49" t="s">
        <v>35</v>
      </c>
      <c r="D49">
        <v>4</v>
      </c>
      <c r="E49" t="s">
        <v>15</v>
      </c>
      <c r="F49" t="s">
        <v>183</v>
      </c>
      <c r="G49" t="s">
        <v>17</v>
      </c>
      <c r="H49" t="s">
        <v>17</v>
      </c>
      <c r="I49" t="s">
        <v>184</v>
      </c>
      <c r="J49" t="s">
        <v>185</v>
      </c>
      <c r="K49" t="s">
        <v>21</v>
      </c>
      <c r="L49" cm="1">
        <f t="array" ref="L49">SUM(IF(INT($F$2:$F$402)&amp;$C$2:$C$402=INT($F49)&amp;$C49,1,0))</f>
        <v>1</v>
      </c>
      <c r="M49" t="str">
        <f>INDEX(Wyart2000!$G$2:$G$594,MATCH($J49,Wyart2000!$W$2:$W$594,0),1)</f>
        <v>20856.86</v>
      </c>
    </row>
    <row r="50" spans="1:13" x14ac:dyDescent="0.25">
      <c r="A50" t="s">
        <v>151</v>
      </c>
      <c r="B50" t="s">
        <v>186</v>
      </c>
      <c r="C50" t="s">
        <v>35</v>
      </c>
      <c r="D50">
        <v>4</v>
      </c>
      <c r="E50" t="s">
        <v>63</v>
      </c>
      <c r="F50" t="s">
        <v>187</v>
      </c>
      <c r="G50" t="s">
        <v>17</v>
      </c>
      <c r="H50" t="s">
        <v>17</v>
      </c>
      <c r="I50" t="s">
        <v>188</v>
      </c>
      <c r="J50" t="s">
        <v>189</v>
      </c>
      <c r="K50" t="s">
        <v>21</v>
      </c>
      <c r="L50" cm="1">
        <f t="array" ref="L50">SUM(IF(INT($F$2:$F$402)&amp;$C$2:$C$402=INT($F50)&amp;$C50,1,0))</f>
        <v>1</v>
      </c>
      <c r="M50" t="str">
        <f>INDEX(Wyart2000!$G$2:$G$594,MATCH($J50,Wyart2000!$W$2:$W$594,0),1)</f>
        <v>21148.43</v>
      </c>
    </row>
    <row r="51" spans="1:13" x14ac:dyDescent="0.25">
      <c r="A51" t="s">
        <v>61</v>
      </c>
      <c r="B51" t="s">
        <v>106</v>
      </c>
      <c r="C51" t="s">
        <v>26</v>
      </c>
      <c r="D51">
        <v>14</v>
      </c>
      <c r="E51" t="s">
        <v>63</v>
      </c>
      <c r="F51" t="s">
        <v>190</v>
      </c>
      <c r="G51" t="s">
        <v>17</v>
      </c>
      <c r="H51" t="s">
        <v>17</v>
      </c>
      <c r="I51" t="s">
        <v>191</v>
      </c>
      <c r="J51" t="s">
        <v>192</v>
      </c>
      <c r="K51" t="s">
        <v>21</v>
      </c>
      <c r="L51" cm="1">
        <f t="array" ref="L51">SUM(IF(INT($F$2:$F$402)&amp;$C$2:$C$402=INT($F51)&amp;$C51,1,0))</f>
        <v>1</v>
      </c>
      <c r="M51" t="str">
        <f>INDEX(Wyart2000!$G$2:$G$594,MATCH($J51,Wyart2000!$W$2:$W$594,0),1)</f>
        <v>21238.78</v>
      </c>
    </row>
    <row r="52" spans="1:13" x14ac:dyDescent="0.25">
      <c r="A52" t="s">
        <v>61</v>
      </c>
      <c r="B52" t="s">
        <v>193</v>
      </c>
      <c r="C52" t="s">
        <v>47</v>
      </c>
      <c r="D52">
        <v>8</v>
      </c>
      <c r="E52" t="s">
        <v>63</v>
      </c>
      <c r="F52" t="s">
        <v>194</v>
      </c>
      <c r="G52" t="s">
        <v>17</v>
      </c>
      <c r="H52" t="s">
        <v>17</v>
      </c>
      <c r="I52" t="s">
        <v>195</v>
      </c>
      <c r="J52" t="s">
        <v>196</v>
      </c>
      <c r="K52" t="s">
        <v>21</v>
      </c>
      <c r="L52" cm="1">
        <f t="array" ref="L52">SUM(IF(INT($F$2:$F$402)&amp;$C$2:$C$402=INT($F52)&amp;$C52,1,0))</f>
        <v>1</v>
      </c>
      <c r="M52" t="str">
        <f>INDEX(Wyart2000!$G$2:$G$594,MATCH($J52,Wyart2000!$W$2:$W$594,0),1)</f>
        <v>21294.89</v>
      </c>
    </row>
    <row r="53" spans="1:13" x14ac:dyDescent="0.25">
      <c r="A53" t="s">
        <v>151</v>
      </c>
      <c r="B53" t="s">
        <v>86</v>
      </c>
      <c r="C53" t="s">
        <v>43</v>
      </c>
      <c r="D53">
        <v>6</v>
      </c>
      <c r="E53" t="s">
        <v>63</v>
      </c>
      <c r="F53" t="s">
        <v>197</v>
      </c>
      <c r="G53" t="s">
        <v>17</v>
      </c>
      <c r="H53" t="s">
        <v>17</v>
      </c>
      <c r="I53" t="s">
        <v>198</v>
      </c>
      <c r="J53" t="s">
        <v>199</v>
      </c>
      <c r="K53" t="s">
        <v>21</v>
      </c>
      <c r="L53" cm="1">
        <f t="array" ref="L53">SUM(IF(INT($F$2:$F$402)&amp;$C$2:$C$402=INT($F53)&amp;$C53,1,0))</f>
        <v>1</v>
      </c>
      <c r="M53" t="str">
        <f>INDEX(Wyart2000!$G$2:$G$594,MATCH($J53,Wyart2000!$W$2:$W$594,0),1)</f>
        <v>21418.84</v>
      </c>
    </row>
    <row r="54" spans="1:13" x14ac:dyDescent="0.25">
      <c r="A54" t="s">
        <v>200</v>
      </c>
      <c r="B54" t="s">
        <v>17</v>
      </c>
      <c r="C54" t="s">
        <v>14</v>
      </c>
      <c r="D54">
        <v>10</v>
      </c>
      <c r="E54" t="s">
        <v>63</v>
      </c>
      <c r="F54" t="s">
        <v>201</v>
      </c>
      <c r="G54" t="s">
        <v>17</v>
      </c>
      <c r="H54" t="s">
        <v>17</v>
      </c>
      <c r="I54" t="s">
        <v>202</v>
      </c>
      <c r="J54" t="s">
        <v>203</v>
      </c>
      <c r="K54" t="s">
        <v>21</v>
      </c>
      <c r="L54" cm="1">
        <f t="array" ref="L54">SUM(IF(INT($F$2:$F$402)&amp;$C$2:$C$402=INT($F54)&amp;$C54,1,0))</f>
        <v>1</v>
      </c>
      <c r="M54" t="str">
        <f>INDEX(Wyart2000!$G$2:$G$594,MATCH($J54,Wyart2000!$W$2:$W$594,0),1)</f>
        <v>21535.17</v>
      </c>
    </row>
    <row r="55" spans="1:13" x14ac:dyDescent="0.25">
      <c r="A55" t="s">
        <v>151</v>
      </c>
      <c r="B55" t="s">
        <v>186</v>
      </c>
      <c r="C55" t="s">
        <v>43</v>
      </c>
      <c r="D55">
        <v>6</v>
      </c>
      <c r="E55" t="s">
        <v>63</v>
      </c>
      <c r="F55" t="s">
        <v>204</v>
      </c>
      <c r="G55" t="s">
        <v>17</v>
      </c>
      <c r="H55" t="s">
        <v>17</v>
      </c>
      <c r="I55" t="s">
        <v>205</v>
      </c>
      <c r="J55" t="s">
        <v>206</v>
      </c>
      <c r="K55" t="s">
        <v>21</v>
      </c>
      <c r="L55" cm="1">
        <f t="array" ref="L55">SUM(IF(INT($F$2:$F$402)&amp;$C$2:$C$402=INT($F55)&amp;$C55,1,0))</f>
        <v>1</v>
      </c>
      <c r="M55" t="str">
        <f>INDEX(Wyart2000!$G$2:$G$594,MATCH($J55,Wyart2000!$W$2:$W$594,0),1)</f>
        <v>21611.19</v>
      </c>
    </row>
    <row r="56" spans="1:13" x14ac:dyDescent="0.25">
      <c r="A56" t="s">
        <v>151</v>
      </c>
      <c r="B56" t="s">
        <v>106</v>
      </c>
      <c r="C56" t="s">
        <v>22</v>
      </c>
      <c r="D56">
        <v>12</v>
      </c>
      <c r="E56" t="s">
        <v>63</v>
      </c>
      <c r="F56" t="s">
        <v>207</v>
      </c>
      <c r="G56" t="s">
        <v>17</v>
      </c>
      <c r="H56" t="s">
        <v>17</v>
      </c>
      <c r="I56" t="s">
        <v>153</v>
      </c>
      <c r="J56" t="s">
        <v>208</v>
      </c>
      <c r="K56" t="s">
        <v>21</v>
      </c>
      <c r="L56" cm="1">
        <f t="array" ref="L56">SUM(IF(INT($F$2:$F$402)&amp;$C$2:$C$402=INT($F56)&amp;$C56,1,0))</f>
        <v>1</v>
      </c>
      <c r="M56" t="str">
        <f>INDEX(Wyart2000!$G$2:$G$594,MATCH($J56,Wyart2000!$W$2:$W$594,0),1)</f>
        <v>21755.84</v>
      </c>
    </row>
    <row r="57" spans="1:13" x14ac:dyDescent="0.25">
      <c r="A57" t="s">
        <v>151</v>
      </c>
      <c r="B57" t="s">
        <v>86</v>
      </c>
      <c r="C57" t="s">
        <v>47</v>
      </c>
      <c r="D57">
        <v>8</v>
      </c>
      <c r="E57" t="s">
        <v>63</v>
      </c>
      <c r="F57" t="s">
        <v>209</v>
      </c>
      <c r="G57" t="s">
        <v>17</v>
      </c>
      <c r="H57" t="s">
        <v>17</v>
      </c>
      <c r="I57" t="s">
        <v>210</v>
      </c>
      <c r="J57" t="s">
        <v>211</v>
      </c>
      <c r="K57" t="s">
        <v>21</v>
      </c>
      <c r="L57" cm="1">
        <f t="array" ref="L57">SUM(IF(INT($F$2:$F$402)&amp;$C$2:$C$402=INT($F57)&amp;$C57,1,0))</f>
        <v>1</v>
      </c>
      <c r="M57" t="str">
        <f>INDEX(Wyart2000!$G$2:$G$594,MATCH($J57,Wyart2000!$W$2:$W$594,0),1)</f>
        <v>22080.94</v>
      </c>
    </row>
    <row r="58" spans="1:13" x14ac:dyDescent="0.25">
      <c r="A58" t="s">
        <v>151</v>
      </c>
      <c r="B58" t="s">
        <v>17</v>
      </c>
      <c r="C58" t="s">
        <v>35</v>
      </c>
      <c r="D58">
        <v>4</v>
      </c>
      <c r="E58" t="s">
        <v>63</v>
      </c>
      <c r="F58" t="s">
        <v>212</v>
      </c>
      <c r="G58" t="s">
        <v>17</v>
      </c>
      <c r="H58" t="s">
        <v>17</v>
      </c>
      <c r="I58" t="s">
        <v>213</v>
      </c>
      <c r="J58" t="s">
        <v>214</v>
      </c>
      <c r="K58" t="s">
        <v>21</v>
      </c>
      <c r="L58" cm="1">
        <f t="array" ref="L58">SUM(IF(INT($F$2:$F$402)&amp;$C$2:$C$402=INT($F58)&amp;$C58,1,0))</f>
        <v>1</v>
      </c>
      <c r="M58" t="str">
        <f>INDEX(Wyart2000!$G$2:$G$594,MATCH($J58,Wyart2000!$W$2:$W$594,0),1)</f>
        <v>22277.66</v>
      </c>
    </row>
    <row r="59" spans="1:13" x14ac:dyDescent="0.25">
      <c r="A59" t="s">
        <v>61</v>
      </c>
      <c r="B59" t="s">
        <v>17</v>
      </c>
      <c r="C59" t="s">
        <v>47</v>
      </c>
      <c r="D59">
        <v>8</v>
      </c>
      <c r="E59" t="s">
        <v>63</v>
      </c>
      <c r="F59" t="s">
        <v>215</v>
      </c>
      <c r="G59" t="s">
        <v>17</v>
      </c>
      <c r="H59" t="s">
        <v>17</v>
      </c>
      <c r="I59" t="s">
        <v>216</v>
      </c>
      <c r="J59" t="s">
        <v>217</v>
      </c>
      <c r="K59" t="s">
        <v>21</v>
      </c>
      <c r="L59" cm="1">
        <f t="array" ref="L59">SUM(IF(INT($F$2:$F$402)&amp;$C$2:$C$402=INT($F59)&amp;$C59,1,0))</f>
        <v>1</v>
      </c>
      <c r="M59" t="str">
        <f>INDEX(Wyart2000!$G$2:$G$594,MATCH($J59,Wyart2000!$W$2:$W$594,0),1)</f>
        <v>22527.70</v>
      </c>
    </row>
    <row r="60" spans="1:13" x14ac:dyDescent="0.25">
      <c r="A60" t="s">
        <v>61</v>
      </c>
      <c r="B60" t="s">
        <v>173</v>
      </c>
      <c r="C60" t="s">
        <v>14</v>
      </c>
      <c r="D60">
        <v>10</v>
      </c>
      <c r="E60" t="s">
        <v>63</v>
      </c>
      <c r="F60" t="s">
        <v>218</v>
      </c>
      <c r="G60" t="s">
        <v>17</v>
      </c>
      <c r="H60" t="s">
        <v>17</v>
      </c>
      <c r="I60" t="s">
        <v>219</v>
      </c>
      <c r="J60" t="s">
        <v>220</v>
      </c>
      <c r="K60" t="s">
        <v>21</v>
      </c>
      <c r="L60" cm="1">
        <f t="array" ref="L60">SUM(IF(INT($F$2:$F$402)&amp;$C$2:$C$402=INT($F60)&amp;$C60,1,0))</f>
        <v>1</v>
      </c>
      <c r="M60" t="str">
        <f>INDEX(Wyart2000!$G$2:$G$594,MATCH($J60,Wyart2000!$W$2:$W$594,0),1)</f>
        <v>22747.69</v>
      </c>
    </row>
    <row r="61" spans="1:13" x14ac:dyDescent="0.25">
      <c r="A61" t="s">
        <v>151</v>
      </c>
      <c r="B61" t="s">
        <v>221</v>
      </c>
      <c r="C61" t="s">
        <v>35</v>
      </c>
      <c r="D61">
        <v>4</v>
      </c>
      <c r="E61" t="s">
        <v>63</v>
      </c>
      <c r="F61" t="s">
        <v>222</v>
      </c>
      <c r="G61" t="s">
        <v>17</v>
      </c>
      <c r="H61" t="s">
        <v>17</v>
      </c>
      <c r="I61" t="s">
        <v>223</v>
      </c>
      <c r="J61" t="s">
        <v>224</v>
      </c>
      <c r="K61" t="s">
        <v>21</v>
      </c>
      <c r="L61" cm="1">
        <f t="array" ref="L61">SUM(IF(INT($F$2:$F$402)&amp;$C$2:$C$402=INT($F61)&amp;$C61,1,0))</f>
        <v>1</v>
      </c>
      <c r="M61" t="str">
        <f>INDEX(Wyart2000!$G$2:$G$594,MATCH($J61,Wyart2000!$W$2:$W$594,0),1)</f>
        <v>23050.61</v>
      </c>
    </row>
    <row r="62" spans="1:13" x14ac:dyDescent="0.25">
      <c r="A62" t="s">
        <v>12</v>
      </c>
      <c r="B62" t="s">
        <v>225</v>
      </c>
      <c r="C62" t="s">
        <v>35</v>
      </c>
      <c r="D62">
        <v>4</v>
      </c>
      <c r="E62" t="s">
        <v>15</v>
      </c>
      <c r="F62" t="s">
        <v>226</v>
      </c>
      <c r="G62" t="s">
        <v>17</v>
      </c>
      <c r="H62" t="s">
        <v>17</v>
      </c>
      <c r="I62" t="s">
        <v>227</v>
      </c>
      <c r="J62" t="s">
        <v>228</v>
      </c>
      <c r="K62" t="s">
        <v>21</v>
      </c>
      <c r="L62" cm="1">
        <f t="array" ref="L62">SUM(IF(INT($F$2:$F$402)&amp;$C$2:$C$402=INT($F62)&amp;$C62,1,0))</f>
        <v>1</v>
      </c>
      <c r="M62" t="str">
        <f>INDEX(Wyart2000!$G$2:$G$594,MATCH($J62,Wyart2000!$W$2:$W$594,0),1)</f>
        <v>23091.70</v>
      </c>
    </row>
    <row r="63" spans="1:13" x14ac:dyDescent="0.25">
      <c r="A63" t="s">
        <v>151</v>
      </c>
      <c r="B63" t="s">
        <v>106</v>
      </c>
      <c r="C63" t="s">
        <v>26</v>
      </c>
      <c r="D63">
        <v>14</v>
      </c>
      <c r="E63" t="s">
        <v>63</v>
      </c>
      <c r="F63" t="s">
        <v>229</v>
      </c>
      <c r="G63" t="s">
        <v>17</v>
      </c>
      <c r="H63" t="s">
        <v>17</v>
      </c>
      <c r="I63" t="s">
        <v>230</v>
      </c>
      <c r="J63" t="s">
        <v>231</v>
      </c>
      <c r="K63" t="s">
        <v>21</v>
      </c>
      <c r="L63" cm="1">
        <f t="array" ref="L63">SUM(IF(INT($F$2:$F$402)&amp;$C$2:$C$402=INT($F63)&amp;$C63,1,0))</f>
        <v>1</v>
      </c>
      <c r="M63" t="str">
        <f>INDEX(Wyart2000!$G$2:$G$594,MATCH($J63,Wyart2000!$W$2:$W$594,0),1)</f>
        <v>23175.09</v>
      </c>
    </row>
    <row r="64" spans="1:13" x14ac:dyDescent="0.25">
      <c r="A64" t="s">
        <v>12</v>
      </c>
      <c r="B64" t="s">
        <v>225</v>
      </c>
      <c r="C64" t="s">
        <v>43</v>
      </c>
      <c r="D64">
        <v>6</v>
      </c>
      <c r="E64" t="s">
        <v>15</v>
      </c>
      <c r="F64" t="s">
        <v>232</v>
      </c>
      <c r="G64" t="s">
        <v>17</v>
      </c>
      <c r="H64" t="s">
        <v>17</v>
      </c>
      <c r="I64" t="s">
        <v>233</v>
      </c>
      <c r="J64" t="s">
        <v>234</v>
      </c>
      <c r="K64" t="s">
        <v>21</v>
      </c>
      <c r="L64" cm="1">
        <f t="array" ref="L64">SUM(IF(INT($F$2:$F$402)&amp;$C$2:$C$402=INT($F64)&amp;$C64,1,0))</f>
        <v>1</v>
      </c>
      <c r="M64" t="str">
        <f>INDEX(Wyart2000!$G$2:$G$594,MATCH($J64,Wyart2000!$W$2:$W$594,0),1)</f>
        <v>23245.99</v>
      </c>
    </row>
    <row r="65" spans="1:13" x14ac:dyDescent="0.25">
      <c r="A65" t="s">
        <v>200</v>
      </c>
      <c r="B65" t="s">
        <v>17</v>
      </c>
      <c r="C65" t="s">
        <v>22</v>
      </c>
      <c r="D65">
        <v>12</v>
      </c>
      <c r="E65" t="s">
        <v>63</v>
      </c>
      <c r="F65" t="s">
        <v>235</v>
      </c>
      <c r="G65" t="s">
        <v>17</v>
      </c>
      <c r="H65" t="s">
        <v>17</v>
      </c>
      <c r="I65" t="s">
        <v>236</v>
      </c>
      <c r="J65" t="s">
        <v>237</v>
      </c>
      <c r="K65" t="s">
        <v>21</v>
      </c>
      <c r="L65" cm="1">
        <f t="array" ref="L65">SUM(IF(INT($F$2:$F$402)&amp;$C$2:$C$402=INT($F65)&amp;$C65,1,0))</f>
        <v>1</v>
      </c>
      <c r="M65" t="str">
        <f>INDEX(Wyart2000!$G$2:$G$594,MATCH($J65,Wyart2000!$W$2:$W$594,0),1)</f>
        <v>23442.25</v>
      </c>
    </row>
    <row r="66" spans="1:13" x14ac:dyDescent="0.25">
      <c r="A66" t="s">
        <v>12</v>
      </c>
      <c r="B66" t="s">
        <v>225</v>
      </c>
      <c r="C66" t="s">
        <v>145</v>
      </c>
      <c r="D66">
        <v>2</v>
      </c>
      <c r="E66" t="s">
        <v>15</v>
      </c>
      <c r="F66" t="s">
        <v>238</v>
      </c>
      <c r="G66" t="s">
        <v>17</v>
      </c>
      <c r="H66" t="s">
        <v>17</v>
      </c>
      <c r="I66" t="s">
        <v>239</v>
      </c>
      <c r="J66" t="s">
        <v>240</v>
      </c>
      <c r="K66" t="s">
        <v>21</v>
      </c>
      <c r="L66" cm="1">
        <f t="array" ref="L66">SUM(IF(INT($F$2:$F$402)&amp;$C$2:$C$402=INT($F66)&amp;$C66,1,0))</f>
        <v>1</v>
      </c>
      <c r="M66" t="str">
        <f>INDEX(Wyart2000!$G$2:$G$594,MATCH($J66,Wyart2000!$W$2:$W$594,0),1)</f>
        <v>23465.43</v>
      </c>
    </row>
    <row r="67" spans="1:13" x14ac:dyDescent="0.25">
      <c r="A67" t="s">
        <v>151</v>
      </c>
      <c r="B67" t="s">
        <v>17</v>
      </c>
      <c r="C67" t="s">
        <v>43</v>
      </c>
      <c r="D67">
        <v>6</v>
      </c>
      <c r="E67" t="s">
        <v>63</v>
      </c>
      <c r="F67" t="s">
        <v>241</v>
      </c>
      <c r="G67" t="s">
        <v>17</v>
      </c>
      <c r="H67" t="s">
        <v>17</v>
      </c>
      <c r="I67" t="s">
        <v>242</v>
      </c>
      <c r="J67" t="s">
        <v>243</v>
      </c>
      <c r="K67" t="s">
        <v>21</v>
      </c>
      <c r="L67" cm="1">
        <f t="array" ref="L67">SUM(IF(INT($F$2:$F$402)&amp;$C$2:$C$402=INT($F67)&amp;$C67,1,0))</f>
        <v>1</v>
      </c>
      <c r="M67" t="str">
        <f>INDEX(Wyart2000!$G$2:$G$594,MATCH($J67,Wyart2000!$W$2:$W$594,0),1)</f>
        <v>23532.86</v>
      </c>
    </row>
    <row r="68" spans="1:13" x14ac:dyDescent="0.25">
      <c r="A68" t="s">
        <v>61</v>
      </c>
      <c r="B68" t="s">
        <v>244</v>
      </c>
      <c r="C68" t="s">
        <v>26</v>
      </c>
      <c r="D68">
        <v>14</v>
      </c>
      <c r="E68" t="s">
        <v>63</v>
      </c>
      <c r="F68" t="s">
        <v>245</v>
      </c>
      <c r="G68" t="s">
        <v>17</v>
      </c>
      <c r="H68" t="s">
        <v>17</v>
      </c>
      <c r="I68" t="s">
        <v>246</v>
      </c>
      <c r="J68" t="s">
        <v>247</v>
      </c>
      <c r="K68" t="s">
        <v>21</v>
      </c>
      <c r="L68" cm="1">
        <f t="array" ref="L68">SUM(IF(INT($F$2:$F$402)&amp;$C$2:$C$402=INT($F68)&amp;$C68,1,0))</f>
        <v>1</v>
      </c>
      <c r="M68" t="str">
        <f>INDEX(Wyart2000!$G$2:$G$594,MATCH($J68,Wyart2000!$W$2:$W$594,0),1)</f>
        <v>23647.77</v>
      </c>
    </row>
    <row r="69" spans="1:13" x14ac:dyDescent="0.25">
      <c r="A69" t="s">
        <v>200</v>
      </c>
      <c r="B69" t="s">
        <v>17</v>
      </c>
      <c r="C69" t="s">
        <v>47</v>
      </c>
      <c r="D69">
        <v>8</v>
      </c>
      <c r="E69" t="s">
        <v>63</v>
      </c>
      <c r="F69" t="s">
        <v>248</v>
      </c>
      <c r="G69" t="s">
        <v>17</v>
      </c>
      <c r="H69" t="s">
        <v>17</v>
      </c>
      <c r="I69" t="s">
        <v>249</v>
      </c>
      <c r="J69" t="s">
        <v>250</v>
      </c>
      <c r="K69" t="s">
        <v>21</v>
      </c>
      <c r="L69" cm="1">
        <f t="array" ref="L69">SUM(IF(INT($F$2:$F$402)&amp;$C$2:$C$402=INT($F69)&amp;$C69,1,0))</f>
        <v>1</v>
      </c>
      <c r="M69" t="str">
        <f>INDEX(Wyart2000!$G$2:$G$594,MATCH($J69,Wyart2000!$W$2:$W$594,0),1)</f>
        <v>23651.88</v>
      </c>
    </row>
    <row r="70" spans="1:13" x14ac:dyDescent="0.25">
      <c r="A70" t="s">
        <v>151</v>
      </c>
      <c r="B70" t="s">
        <v>221</v>
      </c>
      <c r="C70" t="s">
        <v>43</v>
      </c>
      <c r="D70">
        <v>6</v>
      </c>
      <c r="E70" t="s">
        <v>63</v>
      </c>
      <c r="F70" t="s">
        <v>251</v>
      </c>
      <c r="G70" t="s">
        <v>17</v>
      </c>
      <c r="H70" t="s">
        <v>17</v>
      </c>
      <c r="I70" t="s">
        <v>252</v>
      </c>
      <c r="J70" t="s">
        <v>253</v>
      </c>
      <c r="K70" t="s">
        <v>21</v>
      </c>
      <c r="L70" cm="1">
        <f t="array" ref="L70">SUM(IF(INT($F$2:$F$402)&amp;$C$2:$C$402=INT($F70)&amp;$C70,1,0))</f>
        <v>1</v>
      </c>
      <c r="M70" t="str">
        <f>INDEX(Wyart2000!$G$2:$G$594,MATCH($J70,Wyart2000!$W$2:$W$594,0),1)</f>
        <v>23751.57</v>
      </c>
    </row>
    <row r="71" spans="1:13" x14ac:dyDescent="0.25">
      <c r="A71" t="s">
        <v>151</v>
      </c>
      <c r="B71" t="s">
        <v>86</v>
      </c>
      <c r="C71" t="s">
        <v>14</v>
      </c>
      <c r="D71">
        <v>10</v>
      </c>
      <c r="E71" t="s">
        <v>63</v>
      </c>
      <c r="F71" t="s">
        <v>254</v>
      </c>
      <c r="G71" t="s">
        <v>17</v>
      </c>
      <c r="H71" t="s">
        <v>17</v>
      </c>
      <c r="I71" t="s">
        <v>255</v>
      </c>
      <c r="J71" t="s">
        <v>256</v>
      </c>
      <c r="K71" t="s">
        <v>21</v>
      </c>
      <c r="L71" cm="1">
        <f t="array" ref="L71">SUM(IF(INT($F$2:$F$402)&amp;$C$2:$C$402=INT($F71)&amp;$C71,1,0))</f>
        <v>1</v>
      </c>
      <c r="M71" t="str">
        <f>INDEX(Wyart2000!$G$2:$G$594,MATCH($J71,Wyart2000!$W$2:$W$594,0),1)</f>
        <v>23844.58</v>
      </c>
    </row>
    <row r="72" spans="1:13" x14ac:dyDescent="0.25">
      <c r="A72" t="s">
        <v>151</v>
      </c>
      <c r="B72" t="s">
        <v>221</v>
      </c>
      <c r="C72" t="s">
        <v>145</v>
      </c>
      <c r="D72">
        <v>2</v>
      </c>
      <c r="E72" t="s">
        <v>63</v>
      </c>
      <c r="F72" t="s">
        <v>257</v>
      </c>
      <c r="G72" t="s">
        <v>17</v>
      </c>
      <c r="H72" t="s">
        <v>17</v>
      </c>
      <c r="I72" t="s">
        <v>258</v>
      </c>
      <c r="J72" t="s">
        <v>259</v>
      </c>
      <c r="K72" t="s">
        <v>21</v>
      </c>
      <c r="L72" cm="1">
        <f t="array" ref="L72">SUM(IF(INT($F$2:$F$402)&amp;$C$2:$C$402=INT($F72)&amp;$C72,1,0))</f>
        <v>1</v>
      </c>
      <c r="M72" t="str">
        <f>INDEX(Wyart2000!$G$2:$G$594,MATCH($J72,Wyart2000!$W$2:$W$594,0),1)</f>
        <v>23955.37</v>
      </c>
    </row>
    <row r="73" spans="1:13" x14ac:dyDescent="0.25">
      <c r="A73" t="s">
        <v>151</v>
      </c>
      <c r="B73" t="s">
        <v>173</v>
      </c>
      <c r="C73" t="s">
        <v>35</v>
      </c>
      <c r="D73">
        <v>4</v>
      </c>
      <c r="E73" t="s">
        <v>63</v>
      </c>
      <c r="F73" t="s">
        <v>260</v>
      </c>
      <c r="G73" t="s">
        <v>17</v>
      </c>
      <c r="H73" t="s">
        <v>17</v>
      </c>
      <c r="I73" t="s">
        <v>261</v>
      </c>
      <c r="J73" t="s">
        <v>262</v>
      </c>
      <c r="K73" t="s">
        <v>21</v>
      </c>
      <c r="L73" cm="1">
        <f t="array" ref="L73">SUM(IF(INT($F$2:$F$402)&amp;$C$2:$C$402=INT($F73)&amp;$C73,1,0))</f>
        <v>1</v>
      </c>
      <c r="M73" t="str">
        <f>INDEX(Wyart2000!$G$2:$G$594,MATCH($J73,Wyart2000!$W$2:$W$594,0),1)</f>
        <v>24250.62</v>
      </c>
    </row>
    <row r="74" spans="1:13" x14ac:dyDescent="0.25">
      <c r="A74" t="s">
        <v>151</v>
      </c>
      <c r="B74" t="s">
        <v>17</v>
      </c>
      <c r="C74" t="s">
        <v>35</v>
      </c>
      <c r="D74">
        <v>4</v>
      </c>
      <c r="E74" t="s">
        <v>63</v>
      </c>
      <c r="F74" t="s">
        <v>263</v>
      </c>
      <c r="G74" t="s">
        <v>17</v>
      </c>
      <c r="H74" t="s">
        <v>17</v>
      </c>
      <c r="I74" t="s">
        <v>264</v>
      </c>
      <c r="J74" t="s">
        <v>265</v>
      </c>
      <c r="K74" t="s">
        <v>21</v>
      </c>
      <c r="L74" cm="1">
        <f t="array" ref="L74">SUM(IF(INT($F$2:$F$402)&amp;$C$2:$C$402=INT($F74)&amp;$C74,1,0))</f>
        <v>1</v>
      </c>
      <c r="M74" t="str">
        <f>INDEX(Wyart2000!$G$2:$G$594,MATCH($J74,Wyart2000!$W$2:$W$594,0),1)</f>
        <v>24309.20</v>
      </c>
    </row>
    <row r="75" spans="1:13" x14ac:dyDescent="0.25">
      <c r="A75" t="s">
        <v>12</v>
      </c>
      <c r="B75" t="s">
        <v>266</v>
      </c>
      <c r="C75" t="s">
        <v>22</v>
      </c>
      <c r="D75">
        <v>12</v>
      </c>
      <c r="E75" t="s">
        <v>15</v>
      </c>
      <c r="F75" t="s">
        <v>267</v>
      </c>
      <c r="G75" t="s">
        <v>17</v>
      </c>
      <c r="H75" t="s">
        <v>17</v>
      </c>
      <c r="I75" t="s">
        <v>268</v>
      </c>
      <c r="J75" t="s">
        <v>269</v>
      </c>
      <c r="K75" t="s">
        <v>21</v>
      </c>
      <c r="L75" cm="1">
        <f t="array" ref="L75">SUM(IF(INT($F$2:$F$402)&amp;$C$2:$C$402=INT($F75)&amp;$C75,1,0))</f>
        <v>1</v>
      </c>
      <c r="M75" t="str">
        <f>INDEX(Wyart2000!$G$2:$G$594,MATCH($J75,Wyart2000!$W$2:$W$594,0),1)</f>
        <v>24357.98</v>
      </c>
    </row>
    <row r="76" spans="1:13" x14ac:dyDescent="0.25">
      <c r="A76" t="s">
        <v>151</v>
      </c>
      <c r="B76" t="s">
        <v>173</v>
      </c>
      <c r="C76" t="s">
        <v>43</v>
      </c>
      <c r="D76">
        <v>6</v>
      </c>
      <c r="E76" t="s">
        <v>63</v>
      </c>
      <c r="F76" t="s">
        <v>270</v>
      </c>
      <c r="G76" t="s">
        <v>17</v>
      </c>
      <c r="H76" t="s">
        <v>17</v>
      </c>
      <c r="I76" t="s">
        <v>271</v>
      </c>
      <c r="J76" t="s">
        <v>272</v>
      </c>
      <c r="K76" t="s">
        <v>21</v>
      </c>
      <c r="L76" cm="1">
        <f t="array" ref="L76">SUM(IF(INT($F$2:$F$402)&amp;$C$2:$C$402=INT($F76)&amp;$C76,1,0))</f>
        <v>1</v>
      </c>
      <c r="M76" t="str">
        <f>INDEX(Wyart2000!$G$2:$G$594,MATCH($J76,Wyart2000!$W$2:$W$594,0),1)</f>
        <v>24461.24</v>
      </c>
    </row>
    <row r="77" spans="1:13" x14ac:dyDescent="0.25">
      <c r="A77" t="s">
        <v>151</v>
      </c>
      <c r="B77" t="s">
        <v>221</v>
      </c>
      <c r="C77" t="s">
        <v>47</v>
      </c>
      <c r="D77">
        <v>8</v>
      </c>
      <c r="E77" t="s">
        <v>63</v>
      </c>
      <c r="F77" t="s">
        <v>273</v>
      </c>
      <c r="G77" t="s">
        <v>17</v>
      </c>
      <c r="H77" t="s">
        <v>17</v>
      </c>
      <c r="I77" t="s">
        <v>274</v>
      </c>
      <c r="J77" t="s">
        <v>275</v>
      </c>
      <c r="K77" t="s">
        <v>21</v>
      </c>
      <c r="L77" cm="1">
        <f t="array" ref="L77">SUM(IF(INT($F$2:$F$402)&amp;$C$2:$C$402=INT($F77)&amp;$C77,1,0))</f>
        <v>1</v>
      </c>
      <c r="M77" t="str">
        <f>INDEX(Wyart2000!$G$2:$G$594,MATCH($J77,Wyart2000!$W$2:$W$594,0),1)</f>
        <v>24470.90</v>
      </c>
    </row>
    <row r="78" spans="1:13" x14ac:dyDescent="0.25">
      <c r="A78" t="s">
        <v>61</v>
      </c>
      <c r="B78" t="s">
        <v>193</v>
      </c>
      <c r="C78" t="s">
        <v>14</v>
      </c>
      <c r="D78">
        <v>10</v>
      </c>
      <c r="E78" t="s">
        <v>63</v>
      </c>
      <c r="F78" t="s">
        <v>276</v>
      </c>
      <c r="G78" t="s">
        <v>17</v>
      </c>
      <c r="H78" t="s">
        <v>17</v>
      </c>
      <c r="I78" t="s">
        <v>277</v>
      </c>
      <c r="J78" t="s">
        <v>278</v>
      </c>
      <c r="K78" t="s">
        <v>21</v>
      </c>
      <c r="L78" cm="1">
        <f t="array" ref="L78">SUM(IF(INT($F$2:$F$402)&amp;$C$2:$C$402=INT($F78)&amp;$C78,1,0))</f>
        <v>1</v>
      </c>
      <c r="M78" t="str">
        <f>INDEX(Wyart2000!$G$2:$G$594,MATCH($J78,Wyart2000!$W$2:$W$594,0),1)</f>
        <v>24788.02</v>
      </c>
    </row>
    <row r="79" spans="1:13" x14ac:dyDescent="0.25">
      <c r="A79" t="s">
        <v>12</v>
      </c>
      <c r="B79" t="s">
        <v>225</v>
      </c>
      <c r="C79" t="s">
        <v>47</v>
      </c>
      <c r="D79">
        <v>8</v>
      </c>
      <c r="E79" t="s">
        <v>15</v>
      </c>
      <c r="F79" t="s">
        <v>279</v>
      </c>
      <c r="G79" t="s">
        <v>17</v>
      </c>
      <c r="H79" t="s">
        <v>17</v>
      </c>
      <c r="I79" t="s">
        <v>28</v>
      </c>
      <c r="J79" t="s">
        <v>280</v>
      </c>
      <c r="K79" t="s">
        <v>21</v>
      </c>
      <c r="L79" cm="1">
        <f t="array" ref="L79">SUM(IF(INT($F$2:$F$402)&amp;$C$2:$C$402=INT($F79)&amp;$C79,1,0))</f>
        <v>1</v>
      </c>
      <c r="M79" t="str">
        <f>INDEX(Wyart2000!$G$2:$G$594,MATCH($J79,Wyart2000!$W$2:$W$594,0),1)</f>
        <v>24886.51</v>
      </c>
    </row>
    <row r="80" spans="1:13" x14ac:dyDescent="0.25">
      <c r="A80" t="s">
        <v>200</v>
      </c>
      <c r="B80" t="s">
        <v>17</v>
      </c>
      <c r="C80" t="s">
        <v>14</v>
      </c>
      <c r="D80">
        <v>10</v>
      </c>
      <c r="E80" t="s">
        <v>63</v>
      </c>
      <c r="F80" t="s">
        <v>281</v>
      </c>
      <c r="G80" t="s">
        <v>17</v>
      </c>
      <c r="H80" t="s">
        <v>17</v>
      </c>
      <c r="I80" t="s">
        <v>282</v>
      </c>
      <c r="J80" t="s">
        <v>283</v>
      </c>
      <c r="K80" t="s">
        <v>21</v>
      </c>
      <c r="L80" cm="1">
        <f t="array" ref="L80">SUM(IF(INT($F$2:$F$402)&amp;$C$2:$C$402=INT($F80)&amp;$C80,1,0))</f>
        <v>1</v>
      </c>
      <c r="M80" t="str">
        <f>INDEX(Wyart2000!$G$2:$G$594,MATCH($J80,Wyart2000!$W$2:$W$594,0),1)</f>
        <v>25033.91</v>
      </c>
    </row>
    <row r="81" spans="1:13" x14ac:dyDescent="0.25">
      <c r="A81" t="s">
        <v>12</v>
      </c>
      <c r="B81" t="s">
        <v>284</v>
      </c>
      <c r="C81" t="s">
        <v>30</v>
      </c>
      <c r="D81">
        <v>16</v>
      </c>
      <c r="E81" t="s">
        <v>15</v>
      </c>
      <c r="F81" t="s">
        <v>285</v>
      </c>
      <c r="G81" t="s">
        <v>17</v>
      </c>
      <c r="H81" t="s">
        <v>17</v>
      </c>
      <c r="I81" t="s">
        <v>286</v>
      </c>
      <c r="J81" t="s">
        <v>287</v>
      </c>
      <c r="K81" t="s">
        <v>21</v>
      </c>
      <c r="L81" cm="1">
        <f t="array" ref="L81">SUM(IF(INT($F$2:$F$402)&amp;$C$2:$C$402=INT($F81)&amp;$C81,1,0))</f>
        <v>1</v>
      </c>
      <c r="M81" t="str">
        <f>INDEX(Wyart2000!$G$2:$G$594,MATCH($J81,Wyart2000!$W$2:$W$594,0),1)</f>
        <v>25244.61</v>
      </c>
    </row>
    <row r="82" spans="1:13" x14ac:dyDescent="0.25">
      <c r="A82" t="s">
        <v>12</v>
      </c>
      <c r="B82" t="s">
        <v>266</v>
      </c>
      <c r="C82" t="s">
        <v>26</v>
      </c>
      <c r="D82">
        <v>14</v>
      </c>
      <c r="E82" t="s">
        <v>15</v>
      </c>
      <c r="F82" t="s">
        <v>288</v>
      </c>
      <c r="G82" t="s">
        <v>17</v>
      </c>
      <c r="H82" t="s">
        <v>17</v>
      </c>
      <c r="I82" t="s">
        <v>32</v>
      </c>
      <c r="J82" t="s">
        <v>289</v>
      </c>
      <c r="K82" t="s">
        <v>21</v>
      </c>
      <c r="L82" cm="1">
        <f t="array" ref="L82">SUM(IF(INT($F$2:$F$402)&amp;$C$2:$C$402=INT($F82)&amp;$C82,1,0))</f>
        <v>1</v>
      </c>
      <c r="M82" t="str">
        <f>INDEX(Wyart2000!$G$2:$G$594,MATCH($J82,Wyart2000!$W$2:$W$594,0),1)</f>
        <v>25391.75</v>
      </c>
    </row>
    <row r="83" spans="1:13" x14ac:dyDescent="0.25">
      <c r="A83" t="s">
        <v>151</v>
      </c>
      <c r="B83" t="s">
        <v>17</v>
      </c>
      <c r="C83" t="s">
        <v>47</v>
      </c>
      <c r="D83">
        <v>8</v>
      </c>
      <c r="E83" t="s">
        <v>63</v>
      </c>
      <c r="F83" t="s">
        <v>290</v>
      </c>
      <c r="G83" t="s">
        <v>17</v>
      </c>
      <c r="H83" t="s">
        <v>17</v>
      </c>
      <c r="I83" t="s">
        <v>291</v>
      </c>
      <c r="J83" t="s">
        <v>292</v>
      </c>
      <c r="K83" t="s">
        <v>21</v>
      </c>
      <c r="L83" cm="1">
        <f t="array" ref="L83">SUM(IF(INT($F$2:$F$402)&amp;$C$2:$C$402=INT($F83)&amp;$C83,1,0))</f>
        <v>1</v>
      </c>
      <c r="M83" t="str">
        <f>INDEX(Wyart2000!$G$2:$G$594,MATCH($J83,Wyart2000!$W$2:$W$594,0),1)</f>
        <v>25409.74</v>
      </c>
    </row>
    <row r="84" spans="1:13" x14ac:dyDescent="0.25">
      <c r="A84" t="s">
        <v>200</v>
      </c>
      <c r="B84" t="s">
        <v>17</v>
      </c>
      <c r="C84" t="s">
        <v>43</v>
      </c>
      <c r="D84">
        <v>6</v>
      </c>
      <c r="E84" t="s">
        <v>63</v>
      </c>
      <c r="F84" t="s">
        <v>293</v>
      </c>
      <c r="G84" t="s">
        <v>17</v>
      </c>
      <c r="H84" t="s">
        <v>17</v>
      </c>
      <c r="I84" t="s">
        <v>294</v>
      </c>
      <c r="J84" t="s">
        <v>295</v>
      </c>
      <c r="K84" t="s">
        <v>21</v>
      </c>
      <c r="L84" cm="1">
        <f t="array" ref="L84">SUM(IF(INT($F$2:$F$402)&amp;$C$2:$C$402=INT($F84)&amp;$C84,1,0))</f>
        <v>1</v>
      </c>
      <c r="M84" t="str">
        <f>INDEX(Wyart2000!$G$2:$G$594,MATCH($J84,Wyart2000!$W$2:$W$594,0),1)</f>
        <v>25934.98</v>
      </c>
    </row>
    <row r="85" spans="1:13" x14ac:dyDescent="0.25">
      <c r="A85" t="s">
        <v>61</v>
      </c>
      <c r="B85" t="s">
        <v>244</v>
      </c>
      <c r="C85" t="s">
        <v>30</v>
      </c>
      <c r="D85">
        <v>16</v>
      </c>
      <c r="E85" t="s">
        <v>63</v>
      </c>
      <c r="F85" t="s">
        <v>296</v>
      </c>
      <c r="G85" t="s">
        <v>17</v>
      </c>
      <c r="H85" t="s">
        <v>17</v>
      </c>
      <c r="I85" t="s">
        <v>297</v>
      </c>
      <c r="J85" t="s">
        <v>298</v>
      </c>
      <c r="K85" t="s">
        <v>21</v>
      </c>
      <c r="L85" cm="1">
        <f t="array" ref="L85">SUM(IF(INT($F$2:$F$402)&amp;$C$2:$C$402=INT($F85)&amp;$C85,1,0))</f>
        <v>1</v>
      </c>
      <c r="M85" t="str">
        <f>INDEX(Wyart2000!$G$2:$G$594,MATCH($J85,Wyart2000!$W$2:$W$594,0),1)</f>
        <v>25979.34</v>
      </c>
    </row>
    <row r="86" spans="1:13" x14ac:dyDescent="0.25">
      <c r="A86" t="s">
        <v>151</v>
      </c>
      <c r="B86" t="s">
        <v>86</v>
      </c>
      <c r="C86" t="s">
        <v>22</v>
      </c>
      <c r="D86">
        <v>12</v>
      </c>
      <c r="E86" t="s">
        <v>63</v>
      </c>
      <c r="F86" t="s">
        <v>299</v>
      </c>
      <c r="G86" t="s">
        <v>17</v>
      </c>
      <c r="H86" t="s">
        <v>17</v>
      </c>
      <c r="I86" t="s">
        <v>300</v>
      </c>
      <c r="J86" t="s">
        <v>301</v>
      </c>
      <c r="K86" t="s">
        <v>21</v>
      </c>
      <c r="L86" cm="1">
        <f t="array" ref="L86">SUM(IF(INT($F$2:$F$402)&amp;$C$2:$C$402=INT($F86)&amp;$C86,1,0))</f>
        <v>1</v>
      </c>
      <c r="M86" t="str">
        <f>INDEX(Wyart2000!$G$2:$G$594,MATCH($J86,Wyart2000!$W$2:$W$594,0),1)</f>
        <v>26095.23</v>
      </c>
    </row>
    <row r="87" spans="1:13" x14ac:dyDescent="0.25">
      <c r="A87" t="s">
        <v>151</v>
      </c>
      <c r="B87" t="s">
        <v>173</v>
      </c>
      <c r="C87" t="s">
        <v>47</v>
      </c>
      <c r="D87">
        <v>8</v>
      </c>
      <c r="E87" t="s">
        <v>63</v>
      </c>
      <c r="F87" t="s">
        <v>302</v>
      </c>
      <c r="G87" t="s">
        <v>17</v>
      </c>
      <c r="H87" t="s">
        <v>17</v>
      </c>
      <c r="I87" t="s">
        <v>303</v>
      </c>
      <c r="J87" t="s">
        <v>304</v>
      </c>
      <c r="K87" t="s">
        <v>21</v>
      </c>
      <c r="L87" cm="1">
        <f t="array" ref="L87">SUM(IF(INT($F$2:$F$402)&amp;$C$2:$C$402=INT($F87)&amp;$C87,1,0))</f>
        <v>1</v>
      </c>
      <c r="M87" t="str">
        <f>INDEX(Wyart2000!$G$2:$G$594,MATCH($J87,Wyart2000!$W$2:$W$594,0),1)</f>
        <v>26446.97</v>
      </c>
    </row>
    <row r="88" spans="1:13" x14ac:dyDescent="0.25">
      <c r="A88" t="s">
        <v>12</v>
      </c>
      <c r="B88" t="s">
        <v>284</v>
      </c>
      <c r="C88" t="s">
        <v>164</v>
      </c>
      <c r="D88">
        <v>18</v>
      </c>
      <c r="E88" t="s">
        <v>15</v>
      </c>
      <c r="F88" t="s">
        <v>305</v>
      </c>
      <c r="G88" t="s">
        <v>17</v>
      </c>
      <c r="H88" t="s">
        <v>17</v>
      </c>
      <c r="I88" t="s">
        <v>28</v>
      </c>
      <c r="J88" t="s">
        <v>306</v>
      </c>
      <c r="K88" t="s">
        <v>21</v>
      </c>
      <c r="L88" cm="1">
        <f t="array" ref="L88">SUM(IF(INT($F$2:$F$402)&amp;$C$2:$C$402=INT($F88)&amp;$C88,1,0))</f>
        <v>1</v>
      </c>
      <c r="M88" t="str">
        <f>INDEX(Wyart2000!$G$2:$G$594,MATCH($J88,Wyart2000!$W$2:$W$594,0),1)</f>
        <v>26447.88</v>
      </c>
    </row>
    <row r="89" spans="1:13" x14ac:dyDescent="0.25">
      <c r="A89" t="s">
        <v>12</v>
      </c>
      <c r="B89" t="s">
        <v>307</v>
      </c>
      <c r="C89" t="s">
        <v>35</v>
      </c>
      <c r="D89">
        <v>4</v>
      </c>
      <c r="E89" t="s">
        <v>15</v>
      </c>
      <c r="F89" t="s">
        <v>308</v>
      </c>
      <c r="G89" t="s">
        <v>17</v>
      </c>
      <c r="H89" t="s">
        <v>17</v>
      </c>
      <c r="I89" t="s">
        <v>309</v>
      </c>
      <c r="J89" t="s">
        <v>310</v>
      </c>
      <c r="K89" t="s">
        <v>21</v>
      </c>
      <c r="L89" cm="1">
        <f t="array" ref="L89">SUM(IF(INT($F$2:$F$402)&amp;$C$2:$C$402=INT($F89)&amp;$C89,1,0))</f>
        <v>1</v>
      </c>
      <c r="M89" t="str">
        <f>INDEX(Wyart2000!$G$2:$G$594,MATCH($J89,Wyart2000!$W$2:$W$594,0),1)</f>
        <v>26921.49</v>
      </c>
    </row>
    <row r="90" spans="1:13" x14ac:dyDescent="0.25">
      <c r="A90" t="s">
        <v>12</v>
      </c>
      <c r="B90" t="s">
        <v>311</v>
      </c>
      <c r="C90" t="s">
        <v>14</v>
      </c>
      <c r="D90">
        <v>10</v>
      </c>
      <c r="E90" t="s">
        <v>15</v>
      </c>
      <c r="F90" t="s">
        <v>312</v>
      </c>
      <c r="G90" t="s">
        <v>17</v>
      </c>
      <c r="H90" t="s">
        <v>17</v>
      </c>
      <c r="I90" t="s">
        <v>313</v>
      </c>
      <c r="J90" t="s">
        <v>314</v>
      </c>
      <c r="K90" t="s">
        <v>21</v>
      </c>
      <c r="L90" cm="1">
        <f t="array" ref="L90">SUM(IF(INT($F$2:$F$402)&amp;$C$2:$C$402=INT($F90)&amp;$C90,1,0))</f>
        <v>1</v>
      </c>
      <c r="M90" t="str">
        <f>INDEX(Wyart2000!$G$2:$G$594,MATCH($J90,Wyart2000!$W$2:$W$594,0),1)</f>
        <v>26979.66</v>
      </c>
    </row>
    <row r="91" spans="1:13" x14ac:dyDescent="0.25">
      <c r="A91" t="s">
        <v>151</v>
      </c>
      <c r="B91" t="s">
        <v>193</v>
      </c>
      <c r="C91" t="s">
        <v>47</v>
      </c>
      <c r="D91">
        <v>8</v>
      </c>
      <c r="E91" t="s">
        <v>63</v>
      </c>
      <c r="F91" t="s">
        <v>315</v>
      </c>
      <c r="G91" t="s">
        <v>17</v>
      </c>
      <c r="H91" t="s">
        <v>17</v>
      </c>
      <c r="I91" t="s">
        <v>316</v>
      </c>
      <c r="J91" t="s">
        <v>317</v>
      </c>
      <c r="K91" t="s">
        <v>21</v>
      </c>
      <c r="L91" cm="1">
        <f t="array" ref="L91">SUM(IF(INT($F$2:$F$402)&amp;$C$2:$C$402=INT($F91)&amp;$C91,1,0))</f>
        <v>1</v>
      </c>
      <c r="M91" t="str">
        <f>INDEX(Wyart2000!$G$2:$G$594,MATCH($J91,Wyart2000!$W$2:$W$594,0),1)</f>
        <v>27138.55</v>
      </c>
    </row>
    <row r="92" spans="1:13" x14ac:dyDescent="0.25">
      <c r="A92" t="s">
        <v>200</v>
      </c>
      <c r="B92" t="s">
        <v>140</v>
      </c>
      <c r="C92" t="s">
        <v>22</v>
      </c>
      <c r="D92">
        <v>12</v>
      </c>
      <c r="E92" t="s">
        <v>63</v>
      </c>
      <c r="F92" t="s">
        <v>318</v>
      </c>
      <c r="G92" t="s">
        <v>17</v>
      </c>
      <c r="H92" t="s">
        <v>17</v>
      </c>
      <c r="I92" t="s">
        <v>319</v>
      </c>
      <c r="J92" t="s">
        <v>320</v>
      </c>
      <c r="K92" t="s">
        <v>21</v>
      </c>
      <c r="L92" cm="1">
        <f t="array" ref="L92">SUM(IF(INT($F$2:$F$402)&amp;$C$2:$C$402=INT($F92)&amp;$C92,1,0))</f>
        <v>1</v>
      </c>
      <c r="M92" t="str">
        <f>INDEX(Wyart2000!$G$2:$G$594,MATCH($J92,Wyart2000!$W$2:$W$594,0),1)</f>
        <v>27380.31</v>
      </c>
    </row>
    <row r="93" spans="1:13" x14ac:dyDescent="0.25">
      <c r="A93" t="s">
        <v>200</v>
      </c>
      <c r="B93" t="s">
        <v>321</v>
      </c>
      <c r="C93" t="s">
        <v>43</v>
      </c>
      <c r="D93">
        <v>6</v>
      </c>
      <c r="E93" t="s">
        <v>63</v>
      </c>
      <c r="F93" t="s">
        <v>322</v>
      </c>
      <c r="G93" t="s">
        <v>17</v>
      </c>
      <c r="H93" t="s">
        <v>17</v>
      </c>
      <c r="I93" t="s">
        <v>323</v>
      </c>
      <c r="J93" t="s">
        <v>324</v>
      </c>
      <c r="K93" t="s">
        <v>21</v>
      </c>
      <c r="L93" cm="1">
        <f t="array" ref="L93">SUM(IF(INT($F$2:$F$402)&amp;$C$2:$C$402=INT($F93)&amp;$C93,1,0))</f>
        <v>1</v>
      </c>
      <c r="M93" t="str">
        <f>INDEX(Wyart2000!$G$2:$G$594,MATCH($J93,Wyart2000!$W$2:$W$594,0),1)</f>
        <v>27452.45</v>
      </c>
    </row>
    <row r="94" spans="1:13" x14ac:dyDescent="0.25">
      <c r="A94" t="s">
        <v>12</v>
      </c>
      <c r="B94" t="s">
        <v>307</v>
      </c>
      <c r="C94" t="s">
        <v>43</v>
      </c>
      <c r="D94">
        <v>6</v>
      </c>
      <c r="E94" t="s">
        <v>15</v>
      </c>
      <c r="F94" t="s">
        <v>325</v>
      </c>
      <c r="G94" t="s">
        <v>17</v>
      </c>
      <c r="H94" t="s">
        <v>17</v>
      </c>
      <c r="I94" t="s">
        <v>326</v>
      </c>
      <c r="J94" t="s">
        <v>327</v>
      </c>
      <c r="K94" t="s">
        <v>21</v>
      </c>
      <c r="L94" cm="1">
        <f t="array" ref="L94">SUM(IF(INT($F$2:$F$402)&amp;$C$2:$C$402=INT($F94)&amp;$C94,1,0))</f>
        <v>1</v>
      </c>
      <c r="M94" t="str">
        <f>INDEX(Wyart2000!$G$2:$G$594,MATCH($J94,Wyart2000!$W$2:$W$594,0),1)</f>
        <v>27597.13</v>
      </c>
    </row>
    <row r="95" spans="1:13" x14ac:dyDescent="0.25">
      <c r="A95" t="s">
        <v>151</v>
      </c>
      <c r="B95" t="s">
        <v>173</v>
      </c>
      <c r="C95" t="s">
        <v>14</v>
      </c>
      <c r="D95">
        <v>10</v>
      </c>
      <c r="E95" t="s">
        <v>63</v>
      </c>
      <c r="F95" t="s">
        <v>328</v>
      </c>
      <c r="G95" t="s">
        <v>17</v>
      </c>
      <c r="H95" t="s">
        <v>17</v>
      </c>
      <c r="I95" t="s">
        <v>329</v>
      </c>
      <c r="J95" t="s">
        <v>330</v>
      </c>
      <c r="K95" t="s">
        <v>21</v>
      </c>
      <c r="L95" cm="1">
        <f t="array" ref="L95">SUM(IF(INT($F$2:$F$402)&amp;$C$2:$C$402=INT($F95)&amp;$C95,1,0))</f>
        <v>1</v>
      </c>
      <c r="M95" t="str">
        <f>INDEX(Wyart2000!$G$2:$G$594,MATCH($J95,Wyart2000!$W$2:$W$594,0),1)</f>
        <v>27604.26</v>
      </c>
    </row>
    <row r="96" spans="1:13" x14ac:dyDescent="0.25">
      <c r="A96" t="s">
        <v>12</v>
      </c>
      <c r="B96" t="s">
        <v>311</v>
      </c>
      <c r="C96" t="s">
        <v>22</v>
      </c>
      <c r="D96">
        <v>12</v>
      </c>
      <c r="E96" t="s">
        <v>15</v>
      </c>
      <c r="F96" t="s">
        <v>331</v>
      </c>
      <c r="G96" t="s">
        <v>17</v>
      </c>
      <c r="H96" t="s">
        <v>17</v>
      </c>
      <c r="I96" t="s">
        <v>332</v>
      </c>
      <c r="J96" t="s">
        <v>333</v>
      </c>
      <c r="K96" t="s">
        <v>21</v>
      </c>
      <c r="L96" cm="1">
        <f t="array" ref="L96">SUM(IF(INT($F$2:$F$402)&amp;$C$2:$C$402=INT($F96)&amp;$C96,1,0))</f>
        <v>1</v>
      </c>
      <c r="M96" t="str">
        <f>INDEX(Wyart2000!$G$2:$G$594,MATCH($J96,Wyart2000!$W$2:$W$594,0),1)</f>
        <v>28101.77</v>
      </c>
    </row>
    <row r="97" spans="1:13" x14ac:dyDescent="0.25">
      <c r="A97" t="s">
        <v>334</v>
      </c>
      <c r="B97" t="s">
        <v>335</v>
      </c>
      <c r="C97" t="s">
        <v>47</v>
      </c>
      <c r="D97">
        <v>8</v>
      </c>
      <c r="E97" t="s">
        <v>63</v>
      </c>
      <c r="F97" t="s">
        <v>336</v>
      </c>
      <c r="G97" t="s">
        <v>17</v>
      </c>
      <c r="H97" t="s">
        <v>17</v>
      </c>
      <c r="I97" t="s">
        <v>337</v>
      </c>
      <c r="J97" t="s">
        <v>338</v>
      </c>
      <c r="K97" t="s">
        <v>21</v>
      </c>
      <c r="L97" cm="1">
        <f t="array" ref="L97">SUM(IF(INT($F$2:$F$402)&amp;$C$2:$C$402=INT($F97)&amp;$C97,1,0))</f>
        <v>1</v>
      </c>
      <c r="M97" t="str">
        <f>INDEX(Wyart2000!$G$2:$G$594,MATCH($J97,Wyart2000!$W$2:$W$594,0),1)</f>
        <v>28399.43</v>
      </c>
    </row>
    <row r="98" spans="1:13" x14ac:dyDescent="0.25">
      <c r="A98" t="s">
        <v>151</v>
      </c>
      <c r="B98" t="s">
        <v>193</v>
      </c>
      <c r="C98" t="s">
        <v>14</v>
      </c>
      <c r="D98">
        <v>10</v>
      </c>
      <c r="E98" t="s">
        <v>63</v>
      </c>
      <c r="F98" t="s">
        <v>339</v>
      </c>
      <c r="G98" t="s">
        <v>17</v>
      </c>
      <c r="H98" t="s">
        <v>17</v>
      </c>
      <c r="I98" t="s">
        <v>340</v>
      </c>
      <c r="J98" t="s">
        <v>341</v>
      </c>
      <c r="K98" t="s">
        <v>21</v>
      </c>
      <c r="L98" cm="1">
        <f t="array" ref="L98">SUM(IF(INT($F$2:$F$402)&amp;$C$2:$C$402=INT($F98)&amp;$C98,1,0))</f>
        <v>1</v>
      </c>
      <c r="M98" t="str">
        <f>INDEX(Wyart2000!$G$2:$G$594,MATCH($J98,Wyart2000!$W$2:$W$594,0),1)</f>
        <v>28720.71</v>
      </c>
    </row>
    <row r="99" spans="1:13" x14ac:dyDescent="0.25">
      <c r="A99" t="s">
        <v>334</v>
      </c>
      <c r="B99" t="s">
        <v>335</v>
      </c>
      <c r="C99" t="s">
        <v>14</v>
      </c>
      <c r="D99">
        <v>10</v>
      </c>
      <c r="E99" t="s">
        <v>63</v>
      </c>
      <c r="F99" t="s">
        <v>342</v>
      </c>
      <c r="G99" t="s">
        <v>17</v>
      </c>
      <c r="H99" t="s">
        <v>17</v>
      </c>
      <c r="I99" t="s">
        <v>343</v>
      </c>
      <c r="J99" t="s">
        <v>344</v>
      </c>
      <c r="K99" t="s">
        <v>21</v>
      </c>
      <c r="L99" cm="1">
        <f t="array" ref="L99">SUM(IF(INT($F$2:$F$402)&amp;$C$2:$C$402=INT($F99)&amp;$C99,1,0))</f>
        <v>1</v>
      </c>
      <c r="M99" t="str">
        <f>INDEX(Wyart2000!$G$2:$G$594,MATCH($J99,Wyart2000!$W$2:$W$594,0),1)</f>
        <v>28885.14</v>
      </c>
    </row>
    <row r="100" spans="1:13" x14ac:dyDescent="0.25">
      <c r="A100" t="s">
        <v>200</v>
      </c>
      <c r="B100" t="s">
        <v>321</v>
      </c>
      <c r="C100" t="s">
        <v>35</v>
      </c>
      <c r="D100">
        <v>4</v>
      </c>
      <c r="E100" t="s">
        <v>63</v>
      </c>
      <c r="F100" t="s">
        <v>345</v>
      </c>
      <c r="G100" t="s">
        <v>17</v>
      </c>
      <c r="H100" t="s">
        <v>17</v>
      </c>
      <c r="I100" t="s">
        <v>346</v>
      </c>
      <c r="J100" t="s">
        <v>347</v>
      </c>
      <c r="K100" t="s">
        <v>21</v>
      </c>
      <c r="L100" cm="1">
        <f t="array" ref="L100">SUM(IF(INT($F$2:$F$402)&amp;$C$2:$C$402=INT($F100)&amp;$C100,1,0))</f>
        <v>1</v>
      </c>
      <c r="M100" t="str">
        <f>INDEX(Wyart2000!$G$2:$G$594,MATCH($J100,Wyart2000!$W$2:$W$594,0),1)</f>
        <v>28936.46</v>
      </c>
    </row>
    <row r="101" spans="1:13" x14ac:dyDescent="0.25">
      <c r="A101" t="s">
        <v>200</v>
      </c>
      <c r="B101" t="s">
        <v>140</v>
      </c>
      <c r="C101" t="s">
        <v>26</v>
      </c>
      <c r="D101">
        <v>14</v>
      </c>
      <c r="E101" t="s">
        <v>63</v>
      </c>
      <c r="F101" t="s">
        <v>348</v>
      </c>
      <c r="G101" t="s">
        <v>17</v>
      </c>
      <c r="H101" t="s">
        <v>17</v>
      </c>
      <c r="I101" t="s">
        <v>349</v>
      </c>
      <c r="J101" t="s">
        <v>350</v>
      </c>
      <c r="K101" t="s">
        <v>21</v>
      </c>
      <c r="L101" cm="1">
        <f t="array" ref="L101">SUM(IF(INT($F$2:$F$402)&amp;$C$2:$C$402=INT($F101)&amp;$C101,1,0))</f>
        <v>1</v>
      </c>
      <c r="M101" t="str">
        <f>INDEX(Wyart2000!$G$2:$G$594,MATCH($J101,Wyart2000!$W$2:$W$594,0),1)</f>
        <v>29263.08</v>
      </c>
    </row>
    <row r="102" spans="1:13" x14ac:dyDescent="0.25">
      <c r="A102" t="s">
        <v>200</v>
      </c>
      <c r="B102" t="s">
        <v>351</v>
      </c>
      <c r="C102" t="s">
        <v>43</v>
      </c>
      <c r="D102">
        <v>6</v>
      </c>
      <c r="E102" t="s">
        <v>63</v>
      </c>
      <c r="F102" t="s">
        <v>352</v>
      </c>
      <c r="G102" t="s">
        <v>17</v>
      </c>
      <c r="H102" t="s">
        <v>17</v>
      </c>
      <c r="I102" t="s">
        <v>353</v>
      </c>
      <c r="J102" t="s">
        <v>354</v>
      </c>
      <c r="K102" t="s">
        <v>21</v>
      </c>
      <c r="L102" cm="1">
        <f t="array" ref="L102">SUM(IF(INT($F$2:$F$402)&amp;$C$2:$C$402=INT($F102)&amp;$C102,1,0))</f>
        <v>1</v>
      </c>
      <c r="M102" t="str">
        <f>INDEX(Wyart2000!$G$2:$G$594,MATCH($J102,Wyart2000!$W$2:$W$594,0),1)</f>
        <v>29267.86</v>
      </c>
    </row>
    <row r="103" spans="1:13" x14ac:dyDescent="0.25">
      <c r="A103" t="s">
        <v>151</v>
      </c>
      <c r="B103" t="s">
        <v>62</v>
      </c>
      <c r="C103" t="s">
        <v>14</v>
      </c>
      <c r="D103">
        <v>10</v>
      </c>
      <c r="E103" t="s">
        <v>63</v>
      </c>
      <c r="F103" t="s">
        <v>355</v>
      </c>
      <c r="G103" t="s">
        <v>17</v>
      </c>
      <c r="H103" t="s">
        <v>17</v>
      </c>
      <c r="I103" t="s">
        <v>356</v>
      </c>
      <c r="J103" t="s">
        <v>357</v>
      </c>
      <c r="K103" t="s">
        <v>21</v>
      </c>
      <c r="L103" cm="1">
        <f t="array" ref="L103">SUM(IF(INT($F$2:$F$402)&amp;$C$2:$C$402=INT($F103)&amp;$C103,1,0))</f>
        <v>1</v>
      </c>
      <c r="M103" t="str">
        <f>INDEX(Wyart2000!$G$2:$G$594,MATCH($J103,Wyart2000!$W$2:$W$594,0),1)</f>
        <v>29835.09</v>
      </c>
    </row>
    <row r="104" spans="1:13" x14ac:dyDescent="0.25">
      <c r="A104" t="s">
        <v>151</v>
      </c>
      <c r="B104" t="s">
        <v>62</v>
      </c>
      <c r="C104" t="s">
        <v>22</v>
      </c>
      <c r="D104">
        <v>12</v>
      </c>
      <c r="E104" t="s">
        <v>63</v>
      </c>
      <c r="F104" t="s">
        <v>358</v>
      </c>
      <c r="G104" t="s">
        <v>17</v>
      </c>
      <c r="H104" t="s">
        <v>17</v>
      </c>
      <c r="I104" t="s">
        <v>359</v>
      </c>
      <c r="J104" t="s">
        <v>360</v>
      </c>
      <c r="K104" t="s">
        <v>21</v>
      </c>
      <c r="L104" cm="1">
        <f t="array" ref="L104">SUM(IF(INT($F$2:$F$402)&amp;$C$2:$C$402=INT($F104)&amp;$C104,1,0))</f>
        <v>1</v>
      </c>
      <c r="M104" t="str">
        <f>INDEX(Wyart2000!$G$2:$G$594,MATCH($J104,Wyart2000!$W$2:$W$594,0),1)</f>
        <v>30505.72</v>
      </c>
    </row>
    <row r="105" spans="1:13" x14ac:dyDescent="0.25">
      <c r="A105" t="s">
        <v>361</v>
      </c>
      <c r="B105" t="s">
        <v>362</v>
      </c>
      <c r="C105" t="s">
        <v>22</v>
      </c>
      <c r="D105">
        <v>12</v>
      </c>
      <c r="E105" t="s">
        <v>63</v>
      </c>
      <c r="F105" t="s">
        <v>363</v>
      </c>
      <c r="G105" t="s">
        <v>17</v>
      </c>
      <c r="H105" t="s">
        <v>17</v>
      </c>
      <c r="I105" t="s">
        <v>121</v>
      </c>
      <c r="J105" t="s">
        <v>364</v>
      </c>
      <c r="K105" t="s">
        <v>21</v>
      </c>
      <c r="L105" cm="1">
        <f t="array" ref="L105">SUM(IF(INT($F$2:$F$402)&amp;$C$2:$C$402=INT($F105)&amp;$C105,1,0))</f>
        <v>1</v>
      </c>
      <c r="M105" t="str">
        <f>INDEX(Wyart2000!$G$2:$G$594,MATCH($J105,Wyart2000!$W$2:$W$594,0),1)</f>
        <v>30733.53</v>
      </c>
    </row>
    <row r="106" spans="1:13" x14ac:dyDescent="0.25">
      <c r="A106" t="s">
        <v>361</v>
      </c>
      <c r="B106" t="s">
        <v>362</v>
      </c>
      <c r="C106" t="s">
        <v>14</v>
      </c>
      <c r="D106">
        <v>10</v>
      </c>
      <c r="E106" t="s">
        <v>63</v>
      </c>
      <c r="F106" t="s">
        <v>365</v>
      </c>
      <c r="G106" t="s">
        <v>17</v>
      </c>
      <c r="H106" t="s">
        <v>17</v>
      </c>
      <c r="I106" t="s">
        <v>94</v>
      </c>
      <c r="J106" t="s">
        <v>366</v>
      </c>
      <c r="K106" t="s">
        <v>21</v>
      </c>
      <c r="L106" cm="1">
        <f t="array" ref="L106">SUM(IF(INT($F$2:$F$402)&amp;$C$2:$C$402=INT($F106)&amp;$C106,1,0))</f>
        <v>1</v>
      </c>
      <c r="M106" t="str">
        <f>INDEX(Wyart2000!$G$2:$G$594,MATCH($J106,Wyart2000!$W$2:$W$594,0),1)</f>
        <v>30994.55</v>
      </c>
    </row>
    <row r="107" spans="1:13" x14ac:dyDescent="0.25">
      <c r="A107" t="s">
        <v>200</v>
      </c>
      <c r="B107" t="s">
        <v>17</v>
      </c>
      <c r="C107" t="s">
        <v>47</v>
      </c>
      <c r="D107">
        <v>8</v>
      </c>
      <c r="E107" t="s">
        <v>63</v>
      </c>
      <c r="F107" t="s">
        <v>367</v>
      </c>
      <c r="G107" t="s">
        <v>17</v>
      </c>
      <c r="H107" t="s">
        <v>17</v>
      </c>
      <c r="I107" t="s">
        <v>368</v>
      </c>
      <c r="J107" t="s">
        <v>369</v>
      </c>
      <c r="K107" t="s">
        <v>21</v>
      </c>
      <c r="L107" cm="1">
        <f t="array" ref="L107">SUM(IF(INT($F$2:$F$402)&amp;$C$2:$C$402=INT($F107)&amp;$C107,1,0))</f>
        <v>1</v>
      </c>
      <c r="M107" t="str">
        <f>INDEX(Wyart2000!$G$2:$G$594,MATCH($J107,Wyart2000!$W$2:$W$594,0),1)</f>
        <v>31254.71</v>
      </c>
    </row>
    <row r="108" spans="1:13" x14ac:dyDescent="0.25">
      <c r="A108" t="s">
        <v>12</v>
      </c>
      <c r="B108" t="s">
        <v>370</v>
      </c>
      <c r="C108" t="s">
        <v>47</v>
      </c>
      <c r="D108">
        <v>8</v>
      </c>
      <c r="E108" t="s">
        <v>15</v>
      </c>
      <c r="F108" t="s">
        <v>371</v>
      </c>
      <c r="G108" t="s">
        <v>17</v>
      </c>
      <c r="H108" t="s">
        <v>17</v>
      </c>
      <c r="I108" t="s">
        <v>372</v>
      </c>
      <c r="J108" t="s">
        <v>373</v>
      </c>
      <c r="K108" t="s">
        <v>21</v>
      </c>
      <c r="L108" cm="1">
        <f t="array" ref="L108">SUM(IF(INT($F$2:$F$402)&amp;$C$2:$C$402=INT($F108)&amp;$C108,1,0))</f>
        <v>1</v>
      </c>
      <c r="M108" t="str">
        <f>INDEX(Wyart2000!$G$2:$G$594,MATCH($J108,Wyart2000!$W$2:$W$594,0),1)</f>
        <v>31787.93</v>
      </c>
    </row>
    <row r="109" spans="1:13" x14ac:dyDescent="0.25">
      <c r="A109" t="s">
        <v>374</v>
      </c>
      <c r="B109" t="s">
        <v>375</v>
      </c>
      <c r="C109" t="s">
        <v>145</v>
      </c>
      <c r="D109">
        <v>2</v>
      </c>
      <c r="E109" t="s">
        <v>63</v>
      </c>
      <c r="F109" t="s">
        <v>376</v>
      </c>
      <c r="G109" t="s">
        <v>17</v>
      </c>
      <c r="H109" t="s">
        <v>17</v>
      </c>
      <c r="I109" t="s">
        <v>377</v>
      </c>
      <c r="J109" t="s">
        <v>378</v>
      </c>
      <c r="K109" t="s">
        <v>21</v>
      </c>
      <c r="L109" cm="1">
        <f t="array" ref="L109">SUM(IF(INT($F$2:$F$402)&amp;$C$2:$C$402=INT($F109)&amp;$C109,1,0))</f>
        <v>1</v>
      </c>
      <c r="M109" t="str">
        <f>INDEX(Wyart2000!$G$2:$G$594,MATCH($J109,Wyart2000!$W$2:$W$594,0),1)</f>
        <v>31803.70</v>
      </c>
    </row>
    <row r="110" spans="1:13" x14ac:dyDescent="0.25">
      <c r="A110" t="s">
        <v>374</v>
      </c>
      <c r="B110" t="s">
        <v>379</v>
      </c>
      <c r="C110" t="s">
        <v>35</v>
      </c>
      <c r="D110">
        <v>4</v>
      </c>
      <c r="E110" t="s">
        <v>63</v>
      </c>
      <c r="F110" t="s">
        <v>380</v>
      </c>
      <c r="G110" t="s">
        <v>17</v>
      </c>
      <c r="H110" t="s">
        <v>17</v>
      </c>
      <c r="I110" t="s">
        <v>381</v>
      </c>
      <c r="J110" t="s">
        <v>382</v>
      </c>
      <c r="K110" t="s">
        <v>21</v>
      </c>
      <c r="L110" cm="1">
        <f t="array" ref="L110">SUM(IF(INT($F$2:$F$402)&amp;$C$2:$C$402=INT($F110)&amp;$C110,1,0))</f>
        <v>1</v>
      </c>
      <c r="M110" t="str">
        <f>INDEX(Wyart2000!$G$2:$G$594,MATCH($J110,Wyart2000!$W$2:$W$594,0),1)</f>
        <v>32288.92</v>
      </c>
    </row>
    <row r="111" spans="1:13" x14ac:dyDescent="0.25">
      <c r="A111" t="s">
        <v>383</v>
      </c>
      <c r="B111" t="s">
        <v>384</v>
      </c>
      <c r="C111" t="s">
        <v>26</v>
      </c>
      <c r="D111">
        <v>14</v>
      </c>
      <c r="E111" t="s">
        <v>63</v>
      </c>
      <c r="F111" t="s">
        <v>385</v>
      </c>
      <c r="G111" t="s">
        <v>17</v>
      </c>
      <c r="H111" t="s">
        <v>17</v>
      </c>
      <c r="I111" t="s">
        <v>28</v>
      </c>
      <c r="J111" t="s">
        <v>386</v>
      </c>
      <c r="K111" t="s">
        <v>21</v>
      </c>
      <c r="L111" cm="1">
        <f t="array" ref="L111">SUM(IF(INT($F$2:$F$402)&amp;$C$2:$C$402=INT($F111)&amp;$C111,1,0))</f>
        <v>1</v>
      </c>
      <c r="M111" t="str">
        <f>INDEX(Wyart2000!$G$2:$G$594,MATCH($J111,Wyart2000!$W$2:$W$594,0),1)</f>
        <v>32760.11</v>
      </c>
    </row>
    <row r="112" spans="1:13" x14ac:dyDescent="0.25">
      <c r="A112" t="s">
        <v>387</v>
      </c>
      <c r="B112" t="s">
        <v>388</v>
      </c>
      <c r="C112" t="s">
        <v>35</v>
      </c>
      <c r="D112">
        <v>4</v>
      </c>
      <c r="E112" t="s">
        <v>63</v>
      </c>
      <c r="F112" t="s">
        <v>389</v>
      </c>
      <c r="G112" t="s">
        <v>17</v>
      </c>
      <c r="H112" t="s">
        <v>17</v>
      </c>
      <c r="I112" t="s">
        <v>121</v>
      </c>
      <c r="J112" t="s">
        <v>390</v>
      </c>
      <c r="K112" t="s">
        <v>21</v>
      </c>
      <c r="L112" cm="1">
        <f t="array" ref="L112">SUM(IF(INT($F$2:$F$402)&amp;$C$2:$C$402=INT($F112)&amp;$C112,1,0))</f>
        <v>1</v>
      </c>
      <c r="M112" t="str">
        <f>INDEX(Wyart2000!$G$2:$G$594,MATCH($J112,Wyart2000!$W$2:$W$594,0),1)</f>
        <v>33338.37</v>
      </c>
    </row>
    <row r="113" spans="1:13" x14ac:dyDescent="0.25">
      <c r="A113" t="s">
        <v>383</v>
      </c>
      <c r="B113" t="s">
        <v>384</v>
      </c>
      <c r="C113" t="s">
        <v>22</v>
      </c>
      <c r="D113">
        <v>12</v>
      </c>
      <c r="E113" t="s">
        <v>63</v>
      </c>
      <c r="F113" t="s">
        <v>391</v>
      </c>
      <c r="G113" t="s">
        <v>17</v>
      </c>
      <c r="H113" t="s">
        <v>17</v>
      </c>
      <c r="I113" t="s">
        <v>337</v>
      </c>
      <c r="J113" t="s">
        <v>392</v>
      </c>
      <c r="K113" t="s">
        <v>21</v>
      </c>
      <c r="L113" cm="1">
        <f t="array" ref="L113">SUM(IF(INT($F$2:$F$402)&amp;$C$2:$C$402=INT($F113)&amp;$C113,1,0))</f>
        <v>1</v>
      </c>
      <c r="M113" t="str">
        <f>INDEX(Wyart2000!$G$2:$G$594,MATCH($J113,Wyart2000!$W$2:$W$594,0),1)</f>
        <v>33466.41</v>
      </c>
    </row>
    <row r="114" spans="1:13" x14ac:dyDescent="0.25">
      <c r="A114" t="s">
        <v>387</v>
      </c>
      <c r="B114" t="s">
        <v>388</v>
      </c>
      <c r="C114" t="s">
        <v>43</v>
      </c>
      <c r="D114">
        <v>6</v>
      </c>
      <c r="E114" t="s">
        <v>63</v>
      </c>
      <c r="F114" t="s">
        <v>393</v>
      </c>
      <c r="G114" t="s">
        <v>17</v>
      </c>
      <c r="H114" t="s">
        <v>17</v>
      </c>
      <c r="I114" t="s">
        <v>394</v>
      </c>
      <c r="J114" t="s">
        <v>395</v>
      </c>
      <c r="K114" t="s">
        <v>21</v>
      </c>
      <c r="L114" cm="1">
        <f t="array" ref="L114">SUM(IF(INT($F$2:$F$402)&amp;$C$2:$C$402=INT($F114)&amp;$C114,1,0))</f>
        <v>1</v>
      </c>
      <c r="M114" t="str">
        <f>INDEX(Wyart2000!$G$2:$G$594,MATCH($J114,Wyart2000!$W$2:$W$594,0),1)</f>
        <v>33659.99</v>
      </c>
    </row>
    <row r="115" spans="1:13" x14ac:dyDescent="0.25">
      <c r="A115" t="s">
        <v>374</v>
      </c>
      <c r="B115" t="s">
        <v>379</v>
      </c>
      <c r="C115" t="s">
        <v>145</v>
      </c>
      <c r="D115">
        <v>2</v>
      </c>
      <c r="E115" t="s">
        <v>63</v>
      </c>
      <c r="F115" t="s">
        <v>396</v>
      </c>
      <c r="G115" t="s">
        <v>17</v>
      </c>
      <c r="H115" t="s">
        <v>17</v>
      </c>
      <c r="I115" t="s">
        <v>397</v>
      </c>
      <c r="J115" t="s">
        <v>398</v>
      </c>
      <c r="K115" t="s">
        <v>21</v>
      </c>
      <c r="L115" cm="1">
        <f t="array" ref="L115">SUM(IF(INT($F$2:$F$402)&amp;$C$2:$C$402=INT($F115)&amp;$C115,1,0))</f>
        <v>1</v>
      </c>
      <c r="M115" t="str">
        <f>INDEX(Wyart2000!$G$2:$G$594,MATCH($J115,Wyart2000!$W$2:$W$594,0),1)</f>
        <v>34198.61</v>
      </c>
    </row>
    <row r="116" spans="1:13" x14ac:dyDescent="0.25">
      <c r="A116" t="s">
        <v>374</v>
      </c>
      <c r="B116" t="s">
        <v>351</v>
      </c>
      <c r="C116" t="s">
        <v>43</v>
      </c>
      <c r="D116">
        <v>6</v>
      </c>
      <c r="E116" t="s">
        <v>63</v>
      </c>
      <c r="F116" t="s">
        <v>399</v>
      </c>
      <c r="G116" t="s">
        <v>17</v>
      </c>
      <c r="H116" t="s">
        <v>17</v>
      </c>
      <c r="I116" t="s">
        <v>400</v>
      </c>
      <c r="J116" t="s">
        <v>401</v>
      </c>
      <c r="K116" t="s">
        <v>21</v>
      </c>
      <c r="L116" cm="1">
        <f t="array" ref="L116">SUM(IF(INT($F$2:$F$402)&amp;$C$2:$C$402=INT($F116)&amp;$C116,1,0))</f>
        <v>1</v>
      </c>
      <c r="M116" t="str">
        <f>INDEX(Wyart2000!$G$2:$G$594,MATCH($J116,Wyart2000!$W$2:$W$594,0),1)</f>
        <v>34520.27</v>
      </c>
    </row>
    <row r="117" spans="1:13" x14ac:dyDescent="0.25">
      <c r="A117" t="s">
        <v>402</v>
      </c>
      <c r="B117" t="s">
        <v>403</v>
      </c>
      <c r="C117" t="s">
        <v>47</v>
      </c>
      <c r="D117">
        <v>8</v>
      </c>
      <c r="E117" t="s">
        <v>63</v>
      </c>
      <c r="F117" t="s">
        <v>404</v>
      </c>
      <c r="G117" t="s">
        <v>17</v>
      </c>
      <c r="H117" t="s">
        <v>17</v>
      </c>
      <c r="I117" t="s">
        <v>178</v>
      </c>
      <c r="J117" t="s">
        <v>405</v>
      </c>
      <c r="K117" t="s">
        <v>21</v>
      </c>
      <c r="L117" cm="1">
        <f t="array" ref="L117">SUM(IF(INT($F$2:$F$402)&amp;$C$2:$C$402=INT($F117)&amp;$C117,1,0))</f>
        <v>1</v>
      </c>
      <c r="M117" t="str">
        <f>INDEX(Wyart2000!$G$2:$G$594,MATCH($J117,Wyart2000!$W$2:$W$594,0),1)</f>
        <v>34825.49</v>
      </c>
    </row>
    <row r="118" spans="1:13" x14ac:dyDescent="0.25">
      <c r="A118" t="s">
        <v>374</v>
      </c>
      <c r="B118" t="s">
        <v>193</v>
      </c>
      <c r="C118" t="s">
        <v>47</v>
      </c>
      <c r="D118">
        <v>8</v>
      </c>
      <c r="E118" t="s">
        <v>63</v>
      </c>
      <c r="F118" t="s">
        <v>406</v>
      </c>
      <c r="G118" t="s">
        <v>17</v>
      </c>
      <c r="H118" t="s">
        <v>17</v>
      </c>
      <c r="I118" t="s">
        <v>407</v>
      </c>
      <c r="J118" t="s">
        <v>408</v>
      </c>
      <c r="K118" t="s">
        <v>21</v>
      </c>
      <c r="L118" cm="1">
        <f t="array" ref="L118">SUM(IF(INT($F$2:$F$402)&amp;$C$2:$C$402=INT($F118)&amp;$C118,1,0))</f>
        <v>1</v>
      </c>
      <c r="M118" t="str">
        <f>INDEX(Wyart2000!$G$2:$G$594,MATCH($J118,Wyart2000!$W$2:$W$594,0),1)</f>
        <v>35024.49</v>
      </c>
    </row>
    <row r="119" spans="1:13" x14ac:dyDescent="0.25">
      <c r="A119" t="s">
        <v>409</v>
      </c>
      <c r="B119" t="s">
        <v>17</v>
      </c>
      <c r="C119" t="s">
        <v>35</v>
      </c>
      <c r="D119">
        <v>4</v>
      </c>
      <c r="E119" t="s">
        <v>63</v>
      </c>
      <c r="F119" t="s">
        <v>410</v>
      </c>
      <c r="G119" t="s">
        <v>17</v>
      </c>
      <c r="H119" t="s">
        <v>17</v>
      </c>
      <c r="I119" t="s">
        <v>411</v>
      </c>
      <c r="J119" t="s">
        <v>412</v>
      </c>
      <c r="K119" t="s">
        <v>21</v>
      </c>
      <c r="L119" cm="1">
        <f t="array" ref="L119">SUM(IF(INT($F$2:$F$402)&amp;$C$2:$C$402=INT($F119)&amp;$C119,1,0))</f>
        <v>1</v>
      </c>
      <c r="M119" t="str">
        <f>INDEX(Wyart2000!$G$2:$G$594,MATCH($J119,Wyart2000!$W$2:$W$594,0),1)</f>
        <v>35137.82</v>
      </c>
    </row>
    <row r="120" spans="1:13" x14ac:dyDescent="0.25">
      <c r="A120" t="s">
        <v>413</v>
      </c>
      <c r="B120" t="s">
        <v>335</v>
      </c>
      <c r="C120" t="s">
        <v>14</v>
      </c>
      <c r="D120">
        <v>10</v>
      </c>
      <c r="E120" t="s">
        <v>63</v>
      </c>
      <c r="F120" t="s">
        <v>414</v>
      </c>
      <c r="G120" t="s">
        <v>17</v>
      </c>
      <c r="H120" t="s">
        <v>17</v>
      </c>
      <c r="I120" t="s">
        <v>415</v>
      </c>
      <c r="J120" t="s">
        <v>416</v>
      </c>
      <c r="K120" t="s">
        <v>21</v>
      </c>
      <c r="L120" cm="1">
        <f t="array" ref="L120">SUM(IF(INT($F$2:$F$402)&amp;$C$2:$C$402=INT($F120)&amp;$C120,1,0))</f>
        <v>1</v>
      </c>
      <c r="M120" t="str">
        <f>INDEX(Wyart2000!$G$2:$G$594,MATCH($J120,Wyart2000!$W$2:$W$594,0),1)</f>
        <v>35291.00</v>
      </c>
    </row>
    <row r="121" spans="1:13" x14ac:dyDescent="0.25">
      <c r="A121" t="s">
        <v>402</v>
      </c>
      <c r="B121" t="s">
        <v>403</v>
      </c>
      <c r="C121" t="s">
        <v>43</v>
      </c>
      <c r="D121">
        <v>6</v>
      </c>
      <c r="E121" t="s">
        <v>63</v>
      </c>
      <c r="F121" t="s">
        <v>417</v>
      </c>
      <c r="G121" t="s">
        <v>17</v>
      </c>
      <c r="H121" t="s">
        <v>17</v>
      </c>
      <c r="I121" t="s">
        <v>418</v>
      </c>
      <c r="J121" t="s">
        <v>419</v>
      </c>
      <c r="K121" t="s">
        <v>21</v>
      </c>
      <c r="L121" cm="1">
        <f t="array" ref="L121">SUM(IF(INT($F$2:$F$402)&amp;$C$2:$C$402=INT($F121)&amp;$C121,1,0))</f>
        <v>1</v>
      </c>
      <c r="M121" t="str">
        <f>INDEX(Wyart2000!$G$2:$G$594,MATCH($J121,Wyart2000!$W$2:$W$594,0),1)</f>
        <v>35384.17</v>
      </c>
    </row>
    <row r="122" spans="1:13" x14ac:dyDescent="0.25">
      <c r="A122" t="s">
        <v>413</v>
      </c>
      <c r="B122" t="s">
        <v>335</v>
      </c>
      <c r="C122" t="s">
        <v>47</v>
      </c>
      <c r="D122">
        <v>8</v>
      </c>
      <c r="E122" t="s">
        <v>63</v>
      </c>
      <c r="F122" t="s">
        <v>420</v>
      </c>
      <c r="G122" t="s">
        <v>17</v>
      </c>
      <c r="H122" t="s">
        <v>17</v>
      </c>
      <c r="I122" t="s">
        <v>421</v>
      </c>
      <c r="J122" t="s">
        <v>422</v>
      </c>
      <c r="K122" t="s">
        <v>21</v>
      </c>
      <c r="L122" cm="1">
        <f t="array" ref="L122">SUM(IF(INT($F$2:$F$402)&amp;$C$2:$C$402=INT($F122)&amp;$C122,1,0))</f>
        <v>1</v>
      </c>
      <c r="M122" t="str">
        <f>INDEX(Wyart2000!$G$2:$G$594,MATCH($J122,Wyart2000!$W$2:$W$594,0),1)</f>
        <v>35801.12</v>
      </c>
    </row>
    <row r="123" spans="1:13" x14ac:dyDescent="0.25">
      <c r="A123" t="s">
        <v>374</v>
      </c>
      <c r="B123" t="s">
        <v>193</v>
      </c>
      <c r="C123" t="s">
        <v>14</v>
      </c>
      <c r="D123">
        <v>10</v>
      </c>
      <c r="E123" t="s">
        <v>63</v>
      </c>
      <c r="F123" t="s">
        <v>423</v>
      </c>
      <c r="G123" t="s">
        <v>17</v>
      </c>
      <c r="H123" t="s">
        <v>17</v>
      </c>
      <c r="I123" t="s">
        <v>424</v>
      </c>
      <c r="J123" t="s">
        <v>425</v>
      </c>
      <c r="K123" t="s">
        <v>21</v>
      </c>
      <c r="L123" cm="1">
        <f t="array" ref="L123">SUM(IF(INT($F$2:$F$402)&amp;$C$2:$C$402=INT($F123)&amp;$C123,1,0))</f>
        <v>1</v>
      </c>
      <c r="M123" t="str">
        <f>INDEX(Wyart2000!$G$2:$G$594,MATCH($J123,Wyart2000!$W$2:$W$594,0),1)</f>
        <v>35828.46</v>
      </c>
    </row>
    <row r="124" spans="1:13" x14ac:dyDescent="0.25">
      <c r="A124" t="s">
        <v>409</v>
      </c>
      <c r="B124" t="s">
        <v>173</v>
      </c>
      <c r="C124" t="s">
        <v>35</v>
      </c>
      <c r="D124">
        <v>4</v>
      </c>
      <c r="E124" t="s">
        <v>63</v>
      </c>
      <c r="F124" t="s">
        <v>426</v>
      </c>
      <c r="G124" t="s">
        <v>17</v>
      </c>
      <c r="H124" t="s">
        <v>17</v>
      </c>
      <c r="I124" t="s">
        <v>427</v>
      </c>
      <c r="J124" t="s">
        <v>428</v>
      </c>
      <c r="K124" t="s">
        <v>21</v>
      </c>
      <c r="L124" cm="1">
        <f t="array" ref="L124">SUM(IF(INT($F$2:$F$402)&amp;$C$2:$C$402=INT($F124)&amp;$C124,1,0))</f>
        <v>1</v>
      </c>
      <c r="M124" t="str">
        <f>INDEX(Wyart2000!$G$2:$G$594,MATCH($J124,Wyart2000!$W$2:$W$594,0),1)</f>
        <v>35863.74</v>
      </c>
    </row>
    <row r="125" spans="1:13" x14ac:dyDescent="0.25">
      <c r="A125" t="s">
        <v>374</v>
      </c>
      <c r="B125" t="s">
        <v>351</v>
      </c>
      <c r="C125" t="s">
        <v>47</v>
      </c>
      <c r="D125">
        <v>8</v>
      </c>
      <c r="E125" t="s">
        <v>63</v>
      </c>
      <c r="F125" t="s">
        <v>429</v>
      </c>
      <c r="G125" t="s">
        <v>17</v>
      </c>
      <c r="H125" t="s">
        <v>17</v>
      </c>
      <c r="I125" t="s">
        <v>430</v>
      </c>
      <c r="J125" t="s">
        <v>431</v>
      </c>
      <c r="K125" t="s">
        <v>21</v>
      </c>
      <c r="L125" cm="1">
        <f t="array" ref="L125">SUM(IF(INT($F$2:$F$402)&amp;$C$2:$C$402=INT($F125)&amp;$C125,1,0))</f>
        <v>1</v>
      </c>
      <c r="M125" t="str">
        <f>INDEX(Wyart2000!$G$2:$G$594,MATCH($J125,Wyart2000!$W$2:$W$594,0),1)</f>
        <v>36640.38</v>
      </c>
    </row>
    <row r="126" spans="1:13" x14ac:dyDescent="0.25">
      <c r="A126" t="s">
        <v>432</v>
      </c>
      <c r="B126" t="s">
        <v>140</v>
      </c>
      <c r="C126" t="s">
        <v>26</v>
      </c>
      <c r="D126">
        <v>14</v>
      </c>
      <c r="E126" t="s">
        <v>63</v>
      </c>
      <c r="F126" t="s">
        <v>433</v>
      </c>
      <c r="G126" t="s">
        <v>17</v>
      </c>
      <c r="H126" t="s">
        <v>17</v>
      </c>
      <c r="I126" t="s">
        <v>434</v>
      </c>
      <c r="J126" t="s">
        <v>435</v>
      </c>
      <c r="K126" t="s">
        <v>21</v>
      </c>
      <c r="L126" cm="1">
        <f t="array" ref="L126">SUM(IF(INT($F$2:$F$402)&amp;$C$2:$C$402=INT($F126)&amp;$C126,1,0))</f>
        <v>1</v>
      </c>
      <c r="M126" t="str">
        <f>INDEX(Wyart2000!$G$2:$G$594,MATCH($J126,Wyart2000!$W$2:$W$594,0),1)</f>
        <v>36642.13</v>
      </c>
    </row>
    <row r="127" spans="1:13" x14ac:dyDescent="0.25">
      <c r="A127" t="s">
        <v>409</v>
      </c>
      <c r="B127" t="s">
        <v>173</v>
      </c>
      <c r="C127" t="s">
        <v>43</v>
      </c>
      <c r="D127">
        <v>6</v>
      </c>
      <c r="E127" t="s">
        <v>63</v>
      </c>
      <c r="F127" t="s">
        <v>436</v>
      </c>
      <c r="G127" t="s">
        <v>17</v>
      </c>
      <c r="H127" t="s">
        <v>17</v>
      </c>
      <c r="I127" t="s">
        <v>437</v>
      </c>
      <c r="J127" t="s">
        <v>438</v>
      </c>
      <c r="K127" t="s">
        <v>21</v>
      </c>
      <c r="L127" cm="1">
        <f t="array" ref="L127">SUM(IF(INT($F$2:$F$402)&amp;$C$2:$C$402=INT($F127)&amp;$C127,1,0))</f>
        <v>1</v>
      </c>
      <c r="M127" t="str">
        <f>INDEX(Wyart2000!$G$2:$G$594,MATCH($J127,Wyart2000!$W$2:$W$594,0),1)</f>
        <v>36652.29</v>
      </c>
    </row>
    <row r="128" spans="1:13" x14ac:dyDescent="0.25">
      <c r="A128" t="s">
        <v>432</v>
      </c>
      <c r="B128" t="s">
        <v>140</v>
      </c>
      <c r="C128" t="s">
        <v>22</v>
      </c>
      <c r="D128">
        <v>12</v>
      </c>
      <c r="E128" t="s">
        <v>63</v>
      </c>
      <c r="F128" t="s">
        <v>439</v>
      </c>
      <c r="G128" t="s">
        <v>17</v>
      </c>
      <c r="H128" t="s">
        <v>17</v>
      </c>
      <c r="I128" t="s">
        <v>440</v>
      </c>
      <c r="J128" t="s">
        <v>441</v>
      </c>
      <c r="K128" t="s">
        <v>21</v>
      </c>
      <c r="L128" cm="1">
        <f t="array" ref="L128">SUM(IF(INT($F$2:$F$402)&amp;$C$2:$C$402=INT($F128)&amp;$C128,1,0))</f>
        <v>1</v>
      </c>
      <c r="M128" t="str">
        <f>INDEX(Wyart2000!$G$2:$G$594,MATCH($J128,Wyart2000!$W$2:$W$594,0),1)</f>
        <v>36670.57</v>
      </c>
    </row>
    <row r="129" spans="1:13" x14ac:dyDescent="0.25">
      <c r="A129" t="s">
        <v>409</v>
      </c>
      <c r="B129" t="s">
        <v>186</v>
      </c>
      <c r="C129" t="s">
        <v>145</v>
      </c>
      <c r="D129">
        <v>2</v>
      </c>
      <c r="E129" t="s">
        <v>63</v>
      </c>
      <c r="F129" t="s">
        <v>442</v>
      </c>
      <c r="G129" t="s">
        <v>17</v>
      </c>
      <c r="H129" t="s">
        <v>17</v>
      </c>
      <c r="I129" t="s">
        <v>443</v>
      </c>
      <c r="J129" t="s">
        <v>444</v>
      </c>
      <c r="K129" t="s">
        <v>21</v>
      </c>
      <c r="L129" cm="1">
        <f t="array" ref="L129">SUM(IF(INT($F$2:$F$402)&amp;$C$2:$C$402=INT($F129)&amp;$C129,1,0))</f>
        <v>1</v>
      </c>
      <c r="M129" t="str">
        <f>INDEX(Wyart2000!$G$2:$G$594,MATCH($J129,Wyart2000!$W$2:$W$594,0),1)</f>
        <v>36683.21</v>
      </c>
    </row>
    <row r="130" spans="1:13" x14ac:dyDescent="0.25">
      <c r="A130" t="s">
        <v>409</v>
      </c>
      <c r="B130" t="s">
        <v>17</v>
      </c>
      <c r="C130" t="s">
        <v>43</v>
      </c>
      <c r="D130">
        <v>6</v>
      </c>
      <c r="E130" t="s">
        <v>63</v>
      </c>
      <c r="F130" t="s">
        <v>445</v>
      </c>
      <c r="G130" t="s">
        <v>17</v>
      </c>
      <c r="H130" t="s">
        <v>17</v>
      </c>
      <c r="I130" t="s">
        <v>446</v>
      </c>
      <c r="J130" t="s">
        <v>447</v>
      </c>
      <c r="K130" t="s">
        <v>21</v>
      </c>
      <c r="L130" cm="1">
        <f t="array" ref="L130">SUM(IF(INT($F$2:$F$402)&amp;$C$2:$C$402=INT($F130)&amp;$C130,1,0))</f>
        <v>1</v>
      </c>
      <c r="M130" t="str">
        <f>INDEX(Wyart2000!$G$2:$G$594,MATCH($J130,Wyart2000!$W$2:$W$594,0),1)</f>
        <v>37011.92</v>
      </c>
    </row>
    <row r="131" spans="1:13" x14ac:dyDescent="0.25">
      <c r="A131" t="s">
        <v>409</v>
      </c>
      <c r="B131" t="s">
        <v>186</v>
      </c>
      <c r="C131" t="s">
        <v>35</v>
      </c>
      <c r="D131">
        <v>4</v>
      </c>
      <c r="E131" t="s">
        <v>63</v>
      </c>
      <c r="F131" t="s">
        <v>448</v>
      </c>
      <c r="G131" t="s">
        <v>17</v>
      </c>
      <c r="H131" t="s">
        <v>17</v>
      </c>
      <c r="I131" t="s">
        <v>449</v>
      </c>
      <c r="J131" t="s">
        <v>450</v>
      </c>
      <c r="K131" t="s">
        <v>21</v>
      </c>
      <c r="L131" cm="1">
        <f t="array" ref="L131">SUM(IF(INT($F$2:$F$402)&amp;$C$2:$C$402=INT($F131)&amp;$C131,1,0))</f>
        <v>1</v>
      </c>
      <c r="M131" t="str">
        <f>INDEX(Wyart2000!$G$2:$G$594,MATCH($J131,Wyart2000!$W$2:$W$594,0),1)</f>
        <v>37197.64</v>
      </c>
    </row>
    <row r="132" spans="1:13" x14ac:dyDescent="0.25">
      <c r="A132" t="s">
        <v>409</v>
      </c>
      <c r="B132" t="s">
        <v>173</v>
      </c>
      <c r="C132" t="s">
        <v>47</v>
      </c>
      <c r="D132">
        <v>8</v>
      </c>
      <c r="E132" t="s">
        <v>63</v>
      </c>
      <c r="F132" t="s">
        <v>451</v>
      </c>
      <c r="G132" t="s">
        <v>17</v>
      </c>
      <c r="H132" t="s">
        <v>17</v>
      </c>
      <c r="I132" t="s">
        <v>452</v>
      </c>
      <c r="J132" t="s">
        <v>453</v>
      </c>
      <c r="K132" t="s">
        <v>21</v>
      </c>
      <c r="L132" cm="1">
        <f t="array" ref="L132">SUM(IF(INT($F$2:$F$402)&amp;$C$2:$C$402=INT($F132)&amp;$C132,1,0))</f>
        <v>1</v>
      </c>
      <c r="M132" t="str">
        <f>INDEX(Wyart2000!$G$2:$G$594,MATCH($J132,Wyart2000!$W$2:$W$594,0),1)</f>
        <v>37919.58</v>
      </c>
    </row>
    <row r="133" spans="1:13" x14ac:dyDescent="0.25">
      <c r="A133" t="s">
        <v>454</v>
      </c>
      <c r="B133" t="s">
        <v>335</v>
      </c>
      <c r="C133" t="s">
        <v>14</v>
      </c>
      <c r="D133">
        <v>10</v>
      </c>
      <c r="E133" t="s">
        <v>63</v>
      </c>
      <c r="F133" t="s">
        <v>455</v>
      </c>
      <c r="G133" t="s">
        <v>17</v>
      </c>
      <c r="H133" t="s">
        <v>17</v>
      </c>
      <c r="I133" t="s">
        <v>456</v>
      </c>
      <c r="J133" t="s">
        <v>457</v>
      </c>
      <c r="K133" t="s">
        <v>21</v>
      </c>
      <c r="L133" cm="1">
        <f t="array" ref="L133">SUM(IF(INT($F$2:$F$402)&amp;$C$2:$C$402=INT($F133)&amp;$C133,1,0))</f>
        <v>1</v>
      </c>
      <c r="M133" t="str">
        <f>INDEX(Wyart2000!$G$2:$G$594,MATCH($J133,Wyart2000!$W$2:$W$594,0),1)</f>
        <v>38448.38</v>
      </c>
    </row>
    <row r="134" spans="1:13" x14ac:dyDescent="0.25">
      <c r="A134" t="s">
        <v>409</v>
      </c>
      <c r="B134" t="s">
        <v>17</v>
      </c>
      <c r="C134" t="s">
        <v>145</v>
      </c>
      <c r="D134">
        <v>2</v>
      </c>
      <c r="E134" t="s">
        <v>63</v>
      </c>
      <c r="F134" t="s">
        <v>458</v>
      </c>
      <c r="G134" t="s">
        <v>17</v>
      </c>
      <c r="H134" t="s">
        <v>17</v>
      </c>
      <c r="I134" t="s">
        <v>459</v>
      </c>
      <c r="J134" t="s">
        <v>460</v>
      </c>
      <c r="K134" t="s">
        <v>21</v>
      </c>
      <c r="L134" cm="1">
        <f t="array" ref="L134">SUM(IF(INT($F$2:$F$402)&amp;$C$2:$C$402=INT($F134)&amp;$C134,1,0))</f>
        <v>1</v>
      </c>
      <c r="M134" t="str">
        <f>INDEX(Wyart2000!$G$2:$G$594,MATCH($J134,Wyart2000!$W$2:$W$594,0),1)</f>
        <v>38549.90</v>
      </c>
    </row>
    <row r="135" spans="1:13" x14ac:dyDescent="0.25">
      <c r="A135" t="s">
        <v>409</v>
      </c>
      <c r="B135" t="s">
        <v>186</v>
      </c>
      <c r="C135" t="s">
        <v>43</v>
      </c>
      <c r="D135">
        <v>6</v>
      </c>
      <c r="E135" t="s">
        <v>63</v>
      </c>
      <c r="F135" t="s">
        <v>461</v>
      </c>
      <c r="G135" t="s">
        <v>17</v>
      </c>
      <c r="H135" t="s">
        <v>17</v>
      </c>
      <c r="I135" t="s">
        <v>462</v>
      </c>
      <c r="J135" t="s">
        <v>463</v>
      </c>
      <c r="K135" t="s">
        <v>21</v>
      </c>
      <c r="L135" cm="1">
        <f t="array" ref="L135">SUM(IF(INT($F$2:$F$402)&amp;$C$2:$C$402=INT($F135)&amp;$C135,1,0))</f>
        <v>1</v>
      </c>
      <c r="M135" t="str">
        <f>INDEX(Wyart2000!$G$2:$G$594,MATCH($J135,Wyart2000!$W$2:$W$594,0),1)</f>
        <v>38694.51</v>
      </c>
    </row>
    <row r="136" spans="1:13" x14ac:dyDescent="0.25">
      <c r="A136" t="s">
        <v>432</v>
      </c>
      <c r="B136" t="s">
        <v>244</v>
      </c>
      <c r="C136" t="s">
        <v>26</v>
      </c>
      <c r="D136">
        <v>14</v>
      </c>
      <c r="E136" t="s">
        <v>63</v>
      </c>
      <c r="F136" t="s">
        <v>464</v>
      </c>
      <c r="G136" t="s">
        <v>17</v>
      </c>
      <c r="H136" t="s">
        <v>17</v>
      </c>
      <c r="I136" t="s">
        <v>465</v>
      </c>
      <c r="J136" t="s">
        <v>466</v>
      </c>
      <c r="K136" t="s">
        <v>21</v>
      </c>
      <c r="L136" cm="1">
        <f t="array" ref="L136">SUM(IF(INT($F$2:$F$402)&amp;$C$2:$C$402=INT($F136)&amp;$C136,1,0))</f>
        <v>1</v>
      </c>
      <c r="M136" t="str">
        <f>INDEX(Wyart2000!$G$2:$G$594,MATCH($J136,Wyart2000!$W$2:$W$594,0),1)</f>
        <v>38701.59</v>
      </c>
    </row>
    <row r="137" spans="1:13" x14ac:dyDescent="0.25">
      <c r="A137" t="s">
        <v>454</v>
      </c>
      <c r="B137" t="s">
        <v>335</v>
      </c>
      <c r="C137" t="s">
        <v>47</v>
      </c>
      <c r="D137">
        <v>8</v>
      </c>
      <c r="E137" t="s">
        <v>63</v>
      </c>
      <c r="F137" t="s">
        <v>467</v>
      </c>
      <c r="G137" t="s">
        <v>17</v>
      </c>
      <c r="H137" t="s">
        <v>17</v>
      </c>
      <c r="I137" t="s">
        <v>468</v>
      </c>
      <c r="J137" t="s">
        <v>469</v>
      </c>
      <c r="K137" t="s">
        <v>21</v>
      </c>
      <c r="L137" cm="1">
        <f t="array" ref="L137">SUM(IF(INT($F$2:$F$402)&amp;$C$2:$C$402=INT($F137)&amp;$C137,1,0))</f>
        <v>1</v>
      </c>
      <c r="M137" t="str">
        <f>INDEX(Wyart2000!$G$2:$G$594,MATCH($J137,Wyart2000!$W$2:$W$594,0),1)</f>
        <v>38726.50</v>
      </c>
    </row>
    <row r="138" spans="1:13" x14ac:dyDescent="0.25">
      <c r="A138" t="s">
        <v>432</v>
      </c>
      <c r="B138" t="s">
        <v>244</v>
      </c>
      <c r="C138" t="s">
        <v>30</v>
      </c>
      <c r="D138">
        <v>16</v>
      </c>
      <c r="E138" t="s">
        <v>63</v>
      </c>
      <c r="F138" t="s">
        <v>470</v>
      </c>
      <c r="G138" t="s">
        <v>17</v>
      </c>
      <c r="H138" t="s">
        <v>17</v>
      </c>
      <c r="I138" t="s">
        <v>471</v>
      </c>
      <c r="J138" t="s">
        <v>472</v>
      </c>
      <c r="K138" t="s">
        <v>21</v>
      </c>
      <c r="L138" cm="1">
        <f t="array" ref="L138">SUM(IF(INT($F$2:$F$402)&amp;$C$2:$C$402=INT($F138)&amp;$C138,1,0))</f>
        <v>1</v>
      </c>
      <c r="M138" t="str">
        <f>INDEX(Wyart2000!$G$2:$G$594,MATCH($J138,Wyart2000!$W$2:$W$594,0),1)</f>
        <v>38785.76</v>
      </c>
    </row>
    <row r="139" spans="1:13" x14ac:dyDescent="0.25">
      <c r="A139" t="s">
        <v>409</v>
      </c>
      <c r="B139" t="s">
        <v>173</v>
      </c>
      <c r="C139" t="s">
        <v>14</v>
      </c>
      <c r="D139">
        <v>10</v>
      </c>
      <c r="E139" t="s">
        <v>63</v>
      </c>
      <c r="F139" t="s">
        <v>473</v>
      </c>
      <c r="G139" t="s">
        <v>17</v>
      </c>
      <c r="H139" t="s">
        <v>17</v>
      </c>
      <c r="I139" t="s">
        <v>474</v>
      </c>
      <c r="J139" t="s">
        <v>475</v>
      </c>
      <c r="K139" t="s">
        <v>21</v>
      </c>
      <c r="L139" cm="1">
        <f t="array" ref="L139">SUM(IF(INT($F$2:$F$402)&amp;$C$2:$C$402=INT($F139)&amp;$C139,1,0))</f>
        <v>1</v>
      </c>
      <c r="M139" t="str">
        <f>INDEX(Wyart2000!$G$2:$G$594,MATCH($J139,Wyart2000!$W$2:$W$594,0),1)</f>
        <v>39024.27</v>
      </c>
    </row>
    <row r="140" spans="1:13" x14ac:dyDescent="0.25">
      <c r="A140" t="s">
        <v>409</v>
      </c>
      <c r="B140" t="s">
        <v>221</v>
      </c>
      <c r="C140" t="s">
        <v>35</v>
      </c>
      <c r="D140">
        <v>4</v>
      </c>
      <c r="E140" t="s">
        <v>63</v>
      </c>
      <c r="F140" t="s">
        <v>476</v>
      </c>
      <c r="G140" t="s">
        <v>17</v>
      </c>
      <c r="H140" t="s">
        <v>17</v>
      </c>
      <c r="I140" t="s">
        <v>477</v>
      </c>
      <c r="J140" t="s">
        <v>478</v>
      </c>
      <c r="K140" t="s">
        <v>21</v>
      </c>
      <c r="L140" cm="1">
        <f t="array" ref="L140">SUM(IF(INT($F$2:$F$402)&amp;$C$2:$C$402=INT($F140)&amp;$C140,1,0))</f>
        <v>1</v>
      </c>
      <c r="M140" t="str">
        <f>INDEX(Wyart2000!$G$2:$G$594,MATCH($J140,Wyart2000!$W$2:$W$594,0),1)</f>
        <v>39120.40</v>
      </c>
    </row>
    <row r="141" spans="1:13" x14ac:dyDescent="0.25">
      <c r="A141" t="s">
        <v>12</v>
      </c>
      <c r="B141" t="s">
        <v>479</v>
      </c>
      <c r="C141" t="s">
        <v>14</v>
      </c>
      <c r="D141">
        <v>10</v>
      </c>
      <c r="E141" t="s">
        <v>15</v>
      </c>
      <c r="F141" t="s">
        <v>480</v>
      </c>
      <c r="G141" t="s">
        <v>17</v>
      </c>
      <c r="H141" t="s">
        <v>17</v>
      </c>
      <c r="I141" t="s">
        <v>481</v>
      </c>
      <c r="J141" t="s">
        <v>482</v>
      </c>
      <c r="K141" t="s">
        <v>21</v>
      </c>
      <c r="L141" cm="1">
        <f t="array" ref="L141">SUM(IF(INT($F$2:$F$402)&amp;$C$2:$C$402=INT($F141)&amp;$C141,1,0))</f>
        <v>1</v>
      </c>
      <c r="M141" t="str">
        <f>INDEX(Wyart2000!$G$2:$G$594,MATCH($J141,Wyart2000!$W$2:$W$594,0),1)</f>
        <v>39225.60</v>
      </c>
    </row>
    <row r="142" spans="1:13" x14ac:dyDescent="0.25">
      <c r="A142" t="s">
        <v>409</v>
      </c>
      <c r="B142" t="s">
        <v>221</v>
      </c>
      <c r="C142" t="s">
        <v>145</v>
      </c>
      <c r="D142">
        <v>2</v>
      </c>
      <c r="E142" t="s">
        <v>63</v>
      </c>
      <c r="F142" t="s">
        <v>483</v>
      </c>
      <c r="G142" t="s">
        <v>17</v>
      </c>
      <c r="H142" t="s">
        <v>17</v>
      </c>
      <c r="I142" t="s">
        <v>484</v>
      </c>
      <c r="J142" t="s">
        <v>485</v>
      </c>
      <c r="K142" t="s">
        <v>21</v>
      </c>
      <c r="L142" cm="1">
        <f t="array" ref="L142">SUM(IF(INT($F$2:$F$402)&amp;$C$2:$C$402=INT($F142)&amp;$C142,1,0))</f>
        <v>1</v>
      </c>
      <c r="M142" t="str">
        <f>INDEX(Wyart2000!$G$2:$G$594,MATCH($J142,Wyart2000!$W$2:$W$594,0),1)</f>
        <v>39485.48</v>
      </c>
    </row>
    <row r="143" spans="1:13" x14ac:dyDescent="0.25">
      <c r="A143" t="s">
        <v>432</v>
      </c>
      <c r="B143" t="s">
        <v>486</v>
      </c>
      <c r="C143" t="s">
        <v>30</v>
      </c>
      <c r="D143">
        <v>16</v>
      </c>
      <c r="E143" t="s">
        <v>63</v>
      </c>
      <c r="F143" t="s">
        <v>487</v>
      </c>
      <c r="G143" t="s">
        <v>17</v>
      </c>
      <c r="H143" t="s">
        <v>17</v>
      </c>
      <c r="I143" t="s">
        <v>488</v>
      </c>
      <c r="J143" t="s">
        <v>489</v>
      </c>
      <c r="K143" t="s">
        <v>21</v>
      </c>
      <c r="L143" cm="1">
        <f t="array" ref="L143">SUM(IF(INT($F$2:$F$402)&amp;$C$2:$C$402=INT($F143)&amp;$C143,1,0))</f>
        <v>1</v>
      </c>
      <c r="M143" t="str">
        <f>INDEX(Wyart2000!$G$2:$G$594,MATCH($J143,Wyart2000!$W$2:$W$594,0),1)</f>
        <v>39725.99</v>
      </c>
    </row>
    <row r="144" spans="1:13" x14ac:dyDescent="0.25">
      <c r="A144" t="s">
        <v>432</v>
      </c>
      <c r="B144" t="s">
        <v>62</v>
      </c>
      <c r="C144" t="s">
        <v>22</v>
      </c>
      <c r="D144">
        <v>12</v>
      </c>
      <c r="E144" t="s">
        <v>63</v>
      </c>
      <c r="F144" t="s">
        <v>490</v>
      </c>
      <c r="G144" t="s">
        <v>17</v>
      </c>
      <c r="H144" t="s">
        <v>17</v>
      </c>
      <c r="I144" t="s">
        <v>491</v>
      </c>
      <c r="J144" t="s">
        <v>492</v>
      </c>
      <c r="K144" t="s">
        <v>21</v>
      </c>
      <c r="L144" cm="1">
        <f t="array" ref="L144">SUM(IF(INT($F$2:$F$402)&amp;$C$2:$C$402=INT($F144)&amp;$C144,1,0))</f>
        <v>1</v>
      </c>
      <c r="M144" t="str">
        <f>INDEX(Wyart2000!$G$2:$G$594,MATCH($J144,Wyart2000!$W$2:$W$594,0),1)</f>
        <v>39732.99</v>
      </c>
    </row>
    <row r="145" spans="1:13" x14ac:dyDescent="0.25">
      <c r="A145" t="s">
        <v>432</v>
      </c>
      <c r="B145" t="s">
        <v>62</v>
      </c>
      <c r="C145" t="s">
        <v>14</v>
      </c>
      <c r="D145">
        <v>10</v>
      </c>
      <c r="E145" t="s">
        <v>63</v>
      </c>
      <c r="F145" t="s">
        <v>493</v>
      </c>
      <c r="G145" t="s">
        <v>17</v>
      </c>
      <c r="H145" t="s">
        <v>17</v>
      </c>
      <c r="I145" t="s">
        <v>494</v>
      </c>
      <c r="J145" t="s">
        <v>495</v>
      </c>
      <c r="K145" t="s">
        <v>21</v>
      </c>
      <c r="L145" cm="1">
        <f t="array" ref="L145">SUM(IF(INT($F$2:$F$402)&amp;$C$2:$C$402=INT($F145)&amp;$C145,1,0))</f>
        <v>1</v>
      </c>
      <c r="M145" t="str">
        <f>INDEX(Wyart2000!$G$2:$G$594,MATCH($J145,Wyart2000!$W$2:$W$594,0),1)</f>
        <v>39870.17</v>
      </c>
    </row>
    <row r="146" spans="1:13" x14ac:dyDescent="0.25">
      <c r="A146" t="s">
        <v>12</v>
      </c>
      <c r="B146" t="s">
        <v>479</v>
      </c>
      <c r="C146" t="s">
        <v>47</v>
      </c>
      <c r="D146">
        <v>8</v>
      </c>
      <c r="E146" t="s">
        <v>15</v>
      </c>
      <c r="F146" t="s">
        <v>496</v>
      </c>
      <c r="G146" t="s">
        <v>17</v>
      </c>
      <c r="H146" t="s">
        <v>17</v>
      </c>
      <c r="I146" t="s">
        <v>497</v>
      </c>
      <c r="J146" t="s">
        <v>498</v>
      </c>
      <c r="K146" t="s">
        <v>21</v>
      </c>
      <c r="L146" cm="1">
        <f t="array" ref="L146">SUM(IF(INT($F$2:$F$402)&amp;$C$2:$C$402=INT($F146)&amp;$C146,1,0))</f>
        <v>1</v>
      </c>
      <c r="M146" t="str">
        <f>INDEX(Wyart2000!$G$2:$G$594,MATCH($J146,Wyart2000!$W$2:$W$594,0),1)</f>
        <v>39940.72</v>
      </c>
    </row>
    <row r="147" spans="1:13" x14ac:dyDescent="0.25">
      <c r="A147" t="s">
        <v>409</v>
      </c>
      <c r="B147" t="s">
        <v>221</v>
      </c>
      <c r="C147" t="s">
        <v>43</v>
      </c>
      <c r="D147">
        <v>6</v>
      </c>
      <c r="E147" t="s">
        <v>63</v>
      </c>
      <c r="F147" t="s">
        <v>499</v>
      </c>
      <c r="G147" t="s">
        <v>17</v>
      </c>
      <c r="H147" t="s">
        <v>17</v>
      </c>
      <c r="I147" t="s">
        <v>500</v>
      </c>
      <c r="J147" t="s">
        <v>501</v>
      </c>
      <c r="K147" t="s">
        <v>21</v>
      </c>
      <c r="L147" cm="1">
        <f t="array" ref="L147">SUM(IF(INT($F$2:$F$402)&amp;$C$2:$C$402=INT($F147)&amp;$C147,1,0))</f>
        <v>1</v>
      </c>
      <c r="M147" t="str">
        <f>INDEX(Wyart2000!$G$2:$G$594,MATCH($J147,Wyart2000!$W$2:$W$594,0),1)</f>
        <v>40098.66</v>
      </c>
    </row>
    <row r="148" spans="1:13" x14ac:dyDescent="0.25">
      <c r="A148" t="s">
        <v>409</v>
      </c>
      <c r="B148" t="s">
        <v>17</v>
      </c>
      <c r="C148" t="s">
        <v>35</v>
      </c>
      <c r="D148">
        <v>4</v>
      </c>
      <c r="E148" t="s">
        <v>63</v>
      </c>
      <c r="F148" t="s">
        <v>502</v>
      </c>
      <c r="G148" t="s">
        <v>17</v>
      </c>
      <c r="H148" t="s">
        <v>17</v>
      </c>
      <c r="I148" t="s">
        <v>503</v>
      </c>
      <c r="J148" t="s">
        <v>504</v>
      </c>
      <c r="K148" t="s">
        <v>21</v>
      </c>
      <c r="L148" cm="1">
        <f t="array" ref="L148">SUM(IF(INT($F$2:$F$402)&amp;$C$2:$C$402=INT($F148)&amp;$C148,1,0))</f>
        <v>1</v>
      </c>
      <c r="M148" t="str">
        <f>INDEX(Wyart2000!$G$2:$G$594,MATCH($J148,Wyart2000!$W$2:$W$594,0),1)</f>
        <v>40205.74</v>
      </c>
    </row>
    <row r="149" spans="1:13" x14ac:dyDescent="0.25">
      <c r="A149" t="s">
        <v>409</v>
      </c>
      <c r="B149" t="s">
        <v>221</v>
      </c>
      <c r="C149" t="s">
        <v>47</v>
      </c>
      <c r="D149">
        <v>8</v>
      </c>
      <c r="E149" t="s">
        <v>63</v>
      </c>
      <c r="F149" t="s">
        <v>505</v>
      </c>
      <c r="G149" t="s">
        <v>17</v>
      </c>
      <c r="H149" t="s">
        <v>17</v>
      </c>
      <c r="I149" t="s">
        <v>506</v>
      </c>
      <c r="J149" t="s">
        <v>507</v>
      </c>
      <c r="K149" t="s">
        <v>21</v>
      </c>
      <c r="L149" cm="1">
        <f t="array" ref="L149">SUM(IF(INT($F$2:$F$402)&amp;$C$2:$C$402=INT($F149)&amp;$C149,1,0))</f>
        <v>1</v>
      </c>
      <c r="M149" t="str">
        <f>INDEX(Wyart2000!$G$2:$G$594,MATCH($J149,Wyart2000!$W$2:$W$594,0),1)</f>
        <v>41023.98</v>
      </c>
    </row>
    <row r="150" spans="1:13" x14ac:dyDescent="0.25">
      <c r="A150" t="s">
        <v>432</v>
      </c>
      <c r="B150" t="s">
        <v>486</v>
      </c>
      <c r="C150" t="s">
        <v>164</v>
      </c>
      <c r="D150">
        <v>18</v>
      </c>
      <c r="E150" t="s">
        <v>63</v>
      </c>
      <c r="F150" t="s">
        <v>508</v>
      </c>
      <c r="G150" t="s">
        <v>17</v>
      </c>
      <c r="H150" t="s">
        <v>17</v>
      </c>
      <c r="I150" t="s">
        <v>28</v>
      </c>
      <c r="J150" t="s">
        <v>509</v>
      </c>
      <c r="K150" t="s">
        <v>21</v>
      </c>
      <c r="L150" cm="1">
        <f t="array" ref="L150">SUM(IF(INT($F$2:$F$402)&amp;$C$2:$C$402=INT($F150)&amp;$C150,1,0))</f>
        <v>1</v>
      </c>
      <c r="M150" t="str">
        <f>INDEX(Wyart2000!$G$2:$G$594,MATCH($J150,Wyart2000!$W$2:$W$594,0),1)</f>
        <v>41026.87</v>
      </c>
    </row>
    <row r="151" spans="1:13" x14ac:dyDescent="0.25">
      <c r="A151" t="s">
        <v>409</v>
      </c>
      <c r="B151" t="s">
        <v>351</v>
      </c>
      <c r="C151" t="s">
        <v>47</v>
      </c>
      <c r="D151">
        <v>8</v>
      </c>
      <c r="E151" t="s">
        <v>63</v>
      </c>
      <c r="F151" t="s">
        <v>510</v>
      </c>
      <c r="G151" t="s">
        <v>17</v>
      </c>
      <c r="H151" t="s">
        <v>17</v>
      </c>
      <c r="I151" t="s">
        <v>511</v>
      </c>
      <c r="J151" t="s">
        <v>512</v>
      </c>
      <c r="K151" t="s">
        <v>21</v>
      </c>
      <c r="L151" cm="1">
        <f t="array" ref="L151">SUM(IF(INT($F$2:$F$402)&amp;$C$2:$C$402=INT($F151)&amp;$C151,1,0))</f>
        <v>1</v>
      </c>
      <c r="M151" t="str">
        <f>INDEX(Wyart2000!$G$2:$G$594,MATCH($J151,Wyart2000!$W$2:$W$594,0),1)</f>
        <v>44679.98</v>
      </c>
    </row>
    <row r="152" spans="1:13" x14ac:dyDescent="0.25">
      <c r="A152" t="s">
        <v>409</v>
      </c>
      <c r="B152" t="s">
        <v>351</v>
      </c>
      <c r="C152" t="s">
        <v>43</v>
      </c>
      <c r="D152">
        <v>6</v>
      </c>
      <c r="E152" t="s">
        <v>63</v>
      </c>
      <c r="F152" t="s">
        <v>513</v>
      </c>
      <c r="G152" t="s">
        <v>17</v>
      </c>
      <c r="H152" t="s">
        <v>17</v>
      </c>
      <c r="I152" t="s">
        <v>514</v>
      </c>
      <c r="J152" t="s">
        <v>515</v>
      </c>
      <c r="K152" t="s">
        <v>21</v>
      </c>
      <c r="L152" cm="1">
        <f t="array" ref="L152">SUM(IF(INT($F$2:$F$402)&amp;$C$2:$C$402=INT($F152)&amp;$C152,1,0))</f>
        <v>1</v>
      </c>
      <c r="M152" t="str">
        <f>INDEX(Wyart2000!$G$2:$G$594,MATCH($J152,Wyart2000!$W$2:$W$594,0),1)</f>
        <v>44903.42</v>
      </c>
    </row>
    <row r="153" spans="1:13" x14ac:dyDescent="0.25">
      <c r="A153" t="s">
        <v>432</v>
      </c>
      <c r="B153" t="s">
        <v>193</v>
      </c>
      <c r="C153" t="s">
        <v>14</v>
      </c>
      <c r="D153">
        <v>10</v>
      </c>
      <c r="E153" t="s">
        <v>63</v>
      </c>
      <c r="F153" t="s">
        <v>516</v>
      </c>
      <c r="G153" t="s">
        <v>17</v>
      </c>
      <c r="H153" t="s">
        <v>17</v>
      </c>
      <c r="I153" t="s">
        <v>517</v>
      </c>
      <c r="J153" t="s">
        <v>518</v>
      </c>
      <c r="K153" t="s">
        <v>21</v>
      </c>
      <c r="L153" cm="1">
        <f t="array" ref="L153">SUM(IF(INT($F$2:$F$402)&amp;$C$2:$C$402=INT($F153)&amp;$C153,1,0))</f>
        <v>1</v>
      </c>
      <c r="M153" t="str">
        <f>INDEX(Wyart2000!$G$2:$G$594,MATCH($J153,Wyart2000!$W$2:$W$594,0),1)</f>
        <v>45805.95</v>
      </c>
    </row>
    <row r="154" spans="1:13" x14ac:dyDescent="0.25">
      <c r="A154" t="s">
        <v>519</v>
      </c>
      <c r="B154" t="s">
        <v>388</v>
      </c>
      <c r="C154" t="s">
        <v>43</v>
      </c>
      <c r="D154">
        <v>6</v>
      </c>
      <c r="E154" t="s">
        <v>63</v>
      </c>
      <c r="F154" t="s">
        <v>520</v>
      </c>
      <c r="G154" t="s">
        <v>17</v>
      </c>
      <c r="H154" t="s">
        <v>17</v>
      </c>
      <c r="I154" t="s">
        <v>521</v>
      </c>
      <c r="J154" t="s">
        <v>522</v>
      </c>
      <c r="K154" t="s">
        <v>21</v>
      </c>
      <c r="L154" cm="1">
        <f t="array" ref="L154">SUM(IF(INT($F$2:$F$402)&amp;$C$2:$C$402=INT($F154)&amp;$C154,1,0))</f>
        <v>1</v>
      </c>
      <c r="M154" t="str">
        <f>INDEX(Wyart2000!$G$2:$G$594,MATCH($J154,Wyart2000!$W$2:$W$594,0),1)</f>
        <v>45807.1</v>
      </c>
    </row>
    <row r="155" spans="1:13" x14ac:dyDescent="0.25">
      <c r="A155" t="s">
        <v>519</v>
      </c>
      <c r="B155" t="s">
        <v>388</v>
      </c>
      <c r="C155" t="s">
        <v>35</v>
      </c>
      <c r="D155">
        <v>4</v>
      </c>
      <c r="E155" t="s">
        <v>63</v>
      </c>
      <c r="F155" t="s">
        <v>523</v>
      </c>
      <c r="G155" t="s">
        <v>17</v>
      </c>
      <c r="H155" t="s">
        <v>17</v>
      </c>
      <c r="I155" t="s">
        <v>524</v>
      </c>
      <c r="J155" t="s">
        <v>525</v>
      </c>
      <c r="K155" t="s">
        <v>21</v>
      </c>
      <c r="L155" cm="1">
        <f t="array" ref="L155">SUM(IF(INT($F$2:$F$402)&amp;$C$2:$C$402=INT($F155)&amp;$C155,1,0))</f>
        <v>1</v>
      </c>
      <c r="M155" t="str">
        <f>INDEX(Wyart2000!$G$2:$G$594,MATCH($J155,Wyart2000!$W$2:$W$594,0),1)</f>
        <v>45844.65</v>
      </c>
    </row>
    <row r="156" spans="1:13" x14ac:dyDescent="0.25">
      <c r="A156" t="s">
        <v>432</v>
      </c>
      <c r="B156" t="s">
        <v>193</v>
      </c>
      <c r="C156" t="s">
        <v>47</v>
      </c>
      <c r="D156">
        <v>8</v>
      </c>
      <c r="E156" t="s">
        <v>63</v>
      </c>
      <c r="F156" t="s">
        <v>526</v>
      </c>
      <c r="G156" t="s">
        <v>17</v>
      </c>
      <c r="H156" t="s">
        <v>17</v>
      </c>
      <c r="I156" t="s">
        <v>121</v>
      </c>
      <c r="J156" t="s">
        <v>527</v>
      </c>
      <c r="K156" t="s">
        <v>21</v>
      </c>
      <c r="L156" cm="1">
        <f t="array" ref="L156">SUM(IF(INT($F$2:$F$402)&amp;$C$2:$C$402=INT($F156)&amp;$C156,1,0))</f>
        <v>1</v>
      </c>
      <c r="M156" t="str">
        <f>INDEX(Wyart2000!$G$2:$G$594,MATCH($J156,Wyart2000!$W$2:$W$594,0),1)</f>
        <v>46783.64</v>
      </c>
    </row>
    <row r="157" spans="1:13" x14ac:dyDescent="0.25">
      <c r="A157" t="s">
        <v>409</v>
      </c>
      <c r="B157" t="s">
        <v>321</v>
      </c>
      <c r="C157" t="s">
        <v>35</v>
      </c>
      <c r="D157">
        <v>4</v>
      </c>
      <c r="E157" t="s">
        <v>63</v>
      </c>
      <c r="F157" t="s">
        <v>528</v>
      </c>
      <c r="G157" t="s">
        <v>17</v>
      </c>
      <c r="H157" t="s">
        <v>17</v>
      </c>
      <c r="I157" t="s">
        <v>529</v>
      </c>
      <c r="J157" t="s">
        <v>530</v>
      </c>
      <c r="K157" t="s">
        <v>21</v>
      </c>
      <c r="L157" cm="1">
        <f t="array" ref="L157">SUM(IF(INT($F$2:$F$402)&amp;$C$2:$C$402=INT($F157)&amp;$C157,1,0))</f>
        <v>1</v>
      </c>
      <c r="M157" t="str">
        <f>INDEX(Wyart2000!$G$2:$G$594,MATCH($J157,Wyart2000!$W$2:$W$594,0),1)</f>
        <v>48401.64</v>
      </c>
    </row>
    <row r="158" spans="1:13" x14ac:dyDescent="0.25">
      <c r="A158" t="s">
        <v>409</v>
      </c>
      <c r="B158" t="s">
        <v>321</v>
      </c>
      <c r="C158" t="s">
        <v>43</v>
      </c>
      <c r="D158">
        <v>6</v>
      </c>
      <c r="E158" t="s">
        <v>63</v>
      </c>
      <c r="F158" t="s">
        <v>531</v>
      </c>
      <c r="G158" t="s">
        <v>17</v>
      </c>
      <c r="H158" t="s">
        <v>17</v>
      </c>
      <c r="I158" t="s">
        <v>532</v>
      </c>
      <c r="J158" t="s">
        <v>533</v>
      </c>
      <c r="K158" t="s">
        <v>21</v>
      </c>
      <c r="L158" cm="1">
        <f t="array" ref="L158">SUM(IF(INT($F$2:$F$402)&amp;$C$2:$C$402=INT($F158)&amp;$C158,1,0))</f>
        <v>1</v>
      </c>
      <c r="M158" t="str">
        <f>INDEX(Wyart2000!$G$2:$G$594,MATCH($J158,Wyart2000!$W$2:$W$594,0),1)</f>
        <v>48745.48</v>
      </c>
    </row>
    <row r="159" spans="1:13" x14ac:dyDescent="0.25">
      <c r="A159" t="s">
        <v>534</v>
      </c>
      <c r="B159" t="s">
        <v>535</v>
      </c>
      <c r="C159" t="s">
        <v>35</v>
      </c>
      <c r="D159">
        <v>4</v>
      </c>
      <c r="E159" t="s">
        <v>63</v>
      </c>
      <c r="F159" t="s">
        <v>536</v>
      </c>
      <c r="G159" t="s">
        <v>17</v>
      </c>
      <c r="H159" t="s">
        <v>17</v>
      </c>
      <c r="I159" t="s">
        <v>337</v>
      </c>
      <c r="J159" t="s">
        <v>537</v>
      </c>
      <c r="K159" t="s">
        <v>21</v>
      </c>
      <c r="L159" cm="1">
        <f t="array" ref="L159">SUM(IF(INT($F$2:$F$402)&amp;$C$2:$C$402=INT($F159)&amp;$C159,1,0))</f>
        <v>1</v>
      </c>
      <c r="M159" t="str">
        <f>INDEX(Wyart2000!$G$2:$G$594,MATCH($J159,Wyart2000!$W$2:$W$594,0),1)</f>
        <v>50227.79</v>
      </c>
    </row>
    <row r="160" spans="1:13" x14ac:dyDescent="0.25">
      <c r="A160" t="s">
        <v>538</v>
      </c>
      <c r="B160" t="s">
        <v>384</v>
      </c>
      <c r="C160" t="s">
        <v>22</v>
      </c>
      <c r="D160">
        <v>12</v>
      </c>
      <c r="E160" t="s">
        <v>63</v>
      </c>
      <c r="F160" t="s">
        <v>539</v>
      </c>
      <c r="G160" t="s">
        <v>17</v>
      </c>
      <c r="H160" t="s">
        <v>17</v>
      </c>
      <c r="I160" t="s">
        <v>28</v>
      </c>
      <c r="J160" t="s">
        <v>540</v>
      </c>
      <c r="K160" t="s">
        <v>21</v>
      </c>
      <c r="L160" cm="1">
        <f t="array" ref="L160">SUM(IF(INT($F$2:$F$402)&amp;$C$2:$C$402=INT($F160)&amp;$C160,1,0))</f>
        <v>1</v>
      </c>
      <c r="M160" t="str">
        <f>INDEX(Wyart2000!$G$2:$G$594,MATCH($J160,Wyart2000!$W$2:$W$594,0),1)</f>
        <v>50647.35</v>
      </c>
    </row>
    <row r="161" spans="1:13" x14ac:dyDescent="0.25">
      <c r="A161" t="s">
        <v>538</v>
      </c>
      <c r="B161" t="s">
        <v>384</v>
      </c>
      <c r="C161" t="s">
        <v>26</v>
      </c>
      <c r="D161">
        <v>14</v>
      </c>
      <c r="E161" t="s">
        <v>63</v>
      </c>
      <c r="F161" t="s">
        <v>541</v>
      </c>
      <c r="G161" t="s">
        <v>17</v>
      </c>
      <c r="H161" t="s">
        <v>17</v>
      </c>
      <c r="I161" t="s">
        <v>28</v>
      </c>
      <c r="J161" t="s">
        <v>542</v>
      </c>
      <c r="K161" t="s">
        <v>21</v>
      </c>
      <c r="L161" cm="1">
        <f t="array" ref="L161">SUM(IF(INT($F$2:$F$402)&amp;$C$2:$C$402=INT($F161)&amp;$C161,1,0))</f>
        <v>1</v>
      </c>
      <c r="M161" t="str">
        <f>INDEX(Wyart2000!$G$2:$G$594,MATCH($J161,Wyart2000!$W$2:$W$594,0),1)</f>
        <v>50658.72</v>
      </c>
    </row>
    <row r="162" spans="1:13" x14ac:dyDescent="0.25">
      <c r="A162" t="s">
        <v>534</v>
      </c>
      <c r="B162" t="s">
        <v>535</v>
      </c>
      <c r="C162" t="s">
        <v>145</v>
      </c>
      <c r="D162">
        <v>2</v>
      </c>
      <c r="E162" t="s">
        <v>63</v>
      </c>
      <c r="F162" t="s">
        <v>543</v>
      </c>
      <c r="G162" t="s">
        <v>17</v>
      </c>
      <c r="H162" t="s">
        <v>17</v>
      </c>
      <c r="I162" t="s">
        <v>544</v>
      </c>
      <c r="J162" t="s">
        <v>545</v>
      </c>
      <c r="K162" t="s">
        <v>21</v>
      </c>
      <c r="L162" cm="1">
        <f t="array" ref="L162">SUM(IF(INT($F$2:$F$402)&amp;$C$2:$C$402=INT($F162)&amp;$C162,1,0))</f>
        <v>1</v>
      </c>
      <c r="M162" t="str">
        <f>INDEX(Wyart2000!$G$2:$G$594,MATCH($J162,Wyart2000!$W$2:$W$594,0),1)</f>
        <v>50869.3</v>
      </c>
    </row>
    <row r="163" spans="1:13" x14ac:dyDescent="0.25">
      <c r="A163" t="s">
        <v>546</v>
      </c>
      <c r="B163" t="s">
        <v>388</v>
      </c>
      <c r="C163" t="s">
        <v>43</v>
      </c>
      <c r="D163">
        <v>6</v>
      </c>
      <c r="E163" t="s">
        <v>63</v>
      </c>
      <c r="F163" t="s">
        <v>547</v>
      </c>
      <c r="G163" t="s">
        <v>17</v>
      </c>
      <c r="H163" t="s">
        <v>17</v>
      </c>
      <c r="I163" t="s">
        <v>548</v>
      </c>
      <c r="J163" t="s">
        <v>549</v>
      </c>
      <c r="K163" t="s">
        <v>21</v>
      </c>
      <c r="L163" cm="1">
        <f t="array" ref="L163">SUM(IF(INT($F$2:$F$402)&amp;$C$2:$C$402=INT($F163)&amp;$C163,1,0))</f>
        <v>1</v>
      </c>
      <c r="M163" t="str">
        <f>INDEX(Wyart2000!$G$2:$G$594,MATCH($J163,Wyart2000!$W$2:$W$594,0),1)</f>
        <v>51312.8</v>
      </c>
    </row>
    <row r="164" spans="1:13" x14ac:dyDescent="0.25">
      <c r="A164" t="s">
        <v>546</v>
      </c>
      <c r="B164" t="s">
        <v>388</v>
      </c>
      <c r="C164" t="s">
        <v>35</v>
      </c>
      <c r="D164">
        <v>4</v>
      </c>
      <c r="E164" t="s">
        <v>63</v>
      </c>
      <c r="F164" t="s">
        <v>550</v>
      </c>
      <c r="G164" t="s">
        <v>17</v>
      </c>
      <c r="H164" t="s">
        <v>17</v>
      </c>
      <c r="I164" t="s">
        <v>551</v>
      </c>
      <c r="J164" t="s">
        <v>552</v>
      </c>
      <c r="K164" t="s">
        <v>21</v>
      </c>
      <c r="L164" cm="1">
        <f t="array" ref="L164">SUM(IF(INT($F$2:$F$402)&amp;$C$2:$C$402=INT($F164)&amp;$C164,1,0))</f>
        <v>1</v>
      </c>
      <c r="M164" t="str">
        <f>INDEX(Wyart2000!$G$2:$G$594,MATCH($J164,Wyart2000!$W$2:$W$594,0),1)</f>
        <v>52026.9</v>
      </c>
    </row>
    <row r="165" spans="1:13" x14ac:dyDescent="0.25">
      <c r="A165" t="s">
        <v>12</v>
      </c>
      <c r="B165" t="s">
        <v>553</v>
      </c>
      <c r="C165" t="s">
        <v>47</v>
      </c>
      <c r="D165">
        <v>8</v>
      </c>
      <c r="E165" t="s">
        <v>15</v>
      </c>
      <c r="F165" t="s">
        <v>554</v>
      </c>
      <c r="G165" t="s">
        <v>17</v>
      </c>
      <c r="H165" t="s">
        <v>17</v>
      </c>
      <c r="I165" t="s">
        <v>555</v>
      </c>
      <c r="J165" t="s">
        <v>556</v>
      </c>
      <c r="K165" t="s">
        <v>21</v>
      </c>
      <c r="L165" cm="1">
        <f t="array" ref="L165">SUM(IF(INT($F$2:$F$402)&amp;$C$2:$C$402=INT($F165)&amp;$C165,1,0))</f>
        <v>1</v>
      </c>
      <c r="M165" t="str">
        <f>INDEX(Wyart2000!$G$2:$G$594,MATCH($J165,Wyart2000!$W$2:$W$594,0),1)</f>
        <v>53092.80</v>
      </c>
    </row>
    <row r="166" spans="1:13" x14ac:dyDescent="0.25">
      <c r="A166" t="s">
        <v>557</v>
      </c>
      <c r="B166" t="s">
        <v>558</v>
      </c>
      <c r="C166" t="s">
        <v>47</v>
      </c>
      <c r="D166">
        <v>8</v>
      </c>
      <c r="E166" t="s">
        <v>15</v>
      </c>
      <c r="F166" t="s">
        <v>559</v>
      </c>
      <c r="G166" t="s">
        <v>17</v>
      </c>
      <c r="H166" t="s">
        <v>17</v>
      </c>
      <c r="I166" t="s">
        <v>560</v>
      </c>
      <c r="J166" t="s">
        <v>561</v>
      </c>
      <c r="K166" t="s">
        <v>21</v>
      </c>
      <c r="L166" cm="1">
        <f t="array" ref="L166">SUM(IF(INT($F$2:$F$402)&amp;$C$2:$C$402=INT($F166)&amp;$C166,1,0))</f>
        <v>1</v>
      </c>
      <c r="M166" t="str">
        <f>INDEX(Wyart2000!$G$2:$G$594,MATCH($J166,Wyart2000!$W$2:$W$594,0),1)</f>
        <v>58158.08</v>
      </c>
    </row>
    <row r="167" spans="1:13" x14ac:dyDescent="0.25">
      <c r="A167" t="s">
        <v>557</v>
      </c>
      <c r="B167" t="s">
        <v>558</v>
      </c>
      <c r="C167" t="s">
        <v>14</v>
      </c>
      <c r="D167">
        <v>10</v>
      </c>
      <c r="E167" t="s">
        <v>15</v>
      </c>
      <c r="F167" t="s">
        <v>562</v>
      </c>
      <c r="G167" t="s">
        <v>17</v>
      </c>
      <c r="H167" t="s">
        <v>17</v>
      </c>
      <c r="I167" t="s">
        <v>94</v>
      </c>
      <c r="J167" t="s">
        <v>563</v>
      </c>
      <c r="K167" t="s">
        <v>21</v>
      </c>
      <c r="L167" cm="1">
        <f t="array" ref="L167">SUM(IF(INT($F$2:$F$402)&amp;$C$2:$C$402=INT($F167)&amp;$C167,1,0))</f>
        <v>1</v>
      </c>
      <c r="M167" t="str">
        <f>INDEX(Wyart2000!$G$2:$G$594,MATCH($J167,Wyart2000!$W$2:$W$594,0),1)</f>
        <v>58174.15</v>
      </c>
    </row>
    <row r="168" spans="1:13" x14ac:dyDescent="0.25">
      <c r="A168" t="s">
        <v>564</v>
      </c>
      <c r="B168" t="s">
        <v>565</v>
      </c>
      <c r="C168" t="s">
        <v>14</v>
      </c>
      <c r="D168">
        <v>10</v>
      </c>
      <c r="E168" t="s">
        <v>15</v>
      </c>
      <c r="F168" t="s">
        <v>566</v>
      </c>
      <c r="G168" t="s">
        <v>17</v>
      </c>
      <c r="H168" t="s">
        <v>17</v>
      </c>
      <c r="I168" t="s">
        <v>567</v>
      </c>
      <c r="J168" t="s">
        <v>568</v>
      </c>
      <c r="K168" t="s">
        <v>21</v>
      </c>
      <c r="L168" cm="1">
        <f t="array" ref="L168">SUM(IF(INT($F$2:$F$402)&amp;$C$2:$C$402=INT($F168)&amp;$C168,1,0))</f>
        <v>1</v>
      </c>
      <c r="M168" t="str">
        <f>INDEX(Wyart2000!$G$2:$G$594,MATCH($J168,Wyart2000!$W$2:$W$594,0),1)</f>
        <v>60166.20</v>
      </c>
    </row>
    <row r="169" spans="1:13" x14ac:dyDescent="0.25">
      <c r="A169" t="s">
        <v>564</v>
      </c>
      <c r="B169" t="s">
        <v>565</v>
      </c>
      <c r="C169" t="s">
        <v>22</v>
      </c>
      <c r="D169">
        <v>12</v>
      </c>
      <c r="E169" t="s">
        <v>15</v>
      </c>
      <c r="F169" t="s">
        <v>569</v>
      </c>
      <c r="G169" t="s">
        <v>17</v>
      </c>
      <c r="H169" t="s">
        <v>17</v>
      </c>
      <c r="I169" t="s">
        <v>517</v>
      </c>
      <c r="J169" t="s">
        <v>570</v>
      </c>
      <c r="K169" t="s">
        <v>21</v>
      </c>
      <c r="L169" cm="1">
        <f t="array" ref="L169">SUM(IF(INT($F$2:$F$402)&amp;$C$2:$C$402=INT($F169)&amp;$C169,1,0))</f>
        <v>1</v>
      </c>
      <c r="M169" t="str">
        <f>INDEX(Wyart2000!$G$2:$G$594,MATCH($J169,Wyart2000!$W$2:$W$594,0),1)</f>
        <v>60419.73</v>
      </c>
    </row>
    <row r="170" spans="1:13" x14ac:dyDescent="0.25">
      <c r="A170" t="s">
        <v>571</v>
      </c>
      <c r="B170" t="s">
        <v>71</v>
      </c>
      <c r="C170" t="s">
        <v>47</v>
      </c>
      <c r="D170">
        <v>8</v>
      </c>
      <c r="E170" t="s">
        <v>15</v>
      </c>
      <c r="F170" t="s">
        <v>572</v>
      </c>
      <c r="G170" t="s">
        <v>17</v>
      </c>
      <c r="H170" t="s">
        <v>17</v>
      </c>
      <c r="I170" t="s">
        <v>573</v>
      </c>
      <c r="J170" t="s">
        <v>574</v>
      </c>
      <c r="K170" t="s">
        <v>21</v>
      </c>
      <c r="L170" cm="1">
        <f t="array" ref="L170">SUM(IF(INT($F$2:$F$402)&amp;$C$2:$C$402=INT($F170)&amp;$C170,1,0))</f>
        <v>1</v>
      </c>
      <c r="M170" t="str">
        <f>INDEX(Wyart2000!$G$2:$G$594,MATCH($J170,Wyart2000!$W$2:$W$594,0),1)</f>
        <v>60520.32</v>
      </c>
    </row>
    <row r="171" spans="1:13" x14ac:dyDescent="0.25">
      <c r="A171" t="s">
        <v>575</v>
      </c>
      <c r="B171" t="s">
        <v>576</v>
      </c>
      <c r="C171" t="s">
        <v>14</v>
      </c>
      <c r="D171">
        <v>10</v>
      </c>
      <c r="E171" t="s">
        <v>15</v>
      </c>
      <c r="F171" t="s">
        <v>577</v>
      </c>
      <c r="G171" t="s">
        <v>17</v>
      </c>
      <c r="H171" t="s">
        <v>17</v>
      </c>
      <c r="I171" t="s">
        <v>578</v>
      </c>
      <c r="J171" t="s">
        <v>579</v>
      </c>
      <c r="K171" t="s">
        <v>21</v>
      </c>
      <c r="L171" cm="1">
        <f t="array" ref="L171">SUM(IF(INT($F$2:$F$402)&amp;$C$2:$C$402=INT($F171)&amp;$C171,1,0))</f>
        <v>1</v>
      </c>
      <c r="M171" t="str">
        <f>INDEX(Wyart2000!$G$2:$G$594,MATCH($J171,Wyart2000!$W$2:$W$594,0),1)</f>
        <v>61357.04</v>
      </c>
    </row>
    <row r="172" spans="1:13" x14ac:dyDescent="0.25">
      <c r="A172" t="s">
        <v>575</v>
      </c>
      <c r="B172" t="s">
        <v>576</v>
      </c>
      <c r="C172" t="s">
        <v>47</v>
      </c>
      <c r="D172">
        <v>8</v>
      </c>
      <c r="E172" t="s">
        <v>15</v>
      </c>
      <c r="F172" t="s">
        <v>580</v>
      </c>
      <c r="G172" t="s">
        <v>17</v>
      </c>
      <c r="H172" t="s">
        <v>17</v>
      </c>
      <c r="I172" t="s">
        <v>581</v>
      </c>
      <c r="J172" t="s">
        <v>582</v>
      </c>
      <c r="K172" t="s">
        <v>21</v>
      </c>
      <c r="L172" cm="1">
        <f t="array" ref="L172">SUM(IF(INT($F$2:$F$402)&amp;$C$2:$C$402=INT($F172)&amp;$C172,1,0))</f>
        <v>1</v>
      </c>
      <c r="M172" t="str">
        <f>INDEX(Wyart2000!$G$2:$G$594,MATCH($J172,Wyart2000!$W$2:$W$594,0),1)</f>
        <v>61605.66</v>
      </c>
    </row>
    <row r="173" spans="1:13" x14ac:dyDescent="0.25">
      <c r="A173" t="s">
        <v>575</v>
      </c>
      <c r="B173" t="s">
        <v>576</v>
      </c>
      <c r="C173" t="s">
        <v>43</v>
      </c>
      <c r="D173">
        <v>6</v>
      </c>
      <c r="E173" t="s">
        <v>15</v>
      </c>
      <c r="F173" t="s">
        <v>583</v>
      </c>
      <c r="G173" t="s">
        <v>17</v>
      </c>
      <c r="H173" t="s">
        <v>17</v>
      </c>
      <c r="I173" t="s">
        <v>584</v>
      </c>
      <c r="J173" t="s">
        <v>585</v>
      </c>
      <c r="K173" t="s">
        <v>21</v>
      </c>
      <c r="L173" cm="1">
        <f t="array" ref="L173">SUM(IF(INT($F$2:$F$402)&amp;$C$2:$C$402=INT($F173)&amp;$C173,1,0))</f>
        <v>1</v>
      </c>
      <c r="M173" t="str">
        <f>INDEX(Wyart2000!$G$2:$G$594,MATCH($J173,Wyart2000!$W$2:$W$594,0),1)</f>
        <v>61717.98</v>
      </c>
    </row>
    <row r="174" spans="1:13" x14ac:dyDescent="0.25">
      <c r="A174" t="s">
        <v>571</v>
      </c>
      <c r="B174" t="s">
        <v>13</v>
      </c>
      <c r="C174" t="s">
        <v>14</v>
      </c>
      <c r="D174">
        <v>10</v>
      </c>
      <c r="E174" t="s">
        <v>15</v>
      </c>
      <c r="F174" t="s">
        <v>586</v>
      </c>
      <c r="G174" t="s">
        <v>17</v>
      </c>
      <c r="H174" t="s">
        <v>17</v>
      </c>
      <c r="I174" t="s">
        <v>587</v>
      </c>
      <c r="J174" t="s">
        <v>588</v>
      </c>
      <c r="K174" t="s">
        <v>21</v>
      </c>
      <c r="L174" cm="1">
        <f t="array" ref="L174">SUM(IF(INT($F$2:$F$402)&amp;$C$2:$C$402=INT($F174)&amp;$C174,1,0))</f>
        <v>1</v>
      </c>
      <c r="M174" t="str">
        <f>INDEX(Wyart2000!$G$2:$G$594,MATCH($J174,Wyart2000!$W$2:$W$594,0),1)</f>
        <v>62062.63</v>
      </c>
    </row>
    <row r="175" spans="1:13" x14ac:dyDescent="0.25">
      <c r="A175" t="s">
        <v>575</v>
      </c>
      <c r="B175" t="s">
        <v>576</v>
      </c>
      <c r="C175" t="s">
        <v>22</v>
      </c>
      <c r="D175">
        <v>12</v>
      </c>
      <c r="E175" t="s">
        <v>15</v>
      </c>
      <c r="F175" t="s">
        <v>589</v>
      </c>
      <c r="G175" t="s">
        <v>17</v>
      </c>
      <c r="H175" t="s">
        <v>17</v>
      </c>
      <c r="I175" t="s">
        <v>590</v>
      </c>
      <c r="J175" t="s">
        <v>591</v>
      </c>
      <c r="K175" t="s">
        <v>21</v>
      </c>
      <c r="L175" cm="1">
        <f t="array" ref="L175">SUM(IF(INT($F$2:$F$402)&amp;$C$2:$C$402=INT($F175)&amp;$C175,1,0))</f>
        <v>1</v>
      </c>
      <c r="M175" t="str">
        <f>INDEX(Wyart2000!$G$2:$G$594,MATCH($J175,Wyart2000!$W$2:$W$594,0),1)</f>
        <v>62240.83</v>
      </c>
    </row>
    <row r="176" spans="1:13" x14ac:dyDescent="0.25">
      <c r="A176" t="s">
        <v>571</v>
      </c>
      <c r="B176" t="s">
        <v>71</v>
      </c>
      <c r="C176" t="s">
        <v>14</v>
      </c>
      <c r="D176">
        <v>10</v>
      </c>
      <c r="E176" t="s">
        <v>15</v>
      </c>
      <c r="F176" t="s">
        <v>592</v>
      </c>
      <c r="G176" t="s">
        <v>17</v>
      </c>
      <c r="H176" t="s">
        <v>17</v>
      </c>
      <c r="I176" t="s">
        <v>593</v>
      </c>
      <c r="J176" t="s">
        <v>594</v>
      </c>
      <c r="K176" t="s">
        <v>21</v>
      </c>
      <c r="L176" cm="1">
        <f t="array" ref="L176">SUM(IF(INT($F$2:$F$402)&amp;$C$2:$C$402=INT($F176)&amp;$C176,1,0))</f>
        <v>1</v>
      </c>
      <c r="M176" t="str">
        <f>INDEX(Wyart2000!$G$2:$G$594,MATCH($J176,Wyart2000!$W$2:$W$594,0),1)</f>
        <v>62535.62</v>
      </c>
    </row>
    <row r="177" spans="1:13" x14ac:dyDescent="0.25">
      <c r="A177" t="s">
        <v>595</v>
      </c>
      <c r="B177" t="s">
        <v>596</v>
      </c>
      <c r="C177" t="s">
        <v>22</v>
      </c>
      <c r="D177">
        <v>12</v>
      </c>
      <c r="E177" t="s">
        <v>15</v>
      </c>
      <c r="F177" t="s">
        <v>597</v>
      </c>
      <c r="G177" t="s">
        <v>17</v>
      </c>
      <c r="H177" t="s">
        <v>17</v>
      </c>
      <c r="I177" t="s">
        <v>598</v>
      </c>
      <c r="J177" t="s">
        <v>599</v>
      </c>
      <c r="K177" t="s">
        <v>21</v>
      </c>
      <c r="L177" cm="1">
        <f t="array" ref="L177">SUM(IF(INT($F$2:$F$402)&amp;$C$2:$C$402=INT($F177)&amp;$C177,1,0))</f>
        <v>1</v>
      </c>
      <c r="M177" t="str">
        <f>INDEX(Wyart2000!$G$2:$G$594,MATCH($J177,Wyart2000!$W$2:$W$594,0),1)</f>
        <v>62558.67</v>
      </c>
    </row>
    <row r="178" spans="1:13" x14ac:dyDescent="0.25">
      <c r="A178" t="s">
        <v>595</v>
      </c>
      <c r="B178" t="s">
        <v>596</v>
      </c>
      <c r="C178" t="s">
        <v>26</v>
      </c>
      <c r="D178">
        <v>14</v>
      </c>
      <c r="E178" t="s">
        <v>15</v>
      </c>
      <c r="F178" t="s">
        <v>600</v>
      </c>
      <c r="G178" t="s">
        <v>17</v>
      </c>
      <c r="H178" t="s">
        <v>17</v>
      </c>
      <c r="I178" t="s">
        <v>601</v>
      </c>
      <c r="J178" t="s">
        <v>602</v>
      </c>
      <c r="K178" t="s">
        <v>21</v>
      </c>
      <c r="L178" cm="1">
        <f t="array" ref="L178">SUM(IF(INT($F$2:$F$402)&amp;$C$2:$C$402=INT($F178)&amp;$C178,1,0))</f>
        <v>1</v>
      </c>
      <c r="M178" t="str">
        <f>INDEX(Wyart2000!$G$2:$G$594,MATCH($J178,Wyart2000!$W$2:$W$594,0),1)</f>
        <v>62678.70</v>
      </c>
    </row>
    <row r="179" spans="1:13" x14ac:dyDescent="0.25">
      <c r="A179" t="s">
        <v>603</v>
      </c>
      <c r="B179" t="s">
        <v>604</v>
      </c>
      <c r="C179" t="s">
        <v>35</v>
      </c>
      <c r="D179">
        <v>4</v>
      </c>
      <c r="E179" t="s">
        <v>15</v>
      </c>
      <c r="F179" t="s">
        <v>605</v>
      </c>
      <c r="G179" t="s">
        <v>17</v>
      </c>
      <c r="H179" t="s">
        <v>17</v>
      </c>
      <c r="I179" t="s">
        <v>606</v>
      </c>
      <c r="J179" t="s">
        <v>607</v>
      </c>
      <c r="K179" t="s">
        <v>21</v>
      </c>
      <c r="L179" cm="1">
        <f t="array" ref="L179">SUM(IF(INT($F$2:$F$402)&amp;$C$2:$C$402=INT($F179)&amp;$C179,1,0))</f>
        <v>1</v>
      </c>
      <c r="M179" t="str">
        <f>INDEX(Wyart2000!$G$2:$G$594,MATCH($J179,Wyart2000!$W$2:$W$594,0),1)</f>
        <v>63221.28</v>
      </c>
    </row>
    <row r="180" spans="1:13" x14ac:dyDescent="0.25">
      <c r="A180" t="s">
        <v>571</v>
      </c>
      <c r="B180" t="s">
        <v>608</v>
      </c>
      <c r="C180" t="s">
        <v>47</v>
      </c>
      <c r="D180">
        <v>8</v>
      </c>
      <c r="E180" t="s">
        <v>15</v>
      </c>
      <c r="F180" t="s">
        <v>609</v>
      </c>
      <c r="G180" t="s">
        <v>17</v>
      </c>
      <c r="H180" t="s">
        <v>17</v>
      </c>
      <c r="I180" t="s">
        <v>610</v>
      </c>
      <c r="J180" t="s">
        <v>611</v>
      </c>
      <c r="K180" t="s">
        <v>21</v>
      </c>
      <c r="L180" cm="1">
        <f t="array" ref="L180">SUM(IF(INT($F$2:$F$402)&amp;$C$2:$C$402=INT($F180)&amp;$C180,1,0))</f>
        <v>1</v>
      </c>
      <c r="M180" t="str">
        <f>INDEX(Wyart2000!$G$2:$G$594,MATCH($J180,Wyart2000!$W$2:$W$594,0),1)</f>
        <v>63232.14</v>
      </c>
    </row>
    <row r="181" spans="1:13" x14ac:dyDescent="0.25">
      <c r="A181" t="s">
        <v>603</v>
      </c>
      <c r="B181" t="s">
        <v>604</v>
      </c>
      <c r="C181" t="s">
        <v>43</v>
      </c>
      <c r="D181">
        <v>6</v>
      </c>
      <c r="E181" t="s">
        <v>15</v>
      </c>
      <c r="F181" t="s">
        <v>612</v>
      </c>
      <c r="G181" t="s">
        <v>17</v>
      </c>
      <c r="H181" t="s">
        <v>17</v>
      </c>
      <c r="I181" t="s">
        <v>613</v>
      </c>
      <c r="J181" t="s">
        <v>614</v>
      </c>
      <c r="K181" t="s">
        <v>21</v>
      </c>
      <c r="L181" cm="1">
        <f t="array" ref="L181">SUM(IF(INT($F$2:$F$402)&amp;$C$2:$C$402=INT($F181)&amp;$C181,1,0))</f>
        <v>1</v>
      </c>
      <c r="M181" t="str">
        <f>INDEX(Wyart2000!$G$2:$G$594,MATCH($J181,Wyart2000!$W$2:$W$594,0),1)</f>
        <v>63576.27</v>
      </c>
    </row>
    <row r="182" spans="1:13" x14ac:dyDescent="0.25">
      <c r="A182" t="s">
        <v>615</v>
      </c>
      <c r="B182" t="s">
        <v>616</v>
      </c>
      <c r="C182" t="s">
        <v>14</v>
      </c>
      <c r="D182">
        <v>10</v>
      </c>
      <c r="E182" t="s">
        <v>15</v>
      </c>
      <c r="F182" t="s">
        <v>617</v>
      </c>
      <c r="G182" t="s">
        <v>17</v>
      </c>
      <c r="H182" t="s">
        <v>17</v>
      </c>
      <c r="I182" t="s">
        <v>618</v>
      </c>
      <c r="J182" t="s">
        <v>619</v>
      </c>
      <c r="K182" t="s">
        <v>21</v>
      </c>
      <c r="L182" cm="1">
        <f t="array" ref="L182">SUM(IF(INT($F$2:$F$402)&amp;$C$2:$C$402=INT($F182)&amp;$C182,1,0))</f>
        <v>1</v>
      </c>
      <c r="M182" t="str">
        <f>INDEX(Wyart2000!$G$2:$G$594,MATCH($J182,Wyart2000!$W$2:$W$594,0),1)</f>
        <v>63593.35</v>
      </c>
    </row>
    <row r="183" spans="1:13" x14ac:dyDescent="0.25">
      <c r="A183" t="s">
        <v>615</v>
      </c>
      <c r="B183" t="s">
        <v>616</v>
      </c>
      <c r="C183" t="s">
        <v>47</v>
      </c>
      <c r="D183">
        <v>8</v>
      </c>
      <c r="E183" t="s">
        <v>15</v>
      </c>
      <c r="F183" t="s">
        <v>620</v>
      </c>
      <c r="G183" t="s">
        <v>17</v>
      </c>
      <c r="H183" t="s">
        <v>17</v>
      </c>
      <c r="I183" t="s">
        <v>621</v>
      </c>
      <c r="J183" t="s">
        <v>622</v>
      </c>
      <c r="K183" t="s">
        <v>21</v>
      </c>
      <c r="L183" cm="1">
        <f t="array" ref="L183">SUM(IF(INT($F$2:$F$402)&amp;$C$2:$C$402=INT($F183)&amp;$C183,1,0))</f>
        <v>1</v>
      </c>
      <c r="M183" t="str">
        <f>INDEX(Wyart2000!$G$2:$G$594,MATCH($J183,Wyart2000!$W$2:$W$594,0),1)</f>
        <v>63768.66</v>
      </c>
    </row>
    <row r="184" spans="1:13" x14ac:dyDescent="0.25">
      <c r="A184" t="s">
        <v>571</v>
      </c>
      <c r="B184" t="s">
        <v>13</v>
      </c>
      <c r="C184" t="s">
        <v>22</v>
      </c>
      <c r="D184">
        <v>12</v>
      </c>
      <c r="E184" t="s">
        <v>15</v>
      </c>
      <c r="F184" t="s">
        <v>623</v>
      </c>
      <c r="G184" t="s">
        <v>17</v>
      </c>
      <c r="H184" t="s">
        <v>17</v>
      </c>
      <c r="I184" t="s">
        <v>624</v>
      </c>
      <c r="J184" t="s">
        <v>625</v>
      </c>
      <c r="K184" t="s">
        <v>21</v>
      </c>
      <c r="L184" cm="1">
        <f t="array" ref="L184">SUM(IF(INT($F$2:$F$402)&amp;$C$2:$C$402=INT($F184)&amp;$C184,1,0))</f>
        <v>1</v>
      </c>
      <c r="M184" t="str">
        <f>INDEX(Wyart2000!$G$2:$G$594,MATCH($J184,Wyart2000!$W$2:$W$594,0),1)</f>
        <v>63816.91</v>
      </c>
    </row>
    <row r="185" spans="1:13" x14ac:dyDescent="0.25">
      <c r="A185" t="s">
        <v>571</v>
      </c>
      <c r="B185" t="s">
        <v>71</v>
      </c>
      <c r="C185" t="s">
        <v>22</v>
      </c>
      <c r="D185">
        <v>12</v>
      </c>
      <c r="E185" t="s">
        <v>15</v>
      </c>
      <c r="F185" t="s">
        <v>626</v>
      </c>
      <c r="G185" t="s">
        <v>17</v>
      </c>
      <c r="H185" t="s">
        <v>17</v>
      </c>
      <c r="I185" t="s">
        <v>627</v>
      </c>
      <c r="J185" t="s">
        <v>628</v>
      </c>
      <c r="K185" t="s">
        <v>21</v>
      </c>
      <c r="L185" cm="1">
        <f t="array" ref="L185">SUM(IF(INT($F$2:$F$402)&amp;$C$2:$C$402=INT($F185)&amp;$C185,1,0))</f>
        <v>1</v>
      </c>
      <c r="M185" t="str">
        <f>INDEX(Wyart2000!$G$2:$G$594,MATCH($J185,Wyart2000!$W$2:$W$594,0),1)</f>
        <v>64150.94</v>
      </c>
    </row>
    <row r="186" spans="1:13" x14ac:dyDescent="0.25">
      <c r="A186" t="s">
        <v>615</v>
      </c>
      <c r="B186" t="s">
        <v>616</v>
      </c>
      <c r="C186" t="s">
        <v>26</v>
      </c>
      <c r="D186">
        <v>14</v>
      </c>
      <c r="E186" t="s">
        <v>15</v>
      </c>
      <c r="F186" t="s">
        <v>629</v>
      </c>
      <c r="G186" t="s">
        <v>17</v>
      </c>
      <c r="H186" t="s">
        <v>17</v>
      </c>
      <c r="I186" t="s">
        <v>630</v>
      </c>
      <c r="J186" t="s">
        <v>631</v>
      </c>
      <c r="K186" t="s">
        <v>21</v>
      </c>
      <c r="L186" cm="1">
        <f t="array" ref="L186">SUM(IF(INT($F$2:$F$402)&amp;$C$2:$C$402=INT($F186)&amp;$C186,1,0))</f>
        <v>1</v>
      </c>
      <c r="M186" t="str">
        <f>INDEX(Wyart2000!$G$2:$G$594,MATCH($J186,Wyart2000!$W$2:$W$594,0),1)</f>
        <v>64215.45</v>
      </c>
    </row>
    <row r="187" spans="1:13" x14ac:dyDescent="0.25">
      <c r="A187" t="s">
        <v>571</v>
      </c>
      <c r="B187" t="s">
        <v>608</v>
      </c>
      <c r="C187" t="s">
        <v>14</v>
      </c>
      <c r="D187">
        <v>10</v>
      </c>
      <c r="E187" t="s">
        <v>15</v>
      </c>
      <c r="F187" t="s">
        <v>632</v>
      </c>
      <c r="G187" t="s">
        <v>17</v>
      </c>
      <c r="H187" t="s">
        <v>17</v>
      </c>
      <c r="I187" t="s">
        <v>633</v>
      </c>
      <c r="J187" t="s">
        <v>634</v>
      </c>
      <c r="K187" t="s">
        <v>21</v>
      </c>
      <c r="L187" cm="1">
        <f t="array" ref="L187">SUM(IF(INT($F$2:$F$402)&amp;$C$2:$C$402=INT($F187)&amp;$C187,1,0))</f>
        <v>1</v>
      </c>
      <c r="M187" t="str">
        <f>INDEX(Wyart2000!$G$2:$G$594,MATCH($J187,Wyart2000!$W$2:$W$594,0),1)</f>
        <v>64235.61</v>
      </c>
    </row>
    <row r="188" spans="1:13" x14ac:dyDescent="0.25">
      <c r="A188" t="s">
        <v>635</v>
      </c>
      <c r="B188" t="s">
        <v>636</v>
      </c>
      <c r="C188" t="s">
        <v>43</v>
      </c>
      <c r="D188">
        <v>6</v>
      </c>
      <c r="E188" t="s">
        <v>15</v>
      </c>
      <c r="F188" t="s">
        <v>637</v>
      </c>
      <c r="G188" t="s">
        <v>17</v>
      </c>
      <c r="H188" t="s">
        <v>17</v>
      </c>
      <c r="I188" t="s">
        <v>638</v>
      </c>
      <c r="J188" t="s">
        <v>639</v>
      </c>
      <c r="K188" t="s">
        <v>21</v>
      </c>
      <c r="L188" cm="1">
        <f t="array" ref="L188">SUM(IF(INT($F$2:$F$402)&amp;$C$2:$C$402=INT($F188)&amp;$C188,1,0))</f>
        <v>1</v>
      </c>
      <c r="M188" t="str">
        <f>INDEX(Wyart2000!$G$2:$G$594,MATCH($J188,Wyart2000!$W$2:$W$594,0),1)</f>
        <v>64401.03</v>
      </c>
    </row>
    <row r="189" spans="1:13" x14ac:dyDescent="0.25">
      <c r="A189" t="s">
        <v>571</v>
      </c>
      <c r="B189" t="s">
        <v>71</v>
      </c>
      <c r="C189" t="s">
        <v>43</v>
      </c>
      <c r="D189">
        <v>6</v>
      </c>
      <c r="E189" t="s">
        <v>15</v>
      </c>
      <c r="F189" t="s">
        <v>640</v>
      </c>
      <c r="G189" t="s">
        <v>17</v>
      </c>
      <c r="H189" t="s">
        <v>17</v>
      </c>
      <c r="I189" t="s">
        <v>641</v>
      </c>
      <c r="J189" t="s">
        <v>642</v>
      </c>
      <c r="K189" t="s">
        <v>21</v>
      </c>
      <c r="L189" cm="1">
        <f t="array" ref="L189">SUM(IF(INT($F$2:$F$402)&amp;$C$2:$C$402=INT($F189)&amp;$C189,1,0))</f>
        <v>1</v>
      </c>
      <c r="M189" t="str">
        <f>INDEX(Wyart2000!$G$2:$G$594,MATCH($J189,Wyart2000!$W$2:$W$594,0),1)</f>
        <v>64817.53</v>
      </c>
    </row>
    <row r="190" spans="1:13" x14ac:dyDescent="0.25">
      <c r="A190" t="s">
        <v>643</v>
      </c>
      <c r="B190" t="s">
        <v>558</v>
      </c>
      <c r="C190" t="s">
        <v>14</v>
      </c>
      <c r="D190">
        <v>10</v>
      </c>
      <c r="E190" t="s">
        <v>15</v>
      </c>
      <c r="F190" t="s">
        <v>644</v>
      </c>
      <c r="G190" t="s">
        <v>17</v>
      </c>
      <c r="H190" t="s">
        <v>17</v>
      </c>
      <c r="I190" t="s">
        <v>645</v>
      </c>
      <c r="J190" t="s">
        <v>646</v>
      </c>
      <c r="K190" t="s">
        <v>21</v>
      </c>
      <c r="L190" cm="1">
        <f t="array" ref="L190">SUM(IF(INT($F$2:$F$402)&amp;$C$2:$C$402=INT($F190)&amp;$C190,1,0))</f>
        <v>1</v>
      </c>
      <c r="M190" t="str">
        <f>INDEX(Wyart2000!$G$2:$G$594,MATCH($J190,Wyart2000!$W$2:$W$594,0),1)</f>
        <v>64857.15</v>
      </c>
    </row>
    <row r="191" spans="1:13" x14ac:dyDescent="0.25">
      <c r="A191" t="s">
        <v>571</v>
      </c>
      <c r="B191" t="s">
        <v>608</v>
      </c>
      <c r="C191" t="s">
        <v>22</v>
      </c>
      <c r="D191">
        <v>12</v>
      </c>
      <c r="E191" t="s">
        <v>15</v>
      </c>
      <c r="F191" t="s">
        <v>647</v>
      </c>
      <c r="G191" t="s">
        <v>17</v>
      </c>
      <c r="H191" t="s">
        <v>17</v>
      </c>
      <c r="I191" t="s">
        <v>648</v>
      </c>
      <c r="J191" t="s">
        <v>649</v>
      </c>
      <c r="K191" t="s">
        <v>21</v>
      </c>
      <c r="L191" cm="1">
        <f t="array" ref="L191">SUM(IF(INT($F$2:$F$402)&amp;$C$2:$C$402=INT($F191)&amp;$C191,1,0))</f>
        <v>1</v>
      </c>
      <c r="M191" t="str">
        <f>INDEX(Wyart2000!$G$2:$G$594,MATCH($J191,Wyart2000!$W$2:$W$594,0),1)</f>
        <v>64865.15</v>
      </c>
    </row>
    <row r="192" spans="1:13" x14ac:dyDescent="0.25">
      <c r="A192" t="s">
        <v>643</v>
      </c>
      <c r="B192" t="s">
        <v>558</v>
      </c>
      <c r="C192" t="s">
        <v>47</v>
      </c>
      <c r="D192">
        <v>8</v>
      </c>
      <c r="E192" t="s">
        <v>15</v>
      </c>
      <c r="F192" t="s">
        <v>650</v>
      </c>
      <c r="G192" t="s">
        <v>17</v>
      </c>
      <c r="H192" t="s">
        <v>17</v>
      </c>
      <c r="I192" t="s">
        <v>651</v>
      </c>
      <c r="J192" t="s">
        <v>652</v>
      </c>
      <c r="K192" t="s">
        <v>21</v>
      </c>
      <c r="L192" cm="1">
        <f t="array" ref="L192">SUM(IF(INT($F$2:$F$402)&amp;$C$2:$C$402=INT($F192)&amp;$C192,1,0))</f>
        <v>1</v>
      </c>
      <c r="M192" t="str">
        <f>INDEX(Wyart2000!$G$2:$G$594,MATCH($J192,Wyart2000!$W$2:$W$594,0),1)</f>
        <v>64979.55</v>
      </c>
    </row>
    <row r="193" spans="1:13" x14ac:dyDescent="0.25">
      <c r="A193" t="s">
        <v>635</v>
      </c>
      <c r="B193" t="s">
        <v>636</v>
      </c>
      <c r="C193" t="s">
        <v>47</v>
      </c>
      <c r="D193">
        <v>8</v>
      </c>
      <c r="E193" t="s">
        <v>15</v>
      </c>
      <c r="F193" t="s">
        <v>653</v>
      </c>
      <c r="G193" t="s">
        <v>17</v>
      </c>
      <c r="H193" t="s">
        <v>17</v>
      </c>
      <c r="I193" t="s">
        <v>654</v>
      </c>
      <c r="J193" t="s">
        <v>655</v>
      </c>
      <c r="K193" t="s">
        <v>21</v>
      </c>
      <c r="L193" cm="1">
        <f t="array" ref="L193">SUM(IF(INT($F$2:$F$402)&amp;$C$2:$C$402=INT($F193)&amp;$C193,1,0))</f>
        <v>1</v>
      </c>
      <c r="M193" t="str">
        <f>INDEX(Wyart2000!$G$2:$G$594,MATCH($J193,Wyart2000!$W$2:$W$594,0),1)</f>
        <v>65295.90</v>
      </c>
    </row>
    <row r="194" spans="1:13" x14ac:dyDescent="0.25">
      <c r="A194" t="s">
        <v>571</v>
      </c>
      <c r="B194" t="s">
        <v>75</v>
      </c>
      <c r="C194" t="s">
        <v>43</v>
      </c>
      <c r="D194">
        <v>6</v>
      </c>
      <c r="E194" t="s">
        <v>15</v>
      </c>
      <c r="F194" t="s">
        <v>656</v>
      </c>
      <c r="G194" t="s">
        <v>17</v>
      </c>
      <c r="H194" t="s">
        <v>17</v>
      </c>
      <c r="I194" t="s">
        <v>657</v>
      </c>
      <c r="J194" t="s">
        <v>658</v>
      </c>
      <c r="K194" t="s">
        <v>21</v>
      </c>
      <c r="L194" cm="1">
        <f t="array" ref="L194">SUM(IF(INT($F$2:$F$402)&amp;$C$2:$C$402=INT($F194)&amp;$C194,1,0))</f>
        <v>1</v>
      </c>
      <c r="M194" t="str">
        <f>INDEX(Wyart2000!$G$2:$G$594,MATCH($J194,Wyart2000!$W$2:$W$594,0),1)</f>
        <v>65909.44</v>
      </c>
    </row>
    <row r="195" spans="1:13" x14ac:dyDescent="0.25">
      <c r="A195" t="s">
        <v>659</v>
      </c>
      <c r="B195" t="s">
        <v>660</v>
      </c>
      <c r="C195" t="s">
        <v>22</v>
      </c>
      <c r="D195">
        <v>12</v>
      </c>
      <c r="E195" t="s">
        <v>15</v>
      </c>
      <c r="F195" t="s">
        <v>661</v>
      </c>
      <c r="G195" t="s">
        <v>17</v>
      </c>
      <c r="H195" t="s">
        <v>17</v>
      </c>
      <c r="I195" t="s">
        <v>662</v>
      </c>
      <c r="J195" t="s">
        <v>663</v>
      </c>
      <c r="K195" t="s">
        <v>21</v>
      </c>
      <c r="L195" cm="1">
        <f t="array" ref="L195">SUM(IF(INT($F$2:$F$402)&amp;$C$2:$C$402=INT($F195)&amp;$C195,1,0))</f>
        <v>1</v>
      </c>
      <c r="M195" t="str">
        <f>INDEX(Wyart2000!$G$2:$G$594,MATCH($J195,Wyart2000!$W$2:$W$594,0),1)</f>
        <v>65922.42</v>
      </c>
    </row>
    <row r="196" spans="1:13" x14ac:dyDescent="0.25">
      <c r="A196" t="s">
        <v>571</v>
      </c>
      <c r="B196" t="s">
        <v>71</v>
      </c>
      <c r="C196" t="s">
        <v>47</v>
      </c>
      <c r="D196">
        <v>8</v>
      </c>
      <c r="E196" t="s">
        <v>15</v>
      </c>
      <c r="F196" t="s">
        <v>664</v>
      </c>
      <c r="G196" t="s">
        <v>17</v>
      </c>
      <c r="H196" t="s">
        <v>17</v>
      </c>
      <c r="I196" t="s">
        <v>665</v>
      </c>
      <c r="J196" t="s">
        <v>666</v>
      </c>
      <c r="K196" t="s">
        <v>21</v>
      </c>
      <c r="L196" cm="1">
        <f t="array" ref="L196">SUM(IF(INT($F$2:$F$402)&amp;$C$2:$C$402=INT($F196)&amp;$C196,1,0))</f>
        <v>1</v>
      </c>
      <c r="M196" t="str">
        <f>INDEX(Wyart2000!$G$2:$G$594,MATCH($J196,Wyart2000!$W$2:$W$594,0),1)</f>
        <v>65935.25</v>
      </c>
    </row>
    <row r="197" spans="1:13" x14ac:dyDescent="0.25">
      <c r="A197" t="s">
        <v>571</v>
      </c>
      <c r="B197" t="s">
        <v>13</v>
      </c>
      <c r="C197" t="s">
        <v>26</v>
      </c>
      <c r="D197">
        <v>14</v>
      </c>
      <c r="E197" t="s">
        <v>15</v>
      </c>
      <c r="F197" t="s">
        <v>667</v>
      </c>
      <c r="G197" t="s">
        <v>17</v>
      </c>
      <c r="H197" t="s">
        <v>17</v>
      </c>
      <c r="I197" t="s">
        <v>668</v>
      </c>
      <c r="J197" t="s">
        <v>669</v>
      </c>
      <c r="K197" t="s">
        <v>21</v>
      </c>
      <c r="L197" cm="1">
        <f t="array" ref="L197">SUM(IF(INT($F$2:$F$402)&amp;$C$2:$C$402=INT($F197)&amp;$C197,1,0))</f>
        <v>1</v>
      </c>
      <c r="M197" t="str">
        <f>INDEX(Wyart2000!$G$2:$G$594,MATCH($J197,Wyart2000!$W$2:$W$594,0),1)</f>
        <v>65967.15</v>
      </c>
    </row>
    <row r="198" spans="1:13" x14ac:dyDescent="0.25">
      <c r="A198" t="s">
        <v>659</v>
      </c>
      <c r="B198" t="s">
        <v>660</v>
      </c>
      <c r="C198" t="s">
        <v>26</v>
      </c>
      <c r="D198">
        <v>14</v>
      </c>
      <c r="E198" t="s">
        <v>15</v>
      </c>
      <c r="F198" t="s">
        <v>670</v>
      </c>
      <c r="G198" t="s">
        <v>17</v>
      </c>
      <c r="H198" t="s">
        <v>17</v>
      </c>
      <c r="I198" t="s">
        <v>671</v>
      </c>
      <c r="J198" t="s">
        <v>672</v>
      </c>
      <c r="K198" t="s">
        <v>21</v>
      </c>
      <c r="L198" cm="1">
        <f t="array" ref="L198">SUM(IF(INT($F$2:$F$402)&amp;$C$2:$C$402=INT($F198)&amp;$C198,1,0))</f>
        <v>1</v>
      </c>
      <c r="M198" t="str">
        <f>INDEX(Wyart2000!$G$2:$G$594,MATCH($J198,Wyart2000!$W$2:$W$594,0),1)</f>
        <v>66148.40</v>
      </c>
    </row>
    <row r="199" spans="1:13" x14ac:dyDescent="0.25">
      <c r="A199" t="s">
        <v>659</v>
      </c>
      <c r="B199" t="s">
        <v>660</v>
      </c>
      <c r="C199" t="s">
        <v>30</v>
      </c>
      <c r="D199">
        <v>16</v>
      </c>
      <c r="E199" t="s">
        <v>15</v>
      </c>
      <c r="F199" t="s">
        <v>673</v>
      </c>
      <c r="G199" t="s">
        <v>17</v>
      </c>
      <c r="H199" t="s">
        <v>17</v>
      </c>
      <c r="I199" t="s">
        <v>674</v>
      </c>
      <c r="J199" t="s">
        <v>675</v>
      </c>
      <c r="K199" t="s">
        <v>21</v>
      </c>
      <c r="L199" cm="1">
        <f t="array" ref="L199">SUM(IF(INT($F$2:$F$402)&amp;$C$2:$C$402=INT($F199)&amp;$C199,1,0))</f>
        <v>1</v>
      </c>
      <c r="M199" t="str">
        <f>INDEX(Wyart2000!$G$2:$G$594,MATCH($J199,Wyart2000!$W$2:$W$594,0),1)</f>
        <v>66301.35</v>
      </c>
    </row>
    <row r="200" spans="1:13" x14ac:dyDescent="0.25">
      <c r="A200" t="s">
        <v>676</v>
      </c>
      <c r="B200" t="s">
        <v>677</v>
      </c>
      <c r="C200" t="s">
        <v>145</v>
      </c>
      <c r="D200">
        <v>2</v>
      </c>
      <c r="E200" t="s">
        <v>15</v>
      </c>
      <c r="F200" t="s">
        <v>678</v>
      </c>
      <c r="G200" t="s">
        <v>17</v>
      </c>
      <c r="H200" t="s">
        <v>17</v>
      </c>
      <c r="I200" t="s">
        <v>679</v>
      </c>
      <c r="J200" t="s">
        <v>680</v>
      </c>
      <c r="K200" t="s">
        <v>21</v>
      </c>
      <c r="L200" cm="1">
        <f t="array" ref="L200">SUM(IF(INT($F$2:$F$402)&amp;$C$2:$C$402=INT($F200)&amp;$C200,1,0))</f>
        <v>1</v>
      </c>
      <c r="M200" t="str">
        <f>INDEX(Wyart2000!$G$2:$G$594,MATCH($J200,Wyart2000!$W$2:$W$594,0),1)</f>
        <v>66324.84</v>
      </c>
    </row>
    <row r="201" spans="1:13" x14ac:dyDescent="0.25">
      <c r="A201" t="s">
        <v>571</v>
      </c>
      <c r="B201" t="s">
        <v>34</v>
      </c>
      <c r="C201" t="s">
        <v>43</v>
      </c>
      <c r="D201">
        <v>6</v>
      </c>
      <c r="E201" t="s">
        <v>15</v>
      </c>
      <c r="F201" t="s">
        <v>681</v>
      </c>
      <c r="G201" t="s">
        <v>17</v>
      </c>
      <c r="H201" t="s">
        <v>17</v>
      </c>
      <c r="I201" t="s">
        <v>682</v>
      </c>
      <c r="J201" t="s">
        <v>683</v>
      </c>
      <c r="K201" t="s">
        <v>21</v>
      </c>
      <c r="L201" cm="1">
        <f t="array" ref="L201">SUM(IF(INT($F$2:$F$402)&amp;$C$2:$C$402=INT($F201)&amp;$C201,1,0))</f>
        <v>1</v>
      </c>
      <c r="M201" t="str">
        <f>INDEX(Wyart2000!$G$2:$G$594,MATCH($J201,Wyart2000!$W$2:$W$594,0),1)</f>
        <v>66681.14</v>
      </c>
    </row>
    <row r="202" spans="1:13" x14ac:dyDescent="0.25">
      <c r="A202" t="s">
        <v>571</v>
      </c>
      <c r="B202" t="s">
        <v>608</v>
      </c>
      <c r="C202" t="s">
        <v>26</v>
      </c>
      <c r="D202">
        <v>14</v>
      </c>
      <c r="E202" t="s">
        <v>15</v>
      </c>
      <c r="F202" t="s">
        <v>684</v>
      </c>
      <c r="G202" t="s">
        <v>17</v>
      </c>
      <c r="H202" t="s">
        <v>17</v>
      </c>
      <c r="I202" t="s">
        <v>685</v>
      </c>
      <c r="J202" t="s">
        <v>686</v>
      </c>
      <c r="K202" t="s">
        <v>21</v>
      </c>
      <c r="L202" cm="1">
        <f t="array" ref="L202">SUM(IF(INT($F$2:$F$402)&amp;$C$2:$C$402=INT($F202)&amp;$C202,1,0))</f>
        <v>1</v>
      </c>
      <c r="M202" t="str">
        <f>INDEX(Wyart2000!$G$2:$G$594,MATCH($J202,Wyart2000!$W$2:$W$594,0),1)</f>
        <v>66735.88</v>
      </c>
    </row>
    <row r="203" spans="1:13" x14ac:dyDescent="0.25">
      <c r="A203" t="s">
        <v>571</v>
      </c>
      <c r="B203" t="s">
        <v>75</v>
      </c>
      <c r="C203" t="s">
        <v>47</v>
      </c>
      <c r="D203">
        <v>8</v>
      </c>
      <c r="E203" t="s">
        <v>15</v>
      </c>
      <c r="F203" t="s">
        <v>687</v>
      </c>
      <c r="G203" t="s">
        <v>17</v>
      </c>
      <c r="H203" t="s">
        <v>17</v>
      </c>
      <c r="I203" t="s">
        <v>688</v>
      </c>
      <c r="J203" t="s">
        <v>689</v>
      </c>
      <c r="K203" t="s">
        <v>21</v>
      </c>
      <c r="L203" cm="1">
        <f t="array" ref="L203">SUM(IF(INT($F$2:$F$402)&amp;$C$2:$C$402=INT($F203)&amp;$C203,1,0))</f>
        <v>1</v>
      </c>
      <c r="M203" t="str">
        <f>INDEX(Wyart2000!$G$2:$G$594,MATCH($J203,Wyart2000!$W$2:$W$594,0),1)</f>
        <v>66852.87</v>
      </c>
    </row>
    <row r="204" spans="1:13" x14ac:dyDescent="0.25">
      <c r="A204" t="s">
        <v>676</v>
      </c>
      <c r="B204" t="s">
        <v>677</v>
      </c>
      <c r="C204" t="s">
        <v>35</v>
      </c>
      <c r="D204">
        <v>4</v>
      </c>
      <c r="E204" t="s">
        <v>15</v>
      </c>
      <c r="F204" t="s">
        <v>690</v>
      </c>
      <c r="G204" t="s">
        <v>17</v>
      </c>
      <c r="H204" t="s">
        <v>17</v>
      </c>
      <c r="I204" t="s">
        <v>691</v>
      </c>
      <c r="J204" t="s">
        <v>692</v>
      </c>
      <c r="K204" t="s">
        <v>21</v>
      </c>
      <c r="L204" cm="1">
        <f t="array" ref="L204">SUM(IF(INT($F$2:$F$402)&amp;$C$2:$C$402=INT($F204)&amp;$C204,1,0))</f>
        <v>1</v>
      </c>
      <c r="M204" t="str">
        <f>INDEX(Wyart2000!$G$2:$G$594,MATCH($J204,Wyart2000!$W$2:$W$594,0),1)</f>
        <v>66867.09</v>
      </c>
    </row>
    <row r="205" spans="1:13" x14ac:dyDescent="0.25">
      <c r="A205" t="s">
        <v>571</v>
      </c>
      <c r="B205" t="s">
        <v>71</v>
      </c>
      <c r="C205" t="s">
        <v>43</v>
      </c>
      <c r="D205">
        <v>6</v>
      </c>
      <c r="E205" t="s">
        <v>15</v>
      </c>
      <c r="F205" t="s">
        <v>693</v>
      </c>
      <c r="G205" t="s">
        <v>17</v>
      </c>
      <c r="H205" t="s">
        <v>17</v>
      </c>
      <c r="I205" t="s">
        <v>694</v>
      </c>
      <c r="J205" t="s">
        <v>695</v>
      </c>
      <c r="K205" t="s">
        <v>21</v>
      </c>
      <c r="L205" cm="1">
        <f t="array" ref="L205">SUM(IF(INT($F$2:$F$402)&amp;$C$2:$C$402=INT($F205)&amp;$C205,1,0))</f>
        <v>1</v>
      </c>
      <c r="M205" t="str">
        <f>INDEX(Wyart2000!$G$2:$G$594,MATCH($J205,Wyart2000!$W$2:$W$594,0),1)</f>
        <v>66943.04</v>
      </c>
    </row>
    <row r="206" spans="1:13" x14ac:dyDescent="0.25">
      <c r="A206" t="s">
        <v>659</v>
      </c>
      <c r="B206" t="s">
        <v>660</v>
      </c>
      <c r="C206" t="s">
        <v>14</v>
      </c>
      <c r="D206">
        <v>10</v>
      </c>
      <c r="E206" t="s">
        <v>15</v>
      </c>
      <c r="F206" t="s">
        <v>696</v>
      </c>
      <c r="G206" t="s">
        <v>17</v>
      </c>
      <c r="H206" t="s">
        <v>17</v>
      </c>
      <c r="I206" t="s">
        <v>697</v>
      </c>
      <c r="J206" t="s">
        <v>698</v>
      </c>
      <c r="K206" t="s">
        <v>21</v>
      </c>
      <c r="L206" cm="1">
        <f t="array" ref="L206">SUM(IF(INT($F$2:$F$402)&amp;$C$2:$C$402=INT($F206)&amp;$C206,1,0))</f>
        <v>1</v>
      </c>
      <c r="M206" t="str">
        <f>INDEX(Wyart2000!$G$2:$G$594,MATCH($J206,Wyart2000!$W$2:$W$594,0),1)</f>
        <v>67049.18</v>
      </c>
    </row>
    <row r="207" spans="1:13" x14ac:dyDescent="0.25">
      <c r="A207" t="s">
        <v>676</v>
      </c>
      <c r="B207" t="s">
        <v>677</v>
      </c>
      <c r="C207" t="s">
        <v>47</v>
      </c>
      <c r="D207">
        <v>8</v>
      </c>
      <c r="E207" t="s">
        <v>15</v>
      </c>
      <c r="F207" t="s">
        <v>699</v>
      </c>
      <c r="G207" t="s">
        <v>17</v>
      </c>
      <c r="H207" t="s">
        <v>17</v>
      </c>
      <c r="I207" t="s">
        <v>700</v>
      </c>
      <c r="J207" t="s">
        <v>701</v>
      </c>
      <c r="K207" t="s">
        <v>21</v>
      </c>
      <c r="L207" cm="1">
        <f t="array" ref="L207">SUM(IF(INT($F$2:$F$402)&amp;$C$2:$C$402=INT($F207)&amp;$C207,1,0))</f>
        <v>1</v>
      </c>
      <c r="M207" t="str">
        <f>INDEX(Wyart2000!$G$2:$G$594,MATCH($J207,Wyart2000!$W$2:$W$594,0),1)</f>
        <v>67240.35</v>
      </c>
    </row>
    <row r="208" spans="1:13" x14ac:dyDescent="0.25">
      <c r="A208" t="s">
        <v>676</v>
      </c>
      <c r="B208" t="s">
        <v>677</v>
      </c>
      <c r="C208" t="s">
        <v>43</v>
      </c>
      <c r="D208">
        <v>6</v>
      </c>
      <c r="E208" t="s">
        <v>15</v>
      </c>
      <c r="F208" t="s">
        <v>702</v>
      </c>
      <c r="G208" t="s">
        <v>17</v>
      </c>
      <c r="H208" t="s">
        <v>17</v>
      </c>
      <c r="I208" t="s">
        <v>703</v>
      </c>
      <c r="J208" t="s">
        <v>704</v>
      </c>
      <c r="K208" t="s">
        <v>21</v>
      </c>
      <c r="L208" cm="1">
        <f t="array" ref="L208">SUM(IF(INT($F$2:$F$402)&amp;$C$2:$C$402=INT($F208)&amp;$C208,1,0))</f>
        <v>1</v>
      </c>
      <c r="M208" t="str">
        <f>INDEX(Wyart2000!$G$2:$G$594,MATCH($J208,Wyart2000!$W$2:$W$594,0),1)</f>
        <v>67395.32</v>
      </c>
    </row>
    <row r="209" spans="1:13" x14ac:dyDescent="0.25">
      <c r="A209" t="s">
        <v>705</v>
      </c>
      <c r="B209" t="s">
        <v>71</v>
      </c>
      <c r="C209" t="s">
        <v>14</v>
      </c>
      <c r="D209">
        <v>10</v>
      </c>
      <c r="E209" t="s">
        <v>15</v>
      </c>
      <c r="F209" t="s">
        <v>706</v>
      </c>
      <c r="G209" t="s">
        <v>17</v>
      </c>
      <c r="H209" t="s">
        <v>17</v>
      </c>
      <c r="I209" t="s">
        <v>707</v>
      </c>
      <c r="J209" t="s">
        <v>708</v>
      </c>
      <c r="K209" t="s">
        <v>21</v>
      </c>
      <c r="L209" cm="1">
        <f t="array" ref="L209">SUM(IF(INT($F$2:$F$402)&amp;$C$2:$C$402=INT($F209)&amp;$C209,1,0))</f>
        <v>1</v>
      </c>
      <c r="M209" t="str">
        <f>INDEX(Wyart2000!$G$2:$G$594,MATCH($J209,Wyart2000!$W$2:$W$594,0),1)</f>
        <v>67398.79</v>
      </c>
    </row>
    <row r="210" spans="1:13" x14ac:dyDescent="0.25">
      <c r="A210" t="s">
        <v>571</v>
      </c>
      <c r="B210" t="s">
        <v>34</v>
      </c>
      <c r="C210" t="s">
        <v>47</v>
      </c>
      <c r="D210">
        <v>8</v>
      </c>
      <c r="E210" t="s">
        <v>15</v>
      </c>
      <c r="F210" t="s">
        <v>709</v>
      </c>
      <c r="G210" t="s">
        <v>17</v>
      </c>
      <c r="H210" t="s">
        <v>17</v>
      </c>
      <c r="I210" t="s">
        <v>710</v>
      </c>
      <c r="J210" t="s">
        <v>711</v>
      </c>
      <c r="K210" t="s">
        <v>21</v>
      </c>
      <c r="L210" cm="1">
        <f t="array" ref="L210">SUM(IF(INT($F$2:$F$402)&amp;$C$2:$C$402=INT($F210)&amp;$C210,1,0))</f>
        <v>1</v>
      </c>
      <c r="M210" t="str">
        <f>INDEX(Wyart2000!$G$2:$G$594,MATCH($J210,Wyart2000!$W$2:$W$594,0),1)</f>
        <v>67679.21</v>
      </c>
    </row>
    <row r="211" spans="1:13" x14ac:dyDescent="0.25">
      <c r="A211" t="s">
        <v>712</v>
      </c>
      <c r="B211" t="s">
        <v>713</v>
      </c>
      <c r="C211" t="s">
        <v>14</v>
      </c>
      <c r="D211">
        <v>10</v>
      </c>
      <c r="E211" t="s">
        <v>15</v>
      </c>
      <c r="F211" t="s">
        <v>714</v>
      </c>
      <c r="G211" t="s">
        <v>17</v>
      </c>
      <c r="H211" t="s">
        <v>17</v>
      </c>
      <c r="I211" t="s">
        <v>715</v>
      </c>
      <c r="J211" t="s">
        <v>716</v>
      </c>
      <c r="K211" t="s">
        <v>21</v>
      </c>
      <c r="L211" cm="1">
        <f t="array" ref="L211">SUM(IF(INT($F$2:$F$402)&amp;$C$2:$C$402=INT($F211)&amp;$C211,1,0))</f>
        <v>1</v>
      </c>
      <c r="M211" t="str">
        <f>INDEX(Wyart2000!$G$2:$G$594,MATCH($J211,Wyart2000!$W$2:$W$594,0),1)</f>
        <v>67870.76</v>
      </c>
    </row>
    <row r="212" spans="1:13" x14ac:dyDescent="0.25">
      <c r="A212" t="s">
        <v>712</v>
      </c>
      <c r="B212" t="s">
        <v>713</v>
      </c>
      <c r="C212" t="s">
        <v>35</v>
      </c>
      <c r="D212">
        <v>4</v>
      </c>
      <c r="E212" t="s">
        <v>15</v>
      </c>
      <c r="F212" t="s">
        <v>717</v>
      </c>
      <c r="G212" t="s">
        <v>17</v>
      </c>
      <c r="H212" t="s">
        <v>17</v>
      </c>
      <c r="I212" t="s">
        <v>606</v>
      </c>
      <c r="J212" t="s">
        <v>718</v>
      </c>
      <c r="K212" t="s">
        <v>21</v>
      </c>
      <c r="L212" cm="1">
        <f t="array" ref="L212">SUM(IF(INT($F$2:$F$402)&amp;$C$2:$C$402=INT($F212)&amp;$C212,1,0))</f>
        <v>1</v>
      </c>
      <c r="M212" t="str">
        <f>INDEX(Wyart2000!$G$2:$G$594,MATCH($J212,Wyart2000!$W$2:$W$594,0),1)</f>
        <v>67965.47</v>
      </c>
    </row>
    <row r="213" spans="1:13" x14ac:dyDescent="0.25">
      <c r="A213" t="s">
        <v>571</v>
      </c>
      <c r="B213" t="s">
        <v>266</v>
      </c>
      <c r="C213" t="s">
        <v>22</v>
      </c>
      <c r="D213">
        <v>12</v>
      </c>
      <c r="E213" t="s">
        <v>15</v>
      </c>
      <c r="F213" t="s">
        <v>719</v>
      </c>
      <c r="G213" t="s">
        <v>17</v>
      </c>
      <c r="H213" t="s">
        <v>17</v>
      </c>
      <c r="I213" t="s">
        <v>720</v>
      </c>
      <c r="J213" t="s">
        <v>721</v>
      </c>
      <c r="K213" t="s">
        <v>21</v>
      </c>
      <c r="L213" cm="1">
        <f t="array" ref="L213">SUM(IF(INT($F$2:$F$402)&amp;$C$2:$C$402=INT($F213)&amp;$C213,1,0))</f>
        <v>1</v>
      </c>
      <c r="M213" t="str">
        <f>INDEX(Wyart2000!$G$2:$G$594,MATCH($J213,Wyart2000!$W$2:$W$594,0),1)</f>
        <v>68238.12</v>
      </c>
    </row>
    <row r="214" spans="1:13" x14ac:dyDescent="0.25">
      <c r="A214" t="s">
        <v>571</v>
      </c>
      <c r="B214" t="s">
        <v>13</v>
      </c>
      <c r="C214" t="s">
        <v>30</v>
      </c>
      <c r="D214">
        <v>16</v>
      </c>
      <c r="E214" t="s">
        <v>15</v>
      </c>
      <c r="F214" t="s">
        <v>722</v>
      </c>
      <c r="G214" t="s">
        <v>17</v>
      </c>
      <c r="H214" t="s">
        <v>17</v>
      </c>
      <c r="I214" t="s">
        <v>94</v>
      </c>
      <c r="J214" t="s">
        <v>723</v>
      </c>
      <c r="K214" t="s">
        <v>21</v>
      </c>
      <c r="L214" cm="1">
        <f t="array" ref="L214">SUM(IF(INT($F$2:$F$402)&amp;$C$2:$C$402=INT($F214)&amp;$C214,1,0))</f>
        <v>1</v>
      </c>
      <c r="M214" t="str">
        <f>INDEX(Wyart2000!$G$2:$G$594,MATCH($J214,Wyart2000!$W$2:$W$594,0),1)</f>
        <v>68305.1</v>
      </c>
    </row>
    <row r="215" spans="1:13" x14ac:dyDescent="0.25">
      <c r="A215" t="s">
        <v>571</v>
      </c>
      <c r="B215" t="s">
        <v>71</v>
      </c>
      <c r="C215" t="s">
        <v>47</v>
      </c>
      <c r="D215">
        <v>8</v>
      </c>
      <c r="E215" t="s">
        <v>15</v>
      </c>
      <c r="F215" t="s">
        <v>724</v>
      </c>
      <c r="G215" t="s">
        <v>17</v>
      </c>
      <c r="H215" t="s">
        <v>17</v>
      </c>
      <c r="I215" t="s">
        <v>725</v>
      </c>
      <c r="J215" t="s">
        <v>726</v>
      </c>
      <c r="K215" t="s">
        <v>21</v>
      </c>
      <c r="L215" cm="1">
        <f t="array" ref="L215">SUM(IF(INT($F$2:$F$402)&amp;$C$2:$C$402=INT($F215)&amp;$C215,1,0))</f>
        <v>1</v>
      </c>
      <c r="M215" t="str">
        <f>INDEX(Wyart2000!$G$2:$G$594,MATCH($J215,Wyart2000!$W$2:$W$594,0),1)</f>
        <v>68331.75</v>
      </c>
    </row>
    <row r="216" spans="1:13" x14ac:dyDescent="0.25">
      <c r="A216" t="s">
        <v>727</v>
      </c>
      <c r="B216" t="s">
        <v>71</v>
      </c>
      <c r="C216" t="s">
        <v>14</v>
      </c>
      <c r="D216">
        <v>10</v>
      </c>
      <c r="E216" t="s">
        <v>15</v>
      </c>
      <c r="F216" t="s">
        <v>728</v>
      </c>
      <c r="G216" t="s">
        <v>17</v>
      </c>
      <c r="H216" t="s">
        <v>17</v>
      </c>
      <c r="I216" t="s">
        <v>729</v>
      </c>
      <c r="J216" t="s">
        <v>730</v>
      </c>
      <c r="K216" t="s">
        <v>21</v>
      </c>
      <c r="L216" cm="1">
        <f t="array" ref="L216">SUM(IF(INT($F$2:$F$402)&amp;$C$2:$C$402=INT($F216)&amp;$C216,1,0))</f>
        <v>1</v>
      </c>
      <c r="M216" t="str">
        <f>INDEX(Wyart2000!$G$2:$G$594,MATCH($J216,Wyart2000!$W$2:$W$594,0),1)</f>
        <v>68374.54</v>
      </c>
    </row>
    <row r="217" spans="1:13" x14ac:dyDescent="0.25">
      <c r="A217" t="s">
        <v>712</v>
      </c>
      <c r="B217" t="s">
        <v>713</v>
      </c>
      <c r="C217" t="s">
        <v>47</v>
      </c>
      <c r="D217">
        <v>8</v>
      </c>
      <c r="E217" t="s">
        <v>15</v>
      </c>
      <c r="F217" t="s">
        <v>731</v>
      </c>
      <c r="G217" t="s">
        <v>17</v>
      </c>
      <c r="H217" t="s">
        <v>17</v>
      </c>
      <c r="I217" t="s">
        <v>732</v>
      </c>
      <c r="J217" t="s">
        <v>733</v>
      </c>
      <c r="K217" t="s">
        <v>21</v>
      </c>
      <c r="L217" cm="1">
        <f t="array" ref="L217">SUM(IF(INT($F$2:$F$402)&amp;$C$2:$C$402=INT($F217)&amp;$C217,1,0))</f>
        <v>1</v>
      </c>
      <c r="M217" t="str">
        <f>INDEX(Wyart2000!$G$2:$G$594,MATCH($J217,Wyart2000!$W$2:$W$594,0),1)</f>
        <v>68492.43</v>
      </c>
    </row>
    <row r="218" spans="1:13" x14ac:dyDescent="0.25">
      <c r="A218" t="s">
        <v>734</v>
      </c>
      <c r="B218" t="s">
        <v>576</v>
      </c>
      <c r="C218" t="s">
        <v>22</v>
      </c>
      <c r="D218">
        <v>12</v>
      </c>
      <c r="E218" t="s">
        <v>15</v>
      </c>
      <c r="F218" t="s">
        <v>735</v>
      </c>
      <c r="G218" t="s">
        <v>17</v>
      </c>
      <c r="H218" t="s">
        <v>17</v>
      </c>
      <c r="I218" t="s">
        <v>736</v>
      </c>
      <c r="J218" t="s">
        <v>737</v>
      </c>
      <c r="K218" t="s">
        <v>21</v>
      </c>
      <c r="L218" cm="1">
        <f t="array" ref="L218">SUM(IF(INT($F$2:$F$402)&amp;$C$2:$C$402=INT($F218)&amp;$C218,1,0))</f>
        <v>1</v>
      </c>
      <c r="M218" t="str">
        <f>INDEX(Wyart2000!$G$2:$G$594,MATCH($J218,Wyart2000!$W$2:$W$594,0),1)</f>
        <v>68525.62</v>
      </c>
    </row>
    <row r="219" spans="1:13" x14ac:dyDescent="0.25">
      <c r="A219" t="s">
        <v>571</v>
      </c>
      <c r="B219" t="s">
        <v>75</v>
      </c>
      <c r="C219" t="s">
        <v>14</v>
      </c>
      <c r="D219">
        <v>10</v>
      </c>
      <c r="E219" t="s">
        <v>15</v>
      </c>
      <c r="F219" t="s">
        <v>738</v>
      </c>
      <c r="G219" t="s">
        <v>17</v>
      </c>
      <c r="H219" t="s">
        <v>17</v>
      </c>
      <c r="I219" t="s">
        <v>739</v>
      </c>
      <c r="J219" t="s">
        <v>740</v>
      </c>
      <c r="K219" t="s">
        <v>21</v>
      </c>
      <c r="L219" cm="1">
        <f t="array" ref="L219">SUM(IF(INT($F$2:$F$402)&amp;$C$2:$C$402=INT($F219)&amp;$C219,1,0))</f>
        <v>1</v>
      </c>
      <c r="M219" t="str">
        <f>INDEX(Wyart2000!$G$2:$G$594,MATCH($J219,Wyart2000!$W$2:$W$594,0),1)</f>
        <v>68544.19</v>
      </c>
    </row>
    <row r="220" spans="1:13" x14ac:dyDescent="0.25">
      <c r="A220" t="s">
        <v>734</v>
      </c>
      <c r="B220" t="s">
        <v>71</v>
      </c>
      <c r="C220" t="s">
        <v>47</v>
      </c>
      <c r="D220">
        <v>8</v>
      </c>
      <c r="E220" t="s">
        <v>15</v>
      </c>
      <c r="F220" t="s">
        <v>741</v>
      </c>
      <c r="G220" t="s">
        <v>17</v>
      </c>
      <c r="H220" t="s">
        <v>17</v>
      </c>
      <c r="I220" t="s">
        <v>742</v>
      </c>
      <c r="J220" t="s">
        <v>743</v>
      </c>
      <c r="K220" t="s">
        <v>21</v>
      </c>
      <c r="L220" cm="1">
        <f t="array" ref="L220">SUM(IF(INT($F$2:$F$402)&amp;$C$2:$C$402=INT($F220)&amp;$C220,1,0))</f>
        <v>1</v>
      </c>
      <c r="M220" t="str">
        <f>INDEX(Wyart2000!$G$2:$G$594,MATCH($J220,Wyart2000!$W$2:$W$594,0),1)</f>
        <v>68801.67</v>
      </c>
    </row>
    <row r="221" spans="1:13" x14ac:dyDescent="0.25">
      <c r="A221" t="s">
        <v>712</v>
      </c>
      <c r="B221" t="s">
        <v>713</v>
      </c>
      <c r="C221" t="s">
        <v>43</v>
      </c>
      <c r="D221">
        <v>6</v>
      </c>
      <c r="E221" t="s">
        <v>15</v>
      </c>
      <c r="F221" t="s">
        <v>744</v>
      </c>
      <c r="G221" t="s">
        <v>17</v>
      </c>
      <c r="H221" t="s">
        <v>17</v>
      </c>
      <c r="I221" t="s">
        <v>745</v>
      </c>
      <c r="J221" t="s">
        <v>746</v>
      </c>
      <c r="K221" t="s">
        <v>21</v>
      </c>
      <c r="L221" cm="1">
        <f t="array" ref="L221">SUM(IF(INT($F$2:$F$402)&amp;$C$2:$C$402=INT($F221)&amp;$C221,1,0))</f>
        <v>1</v>
      </c>
      <c r="M221" t="str">
        <f>INDEX(Wyart2000!$G$2:$G$594,MATCH($J221,Wyart2000!$W$2:$W$594,0),1)</f>
        <v>68978.55</v>
      </c>
    </row>
    <row r="222" spans="1:13" x14ac:dyDescent="0.25">
      <c r="A222" t="s">
        <v>571</v>
      </c>
      <c r="B222" t="s">
        <v>71</v>
      </c>
      <c r="C222" t="s">
        <v>47</v>
      </c>
      <c r="D222">
        <v>8</v>
      </c>
      <c r="E222" t="s">
        <v>15</v>
      </c>
      <c r="F222" t="s">
        <v>747</v>
      </c>
      <c r="G222" t="s">
        <v>17</v>
      </c>
      <c r="H222" t="s">
        <v>17</v>
      </c>
      <c r="I222" t="s">
        <v>748</v>
      </c>
      <c r="J222" t="s">
        <v>749</v>
      </c>
      <c r="K222" t="s">
        <v>21</v>
      </c>
      <c r="L222" cm="1">
        <f t="array" ref="L222">SUM(IF(INT($F$2:$F$402)&amp;$C$2:$C$402=INT($F222)&amp;$C222,1,0))</f>
        <v>1</v>
      </c>
      <c r="M222" t="str">
        <f>INDEX(Wyart2000!$G$2:$G$594,MATCH($J222,Wyart2000!$W$2:$W$594,0),1)</f>
        <v>68987.07</v>
      </c>
    </row>
    <row r="223" spans="1:13" x14ac:dyDescent="0.25">
      <c r="A223" t="s">
        <v>734</v>
      </c>
      <c r="B223" t="s">
        <v>71</v>
      </c>
      <c r="C223" t="s">
        <v>14</v>
      </c>
      <c r="D223">
        <v>10</v>
      </c>
      <c r="E223" t="s">
        <v>15</v>
      </c>
      <c r="F223" t="s">
        <v>750</v>
      </c>
      <c r="G223" t="s">
        <v>17</v>
      </c>
      <c r="H223" t="s">
        <v>17</v>
      </c>
      <c r="I223" t="s">
        <v>751</v>
      </c>
      <c r="J223" t="s">
        <v>752</v>
      </c>
      <c r="K223" t="s">
        <v>21</v>
      </c>
      <c r="L223" cm="1">
        <f t="array" ref="L223">SUM(IF(INT($F$2:$F$402)&amp;$C$2:$C$402=INT($F223)&amp;$C223,1,0))</f>
        <v>1</v>
      </c>
      <c r="M223" t="str">
        <f>INDEX(Wyart2000!$G$2:$G$594,MATCH($J223,Wyart2000!$W$2:$W$594,0),1)</f>
        <v>69138.28</v>
      </c>
    </row>
    <row r="224" spans="1:13" x14ac:dyDescent="0.25">
      <c r="A224" t="s">
        <v>571</v>
      </c>
      <c r="B224" t="s">
        <v>71</v>
      </c>
      <c r="C224" t="s">
        <v>22</v>
      </c>
      <c r="D224">
        <v>12</v>
      </c>
      <c r="E224" t="s">
        <v>15</v>
      </c>
      <c r="F224" t="s">
        <v>753</v>
      </c>
      <c r="G224" t="s">
        <v>17</v>
      </c>
      <c r="H224" t="s">
        <v>17</v>
      </c>
      <c r="I224" t="s">
        <v>754</v>
      </c>
      <c r="J224" t="s">
        <v>755</v>
      </c>
      <c r="K224" t="s">
        <v>21</v>
      </c>
      <c r="L224" cm="1">
        <f t="array" ref="L224">SUM(IF(INT($F$2:$F$402)&amp;$C$2:$C$402=INT($F224)&amp;$C224,1,0))</f>
        <v>1</v>
      </c>
      <c r="M224" t="str">
        <f>INDEX(Wyart2000!$G$2:$G$594,MATCH($J224,Wyart2000!$W$2:$W$594,0),1)</f>
        <v>69408.51</v>
      </c>
    </row>
    <row r="225" spans="1:13" x14ac:dyDescent="0.25">
      <c r="A225" t="s">
        <v>571</v>
      </c>
      <c r="B225" t="s">
        <v>71</v>
      </c>
      <c r="C225" t="s">
        <v>47</v>
      </c>
      <c r="D225">
        <v>8</v>
      </c>
      <c r="E225" t="s">
        <v>15</v>
      </c>
      <c r="F225" t="s">
        <v>756</v>
      </c>
      <c r="G225" t="s">
        <v>17</v>
      </c>
      <c r="H225" t="s">
        <v>17</v>
      </c>
      <c r="I225" t="s">
        <v>757</v>
      </c>
      <c r="J225" t="s">
        <v>758</v>
      </c>
      <c r="K225" t="s">
        <v>21</v>
      </c>
      <c r="L225" cm="1">
        <f t="array" ref="L225">SUM(IF(INT($F$2:$F$402)&amp;$C$2:$C$402=INT($F225)&amp;$C225,1,0))</f>
        <v>1</v>
      </c>
      <c r="M225" t="str">
        <f>INDEX(Wyart2000!$G$2:$G$594,MATCH($J225,Wyart2000!$W$2:$W$594,0),1)</f>
        <v>69431.00</v>
      </c>
    </row>
    <row r="226" spans="1:13" x14ac:dyDescent="0.25">
      <c r="A226" t="s">
        <v>759</v>
      </c>
      <c r="B226" t="s">
        <v>75</v>
      </c>
      <c r="C226" t="s">
        <v>43</v>
      </c>
      <c r="D226">
        <v>6</v>
      </c>
      <c r="E226" t="s">
        <v>15</v>
      </c>
      <c r="F226" t="s">
        <v>760</v>
      </c>
      <c r="G226" t="s">
        <v>17</v>
      </c>
      <c r="H226" t="s">
        <v>17</v>
      </c>
      <c r="I226" t="s">
        <v>761</v>
      </c>
      <c r="J226" t="s">
        <v>762</v>
      </c>
      <c r="K226" t="s">
        <v>21</v>
      </c>
      <c r="L226" cm="1">
        <f t="array" ref="L226">SUM(IF(INT($F$2:$F$402)&amp;$C$2:$C$402=INT($F226)&amp;$C226,1,0))</f>
        <v>1</v>
      </c>
      <c r="M226" t="str">
        <f>INDEX(Wyart2000!$G$2:$G$594,MATCH($J226,Wyart2000!$W$2:$W$594,0),1)</f>
        <v>69681.6</v>
      </c>
    </row>
    <row r="227" spans="1:13" x14ac:dyDescent="0.25">
      <c r="A227" t="s">
        <v>571</v>
      </c>
      <c r="B227" t="s">
        <v>34</v>
      </c>
      <c r="C227" t="s">
        <v>14</v>
      </c>
      <c r="D227">
        <v>10</v>
      </c>
      <c r="E227" t="s">
        <v>15</v>
      </c>
      <c r="F227" t="s">
        <v>763</v>
      </c>
      <c r="G227" t="s">
        <v>17</v>
      </c>
      <c r="H227" t="s">
        <v>17</v>
      </c>
      <c r="I227" t="s">
        <v>764</v>
      </c>
      <c r="J227" t="s">
        <v>765</v>
      </c>
      <c r="K227" t="s">
        <v>21</v>
      </c>
      <c r="L227" cm="1">
        <f t="array" ref="L227">SUM(IF(INT($F$2:$F$402)&amp;$C$2:$C$402=INT($F227)&amp;$C227,1,0))</f>
        <v>1</v>
      </c>
      <c r="M227" t="str">
        <f>INDEX(Wyart2000!$G$2:$G$594,MATCH($J227,Wyart2000!$W$2:$W$594,0),1)</f>
        <v>69686.26</v>
      </c>
    </row>
    <row r="228" spans="1:13" x14ac:dyDescent="0.25">
      <c r="A228" t="s">
        <v>571</v>
      </c>
      <c r="B228" t="s">
        <v>75</v>
      </c>
      <c r="C228" t="s">
        <v>22</v>
      </c>
      <c r="D228">
        <v>12</v>
      </c>
      <c r="E228" t="s">
        <v>15</v>
      </c>
      <c r="F228" t="s">
        <v>766</v>
      </c>
      <c r="G228" t="s">
        <v>17</v>
      </c>
      <c r="H228" t="s">
        <v>17</v>
      </c>
      <c r="I228" t="s">
        <v>767</v>
      </c>
      <c r="J228" t="s">
        <v>768</v>
      </c>
      <c r="K228" t="s">
        <v>21</v>
      </c>
      <c r="L228" cm="1">
        <f t="array" ref="L228">SUM(IF(INT($F$2:$F$402)&amp;$C$2:$C$402=INT($F228)&amp;$C228,1,0))</f>
        <v>1</v>
      </c>
      <c r="M228" t="str">
        <f>INDEX(Wyart2000!$G$2:$G$594,MATCH($J228,Wyart2000!$W$2:$W$594,0),1)</f>
        <v>69978.08</v>
      </c>
    </row>
    <row r="229" spans="1:13" x14ac:dyDescent="0.25">
      <c r="A229" t="s">
        <v>571</v>
      </c>
      <c r="B229" t="s">
        <v>266</v>
      </c>
      <c r="C229" t="s">
        <v>26</v>
      </c>
      <c r="D229">
        <v>14</v>
      </c>
      <c r="E229" t="s">
        <v>15</v>
      </c>
      <c r="F229" t="s">
        <v>769</v>
      </c>
      <c r="G229" t="s">
        <v>17</v>
      </c>
      <c r="H229" t="s">
        <v>17</v>
      </c>
      <c r="I229" t="s">
        <v>770</v>
      </c>
      <c r="J229" t="s">
        <v>771</v>
      </c>
      <c r="K229" t="s">
        <v>21</v>
      </c>
      <c r="L229" cm="1">
        <f t="array" ref="L229">SUM(IF(INT($F$2:$F$402)&amp;$C$2:$C$402=INT($F229)&amp;$C229,1,0))</f>
        <v>1</v>
      </c>
      <c r="M229" t="str">
        <f>INDEX(Wyart2000!$G$2:$G$594,MATCH($J229,Wyart2000!$W$2:$W$594,0),1)</f>
        <v>70381.48</v>
      </c>
    </row>
    <row r="230" spans="1:13" x14ac:dyDescent="0.25">
      <c r="A230" t="s">
        <v>759</v>
      </c>
      <c r="B230" t="s">
        <v>75</v>
      </c>
      <c r="C230" t="s">
        <v>14</v>
      </c>
      <c r="D230">
        <v>10</v>
      </c>
      <c r="E230" t="s">
        <v>15</v>
      </c>
      <c r="F230" t="s">
        <v>772</v>
      </c>
      <c r="G230" t="s">
        <v>17</v>
      </c>
      <c r="H230" t="s">
        <v>17</v>
      </c>
      <c r="I230" t="s">
        <v>773</v>
      </c>
      <c r="J230" t="s">
        <v>774</v>
      </c>
      <c r="K230" t="s">
        <v>21</v>
      </c>
      <c r="L230" cm="1">
        <f t="array" ref="L230">SUM(IF(INT($F$2:$F$402)&amp;$C$2:$C$402=INT($F230)&amp;$C230,1,0))</f>
        <v>1</v>
      </c>
      <c r="M230" t="str">
        <f>INDEX(Wyart2000!$G$2:$G$594,MATCH($J230,Wyart2000!$W$2:$W$594,0),1)</f>
        <v>71021.1</v>
      </c>
    </row>
    <row r="231" spans="1:13" x14ac:dyDescent="0.25">
      <c r="A231" t="s">
        <v>759</v>
      </c>
      <c r="B231" t="s">
        <v>75</v>
      </c>
      <c r="C231" t="s">
        <v>47</v>
      </c>
      <c r="D231">
        <v>8</v>
      </c>
      <c r="E231" t="s">
        <v>15</v>
      </c>
      <c r="F231" t="s">
        <v>775</v>
      </c>
      <c r="G231" t="s">
        <v>17</v>
      </c>
      <c r="H231" t="s">
        <v>17</v>
      </c>
      <c r="I231" t="s">
        <v>776</v>
      </c>
      <c r="J231" t="s">
        <v>777</v>
      </c>
      <c r="K231" t="s">
        <v>21</v>
      </c>
      <c r="L231" cm="1">
        <f t="array" ref="L231">SUM(IF(INT($F$2:$F$402)&amp;$C$2:$C$402=INT($F231)&amp;$C231,1,0))</f>
        <v>1</v>
      </c>
      <c r="M231" t="str">
        <f>INDEX(Wyart2000!$G$2:$G$594,MATCH($J231,Wyart2000!$W$2:$W$594,0),1)</f>
        <v>71385.6</v>
      </c>
    </row>
    <row r="232" spans="1:13" x14ac:dyDescent="0.25">
      <c r="A232" t="s">
        <v>759</v>
      </c>
      <c r="B232" t="s">
        <v>71</v>
      </c>
      <c r="C232" t="s">
        <v>35</v>
      </c>
      <c r="D232">
        <v>4</v>
      </c>
      <c r="E232" t="s">
        <v>15</v>
      </c>
      <c r="F232" t="s">
        <v>778</v>
      </c>
      <c r="G232" t="s">
        <v>17</v>
      </c>
      <c r="H232" t="s">
        <v>17</v>
      </c>
      <c r="I232" t="s">
        <v>779</v>
      </c>
      <c r="J232" t="s">
        <v>780</v>
      </c>
      <c r="K232" t="s">
        <v>21</v>
      </c>
      <c r="L232" cm="1">
        <f t="array" ref="L232">SUM(IF(INT($F$2:$F$402)&amp;$C$2:$C$402=INT($F232)&amp;$C232,1,0))</f>
        <v>1</v>
      </c>
      <c r="M232" t="str">
        <f>INDEX(Wyart2000!$G$2:$G$594,MATCH($J232,Wyart2000!$W$2:$W$594,0),1)</f>
        <v>71501.0</v>
      </c>
    </row>
    <row r="233" spans="1:13" x14ac:dyDescent="0.25">
      <c r="A233" t="s">
        <v>781</v>
      </c>
      <c r="B233" t="s">
        <v>576</v>
      </c>
      <c r="C233" t="s">
        <v>43</v>
      </c>
      <c r="D233">
        <v>6</v>
      </c>
      <c r="E233" t="s">
        <v>15</v>
      </c>
      <c r="F233" t="s">
        <v>782</v>
      </c>
      <c r="G233" t="s">
        <v>17</v>
      </c>
      <c r="H233" t="s">
        <v>17</v>
      </c>
      <c r="I233" t="s">
        <v>783</v>
      </c>
      <c r="J233" t="s">
        <v>784</v>
      </c>
      <c r="K233" t="s">
        <v>21</v>
      </c>
      <c r="L233" cm="1">
        <f t="array" ref="L233">SUM(IF(INT($F$2:$F$402)&amp;$C$2:$C$402=INT($F233)&amp;$C233,1,0))</f>
        <v>1</v>
      </c>
      <c r="M233" t="str">
        <f>INDEX(Wyart2000!$G$2:$G$594,MATCH($J233,Wyart2000!$W$2:$W$594,0),1)</f>
        <v>71536.38</v>
      </c>
    </row>
    <row r="234" spans="1:13" x14ac:dyDescent="0.25">
      <c r="A234" t="s">
        <v>781</v>
      </c>
      <c r="B234" t="s">
        <v>576</v>
      </c>
      <c r="C234" t="s">
        <v>14</v>
      </c>
      <c r="D234">
        <v>10</v>
      </c>
      <c r="E234" t="s">
        <v>15</v>
      </c>
      <c r="F234" t="s">
        <v>785</v>
      </c>
      <c r="G234" t="s">
        <v>17</v>
      </c>
      <c r="H234" t="s">
        <v>17</v>
      </c>
      <c r="I234" t="s">
        <v>786</v>
      </c>
      <c r="J234" t="s">
        <v>787</v>
      </c>
      <c r="K234" t="s">
        <v>21</v>
      </c>
      <c r="L234" cm="1">
        <f t="array" ref="L234">SUM(IF(INT($F$2:$F$402)&amp;$C$2:$C$402=INT($F234)&amp;$C234,1,0))</f>
        <v>1</v>
      </c>
      <c r="M234" t="str">
        <f>INDEX(Wyart2000!$G$2:$G$594,MATCH($J234,Wyart2000!$W$2:$W$594,0),1)</f>
        <v>71592.34</v>
      </c>
    </row>
    <row r="235" spans="1:13" x14ac:dyDescent="0.25">
      <c r="A235" t="s">
        <v>781</v>
      </c>
      <c r="B235" t="s">
        <v>576</v>
      </c>
      <c r="C235" t="s">
        <v>22</v>
      </c>
      <c r="D235">
        <v>12</v>
      </c>
      <c r="E235" t="s">
        <v>15</v>
      </c>
      <c r="F235" t="s">
        <v>788</v>
      </c>
      <c r="G235" t="s">
        <v>17</v>
      </c>
      <c r="H235" t="s">
        <v>17</v>
      </c>
      <c r="I235" t="s">
        <v>789</v>
      </c>
      <c r="J235" t="s">
        <v>790</v>
      </c>
      <c r="K235" t="s">
        <v>21</v>
      </c>
      <c r="L235" cm="1">
        <f t="array" ref="L235">SUM(IF(INT($F$2:$F$402)&amp;$C$2:$C$402=INT($F235)&amp;$C235,1,0))</f>
        <v>1</v>
      </c>
      <c r="M235" t="str">
        <f>INDEX(Wyart2000!$G$2:$G$594,MATCH($J235,Wyart2000!$W$2:$W$594,0),1)</f>
        <v>71736.45</v>
      </c>
    </row>
    <row r="236" spans="1:13" x14ac:dyDescent="0.25">
      <c r="A236" t="s">
        <v>781</v>
      </c>
      <c r="B236" t="s">
        <v>576</v>
      </c>
      <c r="C236" t="s">
        <v>47</v>
      </c>
      <c r="D236">
        <v>8</v>
      </c>
      <c r="E236" t="s">
        <v>15</v>
      </c>
      <c r="F236" t="s">
        <v>791</v>
      </c>
      <c r="G236" t="s">
        <v>17</v>
      </c>
      <c r="H236" t="s">
        <v>17</v>
      </c>
      <c r="I236" t="s">
        <v>792</v>
      </c>
      <c r="J236" t="s">
        <v>793</v>
      </c>
      <c r="K236" t="s">
        <v>21</v>
      </c>
      <c r="L236" cm="1">
        <f t="array" ref="L236">SUM(IF(INT($F$2:$F$402)&amp;$C$2:$C$402=INT($F236)&amp;$C236,1,0))</f>
        <v>1</v>
      </c>
      <c r="M236" t="str">
        <f>INDEX(Wyart2000!$G$2:$G$594,MATCH($J236,Wyart2000!$W$2:$W$594,0),1)</f>
        <v>71978.52</v>
      </c>
    </row>
    <row r="237" spans="1:13" x14ac:dyDescent="0.25">
      <c r="A237" t="s">
        <v>705</v>
      </c>
      <c r="B237" t="s">
        <v>71</v>
      </c>
      <c r="C237" t="s">
        <v>43</v>
      </c>
      <c r="D237">
        <v>6</v>
      </c>
      <c r="E237" t="s">
        <v>15</v>
      </c>
      <c r="F237" t="s">
        <v>794</v>
      </c>
      <c r="G237" t="s">
        <v>17</v>
      </c>
      <c r="H237" t="s">
        <v>17</v>
      </c>
      <c r="I237" t="s">
        <v>795</v>
      </c>
      <c r="J237" t="s">
        <v>796</v>
      </c>
      <c r="K237" t="s">
        <v>21</v>
      </c>
      <c r="L237" cm="1">
        <f t="array" ref="L237">SUM(IF(INT($F$2:$F$402)&amp;$C$2:$C$402=INT($F237)&amp;$C237,1,0))</f>
        <v>1</v>
      </c>
      <c r="M237" t="str">
        <f>INDEX(Wyart2000!$G$2:$G$594,MATCH($J237,Wyart2000!$W$2:$W$594,0),1)</f>
        <v>71994.81</v>
      </c>
    </row>
    <row r="238" spans="1:13" x14ac:dyDescent="0.25">
      <c r="A238" t="s">
        <v>759</v>
      </c>
      <c r="B238" t="s">
        <v>71</v>
      </c>
      <c r="C238" t="s">
        <v>14</v>
      </c>
      <c r="D238">
        <v>10</v>
      </c>
      <c r="E238" t="s">
        <v>15</v>
      </c>
      <c r="F238" t="s">
        <v>797</v>
      </c>
      <c r="G238" t="s">
        <v>17</v>
      </c>
      <c r="H238" t="s">
        <v>17</v>
      </c>
      <c r="I238" t="s">
        <v>798</v>
      </c>
      <c r="J238" t="s">
        <v>799</v>
      </c>
      <c r="K238" t="s">
        <v>21</v>
      </c>
      <c r="L238" cm="1">
        <f t="array" ref="L238">SUM(IF(INT($F$2:$F$402)&amp;$C$2:$C$402=INT($F238)&amp;$C238,1,0))</f>
        <v>1</v>
      </c>
      <c r="M238" t="str">
        <f>INDEX(Wyart2000!$G$2:$G$594,MATCH($J238,Wyart2000!$W$2:$W$594,0),1)</f>
        <v>73029.9</v>
      </c>
    </row>
    <row r="239" spans="1:13" x14ac:dyDescent="0.25">
      <c r="A239" t="s">
        <v>800</v>
      </c>
      <c r="B239" t="s">
        <v>801</v>
      </c>
      <c r="C239" t="s">
        <v>47</v>
      </c>
      <c r="D239">
        <v>8</v>
      </c>
      <c r="E239" t="s">
        <v>15</v>
      </c>
      <c r="F239" t="s">
        <v>802</v>
      </c>
      <c r="G239" t="s">
        <v>17</v>
      </c>
      <c r="H239" t="s">
        <v>17</v>
      </c>
      <c r="I239" t="s">
        <v>803</v>
      </c>
      <c r="J239" t="s">
        <v>804</v>
      </c>
      <c r="K239" t="s">
        <v>21</v>
      </c>
      <c r="L239" cm="1">
        <f t="array" ref="L239">SUM(IF(INT($F$2:$F$402)&amp;$C$2:$C$402=INT($F239)&amp;$C239,1,0))</f>
        <v>1</v>
      </c>
      <c r="M239" t="str">
        <f>INDEX(Wyart2000!$G$2:$G$594,MATCH($J239,Wyart2000!$W$2:$W$594,0),1)</f>
        <v>73378.42</v>
      </c>
    </row>
    <row r="240" spans="1:13" x14ac:dyDescent="0.25">
      <c r="A240" t="s">
        <v>705</v>
      </c>
      <c r="B240" t="s">
        <v>801</v>
      </c>
      <c r="C240" t="s">
        <v>14</v>
      </c>
      <c r="D240">
        <v>10</v>
      </c>
      <c r="E240" t="s">
        <v>15</v>
      </c>
      <c r="F240" t="s">
        <v>805</v>
      </c>
      <c r="G240" t="s">
        <v>17</v>
      </c>
      <c r="H240" t="s">
        <v>17</v>
      </c>
      <c r="I240" t="s">
        <v>806</v>
      </c>
      <c r="J240" t="s">
        <v>807</v>
      </c>
      <c r="K240" t="s">
        <v>21</v>
      </c>
      <c r="L240" cm="1">
        <f t="array" ref="L240">SUM(IF(INT($F$2:$F$402)&amp;$C$2:$C$402=INT($F240)&amp;$C240,1,0))</f>
        <v>1</v>
      </c>
      <c r="M240" t="str">
        <f>INDEX(Wyart2000!$G$2:$G$594,MATCH($J240,Wyart2000!$W$2:$W$594,0),1)</f>
        <v>73606.17</v>
      </c>
    </row>
    <row r="241" spans="1:13" x14ac:dyDescent="0.25">
      <c r="A241" t="s">
        <v>759</v>
      </c>
      <c r="B241" t="s">
        <v>75</v>
      </c>
      <c r="C241" t="s">
        <v>22</v>
      </c>
      <c r="D241">
        <v>12</v>
      </c>
      <c r="E241" t="s">
        <v>15</v>
      </c>
      <c r="F241" t="s">
        <v>808</v>
      </c>
      <c r="G241" t="s">
        <v>17</v>
      </c>
      <c r="H241" t="s">
        <v>17</v>
      </c>
      <c r="I241" t="s">
        <v>809</v>
      </c>
      <c r="J241" t="s">
        <v>810</v>
      </c>
      <c r="K241" t="s">
        <v>21</v>
      </c>
      <c r="L241" cm="1">
        <f t="array" ref="L241">SUM(IF(INT($F$2:$F$402)&amp;$C$2:$C$402=INT($F241)&amp;$C241,1,0))</f>
        <v>1</v>
      </c>
      <c r="M241" t="str">
        <f>INDEX(Wyart2000!$G$2:$G$594,MATCH($J241,Wyart2000!$W$2:$W$594,0),1)</f>
        <v>73609.1</v>
      </c>
    </row>
    <row r="242" spans="1:13" x14ac:dyDescent="0.25">
      <c r="A242" t="s">
        <v>759</v>
      </c>
      <c r="B242" t="s">
        <v>71</v>
      </c>
      <c r="C242" t="s">
        <v>43</v>
      </c>
      <c r="D242">
        <v>6</v>
      </c>
      <c r="E242" t="s">
        <v>15</v>
      </c>
      <c r="F242" t="s">
        <v>811</v>
      </c>
      <c r="G242" t="s">
        <v>17</v>
      </c>
      <c r="H242" t="s">
        <v>17</v>
      </c>
      <c r="I242" t="s">
        <v>812</v>
      </c>
      <c r="J242" t="s">
        <v>813</v>
      </c>
      <c r="K242" t="s">
        <v>21</v>
      </c>
      <c r="L242" cm="1">
        <f t="array" ref="L242">SUM(IF(INT($F$2:$F$402)&amp;$C$2:$C$402=INT($F242)&amp;$C242,1,0))</f>
        <v>1</v>
      </c>
      <c r="M242" t="str">
        <f>INDEX(Wyart2000!$G$2:$G$594,MATCH($J242,Wyart2000!$W$2:$W$594,0),1)</f>
        <v>74105.2</v>
      </c>
    </row>
    <row r="243" spans="1:13" x14ac:dyDescent="0.25">
      <c r="A243" t="s">
        <v>759</v>
      </c>
      <c r="B243" t="s">
        <v>34</v>
      </c>
      <c r="C243" t="s">
        <v>35</v>
      </c>
      <c r="D243">
        <v>4</v>
      </c>
      <c r="E243" t="s">
        <v>15</v>
      </c>
      <c r="F243" t="s">
        <v>814</v>
      </c>
      <c r="G243" t="s">
        <v>17</v>
      </c>
      <c r="H243" t="s">
        <v>17</v>
      </c>
      <c r="I243" t="s">
        <v>815</v>
      </c>
      <c r="J243" t="s">
        <v>816</v>
      </c>
      <c r="K243" t="s">
        <v>21</v>
      </c>
      <c r="L243" cm="1">
        <f t="array" ref="L243">SUM(IF(INT($F$2:$F$402)&amp;$C$2:$C$402=INT($F243)&amp;$C243,1,0))</f>
        <v>1</v>
      </c>
      <c r="M243" t="str">
        <f>INDEX(Wyart2000!$G$2:$G$594,MATCH($J243,Wyart2000!$W$2:$W$594,0),1)</f>
        <v>74463.7</v>
      </c>
    </row>
    <row r="244" spans="1:13" x14ac:dyDescent="0.25">
      <c r="A244" t="s">
        <v>759</v>
      </c>
      <c r="B244" t="s">
        <v>34</v>
      </c>
      <c r="C244" t="s">
        <v>47</v>
      </c>
      <c r="D244">
        <v>8</v>
      </c>
      <c r="E244" t="s">
        <v>15</v>
      </c>
      <c r="F244" t="s">
        <v>817</v>
      </c>
      <c r="G244" t="s">
        <v>17</v>
      </c>
      <c r="H244" t="s">
        <v>17</v>
      </c>
      <c r="I244" t="s">
        <v>818</v>
      </c>
      <c r="J244" t="s">
        <v>819</v>
      </c>
      <c r="K244" t="s">
        <v>21</v>
      </c>
      <c r="L244" cm="1">
        <f t="array" ref="L244">SUM(IF(INT($F$2:$F$402)&amp;$C$2:$C$402=INT($F244)&amp;$C244,1,0))</f>
        <v>1</v>
      </c>
      <c r="M244" t="str">
        <f>INDEX(Wyart2000!$G$2:$G$594,MATCH($J244,Wyart2000!$W$2:$W$594,0),1)</f>
        <v>75294.0</v>
      </c>
    </row>
    <row r="245" spans="1:13" x14ac:dyDescent="0.25">
      <c r="A245" t="s">
        <v>820</v>
      </c>
      <c r="B245" t="s">
        <v>604</v>
      </c>
      <c r="C245" t="s">
        <v>35</v>
      </c>
      <c r="D245">
        <v>4</v>
      </c>
      <c r="E245" t="s">
        <v>15</v>
      </c>
      <c r="F245" t="s">
        <v>821</v>
      </c>
      <c r="G245" t="s">
        <v>17</v>
      </c>
      <c r="H245" t="s">
        <v>17</v>
      </c>
      <c r="I245" t="s">
        <v>822</v>
      </c>
      <c r="J245" t="s">
        <v>823</v>
      </c>
      <c r="K245" t="s">
        <v>21</v>
      </c>
      <c r="L245" cm="1">
        <f t="array" ref="L245">SUM(IF(INT($F$2:$F$402)&amp;$C$2:$C$402=INT($F245)&amp;$C245,1,0))</f>
        <v>1</v>
      </c>
      <c r="M245" t="str">
        <f>INDEX(Wyart2000!$G$2:$G$594,MATCH($J245,Wyart2000!$W$2:$W$594,0),1)</f>
        <v>75409.58</v>
      </c>
    </row>
    <row r="246" spans="1:13" x14ac:dyDescent="0.25">
      <c r="A246" t="s">
        <v>571</v>
      </c>
      <c r="B246" t="s">
        <v>71</v>
      </c>
      <c r="C246" t="s">
        <v>43</v>
      </c>
      <c r="D246">
        <v>6</v>
      </c>
      <c r="E246" t="s">
        <v>15</v>
      </c>
      <c r="F246" t="s">
        <v>824</v>
      </c>
      <c r="G246" t="s">
        <v>17</v>
      </c>
      <c r="H246" t="s">
        <v>17</v>
      </c>
      <c r="I246" t="s">
        <v>825</v>
      </c>
      <c r="J246" t="s">
        <v>826</v>
      </c>
      <c r="K246" t="s">
        <v>21</v>
      </c>
      <c r="L246" cm="1">
        <f t="array" ref="L246">SUM(IF(INT($F$2:$F$402)&amp;$C$2:$C$402=INT($F246)&amp;$C246,1,0))</f>
        <v>1</v>
      </c>
      <c r="M246" t="str">
        <f>INDEX(Wyart2000!$G$2:$G$594,MATCH($J246,Wyart2000!$W$2:$W$594,0),1)</f>
        <v>75560.75</v>
      </c>
    </row>
    <row r="247" spans="1:13" x14ac:dyDescent="0.25">
      <c r="A247" t="s">
        <v>820</v>
      </c>
      <c r="B247" t="s">
        <v>604</v>
      </c>
      <c r="C247" t="s">
        <v>43</v>
      </c>
      <c r="D247">
        <v>6</v>
      </c>
      <c r="E247" t="s">
        <v>15</v>
      </c>
      <c r="F247" t="s">
        <v>827</v>
      </c>
      <c r="G247" t="s">
        <v>17</v>
      </c>
      <c r="H247" t="s">
        <v>17</v>
      </c>
      <c r="I247" t="s">
        <v>828</v>
      </c>
      <c r="J247" t="s">
        <v>829</v>
      </c>
      <c r="K247" t="s">
        <v>21</v>
      </c>
      <c r="L247" cm="1">
        <f t="array" ref="L247">SUM(IF(INT($F$2:$F$402)&amp;$C$2:$C$402=INT($F247)&amp;$C247,1,0))</f>
        <v>1</v>
      </c>
      <c r="M247" t="str">
        <f>INDEX(Wyart2000!$G$2:$G$594,MATCH($J247,Wyart2000!$W$2:$W$594,0),1)</f>
        <v>75614.81</v>
      </c>
    </row>
    <row r="248" spans="1:13" x14ac:dyDescent="0.25">
      <c r="A248" t="s">
        <v>571</v>
      </c>
      <c r="B248" t="s">
        <v>71</v>
      </c>
      <c r="C248" t="s">
        <v>22</v>
      </c>
      <c r="D248">
        <v>12</v>
      </c>
      <c r="E248" t="s">
        <v>15</v>
      </c>
      <c r="F248" t="s">
        <v>830</v>
      </c>
      <c r="G248" t="s">
        <v>17</v>
      </c>
      <c r="H248" t="s">
        <v>17</v>
      </c>
      <c r="I248" t="s">
        <v>831</v>
      </c>
      <c r="J248" t="s">
        <v>832</v>
      </c>
      <c r="K248" t="s">
        <v>21</v>
      </c>
      <c r="L248" cm="1">
        <f t="array" ref="L248">SUM(IF(INT($F$2:$F$402)&amp;$C$2:$C$402=INT($F248)&amp;$C248,1,0))</f>
        <v>1</v>
      </c>
      <c r="M248" t="str">
        <f>INDEX(Wyart2000!$G$2:$G$594,MATCH($J248,Wyart2000!$W$2:$W$594,0),1)</f>
        <v>75640.00</v>
      </c>
    </row>
    <row r="249" spans="1:13" x14ac:dyDescent="0.25">
      <c r="A249" t="s">
        <v>800</v>
      </c>
      <c r="B249" t="s">
        <v>801</v>
      </c>
      <c r="C249" t="s">
        <v>14</v>
      </c>
      <c r="D249">
        <v>10</v>
      </c>
      <c r="E249" t="s">
        <v>15</v>
      </c>
      <c r="F249" t="s">
        <v>833</v>
      </c>
      <c r="G249" t="s">
        <v>17</v>
      </c>
      <c r="H249" t="s">
        <v>17</v>
      </c>
      <c r="I249" t="s">
        <v>834</v>
      </c>
      <c r="J249" t="s">
        <v>835</v>
      </c>
      <c r="K249" t="s">
        <v>21</v>
      </c>
      <c r="L249" cm="1">
        <f t="array" ref="L249">SUM(IF(INT($F$2:$F$402)&amp;$C$2:$C$402=INT($F249)&amp;$C249,1,0))</f>
        <v>1</v>
      </c>
      <c r="M249" t="str">
        <f>INDEX(Wyart2000!$G$2:$G$594,MATCH($J249,Wyart2000!$W$2:$W$594,0),1)</f>
        <v>75762.23</v>
      </c>
    </row>
    <row r="250" spans="1:13" x14ac:dyDescent="0.25">
      <c r="A250" t="s">
        <v>571</v>
      </c>
      <c r="B250" t="s">
        <v>71</v>
      </c>
      <c r="C250" t="s">
        <v>35</v>
      </c>
      <c r="D250">
        <v>4</v>
      </c>
      <c r="E250" t="s">
        <v>15</v>
      </c>
      <c r="F250" t="s">
        <v>836</v>
      </c>
      <c r="G250" t="s">
        <v>17</v>
      </c>
      <c r="H250" t="s">
        <v>17</v>
      </c>
      <c r="I250" t="s">
        <v>837</v>
      </c>
      <c r="J250" t="s">
        <v>838</v>
      </c>
      <c r="K250" t="s">
        <v>21</v>
      </c>
      <c r="L250" cm="1">
        <f t="array" ref="L250">SUM(IF(INT($F$2:$F$402)&amp;$C$2:$C$402=INT($F250)&amp;$C250,1,0))</f>
        <v>1</v>
      </c>
      <c r="M250" t="str">
        <f>INDEX(Wyart2000!$G$2:$G$594,MATCH($J250,Wyart2000!$W$2:$W$594,0),1)</f>
        <v>76892.4</v>
      </c>
    </row>
    <row r="251" spans="1:13" x14ac:dyDescent="0.25">
      <c r="A251" t="s">
        <v>800</v>
      </c>
      <c r="B251" t="s">
        <v>839</v>
      </c>
      <c r="C251" t="s">
        <v>43</v>
      </c>
      <c r="D251">
        <v>6</v>
      </c>
      <c r="E251" t="s">
        <v>15</v>
      </c>
      <c r="F251" t="s">
        <v>840</v>
      </c>
      <c r="G251" t="s">
        <v>17</v>
      </c>
      <c r="H251" t="s">
        <v>17</v>
      </c>
      <c r="I251" t="s">
        <v>841</v>
      </c>
      <c r="J251" t="s">
        <v>842</v>
      </c>
      <c r="K251" t="s">
        <v>21</v>
      </c>
      <c r="L251" cm="1">
        <f t="array" ref="L251">SUM(IF(INT($F$2:$F$402)&amp;$C$2:$C$402=INT($F251)&amp;$C251,1,0))</f>
        <v>1</v>
      </c>
      <c r="M251" t="str">
        <f>INDEX(Wyart2000!$G$2:$G$594,MATCH($J251,Wyart2000!$W$2:$W$594,0),1)</f>
        <v>77822.00</v>
      </c>
    </row>
    <row r="252" spans="1:13" x14ac:dyDescent="0.25">
      <c r="A252" t="s">
        <v>843</v>
      </c>
      <c r="B252" t="s">
        <v>677</v>
      </c>
      <c r="C252" t="s">
        <v>145</v>
      </c>
      <c r="D252">
        <v>2</v>
      </c>
      <c r="E252" t="s">
        <v>15</v>
      </c>
      <c r="F252" t="s">
        <v>844</v>
      </c>
      <c r="G252" t="s">
        <v>17</v>
      </c>
      <c r="H252" t="s">
        <v>17</v>
      </c>
      <c r="I252" t="s">
        <v>845</v>
      </c>
      <c r="J252" t="s">
        <v>846</v>
      </c>
      <c r="K252" t="s">
        <v>21</v>
      </c>
      <c r="L252" cm="1">
        <f t="array" ref="L252">SUM(IF(INT($F$2:$F$402)&amp;$C$2:$C$402=INT($F252)&amp;$C252,1,0))</f>
        <v>1</v>
      </c>
      <c r="M252" t="str">
        <f>INDEX(Wyart2000!$G$2:$G$594,MATCH($J252,Wyart2000!$W$2:$W$594,0),1)</f>
        <v>78312.91</v>
      </c>
    </row>
    <row r="253" spans="1:13" x14ac:dyDescent="0.25">
      <c r="A253" t="s">
        <v>800</v>
      </c>
      <c r="B253" t="s">
        <v>839</v>
      </c>
      <c r="C253" t="s">
        <v>47</v>
      </c>
      <c r="D253">
        <v>8</v>
      </c>
      <c r="E253" t="s">
        <v>15</v>
      </c>
      <c r="F253" t="s">
        <v>847</v>
      </c>
      <c r="G253" t="s">
        <v>17</v>
      </c>
      <c r="H253" t="s">
        <v>17</v>
      </c>
      <c r="I253" t="s">
        <v>848</v>
      </c>
      <c r="J253" t="s">
        <v>849</v>
      </c>
      <c r="K253" t="s">
        <v>21</v>
      </c>
      <c r="L253" cm="1">
        <f t="array" ref="L253">SUM(IF(INT($F$2:$F$402)&amp;$C$2:$C$402=INT($F253)&amp;$C253,1,0))</f>
        <v>1</v>
      </c>
      <c r="M253" t="str">
        <f>INDEX(Wyart2000!$G$2:$G$594,MATCH($J253,Wyart2000!$W$2:$W$594,0),1)</f>
        <v>78463.6</v>
      </c>
    </row>
    <row r="254" spans="1:13" x14ac:dyDescent="0.25">
      <c r="A254" t="s">
        <v>800</v>
      </c>
      <c r="B254" t="s">
        <v>266</v>
      </c>
      <c r="C254" t="s">
        <v>22</v>
      </c>
      <c r="D254">
        <v>12</v>
      </c>
      <c r="E254" t="s">
        <v>15</v>
      </c>
      <c r="F254" t="s">
        <v>850</v>
      </c>
      <c r="G254" t="s">
        <v>17</v>
      </c>
      <c r="H254" t="s">
        <v>17</v>
      </c>
      <c r="I254" t="s">
        <v>851</v>
      </c>
      <c r="J254" t="s">
        <v>852</v>
      </c>
      <c r="K254" t="s">
        <v>21</v>
      </c>
      <c r="L254" cm="1">
        <f t="array" ref="L254">SUM(IF(INT($F$2:$F$402)&amp;$C$2:$C$402=INT($F254)&amp;$C254,1,0))</f>
        <v>1</v>
      </c>
      <c r="M254" t="str">
        <f>INDEX(Wyart2000!$G$2:$G$594,MATCH($J254,Wyart2000!$W$2:$W$594,0),1)</f>
        <v>78694.57</v>
      </c>
    </row>
    <row r="255" spans="1:13" x14ac:dyDescent="0.25">
      <c r="A255" t="s">
        <v>843</v>
      </c>
      <c r="B255" t="s">
        <v>677</v>
      </c>
      <c r="C255" t="s">
        <v>35</v>
      </c>
      <c r="D255">
        <v>4</v>
      </c>
      <c r="E255" t="s">
        <v>15</v>
      </c>
      <c r="F255" t="s">
        <v>853</v>
      </c>
      <c r="G255" t="s">
        <v>17</v>
      </c>
      <c r="H255" t="s">
        <v>17</v>
      </c>
      <c r="I255" t="s">
        <v>854</v>
      </c>
      <c r="J255" t="s">
        <v>855</v>
      </c>
      <c r="K255" t="s">
        <v>21</v>
      </c>
      <c r="L255" cm="1">
        <f t="array" ref="L255">SUM(IF(INT($F$2:$F$402)&amp;$C$2:$C$402=INT($F255)&amp;$C255,1,0))</f>
        <v>1</v>
      </c>
      <c r="M255" t="str">
        <f>INDEX(Wyart2000!$G$2:$G$594,MATCH($J255,Wyart2000!$W$2:$W$594,0),1)</f>
        <v>78889.14</v>
      </c>
    </row>
    <row r="256" spans="1:13" x14ac:dyDescent="0.25">
      <c r="A256" t="s">
        <v>800</v>
      </c>
      <c r="B256" t="s">
        <v>266</v>
      </c>
      <c r="C256" t="s">
        <v>26</v>
      </c>
      <c r="D256">
        <v>14</v>
      </c>
      <c r="E256" t="s">
        <v>15</v>
      </c>
      <c r="F256" t="s">
        <v>856</v>
      </c>
      <c r="G256" t="s">
        <v>17</v>
      </c>
      <c r="H256" t="s">
        <v>17</v>
      </c>
      <c r="I256" t="s">
        <v>857</v>
      </c>
      <c r="J256" t="s">
        <v>858</v>
      </c>
      <c r="K256" t="s">
        <v>21</v>
      </c>
      <c r="L256" cm="1">
        <f t="array" ref="L256">SUM(IF(INT($F$2:$F$402)&amp;$C$2:$C$402=INT($F256)&amp;$C256,1,0))</f>
        <v>1</v>
      </c>
      <c r="M256" t="str">
        <f>INDEX(Wyart2000!$G$2:$G$594,MATCH($J256,Wyart2000!$W$2:$W$594,0),1)</f>
        <v>79136.23</v>
      </c>
    </row>
    <row r="257" spans="1:13" x14ac:dyDescent="0.25">
      <c r="A257" t="s">
        <v>843</v>
      </c>
      <c r="B257" t="s">
        <v>677</v>
      </c>
      <c r="C257" t="s">
        <v>43</v>
      </c>
      <c r="D257">
        <v>6</v>
      </c>
      <c r="E257" t="s">
        <v>15</v>
      </c>
      <c r="F257" t="s">
        <v>859</v>
      </c>
      <c r="G257" t="s">
        <v>17</v>
      </c>
      <c r="H257" t="s">
        <v>17</v>
      </c>
      <c r="I257" t="s">
        <v>860</v>
      </c>
      <c r="J257" t="s">
        <v>861</v>
      </c>
      <c r="K257" t="s">
        <v>21</v>
      </c>
      <c r="L257" cm="1">
        <f t="array" ref="L257">SUM(IF(INT($F$2:$F$402)&amp;$C$2:$C$402=INT($F257)&amp;$C257,1,0))</f>
        <v>1</v>
      </c>
      <c r="M257" t="str">
        <f>INDEX(Wyart2000!$G$2:$G$594,MATCH($J257,Wyart2000!$W$2:$W$594,0),1)</f>
        <v>79366.65</v>
      </c>
    </row>
    <row r="258" spans="1:13" x14ac:dyDescent="0.25">
      <c r="A258" t="s">
        <v>843</v>
      </c>
      <c r="B258" t="s">
        <v>677</v>
      </c>
      <c r="C258" t="s">
        <v>47</v>
      </c>
      <c r="D258">
        <v>8</v>
      </c>
      <c r="E258" t="s">
        <v>15</v>
      </c>
      <c r="F258" t="s">
        <v>862</v>
      </c>
      <c r="G258" t="s">
        <v>17</v>
      </c>
      <c r="H258" t="s">
        <v>17</v>
      </c>
      <c r="I258" t="s">
        <v>863</v>
      </c>
      <c r="J258" t="s">
        <v>864</v>
      </c>
      <c r="K258" t="s">
        <v>21</v>
      </c>
      <c r="L258" cm="1">
        <f t="array" ref="L258">SUM(IF(INT($F$2:$F$402)&amp;$C$2:$C$402=INT($F258)&amp;$C258,1,0))</f>
        <v>1</v>
      </c>
      <c r="M258" t="str">
        <f>INDEX(Wyart2000!$G$2:$G$594,MATCH($J258,Wyart2000!$W$2:$W$594,0),1)</f>
        <v>79395.55</v>
      </c>
    </row>
    <row r="259" spans="1:13" x14ac:dyDescent="0.25">
      <c r="A259" t="s">
        <v>865</v>
      </c>
      <c r="B259" t="s">
        <v>866</v>
      </c>
      <c r="C259" t="s">
        <v>145</v>
      </c>
      <c r="D259">
        <v>2</v>
      </c>
      <c r="E259" t="s">
        <v>15</v>
      </c>
      <c r="F259" t="s">
        <v>867</v>
      </c>
      <c r="G259" t="s">
        <v>17</v>
      </c>
      <c r="H259" t="s">
        <v>17</v>
      </c>
      <c r="I259" t="s">
        <v>868</v>
      </c>
      <c r="J259" t="s">
        <v>869</v>
      </c>
      <c r="K259" t="s">
        <v>21</v>
      </c>
      <c r="L259" cm="1">
        <f t="array" ref="L259">SUM(IF(INT($F$2:$F$402)&amp;$C$2:$C$402=INT($F259)&amp;$C259,1,0))</f>
        <v>1</v>
      </c>
      <c r="M259" t="str">
        <f>INDEX(Wyart2000!$G$2:$G$594,MATCH($J259,Wyart2000!$W$2:$W$594,0),1)</f>
        <v>79742.36</v>
      </c>
    </row>
    <row r="260" spans="1:13" x14ac:dyDescent="0.25">
      <c r="A260" t="s">
        <v>865</v>
      </c>
      <c r="B260" t="s">
        <v>866</v>
      </c>
      <c r="C260" t="s">
        <v>35</v>
      </c>
      <c r="D260">
        <v>4</v>
      </c>
      <c r="E260" t="s">
        <v>15</v>
      </c>
      <c r="F260" t="s">
        <v>870</v>
      </c>
      <c r="G260" t="s">
        <v>17</v>
      </c>
      <c r="H260" t="s">
        <v>17</v>
      </c>
      <c r="I260" t="s">
        <v>871</v>
      </c>
      <c r="J260" t="s">
        <v>872</v>
      </c>
      <c r="K260" t="s">
        <v>21</v>
      </c>
      <c r="L260" cm="1">
        <f t="array" ref="L260">SUM(IF(INT($F$2:$F$402)&amp;$C$2:$C$402=INT($F260)&amp;$C260,1,0))</f>
        <v>1</v>
      </c>
      <c r="M260" t="str">
        <f>INDEX(Wyart2000!$G$2:$G$594,MATCH($J260,Wyart2000!$W$2:$W$594,0),1)</f>
        <v>80164.04</v>
      </c>
    </row>
    <row r="261" spans="1:13" x14ac:dyDescent="0.25">
      <c r="A261" t="s">
        <v>873</v>
      </c>
      <c r="B261" t="s">
        <v>596</v>
      </c>
      <c r="C261" t="s">
        <v>22</v>
      </c>
      <c r="D261">
        <v>12</v>
      </c>
      <c r="E261" t="s">
        <v>15</v>
      </c>
      <c r="F261" t="s">
        <v>874</v>
      </c>
      <c r="G261" t="s">
        <v>17</v>
      </c>
      <c r="H261" t="s">
        <v>17</v>
      </c>
      <c r="I261" t="s">
        <v>875</v>
      </c>
      <c r="J261" t="s">
        <v>876</v>
      </c>
      <c r="K261" t="s">
        <v>21</v>
      </c>
      <c r="L261" cm="1">
        <f t="array" ref="L261">SUM(IF(INT($F$2:$F$402)&amp;$C$2:$C$402=INT($F261)&amp;$C261,1,0))</f>
        <v>1</v>
      </c>
      <c r="M261" t="str">
        <f>INDEX(Wyart2000!$G$2:$G$594,MATCH($J261,Wyart2000!$W$2:$W$594,0),1)</f>
        <v>80360.82</v>
      </c>
    </row>
    <row r="262" spans="1:13" x14ac:dyDescent="0.25">
      <c r="A262" t="s">
        <v>877</v>
      </c>
      <c r="B262" t="s">
        <v>604</v>
      </c>
      <c r="C262" t="s">
        <v>35</v>
      </c>
      <c r="D262">
        <v>4</v>
      </c>
      <c r="E262" t="s">
        <v>15</v>
      </c>
      <c r="F262" t="s">
        <v>878</v>
      </c>
      <c r="G262" t="s">
        <v>17</v>
      </c>
      <c r="H262" t="s">
        <v>17</v>
      </c>
      <c r="I262" t="s">
        <v>879</v>
      </c>
      <c r="J262" t="s">
        <v>880</v>
      </c>
      <c r="K262" t="s">
        <v>21</v>
      </c>
      <c r="L262" cm="1">
        <f t="array" ref="L262">SUM(IF(INT($F$2:$F$402)&amp;$C$2:$C$402=INT($F262)&amp;$C262,1,0))</f>
        <v>1</v>
      </c>
      <c r="M262" t="str">
        <f>INDEX(Wyart2000!$G$2:$G$594,MATCH($J262,Wyart2000!$W$2:$W$594,0),1)</f>
        <v>80897.85</v>
      </c>
    </row>
    <row r="263" spans="1:13" x14ac:dyDescent="0.25">
      <c r="A263" t="s">
        <v>873</v>
      </c>
      <c r="B263" t="s">
        <v>596</v>
      </c>
      <c r="C263" t="s">
        <v>26</v>
      </c>
      <c r="D263">
        <v>14</v>
      </c>
      <c r="E263" t="s">
        <v>15</v>
      </c>
      <c r="F263" t="s">
        <v>881</v>
      </c>
      <c r="G263" t="s">
        <v>17</v>
      </c>
      <c r="H263" t="s">
        <v>17</v>
      </c>
      <c r="I263" t="s">
        <v>882</v>
      </c>
      <c r="J263" t="s">
        <v>883</v>
      </c>
      <c r="K263" t="s">
        <v>21</v>
      </c>
      <c r="L263" cm="1">
        <f t="array" ref="L263">SUM(IF(INT($F$2:$F$402)&amp;$C$2:$C$402=INT($F263)&amp;$C263,1,0))</f>
        <v>1</v>
      </c>
      <c r="M263" t="str">
        <f>INDEX(Wyart2000!$G$2:$G$594,MATCH($J263,Wyart2000!$W$2:$W$594,0),1)</f>
        <v>80988.76</v>
      </c>
    </row>
    <row r="264" spans="1:13" x14ac:dyDescent="0.25">
      <c r="A264" t="s">
        <v>877</v>
      </c>
      <c r="B264" t="s">
        <v>604</v>
      </c>
      <c r="C264" t="s">
        <v>43</v>
      </c>
      <c r="D264">
        <v>6</v>
      </c>
      <c r="E264" t="s">
        <v>15</v>
      </c>
      <c r="F264" t="s">
        <v>884</v>
      </c>
      <c r="G264" t="s">
        <v>17</v>
      </c>
      <c r="H264" t="s">
        <v>17</v>
      </c>
      <c r="I264" t="s">
        <v>885</v>
      </c>
      <c r="J264" t="s">
        <v>886</v>
      </c>
      <c r="K264" t="s">
        <v>21</v>
      </c>
      <c r="L264" cm="1">
        <f t="array" ref="L264">SUM(IF(INT($F$2:$F$402)&amp;$C$2:$C$402=INT($F264)&amp;$C264,1,0))</f>
        <v>1</v>
      </c>
      <c r="M264" t="str">
        <f>INDEX(Wyart2000!$G$2:$G$594,MATCH($J264,Wyart2000!$W$2:$W$594,0),1)</f>
        <v>81404.52</v>
      </c>
    </row>
    <row r="265" spans="1:13" x14ac:dyDescent="0.25">
      <c r="A265" t="s">
        <v>887</v>
      </c>
      <c r="B265" t="s">
        <v>888</v>
      </c>
      <c r="C265" t="s">
        <v>35</v>
      </c>
      <c r="D265">
        <v>4</v>
      </c>
      <c r="E265" t="s">
        <v>15</v>
      </c>
      <c r="F265" t="s">
        <v>889</v>
      </c>
      <c r="G265" t="s">
        <v>17</v>
      </c>
      <c r="H265" t="s">
        <v>17</v>
      </c>
      <c r="I265" t="s">
        <v>890</v>
      </c>
      <c r="J265" t="s">
        <v>891</v>
      </c>
      <c r="K265" t="s">
        <v>21</v>
      </c>
      <c r="L265" cm="1">
        <f t="array" ref="L265">SUM(IF(INT($F$2:$F$402)&amp;$C$2:$C$402=INT($F265)&amp;$C265,1,0))</f>
        <v>1</v>
      </c>
      <c r="M265" t="str">
        <f>INDEX(Wyart2000!$G$2:$G$594,MATCH($J265,Wyart2000!$W$2:$W$594,0),1)</f>
        <v>82492.4</v>
      </c>
    </row>
    <row r="266" spans="1:13" x14ac:dyDescent="0.25">
      <c r="A266" t="s">
        <v>892</v>
      </c>
      <c r="B266" t="s">
        <v>893</v>
      </c>
      <c r="C266" t="s">
        <v>35</v>
      </c>
      <c r="D266">
        <v>4</v>
      </c>
      <c r="E266" t="s">
        <v>15</v>
      </c>
      <c r="F266" t="s">
        <v>894</v>
      </c>
      <c r="G266" t="s">
        <v>17</v>
      </c>
      <c r="H266" t="s">
        <v>17</v>
      </c>
      <c r="I266" t="s">
        <v>895</v>
      </c>
      <c r="J266" t="s">
        <v>896</v>
      </c>
      <c r="K266" t="s">
        <v>21</v>
      </c>
      <c r="L266" cm="1">
        <f t="array" ref="L266">SUM(IF(INT($F$2:$F$402)&amp;$C$2:$C$402=INT($F266)&amp;$C266,1,0))</f>
        <v>1</v>
      </c>
      <c r="M266" t="str">
        <f>INDEX(Wyart2000!$G$2:$G$594,MATCH($J266,Wyart2000!$W$2:$W$594,0),1)</f>
        <v>83025.91</v>
      </c>
    </row>
    <row r="267" spans="1:13" x14ac:dyDescent="0.25">
      <c r="A267" t="s">
        <v>892</v>
      </c>
      <c r="B267" t="s">
        <v>893</v>
      </c>
      <c r="C267" t="s">
        <v>43</v>
      </c>
      <c r="D267">
        <v>6</v>
      </c>
      <c r="E267" t="s">
        <v>15</v>
      </c>
      <c r="F267" t="s">
        <v>897</v>
      </c>
      <c r="G267" t="s">
        <v>17</v>
      </c>
      <c r="H267" t="s">
        <v>17</v>
      </c>
      <c r="I267" t="s">
        <v>898</v>
      </c>
      <c r="J267" t="s">
        <v>899</v>
      </c>
      <c r="K267" t="s">
        <v>21</v>
      </c>
      <c r="L267" cm="1">
        <f t="array" ref="L267">SUM(IF(INT($F$2:$F$402)&amp;$C$2:$C$402=INT($F267)&amp;$C267,1,0))</f>
        <v>1</v>
      </c>
      <c r="M267" t="str">
        <f>INDEX(Wyart2000!$G$2:$G$594,MATCH($J267,Wyart2000!$W$2:$W$594,0),1)</f>
        <v>83426.55</v>
      </c>
    </row>
    <row r="268" spans="1:13" x14ac:dyDescent="0.25">
      <c r="A268" t="s">
        <v>900</v>
      </c>
      <c r="B268" t="s">
        <v>660</v>
      </c>
      <c r="C268" t="s">
        <v>22</v>
      </c>
      <c r="D268">
        <v>12</v>
      </c>
      <c r="E268" t="s">
        <v>15</v>
      </c>
      <c r="F268" t="s">
        <v>901</v>
      </c>
      <c r="G268" t="s">
        <v>17</v>
      </c>
      <c r="H268" t="s">
        <v>17</v>
      </c>
      <c r="I268" t="s">
        <v>902</v>
      </c>
      <c r="J268" t="s">
        <v>903</v>
      </c>
      <c r="K268" t="s">
        <v>21</v>
      </c>
      <c r="L268" cm="1">
        <f t="array" ref="L268">SUM(IF(INT($F$2:$F$402)&amp;$C$2:$C$402=INT($F268)&amp;$C268,1,0))</f>
        <v>1</v>
      </c>
      <c r="M268" t="str">
        <f>INDEX(Wyart2000!$G$2:$G$594,MATCH($J268,Wyart2000!$W$2:$W$594,0),1)</f>
        <v>83607.32</v>
      </c>
    </row>
    <row r="269" spans="1:13" x14ac:dyDescent="0.25">
      <c r="A269" t="s">
        <v>900</v>
      </c>
      <c r="B269" t="s">
        <v>660</v>
      </c>
      <c r="C269" t="s">
        <v>26</v>
      </c>
      <c r="D269">
        <v>14</v>
      </c>
      <c r="E269" t="s">
        <v>15</v>
      </c>
      <c r="F269" t="s">
        <v>904</v>
      </c>
      <c r="G269" t="s">
        <v>17</v>
      </c>
      <c r="H269" t="s">
        <v>17</v>
      </c>
      <c r="I269" t="s">
        <v>905</v>
      </c>
      <c r="J269" t="s">
        <v>906</v>
      </c>
      <c r="K269" t="s">
        <v>21</v>
      </c>
      <c r="L269" cm="1">
        <f t="array" ref="L269">SUM(IF(INT($F$2:$F$402)&amp;$C$2:$C$402=INT($F269)&amp;$C269,1,0))</f>
        <v>1</v>
      </c>
      <c r="M269" t="str">
        <f>INDEX(Wyart2000!$G$2:$G$594,MATCH($J269,Wyart2000!$W$2:$W$594,0),1)</f>
        <v>83703.43</v>
      </c>
    </row>
    <row r="270" spans="1:13" x14ac:dyDescent="0.25">
      <c r="A270" t="s">
        <v>907</v>
      </c>
      <c r="B270" t="s">
        <v>34</v>
      </c>
      <c r="C270" t="s">
        <v>35</v>
      </c>
      <c r="D270">
        <v>4</v>
      </c>
      <c r="E270" t="s">
        <v>15</v>
      </c>
      <c r="F270" t="s">
        <v>908</v>
      </c>
      <c r="G270" t="s">
        <v>17</v>
      </c>
      <c r="H270" t="s">
        <v>17</v>
      </c>
      <c r="I270" t="s">
        <v>909</v>
      </c>
      <c r="J270" t="s">
        <v>910</v>
      </c>
      <c r="K270" t="s">
        <v>21</v>
      </c>
      <c r="L270" cm="1">
        <f t="array" ref="L270">SUM(IF(INT($F$2:$F$402)&amp;$C$2:$C$402=INT($F270)&amp;$C270,1,0))</f>
        <v>1</v>
      </c>
      <c r="M270" t="str">
        <f>INDEX(Wyart2000!$G$2:$G$594,MATCH($J270,Wyart2000!$W$2:$W$594,0),1)</f>
        <v>84409.93</v>
      </c>
    </row>
    <row r="271" spans="1:13" x14ac:dyDescent="0.25">
      <c r="A271" t="s">
        <v>900</v>
      </c>
      <c r="B271" t="s">
        <v>660</v>
      </c>
      <c r="C271" t="s">
        <v>14</v>
      </c>
      <c r="D271">
        <v>10</v>
      </c>
      <c r="E271" t="s">
        <v>15</v>
      </c>
      <c r="F271" t="s">
        <v>911</v>
      </c>
      <c r="G271" t="s">
        <v>17</v>
      </c>
      <c r="H271" t="s">
        <v>17</v>
      </c>
      <c r="I271" t="s">
        <v>912</v>
      </c>
      <c r="J271" t="s">
        <v>913</v>
      </c>
      <c r="K271" t="s">
        <v>21</v>
      </c>
      <c r="L271" cm="1">
        <f t="array" ref="L271">SUM(IF(INT($F$2:$F$402)&amp;$C$2:$C$402=INT($F271)&amp;$C271,1,0))</f>
        <v>1</v>
      </c>
      <c r="M271" t="str">
        <f>INDEX(Wyart2000!$G$2:$G$594,MATCH($J271,Wyart2000!$W$2:$W$594,0),1)</f>
        <v>84410.63</v>
      </c>
    </row>
    <row r="272" spans="1:13" x14ac:dyDescent="0.25">
      <c r="A272" t="s">
        <v>914</v>
      </c>
      <c r="B272" t="s">
        <v>677</v>
      </c>
      <c r="C272" t="s">
        <v>47</v>
      </c>
      <c r="D272">
        <v>8</v>
      </c>
      <c r="E272" t="s">
        <v>15</v>
      </c>
      <c r="F272" t="s">
        <v>915</v>
      </c>
      <c r="G272" t="s">
        <v>17</v>
      </c>
      <c r="H272" t="s">
        <v>17</v>
      </c>
      <c r="I272" t="s">
        <v>916</v>
      </c>
      <c r="J272" t="s">
        <v>917</v>
      </c>
      <c r="K272" t="s">
        <v>21</v>
      </c>
      <c r="L272" cm="1">
        <f t="array" ref="L272">SUM(IF(INT($F$2:$F$402)&amp;$C$2:$C$402=INT($F272)&amp;$C272,1,0))</f>
        <v>1</v>
      </c>
      <c r="M272" t="str">
        <f>INDEX(Wyart2000!$G$2:$G$594,MATCH($J272,Wyart2000!$W$2:$W$594,0),1)</f>
        <v>84430.98</v>
      </c>
    </row>
    <row r="273" spans="1:13" x14ac:dyDescent="0.25">
      <c r="A273" t="s">
        <v>900</v>
      </c>
      <c r="B273" t="s">
        <v>660</v>
      </c>
      <c r="C273" t="s">
        <v>30</v>
      </c>
      <c r="D273">
        <v>16</v>
      </c>
      <c r="E273" t="s">
        <v>15</v>
      </c>
      <c r="F273" t="s">
        <v>918</v>
      </c>
      <c r="G273" t="s">
        <v>17</v>
      </c>
      <c r="H273" t="s">
        <v>17</v>
      </c>
      <c r="I273" t="s">
        <v>121</v>
      </c>
      <c r="J273" t="s">
        <v>919</v>
      </c>
      <c r="K273" t="s">
        <v>21</v>
      </c>
      <c r="L273" cm="1">
        <f t="array" ref="L273">SUM(IF(INT($F$2:$F$402)&amp;$C$2:$C$402=INT($F273)&amp;$C273,1,0))</f>
        <v>1</v>
      </c>
      <c r="M273" t="str">
        <f>INDEX(Wyart2000!$G$2:$G$594,MATCH($J273,Wyart2000!$W$2:$W$594,0),1)</f>
        <v>84992.04</v>
      </c>
    </row>
    <row r="274" spans="1:13" x14ac:dyDescent="0.25">
      <c r="A274" t="s">
        <v>914</v>
      </c>
      <c r="B274" t="s">
        <v>677</v>
      </c>
      <c r="C274" t="s">
        <v>43</v>
      </c>
      <c r="D274">
        <v>6</v>
      </c>
      <c r="E274" t="s">
        <v>15</v>
      </c>
      <c r="F274" t="s">
        <v>920</v>
      </c>
      <c r="G274" t="s">
        <v>17</v>
      </c>
      <c r="H274" t="s">
        <v>17</v>
      </c>
      <c r="I274" t="s">
        <v>921</v>
      </c>
      <c r="J274" t="s">
        <v>922</v>
      </c>
      <c r="K274" t="s">
        <v>21</v>
      </c>
      <c r="L274" cm="1">
        <f t="array" ref="L274">SUM(IF(INT($F$2:$F$402)&amp;$C$2:$C$402=INT($F274)&amp;$C274,1,0))</f>
        <v>1</v>
      </c>
      <c r="M274" t="str">
        <f>INDEX(Wyart2000!$G$2:$G$594,MATCH($J274,Wyart2000!$W$2:$W$594,0),1)</f>
        <v>85306.10</v>
      </c>
    </row>
    <row r="275" spans="1:13" x14ac:dyDescent="0.25">
      <c r="A275" t="s">
        <v>923</v>
      </c>
      <c r="B275" t="s">
        <v>75</v>
      </c>
      <c r="C275" t="s">
        <v>47</v>
      </c>
      <c r="D275">
        <v>8</v>
      </c>
      <c r="E275" t="s">
        <v>15</v>
      </c>
      <c r="F275" t="s">
        <v>924</v>
      </c>
      <c r="G275" t="s">
        <v>17</v>
      </c>
      <c r="H275" t="s">
        <v>17</v>
      </c>
      <c r="I275" t="s">
        <v>925</v>
      </c>
      <c r="J275" t="s">
        <v>926</v>
      </c>
      <c r="K275" t="s">
        <v>21</v>
      </c>
      <c r="L275" cm="1">
        <f t="array" ref="L275">SUM(IF(INT($F$2:$F$402)&amp;$C$2:$C$402=INT($F275)&amp;$C275,1,0))</f>
        <v>1</v>
      </c>
      <c r="M275" t="str">
        <f>INDEX(Wyart2000!$G$2:$G$594,MATCH($J275,Wyart2000!$W$2:$W$594,0),1)</f>
        <v>87511.6</v>
      </c>
    </row>
    <row r="276" spans="1:13" x14ac:dyDescent="0.25">
      <c r="A276" t="s">
        <v>923</v>
      </c>
      <c r="B276" t="s">
        <v>75</v>
      </c>
      <c r="C276" t="s">
        <v>14</v>
      </c>
      <c r="D276">
        <v>10</v>
      </c>
      <c r="E276" t="s">
        <v>15</v>
      </c>
      <c r="F276" t="s">
        <v>927</v>
      </c>
      <c r="G276" t="s">
        <v>17</v>
      </c>
      <c r="H276" t="s">
        <v>17</v>
      </c>
      <c r="I276" t="s">
        <v>928</v>
      </c>
      <c r="J276" t="s">
        <v>929</v>
      </c>
      <c r="K276" t="s">
        <v>21</v>
      </c>
      <c r="L276" cm="1">
        <f t="array" ref="L276">SUM(IF(INT($F$2:$F$402)&amp;$C$2:$C$402=INT($F276)&amp;$C276,1,0))</f>
        <v>1</v>
      </c>
      <c r="M276" t="str">
        <f>INDEX(Wyart2000!$G$2:$G$594,MATCH($J276,Wyart2000!$W$2:$W$594,0),1)</f>
        <v>88210.1</v>
      </c>
    </row>
    <row r="277" spans="1:13" x14ac:dyDescent="0.25">
      <c r="A277" t="s">
        <v>907</v>
      </c>
      <c r="B277" t="s">
        <v>34</v>
      </c>
      <c r="C277" t="s">
        <v>14</v>
      </c>
      <c r="D277">
        <v>10</v>
      </c>
      <c r="E277" t="s">
        <v>15</v>
      </c>
      <c r="F277" t="s">
        <v>930</v>
      </c>
      <c r="G277" t="s">
        <v>17</v>
      </c>
      <c r="H277" t="s">
        <v>17</v>
      </c>
      <c r="I277" t="s">
        <v>931</v>
      </c>
      <c r="J277" t="s">
        <v>932</v>
      </c>
      <c r="K277" t="s">
        <v>21</v>
      </c>
      <c r="L277" cm="1">
        <f t="array" ref="L277">SUM(IF(INT($F$2:$F$402)&amp;$C$2:$C$402=INT($F277)&amp;$C277,1,0))</f>
        <v>1</v>
      </c>
      <c r="M277" t="str">
        <f>INDEX(Wyart2000!$G$2:$G$594,MATCH($J277,Wyart2000!$W$2:$W$594,0),1)</f>
        <v>88948.6</v>
      </c>
    </row>
    <row r="278" spans="1:13" x14ac:dyDescent="0.25">
      <c r="A278" t="s">
        <v>923</v>
      </c>
      <c r="B278" t="s">
        <v>75</v>
      </c>
      <c r="C278" t="s">
        <v>22</v>
      </c>
      <c r="D278">
        <v>12</v>
      </c>
      <c r="E278" t="s">
        <v>15</v>
      </c>
      <c r="F278" t="s">
        <v>933</v>
      </c>
      <c r="G278" t="s">
        <v>17</v>
      </c>
      <c r="H278" t="s">
        <v>17</v>
      </c>
      <c r="I278" t="s">
        <v>674</v>
      </c>
      <c r="J278" t="s">
        <v>934</v>
      </c>
      <c r="K278" t="s">
        <v>21</v>
      </c>
      <c r="L278" cm="1">
        <f t="array" ref="L278">SUM(IF(INT($F$2:$F$402)&amp;$C$2:$C$402=INT($F278)&amp;$C278,1,0))</f>
        <v>1</v>
      </c>
      <c r="M278" t="str">
        <f>INDEX(Wyart2000!$G$2:$G$594,MATCH($J278,Wyart2000!$W$2:$W$594,0),1)</f>
        <v>90119.8</v>
      </c>
    </row>
    <row r="279" spans="1:13" x14ac:dyDescent="0.25">
      <c r="A279" t="s">
        <v>935</v>
      </c>
      <c r="B279" t="s">
        <v>936</v>
      </c>
      <c r="C279" t="s">
        <v>14</v>
      </c>
      <c r="D279">
        <v>10</v>
      </c>
      <c r="E279" t="s">
        <v>15</v>
      </c>
      <c r="F279" t="s">
        <v>937</v>
      </c>
      <c r="G279" t="s">
        <v>17</v>
      </c>
      <c r="H279" t="s">
        <v>17</v>
      </c>
      <c r="I279" t="s">
        <v>938</v>
      </c>
      <c r="J279" t="s">
        <v>939</v>
      </c>
      <c r="K279" t="s">
        <v>21</v>
      </c>
      <c r="L279" cm="1">
        <f t="array" ref="L279">SUM(IF(INT($F$2:$F$402)&amp;$C$2:$C$402=INT($F279)&amp;$C279,1,0))</f>
        <v>1</v>
      </c>
      <c r="M279" t="str">
        <f>INDEX(Wyart2000!$G$2:$G$594,MATCH($J279,Wyart2000!$W$2:$W$594,0),1)</f>
        <v>90629.2</v>
      </c>
    </row>
    <row r="280" spans="1:13" x14ac:dyDescent="0.25">
      <c r="A280" t="s">
        <v>923</v>
      </c>
      <c r="B280" t="s">
        <v>801</v>
      </c>
      <c r="C280" t="s">
        <v>47</v>
      </c>
      <c r="D280">
        <v>8</v>
      </c>
      <c r="E280" t="s">
        <v>15</v>
      </c>
      <c r="F280" t="s">
        <v>940</v>
      </c>
      <c r="G280" t="s">
        <v>17</v>
      </c>
      <c r="H280" t="s">
        <v>17</v>
      </c>
      <c r="I280" t="s">
        <v>941</v>
      </c>
      <c r="J280" t="s">
        <v>942</v>
      </c>
      <c r="K280" t="s">
        <v>21</v>
      </c>
      <c r="L280" cm="1">
        <f t="array" ref="L280">SUM(IF(INT($F$2:$F$402)&amp;$C$2:$C$402=INT($F280)&amp;$C280,1,0))</f>
        <v>1</v>
      </c>
      <c r="M280" t="str">
        <f>INDEX(Wyart2000!$G$2:$G$594,MATCH($J280,Wyart2000!$W$2:$W$594,0),1)</f>
        <v>92441.7</v>
      </c>
    </row>
    <row r="281" spans="1:13" x14ac:dyDescent="0.25">
      <c r="A281" t="s">
        <v>943</v>
      </c>
      <c r="B281" t="s">
        <v>839</v>
      </c>
      <c r="C281" t="s">
        <v>43</v>
      </c>
      <c r="D281">
        <v>6</v>
      </c>
      <c r="E281" t="s">
        <v>15</v>
      </c>
      <c r="F281" t="s">
        <v>944</v>
      </c>
      <c r="G281" t="s">
        <v>17</v>
      </c>
      <c r="H281" t="s">
        <v>17</v>
      </c>
      <c r="I281" t="s">
        <v>945</v>
      </c>
      <c r="J281" t="s">
        <v>946</v>
      </c>
      <c r="K281" t="s">
        <v>21</v>
      </c>
      <c r="L281" cm="1">
        <f t="array" ref="L281">SUM(IF(INT($F$2:$F$402)&amp;$C$2:$C$402=INT($F281)&amp;$C281,1,0))</f>
        <v>1</v>
      </c>
      <c r="M281" t="str">
        <f>INDEX(Wyart2000!$G$2:$G$594,MATCH($J281,Wyart2000!$W$2:$W$594,0),1)</f>
        <v>92554.8</v>
      </c>
    </row>
    <row r="282" spans="1:13" x14ac:dyDescent="0.25">
      <c r="A282" t="s">
        <v>935</v>
      </c>
      <c r="B282" t="s">
        <v>936</v>
      </c>
      <c r="C282" t="s">
        <v>22</v>
      </c>
      <c r="D282">
        <v>12</v>
      </c>
      <c r="E282" t="s">
        <v>15</v>
      </c>
      <c r="F282" t="s">
        <v>947</v>
      </c>
      <c r="G282" t="s">
        <v>17</v>
      </c>
      <c r="H282" t="s">
        <v>17</v>
      </c>
      <c r="I282" t="s">
        <v>948</v>
      </c>
      <c r="J282" t="s">
        <v>949</v>
      </c>
      <c r="K282" t="s">
        <v>21</v>
      </c>
      <c r="L282" cm="1">
        <f t="array" ref="L282">SUM(IF(INT($F$2:$F$402)&amp;$C$2:$C$402=INT($F282)&amp;$C282,1,0))</f>
        <v>1</v>
      </c>
      <c r="M282" t="str">
        <f>INDEX(Wyart2000!$G$2:$G$594,MATCH($J282,Wyart2000!$W$2:$W$594,0),1)</f>
        <v>93296.5</v>
      </c>
    </row>
    <row r="283" spans="1:13" x14ac:dyDescent="0.25">
      <c r="A283" t="s">
        <v>943</v>
      </c>
      <c r="B283" t="s">
        <v>839</v>
      </c>
      <c r="C283" t="s">
        <v>47</v>
      </c>
      <c r="D283">
        <v>8</v>
      </c>
      <c r="E283" t="s">
        <v>15</v>
      </c>
      <c r="F283" t="s">
        <v>950</v>
      </c>
      <c r="G283" t="s">
        <v>17</v>
      </c>
      <c r="H283" t="s">
        <v>17</v>
      </c>
      <c r="I283" t="s">
        <v>951</v>
      </c>
      <c r="J283" t="s">
        <v>952</v>
      </c>
      <c r="K283" t="s">
        <v>21</v>
      </c>
      <c r="L283" cm="1">
        <f t="array" ref="L283">SUM(IF(INT($F$2:$F$402)&amp;$C$2:$C$402=INT($F283)&amp;$C283,1,0))</f>
        <v>1</v>
      </c>
      <c r="M283" t="str">
        <f>INDEX(Wyart2000!$G$2:$G$594,MATCH($J283,Wyart2000!$W$2:$W$594,0),1)</f>
        <v>93967.4</v>
      </c>
    </row>
    <row r="284" spans="1:13" x14ac:dyDescent="0.25">
      <c r="A284" t="s">
        <v>923</v>
      </c>
      <c r="B284" t="s">
        <v>801</v>
      </c>
      <c r="C284" t="s">
        <v>14</v>
      </c>
      <c r="D284">
        <v>10</v>
      </c>
      <c r="E284" t="s">
        <v>15</v>
      </c>
      <c r="F284" t="s">
        <v>953</v>
      </c>
      <c r="G284" t="s">
        <v>17</v>
      </c>
      <c r="H284" t="s">
        <v>17</v>
      </c>
      <c r="I284" t="s">
        <v>954</v>
      </c>
      <c r="J284" t="s">
        <v>955</v>
      </c>
      <c r="K284" t="s">
        <v>21</v>
      </c>
      <c r="L284" cm="1">
        <f t="array" ref="L284">SUM(IF(INT($F$2:$F$402)&amp;$C$2:$C$402=INT($F284)&amp;$C284,1,0))</f>
        <v>1</v>
      </c>
      <c r="M284" t="str">
        <f>INDEX(Wyart2000!$G$2:$G$594,MATCH($J284,Wyart2000!$W$2:$W$594,0),1)</f>
        <v>95147.9</v>
      </c>
    </row>
    <row r="285" spans="1:13" x14ac:dyDescent="0.25">
      <c r="A285" t="s">
        <v>956</v>
      </c>
      <c r="B285" t="s">
        <v>839</v>
      </c>
      <c r="C285" t="s">
        <v>47</v>
      </c>
      <c r="D285">
        <v>8</v>
      </c>
      <c r="E285" t="s">
        <v>15</v>
      </c>
      <c r="F285" t="s">
        <v>957</v>
      </c>
      <c r="G285" t="s">
        <v>17</v>
      </c>
      <c r="H285" t="s">
        <v>17</v>
      </c>
      <c r="I285" t="s">
        <v>958</v>
      </c>
      <c r="J285" t="s">
        <v>959</v>
      </c>
      <c r="K285" t="s">
        <v>21</v>
      </c>
      <c r="L285" cm="1">
        <f t="array" ref="L285">SUM(IF(INT($F$2:$F$402)&amp;$C$2:$C$402=INT($F285)&amp;$C285,1,0))</f>
        <v>1</v>
      </c>
      <c r="M285" t="str">
        <f>INDEX(Wyart2000!$G$2:$G$594,MATCH($J285,Wyart2000!$W$2:$W$594,0),1)</f>
        <v>96830.5</v>
      </c>
    </row>
    <row r="286" spans="1:13" x14ac:dyDescent="0.25">
      <c r="A286" t="s">
        <v>960</v>
      </c>
      <c r="B286" t="s">
        <v>335</v>
      </c>
      <c r="C286" t="s">
        <v>14</v>
      </c>
      <c r="D286">
        <v>10</v>
      </c>
      <c r="E286" t="s">
        <v>63</v>
      </c>
      <c r="F286" t="s">
        <v>961</v>
      </c>
      <c r="G286" t="s">
        <v>17</v>
      </c>
      <c r="H286" t="s">
        <v>17</v>
      </c>
      <c r="I286" t="s">
        <v>962</v>
      </c>
      <c r="J286" t="s">
        <v>963</v>
      </c>
      <c r="K286" t="s">
        <v>21</v>
      </c>
      <c r="L286" cm="1">
        <f t="array" ref="L286">SUM(IF(INT($F$2:$F$402)&amp;$C$2:$C$402=INT($F286)&amp;$C286,1,0))</f>
        <v>1</v>
      </c>
      <c r="M286" t="str">
        <f>INDEX(Wyart2000!$G$2:$G$594,MATCH($J286,Wyart2000!$W$2:$W$594,0),1)</f>
        <v>100321.12</v>
      </c>
    </row>
    <row r="287" spans="1:13" x14ac:dyDescent="0.25">
      <c r="A287" t="s">
        <v>964</v>
      </c>
      <c r="B287" t="s">
        <v>965</v>
      </c>
      <c r="C287" t="s">
        <v>14</v>
      </c>
      <c r="D287">
        <v>10</v>
      </c>
      <c r="E287" t="s">
        <v>63</v>
      </c>
      <c r="F287" t="s">
        <v>966</v>
      </c>
      <c r="G287" t="s">
        <v>17</v>
      </c>
      <c r="H287" t="s">
        <v>17</v>
      </c>
      <c r="I287" t="s">
        <v>674</v>
      </c>
      <c r="J287" t="s">
        <v>967</v>
      </c>
      <c r="K287" t="s">
        <v>21</v>
      </c>
      <c r="L287" cm="1">
        <f t="array" ref="L287">SUM(IF(INT($F$2:$F$402)&amp;$C$2:$C$402=INT($F287)&amp;$C287,1,0))</f>
        <v>1</v>
      </c>
      <c r="M287" t="str">
        <f>INDEX(Wyart2000!$G$2:$G$594,MATCH($J287,Wyart2000!$W$2:$W$594,0),1)</f>
        <v>100430.29</v>
      </c>
    </row>
    <row r="288" spans="1:13" x14ac:dyDescent="0.25">
      <c r="A288" t="s">
        <v>964</v>
      </c>
      <c r="B288" t="s">
        <v>965</v>
      </c>
      <c r="C288" t="s">
        <v>22</v>
      </c>
      <c r="D288">
        <v>12</v>
      </c>
      <c r="E288" t="s">
        <v>63</v>
      </c>
      <c r="F288" t="s">
        <v>968</v>
      </c>
      <c r="G288" t="s">
        <v>17</v>
      </c>
      <c r="H288" t="s">
        <v>17</v>
      </c>
      <c r="I288" t="s">
        <v>674</v>
      </c>
      <c r="J288" t="s">
        <v>969</v>
      </c>
      <c r="K288" t="s">
        <v>21</v>
      </c>
      <c r="L288" cm="1">
        <f t="array" ref="L288">SUM(IF(INT($F$2:$F$402)&amp;$C$2:$C$402=INT($F288)&amp;$C288,1,0))</f>
        <v>1</v>
      </c>
      <c r="M288" t="str">
        <f>INDEX(Wyart2000!$G$2:$G$594,MATCH($J288,Wyart2000!$W$2:$W$594,0),1)</f>
        <v>100625.04</v>
      </c>
    </row>
    <row r="289" spans="1:13" x14ac:dyDescent="0.25">
      <c r="A289" t="s">
        <v>964</v>
      </c>
      <c r="B289" t="s">
        <v>965</v>
      </c>
      <c r="C289" t="s">
        <v>47</v>
      </c>
      <c r="D289">
        <v>8</v>
      </c>
      <c r="E289" t="s">
        <v>63</v>
      </c>
      <c r="F289" t="s">
        <v>970</v>
      </c>
      <c r="G289" t="s">
        <v>17</v>
      </c>
      <c r="H289" t="s">
        <v>17</v>
      </c>
      <c r="I289" t="s">
        <v>971</v>
      </c>
      <c r="J289" t="s">
        <v>972</v>
      </c>
      <c r="K289" t="s">
        <v>21</v>
      </c>
      <c r="L289" cm="1">
        <f t="array" ref="L289">SUM(IF(INT($F$2:$F$402)&amp;$C$2:$C$402=INT($F289)&amp;$C289,1,0))</f>
        <v>1</v>
      </c>
      <c r="M289" t="str">
        <f>INDEX(Wyart2000!$G$2:$G$594,MATCH($J289,Wyart2000!$W$2:$W$594,0),1)</f>
        <v>100788.95</v>
      </c>
    </row>
    <row r="290" spans="1:13" x14ac:dyDescent="0.25">
      <c r="A290" t="s">
        <v>973</v>
      </c>
      <c r="B290" t="s">
        <v>974</v>
      </c>
      <c r="C290" t="s">
        <v>14</v>
      </c>
      <c r="D290">
        <v>10</v>
      </c>
      <c r="E290" t="s">
        <v>63</v>
      </c>
      <c r="F290" t="s">
        <v>975</v>
      </c>
      <c r="G290" t="s">
        <v>17</v>
      </c>
      <c r="H290" t="s">
        <v>17</v>
      </c>
      <c r="I290" t="s">
        <v>517</v>
      </c>
      <c r="J290" t="s">
        <v>976</v>
      </c>
      <c r="K290" t="s">
        <v>21</v>
      </c>
      <c r="L290" cm="1">
        <f t="array" ref="L290">SUM(IF(INT($F$2:$F$402)&amp;$C$2:$C$402=INT($F290)&amp;$C290,1,0))</f>
        <v>1</v>
      </c>
      <c r="M290" t="str">
        <f>INDEX(Wyart2000!$G$2:$G$594,MATCH($J290,Wyart2000!$W$2:$W$594,0),1)</f>
        <v>100947.18</v>
      </c>
    </row>
    <row r="291" spans="1:13" x14ac:dyDescent="0.25">
      <c r="A291" t="s">
        <v>964</v>
      </c>
      <c r="B291" t="s">
        <v>965</v>
      </c>
      <c r="C291" t="s">
        <v>43</v>
      </c>
      <c r="D291">
        <v>6</v>
      </c>
      <c r="E291" t="s">
        <v>63</v>
      </c>
      <c r="F291" t="s">
        <v>977</v>
      </c>
      <c r="G291" t="s">
        <v>17</v>
      </c>
      <c r="H291" t="s">
        <v>17</v>
      </c>
      <c r="I291" t="s">
        <v>978</v>
      </c>
      <c r="J291" t="s">
        <v>979</v>
      </c>
      <c r="K291" t="s">
        <v>21</v>
      </c>
      <c r="L291" cm="1">
        <f t="array" ref="L291">SUM(IF(INT($F$2:$F$402)&amp;$C$2:$C$402=INT($F291)&amp;$C291,1,0))</f>
        <v>1</v>
      </c>
      <c r="M291" t="str">
        <f>INDEX(Wyart2000!$G$2:$G$594,MATCH($J291,Wyart2000!$W$2:$W$594,0),1)</f>
        <v>101071.43</v>
      </c>
    </row>
    <row r="292" spans="1:13" x14ac:dyDescent="0.25">
      <c r="A292" t="s">
        <v>973</v>
      </c>
      <c r="B292" t="s">
        <v>974</v>
      </c>
      <c r="C292" t="s">
        <v>22</v>
      </c>
      <c r="D292">
        <v>12</v>
      </c>
      <c r="E292" t="s">
        <v>63</v>
      </c>
      <c r="F292" t="s">
        <v>980</v>
      </c>
      <c r="G292" t="s">
        <v>17</v>
      </c>
      <c r="H292" t="s">
        <v>17</v>
      </c>
      <c r="I292" t="s">
        <v>517</v>
      </c>
      <c r="J292" t="s">
        <v>981</v>
      </c>
      <c r="K292" t="s">
        <v>21</v>
      </c>
      <c r="L292" cm="1">
        <f t="array" ref="L292">SUM(IF(INT($F$2:$F$402)&amp;$C$2:$C$402=INT($F292)&amp;$C292,1,0))</f>
        <v>1</v>
      </c>
      <c r="M292" t="str">
        <f>INDEX(Wyart2000!$G$2:$G$594,MATCH($J292,Wyart2000!$W$2:$W$594,0),1)</f>
        <v>101165.33</v>
      </c>
    </row>
    <row r="293" spans="1:13" x14ac:dyDescent="0.25">
      <c r="A293" t="s">
        <v>973</v>
      </c>
      <c r="B293" t="s">
        <v>974</v>
      </c>
      <c r="C293" t="s">
        <v>47</v>
      </c>
      <c r="D293">
        <v>8</v>
      </c>
      <c r="E293" t="s">
        <v>63</v>
      </c>
      <c r="F293" t="s">
        <v>982</v>
      </c>
      <c r="G293" t="s">
        <v>17</v>
      </c>
      <c r="H293" t="s">
        <v>17</v>
      </c>
      <c r="I293" t="s">
        <v>983</v>
      </c>
      <c r="J293" t="s">
        <v>984</v>
      </c>
      <c r="K293" t="s">
        <v>21</v>
      </c>
      <c r="L293" cm="1">
        <f t="array" ref="L293">SUM(IF(INT($F$2:$F$402)&amp;$C$2:$C$402=INT($F293)&amp;$C293,1,0))</f>
        <v>1</v>
      </c>
      <c r="M293" t="str">
        <f>INDEX(Wyart2000!$G$2:$G$594,MATCH($J293,Wyart2000!$W$2:$W$594,0),1)</f>
        <v>101446.27</v>
      </c>
    </row>
    <row r="294" spans="1:13" x14ac:dyDescent="0.25">
      <c r="A294" t="s">
        <v>973</v>
      </c>
      <c r="B294" t="s">
        <v>974</v>
      </c>
      <c r="C294" t="s">
        <v>43</v>
      </c>
      <c r="D294">
        <v>6</v>
      </c>
      <c r="E294" t="s">
        <v>63</v>
      </c>
      <c r="F294" t="s">
        <v>985</v>
      </c>
      <c r="G294" t="s">
        <v>17</v>
      </c>
      <c r="H294" t="s">
        <v>17</v>
      </c>
      <c r="I294" t="s">
        <v>986</v>
      </c>
      <c r="J294" t="s">
        <v>987</v>
      </c>
      <c r="K294" t="s">
        <v>21</v>
      </c>
      <c r="L294" cm="1">
        <f t="array" ref="L294">SUM(IF(INT($F$2:$F$402)&amp;$C$2:$C$402=INT($F294)&amp;$C294,1,0))</f>
        <v>1</v>
      </c>
      <c r="M294" t="str">
        <f>INDEX(Wyart2000!$G$2:$G$594,MATCH($J294,Wyart2000!$W$2:$W$594,0),1)</f>
        <v>101665.58</v>
      </c>
    </row>
    <row r="295" spans="1:13" x14ac:dyDescent="0.25">
      <c r="A295" t="s">
        <v>973</v>
      </c>
      <c r="B295" t="s">
        <v>974</v>
      </c>
      <c r="C295" t="s">
        <v>26</v>
      </c>
      <c r="D295">
        <v>14</v>
      </c>
      <c r="E295" t="s">
        <v>63</v>
      </c>
      <c r="F295" t="s">
        <v>988</v>
      </c>
      <c r="G295" t="s">
        <v>17</v>
      </c>
      <c r="H295" t="s">
        <v>17</v>
      </c>
      <c r="I295" t="s">
        <v>989</v>
      </c>
      <c r="J295" t="s">
        <v>990</v>
      </c>
      <c r="K295" t="s">
        <v>21</v>
      </c>
      <c r="L295" cm="1">
        <f t="array" ref="L295">SUM(IF(INT($F$2:$F$402)&amp;$C$2:$C$402=INT($F295)&amp;$C295,1,0))</f>
        <v>1</v>
      </c>
      <c r="M295" t="str">
        <f>INDEX(Wyart2000!$G$2:$G$594,MATCH($J295,Wyart2000!$W$2:$W$594,0),1)</f>
        <v>101680.38</v>
      </c>
    </row>
    <row r="296" spans="1:13" x14ac:dyDescent="0.25">
      <c r="A296" t="s">
        <v>991</v>
      </c>
      <c r="B296" t="s">
        <v>362</v>
      </c>
      <c r="C296" t="s">
        <v>22</v>
      </c>
      <c r="D296">
        <v>12</v>
      </c>
      <c r="E296" t="s">
        <v>63</v>
      </c>
      <c r="F296" t="s">
        <v>992</v>
      </c>
      <c r="G296" t="s">
        <v>17</v>
      </c>
      <c r="H296" t="s">
        <v>17</v>
      </c>
      <c r="I296" t="s">
        <v>962</v>
      </c>
      <c r="J296" t="s">
        <v>993</v>
      </c>
      <c r="K296" t="s">
        <v>21</v>
      </c>
      <c r="L296" cm="1">
        <f t="array" ref="L296">SUM(IF(INT($F$2:$F$402)&amp;$C$2:$C$402=INT($F296)&amp;$C296,1,0))</f>
        <v>1</v>
      </c>
      <c r="M296" t="str">
        <f>INDEX(Wyart2000!$G$2:$G$594,MATCH($J296,Wyart2000!$W$2:$W$594,0),1)</f>
        <v>102435.67</v>
      </c>
    </row>
    <row r="297" spans="1:13" x14ac:dyDescent="0.25">
      <c r="A297" t="s">
        <v>991</v>
      </c>
      <c r="B297" t="s">
        <v>362</v>
      </c>
      <c r="C297" t="s">
        <v>14</v>
      </c>
      <c r="D297">
        <v>10</v>
      </c>
      <c r="E297" t="s">
        <v>63</v>
      </c>
      <c r="F297" t="s">
        <v>994</v>
      </c>
      <c r="G297" t="s">
        <v>17</v>
      </c>
      <c r="H297" t="s">
        <v>17</v>
      </c>
      <c r="I297" t="s">
        <v>962</v>
      </c>
      <c r="J297" t="s">
        <v>995</v>
      </c>
      <c r="K297" t="s">
        <v>21</v>
      </c>
      <c r="L297" cm="1">
        <f t="array" ref="L297">SUM(IF(INT($F$2:$F$402)&amp;$C$2:$C$402=INT($F297)&amp;$C297,1,0))</f>
        <v>1</v>
      </c>
      <c r="M297" t="str">
        <f>INDEX(Wyart2000!$G$2:$G$594,MATCH($J297,Wyart2000!$W$2:$W$594,0),1)</f>
        <v>102484.66</v>
      </c>
    </row>
    <row r="298" spans="1:13" x14ac:dyDescent="0.25">
      <c r="A298" t="s">
        <v>996</v>
      </c>
      <c r="B298" t="s">
        <v>997</v>
      </c>
      <c r="C298" t="s">
        <v>22</v>
      </c>
      <c r="D298">
        <v>12</v>
      </c>
      <c r="E298" t="s">
        <v>63</v>
      </c>
      <c r="F298" t="s">
        <v>998</v>
      </c>
      <c r="G298" t="s">
        <v>17</v>
      </c>
      <c r="H298" t="s">
        <v>17</v>
      </c>
      <c r="I298" t="s">
        <v>94</v>
      </c>
      <c r="J298" t="s">
        <v>999</v>
      </c>
      <c r="K298" t="s">
        <v>21</v>
      </c>
      <c r="L298" cm="1">
        <f t="array" ref="L298">SUM(IF(INT($F$2:$F$402)&amp;$C$2:$C$402=INT($F298)&amp;$C298,1,0))</f>
        <v>1</v>
      </c>
      <c r="M298" t="str">
        <f>INDEX(Wyart2000!$G$2:$G$594,MATCH($J298,Wyart2000!$W$2:$W$594,0),1)</f>
        <v>102617.24</v>
      </c>
    </row>
    <row r="299" spans="1:13" x14ac:dyDescent="0.25">
      <c r="A299" t="s">
        <v>996</v>
      </c>
      <c r="B299" t="s">
        <v>997</v>
      </c>
      <c r="C299" t="s">
        <v>14</v>
      </c>
      <c r="D299">
        <v>10</v>
      </c>
      <c r="E299" t="s">
        <v>63</v>
      </c>
      <c r="F299" t="s">
        <v>1000</v>
      </c>
      <c r="G299" t="s">
        <v>17</v>
      </c>
      <c r="H299" t="s">
        <v>17</v>
      </c>
      <c r="I299" t="s">
        <v>1001</v>
      </c>
      <c r="J299" t="s">
        <v>1002</v>
      </c>
      <c r="K299" t="s">
        <v>21</v>
      </c>
      <c r="L299" cm="1">
        <f t="array" ref="L299">SUM(IF(INT($F$2:$F$402)&amp;$C$2:$C$402=INT($F299)&amp;$C299,1,0))</f>
        <v>1</v>
      </c>
      <c r="M299" t="str">
        <f>INDEX(Wyart2000!$G$2:$G$594,MATCH($J299,Wyart2000!$W$2:$W$594,0),1)</f>
        <v>102830.43</v>
      </c>
    </row>
    <row r="300" spans="1:13" x14ac:dyDescent="0.25">
      <c r="A300" t="s">
        <v>996</v>
      </c>
      <c r="B300" t="s">
        <v>997</v>
      </c>
      <c r="C300" t="s">
        <v>26</v>
      </c>
      <c r="D300">
        <v>14</v>
      </c>
      <c r="E300" t="s">
        <v>63</v>
      </c>
      <c r="F300" t="s">
        <v>1003</v>
      </c>
      <c r="G300" t="s">
        <v>17</v>
      </c>
      <c r="H300" t="s">
        <v>17</v>
      </c>
      <c r="I300" t="s">
        <v>1004</v>
      </c>
      <c r="J300" t="s">
        <v>1005</v>
      </c>
      <c r="K300" t="s">
        <v>21</v>
      </c>
      <c r="L300" cm="1">
        <f t="array" ref="L300">SUM(IF(INT($F$2:$F$402)&amp;$C$2:$C$402=INT($F300)&amp;$C300,1,0))</f>
        <v>1</v>
      </c>
      <c r="M300" t="str">
        <f>INDEX(Wyart2000!$G$2:$G$594,MATCH($J300,Wyart2000!$W$2:$W$594,0),1)</f>
        <v>102981.94</v>
      </c>
    </row>
    <row r="301" spans="1:13" x14ac:dyDescent="0.25">
      <c r="A301" t="s">
        <v>996</v>
      </c>
      <c r="B301" t="s">
        <v>997</v>
      </c>
      <c r="C301" t="s">
        <v>47</v>
      </c>
      <c r="D301">
        <v>8</v>
      </c>
      <c r="E301" t="s">
        <v>63</v>
      </c>
      <c r="F301" t="s">
        <v>1006</v>
      </c>
      <c r="G301" t="s">
        <v>17</v>
      </c>
      <c r="H301" t="s">
        <v>17</v>
      </c>
      <c r="I301" t="s">
        <v>343</v>
      </c>
      <c r="J301" t="s">
        <v>1007</v>
      </c>
      <c r="K301" t="s">
        <v>21</v>
      </c>
      <c r="L301" cm="1">
        <f t="array" ref="L301">SUM(IF(INT($F$2:$F$402)&amp;$C$2:$C$402=INT($F301)&amp;$C301,1,0))</f>
        <v>1</v>
      </c>
      <c r="M301" t="str">
        <f>INDEX(Wyart2000!$G$2:$G$594,MATCH($J301,Wyart2000!$W$2:$W$594,0),1)</f>
        <v>103308.53</v>
      </c>
    </row>
    <row r="302" spans="1:13" x14ac:dyDescent="0.25">
      <c r="A302" t="s">
        <v>1008</v>
      </c>
      <c r="B302" t="s">
        <v>1009</v>
      </c>
      <c r="C302" t="s">
        <v>14</v>
      </c>
      <c r="D302">
        <v>10</v>
      </c>
      <c r="E302" t="s">
        <v>63</v>
      </c>
      <c r="F302" t="s">
        <v>1010</v>
      </c>
      <c r="G302" t="s">
        <v>17</v>
      </c>
      <c r="H302" t="s">
        <v>17</v>
      </c>
      <c r="I302" t="s">
        <v>1011</v>
      </c>
      <c r="J302" t="s">
        <v>1012</v>
      </c>
      <c r="K302" t="s">
        <v>21</v>
      </c>
      <c r="L302" cm="1">
        <f t="array" ref="L302">SUM(IF(INT($F$2:$F$402)&amp;$C$2:$C$402=INT($F302)&amp;$C302,1,0))</f>
        <v>1</v>
      </c>
      <c r="M302" t="str">
        <f>INDEX(Wyart2000!$G$2:$G$594,MATCH($J302,Wyart2000!$W$2:$W$594,0),1)</f>
        <v>103335.06</v>
      </c>
    </row>
    <row r="303" spans="1:13" x14ac:dyDescent="0.25">
      <c r="A303" t="s">
        <v>1008</v>
      </c>
      <c r="B303" t="s">
        <v>1009</v>
      </c>
      <c r="C303" t="s">
        <v>22</v>
      </c>
      <c r="D303">
        <v>12</v>
      </c>
      <c r="E303" t="s">
        <v>63</v>
      </c>
      <c r="F303" t="s">
        <v>1013</v>
      </c>
      <c r="G303" t="s">
        <v>17</v>
      </c>
      <c r="H303" t="s">
        <v>17</v>
      </c>
      <c r="I303" t="s">
        <v>674</v>
      </c>
      <c r="J303" t="s">
        <v>1014</v>
      </c>
      <c r="K303" t="s">
        <v>21</v>
      </c>
      <c r="L303" cm="1">
        <f t="array" ref="L303">SUM(IF(INT($F$2:$F$402)&amp;$C$2:$C$402=INT($F303)&amp;$C303,1,0))</f>
        <v>1</v>
      </c>
      <c r="M303" t="str">
        <f>INDEX(Wyart2000!$G$2:$G$594,MATCH($J303,Wyart2000!$W$2:$W$594,0),1)</f>
        <v>103344.35</v>
      </c>
    </row>
    <row r="304" spans="1:13" x14ac:dyDescent="0.25">
      <c r="A304" t="s">
        <v>1008</v>
      </c>
      <c r="B304" t="s">
        <v>1009</v>
      </c>
      <c r="C304" t="s">
        <v>30</v>
      </c>
      <c r="D304">
        <v>16</v>
      </c>
      <c r="E304" t="s">
        <v>63</v>
      </c>
      <c r="F304" t="s">
        <v>1015</v>
      </c>
      <c r="G304" t="s">
        <v>17</v>
      </c>
      <c r="H304" t="s">
        <v>17</v>
      </c>
      <c r="I304" t="s">
        <v>94</v>
      </c>
      <c r="J304" t="s">
        <v>1016</v>
      </c>
      <c r="K304" t="s">
        <v>21</v>
      </c>
      <c r="L304" cm="1">
        <f t="array" ref="L304">SUM(IF(INT($F$2:$F$402)&amp;$C$2:$C$402=INT($F304)&amp;$C304,1,0))</f>
        <v>1</v>
      </c>
      <c r="M304" t="str">
        <f>INDEX(Wyart2000!$G$2:$G$594,MATCH($J304,Wyart2000!$W$2:$W$594,0),1)</f>
        <v>103484.19</v>
      </c>
    </row>
    <row r="305" spans="1:13" x14ac:dyDescent="0.25">
      <c r="A305" t="s">
        <v>1008</v>
      </c>
      <c r="B305" t="s">
        <v>1009</v>
      </c>
      <c r="C305" t="s">
        <v>26</v>
      </c>
      <c r="D305">
        <v>14</v>
      </c>
      <c r="E305" t="s">
        <v>63</v>
      </c>
      <c r="F305" t="s">
        <v>1017</v>
      </c>
      <c r="G305" t="s">
        <v>17</v>
      </c>
      <c r="H305" t="s">
        <v>17</v>
      </c>
      <c r="I305" t="s">
        <v>1018</v>
      </c>
      <c r="J305" t="s">
        <v>1019</v>
      </c>
      <c r="K305" t="s">
        <v>21</v>
      </c>
      <c r="L305" cm="1">
        <f t="array" ref="L305">SUM(IF(INT($F$2:$F$402)&amp;$C$2:$C$402=INT($F305)&amp;$C305,1,0))</f>
        <v>1</v>
      </c>
      <c r="M305" t="str">
        <f>INDEX(Wyart2000!$G$2:$G$594,MATCH($J305,Wyart2000!$W$2:$W$594,0),1)</f>
        <v>103805.38</v>
      </c>
    </row>
    <row r="306" spans="1:13" x14ac:dyDescent="0.25">
      <c r="A306" t="s">
        <v>1008</v>
      </c>
      <c r="B306" t="s">
        <v>1009</v>
      </c>
      <c r="C306" t="s">
        <v>47</v>
      </c>
      <c r="D306">
        <v>8</v>
      </c>
      <c r="E306" t="s">
        <v>63</v>
      </c>
      <c r="F306" t="s">
        <v>1020</v>
      </c>
      <c r="G306" t="s">
        <v>17</v>
      </c>
      <c r="H306" t="s">
        <v>17</v>
      </c>
      <c r="I306" t="s">
        <v>94</v>
      </c>
      <c r="J306" t="s">
        <v>1021</v>
      </c>
      <c r="K306" t="s">
        <v>21</v>
      </c>
      <c r="L306" cm="1">
        <f t="array" ref="L306">SUM(IF(INT($F$2:$F$402)&amp;$C$2:$C$402=INT($F306)&amp;$C306,1,0))</f>
        <v>1</v>
      </c>
      <c r="M306" t="str">
        <f>INDEX(Wyart2000!$G$2:$G$594,MATCH($J306,Wyart2000!$W$2:$W$594,0),1)</f>
        <v>103895.83</v>
      </c>
    </row>
    <row r="307" spans="1:13" x14ac:dyDescent="0.25">
      <c r="A307" t="s">
        <v>1022</v>
      </c>
      <c r="B307" t="s">
        <v>384</v>
      </c>
      <c r="C307" t="s">
        <v>26</v>
      </c>
      <c r="D307">
        <v>14</v>
      </c>
      <c r="E307" t="s">
        <v>63</v>
      </c>
      <c r="F307" t="s">
        <v>1023</v>
      </c>
      <c r="G307" t="s">
        <v>17</v>
      </c>
      <c r="H307" t="s">
        <v>17</v>
      </c>
      <c r="I307" t="s">
        <v>962</v>
      </c>
      <c r="J307" t="s">
        <v>1024</v>
      </c>
      <c r="K307" t="s">
        <v>21</v>
      </c>
      <c r="L307" cm="1">
        <f t="array" ref="L307">SUM(IF(INT($F$2:$F$402)&amp;$C$2:$C$402=INT($F307)&amp;$C307,1,0))</f>
        <v>1</v>
      </c>
      <c r="M307" t="str">
        <f>INDEX(Wyart2000!$G$2:$G$594,MATCH($J307,Wyart2000!$W$2:$W$594,0),1)</f>
        <v>104598.99</v>
      </c>
    </row>
    <row r="308" spans="1:13" x14ac:dyDescent="0.25">
      <c r="A308" t="s">
        <v>1022</v>
      </c>
      <c r="B308" t="s">
        <v>384</v>
      </c>
      <c r="C308" t="s">
        <v>22</v>
      </c>
      <c r="D308">
        <v>12</v>
      </c>
      <c r="E308" t="s">
        <v>63</v>
      </c>
      <c r="F308" t="s">
        <v>1025</v>
      </c>
      <c r="G308" t="s">
        <v>17</v>
      </c>
      <c r="H308" t="s">
        <v>17</v>
      </c>
      <c r="I308" t="s">
        <v>962</v>
      </c>
      <c r="J308" t="s">
        <v>1026</v>
      </c>
      <c r="K308" t="s">
        <v>21</v>
      </c>
      <c r="L308" cm="1">
        <f t="array" ref="L308">SUM(IF(INT($F$2:$F$402)&amp;$C$2:$C$402=INT($F308)&amp;$C308,1,0))</f>
        <v>1</v>
      </c>
      <c r="M308" t="str">
        <f>INDEX(Wyart2000!$G$2:$G$594,MATCH($J308,Wyart2000!$W$2:$W$594,0),1)</f>
        <v>104788.68</v>
      </c>
    </row>
    <row r="309" spans="1:13" x14ac:dyDescent="0.25">
      <c r="A309" t="s">
        <v>1027</v>
      </c>
      <c r="B309" t="s">
        <v>1028</v>
      </c>
      <c r="C309" t="s">
        <v>22</v>
      </c>
      <c r="D309">
        <v>12</v>
      </c>
      <c r="E309" t="s">
        <v>63</v>
      </c>
      <c r="F309" t="s">
        <v>1029</v>
      </c>
      <c r="G309" t="s">
        <v>17</v>
      </c>
      <c r="H309" t="s">
        <v>17</v>
      </c>
      <c r="I309" t="s">
        <v>343</v>
      </c>
      <c r="J309" t="s">
        <v>1030</v>
      </c>
      <c r="K309" t="s">
        <v>21</v>
      </c>
      <c r="L309" cm="1">
        <f t="array" ref="L309">SUM(IF(INT($F$2:$F$402)&amp;$C$2:$C$402=INT($F309)&amp;$C309,1,0))</f>
        <v>1</v>
      </c>
      <c r="M309" t="str">
        <f>INDEX(Wyart2000!$G$2:$G$594,MATCH($J309,Wyart2000!$W$2:$W$594,0),1)</f>
        <v>104904.55</v>
      </c>
    </row>
    <row r="310" spans="1:13" x14ac:dyDescent="0.25">
      <c r="A310" t="s">
        <v>1027</v>
      </c>
      <c r="B310" t="s">
        <v>1028</v>
      </c>
      <c r="C310" t="s">
        <v>26</v>
      </c>
      <c r="D310">
        <v>14</v>
      </c>
      <c r="E310" t="s">
        <v>63</v>
      </c>
      <c r="F310" t="s">
        <v>1031</v>
      </c>
      <c r="G310" t="s">
        <v>17</v>
      </c>
      <c r="H310" t="s">
        <v>17</v>
      </c>
      <c r="I310" t="s">
        <v>1032</v>
      </c>
      <c r="J310" t="s">
        <v>1033</v>
      </c>
      <c r="K310" t="s">
        <v>21</v>
      </c>
      <c r="L310" cm="1">
        <f t="array" ref="L310">SUM(IF(INT($F$2:$F$402)&amp;$C$2:$C$402=INT($F310)&amp;$C310,1,0))</f>
        <v>1</v>
      </c>
      <c r="M310" t="str">
        <f>INDEX(Wyart2000!$G$2:$G$594,MATCH($J310,Wyart2000!$W$2:$W$594,0),1)</f>
        <v>105019.06</v>
      </c>
    </row>
    <row r="311" spans="1:13" x14ac:dyDescent="0.25">
      <c r="A311" t="s">
        <v>1034</v>
      </c>
      <c r="B311" t="s">
        <v>1035</v>
      </c>
      <c r="C311" t="s">
        <v>30</v>
      </c>
      <c r="D311">
        <v>16</v>
      </c>
      <c r="E311" t="s">
        <v>63</v>
      </c>
      <c r="F311" t="s">
        <v>1036</v>
      </c>
      <c r="G311" t="s">
        <v>17</v>
      </c>
      <c r="H311" t="s">
        <v>17</v>
      </c>
      <c r="I311" t="s">
        <v>1037</v>
      </c>
      <c r="J311" t="s">
        <v>1038</v>
      </c>
      <c r="K311" t="s">
        <v>21</v>
      </c>
      <c r="L311" cm="1">
        <f t="array" ref="L311">SUM(IF(INT($F$2:$F$402)&amp;$C$2:$C$402=INT($F311)&amp;$C311,1,0))</f>
        <v>1</v>
      </c>
      <c r="M311" t="str">
        <f>INDEX(Wyart2000!$G$2:$G$594,MATCH($J311,Wyart2000!$W$2:$W$594,0),1)</f>
        <v>105049.72</v>
      </c>
    </row>
    <row r="312" spans="1:13" x14ac:dyDescent="0.25">
      <c r="A312" t="s">
        <v>1034</v>
      </c>
      <c r="B312" t="s">
        <v>1035</v>
      </c>
      <c r="C312" t="s">
        <v>22</v>
      </c>
      <c r="D312">
        <v>12</v>
      </c>
      <c r="E312" t="s">
        <v>63</v>
      </c>
      <c r="F312" t="s">
        <v>1039</v>
      </c>
      <c r="G312" t="s">
        <v>17</v>
      </c>
      <c r="H312" t="s">
        <v>17</v>
      </c>
      <c r="I312" t="s">
        <v>1040</v>
      </c>
      <c r="J312" t="s">
        <v>1041</v>
      </c>
      <c r="K312" t="s">
        <v>21</v>
      </c>
      <c r="L312" cm="1">
        <f t="array" ref="L312">SUM(IF(INT($F$2:$F$402)&amp;$C$2:$C$402=INT($F312)&amp;$C312,1,0))</f>
        <v>1</v>
      </c>
      <c r="M312" t="str">
        <f>INDEX(Wyart2000!$G$2:$G$594,MATCH($J312,Wyart2000!$W$2:$W$594,0),1)</f>
        <v>105450.18</v>
      </c>
    </row>
    <row r="313" spans="1:13" x14ac:dyDescent="0.25">
      <c r="A313" t="s">
        <v>1027</v>
      </c>
      <c r="B313" t="s">
        <v>1028</v>
      </c>
      <c r="C313" t="s">
        <v>14</v>
      </c>
      <c r="D313">
        <v>10</v>
      </c>
      <c r="E313" t="s">
        <v>63</v>
      </c>
      <c r="F313" t="s">
        <v>1042</v>
      </c>
      <c r="G313" t="s">
        <v>17</v>
      </c>
      <c r="H313" t="s">
        <v>17</v>
      </c>
      <c r="I313" t="s">
        <v>674</v>
      </c>
      <c r="J313" t="s">
        <v>1043</v>
      </c>
      <c r="K313" t="s">
        <v>21</v>
      </c>
      <c r="L313" cm="1">
        <f t="array" ref="L313">SUM(IF(INT($F$2:$F$402)&amp;$C$2:$C$402=INT($F313)&amp;$C313,1,0))</f>
        <v>1</v>
      </c>
      <c r="M313" t="str">
        <f>INDEX(Wyart2000!$G$2:$G$594,MATCH($J313,Wyart2000!$W$2:$W$594,0),1)</f>
        <v>105566.62</v>
      </c>
    </row>
    <row r="314" spans="1:13" x14ac:dyDescent="0.25">
      <c r="A314" t="s">
        <v>1034</v>
      </c>
      <c r="B314" t="s">
        <v>1035</v>
      </c>
      <c r="C314" t="s">
        <v>26</v>
      </c>
      <c r="D314">
        <v>14</v>
      </c>
      <c r="E314" t="s">
        <v>63</v>
      </c>
      <c r="F314" t="s">
        <v>1044</v>
      </c>
      <c r="G314" t="s">
        <v>17</v>
      </c>
      <c r="H314" t="s">
        <v>17</v>
      </c>
      <c r="I314" t="s">
        <v>1045</v>
      </c>
      <c r="J314" t="s">
        <v>1046</v>
      </c>
      <c r="K314" t="s">
        <v>21</v>
      </c>
      <c r="L314" cm="1">
        <f t="array" ref="L314">SUM(IF(INT($F$2:$F$402)&amp;$C$2:$C$402=INT($F314)&amp;$C314,1,0))</f>
        <v>1</v>
      </c>
      <c r="M314" t="str">
        <f>INDEX(Wyart2000!$G$2:$G$594,MATCH($J314,Wyart2000!$W$2:$W$594,0),1)</f>
        <v>105632.16</v>
      </c>
    </row>
    <row r="315" spans="1:13" x14ac:dyDescent="0.25">
      <c r="A315" t="s">
        <v>1047</v>
      </c>
      <c r="B315" t="s">
        <v>403</v>
      </c>
      <c r="C315" t="s">
        <v>47</v>
      </c>
      <c r="D315">
        <v>8</v>
      </c>
      <c r="E315" t="s">
        <v>63</v>
      </c>
      <c r="F315" t="s">
        <v>1048</v>
      </c>
      <c r="G315" t="s">
        <v>17</v>
      </c>
      <c r="H315" t="s">
        <v>17</v>
      </c>
      <c r="I315" t="s">
        <v>962</v>
      </c>
      <c r="J315" t="s">
        <v>1049</v>
      </c>
      <c r="K315" t="s">
        <v>21</v>
      </c>
      <c r="L315" cm="1">
        <f t="array" ref="L315">SUM(IF(INT($F$2:$F$402)&amp;$C$2:$C$402=INT($F315)&amp;$C315,1,0))</f>
        <v>1</v>
      </c>
      <c r="M315" t="str">
        <f>INDEX(Wyart2000!$G$2:$G$594,MATCH($J315,Wyart2000!$W$2:$W$594,0),1)</f>
        <v>106665.07</v>
      </c>
    </row>
    <row r="316" spans="1:13" x14ac:dyDescent="0.25">
      <c r="A316" t="s">
        <v>1047</v>
      </c>
      <c r="B316" t="s">
        <v>403</v>
      </c>
      <c r="C316" t="s">
        <v>43</v>
      </c>
      <c r="D316">
        <v>6</v>
      </c>
      <c r="E316" t="s">
        <v>63</v>
      </c>
      <c r="F316" t="s">
        <v>1050</v>
      </c>
      <c r="G316" t="s">
        <v>17</v>
      </c>
      <c r="H316" t="s">
        <v>17</v>
      </c>
      <c r="I316" t="s">
        <v>962</v>
      </c>
      <c r="J316" t="s">
        <v>1051</v>
      </c>
      <c r="K316" t="s">
        <v>21</v>
      </c>
      <c r="L316" cm="1">
        <f t="array" ref="L316">SUM(IF(INT($F$2:$F$402)&amp;$C$2:$C$402=INT($F316)&amp;$C316,1,0))</f>
        <v>1</v>
      </c>
      <c r="M316" t="str">
        <f>INDEX(Wyart2000!$G$2:$G$594,MATCH($J316,Wyart2000!$W$2:$W$594,0),1)</f>
        <v>106745.65</v>
      </c>
    </row>
    <row r="317" spans="1:13" x14ac:dyDescent="0.25">
      <c r="A317" t="s">
        <v>1052</v>
      </c>
      <c r="B317" t="s">
        <v>335</v>
      </c>
      <c r="C317" t="s">
        <v>14</v>
      </c>
      <c r="D317">
        <v>10</v>
      </c>
      <c r="E317" t="s">
        <v>63</v>
      </c>
      <c r="F317" t="s">
        <v>1053</v>
      </c>
      <c r="G317" t="s">
        <v>17</v>
      </c>
      <c r="H317" t="s">
        <v>17</v>
      </c>
      <c r="I317" t="s">
        <v>962</v>
      </c>
      <c r="J317" t="s">
        <v>1054</v>
      </c>
      <c r="K317" t="s">
        <v>21</v>
      </c>
      <c r="L317" cm="1">
        <f t="array" ref="L317">SUM(IF(INT($F$2:$F$402)&amp;$C$2:$C$402=INT($F317)&amp;$C317,1,0))</f>
        <v>1</v>
      </c>
      <c r="M317" t="str">
        <f>INDEX(Wyart2000!$G$2:$G$594,MATCH($J317,Wyart2000!$W$2:$W$594,0),1)</f>
        <v>107081.94</v>
      </c>
    </row>
    <row r="318" spans="1:13" x14ac:dyDescent="0.25">
      <c r="A318" t="s">
        <v>1055</v>
      </c>
      <c r="B318" t="s">
        <v>1056</v>
      </c>
      <c r="C318" t="s">
        <v>47</v>
      </c>
      <c r="D318">
        <v>8</v>
      </c>
      <c r="E318" t="s">
        <v>63</v>
      </c>
      <c r="F318" t="s">
        <v>1057</v>
      </c>
      <c r="G318" t="s">
        <v>17</v>
      </c>
      <c r="H318" t="s">
        <v>17</v>
      </c>
      <c r="I318" t="s">
        <v>1058</v>
      </c>
      <c r="J318" t="s">
        <v>1059</v>
      </c>
      <c r="K318" t="s">
        <v>21</v>
      </c>
      <c r="L318" cm="1">
        <f t="array" ref="L318">SUM(IF(INT($F$2:$F$402)&amp;$C$2:$C$402=INT($F318)&amp;$C318,1,0))</f>
        <v>1</v>
      </c>
      <c r="M318" t="str">
        <f>INDEX(Wyart2000!$G$2:$G$594,MATCH($J318,Wyart2000!$W$2:$W$594,0),1)</f>
        <v>107299.07</v>
      </c>
    </row>
    <row r="319" spans="1:13" x14ac:dyDescent="0.25">
      <c r="A319" t="s">
        <v>1060</v>
      </c>
      <c r="B319" t="s">
        <v>17</v>
      </c>
      <c r="C319" t="s">
        <v>14</v>
      </c>
      <c r="D319">
        <v>10</v>
      </c>
      <c r="E319" t="s">
        <v>63</v>
      </c>
      <c r="F319" t="s">
        <v>1061</v>
      </c>
      <c r="G319" t="s">
        <v>17</v>
      </c>
      <c r="H319" t="s">
        <v>17</v>
      </c>
      <c r="I319" t="s">
        <v>1062</v>
      </c>
      <c r="J319" t="s">
        <v>1063</v>
      </c>
      <c r="K319" t="s">
        <v>21</v>
      </c>
      <c r="L319" cm="1">
        <f t="array" ref="L319">SUM(IF(INT($F$2:$F$402)&amp;$C$2:$C$402=INT($F319)&amp;$C319,1,0))</f>
        <v>1</v>
      </c>
      <c r="M319" t="str">
        <f>INDEX(Wyart2000!$G$2:$G$594,MATCH($J319,Wyart2000!$W$2:$W$594,0),1)</f>
        <v>107854.46</v>
      </c>
    </row>
    <row r="320" spans="1:13" x14ac:dyDescent="0.25">
      <c r="A320" t="s">
        <v>1064</v>
      </c>
      <c r="B320" t="s">
        <v>974</v>
      </c>
      <c r="C320" t="s">
        <v>22</v>
      </c>
      <c r="D320">
        <v>12</v>
      </c>
      <c r="E320" t="s">
        <v>63</v>
      </c>
      <c r="F320" t="s">
        <v>1065</v>
      </c>
      <c r="G320" t="s">
        <v>17</v>
      </c>
      <c r="H320" t="s">
        <v>17</v>
      </c>
      <c r="I320" t="s">
        <v>1066</v>
      </c>
      <c r="J320" t="s">
        <v>1067</v>
      </c>
      <c r="K320" t="s">
        <v>21</v>
      </c>
      <c r="L320" cm="1">
        <f t="array" ref="L320">SUM(IF(INT($F$2:$F$402)&amp;$C$2:$C$402=INT($F320)&amp;$C320,1,0))</f>
        <v>1</v>
      </c>
      <c r="M320" t="str">
        <f>INDEX(Wyart2000!$G$2:$G$594,MATCH($J320,Wyart2000!$W$2:$W$594,0),1)</f>
        <v>108559.40</v>
      </c>
    </row>
    <row r="321" spans="1:13" x14ac:dyDescent="0.25">
      <c r="A321" t="s">
        <v>1068</v>
      </c>
      <c r="B321" t="s">
        <v>1069</v>
      </c>
      <c r="C321" t="s">
        <v>22</v>
      </c>
      <c r="D321">
        <v>12</v>
      </c>
      <c r="E321" t="s">
        <v>15</v>
      </c>
      <c r="F321" t="s">
        <v>1070</v>
      </c>
      <c r="G321" t="s">
        <v>17</v>
      </c>
      <c r="H321" t="s">
        <v>17</v>
      </c>
      <c r="I321" t="s">
        <v>1071</v>
      </c>
      <c r="J321" t="s">
        <v>1072</v>
      </c>
      <c r="K321" t="s">
        <v>21</v>
      </c>
      <c r="L321" cm="1">
        <f t="array" ref="L321">SUM(IF(INT($F$2:$F$402)&amp;$C$2:$C$402=INT($F321)&amp;$C321,1,0))</f>
        <v>1</v>
      </c>
      <c r="M321" t="str">
        <f>INDEX(Wyart2000!$G$2:$G$594,MATCH($J321,Wyart2000!$W$2:$W$594,0),1)</f>
        <v>110295.20</v>
      </c>
    </row>
    <row r="322" spans="1:13" x14ac:dyDescent="0.25">
      <c r="A322" t="s">
        <v>1068</v>
      </c>
      <c r="B322" t="s">
        <v>1073</v>
      </c>
      <c r="C322" t="s">
        <v>47</v>
      </c>
      <c r="D322">
        <v>8</v>
      </c>
      <c r="E322" t="s">
        <v>15</v>
      </c>
      <c r="F322" t="s">
        <v>1074</v>
      </c>
      <c r="G322" t="s">
        <v>17</v>
      </c>
      <c r="H322" t="s">
        <v>17</v>
      </c>
      <c r="I322" t="s">
        <v>1075</v>
      </c>
      <c r="J322" t="s">
        <v>1076</v>
      </c>
      <c r="K322" t="s">
        <v>21</v>
      </c>
      <c r="L322" cm="1">
        <f t="array" ref="L322">SUM(IF(INT($F$2:$F$402)&amp;$C$2:$C$402=INT($F322)&amp;$C322,1,0))</f>
        <v>1</v>
      </c>
      <c r="M322" t="str">
        <f>INDEX(Wyart2000!$G$2:$G$594,MATCH($J322,Wyart2000!$W$2:$W$594,0),1)</f>
        <v>110333.55</v>
      </c>
    </row>
    <row r="323" spans="1:13" x14ac:dyDescent="0.25">
      <c r="A323" t="s">
        <v>1068</v>
      </c>
      <c r="B323" t="s">
        <v>1077</v>
      </c>
      <c r="C323" t="s">
        <v>26</v>
      </c>
      <c r="D323">
        <v>14</v>
      </c>
      <c r="E323" t="s">
        <v>15</v>
      </c>
      <c r="F323" t="s">
        <v>1078</v>
      </c>
      <c r="G323" t="s">
        <v>17</v>
      </c>
      <c r="H323" t="s">
        <v>17</v>
      </c>
      <c r="I323" t="s">
        <v>1079</v>
      </c>
      <c r="J323" t="s">
        <v>1080</v>
      </c>
      <c r="K323" t="s">
        <v>21</v>
      </c>
      <c r="L323" cm="1">
        <f t="array" ref="L323">SUM(IF(INT($F$2:$F$402)&amp;$C$2:$C$402=INT($F323)&amp;$C323,1,0))</f>
        <v>1</v>
      </c>
      <c r="M323" t="str">
        <f>INDEX(Wyart2000!$G$2:$G$594,MATCH($J323,Wyart2000!$W$2:$W$594,0),1)</f>
        <v>110530.96</v>
      </c>
    </row>
    <row r="324" spans="1:13" x14ac:dyDescent="0.25">
      <c r="A324" t="s">
        <v>1068</v>
      </c>
      <c r="B324" t="s">
        <v>1081</v>
      </c>
      <c r="C324" t="s">
        <v>22</v>
      </c>
      <c r="D324">
        <v>12</v>
      </c>
      <c r="E324" t="s">
        <v>15</v>
      </c>
      <c r="F324" t="s">
        <v>1082</v>
      </c>
      <c r="G324" t="s">
        <v>17</v>
      </c>
      <c r="H324" t="s">
        <v>17</v>
      </c>
      <c r="I324" t="s">
        <v>1083</v>
      </c>
      <c r="J324" t="s">
        <v>1084</v>
      </c>
      <c r="K324" t="s">
        <v>21</v>
      </c>
      <c r="L324" cm="1">
        <f t="array" ref="L324">SUM(IF(INT($F$2:$F$402)&amp;$C$2:$C$402=INT($F324)&amp;$C324,1,0))</f>
        <v>1</v>
      </c>
      <c r="M324" t="str">
        <f>INDEX(Wyart2000!$G$2:$G$594,MATCH($J324,Wyart2000!$W$2:$W$594,0),1)</f>
        <v>110880.92</v>
      </c>
    </row>
    <row r="325" spans="1:13" x14ac:dyDescent="0.25">
      <c r="A325" t="s">
        <v>1068</v>
      </c>
      <c r="B325" t="s">
        <v>1073</v>
      </c>
      <c r="C325" t="s">
        <v>14</v>
      </c>
      <c r="D325">
        <v>10</v>
      </c>
      <c r="E325" t="s">
        <v>15</v>
      </c>
      <c r="F325" t="s">
        <v>1085</v>
      </c>
      <c r="G325" t="s">
        <v>17</v>
      </c>
      <c r="H325" t="s">
        <v>17</v>
      </c>
      <c r="I325" t="s">
        <v>1086</v>
      </c>
      <c r="J325" t="s">
        <v>1087</v>
      </c>
      <c r="K325" t="s">
        <v>21</v>
      </c>
      <c r="L325" cm="1">
        <f t="array" ref="L325">SUM(IF(INT($F$2:$F$402)&amp;$C$2:$C$402=INT($F325)&amp;$C325,1,0))</f>
        <v>1</v>
      </c>
      <c r="M325" t="str">
        <f>INDEX(Wyart2000!$G$2:$G$594,MATCH($J325,Wyart2000!$W$2:$W$594,0),1)</f>
        <v>110922.18</v>
      </c>
    </row>
    <row r="326" spans="1:13" x14ac:dyDescent="0.25">
      <c r="A326" t="s">
        <v>1068</v>
      </c>
      <c r="B326" t="s">
        <v>1069</v>
      </c>
      <c r="C326" t="s">
        <v>26</v>
      </c>
      <c r="D326">
        <v>14</v>
      </c>
      <c r="E326" t="s">
        <v>15</v>
      </c>
      <c r="F326" t="s">
        <v>1088</v>
      </c>
      <c r="G326" t="s">
        <v>17</v>
      </c>
      <c r="H326" t="s">
        <v>17</v>
      </c>
      <c r="I326" t="s">
        <v>1089</v>
      </c>
      <c r="J326" t="s">
        <v>1090</v>
      </c>
      <c r="K326" t="s">
        <v>21</v>
      </c>
      <c r="L326" cm="1">
        <f t="array" ref="L326">SUM(IF(INT($F$2:$F$402)&amp;$C$2:$C$402=INT($F326)&amp;$C326,1,0))</f>
        <v>1</v>
      </c>
      <c r="M326" t="str">
        <f>INDEX(Wyart2000!$G$2:$G$594,MATCH($J326,Wyart2000!$W$2:$W$594,0),1)</f>
        <v>111109.95</v>
      </c>
    </row>
    <row r="327" spans="1:13" x14ac:dyDescent="0.25">
      <c r="A327" t="s">
        <v>1068</v>
      </c>
      <c r="B327" t="s">
        <v>1091</v>
      </c>
      <c r="C327" t="s">
        <v>35</v>
      </c>
      <c r="D327">
        <v>4</v>
      </c>
      <c r="E327" t="s">
        <v>15</v>
      </c>
      <c r="F327" t="s">
        <v>1092</v>
      </c>
      <c r="G327" t="s">
        <v>17</v>
      </c>
      <c r="H327" t="s">
        <v>17</v>
      </c>
      <c r="I327" t="s">
        <v>1093</v>
      </c>
      <c r="J327" t="s">
        <v>1094</v>
      </c>
      <c r="K327" t="s">
        <v>21</v>
      </c>
      <c r="L327" cm="1">
        <f t="array" ref="L327">SUM(IF(INT($F$2:$F$402)&amp;$C$2:$C$402=INT($F327)&amp;$C327,1,0))</f>
        <v>1</v>
      </c>
      <c r="M327" t="str">
        <f>INDEX(Wyart2000!$G$2:$G$594,MATCH($J327,Wyart2000!$W$2:$W$594,0),1)</f>
        <v>111268.60</v>
      </c>
    </row>
    <row r="328" spans="1:13" x14ac:dyDescent="0.25">
      <c r="A328" t="s">
        <v>1068</v>
      </c>
      <c r="B328" t="s">
        <v>1077</v>
      </c>
      <c r="C328" t="s">
        <v>30</v>
      </c>
      <c r="D328">
        <v>16</v>
      </c>
      <c r="E328" t="s">
        <v>15</v>
      </c>
      <c r="F328" t="s">
        <v>1095</v>
      </c>
      <c r="G328" t="s">
        <v>17</v>
      </c>
      <c r="H328" t="s">
        <v>17</v>
      </c>
      <c r="I328" t="s">
        <v>1096</v>
      </c>
      <c r="J328" t="s">
        <v>1097</v>
      </c>
      <c r="K328" t="s">
        <v>21</v>
      </c>
      <c r="L328" cm="1">
        <f t="array" ref="L328">SUM(IF(INT($F$2:$F$402)&amp;$C$2:$C$402=INT($F328)&amp;$C328,1,0))</f>
        <v>1</v>
      </c>
      <c r="M328" t="str">
        <f>INDEX(Wyart2000!$G$2:$G$594,MATCH($J328,Wyart2000!$W$2:$W$594,0),1)</f>
        <v>111334.87</v>
      </c>
    </row>
    <row r="329" spans="1:13" x14ac:dyDescent="0.25">
      <c r="A329" t="s">
        <v>1068</v>
      </c>
      <c r="B329" t="s">
        <v>1098</v>
      </c>
      <c r="C329" t="s">
        <v>47</v>
      </c>
      <c r="D329">
        <v>8</v>
      </c>
      <c r="E329" t="s">
        <v>15</v>
      </c>
      <c r="F329" t="s">
        <v>1099</v>
      </c>
      <c r="G329" t="s">
        <v>17</v>
      </c>
      <c r="H329" t="s">
        <v>17</v>
      </c>
      <c r="I329" t="s">
        <v>1100</v>
      </c>
      <c r="J329" t="s">
        <v>1101</v>
      </c>
      <c r="K329" t="s">
        <v>21</v>
      </c>
      <c r="L329" cm="1">
        <f t="array" ref="L329">SUM(IF(INT($F$2:$F$402)&amp;$C$2:$C$402=INT($F329)&amp;$C329,1,0))</f>
        <v>1</v>
      </c>
      <c r="M329" t="str">
        <f>INDEX(Wyart2000!$G$2:$G$594,MATCH($J329,Wyart2000!$W$2:$W$594,0),1)</f>
        <v>111342.43</v>
      </c>
    </row>
    <row r="330" spans="1:13" x14ac:dyDescent="0.25">
      <c r="A330" t="s">
        <v>1068</v>
      </c>
      <c r="B330" t="s">
        <v>1091</v>
      </c>
      <c r="C330" t="s">
        <v>43</v>
      </c>
      <c r="D330">
        <v>6</v>
      </c>
      <c r="E330" t="s">
        <v>15</v>
      </c>
      <c r="F330" t="s">
        <v>1102</v>
      </c>
      <c r="G330" t="s">
        <v>17</v>
      </c>
      <c r="H330" t="s">
        <v>17</v>
      </c>
      <c r="I330" t="s">
        <v>1103</v>
      </c>
      <c r="J330" t="s">
        <v>1104</v>
      </c>
      <c r="K330" t="s">
        <v>21</v>
      </c>
      <c r="L330" cm="1">
        <f t="array" ref="L330">SUM(IF(INT($F$2:$F$402)&amp;$C$2:$C$402=INT($F330)&amp;$C330,1,0))</f>
        <v>1</v>
      </c>
      <c r="M330" t="str">
        <f>INDEX(Wyart2000!$G$2:$G$594,MATCH($J330,Wyart2000!$W$2:$W$594,0),1)</f>
        <v>111494.56</v>
      </c>
    </row>
    <row r="331" spans="1:13" x14ac:dyDescent="0.25">
      <c r="A331" t="s">
        <v>1068</v>
      </c>
      <c r="B331" t="s">
        <v>1081</v>
      </c>
      <c r="C331" t="s">
        <v>14</v>
      </c>
      <c r="D331">
        <v>10</v>
      </c>
      <c r="E331" t="s">
        <v>15</v>
      </c>
      <c r="F331" t="s">
        <v>1105</v>
      </c>
      <c r="G331" t="s">
        <v>17</v>
      </c>
      <c r="H331" t="s">
        <v>17</v>
      </c>
      <c r="I331" t="s">
        <v>1106</v>
      </c>
      <c r="J331" t="s">
        <v>1107</v>
      </c>
      <c r="K331" t="s">
        <v>21</v>
      </c>
      <c r="L331" cm="1">
        <f t="array" ref="L331">SUM(IF(INT($F$2:$F$402)&amp;$C$2:$C$402=INT($F331)&amp;$C331,1,0))</f>
        <v>1</v>
      </c>
      <c r="M331" t="str">
        <f>INDEX(Wyart2000!$G$2:$G$594,MATCH($J331,Wyart2000!$W$2:$W$594,0),1)</f>
        <v>111992.97</v>
      </c>
    </row>
    <row r="332" spans="1:13" x14ac:dyDescent="0.25">
      <c r="A332" t="s">
        <v>1108</v>
      </c>
      <c r="B332" t="s">
        <v>1081</v>
      </c>
      <c r="C332" t="s">
        <v>22</v>
      </c>
      <c r="D332">
        <v>12</v>
      </c>
      <c r="E332" t="s">
        <v>15</v>
      </c>
      <c r="F332" t="s">
        <v>1109</v>
      </c>
      <c r="G332" t="s">
        <v>17</v>
      </c>
      <c r="H332" t="s">
        <v>17</v>
      </c>
      <c r="I332" t="s">
        <v>1110</v>
      </c>
      <c r="J332" t="s">
        <v>1111</v>
      </c>
      <c r="K332" t="s">
        <v>21</v>
      </c>
      <c r="L332" cm="1">
        <f t="array" ref="L332">SUM(IF(INT($F$2:$F$402)&amp;$C$2:$C$402=INT($F332)&amp;$C332,1,0))</f>
        <v>1</v>
      </c>
      <c r="M332" t="str">
        <f>INDEX(Wyart2000!$G$2:$G$594,MATCH($J332,Wyart2000!$W$2:$W$594,0),1)</f>
        <v>112643.09</v>
      </c>
    </row>
    <row r="333" spans="1:13" x14ac:dyDescent="0.25">
      <c r="A333" t="s">
        <v>1108</v>
      </c>
      <c r="B333" t="s">
        <v>1077</v>
      </c>
      <c r="C333" t="s">
        <v>26</v>
      </c>
      <c r="D333">
        <v>14</v>
      </c>
      <c r="E333" t="s">
        <v>15</v>
      </c>
      <c r="F333" t="s">
        <v>1112</v>
      </c>
      <c r="G333" t="s">
        <v>17</v>
      </c>
      <c r="H333" t="s">
        <v>17</v>
      </c>
      <c r="I333" t="s">
        <v>1113</v>
      </c>
      <c r="J333" t="s">
        <v>1114</v>
      </c>
      <c r="K333" t="s">
        <v>21</v>
      </c>
      <c r="L333" cm="1">
        <f t="array" ref="L333">SUM(IF(INT($F$2:$F$402)&amp;$C$2:$C$402=INT($F333)&amp;$C333,1,0))</f>
        <v>1</v>
      </c>
      <c r="M333" t="str">
        <f>INDEX(Wyart2000!$G$2:$G$594,MATCH($J333,Wyart2000!$W$2:$W$594,0),1)</f>
        <v>112769.67</v>
      </c>
    </row>
    <row r="334" spans="1:13" x14ac:dyDescent="0.25">
      <c r="A334" t="s">
        <v>1108</v>
      </c>
      <c r="B334" t="s">
        <v>1077</v>
      </c>
      <c r="C334" t="s">
        <v>30</v>
      </c>
      <c r="D334">
        <v>16</v>
      </c>
      <c r="E334" t="s">
        <v>15</v>
      </c>
      <c r="F334" t="s">
        <v>1115</v>
      </c>
      <c r="G334" t="s">
        <v>17</v>
      </c>
      <c r="H334" t="s">
        <v>17</v>
      </c>
      <c r="I334" t="s">
        <v>1116</v>
      </c>
      <c r="J334" t="s">
        <v>1117</v>
      </c>
      <c r="K334" t="s">
        <v>21</v>
      </c>
      <c r="L334" cm="1">
        <f t="array" ref="L334">SUM(IF(INT($F$2:$F$402)&amp;$C$2:$C$402=INT($F334)&amp;$C334,1,0))</f>
        <v>1</v>
      </c>
      <c r="M334" t="str">
        <f>INDEX(Wyart2000!$G$2:$G$594,MATCH($J334,Wyart2000!$W$2:$W$594,0),1)</f>
        <v>112896.3</v>
      </c>
    </row>
    <row r="335" spans="1:13" x14ac:dyDescent="0.25">
      <c r="A335" t="s">
        <v>1108</v>
      </c>
      <c r="B335" t="s">
        <v>1118</v>
      </c>
      <c r="C335" t="s">
        <v>164</v>
      </c>
      <c r="D335">
        <v>18</v>
      </c>
      <c r="E335" t="s">
        <v>15</v>
      </c>
      <c r="F335" t="s">
        <v>1119</v>
      </c>
      <c r="G335" t="s">
        <v>17</v>
      </c>
      <c r="H335" t="s">
        <v>17</v>
      </c>
      <c r="I335" t="s">
        <v>1120</v>
      </c>
      <c r="J335" t="s">
        <v>1121</v>
      </c>
      <c r="K335" t="s">
        <v>21</v>
      </c>
      <c r="L335" cm="1">
        <f t="array" ref="L335">SUM(IF(INT($F$2:$F$402)&amp;$C$2:$C$402=INT($F335)&amp;$C335,1,0))</f>
        <v>1</v>
      </c>
      <c r="M335" t="str">
        <f>INDEX(Wyart2000!$G$2:$G$594,MATCH($J335,Wyart2000!$W$2:$W$594,0),1)</f>
        <v>113023.5</v>
      </c>
    </row>
    <row r="336" spans="1:13" x14ac:dyDescent="0.25">
      <c r="A336" t="s">
        <v>1108</v>
      </c>
      <c r="B336" t="s">
        <v>1081</v>
      </c>
      <c r="C336" t="s">
        <v>14</v>
      </c>
      <c r="D336">
        <v>10</v>
      </c>
      <c r="E336" t="s">
        <v>15</v>
      </c>
      <c r="F336" t="s">
        <v>1122</v>
      </c>
      <c r="G336" t="s">
        <v>17</v>
      </c>
      <c r="H336" t="s">
        <v>17</v>
      </c>
      <c r="I336" t="s">
        <v>1123</v>
      </c>
      <c r="J336" t="s">
        <v>1124</v>
      </c>
      <c r="K336" t="s">
        <v>21</v>
      </c>
      <c r="L336" cm="1">
        <f t="array" ref="L336">SUM(IF(INT($F$2:$F$402)&amp;$C$2:$C$402=INT($F336)&amp;$C336,1,0))</f>
        <v>1</v>
      </c>
      <c r="M336" t="str">
        <f>INDEX(Wyart2000!$G$2:$G$594,MATCH($J336,Wyart2000!$W$2:$W$594,0),1)</f>
        <v>113158.53</v>
      </c>
    </row>
    <row r="337" spans="1:13" x14ac:dyDescent="0.25">
      <c r="A337" t="s">
        <v>1108</v>
      </c>
      <c r="B337" t="s">
        <v>1073</v>
      </c>
      <c r="C337" t="s">
        <v>47</v>
      </c>
      <c r="D337">
        <v>8</v>
      </c>
      <c r="E337" t="s">
        <v>15</v>
      </c>
      <c r="F337" t="s">
        <v>1125</v>
      </c>
      <c r="G337" t="s">
        <v>17</v>
      </c>
      <c r="H337" t="s">
        <v>17</v>
      </c>
      <c r="I337" t="s">
        <v>1126</v>
      </c>
      <c r="J337" t="s">
        <v>1127</v>
      </c>
      <c r="K337" t="s">
        <v>21</v>
      </c>
      <c r="L337" cm="1">
        <f t="array" ref="L337">SUM(IF(INT($F$2:$F$402)&amp;$C$2:$C$402=INT($F337)&amp;$C337,1,0))</f>
        <v>1</v>
      </c>
      <c r="M337" t="str">
        <f>INDEX(Wyart2000!$G$2:$G$594,MATCH($J337,Wyart2000!$W$2:$W$594,0),1)</f>
        <v>113291.67</v>
      </c>
    </row>
    <row r="338" spans="1:13" x14ac:dyDescent="0.25">
      <c r="A338" t="s">
        <v>1108</v>
      </c>
      <c r="B338" t="s">
        <v>1098</v>
      </c>
      <c r="C338" t="s">
        <v>43</v>
      </c>
      <c r="D338">
        <v>6</v>
      </c>
      <c r="E338" t="s">
        <v>15</v>
      </c>
      <c r="F338" t="s">
        <v>1128</v>
      </c>
      <c r="G338" t="s">
        <v>17</v>
      </c>
      <c r="H338" t="s">
        <v>17</v>
      </c>
      <c r="I338" t="s">
        <v>1129</v>
      </c>
      <c r="J338" t="s">
        <v>1130</v>
      </c>
      <c r="K338" t="s">
        <v>21</v>
      </c>
      <c r="L338" cm="1">
        <f t="array" ref="L338">SUM(IF(INT($F$2:$F$402)&amp;$C$2:$C$402=INT($F338)&amp;$C338,1,0))</f>
        <v>1</v>
      </c>
      <c r="M338" t="str">
        <f>INDEX(Wyart2000!$G$2:$G$594,MATCH($J338,Wyart2000!$W$2:$W$594,0),1)</f>
        <v>113556.8</v>
      </c>
    </row>
    <row r="339" spans="1:13" x14ac:dyDescent="0.25">
      <c r="A339" t="s">
        <v>1108</v>
      </c>
      <c r="B339" t="s">
        <v>1069</v>
      </c>
      <c r="C339" t="s">
        <v>26</v>
      </c>
      <c r="D339">
        <v>14</v>
      </c>
      <c r="E339" t="s">
        <v>15</v>
      </c>
      <c r="F339" t="s">
        <v>1131</v>
      </c>
      <c r="G339" t="s">
        <v>17</v>
      </c>
      <c r="H339" t="s">
        <v>17</v>
      </c>
      <c r="I339" t="s">
        <v>1132</v>
      </c>
      <c r="J339" t="s">
        <v>1133</v>
      </c>
      <c r="K339" t="s">
        <v>21</v>
      </c>
      <c r="L339" cm="1">
        <f t="array" ref="L339">SUM(IF(INT($F$2:$F$402)&amp;$C$2:$C$402=INT($F339)&amp;$C339,1,0))</f>
        <v>1</v>
      </c>
      <c r="M339" t="str">
        <f>INDEX(Wyart2000!$G$2:$G$594,MATCH($J339,Wyart2000!$W$2:$W$594,0),1)</f>
        <v>113600.13</v>
      </c>
    </row>
    <row r="340" spans="1:13" x14ac:dyDescent="0.25">
      <c r="A340" t="s">
        <v>1108</v>
      </c>
      <c r="B340" t="s">
        <v>1098</v>
      </c>
      <c r="C340" t="s">
        <v>47</v>
      </c>
      <c r="D340">
        <v>8</v>
      </c>
      <c r="E340" t="s">
        <v>15</v>
      </c>
      <c r="F340" t="s">
        <v>1134</v>
      </c>
      <c r="G340" t="s">
        <v>17</v>
      </c>
      <c r="H340" t="s">
        <v>17</v>
      </c>
      <c r="I340" t="s">
        <v>1135</v>
      </c>
      <c r="J340" t="s">
        <v>1136</v>
      </c>
      <c r="K340" t="s">
        <v>21</v>
      </c>
      <c r="L340" cm="1">
        <f t="array" ref="L340">SUM(IF(INT($F$2:$F$402)&amp;$C$2:$C$402=INT($F340)&amp;$C340,1,0))</f>
        <v>1</v>
      </c>
      <c r="M340" t="str">
        <f>INDEX(Wyart2000!$G$2:$G$594,MATCH($J340,Wyart2000!$W$2:$W$594,0),1)</f>
        <v>113630.90</v>
      </c>
    </row>
    <row r="341" spans="1:13" x14ac:dyDescent="0.25">
      <c r="A341" t="s">
        <v>1108</v>
      </c>
      <c r="B341" t="s">
        <v>1069</v>
      </c>
      <c r="C341" t="s">
        <v>22</v>
      </c>
      <c r="D341">
        <v>12</v>
      </c>
      <c r="E341" t="s">
        <v>15</v>
      </c>
      <c r="F341" t="s">
        <v>1137</v>
      </c>
      <c r="G341" t="s">
        <v>17</v>
      </c>
      <c r="H341" t="s">
        <v>17</v>
      </c>
      <c r="I341" t="s">
        <v>1138</v>
      </c>
      <c r="J341" t="s">
        <v>1139</v>
      </c>
      <c r="K341" t="s">
        <v>21</v>
      </c>
      <c r="L341" cm="1">
        <f t="array" ref="L341">SUM(IF(INT($F$2:$F$402)&amp;$C$2:$C$402=INT($F341)&amp;$C341,1,0))</f>
        <v>1</v>
      </c>
      <c r="M341" t="str">
        <f>INDEX(Wyart2000!$G$2:$G$594,MATCH($J341,Wyart2000!$W$2:$W$594,0),1)</f>
        <v>113664.57</v>
      </c>
    </row>
    <row r="342" spans="1:13" x14ac:dyDescent="0.25">
      <c r="A342" t="s">
        <v>1108</v>
      </c>
      <c r="B342" t="s">
        <v>1073</v>
      </c>
      <c r="C342" t="s">
        <v>14</v>
      </c>
      <c r="D342">
        <v>10</v>
      </c>
      <c r="E342" t="s">
        <v>15</v>
      </c>
      <c r="F342" t="s">
        <v>1140</v>
      </c>
      <c r="G342" t="s">
        <v>17</v>
      </c>
      <c r="H342" t="s">
        <v>17</v>
      </c>
      <c r="I342" t="s">
        <v>1141</v>
      </c>
      <c r="J342" t="s">
        <v>1142</v>
      </c>
      <c r="K342" t="s">
        <v>21</v>
      </c>
      <c r="L342" cm="1">
        <f t="array" ref="L342">SUM(IF(INT($F$2:$F$402)&amp;$C$2:$C$402=INT($F342)&amp;$C342,1,0))</f>
        <v>1</v>
      </c>
      <c r="M342" t="str">
        <f>INDEX(Wyart2000!$G$2:$G$594,MATCH($J342,Wyart2000!$W$2:$W$594,0),1)</f>
        <v>113780.27</v>
      </c>
    </row>
    <row r="343" spans="1:13" x14ac:dyDescent="0.25">
      <c r="A343" t="s">
        <v>1108</v>
      </c>
      <c r="B343" t="s">
        <v>1091</v>
      </c>
      <c r="C343" t="s">
        <v>35</v>
      </c>
      <c r="D343">
        <v>4</v>
      </c>
      <c r="E343" t="s">
        <v>15</v>
      </c>
      <c r="F343" t="s">
        <v>1143</v>
      </c>
      <c r="G343" t="s">
        <v>17</v>
      </c>
      <c r="H343" t="s">
        <v>17</v>
      </c>
      <c r="I343" t="s">
        <v>1144</v>
      </c>
      <c r="J343" t="s">
        <v>1145</v>
      </c>
      <c r="K343" t="s">
        <v>21</v>
      </c>
      <c r="L343" cm="1">
        <f t="array" ref="L343">SUM(IF(INT($F$2:$F$402)&amp;$C$2:$C$402=INT($F343)&amp;$C343,1,0))</f>
        <v>1</v>
      </c>
      <c r="M343" t="str">
        <f>INDEX(Wyart2000!$G$2:$G$594,MATCH($J343,Wyart2000!$W$2:$W$594,0),1)</f>
        <v>113825.5</v>
      </c>
    </row>
    <row r="344" spans="1:13" x14ac:dyDescent="0.25">
      <c r="A344" t="s">
        <v>1108</v>
      </c>
      <c r="B344" t="s">
        <v>1118</v>
      </c>
      <c r="C344" t="s">
        <v>30</v>
      </c>
      <c r="D344">
        <v>16</v>
      </c>
      <c r="E344" t="s">
        <v>15</v>
      </c>
      <c r="F344" t="s">
        <v>1146</v>
      </c>
      <c r="G344" t="s">
        <v>17</v>
      </c>
      <c r="H344" t="s">
        <v>17</v>
      </c>
      <c r="I344" t="s">
        <v>1147</v>
      </c>
      <c r="J344" t="s">
        <v>1148</v>
      </c>
      <c r="K344" t="s">
        <v>21</v>
      </c>
      <c r="L344" cm="1">
        <f t="array" ref="L344">SUM(IF(INT($F$2:$F$402)&amp;$C$2:$C$402=INT($F344)&amp;$C344,1,0))</f>
        <v>1</v>
      </c>
      <c r="M344" t="str">
        <f>INDEX(Wyart2000!$G$2:$G$594,MATCH($J344,Wyart2000!$W$2:$W$594,0),1)</f>
        <v>113833.9</v>
      </c>
    </row>
    <row r="345" spans="1:13" x14ac:dyDescent="0.25">
      <c r="A345" t="s">
        <v>1108</v>
      </c>
      <c r="B345" t="s">
        <v>1091</v>
      </c>
      <c r="C345" t="s">
        <v>43</v>
      </c>
      <c r="D345">
        <v>6</v>
      </c>
      <c r="E345" t="s">
        <v>15</v>
      </c>
      <c r="F345" t="s">
        <v>1149</v>
      </c>
      <c r="G345" t="s">
        <v>17</v>
      </c>
      <c r="H345" t="s">
        <v>17</v>
      </c>
      <c r="I345" t="s">
        <v>1150</v>
      </c>
      <c r="J345" t="s">
        <v>1151</v>
      </c>
      <c r="K345" t="s">
        <v>21</v>
      </c>
      <c r="L345" cm="1">
        <f t="array" ref="L345">SUM(IF(INT($F$2:$F$402)&amp;$C$2:$C$402=INT($F345)&amp;$C345,1,0))</f>
        <v>1</v>
      </c>
      <c r="M345" t="str">
        <f>INDEX(Wyart2000!$G$2:$G$594,MATCH($J345,Wyart2000!$W$2:$W$594,0),1)</f>
        <v>113914.16</v>
      </c>
    </row>
    <row r="346" spans="1:13" x14ac:dyDescent="0.25">
      <c r="A346" t="s">
        <v>1152</v>
      </c>
      <c r="B346" t="s">
        <v>1118</v>
      </c>
      <c r="C346" t="s">
        <v>164</v>
      </c>
      <c r="D346">
        <v>18</v>
      </c>
      <c r="E346" t="s">
        <v>15</v>
      </c>
      <c r="F346" t="s">
        <v>1153</v>
      </c>
      <c r="G346" t="s">
        <v>17</v>
      </c>
      <c r="H346" t="s">
        <v>17</v>
      </c>
      <c r="I346" t="s">
        <v>1154</v>
      </c>
      <c r="J346" t="s">
        <v>1155</v>
      </c>
      <c r="K346" t="s">
        <v>21</v>
      </c>
      <c r="L346" cm="1">
        <f t="array" ref="L346">SUM(IF(INT($F$2:$F$402)&amp;$C$2:$C$402=INT($F346)&amp;$C346,1,0))</f>
        <v>1</v>
      </c>
      <c r="M346" t="str">
        <f>INDEX(Wyart2000!$G$2:$G$594,MATCH($J346,Wyart2000!$W$2:$W$594,0),1)</f>
        <v>114725.6</v>
      </c>
    </row>
    <row r="347" spans="1:13" x14ac:dyDescent="0.25">
      <c r="A347" t="s">
        <v>1152</v>
      </c>
      <c r="B347" t="s">
        <v>1069</v>
      </c>
      <c r="C347" t="s">
        <v>26</v>
      </c>
      <c r="D347">
        <v>14</v>
      </c>
      <c r="E347" t="s">
        <v>15</v>
      </c>
      <c r="F347" t="s">
        <v>1156</v>
      </c>
      <c r="G347" t="s">
        <v>17</v>
      </c>
      <c r="H347" t="s">
        <v>17</v>
      </c>
      <c r="I347" t="s">
        <v>1157</v>
      </c>
      <c r="J347" t="s">
        <v>1158</v>
      </c>
      <c r="K347" t="s">
        <v>21</v>
      </c>
      <c r="L347" cm="1">
        <f t="array" ref="L347">SUM(IF(INT($F$2:$F$402)&amp;$C$2:$C$402=INT($F347)&amp;$C347,1,0))</f>
        <v>1</v>
      </c>
      <c r="M347" t="str">
        <f>INDEX(Wyart2000!$G$2:$G$594,MATCH($J347,Wyart2000!$W$2:$W$594,0),1)</f>
        <v>114797.12</v>
      </c>
    </row>
    <row r="348" spans="1:13" x14ac:dyDescent="0.25">
      <c r="A348" t="s">
        <v>1152</v>
      </c>
      <c r="B348" t="s">
        <v>1159</v>
      </c>
      <c r="C348" t="s">
        <v>1160</v>
      </c>
      <c r="D348">
        <v>20</v>
      </c>
      <c r="E348" t="s">
        <v>15</v>
      </c>
      <c r="F348" t="s">
        <v>1161</v>
      </c>
      <c r="G348" t="s">
        <v>17</v>
      </c>
      <c r="H348" t="s">
        <v>17</v>
      </c>
      <c r="I348" t="s">
        <v>1162</v>
      </c>
      <c r="J348" t="s">
        <v>1163</v>
      </c>
      <c r="K348" t="s">
        <v>21</v>
      </c>
      <c r="L348" cm="1">
        <f t="array" ref="L348">SUM(IF(INT($F$2:$F$402)&amp;$C$2:$C$402=INT($F348)&amp;$C348,1,0))</f>
        <v>1</v>
      </c>
      <c r="M348" t="str">
        <f>INDEX(Wyart2000!$G$2:$G$594,MATCH($J348,Wyart2000!$W$2:$W$594,0),1)</f>
        <v>114970.95</v>
      </c>
    </row>
    <row r="349" spans="1:13" x14ac:dyDescent="0.25">
      <c r="A349" t="s">
        <v>1152</v>
      </c>
      <c r="B349" t="s">
        <v>1073</v>
      </c>
      <c r="C349" t="s">
        <v>14</v>
      </c>
      <c r="D349">
        <v>10</v>
      </c>
      <c r="E349" t="s">
        <v>15</v>
      </c>
      <c r="F349" t="s">
        <v>1164</v>
      </c>
      <c r="G349" t="s">
        <v>17</v>
      </c>
      <c r="H349" t="s">
        <v>17</v>
      </c>
      <c r="I349" t="s">
        <v>1165</v>
      </c>
      <c r="J349" t="s">
        <v>1166</v>
      </c>
      <c r="K349" t="s">
        <v>21</v>
      </c>
      <c r="L349" cm="1">
        <f t="array" ref="L349">SUM(IF(INT($F$2:$F$402)&amp;$C$2:$C$402=INT($F349)&amp;$C349,1,0))</f>
        <v>1</v>
      </c>
      <c r="M349" t="str">
        <f>INDEX(Wyart2000!$G$2:$G$594,MATCH($J349,Wyart2000!$W$2:$W$594,0),1)</f>
        <v>115324.47</v>
      </c>
    </row>
    <row r="350" spans="1:13" x14ac:dyDescent="0.25">
      <c r="A350" t="s">
        <v>1152</v>
      </c>
      <c r="B350" t="s">
        <v>1069</v>
      </c>
      <c r="C350" t="s">
        <v>22</v>
      </c>
      <c r="D350">
        <v>12</v>
      </c>
      <c r="E350" t="s">
        <v>15</v>
      </c>
      <c r="F350" t="s">
        <v>1167</v>
      </c>
      <c r="G350" t="s">
        <v>17</v>
      </c>
      <c r="H350" t="s">
        <v>17</v>
      </c>
      <c r="I350" t="s">
        <v>1168</v>
      </c>
      <c r="J350" t="s">
        <v>1169</v>
      </c>
      <c r="K350" t="s">
        <v>21</v>
      </c>
      <c r="L350" cm="1">
        <f t="array" ref="L350">SUM(IF(INT($F$2:$F$402)&amp;$C$2:$C$402=INT($F350)&amp;$C350,1,0))</f>
        <v>1</v>
      </c>
      <c r="M350" t="str">
        <f>INDEX(Wyart2000!$G$2:$G$594,MATCH($J350,Wyart2000!$W$2:$W$594,0),1)</f>
        <v>115403.34</v>
      </c>
    </row>
    <row r="351" spans="1:13" x14ac:dyDescent="0.25">
      <c r="A351" t="s">
        <v>1152</v>
      </c>
      <c r="B351" t="s">
        <v>1077</v>
      </c>
      <c r="C351" t="s">
        <v>26</v>
      </c>
      <c r="D351">
        <v>14</v>
      </c>
      <c r="E351" t="s">
        <v>15</v>
      </c>
      <c r="F351" t="s">
        <v>1170</v>
      </c>
      <c r="G351" t="s">
        <v>17</v>
      </c>
      <c r="H351" t="s">
        <v>17</v>
      </c>
      <c r="I351" t="s">
        <v>1171</v>
      </c>
      <c r="J351" t="s">
        <v>1172</v>
      </c>
      <c r="K351" t="s">
        <v>21</v>
      </c>
      <c r="L351" cm="1">
        <f t="array" ref="L351">SUM(IF(INT($F$2:$F$402)&amp;$C$2:$C$402=INT($F351)&amp;$C351,1,0))</f>
        <v>1</v>
      </c>
      <c r="M351" t="str">
        <f>INDEX(Wyart2000!$G$2:$G$594,MATCH($J351,Wyart2000!$W$2:$W$594,0),1)</f>
        <v>115408.39</v>
      </c>
    </row>
    <row r="352" spans="1:13" x14ac:dyDescent="0.25">
      <c r="A352" t="s">
        <v>1152</v>
      </c>
      <c r="B352" t="s">
        <v>71</v>
      </c>
      <c r="C352" t="s">
        <v>47</v>
      </c>
      <c r="D352">
        <v>8</v>
      </c>
      <c r="E352" t="s">
        <v>15</v>
      </c>
      <c r="F352" t="s">
        <v>1173</v>
      </c>
      <c r="G352" t="s">
        <v>17</v>
      </c>
      <c r="H352" t="s">
        <v>17</v>
      </c>
      <c r="I352" t="s">
        <v>1174</v>
      </c>
      <c r="J352" t="s">
        <v>1175</v>
      </c>
      <c r="K352" t="s">
        <v>21</v>
      </c>
      <c r="L352" cm="1">
        <f t="array" ref="L352">SUM(IF(INT($F$2:$F$402)&amp;$C$2:$C$402=INT($F352)&amp;$C352,1,0))</f>
        <v>1</v>
      </c>
      <c r="M352" t="str">
        <f>INDEX(Wyart2000!$G$2:$G$594,MATCH($J352,Wyart2000!$W$2:$W$594,0),1)</f>
        <v>115420.8</v>
      </c>
    </row>
    <row r="353" spans="1:13" x14ac:dyDescent="0.25">
      <c r="A353" t="s">
        <v>1152</v>
      </c>
      <c r="B353" t="s">
        <v>1081</v>
      </c>
      <c r="C353" t="s">
        <v>14</v>
      </c>
      <c r="D353">
        <v>10</v>
      </c>
      <c r="E353" t="s">
        <v>15</v>
      </c>
      <c r="F353" t="s">
        <v>1176</v>
      </c>
      <c r="G353" t="s">
        <v>17</v>
      </c>
      <c r="H353" t="s">
        <v>17</v>
      </c>
      <c r="I353" t="s">
        <v>1177</v>
      </c>
      <c r="J353" t="s">
        <v>1178</v>
      </c>
      <c r="K353" t="s">
        <v>21</v>
      </c>
      <c r="L353" cm="1">
        <f t="array" ref="L353">SUM(IF(INT($F$2:$F$402)&amp;$C$2:$C$402=INT($F353)&amp;$C353,1,0))</f>
        <v>1</v>
      </c>
      <c r="M353" t="str">
        <f>INDEX(Wyart2000!$G$2:$G$594,MATCH($J353,Wyart2000!$W$2:$W$594,0),1)</f>
        <v>115499.67</v>
      </c>
    </row>
    <row r="354" spans="1:13" x14ac:dyDescent="0.25">
      <c r="A354" t="s">
        <v>1179</v>
      </c>
      <c r="B354" t="s">
        <v>1073</v>
      </c>
      <c r="C354" t="s">
        <v>47</v>
      </c>
      <c r="D354">
        <v>8</v>
      </c>
      <c r="E354" t="s">
        <v>15</v>
      </c>
      <c r="F354" t="s">
        <v>1180</v>
      </c>
      <c r="G354" t="s">
        <v>17</v>
      </c>
      <c r="H354" t="s">
        <v>17</v>
      </c>
      <c r="I354" t="s">
        <v>1181</v>
      </c>
      <c r="J354" t="s">
        <v>1182</v>
      </c>
      <c r="K354" t="s">
        <v>21</v>
      </c>
      <c r="L354" cm="1">
        <f t="array" ref="L354">SUM(IF(INT($F$2:$F$402)&amp;$C$2:$C$402=INT($F354)&amp;$C354,1,0))</f>
        <v>1</v>
      </c>
      <c r="M354" t="str">
        <f>INDEX(Wyart2000!$G$2:$G$594,MATCH($J354,Wyart2000!$W$2:$W$594,0),1)</f>
        <v>115670.0</v>
      </c>
    </row>
    <row r="355" spans="1:13" x14ac:dyDescent="0.25">
      <c r="A355" t="s">
        <v>1152</v>
      </c>
      <c r="B355" t="s">
        <v>1118</v>
      </c>
      <c r="C355" t="s">
        <v>30</v>
      </c>
      <c r="D355">
        <v>16</v>
      </c>
      <c r="E355" t="s">
        <v>15</v>
      </c>
      <c r="F355" t="s">
        <v>1183</v>
      </c>
      <c r="G355" t="s">
        <v>17</v>
      </c>
      <c r="H355" t="s">
        <v>17</v>
      </c>
      <c r="I355" t="s">
        <v>1184</v>
      </c>
      <c r="J355" t="s">
        <v>1185</v>
      </c>
      <c r="K355" t="s">
        <v>21</v>
      </c>
      <c r="L355" cm="1">
        <f t="array" ref="L355">SUM(IF(INT($F$2:$F$402)&amp;$C$2:$C$402=INT($F355)&amp;$C355,1,0))</f>
        <v>1</v>
      </c>
      <c r="M355" t="str">
        <f>INDEX(Wyart2000!$G$2:$G$594,MATCH($J355,Wyart2000!$W$2:$W$594,0),1)</f>
        <v>115672.26</v>
      </c>
    </row>
    <row r="356" spans="1:13" x14ac:dyDescent="0.25">
      <c r="A356" t="s">
        <v>1152</v>
      </c>
      <c r="B356" t="s">
        <v>1098</v>
      </c>
      <c r="C356" t="s">
        <v>43</v>
      </c>
      <c r="D356">
        <v>6</v>
      </c>
      <c r="E356" t="s">
        <v>15</v>
      </c>
      <c r="F356" t="s">
        <v>1186</v>
      </c>
      <c r="G356" t="s">
        <v>17</v>
      </c>
      <c r="H356" t="s">
        <v>17</v>
      </c>
      <c r="I356" t="s">
        <v>1187</v>
      </c>
      <c r="J356" t="s">
        <v>1188</v>
      </c>
      <c r="K356" t="s">
        <v>21</v>
      </c>
      <c r="L356" cm="1">
        <f t="array" ref="L356">SUM(IF(INT($F$2:$F$402)&amp;$C$2:$C$402=INT($F356)&amp;$C356,1,0))</f>
        <v>1</v>
      </c>
      <c r="M356" t="str">
        <f>INDEX(Wyart2000!$G$2:$G$594,MATCH($J356,Wyart2000!$W$2:$W$594,0),1)</f>
        <v>115800.17</v>
      </c>
    </row>
    <row r="357" spans="1:13" x14ac:dyDescent="0.25">
      <c r="A357" t="s">
        <v>1152</v>
      </c>
      <c r="B357" t="s">
        <v>1081</v>
      </c>
      <c r="C357" t="s">
        <v>22</v>
      </c>
      <c r="D357">
        <v>12</v>
      </c>
      <c r="E357" t="s">
        <v>15</v>
      </c>
      <c r="F357" t="s">
        <v>1189</v>
      </c>
      <c r="G357" t="s">
        <v>17</v>
      </c>
      <c r="H357" t="s">
        <v>17</v>
      </c>
      <c r="I357" t="s">
        <v>1190</v>
      </c>
      <c r="J357" t="s">
        <v>1191</v>
      </c>
      <c r="K357" t="s">
        <v>21</v>
      </c>
      <c r="L357" cm="1">
        <f t="array" ref="L357">SUM(IF(INT($F$2:$F$402)&amp;$C$2:$C$402=INT($F357)&amp;$C357,1,0))</f>
        <v>1</v>
      </c>
      <c r="M357" t="str">
        <f>INDEX(Wyart2000!$G$2:$G$594,MATCH($J357,Wyart2000!$W$2:$W$594,0),1)</f>
        <v>115933.14</v>
      </c>
    </row>
    <row r="358" spans="1:13" x14ac:dyDescent="0.25">
      <c r="A358" t="s">
        <v>1152</v>
      </c>
      <c r="B358" t="s">
        <v>71</v>
      </c>
      <c r="C358" t="s">
        <v>47</v>
      </c>
      <c r="D358">
        <v>8</v>
      </c>
      <c r="E358" t="s">
        <v>15</v>
      </c>
      <c r="F358" t="s">
        <v>1192</v>
      </c>
      <c r="G358" t="s">
        <v>17</v>
      </c>
      <c r="H358" t="s">
        <v>17</v>
      </c>
      <c r="I358" t="s">
        <v>1193</v>
      </c>
      <c r="J358" t="s">
        <v>1194</v>
      </c>
      <c r="K358" t="s">
        <v>21</v>
      </c>
      <c r="L358" cm="1">
        <f t="array" ref="L358">SUM(IF(INT($F$2:$F$402)&amp;$C$2:$C$402=INT($F358)&amp;$C358,1,0))</f>
        <v>1</v>
      </c>
      <c r="M358" t="str">
        <f>INDEX(Wyart2000!$G$2:$G$594,MATCH($J358,Wyart2000!$W$2:$W$594,0),1)</f>
        <v>116021.78</v>
      </c>
    </row>
    <row r="359" spans="1:13" x14ac:dyDescent="0.25">
      <c r="A359" t="s">
        <v>1152</v>
      </c>
      <c r="B359" t="s">
        <v>1077</v>
      </c>
      <c r="C359" t="s">
        <v>30</v>
      </c>
      <c r="D359">
        <v>16</v>
      </c>
      <c r="E359" t="s">
        <v>15</v>
      </c>
      <c r="F359" t="s">
        <v>1195</v>
      </c>
      <c r="G359" t="s">
        <v>17</v>
      </c>
      <c r="H359" t="s">
        <v>17</v>
      </c>
      <c r="I359" t="s">
        <v>1196</v>
      </c>
      <c r="J359" t="s">
        <v>1197</v>
      </c>
      <c r="K359" t="s">
        <v>21</v>
      </c>
      <c r="L359" cm="1">
        <f t="array" ref="L359">SUM(IF(INT($F$2:$F$402)&amp;$C$2:$C$402=INT($F359)&amp;$C359,1,0))</f>
        <v>1</v>
      </c>
      <c r="M359" t="str">
        <f>INDEX(Wyart2000!$G$2:$G$594,MATCH($J359,Wyart2000!$W$2:$W$594,0),1)</f>
        <v>116238.71</v>
      </c>
    </row>
    <row r="360" spans="1:13" x14ac:dyDescent="0.25">
      <c r="A360" t="s">
        <v>1179</v>
      </c>
      <c r="B360" t="s">
        <v>1081</v>
      </c>
      <c r="C360" t="s">
        <v>22</v>
      </c>
      <c r="D360">
        <v>12</v>
      </c>
      <c r="E360" t="s">
        <v>15</v>
      </c>
      <c r="F360" t="s">
        <v>1198</v>
      </c>
      <c r="G360" t="s">
        <v>17</v>
      </c>
      <c r="H360" t="s">
        <v>17</v>
      </c>
      <c r="I360" t="s">
        <v>1199</v>
      </c>
      <c r="J360" t="s">
        <v>1200</v>
      </c>
      <c r="K360" t="s">
        <v>21</v>
      </c>
      <c r="L360" cm="1">
        <f t="array" ref="L360">SUM(IF(INT($F$2:$F$402)&amp;$C$2:$C$402=INT($F360)&amp;$C360,1,0))</f>
        <v>1</v>
      </c>
      <c r="M360" t="str">
        <f>INDEX(Wyart2000!$G$2:$G$594,MATCH($J360,Wyart2000!$W$2:$W$594,0),1)</f>
        <v>116309.14</v>
      </c>
    </row>
    <row r="361" spans="1:13" x14ac:dyDescent="0.25">
      <c r="A361" t="s">
        <v>1179</v>
      </c>
      <c r="B361" t="s">
        <v>1073</v>
      </c>
      <c r="C361" t="s">
        <v>14</v>
      </c>
      <c r="D361">
        <v>10</v>
      </c>
      <c r="E361" t="s">
        <v>15</v>
      </c>
      <c r="F361" t="s">
        <v>1201</v>
      </c>
      <c r="G361" t="s">
        <v>17</v>
      </c>
      <c r="H361" t="s">
        <v>17</v>
      </c>
      <c r="I361" t="s">
        <v>1202</v>
      </c>
      <c r="J361" t="s">
        <v>1203</v>
      </c>
      <c r="K361" t="s">
        <v>21</v>
      </c>
      <c r="L361" cm="1">
        <f t="array" ref="L361">SUM(IF(INT($F$2:$F$402)&amp;$C$2:$C$402=INT($F361)&amp;$C361,1,0))</f>
        <v>1</v>
      </c>
      <c r="M361" t="str">
        <f>INDEX(Wyart2000!$G$2:$G$594,MATCH($J361,Wyart2000!$W$2:$W$594,0),1)</f>
        <v>116453.2</v>
      </c>
    </row>
    <row r="362" spans="1:13" x14ac:dyDescent="0.25">
      <c r="A362" t="s">
        <v>1152</v>
      </c>
      <c r="B362" t="s">
        <v>1159</v>
      </c>
      <c r="C362" t="s">
        <v>164</v>
      </c>
      <c r="D362">
        <v>18</v>
      </c>
      <c r="E362" t="s">
        <v>15</v>
      </c>
      <c r="F362" t="s">
        <v>1204</v>
      </c>
      <c r="G362" t="s">
        <v>17</v>
      </c>
      <c r="H362" t="s">
        <v>17</v>
      </c>
      <c r="I362" t="s">
        <v>1205</v>
      </c>
      <c r="J362" t="s">
        <v>1206</v>
      </c>
      <c r="K362" t="s">
        <v>21</v>
      </c>
      <c r="L362" cm="1">
        <f t="array" ref="L362">SUM(IF(INT($F$2:$F$402)&amp;$C$2:$C$402=INT($F362)&amp;$C362,1,0))</f>
        <v>1</v>
      </c>
      <c r="M362" t="str">
        <f>INDEX(Wyart2000!$G$2:$G$594,MATCH($J362,Wyart2000!$W$2:$W$594,0),1)</f>
        <v>116489.75</v>
      </c>
    </row>
    <row r="363" spans="1:13" x14ac:dyDescent="0.25">
      <c r="A363" t="s">
        <v>1179</v>
      </c>
      <c r="B363" t="s">
        <v>1098</v>
      </c>
      <c r="C363" t="s">
        <v>43</v>
      </c>
      <c r="D363">
        <v>6</v>
      </c>
      <c r="E363" t="s">
        <v>15</v>
      </c>
      <c r="F363" t="s">
        <v>1207</v>
      </c>
      <c r="G363" t="s">
        <v>17</v>
      </c>
      <c r="H363" t="s">
        <v>17</v>
      </c>
      <c r="I363" t="s">
        <v>1208</v>
      </c>
      <c r="J363" t="s">
        <v>1209</v>
      </c>
      <c r="K363" t="s">
        <v>21</v>
      </c>
      <c r="L363" cm="1">
        <f t="array" ref="L363">SUM(IF(INT($F$2:$F$402)&amp;$C$2:$C$402=INT($F363)&amp;$C363,1,0))</f>
        <v>1</v>
      </c>
      <c r="M363" t="str">
        <f>INDEX(Wyart2000!$G$2:$G$594,MATCH($J363,Wyart2000!$W$2:$W$594,0),1)</f>
        <v>116727.1</v>
      </c>
    </row>
    <row r="364" spans="1:13" x14ac:dyDescent="0.25">
      <c r="A364" t="s">
        <v>1179</v>
      </c>
      <c r="B364" t="s">
        <v>1098</v>
      </c>
      <c r="C364" t="s">
        <v>47</v>
      </c>
      <c r="D364">
        <v>8</v>
      </c>
      <c r="E364" t="s">
        <v>15</v>
      </c>
      <c r="F364" t="s">
        <v>1210</v>
      </c>
      <c r="G364" t="s">
        <v>17</v>
      </c>
      <c r="H364" t="s">
        <v>17</v>
      </c>
      <c r="I364" t="s">
        <v>1211</v>
      </c>
      <c r="J364" t="s">
        <v>1212</v>
      </c>
      <c r="K364" t="s">
        <v>21</v>
      </c>
      <c r="L364" cm="1">
        <f t="array" ref="L364">SUM(IF(INT($F$2:$F$402)&amp;$C$2:$C$402=INT($F364)&amp;$C364,1,0))</f>
        <v>1</v>
      </c>
      <c r="M364" t="str">
        <f>INDEX(Wyart2000!$G$2:$G$594,MATCH($J364,Wyart2000!$W$2:$W$594,0),1)</f>
        <v>117044.6</v>
      </c>
    </row>
    <row r="365" spans="1:13" x14ac:dyDescent="0.25">
      <c r="A365" t="s">
        <v>1213</v>
      </c>
      <c r="B365" t="s">
        <v>1069</v>
      </c>
      <c r="C365" t="s">
        <v>26</v>
      </c>
      <c r="D365">
        <v>14</v>
      </c>
      <c r="E365" t="s">
        <v>15</v>
      </c>
      <c r="F365" t="s">
        <v>1214</v>
      </c>
      <c r="G365" t="s">
        <v>17</v>
      </c>
      <c r="H365" t="s">
        <v>17</v>
      </c>
      <c r="I365" t="s">
        <v>1215</v>
      </c>
      <c r="J365" t="s">
        <v>1216</v>
      </c>
      <c r="K365" t="s">
        <v>21</v>
      </c>
      <c r="L365" cm="1">
        <f t="array" ref="L365">SUM(IF(INT($F$2:$F$402)&amp;$C$2:$C$402=INT($F365)&amp;$C365,1,0))</f>
        <v>1</v>
      </c>
      <c r="M365" t="str">
        <f>INDEX(Wyart2000!$G$2:$G$594,MATCH($J365,Wyart2000!$W$2:$W$594,0),1)</f>
        <v>117248.2</v>
      </c>
    </row>
    <row r="366" spans="1:13" x14ac:dyDescent="0.25">
      <c r="A366" t="s">
        <v>1213</v>
      </c>
      <c r="B366" t="s">
        <v>1069</v>
      </c>
      <c r="C366" t="s">
        <v>22</v>
      </c>
      <c r="D366">
        <v>12</v>
      </c>
      <c r="E366" t="s">
        <v>15</v>
      </c>
      <c r="F366" t="s">
        <v>1217</v>
      </c>
      <c r="G366" t="s">
        <v>17</v>
      </c>
      <c r="H366" t="s">
        <v>17</v>
      </c>
      <c r="I366" t="s">
        <v>1218</v>
      </c>
      <c r="J366" t="s">
        <v>1219</v>
      </c>
      <c r="K366" t="s">
        <v>21</v>
      </c>
      <c r="L366" cm="1">
        <f t="array" ref="L366">SUM(IF(INT($F$2:$F$402)&amp;$C$2:$C$402=INT($F366)&amp;$C366,1,0))</f>
        <v>1</v>
      </c>
      <c r="M366" t="str">
        <f>INDEX(Wyart2000!$G$2:$G$594,MATCH($J366,Wyart2000!$W$2:$W$594,0),1)</f>
        <v>117323.1</v>
      </c>
    </row>
    <row r="367" spans="1:13" x14ac:dyDescent="0.25">
      <c r="A367" t="s">
        <v>1213</v>
      </c>
      <c r="B367" t="s">
        <v>71</v>
      </c>
      <c r="C367" t="s">
        <v>35</v>
      </c>
      <c r="D367">
        <v>4</v>
      </c>
      <c r="E367" t="s">
        <v>15</v>
      </c>
      <c r="F367" t="s">
        <v>1220</v>
      </c>
      <c r="G367" t="s">
        <v>17</v>
      </c>
      <c r="H367" t="s">
        <v>17</v>
      </c>
      <c r="I367" t="s">
        <v>1221</v>
      </c>
      <c r="J367" t="s">
        <v>1222</v>
      </c>
      <c r="K367" t="s">
        <v>21</v>
      </c>
      <c r="L367" cm="1">
        <f t="array" ref="L367">SUM(IF(INT($F$2:$F$402)&amp;$C$2:$C$402=INT($F367)&amp;$C367,1,0))</f>
        <v>1</v>
      </c>
      <c r="M367" t="str">
        <f>INDEX(Wyart2000!$G$2:$G$594,MATCH($J367,Wyart2000!$W$2:$W$594,0),1)</f>
        <v>117540.5</v>
      </c>
    </row>
    <row r="368" spans="1:13" x14ac:dyDescent="0.25">
      <c r="A368" t="s">
        <v>1213</v>
      </c>
      <c r="B368" t="s">
        <v>1081</v>
      </c>
      <c r="C368" t="s">
        <v>22</v>
      </c>
      <c r="D368">
        <v>12</v>
      </c>
      <c r="E368" t="s">
        <v>15</v>
      </c>
      <c r="F368" t="s">
        <v>1223</v>
      </c>
      <c r="G368" t="s">
        <v>17</v>
      </c>
      <c r="H368" t="s">
        <v>17</v>
      </c>
      <c r="I368" t="s">
        <v>1224</v>
      </c>
      <c r="J368" t="s">
        <v>1225</v>
      </c>
      <c r="K368" t="s">
        <v>21</v>
      </c>
      <c r="L368" cm="1">
        <f t="array" ref="L368">SUM(IF(INT($F$2:$F$402)&amp;$C$2:$C$402=INT($F368)&amp;$C368,1,0))</f>
        <v>1</v>
      </c>
      <c r="M368" t="str">
        <f>INDEX(Wyart2000!$G$2:$G$594,MATCH($J368,Wyart2000!$W$2:$W$594,0),1)</f>
        <v>117574.5</v>
      </c>
    </row>
    <row r="369" spans="1:13" x14ac:dyDescent="0.25">
      <c r="A369" t="s">
        <v>1213</v>
      </c>
      <c r="B369" t="s">
        <v>1073</v>
      </c>
      <c r="C369" t="s">
        <v>47</v>
      </c>
      <c r="D369">
        <v>8</v>
      </c>
      <c r="E369" t="s">
        <v>15</v>
      </c>
      <c r="F369" t="s">
        <v>1226</v>
      </c>
      <c r="G369" t="s">
        <v>17</v>
      </c>
      <c r="H369" t="s">
        <v>17</v>
      </c>
      <c r="I369" t="s">
        <v>1227</v>
      </c>
      <c r="J369" t="s">
        <v>1228</v>
      </c>
      <c r="K369" t="s">
        <v>21</v>
      </c>
      <c r="L369" cm="1">
        <f t="array" ref="L369">SUM(IF(INT($F$2:$F$402)&amp;$C$2:$C$402=INT($F369)&amp;$C369,1,0))</f>
        <v>1</v>
      </c>
      <c r="M369" t="str">
        <f>INDEX(Wyart2000!$G$2:$G$594,MATCH($J369,Wyart2000!$W$2:$W$594,0),1)</f>
        <v>117647.2</v>
      </c>
    </row>
    <row r="370" spans="1:13" x14ac:dyDescent="0.25">
      <c r="A370" t="s">
        <v>1213</v>
      </c>
      <c r="B370" t="s">
        <v>1098</v>
      </c>
      <c r="C370" t="s">
        <v>43</v>
      </c>
      <c r="D370">
        <v>6</v>
      </c>
      <c r="E370" t="s">
        <v>15</v>
      </c>
      <c r="F370" t="s">
        <v>1229</v>
      </c>
      <c r="G370" t="s">
        <v>17</v>
      </c>
      <c r="H370" t="s">
        <v>17</v>
      </c>
      <c r="I370" t="s">
        <v>1230</v>
      </c>
      <c r="J370" t="s">
        <v>1231</v>
      </c>
      <c r="K370" t="s">
        <v>21</v>
      </c>
      <c r="L370" cm="1">
        <f t="array" ref="L370">SUM(IF(INT($F$2:$F$402)&amp;$C$2:$C$402=INT($F370)&amp;$C370,1,0))</f>
        <v>1</v>
      </c>
      <c r="M370" t="str">
        <f>INDEX(Wyart2000!$G$2:$G$594,MATCH($J370,Wyart2000!$W$2:$W$594,0),1)</f>
        <v>117686.4</v>
      </c>
    </row>
    <row r="371" spans="1:13" x14ac:dyDescent="0.25">
      <c r="A371" t="s">
        <v>1232</v>
      </c>
      <c r="B371" t="s">
        <v>71</v>
      </c>
      <c r="C371" t="s">
        <v>26</v>
      </c>
      <c r="D371">
        <v>14</v>
      </c>
      <c r="E371" t="s">
        <v>15</v>
      </c>
      <c r="F371" t="s">
        <v>1233</v>
      </c>
      <c r="G371" t="s">
        <v>17</v>
      </c>
      <c r="H371" t="s">
        <v>17</v>
      </c>
      <c r="I371" t="s">
        <v>1234</v>
      </c>
      <c r="J371" t="s">
        <v>1235</v>
      </c>
      <c r="K371" t="s">
        <v>21</v>
      </c>
      <c r="L371" cm="1">
        <f t="array" ref="L371">SUM(IF(INT($F$2:$F$402)&amp;$C$2:$C$402=INT($F371)&amp;$C371,1,0))</f>
        <v>1</v>
      </c>
      <c r="M371" t="str">
        <f>INDEX(Wyart2000!$G$2:$G$594,MATCH($J371,Wyart2000!$W$2:$W$594,0),1)</f>
        <v>117775.3</v>
      </c>
    </row>
    <row r="372" spans="1:13" x14ac:dyDescent="0.25">
      <c r="A372" t="s">
        <v>1232</v>
      </c>
      <c r="B372" t="s">
        <v>1077</v>
      </c>
      <c r="C372" t="s">
        <v>30</v>
      </c>
      <c r="D372">
        <v>16</v>
      </c>
      <c r="E372" t="s">
        <v>15</v>
      </c>
      <c r="F372" t="s">
        <v>1236</v>
      </c>
      <c r="G372" t="s">
        <v>17</v>
      </c>
      <c r="H372" t="s">
        <v>17</v>
      </c>
      <c r="I372" t="s">
        <v>1237</v>
      </c>
      <c r="J372" t="s">
        <v>1238</v>
      </c>
      <c r="K372" t="s">
        <v>21</v>
      </c>
      <c r="L372" cm="1">
        <f t="array" ref="L372">SUM(IF(INT($F$2:$F$402)&amp;$C$2:$C$402=INT($F372)&amp;$C372,1,0))</f>
        <v>1</v>
      </c>
      <c r="M372" t="str">
        <f>INDEX(Wyart2000!$G$2:$G$594,MATCH($J372,Wyart2000!$W$2:$W$594,0),1)</f>
        <v>118063.0</v>
      </c>
    </row>
    <row r="373" spans="1:13" x14ac:dyDescent="0.25">
      <c r="A373" t="s">
        <v>1213</v>
      </c>
      <c r="B373" t="s">
        <v>1073</v>
      </c>
      <c r="C373" t="s">
        <v>14</v>
      </c>
      <c r="D373">
        <v>10</v>
      </c>
      <c r="E373" t="s">
        <v>15</v>
      </c>
      <c r="F373" t="s">
        <v>1239</v>
      </c>
      <c r="G373" t="s">
        <v>17</v>
      </c>
      <c r="H373" t="s">
        <v>17</v>
      </c>
      <c r="I373" t="s">
        <v>1240</v>
      </c>
      <c r="J373" t="s">
        <v>1241</v>
      </c>
      <c r="K373" t="s">
        <v>21</v>
      </c>
      <c r="L373" cm="1">
        <f t="array" ref="L373">SUM(IF(INT($F$2:$F$402)&amp;$C$2:$C$402=INT($F373)&amp;$C373,1,0))</f>
        <v>1</v>
      </c>
      <c r="M373" t="str">
        <f>INDEX(Wyart2000!$G$2:$G$594,MATCH($J373,Wyart2000!$W$2:$W$594,0),1)</f>
        <v>118081.1</v>
      </c>
    </row>
    <row r="374" spans="1:13" x14ac:dyDescent="0.25">
      <c r="A374" t="s">
        <v>1213</v>
      </c>
      <c r="B374" t="s">
        <v>1091</v>
      </c>
      <c r="C374" t="s">
        <v>35</v>
      </c>
      <c r="D374">
        <v>4</v>
      </c>
      <c r="E374" t="s">
        <v>15</v>
      </c>
      <c r="F374" t="s">
        <v>1242</v>
      </c>
      <c r="G374" t="s">
        <v>17</v>
      </c>
      <c r="H374" t="s">
        <v>17</v>
      </c>
      <c r="I374" t="s">
        <v>1243</v>
      </c>
      <c r="J374" t="s">
        <v>1244</v>
      </c>
      <c r="K374" t="s">
        <v>21</v>
      </c>
      <c r="L374" cm="1">
        <f t="array" ref="L374">SUM(IF(INT($F$2:$F$402)&amp;$C$2:$C$402=INT($F374)&amp;$C374,1,0))</f>
        <v>1</v>
      </c>
      <c r="M374" t="str">
        <f>INDEX(Wyart2000!$G$2:$G$594,MATCH($J374,Wyart2000!$W$2:$W$594,0),1)</f>
        <v>118201.4</v>
      </c>
    </row>
    <row r="375" spans="1:13" x14ac:dyDescent="0.25">
      <c r="A375" t="s">
        <v>1232</v>
      </c>
      <c r="B375" t="s">
        <v>71</v>
      </c>
      <c r="C375" t="s">
        <v>22</v>
      </c>
      <c r="D375">
        <v>12</v>
      </c>
      <c r="E375" t="s">
        <v>15</v>
      </c>
      <c r="F375" t="s">
        <v>1245</v>
      </c>
      <c r="G375" t="s">
        <v>17</v>
      </c>
      <c r="H375" t="s">
        <v>17</v>
      </c>
      <c r="I375" t="s">
        <v>1246</v>
      </c>
      <c r="J375" t="s">
        <v>1247</v>
      </c>
      <c r="K375" t="s">
        <v>21</v>
      </c>
      <c r="L375" cm="1">
        <f t="array" ref="L375">SUM(IF(INT($F$2:$F$402)&amp;$C$2:$C$402=INT($F375)&amp;$C375,1,0))</f>
        <v>1</v>
      </c>
      <c r="M375" t="str">
        <f>INDEX(Wyart2000!$G$2:$G$594,MATCH($J375,Wyart2000!$W$2:$W$594,0),1)</f>
        <v>118271.6</v>
      </c>
    </row>
    <row r="376" spans="1:13" x14ac:dyDescent="0.25">
      <c r="A376" t="s">
        <v>1213</v>
      </c>
      <c r="B376" t="s">
        <v>1098</v>
      </c>
      <c r="C376" t="s">
        <v>47</v>
      </c>
      <c r="D376">
        <v>8</v>
      </c>
      <c r="E376" t="s">
        <v>15</v>
      </c>
      <c r="F376" t="s">
        <v>1248</v>
      </c>
      <c r="G376" t="s">
        <v>17</v>
      </c>
      <c r="H376" t="s">
        <v>17</v>
      </c>
      <c r="I376" t="s">
        <v>1249</v>
      </c>
      <c r="J376" t="s">
        <v>1250</v>
      </c>
      <c r="K376" t="s">
        <v>21</v>
      </c>
      <c r="L376" cm="1">
        <f t="array" ref="L376">SUM(IF(INT($F$2:$F$402)&amp;$C$2:$C$402=INT($F376)&amp;$C376,1,0))</f>
        <v>1</v>
      </c>
      <c r="M376" t="str">
        <f>INDEX(Wyart2000!$G$2:$G$594,MATCH($J376,Wyart2000!$W$2:$W$594,0),1)</f>
        <v>118318.6</v>
      </c>
    </row>
    <row r="377" spans="1:13" x14ac:dyDescent="0.25">
      <c r="A377" t="s">
        <v>1068</v>
      </c>
      <c r="B377" t="s">
        <v>71</v>
      </c>
      <c r="C377" t="s">
        <v>14</v>
      </c>
      <c r="D377">
        <v>10</v>
      </c>
      <c r="E377" t="s">
        <v>15</v>
      </c>
      <c r="F377" t="s">
        <v>1251</v>
      </c>
      <c r="G377" t="s">
        <v>17</v>
      </c>
      <c r="H377" t="s">
        <v>17</v>
      </c>
      <c r="I377" t="s">
        <v>1252</v>
      </c>
      <c r="J377" t="s">
        <v>1253</v>
      </c>
      <c r="K377" t="s">
        <v>21</v>
      </c>
      <c r="L377" cm="1">
        <f t="array" ref="L377">SUM(IF(INT($F$2:$F$402)&amp;$C$2:$C$402=INT($F377)&amp;$C377,1,0))</f>
        <v>1</v>
      </c>
      <c r="M377" t="str">
        <f>INDEX(Wyart2000!$G$2:$G$594,MATCH($J377,Wyart2000!$W$2:$W$594,0),1)</f>
        <v>118468.8</v>
      </c>
    </row>
    <row r="378" spans="1:13" x14ac:dyDescent="0.25">
      <c r="A378" t="s">
        <v>1232</v>
      </c>
      <c r="B378" t="s">
        <v>1077</v>
      </c>
      <c r="C378" t="s">
        <v>26</v>
      </c>
      <c r="D378">
        <v>14</v>
      </c>
      <c r="E378" t="s">
        <v>15</v>
      </c>
      <c r="F378" t="s">
        <v>1254</v>
      </c>
      <c r="G378" t="s">
        <v>17</v>
      </c>
      <c r="H378" t="s">
        <v>17</v>
      </c>
      <c r="I378" t="s">
        <v>1255</v>
      </c>
      <c r="J378" t="s">
        <v>1256</v>
      </c>
      <c r="K378" t="s">
        <v>21</v>
      </c>
      <c r="L378" cm="1">
        <f t="array" ref="L378">SUM(IF(INT($F$2:$F$402)&amp;$C$2:$C$402=INT($F378)&amp;$C378,1,0))</f>
        <v>1</v>
      </c>
      <c r="M378" t="str">
        <f>INDEX(Wyart2000!$G$2:$G$594,MATCH($J378,Wyart2000!$W$2:$W$594,0),1)</f>
        <v>118610.9</v>
      </c>
    </row>
    <row r="379" spans="1:13" x14ac:dyDescent="0.25">
      <c r="A379" t="s">
        <v>1068</v>
      </c>
      <c r="B379" t="s">
        <v>71</v>
      </c>
      <c r="C379" t="s">
        <v>22</v>
      </c>
      <c r="D379">
        <v>12</v>
      </c>
      <c r="E379" t="s">
        <v>15</v>
      </c>
      <c r="F379" t="s">
        <v>1257</v>
      </c>
      <c r="G379" t="s">
        <v>17</v>
      </c>
      <c r="H379" t="s">
        <v>17</v>
      </c>
      <c r="I379" t="s">
        <v>1258</v>
      </c>
      <c r="J379" t="s">
        <v>1259</v>
      </c>
      <c r="K379" t="s">
        <v>21</v>
      </c>
      <c r="L379" cm="1">
        <f t="array" ref="L379">SUM(IF(INT($F$2:$F$402)&amp;$C$2:$C$402=INT($F379)&amp;$C379,1,0))</f>
        <v>1</v>
      </c>
      <c r="M379" t="str">
        <f>INDEX(Wyart2000!$G$2:$G$594,MATCH($J379,Wyart2000!$W$2:$W$594,0),1)</f>
        <v>118879.3</v>
      </c>
    </row>
    <row r="380" spans="1:13" x14ac:dyDescent="0.25">
      <c r="A380" t="s">
        <v>1260</v>
      </c>
      <c r="B380" t="s">
        <v>1069</v>
      </c>
      <c r="C380" t="s">
        <v>26</v>
      </c>
      <c r="D380">
        <v>14</v>
      </c>
      <c r="E380" t="s">
        <v>15</v>
      </c>
      <c r="F380" t="s">
        <v>1261</v>
      </c>
      <c r="G380" t="s">
        <v>17</v>
      </c>
      <c r="H380" t="s">
        <v>17</v>
      </c>
      <c r="I380" t="s">
        <v>1262</v>
      </c>
      <c r="J380" t="s">
        <v>1263</v>
      </c>
      <c r="K380" t="s">
        <v>21</v>
      </c>
      <c r="L380" cm="1">
        <f t="array" ref="L380">SUM(IF(INT($F$2:$F$402)&amp;$C$2:$C$402=INT($F380)&amp;$C380,1,0))</f>
        <v>1</v>
      </c>
      <c r="M380" t="str">
        <f>INDEX(Wyart2000!$G$2:$G$594,MATCH($J380,Wyart2000!$W$2:$W$594,0),1)</f>
        <v>120498.7</v>
      </c>
    </row>
    <row r="381" spans="1:13" x14ac:dyDescent="0.25">
      <c r="A381" t="s">
        <v>1260</v>
      </c>
      <c r="B381" t="s">
        <v>1081</v>
      </c>
      <c r="C381" t="s">
        <v>22</v>
      </c>
      <c r="D381">
        <v>12</v>
      </c>
      <c r="E381" t="s">
        <v>15</v>
      </c>
      <c r="F381" t="s">
        <v>1264</v>
      </c>
      <c r="G381" t="s">
        <v>17</v>
      </c>
      <c r="H381" t="s">
        <v>17</v>
      </c>
      <c r="I381" t="s">
        <v>1265</v>
      </c>
      <c r="J381" t="s">
        <v>1266</v>
      </c>
      <c r="K381" t="s">
        <v>21</v>
      </c>
      <c r="L381" cm="1">
        <f t="array" ref="L381">SUM(IF(INT($F$2:$F$402)&amp;$C$2:$C$402=INT($F381)&amp;$C381,1,0))</f>
        <v>1</v>
      </c>
      <c r="M381" t="str">
        <f>INDEX(Wyart2000!$G$2:$G$594,MATCH($J381,Wyart2000!$W$2:$W$594,0),1)</f>
        <v>121095.2</v>
      </c>
    </row>
    <row r="382" spans="1:13" x14ac:dyDescent="0.25">
      <c r="A382" t="s">
        <v>1260</v>
      </c>
      <c r="B382" t="s">
        <v>1077</v>
      </c>
      <c r="C382" t="s">
        <v>30</v>
      </c>
      <c r="D382">
        <v>16</v>
      </c>
      <c r="E382" t="s">
        <v>15</v>
      </c>
      <c r="F382" t="s">
        <v>1267</v>
      </c>
      <c r="G382" t="s">
        <v>17</v>
      </c>
      <c r="H382" t="s">
        <v>17</v>
      </c>
      <c r="I382" t="s">
        <v>1268</v>
      </c>
      <c r="J382" t="s">
        <v>1269</v>
      </c>
      <c r="K382" t="s">
        <v>21</v>
      </c>
      <c r="L382" cm="1">
        <f t="array" ref="L382">SUM(IF(INT($F$2:$F$402)&amp;$C$2:$C$402=INT($F382)&amp;$C382,1,0))</f>
        <v>1</v>
      </c>
      <c r="M382" t="str">
        <f>INDEX(Wyart2000!$G$2:$G$594,MATCH($J382,Wyart2000!$W$2:$W$594,0),1)</f>
        <v>121119.2</v>
      </c>
    </row>
    <row r="383" spans="1:13" x14ac:dyDescent="0.25">
      <c r="A383" t="s">
        <v>1260</v>
      </c>
      <c r="B383" t="s">
        <v>1081</v>
      </c>
      <c r="C383" t="s">
        <v>14</v>
      </c>
      <c r="D383">
        <v>10</v>
      </c>
      <c r="E383" t="s">
        <v>15</v>
      </c>
      <c r="F383" t="s">
        <v>1270</v>
      </c>
      <c r="G383" t="s">
        <v>17</v>
      </c>
      <c r="H383" t="s">
        <v>17</v>
      </c>
      <c r="I383" t="s">
        <v>1271</v>
      </c>
      <c r="J383" t="s">
        <v>1272</v>
      </c>
      <c r="K383" t="s">
        <v>21</v>
      </c>
      <c r="L383" cm="1">
        <f t="array" ref="L383">SUM(IF(INT($F$2:$F$402)&amp;$C$2:$C$402=INT($F383)&amp;$C383,1,0))</f>
        <v>1</v>
      </c>
      <c r="M383" t="str">
        <f>INDEX(Wyart2000!$G$2:$G$594,MATCH($J383,Wyart2000!$W$2:$W$594,0),1)</f>
        <v>121382.6</v>
      </c>
    </row>
    <row r="384" spans="1:13" x14ac:dyDescent="0.25">
      <c r="A384" t="s">
        <v>1260</v>
      </c>
      <c r="B384" t="s">
        <v>1077</v>
      </c>
      <c r="C384" t="s">
        <v>26</v>
      </c>
      <c r="D384">
        <v>14</v>
      </c>
      <c r="E384" t="s">
        <v>15</v>
      </c>
      <c r="F384" t="s">
        <v>1273</v>
      </c>
      <c r="G384" t="s">
        <v>17</v>
      </c>
      <c r="H384" t="s">
        <v>17</v>
      </c>
      <c r="I384" t="s">
        <v>1274</v>
      </c>
      <c r="J384" t="s">
        <v>1275</v>
      </c>
      <c r="K384" t="s">
        <v>21</v>
      </c>
      <c r="L384" cm="1">
        <f t="array" ref="L384">SUM(IF(INT($F$2:$F$402)&amp;$C$2:$C$402=INT($F384)&amp;$C384,1,0))</f>
        <v>1</v>
      </c>
      <c r="M384" t="str">
        <f>INDEX(Wyart2000!$G$2:$G$594,MATCH($J384,Wyart2000!$W$2:$W$594,0),1)</f>
        <v>121431.2</v>
      </c>
    </row>
    <row r="385" spans="1:13" x14ac:dyDescent="0.25">
      <c r="A385" t="s">
        <v>1260</v>
      </c>
      <c r="B385" t="s">
        <v>1069</v>
      </c>
      <c r="C385" t="s">
        <v>22</v>
      </c>
      <c r="D385">
        <v>12</v>
      </c>
      <c r="E385" t="s">
        <v>15</v>
      </c>
      <c r="F385" t="s">
        <v>1276</v>
      </c>
      <c r="G385" t="s">
        <v>17</v>
      </c>
      <c r="H385" t="s">
        <v>17</v>
      </c>
      <c r="I385" t="s">
        <v>1277</v>
      </c>
      <c r="J385" t="s">
        <v>1278</v>
      </c>
      <c r="K385" t="s">
        <v>21</v>
      </c>
      <c r="L385" cm="1">
        <f t="array" ref="L385">SUM(IF(INT($F$2:$F$402)&amp;$C$2:$C$402=INT($F385)&amp;$C385,1,0))</f>
        <v>1</v>
      </c>
      <c r="M385" t="str">
        <f>INDEX(Wyart2000!$G$2:$G$594,MATCH($J385,Wyart2000!$W$2:$W$594,0),1)</f>
        <v>121532.5</v>
      </c>
    </row>
    <row r="386" spans="1:13" x14ac:dyDescent="0.25">
      <c r="A386" t="s">
        <v>1279</v>
      </c>
      <c r="B386" t="s">
        <v>1280</v>
      </c>
      <c r="C386" t="s">
        <v>35</v>
      </c>
      <c r="D386">
        <v>4</v>
      </c>
      <c r="E386" t="s">
        <v>15</v>
      </c>
      <c r="F386" t="s">
        <v>1281</v>
      </c>
      <c r="G386" t="s">
        <v>17</v>
      </c>
      <c r="H386" t="s">
        <v>17</v>
      </c>
      <c r="I386" t="s">
        <v>1282</v>
      </c>
      <c r="J386" t="s">
        <v>1283</v>
      </c>
      <c r="K386" t="s">
        <v>21</v>
      </c>
      <c r="L386" cm="1">
        <f t="array" ref="L386">SUM(IF(INT($F$2:$F$402)&amp;$C$2:$C$402=INT($F386)&amp;$C386,1,0))</f>
        <v>1</v>
      </c>
      <c r="M386" t="str">
        <f>INDEX(Wyart2000!$G$2:$G$594,MATCH($J386,Wyart2000!$W$2:$W$594,0),1)</f>
        <v>128214.2</v>
      </c>
    </row>
    <row r="387" spans="1:13" x14ac:dyDescent="0.25">
      <c r="A387" t="s">
        <v>1279</v>
      </c>
      <c r="B387" t="s">
        <v>1081</v>
      </c>
      <c r="C387" t="s">
        <v>14</v>
      </c>
      <c r="D387">
        <v>10</v>
      </c>
      <c r="E387" t="s">
        <v>15</v>
      </c>
      <c r="F387" t="s">
        <v>1284</v>
      </c>
      <c r="G387" t="s">
        <v>17</v>
      </c>
      <c r="H387" t="s">
        <v>17</v>
      </c>
      <c r="I387" t="s">
        <v>1285</v>
      </c>
      <c r="J387" t="s">
        <v>1286</v>
      </c>
      <c r="K387" t="s">
        <v>21</v>
      </c>
      <c r="L387" cm="1">
        <f t="array" ref="L387">SUM(IF(INT($F$2:$F$402)&amp;$C$2:$C$402=INT($F387)&amp;$C387,1,0))</f>
        <v>1</v>
      </c>
      <c r="M387" t="str">
        <f>INDEX(Wyart2000!$G$2:$G$594,MATCH($J387,Wyart2000!$W$2:$W$594,0),1)</f>
        <v>128352.8</v>
      </c>
    </row>
    <row r="388" spans="1:13" x14ac:dyDescent="0.25">
      <c r="A388" t="s">
        <v>1279</v>
      </c>
      <c r="B388" t="s">
        <v>1081</v>
      </c>
      <c r="C388" t="s">
        <v>22</v>
      </c>
      <c r="D388">
        <v>12</v>
      </c>
      <c r="E388" t="s">
        <v>15</v>
      </c>
      <c r="F388" t="s">
        <v>1287</v>
      </c>
      <c r="G388" t="s">
        <v>17</v>
      </c>
      <c r="H388" t="s">
        <v>17</v>
      </c>
      <c r="I388" t="s">
        <v>1288</v>
      </c>
      <c r="J388" t="s">
        <v>1289</v>
      </c>
      <c r="K388" t="s">
        <v>21</v>
      </c>
      <c r="L388" cm="1">
        <f t="array" ref="L388">SUM(IF(INT($F$2:$F$402)&amp;$C$2:$C$402=INT($F388)&amp;$C388,1,0))</f>
        <v>1</v>
      </c>
      <c r="M388" t="str">
        <f>INDEX(Wyart2000!$G$2:$G$594,MATCH($J388,Wyart2000!$W$2:$W$594,0),1)</f>
        <v>128381.6</v>
      </c>
    </row>
    <row r="389" spans="1:13" x14ac:dyDescent="0.25">
      <c r="A389" t="s">
        <v>1279</v>
      </c>
      <c r="B389" t="s">
        <v>1073</v>
      </c>
      <c r="C389" t="s">
        <v>47</v>
      </c>
      <c r="D389">
        <v>8</v>
      </c>
      <c r="E389" t="s">
        <v>15</v>
      </c>
      <c r="F389" t="s">
        <v>1290</v>
      </c>
      <c r="G389" t="s">
        <v>17</v>
      </c>
      <c r="H389" t="s">
        <v>17</v>
      </c>
      <c r="I389" t="s">
        <v>1291</v>
      </c>
      <c r="J389" t="s">
        <v>1292</v>
      </c>
      <c r="K389" t="s">
        <v>21</v>
      </c>
      <c r="L389" cm="1">
        <f t="array" ref="L389">SUM(IF(INT($F$2:$F$402)&amp;$C$2:$C$402=INT($F389)&amp;$C389,1,0))</f>
        <v>1</v>
      </c>
      <c r="M389" t="str">
        <f>INDEX(Wyart2000!$G$2:$G$594,MATCH($J389,Wyart2000!$W$2:$W$594,0),1)</f>
        <v>128453.2</v>
      </c>
    </row>
    <row r="390" spans="1:13" x14ac:dyDescent="0.25">
      <c r="A390" t="s">
        <v>1279</v>
      </c>
      <c r="B390" t="s">
        <v>1073</v>
      </c>
      <c r="C390" t="s">
        <v>14</v>
      </c>
      <c r="D390">
        <v>10</v>
      </c>
      <c r="E390" t="s">
        <v>15</v>
      </c>
      <c r="F390" t="s">
        <v>1293</v>
      </c>
      <c r="G390" t="s">
        <v>17</v>
      </c>
      <c r="H390" t="s">
        <v>17</v>
      </c>
      <c r="I390" t="s">
        <v>1294</v>
      </c>
      <c r="J390" t="s">
        <v>1295</v>
      </c>
      <c r="K390" t="s">
        <v>21</v>
      </c>
      <c r="L390" cm="1">
        <f t="array" ref="L390">SUM(IF(INT($F$2:$F$402)&amp;$C$2:$C$402=INT($F390)&amp;$C390,1,0))</f>
        <v>1</v>
      </c>
      <c r="M390" t="str">
        <f>INDEX(Wyart2000!$G$2:$G$594,MATCH($J390,Wyart2000!$W$2:$W$594,0),1)</f>
        <v>128568.6</v>
      </c>
    </row>
    <row r="391" spans="1:13" x14ac:dyDescent="0.25">
      <c r="A391" t="s">
        <v>1296</v>
      </c>
      <c r="B391" t="s">
        <v>335</v>
      </c>
      <c r="C391" t="s">
        <v>14</v>
      </c>
      <c r="D391">
        <v>10</v>
      </c>
      <c r="E391" t="s">
        <v>63</v>
      </c>
      <c r="F391" t="s">
        <v>1297</v>
      </c>
      <c r="G391" t="s">
        <v>17</v>
      </c>
      <c r="H391" t="s">
        <v>17</v>
      </c>
      <c r="I391" t="s">
        <v>962</v>
      </c>
      <c r="J391" t="s">
        <v>1298</v>
      </c>
      <c r="K391" t="s">
        <v>21</v>
      </c>
      <c r="L391" cm="1">
        <f t="array" ref="L391">SUM(IF(INT($F$2:$F$402)&amp;$C$2:$C$402=INT($F391)&amp;$C391,1,0))</f>
        <v>1</v>
      </c>
      <c r="M391" t="str">
        <f>INDEX(Wyart2000!$G$2:$G$594,MATCH($J391,Wyart2000!$W$2:$W$594,0),1)</f>
        <v>129106.1</v>
      </c>
    </row>
    <row r="392" spans="1:13" x14ac:dyDescent="0.25">
      <c r="A392" t="s">
        <v>1299</v>
      </c>
      <c r="B392" t="s">
        <v>362</v>
      </c>
      <c r="C392" t="s">
        <v>22</v>
      </c>
      <c r="D392">
        <v>12</v>
      </c>
      <c r="E392" t="s">
        <v>63</v>
      </c>
      <c r="F392" t="s">
        <v>1300</v>
      </c>
      <c r="G392" t="s">
        <v>17</v>
      </c>
      <c r="H392" t="s">
        <v>17</v>
      </c>
      <c r="I392" t="s">
        <v>962</v>
      </c>
      <c r="J392" t="s">
        <v>1301</v>
      </c>
      <c r="K392" t="s">
        <v>21</v>
      </c>
      <c r="L392" cm="1">
        <f t="array" ref="L392">SUM(IF(INT($F$2:$F$402)&amp;$C$2:$C$402=INT($F392)&amp;$C392,1,0))</f>
        <v>1</v>
      </c>
      <c r="M392" t="str">
        <f>INDEX(Wyart2000!$G$2:$G$594,MATCH($J392,Wyart2000!$W$2:$W$594,0),1)</f>
        <v>131200.3</v>
      </c>
    </row>
    <row r="393" spans="1:13" x14ac:dyDescent="0.25">
      <c r="A393" t="s">
        <v>1299</v>
      </c>
      <c r="B393" t="s">
        <v>362</v>
      </c>
      <c r="C393" t="s">
        <v>14</v>
      </c>
      <c r="D393">
        <v>10</v>
      </c>
      <c r="E393" t="s">
        <v>63</v>
      </c>
      <c r="F393" t="s">
        <v>1302</v>
      </c>
      <c r="G393" t="s">
        <v>17</v>
      </c>
      <c r="H393" t="s">
        <v>17</v>
      </c>
      <c r="I393" t="s">
        <v>962</v>
      </c>
      <c r="J393" t="s">
        <v>1303</v>
      </c>
      <c r="K393" t="s">
        <v>21</v>
      </c>
      <c r="L393" cm="1">
        <f t="array" ref="L393">SUM(IF(INT($F$2:$F$402)&amp;$C$2:$C$402=INT($F393)&amp;$C393,1,0))</f>
        <v>1</v>
      </c>
      <c r="M393" t="str">
        <f>INDEX(Wyart2000!$G$2:$G$594,MATCH($J393,Wyart2000!$W$2:$W$594,0),1)</f>
        <v>131226.3</v>
      </c>
    </row>
    <row r="394" spans="1:13" x14ac:dyDescent="0.25">
      <c r="A394" t="s">
        <v>1304</v>
      </c>
      <c r="B394" t="s">
        <v>1159</v>
      </c>
      <c r="C394" t="s">
        <v>164</v>
      </c>
      <c r="D394">
        <v>18</v>
      </c>
      <c r="E394" t="s">
        <v>15</v>
      </c>
      <c r="F394" t="s">
        <v>1305</v>
      </c>
      <c r="G394" t="s">
        <v>17</v>
      </c>
      <c r="H394" t="s">
        <v>17</v>
      </c>
      <c r="I394" t="s">
        <v>1306</v>
      </c>
      <c r="J394" t="s">
        <v>1307</v>
      </c>
      <c r="K394" t="s">
        <v>21</v>
      </c>
      <c r="L394" cm="1">
        <f t="array" ref="L394">SUM(IF(INT($F$2:$F$402)&amp;$C$2:$C$402=INT($F394)&amp;$C394,1,0))</f>
        <v>1</v>
      </c>
      <c r="M394" t="str">
        <f>INDEX(Wyart2000!$G$2:$G$594,MATCH($J394,Wyart2000!$W$2:$W$594,0),1)</f>
        <v>133194.3</v>
      </c>
    </row>
    <row r="395" spans="1:13" x14ac:dyDescent="0.25">
      <c r="A395" t="s">
        <v>1304</v>
      </c>
      <c r="B395" t="s">
        <v>1159</v>
      </c>
      <c r="C395" t="s">
        <v>1160</v>
      </c>
      <c r="D395">
        <v>20</v>
      </c>
      <c r="E395" t="s">
        <v>15</v>
      </c>
      <c r="F395" t="s">
        <v>1308</v>
      </c>
      <c r="G395" t="s">
        <v>17</v>
      </c>
      <c r="H395" t="s">
        <v>17</v>
      </c>
      <c r="I395" t="s">
        <v>1309</v>
      </c>
      <c r="J395" t="s">
        <v>1310</v>
      </c>
      <c r="K395" t="s">
        <v>21</v>
      </c>
      <c r="L395" cm="1">
        <f t="array" ref="L395">SUM(IF(INT($F$2:$F$402)&amp;$C$2:$C$402=INT($F395)&amp;$C395,1,0))</f>
        <v>1</v>
      </c>
      <c r="M395" t="str">
        <f>INDEX(Wyart2000!$G$2:$G$594,MATCH($J395,Wyart2000!$W$2:$W$594,0),1)</f>
        <v>133242.3</v>
      </c>
    </row>
    <row r="396" spans="1:13" x14ac:dyDescent="0.25">
      <c r="A396" t="s">
        <v>1304</v>
      </c>
      <c r="B396" t="s">
        <v>1118</v>
      </c>
      <c r="C396" t="s">
        <v>30</v>
      </c>
      <c r="D396">
        <v>16</v>
      </c>
      <c r="E396" t="s">
        <v>15</v>
      </c>
      <c r="F396" t="s">
        <v>1311</v>
      </c>
      <c r="G396" t="s">
        <v>17</v>
      </c>
      <c r="H396" t="s">
        <v>17</v>
      </c>
      <c r="I396" t="s">
        <v>1312</v>
      </c>
      <c r="J396" t="s">
        <v>1313</v>
      </c>
      <c r="K396" t="s">
        <v>21</v>
      </c>
      <c r="L396" cm="1">
        <f t="array" ref="L396">SUM(IF(INT($F$2:$F$402)&amp;$C$2:$C$402=INT($F396)&amp;$C396,1,0))</f>
        <v>1</v>
      </c>
      <c r="M396" t="str">
        <f>INDEX(Wyart2000!$G$2:$G$594,MATCH($J396,Wyart2000!$W$2:$W$594,0),1)</f>
        <v>133352.2</v>
      </c>
    </row>
    <row r="397" spans="1:13" x14ac:dyDescent="0.25">
      <c r="A397" t="s">
        <v>1304</v>
      </c>
      <c r="B397" t="s">
        <v>1118</v>
      </c>
      <c r="C397" t="s">
        <v>164</v>
      </c>
      <c r="D397">
        <v>18</v>
      </c>
      <c r="E397" t="s">
        <v>15</v>
      </c>
      <c r="F397" t="s">
        <v>1314</v>
      </c>
      <c r="G397" t="s">
        <v>17</v>
      </c>
      <c r="H397" t="s">
        <v>17</v>
      </c>
      <c r="I397" t="s">
        <v>1315</v>
      </c>
      <c r="J397" t="s">
        <v>1316</v>
      </c>
      <c r="K397" t="s">
        <v>21</v>
      </c>
      <c r="L397" cm="1">
        <f t="array" ref="L397">SUM(IF(INT($F$2:$F$402)&amp;$C$2:$C$402=INT($F397)&amp;$C397,1,0))</f>
        <v>1</v>
      </c>
      <c r="M397" t="str">
        <f>INDEX(Wyart2000!$G$2:$G$594,MATCH($J397,Wyart2000!$W$2:$W$594,0),1)</f>
        <v>133373.0</v>
      </c>
    </row>
    <row r="398" spans="1:13" x14ac:dyDescent="0.25">
      <c r="A398" t="s">
        <v>1317</v>
      </c>
      <c r="B398" t="s">
        <v>384</v>
      </c>
      <c r="C398" t="s">
        <v>26</v>
      </c>
      <c r="D398">
        <v>14</v>
      </c>
      <c r="E398" t="s">
        <v>63</v>
      </c>
      <c r="F398" t="s">
        <v>1318</v>
      </c>
      <c r="G398" t="s">
        <v>17</v>
      </c>
      <c r="H398" t="s">
        <v>17</v>
      </c>
      <c r="I398" t="s">
        <v>962</v>
      </c>
      <c r="J398" t="s">
        <v>1319</v>
      </c>
      <c r="K398" t="s">
        <v>21</v>
      </c>
      <c r="L398" cm="1">
        <f t="array" ref="L398">SUM(IF(INT($F$2:$F$402)&amp;$C$2:$C$402=INT($F398)&amp;$C398,1,0))</f>
        <v>1</v>
      </c>
      <c r="M398" t="str">
        <f>INDEX(Wyart2000!$G$2:$G$594,MATCH($J398,Wyart2000!$W$2:$W$594,0),1)</f>
        <v>133393.2</v>
      </c>
    </row>
    <row r="399" spans="1:13" x14ac:dyDescent="0.25">
      <c r="A399" t="s">
        <v>1317</v>
      </c>
      <c r="B399" t="s">
        <v>384</v>
      </c>
      <c r="C399" t="s">
        <v>22</v>
      </c>
      <c r="D399">
        <v>12</v>
      </c>
      <c r="E399" t="s">
        <v>63</v>
      </c>
      <c r="F399" t="s">
        <v>1320</v>
      </c>
      <c r="G399" t="s">
        <v>17</v>
      </c>
      <c r="H399" t="s">
        <v>17</v>
      </c>
      <c r="I399" t="s">
        <v>962</v>
      </c>
      <c r="J399" t="s">
        <v>1321</v>
      </c>
      <c r="K399" t="s">
        <v>21</v>
      </c>
      <c r="L399" cm="1">
        <f t="array" ref="L399">SUM(IF(INT($F$2:$F$402)&amp;$C$2:$C$402=INT($F399)&amp;$C399,1,0))</f>
        <v>1</v>
      </c>
      <c r="M399" t="str">
        <f>INDEX(Wyart2000!$G$2:$G$594,MATCH($J399,Wyart2000!$W$2:$W$594,0),1)</f>
        <v>133503.9</v>
      </c>
    </row>
    <row r="400" spans="1:13" x14ac:dyDescent="0.25">
      <c r="A400" t="s">
        <v>1322</v>
      </c>
      <c r="B400" t="s">
        <v>403</v>
      </c>
      <c r="C400" t="s">
        <v>47</v>
      </c>
      <c r="D400">
        <v>8</v>
      </c>
      <c r="E400" t="s">
        <v>63</v>
      </c>
      <c r="F400" t="s">
        <v>1323</v>
      </c>
      <c r="G400" t="s">
        <v>17</v>
      </c>
      <c r="H400" t="s">
        <v>17</v>
      </c>
      <c r="I400" t="s">
        <v>962</v>
      </c>
      <c r="J400" t="s">
        <v>1324</v>
      </c>
      <c r="K400" t="s">
        <v>21</v>
      </c>
      <c r="L400" cm="1">
        <f t="array" ref="L400">SUM(IF(INT($F$2:$F$402)&amp;$C$2:$C$402=INT($F400)&amp;$C400,1,0))</f>
        <v>1</v>
      </c>
      <c r="M400" t="str">
        <f>INDEX(Wyart2000!$G$2:$G$594,MATCH($J400,Wyart2000!$W$2:$W$594,0),1)</f>
        <v>135445.2</v>
      </c>
    </row>
    <row r="401" spans="1:13" x14ac:dyDescent="0.25">
      <c r="A401" t="s">
        <v>1325</v>
      </c>
      <c r="B401" t="s">
        <v>335</v>
      </c>
      <c r="C401" t="s">
        <v>14</v>
      </c>
      <c r="D401">
        <v>10</v>
      </c>
      <c r="E401" t="s">
        <v>63</v>
      </c>
      <c r="F401" t="s">
        <v>1326</v>
      </c>
      <c r="G401" t="s">
        <v>17</v>
      </c>
      <c r="H401" t="s">
        <v>17</v>
      </c>
      <c r="I401" t="s">
        <v>962</v>
      </c>
      <c r="J401" t="s">
        <v>1327</v>
      </c>
      <c r="K401" t="s">
        <v>21</v>
      </c>
      <c r="L401" cm="1">
        <f t="array" ref="L401">SUM(IF(INT($F$2:$F$402)&amp;$C$2:$C$402=INT($F401)&amp;$C401,1,0))</f>
        <v>1</v>
      </c>
      <c r="M401" t="str">
        <f>INDEX(Wyart2000!$G$2:$G$594,MATCH($J401,Wyart2000!$W$2:$W$594,0),1)</f>
        <v>135868.8</v>
      </c>
    </row>
    <row r="402" spans="1:13" x14ac:dyDescent="0.25">
      <c r="A402" t="s">
        <v>1328</v>
      </c>
      <c r="B402" t="s">
        <v>1329</v>
      </c>
      <c r="C402" t="s">
        <v>1330</v>
      </c>
      <c r="E402" t="s">
        <v>17</v>
      </c>
      <c r="F402" t="s">
        <v>1331</v>
      </c>
      <c r="G402" t="s">
        <v>17</v>
      </c>
      <c r="H402" t="s">
        <v>1332</v>
      </c>
      <c r="I402" t="s">
        <v>962</v>
      </c>
      <c r="J402" t="s">
        <v>1333</v>
      </c>
      <c r="K402" t="s">
        <v>21</v>
      </c>
      <c r="L402" cm="1">
        <f t="array" ref="L402">SUM(IF(INT($F$2:$F$402)&amp;$C$2:$C$402=INT($F402)&amp;$C402,1,0))</f>
        <v>1</v>
      </c>
      <c r="M402" t="e">
        <f>INDEX(Wyart2000!$G$2:$G$594,MATCH($J402,Wyart2000!$W$2:$W$594,0),1)</f>
        <v>#N/A</v>
      </c>
    </row>
  </sheetData>
  <autoFilter ref="A1:O402" xr:uid="{2854F859-27EF-46F5-A93F-79EC2C00D10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0026-8260-492A-B4D8-1F54B1CBD15E}">
  <sheetPr codeName="Sheet2"/>
  <dimension ref="A1:AA594"/>
  <sheetViews>
    <sheetView tabSelected="1" topLeftCell="C1" workbookViewId="0">
      <pane ySplit="1" topLeftCell="A28" activePane="bottomLeft" state="frozen"/>
      <selection pane="bottomLeft" activeCell="D37" sqref="D37"/>
    </sheetView>
  </sheetViews>
  <sheetFormatPr defaultRowHeight="15" x14ac:dyDescent="0.25"/>
  <cols>
    <col min="5" max="5" width="8.140625" customWidth="1"/>
    <col min="6" max="6" width="9.85546875" bestFit="1" customWidth="1"/>
    <col min="7" max="7" width="10.140625" bestFit="1" customWidth="1"/>
    <col min="8" max="8" width="25" customWidth="1"/>
    <col min="9" max="10" width="9.140625" style="3"/>
    <col min="11" max="11" width="10" style="3" bestFit="1" customWidth="1"/>
    <col min="12" max="12" width="9.140625" style="3"/>
    <col min="13" max="13" width="10.28515625" style="3" bestFit="1" customWidth="1"/>
    <col min="14" max="14" width="10.5703125" style="3" bestFit="1" customWidth="1"/>
    <col min="15" max="15" width="18.5703125" style="3" bestFit="1" customWidth="1"/>
    <col min="16" max="16" width="11.5703125" style="3" bestFit="1" customWidth="1"/>
    <col min="17" max="18" width="8.28515625" style="3" bestFit="1" customWidth="1"/>
    <col min="19" max="19" width="9.5703125" style="3" bestFit="1" customWidth="1"/>
    <col min="20" max="20" width="8.140625" style="3" bestFit="1" customWidth="1"/>
    <col min="21" max="21" width="18.5703125" style="3" bestFit="1" customWidth="1"/>
    <col min="22" max="22" width="15" style="3" bestFit="1" customWidth="1"/>
    <col min="23" max="23" width="13.7109375" style="4" bestFit="1" customWidth="1"/>
    <col min="24" max="24" width="9.140625" style="3"/>
  </cols>
  <sheetData>
    <row r="1" spans="1:27" x14ac:dyDescent="0.25">
      <c r="A1" t="s">
        <v>1692</v>
      </c>
      <c r="B1" t="s">
        <v>1744</v>
      </c>
      <c r="C1" t="s">
        <v>1744</v>
      </c>
      <c r="D1" t="s">
        <v>1750</v>
      </c>
      <c r="E1" t="s">
        <v>1746</v>
      </c>
      <c r="F1" t="s">
        <v>1799</v>
      </c>
      <c r="G1" t="s">
        <v>1798</v>
      </c>
      <c r="H1" t="s">
        <v>1693</v>
      </c>
      <c r="I1" s="3" t="s">
        <v>1753</v>
      </c>
      <c r="J1" s="3" t="s">
        <v>1752</v>
      </c>
      <c r="K1" s="3" t="s">
        <v>1796</v>
      </c>
      <c r="L1" s="3" t="s">
        <v>1755</v>
      </c>
      <c r="M1" s="3" t="s">
        <v>1756</v>
      </c>
      <c r="N1" s="3" t="s">
        <v>1745</v>
      </c>
      <c r="O1" s="3" t="s">
        <v>1747</v>
      </c>
      <c r="P1" s="3" t="s">
        <v>1748</v>
      </c>
      <c r="Q1" s="3" t="s">
        <v>1804</v>
      </c>
      <c r="R1" s="3" t="s">
        <v>1805</v>
      </c>
      <c r="S1" s="3" t="s">
        <v>1800</v>
      </c>
      <c r="T1" s="3" t="s">
        <v>1925</v>
      </c>
      <c r="U1" s="3" t="s">
        <v>1926</v>
      </c>
      <c r="V1" s="3" t="s">
        <v>1927</v>
      </c>
      <c r="W1" s="4" t="s">
        <v>1749</v>
      </c>
      <c r="X1" s="3" t="s">
        <v>1751</v>
      </c>
      <c r="Y1" t="s">
        <v>2121</v>
      </c>
      <c r="Z1" t="s">
        <v>2122</v>
      </c>
      <c r="AA1" t="s">
        <v>2120</v>
      </c>
    </row>
    <row r="2" spans="1:27" x14ac:dyDescent="0.25">
      <c r="B2" t="s">
        <v>1334</v>
      </c>
      <c r="C2" t="s">
        <v>1341</v>
      </c>
      <c r="D2" t="s">
        <v>79</v>
      </c>
      <c r="E2">
        <v>4</v>
      </c>
      <c r="F2" t="str">
        <f>(2*E2+1)&amp;"/2"</f>
        <v>9/2</v>
      </c>
      <c r="G2" s="1" t="s">
        <v>16</v>
      </c>
      <c r="I2" s="3" t="s">
        <v>15</v>
      </c>
      <c r="K2" s="3" t="s">
        <v>14</v>
      </c>
      <c r="L2" s="4" t="s">
        <v>16</v>
      </c>
      <c r="M2" s="4" t="s">
        <v>16</v>
      </c>
      <c r="N2" s="3" t="s">
        <v>15</v>
      </c>
      <c r="O2" s="3" t="s">
        <v>12</v>
      </c>
      <c r="P2" s="3" t="s">
        <v>13</v>
      </c>
      <c r="Q2" s="3">
        <v>97</v>
      </c>
      <c r="T2" s="3">
        <v>2</v>
      </c>
      <c r="V2" s="3" t="s">
        <v>39</v>
      </c>
      <c r="W2" s="4" t="s">
        <v>20</v>
      </c>
      <c r="X2" s="3" t="s">
        <v>21</v>
      </c>
      <c r="Y2" cm="1">
        <f t="array" ref="Y2">SUM(IF(INT($M$2:$M$594)&amp;" "&amp;$K$2:$K$594=INT($M2)&amp;" "&amp;$K2,1,0))</f>
        <v>1</v>
      </c>
      <c r="Z2" cm="1">
        <f t="array" ref="Z2">SUM(IF(ROUND($M$2:$M$594,0)&amp;" "&amp;$K$2:$K$594=ROUND($M2,0)&amp;" "&amp;$K2,1,0))</f>
        <v>1</v>
      </c>
      <c r="AA2" cm="1">
        <f t="array" ref="AA2">SUM(IF($W$2:$W$594=$W2,1,0))</f>
        <v>1</v>
      </c>
    </row>
    <row r="3" spans="1:27" x14ac:dyDescent="0.25">
      <c r="B3" t="s">
        <v>1334</v>
      </c>
      <c r="C3" t="s">
        <v>1341</v>
      </c>
      <c r="D3" t="s">
        <v>79</v>
      </c>
      <c r="E3">
        <v>5</v>
      </c>
      <c r="F3" t="str">
        <f t="shared" ref="F3:F66" si="0">(2*E3+1)&amp;"/2"</f>
        <v>11/2</v>
      </c>
      <c r="G3" s="1" t="s">
        <v>23</v>
      </c>
      <c r="I3" s="3" t="s">
        <v>15</v>
      </c>
      <c r="K3" s="3" t="s">
        <v>22</v>
      </c>
      <c r="L3" s="4" t="s">
        <v>23</v>
      </c>
      <c r="M3" s="4" t="s">
        <v>23</v>
      </c>
      <c r="N3" s="3" t="s">
        <v>15</v>
      </c>
      <c r="O3" s="3" t="s">
        <v>12</v>
      </c>
      <c r="P3" s="3" t="s">
        <v>13</v>
      </c>
      <c r="Q3" s="3">
        <v>99</v>
      </c>
      <c r="T3" s="3">
        <v>1</v>
      </c>
      <c r="V3" s="3" t="s">
        <v>39</v>
      </c>
      <c r="W3" s="4" t="s">
        <v>25</v>
      </c>
      <c r="X3" s="3" t="s">
        <v>21</v>
      </c>
      <c r="Y3" cm="1">
        <f t="array" ref="Y3">SUM(IF(INT($M$2:$M$594)&amp;" "&amp;$K$2:$K$594=INT($M3)&amp;" "&amp;$K3,1,0))</f>
        <v>1</v>
      </c>
      <c r="Z3" cm="1">
        <f t="array" ref="Z3">SUM(IF(ROUND($M$2:$M$594,0)&amp;" "&amp;$K$2:$K$594=ROUND($M3,0)&amp;" "&amp;$K3,1,0))</f>
        <v>1</v>
      </c>
      <c r="AA3" cm="1">
        <f t="array" ref="AA3">SUM(IF($W$2:$W$594=$W3,1,0))</f>
        <v>1</v>
      </c>
    </row>
    <row r="4" spans="1:27" x14ac:dyDescent="0.25">
      <c r="B4" t="s">
        <v>1334</v>
      </c>
      <c r="C4" t="s">
        <v>1341</v>
      </c>
      <c r="D4" t="s">
        <v>79</v>
      </c>
      <c r="E4">
        <v>6</v>
      </c>
      <c r="F4" t="str">
        <f t="shared" si="0"/>
        <v>13/2</v>
      </c>
      <c r="G4" s="1" t="s">
        <v>27</v>
      </c>
      <c r="I4" s="3" t="s">
        <v>15</v>
      </c>
      <c r="K4" s="3" t="s">
        <v>26</v>
      </c>
      <c r="L4" s="4" t="s">
        <v>27</v>
      </c>
      <c r="M4" s="4" t="s">
        <v>27</v>
      </c>
      <c r="N4" s="3" t="s">
        <v>15</v>
      </c>
      <c r="O4" s="3" t="s">
        <v>12</v>
      </c>
      <c r="P4" s="3" t="s">
        <v>13</v>
      </c>
      <c r="Q4" s="3">
        <v>100</v>
      </c>
      <c r="W4" s="4" t="s">
        <v>29</v>
      </c>
      <c r="X4" s="3" t="s">
        <v>21</v>
      </c>
      <c r="Y4" cm="1">
        <f t="array" ref="Y4">SUM(IF(INT($M$2:$M$594)&amp;" "&amp;$K$2:$K$594=INT($M4)&amp;" "&amp;$K4,1,0))</f>
        <v>1</v>
      </c>
      <c r="Z4" cm="1">
        <f t="array" ref="Z4">SUM(IF(ROUND($M$2:$M$594,0)&amp;" "&amp;$K$2:$K$594=ROUND($M4,0)&amp;" "&amp;$K4,1,0))</f>
        <v>1</v>
      </c>
      <c r="AA4" cm="1">
        <f t="array" ref="AA4">SUM(IF($W$2:$W$594=$W4,1,0))</f>
        <v>1</v>
      </c>
    </row>
    <row r="5" spans="1:27" x14ac:dyDescent="0.25">
      <c r="B5" t="s">
        <v>1334</v>
      </c>
      <c r="C5" t="s">
        <v>1341</v>
      </c>
      <c r="D5" t="s">
        <v>79</v>
      </c>
      <c r="E5">
        <v>7</v>
      </c>
      <c r="F5" t="str">
        <f t="shared" si="0"/>
        <v>15/2</v>
      </c>
      <c r="G5" s="1" t="s">
        <v>31</v>
      </c>
      <c r="I5" s="3" t="s">
        <v>15</v>
      </c>
      <c r="K5" s="3" t="s">
        <v>30</v>
      </c>
      <c r="L5" s="4" t="s">
        <v>31</v>
      </c>
      <c r="M5" s="4" t="s">
        <v>31</v>
      </c>
      <c r="N5" s="3" t="s">
        <v>15</v>
      </c>
      <c r="O5" s="3" t="s">
        <v>12</v>
      </c>
      <c r="P5" s="3" t="s">
        <v>13</v>
      </c>
      <c r="Q5" s="3">
        <v>99</v>
      </c>
      <c r="T5" s="3">
        <v>1</v>
      </c>
      <c r="V5" s="3" t="s">
        <v>102</v>
      </c>
      <c r="W5" s="4" t="s">
        <v>33</v>
      </c>
      <c r="X5" s="3" t="s">
        <v>21</v>
      </c>
      <c r="Y5" cm="1">
        <f t="array" ref="Y5">SUM(IF(INT($M$2:$M$594)&amp;" "&amp;$K$2:$K$594=INT($M5)&amp;" "&amp;$K5,1,0))</f>
        <v>1</v>
      </c>
      <c r="Z5" cm="1">
        <f t="array" ref="Z5">SUM(IF(ROUND($M$2:$M$594,0)&amp;" "&amp;$K$2:$K$594=ROUND($M5,0)&amp;" "&amp;$K5,1,0))</f>
        <v>1</v>
      </c>
      <c r="AA5" cm="1">
        <f t="array" ref="AA5">SUM(IF($W$2:$W$594=$W5,1,0))</f>
        <v>1</v>
      </c>
    </row>
    <row r="6" spans="1:27" x14ac:dyDescent="0.25">
      <c r="B6" t="s">
        <v>1335</v>
      </c>
      <c r="C6" t="s">
        <v>1341</v>
      </c>
      <c r="D6" t="s">
        <v>173</v>
      </c>
      <c r="E6">
        <v>1</v>
      </c>
      <c r="F6" t="str">
        <f t="shared" si="0"/>
        <v>3/2</v>
      </c>
      <c r="G6" s="1" t="s">
        <v>36</v>
      </c>
      <c r="I6" s="3" t="s">
        <v>15</v>
      </c>
      <c r="K6" s="3" t="s">
        <v>35</v>
      </c>
      <c r="L6" s="4" t="s">
        <v>36</v>
      </c>
      <c r="M6" s="4" t="s">
        <v>36</v>
      </c>
      <c r="N6" s="3" t="s">
        <v>15</v>
      </c>
      <c r="O6" s="3" t="s">
        <v>12</v>
      </c>
      <c r="P6" s="3" t="s">
        <v>34</v>
      </c>
      <c r="Q6" s="3">
        <v>95</v>
      </c>
      <c r="T6" s="3">
        <v>5</v>
      </c>
      <c r="V6" s="3" t="s">
        <v>116</v>
      </c>
      <c r="W6" s="4" t="s">
        <v>38</v>
      </c>
      <c r="X6" s="3" t="s">
        <v>21</v>
      </c>
      <c r="Y6" cm="1">
        <f t="array" ref="Y6">SUM(IF(INT($M$2:$M$594)&amp;" "&amp;$K$2:$K$594=INT($M6)&amp;" "&amp;$K6,1,0))</f>
        <v>1</v>
      </c>
      <c r="Z6" cm="1">
        <f t="array" ref="Z6">SUM(IF(ROUND($M$2:$M$594,0)&amp;" "&amp;$K$2:$K$594=ROUND($M6,0)&amp;" "&amp;$K6,1,0))</f>
        <v>1</v>
      </c>
      <c r="AA6" cm="1">
        <f t="array" ref="AA6">SUM(IF($W$2:$W$594=$W6,1,0))</f>
        <v>1</v>
      </c>
    </row>
    <row r="7" spans="1:27" x14ac:dyDescent="0.25">
      <c r="B7" t="s">
        <v>1336</v>
      </c>
      <c r="C7" t="s">
        <v>1341</v>
      </c>
      <c r="D7" t="s">
        <v>62</v>
      </c>
      <c r="E7">
        <v>4</v>
      </c>
      <c r="F7" t="str">
        <f t="shared" si="0"/>
        <v>9/2</v>
      </c>
      <c r="G7" s="1" t="s">
        <v>40</v>
      </c>
      <c r="I7" s="3" t="s">
        <v>15</v>
      </c>
      <c r="K7" s="3" t="s">
        <v>14</v>
      </c>
      <c r="L7" s="4" t="s">
        <v>40</v>
      </c>
      <c r="M7" s="4" t="s">
        <v>40</v>
      </c>
      <c r="N7" s="3" t="s">
        <v>15</v>
      </c>
      <c r="O7" s="3" t="s">
        <v>12</v>
      </c>
      <c r="P7" s="3" t="s">
        <v>39</v>
      </c>
      <c r="Q7" s="3">
        <v>60</v>
      </c>
      <c r="T7" s="3">
        <v>10</v>
      </c>
      <c r="V7" s="3" t="s">
        <v>1802</v>
      </c>
      <c r="W7" s="4" t="s">
        <v>42</v>
      </c>
      <c r="X7" s="3" t="s">
        <v>21</v>
      </c>
      <c r="Y7" cm="1">
        <f t="array" ref="Y7">SUM(IF(INT($M$2:$M$594)&amp;" "&amp;$K$2:$K$594=INT($M7)&amp;" "&amp;$K7,1,0))</f>
        <v>1</v>
      </c>
      <c r="Z7" cm="1">
        <f t="array" ref="Z7">SUM(IF(ROUND($M$2:$M$594,0)&amp;" "&amp;$K$2:$K$594=ROUND($M7,0)&amp;" "&amp;$K7,1,0))</f>
        <v>1</v>
      </c>
      <c r="AA7" cm="1">
        <f t="array" ref="AA7">SUM(IF($W$2:$W$594=$W7,1,0))</f>
        <v>1</v>
      </c>
    </row>
    <row r="8" spans="1:27" x14ac:dyDescent="0.25">
      <c r="B8" t="s">
        <v>1335</v>
      </c>
      <c r="C8" t="s">
        <v>1341</v>
      </c>
      <c r="D8" t="s">
        <v>173</v>
      </c>
      <c r="E8">
        <v>2</v>
      </c>
      <c r="F8" t="str">
        <f t="shared" si="0"/>
        <v>5/2</v>
      </c>
      <c r="G8" s="1" t="s">
        <v>44</v>
      </c>
      <c r="I8" s="3" t="s">
        <v>15</v>
      </c>
      <c r="K8" s="3" t="s">
        <v>43</v>
      </c>
      <c r="L8" s="4" t="s">
        <v>44</v>
      </c>
      <c r="M8" s="4" t="s">
        <v>44</v>
      </c>
      <c r="N8" s="3" t="s">
        <v>15</v>
      </c>
      <c r="O8" s="3" t="s">
        <v>12</v>
      </c>
      <c r="P8" s="3" t="s">
        <v>34</v>
      </c>
      <c r="Q8" s="3">
        <v>98</v>
      </c>
      <c r="T8" s="3">
        <v>2</v>
      </c>
      <c r="V8" s="3" t="s">
        <v>116</v>
      </c>
      <c r="W8" s="4" t="s">
        <v>46</v>
      </c>
      <c r="X8" s="3" t="s">
        <v>21</v>
      </c>
      <c r="Y8" cm="1">
        <f t="array" ref="Y8">SUM(IF(INT($M$2:$M$594)&amp;" "&amp;$K$2:$K$594=INT($M8)&amp;" "&amp;$K8,1,0))</f>
        <v>1</v>
      </c>
      <c r="Z8" cm="1">
        <f t="array" ref="Z8">SUM(IF(ROUND($M$2:$M$594,0)&amp;" "&amp;$K$2:$K$594=ROUND($M8,0)&amp;" "&amp;$K8,1,0))</f>
        <v>1</v>
      </c>
      <c r="AA8" cm="1">
        <f t="array" ref="AA8">SUM(IF($W$2:$W$594=$W8,1,0))</f>
        <v>1</v>
      </c>
    </row>
    <row r="9" spans="1:27" x14ac:dyDescent="0.25">
      <c r="B9" t="s">
        <v>1335</v>
      </c>
      <c r="C9" t="s">
        <v>1341</v>
      </c>
      <c r="D9" t="s">
        <v>173</v>
      </c>
      <c r="E9">
        <v>3</v>
      </c>
      <c r="F9" t="str">
        <f t="shared" si="0"/>
        <v>7/2</v>
      </c>
      <c r="G9" s="1" t="s">
        <v>48</v>
      </c>
      <c r="I9" s="3" t="s">
        <v>15</v>
      </c>
      <c r="K9" s="3" t="s">
        <v>47</v>
      </c>
      <c r="L9" s="4" t="s">
        <v>48</v>
      </c>
      <c r="M9" s="4" t="s">
        <v>48</v>
      </c>
      <c r="N9" s="3" t="s">
        <v>15</v>
      </c>
      <c r="O9" s="3" t="s">
        <v>12</v>
      </c>
      <c r="P9" s="3" t="s">
        <v>34</v>
      </c>
      <c r="Q9" s="3">
        <v>93</v>
      </c>
      <c r="T9" s="3">
        <v>4</v>
      </c>
      <c r="V9" s="3" t="s">
        <v>1802</v>
      </c>
      <c r="W9" s="4" t="s">
        <v>50</v>
      </c>
      <c r="X9" s="3" t="s">
        <v>21</v>
      </c>
      <c r="Y9" cm="1">
        <f t="array" ref="Y9">SUM(IF(INT($M$2:$M$594)&amp;" "&amp;$K$2:$K$594=INT($M9)&amp;" "&amp;$K9,1,0))</f>
        <v>1</v>
      </c>
      <c r="Z9" cm="1">
        <f t="array" ref="Z9">SUM(IF(ROUND($M$2:$M$594,0)&amp;" "&amp;$K$2:$K$594=ROUND($M9,0)&amp;" "&amp;$K9,1,0))</f>
        <v>1</v>
      </c>
      <c r="AA9" cm="1">
        <f t="array" ref="AA9">SUM(IF($W$2:$W$594=$W9,1,0))</f>
        <v>1</v>
      </c>
    </row>
    <row r="10" spans="1:27" x14ac:dyDescent="0.25">
      <c r="B10" t="s">
        <v>1337</v>
      </c>
      <c r="C10" t="s">
        <v>1341</v>
      </c>
      <c r="D10" t="s">
        <v>1694</v>
      </c>
      <c r="E10">
        <v>1</v>
      </c>
      <c r="F10" t="str">
        <f t="shared" si="0"/>
        <v>3/2</v>
      </c>
      <c r="G10" s="1" t="s">
        <v>52</v>
      </c>
      <c r="I10" s="3" t="s">
        <v>15</v>
      </c>
      <c r="K10" s="3" t="s">
        <v>35</v>
      </c>
      <c r="L10" s="4" t="s">
        <v>52</v>
      </c>
      <c r="M10" s="4" t="s">
        <v>52</v>
      </c>
      <c r="N10" s="3" t="s">
        <v>15</v>
      </c>
      <c r="O10" s="3" t="s">
        <v>12</v>
      </c>
      <c r="P10" s="3" t="s">
        <v>51</v>
      </c>
      <c r="Q10" s="3">
        <v>95</v>
      </c>
      <c r="T10" s="3">
        <v>4</v>
      </c>
      <c r="V10" s="3" t="s">
        <v>144</v>
      </c>
      <c r="W10" s="4" t="s">
        <v>54</v>
      </c>
      <c r="X10" s="3" t="s">
        <v>21</v>
      </c>
      <c r="Y10" cm="1">
        <f t="array" ref="Y10">SUM(IF(INT($M$2:$M$594)&amp;" "&amp;$K$2:$K$594=INT($M10)&amp;" "&amp;$K10,1,0))</f>
        <v>1</v>
      </c>
      <c r="Z10" cm="1">
        <f t="array" ref="Z10">SUM(IF(ROUND($M$2:$M$594,0)&amp;" "&amp;$K$2:$K$594=ROUND($M10,0)&amp;" "&amp;$K10,1,0))</f>
        <v>1</v>
      </c>
      <c r="AA10" cm="1">
        <f t="array" ref="AA10">SUM(IF($W$2:$W$594=$W10,1,0))</f>
        <v>1</v>
      </c>
    </row>
    <row r="11" spans="1:27" x14ac:dyDescent="0.25">
      <c r="B11" t="s">
        <v>1335</v>
      </c>
      <c r="C11" t="s">
        <v>1341</v>
      </c>
      <c r="D11" t="s">
        <v>173</v>
      </c>
      <c r="E11">
        <v>4</v>
      </c>
      <c r="F11" t="str">
        <f t="shared" si="0"/>
        <v>9/2</v>
      </c>
      <c r="G11" s="1" t="s">
        <v>55</v>
      </c>
      <c r="I11" s="3" t="s">
        <v>15</v>
      </c>
      <c r="K11" s="3" t="s">
        <v>14</v>
      </c>
      <c r="L11" s="4" t="s">
        <v>55</v>
      </c>
      <c r="M11" s="4" t="s">
        <v>55</v>
      </c>
      <c r="N11" s="3" t="s">
        <v>15</v>
      </c>
      <c r="O11" s="3" t="s">
        <v>12</v>
      </c>
      <c r="P11" s="3" t="s">
        <v>34</v>
      </c>
      <c r="Q11" s="3">
        <v>79</v>
      </c>
      <c r="T11" s="3">
        <v>15</v>
      </c>
      <c r="V11" s="3" t="s">
        <v>39</v>
      </c>
      <c r="W11" s="4" t="s">
        <v>57</v>
      </c>
      <c r="X11" s="3" t="s">
        <v>21</v>
      </c>
      <c r="Y11" cm="1">
        <f t="array" ref="Y11">SUM(IF(INT($M$2:$M$594)&amp;" "&amp;$K$2:$K$594=INT($M11)&amp;" "&amp;$K11,1,0))</f>
        <v>1</v>
      </c>
      <c r="Z11" cm="1">
        <f t="array" ref="Z11">SUM(IF(ROUND($M$2:$M$594,0)&amp;" "&amp;$K$2:$K$594=ROUND($M11,0)&amp;" "&amp;$K11,1,0))</f>
        <v>1</v>
      </c>
      <c r="AA11" cm="1">
        <f t="array" ref="AA11">SUM(IF($W$2:$W$594=$W11,1,0))</f>
        <v>1</v>
      </c>
    </row>
    <row r="12" spans="1:27" x14ac:dyDescent="0.25">
      <c r="B12" t="s">
        <v>1336</v>
      </c>
      <c r="C12" t="s">
        <v>1341</v>
      </c>
      <c r="D12" t="s">
        <v>62</v>
      </c>
      <c r="E12">
        <v>5</v>
      </c>
      <c r="F12" t="str">
        <f t="shared" si="0"/>
        <v>11/2</v>
      </c>
      <c r="G12" s="1" t="s">
        <v>58</v>
      </c>
      <c r="I12" s="3" t="s">
        <v>15</v>
      </c>
      <c r="K12" s="3" t="s">
        <v>22</v>
      </c>
      <c r="L12" s="4" t="s">
        <v>58</v>
      </c>
      <c r="M12" s="4" t="s">
        <v>58</v>
      </c>
      <c r="N12" s="3" t="s">
        <v>15</v>
      </c>
      <c r="O12" s="3" t="s">
        <v>12</v>
      </c>
      <c r="P12" s="3" t="s">
        <v>39</v>
      </c>
      <c r="Q12" s="3">
        <v>82</v>
      </c>
      <c r="T12" s="3">
        <v>13</v>
      </c>
      <c r="V12" s="3" t="s">
        <v>311</v>
      </c>
      <c r="W12" s="4" t="s">
        <v>60</v>
      </c>
      <c r="X12" s="3" t="s">
        <v>21</v>
      </c>
      <c r="Y12" cm="1">
        <f t="array" ref="Y12">SUM(IF(INT($M$2:$M$594)&amp;" "&amp;$K$2:$K$594=INT($M12)&amp;" "&amp;$K12,1,0))</f>
        <v>1</v>
      </c>
      <c r="Z12" cm="1">
        <f t="array" ref="Z12">SUM(IF(ROUND($M$2:$M$594,0)&amp;" "&amp;$K$2:$K$594=ROUND($M12,0)&amp;" "&amp;$K12,1,0))</f>
        <v>1</v>
      </c>
      <c r="AA12" cm="1">
        <f t="array" ref="AA12">SUM(IF($W$2:$W$594=$W12,1,0))</f>
        <v>1</v>
      </c>
    </row>
    <row r="13" spans="1:27" x14ac:dyDescent="0.25">
      <c r="B13" t="s">
        <v>1338</v>
      </c>
      <c r="C13" t="s">
        <v>1341</v>
      </c>
      <c r="D13" t="s">
        <v>193</v>
      </c>
      <c r="E13">
        <v>3</v>
      </c>
      <c r="F13" t="str">
        <f t="shared" si="0"/>
        <v>7/2</v>
      </c>
      <c r="G13" s="1" t="s">
        <v>72</v>
      </c>
      <c r="I13" s="3" t="s">
        <v>15</v>
      </c>
      <c r="K13" s="3" t="s">
        <v>47</v>
      </c>
      <c r="L13" s="4" t="s">
        <v>72</v>
      </c>
      <c r="M13" s="4" t="s">
        <v>72</v>
      </c>
      <c r="N13" s="3" t="s">
        <v>15</v>
      </c>
      <c r="O13" s="3" t="s">
        <v>12</v>
      </c>
      <c r="P13" s="3" t="s">
        <v>71</v>
      </c>
      <c r="Q13" s="3">
        <v>41</v>
      </c>
      <c r="R13" s="3" t="s">
        <v>1802</v>
      </c>
      <c r="T13" s="3">
        <v>29</v>
      </c>
      <c r="V13" s="3" t="s">
        <v>479</v>
      </c>
      <c r="W13" s="4" t="s">
        <v>74</v>
      </c>
      <c r="X13" s="3" t="s">
        <v>21</v>
      </c>
      <c r="Y13" cm="1">
        <f t="array" ref="Y13">SUM(IF(INT($M$2:$M$594)&amp;" "&amp;$K$2:$K$594=INT($M13)&amp;" "&amp;$K13,1,0))</f>
        <v>1</v>
      </c>
      <c r="Z13" cm="1">
        <f t="array" ref="Z13">SUM(IF(ROUND($M$2:$M$594,0)&amp;" "&amp;$K$2:$K$594=ROUND($M13,0)&amp;" "&amp;$K13,1,0))</f>
        <v>1</v>
      </c>
      <c r="AA13" cm="1">
        <f t="array" ref="AA13">SUM(IF($W$2:$W$594=$W13,1,0))</f>
        <v>1</v>
      </c>
    </row>
    <row r="14" spans="1:27" x14ac:dyDescent="0.25">
      <c r="B14" t="s">
        <v>1339</v>
      </c>
      <c r="C14" t="s">
        <v>1341</v>
      </c>
      <c r="D14" t="s">
        <v>86</v>
      </c>
      <c r="E14">
        <v>2</v>
      </c>
      <c r="F14" t="str">
        <f t="shared" si="0"/>
        <v>5/2</v>
      </c>
      <c r="G14" s="1" t="s">
        <v>76</v>
      </c>
      <c r="I14" s="3" t="s">
        <v>15</v>
      </c>
      <c r="K14" s="3" t="s">
        <v>43</v>
      </c>
      <c r="L14" s="4" t="s">
        <v>76</v>
      </c>
      <c r="M14" s="4" t="s">
        <v>76</v>
      </c>
      <c r="N14" s="3" t="s">
        <v>15</v>
      </c>
      <c r="O14" s="3" t="s">
        <v>12</v>
      </c>
      <c r="P14" s="3" t="s">
        <v>75</v>
      </c>
      <c r="Q14" s="3">
        <v>99</v>
      </c>
      <c r="W14" s="4" t="s">
        <v>78</v>
      </c>
      <c r="X14" s="3" t="s">
        <v>21</v>
      </c>
      <c r="Y14" cm="1">
        <f t="array" ref="Y14">SUM(IF(INT($M$2:$M$594)&amp;" "&amp;$K$2:$K$594=INT($M14)&amp;" "&amp;$K14,1,0))</f>
        <v>1</v>
      </c>
      <c r="Z14" cm="1">
        <f t="array" ref="Z14">SUM(IF(ROUND($M$2:$M$594,0)&amp;" "&amp;$K$2:$K$594=ROUND($M14,0)&amp;" "&amp;$K14,1,0))</f>
        <v>1</v>
      </c>
      <c r="AA14" cm="1">
        <f t="array" ref="AA14">SUM(IF($W$2:$W$594=$W14,1,0))</f>
        <v>1</v>
      </c>
    </row>
    <row r="15" spans="1:27" x14ac:dyDescent="0.25">
      <c r="B15" t="s">
        <v>1339</v>
      </c>
      <c r="C15" t="s">
        <v>1341</v>
      </c>
      <c r="D15" t="s">
        <v>86</v>
      </c>
      <c r="E15">
        <v>3</v>
      </c>
      <c r="F15" t="str">
        <f t="shared" si="0"/>
        <v>7/2</v>
      </c>
      <c r="G15" s="1" t="s">
        <v>90</v>
      </c>
      <c r="I15" s="3" t="s">
        <v>15</v>
      </c>
      <c r="K15" s="3" t="s">
        <v>47</v>
      </c>
      <c r="L15" s="4" t="s">
        <v>90</v>
      </c>
      <c r="M15" s="4" t="s">
        <v>90</v>
      </c>
      <c r="N15" s="3" t="s">
        <v>15</v>
      </c>
      <c r="O15" s="3" t="s">
        <v>12</v>
      </c>
      <c r="P15" s="3" t="s">
        <v>75</v>
      </c>
      <c r="Q15" s="3">
        <v>75</v>
      </c>
      <c r="T15" s="3">
        <v>15</v>
      </c>
      <c r="V15" s="3" t="s">
        <v>1802</v>
      </c>
      <c r="W15" s="4" t="s">
        <v>92</v>
      </c>
      <c r="X15" s="3" t="s">
        <v>21</v>
      </c>
      <c r="Y15" cm="1">
        <f t="array" ref="Y15">SUM(IF(INT($M$2:$M$594)&amp;" "&amp;$K$2:$K$594=INT($M15)&amp;" "&amp;$K15,1,0))</f>
        <v>1</v>
      </c>
      <c r="Z15" cm="1">
        <f t="array" ref="Z15">SUM(IF(ROUND($M$2:$M$594,0)&amp;" "&amp;$K$2:$K$594=ROUND($M15,0)&amp;" "&amp;$K15,1,0))</f>
        <v>1</v>
      </c>
      <c r="AA15" cm="1">
        <f t="array" ref="AA15">SUM(IF($W$2:$W$594=$W15,1,0))</f>
        <v>1</v>
      </c>
    </row>
    <row r="16" spans="1:27" x14ac:dyDescent="0.25">
      <c r="B16" t="s">
        <v>1339</v>
      </c>
      <c r="C16" t="s">
        <v>1341</v>
      </c>
      <c r="D16" t="s">
        <v>86</v>
      </c>
      <c r="E16">
        <v>4</v>
      </c>
      <c r="F16" t="str">
        <f t="shared" si="0"/>
        <v>9/2</v>
      </c>
      <c r="G16" s="1" t="s">
        <v>99</v>
      </c>
      <c r="I16" s="3" t="s">
        <v>15</v>
      </c>
      <c r="K16" s="3" t="s">
        <v>14</v>
      </c>
      <c r="L16" s="4" t="s">
        <v>99</v>
      </c>
      <c r="M16" s="4" t="s">
        <v>99</v>
      </c>
      <c r="N16" s="3" t="s">
        <v>15</v>
      </c>
      <c r="O16" s="3" t="s">
        <v>12</v>
      </c>
      <c r="P16" s="3" t="s">
        <v>75</v>
      </c>
      <c r="Q16" s="3">
        <v>55</v>
      </c>
      <c r="T16" s="3">
        <v>17</v>
      </c>
      <c r="V16" s="3" t="s">
        <v>1802</v>
      </c>
      <c r="W16" s="4" t="s">
        <v>101</v>
      </c>
      <c r="X16" s="3" t="s">
        <v>21</v>
      </c>
      <c r="Y16" cm="1">
        <f t="array" ref="Y16">SUM(IF(INT($M$2:$M$594)&amp;" "&amp;$K$2:$K$594=INT($M16)&amp;" "&amp;$K16,1,0))</f>
        <v>1</v>
      </c>
      <c r="Z16" cm="1">
        <f t="array" ref="Z16">SUM(IF(ROUND($M$2:$M$594,0)&amp;" "&amp;$K$2:$K$594=ROUND($M16,0)&amp;" "&amp;$K16,1,0))</f>
        <v>1</v>
      </c>
      <c r="AA16" cm="1">
        <f t="array" ref="AA16">SUM(IF($W$2:$W$594=$W16,1,0))</f>
        <v>1</v>
      </c>
    </row>
    <row r="17" spans="2:27" x14ac:dyDescent="0.25">
      <c r="B17" t="s">
        <v>1340</v>
      </c>
      <c r="C17" t="s">
        <v>1341</v>
      </c>
      <c r="D17" t="s">
        <v>244</v>
      </c>
      <c r="E17">
        <v>6</v>
      </c>
      <c r="F17" t="str">
        <f t="shared" si="0"/>
        <v>13/2</v>
      </c>
      <c r="G17" s="1" t="s">
        <v>103</v>
      </c>
      <c r="I17" s="3" t="s">
        <v>15</v>
      </c>
      <c r="K17" s="3" t="s">
        <v>26</v>
      </c>
      <c r="L17" s="4" t="s">
        <v>103</v>
      </c>
      <c r="M17" s="4" t="s">
        <v>103</v>
      </c>
      <c r="N17" s="3" t="s">
        <v>15</v>
      </c>
      <c r="O17" s="3" t="s">
        <v>12</v>
      </c>
      <c r="P17" s="3" t="s">
        <v>102</v>
      </c>
      <c r="Q17" s="3">
        <v>99</v>
      </c>
      <c r="T17" s="3">
        <v>1</v>
      </c>
      <c r="V17" s="3" t="s">
        <v>266</v>
      </c>
      <c r="W17" s="4" t="s">
        <v>105</v>
      </c>
      <c r="X17" s="3" t="s">
        <v>21</v>
      </c>
      <c r="Y17" cm="1">
        <f t="array" ref="Y17">SUM(IF(INT($M$2:$M$594)&amp;" "&amp;$K$2:$K$594=INT($M17)&amp;" "&amp;$K17,1,0))</f>
        <v>1</v>
      </c>
      <c r="Z17" cm="1">
        <f t="array" ref="Z17">SUM(IF(ROUND($M$2:$M$594,0)&amp;" "&amp;$K$2:$K$594=ROUND($M17,0)&amp;" "&amp;$K17,1,0))</f>
        <v>1</v>
      </c>
      <c r="AA17" cm="1">
        <f t="array" ref="AA17">SUM(IF($W$2:$W$594=$W17,1,0))</f>
        <v>1</v>
      </c>
    </row>
    <row r="18" spans="2:27" x14ac:dyDescent="0.25">
      <c r="B18" t="s">
        <v>1341</v>
      </c>
      <c r="C18" t="s">
        <v>1341</v>
      </c>
      <c r="E18">
        <v>4</v>
      </c>
      <c r="F18" t="str">
        <f t="shared" si="0"/>
        <v>9/2</v>
      </c>
      <c r="G18" s="1" t="s">
        <v>113</v>
      </c>
      <c r="I18" s="3" t="s">
        <v>15</v>
      </c>
      <c r="K18" s="3" t="s">
        <v>14</v>
      </c>
      <c r="L18" s="4" t="s">
        <v>113</v>
      </c>
      <c r="M18" s="4" t="s">
        <v>113</v>
      </c>
      <c r="N18" s="3" t="s">
        <v>15</v>
      </c>
      <c r="O18" s="3" t="s">
        <v>12</v>
      </c>
      <c r="P18" s="3" t="s">
        <v>71</v>
      </c>
      <c r="Q18" s="3">
        <v>43</v>
      </c>
      <c r="R18" s="3" t="s">
        <v>75</v>
      </c>
      <c r="T18" s="3">
        <v>30</v>
      </c>
      <c r="V18" s="3" t="s">
        <v>1802</v>
      </c>
      <c r="W18" s="4" t="s">
        <v>115</v>
      </c>
      <c r="X18" s="3" t="s">
        <v>21</v>
      </c>
      <c r="Y18" cm="1">
        <f t="array" ref="Y18">SUM(IF(INT($M$2:$M$594)&amp;" "&amp;$K$2:$K$594=INT($M18)&amp;" "&amp;$K18,1,0))</f>
        <v>1</v>
      </c>
      <c r="Z18" cm="1">
        <f t="array" ref="Z18">SUM(IF(ROUND($M$2:$M$594,0)&amp;" "&amp;$K$2:$K$594=ROUND($M18,0)&amp;" "&amp;$K18,1,0))</f>
        <v>1</v>
      </c>
      <c r="AA18" cm="1">
        <f t="array" ref="AA18">SUM(IF($W$2:$W$594=$W18,1,0))</f>
        <v>1</v>
      </c>
    </row>
    <row r="19" spans="2:27" x14ac:dyDescent="0.25">
      <c r="B19" t="s">
        <v>1342</v>
      </c>
      <c r="C19" t="s">
        <v>1341</v>
      </c>
      <c r="D19" t="s">
        <v>321</v>
      </c>
      <c r="E19">
        <v>1</v>
      </c>
      <c r="F19" t="str">
        <f t="shared" si="0"/>
        <v>3/2</v>
      </c>
      <c r="G19" s="1" t="s">
        <v>117</v>
      </c>
      <c r="I19" s="3" t="s">
        <v>15</v>
      </c>
      <c r="K19" s="3" t="s">
        <v>35</v>
      </c>
      <c r="L19" s="4" t="s">
        <v>117</v>
      </c>
      <c r="M19" s="4" t="s">
        <v>117</v>
      </c>
      <c r="N19" s="3" t="s">
        <v>15</v>
      </c>
      <c r="O19" s="3" t="s">
        <v>12</v>
      </c>
      <c r="P19" s="3" t="s">
        <v>116</v>
      </c>
      <c r="Q19" s="3">
        <v>50</v>
      </c>
      <c r="T19" s="3">
        <v>40</v>
      </c>
      <c r="V19" s="3" t="s">
        <v>144</v>
      </c>
      <c r="W19" s="4" t="s">
        <v>119</v>
      </c>
      <c r="X19" s="3" t="s">
        <v>21</v>
      </c>
      <c r="Y19" cm="1">
        <f t="array" ref="Y19">SUM(IF(INT($M$2:$M$594)&amp;" "&amp;$K$2:$K$594=INT($M19)&amp;" "&amp;$K19,1,0))</f>
        <v>1</v>
      </c>
      <c r="Z19" cm="1">
        <f t="array" ref="Z19">SUM(IF(ROUND($M$2:$M$594,0)&amp;" "&amp;$K$2:$K$594=ROUND($M19,0)&amp;" "&amp;$K19,1,0))</f>
        <v>1</v>
      </c>
      <c r="AA19" cm="1">
        <f t="array" ref="AA19">SUM(IF($W$2:$W$594=$W19,1,0))</f>
        <v>1</v>
      </c>
    </row>
    <row r="20" spans="2:27" x14ac:dyDescent="0.25">
      <c r="B20" t="s">
        <v>1339</v>
      </c>
      <c r="C20" t="s">
        <v>1341</v>
      </c>
      <c r="D20" t="s">
        <v>86</v>
      </c>
      <c r="E20">
        <v>5</v>
      </c>
      <c r="F20" t="str">
        <f t="shared" si="0"/>
        <v>11/2</v>
      </c>
      <c r="G20" s="1" t="s">
        <v>123</v>
      </c>
      <c r="I20" s="3" t="s">
        <v>15</v>
      </c>
      <c r="K20" s="3" t="s">
        <v>22</v>
      </c>
      <c r="L20" s="4" t="s">
        <v>123</v>
      </c>
      <c r="M20" s="4" t="s">
        <v>123</v>
      </c>
      <c r="N20" s="3" t="s">
        <v>15</v>
      </c>
      <c r="O20" s="3" t="s">
        <v>12</v>
      </c>
      <c r="P20" s="3" t="s">
        <v>75</v>
      </c>
      <c r="Q20" s="3">
        <v>95</v>
      </c>
      <c r="T20" s="3">
        <v>3</v>
      </c>
      <c r="V20" s="3" t="s">
        <v>311</v>
      </c>
      <c r="W20" s="4" t="s">
        <v>125</v>
      </c>
      <c r="X20" s="3" t="s">
        <v>21</v>
      </c>
      <c r="Y20" cm="1">
        <f t="array" ref="Y20">SUM(IF(INT($M$2:$M$594)&amp;" "&amp;$K$2:$K$594=INT($M20)&amp;" "&amp;$K20,1,0))</f>
        <v>1</v>
      </c>
      <c r="Z20" cm="1">
        <f t="array" ref="Z20">SUM(IF(ROUND($M$2:$M$594,0)&amp;" "&amp;$K$2:$K$594=ROUND($M20,0)&amp;" "&amp;$K20,1,0))</f>
        <v>1</v>
      </c>
      <c r="AA20" cm="1">
        <f t="array" ref="AA20">SUM(IF($W$2:$W$594=$W20,1,0))</f>
        <v>1</v>
      </c>
    </row>
    <row r="21" spans="2:27" x14ac:dyDescent="0.25">
      <c r="B21" t="s">
        <v>1340</v>
      </c>
      <c r="C21" t="s">
        <v>1341</v>
      </c>
      <c r="D21" t="s">
        <v>244</v>
      </c>
      <c r="E21">
        <v>7</v>
      </c>
      <c r="F21" t="str">
        <f t="shared" si="0"/>
        <v>15/2</v>
      </c>
      <c r="G21" s="1" t="s">
        <v>131</v>
      </c>
      <c r="I21" s="3" t="s">
        <v>15</v>
      </c>
      <c r="K21" s="3" t="s">
        <v>30</v>
      </c>
      <c r="L21" s="4" t="s">
        <v>131</v>
      </c>
      <c r="M21" s="4" t="s">
        <v>131</v>
      </c>
      <c r="N21" s="3" t="s">
        <v>15</v>
      </c>
      <c r="O21" s="3" t="s">
        <v>12</v>
      </c>
      <c r="P21" s="3" t="s">
        <v>102</v>
      </c>
      <c r="Q21" s="3">
        <v>96</v>
      </c>
      <c r="T21" s="3">
        <v>3</v>
      </c>
      <c r="V21" s="3" t="s">
        <v>284</v>
      </c>
      <c r="W21" s="4" t="s">
        <v>133</v>
      </c>
      <c r="X21" s="3" t="s">
        <v>21</v>
      </c>
      <c r="Y21" cm="1">
        <f t="array" ref="Y21">SUM(IF(INT($M$2:$M$594)&amp;" "&amp;$K$2:$K$594=INT($M21)&amp;" "&amp;$K21,1,0))</f>
        <v>1</v>
      </c>
      <c r="Z21" cm="1">
        <f t="array" ref="Z21">SUM(IF(ROUND($M$2:$M$594,0)&amp;" "&amp;$K$2:$K$594=ROUND($M21,0)&amp;" "&amp;$K21,1,0))</f>
        <v>1</v>
      </c>
      <c r="AA21" cm="1">
        <f t="array" ref="AA21">SUM(IF($W$2:$W$594=$W21,1,0))</f>
        <v>1</v>
      </c>
    </row>
    <row r="22" spans="2:27" x14ac:dyDescent="0.25">
      <c r="B22" t="s">
        <v>1343</v>
      </c>
      <c r="C22" t="s">
        <v>1341</v>
      </c>
      <c r="D22" t="s">
        <v>379</v>
      </c>
      <c r="E22">
        <v>0</v>
      </c>
      <c r="F22" t="str">
        <f t="shared" si="0"/>
        <v>1/2</v>
      </c>
      <c r="G22" s="1" t="s">
        <v>146</v>
      </c>
      <c r="I22" s="3" t="s">
        <v>15</v>
      </c>
      <c r="K22" s="3" t="s">
        <v>145</v>
      </c>
      <c r="L22" s="4" t="s">
        <v>146</v>
      </c>
      <c r="M22" s="4" t="s">
        <v>146</v>
      </c>
      <c r="N22" s="3" t="s">
        <v>15</v>
      </c>
      <c r="O22" s="3" t="s">
        <v>12</v>
      </c>
      <c r="P22" s="3" t="s">
        <v>144</v>
      </c>
      <c r="Q22" s="3">
        <v>95</v>
      </c>
      <c r="T22" s="3">
        <v>5</v>
      </c>
      <c r="V22" s="3" t="s">
        <v>225</v>
      </c>
      <c r="W22" s="4" t="s">
        <v>148</v>
      </c>
      <c r="X22" s="3" t="s">
        <v>21</v>
      </c>
      <c r="Y22" cm="1">
        <f t="array" ref="Y22">SUM(IF(INT($M$2:$M$594)&amp;" "&amp;$K$2:$K$594=INT($M22)&amp;" "&amp;$K22,1,0))</f>
        <v>1</v>
      </c>
      <c r="Z22" cm="1">
        <f t="array" ref="Z22">SUM(IF(ROUND($M$2:$M$594,0)&amp;" "&amp;$K$2:$K$594=ROUND($M22,0)&amp;" "&amp;$K22,1,0))</f>
        <v>1</v>
      </c>
      <c r="AA22" cm="1">
        <f t="array" ref="AA22">SUM(IF($W$2:$W$594=$W22,1,0))</f>
        <v>1</v>
      </c>
    </row>
    <row r="23" spans="2:27" x14ac:dyDescent="0.25">
      <c r="B23" t="s">
        <v>1342</v>
      </c>
      <c r="C23" t="s">
        <v>1341</v>
      </c>
      <c r="D23" t="s">
        <v>321</v>
      </c>
      <c r="E23">
        <v>2</v>
      </c>
      <c r="F23" t="str">
        <f t="shared" si="0"/>
        <v>5/2</v>
      </c>
      <c r="G23" s="1" t="s">
        <v>155</v>
      </c>
      <c r="I23" s="3" t="s">
        <v>15</v>
      </c>
      <c r="K23" s="3" t="s">
        <v>43</v>
      </c>
      <c r="L23" s="4" t="s">
        <v>155</v>
      </c>
      <c r="M23" s="4" t="s">
        <v>155</v>
      </c>
      <c r="N23" s="3" t="s">
        <v>15</v>
      </c>
      <c r="O23" s="3" t="s">
        <v>12</v>
      </c>
      <c r="P23" s="3" t="s">
        <v>116</v>
      </c>
      <c r="Q23" s="3">
        <v>98</v>
      </c>
      <c r="T23" s="3">
        <v>2</v>
      </c>
      <c r="V23" s="3" t="s">
        <v>34</v>
      </c>
      <c r="W23" s="4" t="s">
        <v>157</v>
      </c>
      <c r="X23" s="3" t="s">
        <v>21</v>
      </c>
      <c r="Y23" cm="1">
        <f t="array" ref="Y23">SUM(IF(INT($M$2:$M$594)&amp;" "&amp;$K$2:$K$594=INT($M23)&amp;" "&amp;$K23,1,0))</f>
        <v>1</v>
      </c>
      <c r="Z23" cm="1">
        <f t="array" ref="Z23">SUM(IF(ROUND($M$2:$M$594,0)&amp;" "&amp;$K$2:$K$594=ROUND($M23,0)&amp;" "&amp;$K23,1,0))</f>
        <v>1</v>
      </c>
      <c r="AA23" cm="1">
        <f t="array" ref="AA23">SUM(IF($W$2:$W$594=$W23,1,0))</f>
        <v>1</v>
      </c>
    </row>
    <row r="24" spans="2:27" x14ac:dyDescent="0.25">
      <c r="B24" t="s">
        <v>1343</v>
      </c>
      <c r="C24" t="s">
        <v>1341</v>
      </c>
      <c r="D24" t="s">
        <v>379</v>
      </c>
      <c r="E24">
        <v>1</v>
      </c>
      <c r="F24" t="str">
        <f t="shared" si="0"/>
        <v>3/2</v>
      </c>
      <c r="G24" s="1" t="s">
        <v>183</v>
      </c>
      <c r="I24" s="3" t="s">
        <v>15</v>
      </c>
      <c r="K24" s="3" t="s">
        <v>35</v>
      </c>
      <c r="L24" s="4" t="s">
        <v>183</v>
      </c>
      <c r="M24" s="4" t="s">
        <v>183</v>
      </c>
      <c r="N24" s="3" t="s">
        <v>15</v>
      </c>
      <c r="O24" s="3" t="s">
        <v>12</v>
      </c>
      <c r="P24" s="3" t="s">
        <v>144</v>
      </c>
      <c r="Q24" s="3">
        <v>53</v>
      </c>
      <c r="T24" s="3">
        <v>40</v>
      </c>
      <c r="V24" s="3" t="s">
        <v>116</v>
      </c>
      <c r="W24" s="4" t="s">
        <v>185</v>
      </c>
      <c r="X24" s="3" t="s">
        <v>21</v>
      </c>
      <c r="Y24" cm="1">
        <f t="array" ref="Y24">SUM(IF(INT($M$2:$M$594)&amp;" "&amp;$K$2:$K$594=INT($M24)&amp;" "&amp;$K24,1,0))</f>
        <v>1</v>
      </c>
      <c r="Z24" cm="1">
        <f t="array" ref="Z24">SUM(IF(ROUND($M$2:$M$594,0)&amp;" "&amp;$K$2:$K$594=ROUND($M24,0)&amp;" "&amp;$K24,1,0))</f>
        <v>1</v>
      </c>
      <c r="AA24" cm="1">
        <f t="array" ref="AA24">SUM(IF($W$2:$W$594=$W24,1,0))</f>
        <v>1</v>
      </c>
    </row>
    <row r="25" spans="2:27" x14ac:dyDescent="0.25">
      <c r="B25" t="s">
        <v>1344</v>
      </c>
      <c r="C25" t="s">
        <v>1341</v>
      </c>
      <c r="D25" t="s">
        <v>221</v>
      </c>
      <c r="E25">
        <v>3</v>
      </c>
      <c r="F25" s="2" t="str">
        <f t="shared" si="0"/>
        <v>7/2</v>
      </c>
      <c r="G25" s="1" t="s">
        <v>226</v>
      </c>
      <c r="I25" s="3" t="s">
        <v>15</v>
      </c>
      <c r="K25" s="3" t="s">
        <v>35</v>
      </c>
      <c r="L25" s="4" t="s">
        <v>226</v>
      </c>
      <c r="M25" s="4" t="s">
        <v>226</v>
      </c>
      <c r="N25" s="3" t="s">
        <v>15</v>
      </c>
      <c r="O25" s="3" t="s">
        <v>12</v>
      </c>
      <c r="P25" s="3" t="s">
        <v>225</v>
      </c>
      <c r="Q25" s="3">
        <v>82</v>
      </c>
      <c r="T25" s="3">
        <v>15</v>
      </c>
      <c r="V25" s="3" t="s">
        <v>307</v>
      </c>
      <c r="W25" s="4" t="s">
        <v>228</v>
      </c>
      <c r="X25" s="3" t="s">
        <v>21</v>
      </c>
      <c r="Y25" cm="1">
        <f t="array" ref="Y25">SUM(IF(INT($M$2:$M$594)&amp;" "&amp;$K$2:$K$594=INT($M25)&amp;" "&amp;$K25,1,0))</f>
        <v>1</v>
      </c>
      <c r="Z25" cm="1">
        <f t="array" ref="Z25">SUM(IF(ROUND($M$2:$M$594,0)&amp;" "&amp;$K$2:$K$594=ROUND($M25,0)&amp;" "&amp;$K25,1,0))</f>
        <v>1</v>
      </c>
      <c r="AA25" cm="1">
        <f t="array" ref="AA25">SUM(IF($W$2:$W$594=$W25,1,0))</f>
        <v>1</v>
      </c>
    </row>
    <row r="26" spans="2:27" x14ac:dyDescent="0.25">
      <c r="B26" t="s">
        <v>1344</v>
      </c>
      <c r="C26" t="s">
        <v>1341</v>
      </c>
      <c r="D26" t="s">
        <v>221</v>
      </c>
      <c r="E26">
        <v>2</v>
      </c>
      <c r="F26" t="str">
        <f t="shared" si="0"/>
        <v>5/2</v>
      </c>
      <c r="G26" s="1" t="s">
        <v>232</v>
      </c>
      <c r="I26" s="3" t="s">
        <v>15</v>
      </c>
      <c r="K26" s="3" t="s">
        <v>43</v>
      </c>
      <c r="L26" s="4" t="s">
        <v>232</v>
      </c>
      <c r="M26" s="4" t="s">
        <v>232</v>
      </c>
      <c r="N26" s="3" t="s">
        <v>15</v>
      </c>
      <c r="O26" s="3" t="s">
        <v>12</v>
      </c>
      <c r="P26" s="3" t="s">
        <v>225</v>
      </c>
      <c r="Q26" s="3">
        <v>81</v>
      </c>
      <c r="T26" s="3">
        <v>18</v>
      </c>
      <c r="V26" s="3" t="s">
        <v>307</v>
      </c>
      <c r="W26" s="4" t="s">
        <v>234</v>
      </c>
      <c r="X26" s="3" t="s">
        <v>21</v>
      </c>
      <c r="Y26" cm="1">
        <f t="array" ref="Y26">SUM(IF(INT($M$2:$M$594)&amp;" "&amp;$K$2:$K$594=INT($M26)&amp;" "&amp;$K26,1,0))</f>
        <v>1</v>
      </c>
      <c r="Z26" cm="1">
        <f t="array" ref="Z26">SUM(IF(ROUND($M$2:$M$594,0)&amp;" "&amp;$K$2:$K$594=ROUND($M26,0)&amp;" "&amp;$K26,1,0))</f>
        <v>1</v>
      </c>
      <c r="AA26" cm="1">
        <f t="array" ref="AA26">SUM(IF($W$2:$W$594=$W26,1,0))</f>
        <v>1</v>
      </c>
    </row>
    <row r="27" spans="2:27" x14ac:dyDescent="0.25">
      <c r="B27" t="s">
        <v>1344</v>
      </c>
      <c r="C27" t="s">
        <v>1341</v>
      </c>
      <c r="D27" t="s">
        <v>221</v>
      </c>
      <c r="E27">
        <v>0</v>
      </c>
      <c r="F27" t="str">
        <f t="shared" si="0"/>
        <v>1/2</v>
      </c>
      <c r="G27" s="1" t="s">
        <v>238</v>
      </c>
      <c r="I27" s="3" t="s">
        <v>15</v>
      </c>
      <c r="K27" s="3" t="s">
        <v>145</v>
      </c>
      <c r="L27" s="4" t="s">
        <v>238</v>
      </c>
      <c r="M27" s="4" t="s">
        <v>238</v>
      </c>
      <c r="N27" s="3" t="s">
        <v>15</v>
      </c>
      <c r="O27" s="3" t="s">
        <v>12</v>
      </c>
      <c r="P27" s="3" t="s">
        <v>225</v>
      </c>
      <c r="Q27" s="3">
        <v>95</v>
      </c>
      <c r="T27" s="3">
        <v>5</v>
      </c>
      <c r="V27" s="3" t="s">
        <v>144</v>
      </c>
      <c r="W27" s="4" t="s">
        <v>240</v>
      </c>
      <c r="X27" s="3" t="s">
        <v>21</v>
      </c>
      <c r="Y27" cm="1">
        <f t="array" ref="Y27">SUM(IF(INT($M$2:$M$594)&amp;" "&amp;$K$2:$K$594=INT($M27)&amp;" "&amp;$K27,1,0))</f>
        <v>1</v>
      </c>
      <c r="Z27" cm="1">
        <f t="array" ref="Z27">SUM(IF(ROUND($M$2:$M$594,0)&amp;" "&amp;$K$2:$K$594=ROUND($M27,0)&amp;" "&amp;$K27,1,0))</f>
        <v>1</v>
      </c>
      <c r="AA27" cm="1">
        <f t="array" ref="AA27">SUM(IF($W$2:$W$594=$W27,1,0))</f>
        <v>1</v>
      </c>
    </row>
    <row r="28" spans="2:27" x14ac:dyDescent="0.25">
      <c r="B28" t="s">
        <v>1345</v>
      </c>
      <c r="C28" t="s">
        <v>1341</v>
      </c>
      <c r="D28" t="s">
        <v>140</v>
      </c>
      <c r="E28">
        <v>5</v>
      </c>
      <c r="F28" t="str">
        <f t="shared" si="0"/>
        <v>11/2</v>
      </c>
      <c r="G28" s="1" t="s">
        <v>267</v>
      </c>
      <c r="I28" s="3" t="s">
        <v>15</v>
      </c>
      <c r="K28" s="3" t="s">
        <v>22</v>
      </c>
      <c r="L28" s="4" t="s">
        <v>267</v>
      </c>
      <c r="M28" s="4" t="s">
        <v>267</v>
      </c>
      <c r="N28" s="3" t="s">
        <v>15</v>
      </c>
      <c r="O28" s="3" t="s">
        <v>12</v>
      </c>
      <c r="P28" s="3" t="s">
        <v>266</v>
      </c>
      <c r="Q28" s="3">
        <v>84</v>
      </c>
      <c r="T28" s="3">
        <v>14</v>
      </c>
      <c r="V28" s="3" t="s">
        <v>311</v>
      </c>
      <c r="W28" s="4" t="s">
        <v>269</v>
      </c>
      <c r="X28" s="3" t="s">
        <v>21</v>
      </c>
      <c r="Y28" cm="1">
        <f t="array" ref="Y28">SUM(IF(INT($M$2:$M$594)&amp;" "&amp;$K$2:$K$594=INT($M28)&amp;" "&amp;$K28,1,0))</f>
        <v>1</v>
      </c>
      <c r="Z28" cm="1">
        <f t="array" ref="Z28">SUM(IF(ROUND($M$2:$M$594,0)&amp;" "&amp;$K$2:$K$594=ROUND($M28,0)&amp;" "&amp;$K28,1,0))</f>
        <v>1</v>
      </c>
      <c r="AA28" cm="1">
        <f t="array" ref="AA28">SUM(IF($W$2:$W$594=$W28,1,0))</f>
        <v>1</v>
      </c>
    </row>
    <row r="29" spans="2:27" x14ac:dyDescent="0.25">
      <c r="B29" t="s">
        <v>1344</v>
      </c>
      <c r="C29" t="s">
        <v>1341</v>
      </c>
      <c r="D29" t="s">
        <v>221</v>
      </c>
      <c r="E29">
        <v>3</v>
      </c>
      <c r="F29" t="str">
        <f t="shared" si="0"/>
        <v>7/2</v>
      </c>
      <c r="G29" s="1" t="s">
        <v>279</v>
      </c>
      <c r="I29" s="3" t="s">
        <v>15</v>
      </c>
      <c r="K29" s="3" t="s">
        <v>47</v>
      </c>
      <c r="L29" s="4" t="s">
        <v>279</v>
      </c>
      <c r="M29" s="4" t="s">
        <v>279</v>
      </c>
      <c r="N29" s="3" t="s">
        <v>15</v>
      </c>
      <c r="O29" s="3" t="s">
        <v>12</v>
      </c>
      <c r="P29" s="3" t="s">
        <v>225</v>
      </c>
      <c r="Q29" s="3">
        <v>100</v>
      </c>
      <c r="W29" s="4" t="s">
        <v>280</v>
      </c>
      <c r="X29" s="3" t="s">
        <v>21</v>
      </c>
      <c r="Y29" cm="1">
        <f t="array" ref="Y29">SUM(IF(INT($M$2:$M$594)&amp;" "&amp;$K$2:$K$594=INT($M29)&amp;" "&amp;$K29,1,0))</f>
        <v>1</v>
      </c>
      <c r="Z29" cm="1">
        <f t="array" ref="Z29">SUM(IF(ROUND($M$2:$M$594,0)&amp;" "&amp;$K$2:$K$594=ROUND($M29,0)&amp;" "&amp;$K29,1,0))</f>
        <v>1</v>
      </c>
      <c r="AA29" cm="1">
        <f t="array" ref="AA29">SUM(IF($W$2:$W$594=$W29,1,0))</f>
        <v>1</v>
      </c>
    </row>
    <row r="30" spans="2:27" x14ac:dyDescent="0.25">
      <c r="B30" t="s">
        <v>1346</v>
      </c>
      <c r="C30" t="s">
        <v>1341</v>
      </c>
      <c r="D30" t="s">
        <v>486</v>
      </c>
      <c r="E30">
        <v>7</v>
      </c>
      <c r="F30" t="str">
        <f t="shared" si="0"/>
        <v>15/2</v>
      </c>
      <c r="G30" s="1" t="s">
        <v>285</v>
      </c>
      <c r="I30" s="3" t="s">
        <v>15</v>
      </c>
      <c r="K30" s="3" t="s">
        <v>30</v>
      </c>
      <c r="L30" s="4" t="s">
        <v>285</v>
      </c>
      <c r="M30" s="4" t="s">
        <v>285</v>
      </c>
      <c r="N30" s="3" t="s">
        <v>15</v>
      </c>
      <c r="O30" s="3" t="s">
        <v>12</v>
      </c>
      <c r="P30" s="3" t="s">
        <v>284</v>
      </c>
      <c r="Q30" s="3">
        <v>97</v>
      </c>
      <c r="T30" s="3">
        <v>3</v>
      </c>
      <c r="V30" s="3" t="s">
        <v>102</v>
      </c>
      <c r="W30" s="4" t="s">
        <v>287</v>
      </c>
      <c r="X30" s="3" t="s">
        <v>21</v>
      </c>
      <c r="Y30" cm="1">
        <f t="array" ref="Y30">SUM(IF(INT($M$2:$M$594)&amp;" "&amp;$K$2:$K$594=INT($M30)&amp;" "&amp;$K30,1,0))</f>
        <v>1</v>
      </c>
      <c r="Z30" cm="1">
        <f t="array" ref="Z30">SUM(IF(ROUND($M$2:$M$594,0)&amp;" "&amp;$K$2:$K$594=ROUND($M30,0)&amp;" "&amp;$K30,1,0))</f>
        <v>1</v>
      </c>
      <c r="AA30" cm="1">
        <f t="array" ref="AA30">SUM(IF($W$2:$W$594=$W30,1,0))</f>
        <v>1</v>
      </c>
    </row>
    <row r="31" spans="2:27" x14ac:dyDescent="0.25">
      <c r="B31" t="s">
        <v>1345</v>
      </c>
      <c r="C31" t="s">
        <v>1341</v>
      </c>
      <c r="D31" t="s">
        <v>140</v>
      </c>
      <c r="E31">
        <v>6</v>
      </c>
      <c r="F31" t="str">
        <f t="shared" si="0"/>
        <v>13/2</v>
      </c>
      <c r="G31" s="1" t="s">
        <v>288</v>
      </c>
      <c r="I31" s="3" t="s">
        <v>15</v>
      </c>
      <c r="K31" s="3" t="s">
        <v>26</v>
      </c>
      <c r="L31" s="4" t="s">
        <v>288</v>
      </c>
      <c r="M31" s="4" t="s">
        <v>288</v>
      </c>
      <c r="N31" s="3" t="s">
        <v>15</v>
      </c>
      <c r="O31" s="3" t="s">
        <v>12</v>
      </c>
      <c r="P31" s="3" t="s">
        <v>266</v>
      </c>
      <c r="Q31" s="3">
        <v>99</v>
      </c>
      <c r="T31" s="3">
        <v>1</v>
      </c>
      <c r="V31" s="3" t="s">
        <v>102</v>
      </c>
      <c r="W31" s="4" t="s">
        <v>289</v>
      </c>
      <c r="X31" s="3" t="s">
        <v>21</v>
      </c>
      <c r="Y31" cm="1">
        <f t="array" ref="Y31">SUM(IF(INT($M$2:$M$594)&amp;" "&amp;$K$2:$K$594=INT($M31)&amp;" "&amp;$K31,1,0))</f>
        <v>1</v>
      </c>
      <c r="Z31" cm="1">
        <f t="array" ref="Z31">SUM(IF(ROUND($M$2:$M$594,0)&amp;" "&amp;$K$2:$K$594=ROUND($M31,0)&amp;" "&amp;$K31,1,0))</f>
        <v>1</v>
      </c>
      <c r="AA31" cm="1">
        <f t="array" ref="AA31">SUM(IF($W$2:$W$594=$W31,1,0))</f>
        <v>1</v>
      </c>
    </row>
    <row r="32" spans="2:27" x14ac:dyDescent="0.25">
      <c r="B32" t="s">
        <v>1346</v>
      </c>
      <c r="C32" t="s">
        <v>1341</v>
      </c>
      <c r="D32" t="s">
        <v>486</v>
      </c>
      <c r="E32">
        <v>8</v>
      </c>
      <c r="F32" t="str">
        <f t="shared" si="0"/>
        <v>17/2</v>
      </c>
      <c r="G32" s="1" t="s">
        <v>305</v>
      </c>
      <c r="I32" s="3" t="s">
        <v>15</v>
      </c>
      <c r="K32" s="3" t="s">
        <v>164</v>
      </c>
      <c r="L32" s="4" t="s">
        <v>305</v>
      </c>
      <c r="M32" s="4" t="s">
        <v>305</v>
      </c>
      <c r="N32" s="3" t="s">
        <v>15</v>
      </c>
      <c r="O32" s="3" t="s">
        <v>12</v>
      </c>
      <c r="P32" s="3" t="s">
        <v>284</v>
      </c>
      <c r="Q32" s="3">
        <v>100</v>
      </c>
      <c r="W32" s="4" t="s">
        <v>306</v>
      </c>
      <c r="X32" s="3" t="s">
        <v>21</v>
      </c>
      <c r="Y32" cm="1">
        <f t="array" ref="Y32">SUM(IF(INT($M$2:$M$594)&amp;" "&amp;$K$2:$K$594=INT($M32)&amp;" "&amp;$K32,1,0))</f>
        <v>1</v>
      </c>
      <c r="Z32" cm="1">
        <f t="array" ref="Z32">SUM(IF(ROUND($M$2:$M$594,0)&amp;" "&amp;$K$2:$K$594=ROUND($M32,0)&amp;" "&amp;$K32,1,0))</f>
        <v>1</v>
      </c>
      <c r="AA32" cm="1">
        <f t="array" ref="AA32">SUM(IF($W$2:$W$594=$W32,1,0))</f>
        <v>1</v>
      </c>
    </row>
    <row r="33" spans="1:27" x14ac:dyDescent="0.25">
      <c r="B33" t="s">
        <v>1342</v>
      </c>
      <c r="C33" t="s">
        <v>1341</v>
      </c>
      <c r="D33" t="s">
        <v>321</v>
      </c>
      <c r="E33">
        <v>1</v>
      </c>
      <c r="F33" t="str">
        <f t="shared" si="0"/>
        <v>3/2</v>
      </c>
      <c r="G33" s="1" t="s">
        <v>308</v>
      </c>
      <c r="I33" s="3" t="s">
        <v>15</v>
      </c>
      <c r="K33" s="3" t="s">
        <v>35</v>
      </c>
      <c r="L33" s="4" t="s">
        <v>308</v>
      </c>
      <c r="M33" s="4" t="s">
        <v>308</v>
      </c>
      <c r="N33" s="3" t="s">
        <v>15</v>
      </c>
      <c r="O33" s="3" t="s">
        <v>12</v>
      </c>
      <c r="P33" s="3" t="s">
        <v>307</v>
      </c>
      <c r="Q33" s="3">
        <v>80</v>
      </c>
      <c r="T33" s="3">
        <v>16</v>
      </c>
      <c r="V33" s="3" t="s">
        <v>225</v>
      </c>
      <c r="W33" s="4" t="s">
        <v>310</v>
      </c>
      <c r="X33" s="3" t="s">
        <v>21</v>
      </c>
      <c r="Y33" cm="1">
        <f t="array" ref="Y33">SUM(IF(INT($M$2:$M$594)&amp;" "&amp;$K$2:$K$594=INT($M33)&amp;" "&amp;$K33,1,0))</f>
        <v>1</v>
      </c>
      <c r="Z33" cm="1">
        <f t="array" ref="Z33">SUM(IF(ROUND($M$2:$M$594,0)&amp;" "&amp;$K$2:$K$594=ROUND($M33,0)&amp;" "&amp;$K33,1,0))</f>
        <v>1</v>
      </c>
      <c r="AA33" cm="1">
        <f t="array" ref="AA33">SUM(IF($W$2:$W$594=$W33,1,0))</f>
        <v>1</v>
      </c>
    </row>
    <row r="34" spans="1:27" x14ac:dyDescent="0.25">
      <c r="B34" t="s">
        <v>1336</v>
      </c>
      <c r="C34" t="s">
        <v>1341</v>
      </c>
      <c r="D34" t="s">
        <v>62</v>
      </c>
      <c r="E34">
        <v>4</v>
      </c>
      <c r="F34" t="str">
        <f t="shared" si="0"/>
        <v>9/2</v>
      </c>
      <c r="G34" s="1" t="s">
        <v>312</v>
      </c>
      <c r="I34" s="3" t="s">
        <v>15</v>
      </c>
      <c r="K34" s="3" t="s">
        <v>14</v>
      </c>
      <c r="L34" s="4" t="s">
        <v>312</v>
      </c>
      <c r="M34" s="4" t="s">
        <v>312</v>
      </c>
      <c r="N34" s="3" t="s">
        <v>15</v>
      </c>
      <c r="O34" s="3" t="s">
        <v>12</v>
      </c>
      <c r="P34" s="3" t="s">
        <v>311</v>
      </c>
      <c r="Q34" s="3">
        <v>87</v>
      </c>
      <c r="T34" s="3">
        <v>11</v>
      </c>
      <c r="V34" s="3" t="s">
        <v>39</v>
      </c>
      <c r="W34" s="4" t="s">
        <v>314</v>
      </c>
      <c r="X34" s="3" t="s">
        <v>21</v>
      </c>
      <c r="Y34" cm="1">
        <f t="array" ref="Y34">SUM(IF(INT($M$2:$M$594)&amp;" "&amp;$K$2:$K$594=INT($M34)&amp;" "&amp;$K34,1,0))</f>
        <v>1</v>
      </c>
      <c r="Z34" cm="1">
        <f t="array" ref="Z34">SUM(IF(ROUND($M$2:$M$594,0)&amp;" "&amp;$K$2:$K$594=ROUND($M34,0)&amp;" "&amp;$K34,1,0))</f>
        <v>1</v>
      </c>
      <c r="AA34" cm="1">
        <f t="array" ref="AA34">SUM(IF($W$2:$W$594=$W34,1,0))</f>
        <v>1</v>
      </c>
    </row>
    <row r="35" spans="1:27" x14ac:dyDescent="0.25">
      <c r="B35" t="s">
        <v>1342</v>
      </c>
      <c r="C35" t="s">
        <v>1341</v>
      </c>
      <c r="D35" t="s">
        <v>321</v>
      </c>
      <c r="E35">
        <v>2</v>
      </c>
      <c r="F35" t="str">
        <f t="shared" si="0"/>
        <v>5/2</v>
      </c>
      <c r="G35" s="1" t="s">
        <v>325</v>
      </c>
      <c r="I35" s="3" t="s">
        <v>15</v>
      </c>
      <c r="K35" s="3" t="s">
        <v>43</v>
      </c>
      <c r="L35" s="4" t="s">
        <v>325</v>
      </c>
      <c r="M35" s="4" t="s">
        <v>325</v>
      </c>
      <c r="N35" s="3" t="s">
        <v>15</v>
      </c>
      <c r="O35" s="3" t="s">
        <v>12</v>
      </c>
      <c r="P35" s="3" t="s">
        <v>307</v>
      </c>
      <c r="Q35" s="3">
        <v>77</v>
      </c>
      <c r="T35" s="3">
        <v>19</v>
      </c>
      <c r="V35" s="3" t="s">
        <v>225</v>
      </c>
      <c r="W35" s="4" t="s">
        <v>327</v>
      </c>
      <c r="X35" s="3" t="s">
        <v>21</v>
      </c>
      <c r="Y35" cm="1">
        <f t="array" ref="Y35">SUM(IF(INT($M$2:$M$594)&amp;" "&amp;$K$2:$K$594=INT($M35)&amp;" "&amp;$K35,1,0))</f>
        <v>1</v>
      </c>
      <c r="Z35" cm="1">
        <f t="array" ref="Z35">SUM(IF(ROUND($M$2:$M$594,0)&amp;" "&amp;$K$2:$K$594=ROUND($M35,0)&amp;" "&amp;$K35,1,0))</f>
        <v>1</v>
      </c>
      <c r="AA35" cm="1">
        <f t="array" ref="AA35">SUM(IF($W$2:$W$594=$W35,1,0))</f>
        <v>1</v>
      </c>
    </row>
    <row r="36" spans="1:27" x14ac:dyDescent="0.25">
      <c r="B36" t="s">
        <v>1336</v>
      </c>
      <c r="C36" t="s">
        <v>1341</v>
      </c>
      <c r="D36" t="s">
        <v>62</v>
      </c>
      <c r="E36">
        <v>5</v>
      </c>
      <c r="F36" t="str">
        <f t="shared" si="0"/>
        <v>11/2</v>
      </c>
      <c r="G36" s="1" t="s">
        <v>331</v>
      </c>
      <c r="I36" s="3" t="s">
        <v>15</v>
      </c>
      <c r="K36" s="3" t="s">
        <v>22</v>
      </c>
      <c r="L36" s="4" t="s">
        <v>331</v>
      </c>
      <c r="M36" s="4" t="s">
        <v>331</v>
      </c>
      <c r="N36" s="3" t="s">
        <v>15</v>
      </c>
      <c r="O36" s="3" t="s">
        <v>12</v>
      </c>
      <c r="P36" s="3" t="s">
        <v>311</v>
      </c>
      <c r="Q36" s="3">
        <v>70</v>
      </c>
      <c r="T36" s="3">
        <v>16</v>
      </c>
      <c r="V36" s="3" t="s">
        <v>266</v>
      </c>
      <c r="W36" s="4" t="s">
        <v>333</v>
      </c>
      <c r="X36" s="3" t="s">
        <v>21</v>
      </c>
      <c r="Y36" cm="1">
        <f t="array" ref="Y36">SUM(IF(INT($M$2:$M$594)&amp;" "&amp;$K$2:$K$594=INT($M36)&amp;" "&amp;$K36,1,0))</f>
        <v>1</v>
      </c>
      <c r="Z36" cm="1">
        <f t="array" ref="Z36">SUM(IF(ROUND($M$2:$M$594,0)&amp;" "&amp;$K$2:$K$594=ROUND($M36,0)&amp;" "&amp;$K36,1,0))</f>
        <v>1</v>
      </c>
      <c r="AA36" cm="1">
        <f t="array" ref="AA36">SUM(IF($W$2:$W$594=$W36,1,0))</f>
        <v>1</v>
      </c>
    </row>
    <row r="37" spans="1:27" x14ac:dyDescent="0.25">
      <c r="A37" t="s">
        <v>1662</v>
      </c>
      <c r="B37" t="s">
        <v>1663</v>
      </c>
      <c r="C37" t="s">
        <v>351</v>
      </c>
      <c r="D37" t="s">
        <v>1695</v>
      </c>
      <c r="E37">
        <v>2</v>
      </c>
      <c r="F37" t="str">
        <f t="shared" si="0"/>
        <v>5/2</v>
      </c>
      <c r="G37" s="1" t="s">
        <v>1347</v>
      </c>
      <c r="I37" s="3" t="s">
        <v>15</v>
      </c>
      <c r="J37" s="3" t="s">
        <v>1662</v>
      </c>
      <c r="K37" s="3" t="s">
        <v>43</v>
      </c>
      <c r="L37" s="3" t="s">
        <v>1347</v>
      </c>
      <c r="M37" s="4" t="s">
        <v>1347</v>
      </c>
      <c r="N37" s="3" t="s">
        <v>15</v>
      </c>
      <c r="O37" s="3" t="s">
        <v>12</v>
      </c>
      <c r="P37" s="3" t="s">
        <v>370</v>
      </c>
      <c r="W37" s="5" t="s">
        <v>1928</v>
      </c>
      <c r="X37" s="3" t="s">
        <v>1754</v>
      </c>
      <c r="Y37" cm="1">
        <f t="array" ref="Y37">SUM(IF(INT($M$2:$M$594)&amp;" "&amp;$K$2:$K$594=INT($M37)&amp;" "&amp;$K37,1,0))</f>
        <v>1</v>
      </c>
      <c r="Z37" cm="1">
        <f t="array" ref="Z37">SUM(IF(ROUND($M$2:$M$594,0)&amp;" "&amp;$K$2:$K$594=ROUND($M37,0)&amp;" "&amp;$K37,1,0))</f>
        <v>1</v>
      </c>
      <c r="AA37" cm="1">
        <f t="array" ref="AA37">SUM(IF($W$2:$W$594=$W37,1,0))</f>
        <v>1</v>
      </c>
    </row>
    <row r="38" spans="1:27" x14ac:dyDescent="0.25">
      <c r="B38" t="s">
        <v>1348</v>
      </c>
      <c r="C38" t="s">
        <v>1341</v>
      </c>
      <c r="D38" t="s">
        <v>351</v>
      </c>
      <c r="E38">
        <v>3</v>
      </c>
      <c r="F38" t="str">
        <f t="shared" si="0"/>
        <v>7/2</v>
      </c>
      <c r="G38" s="1" t="s">
        <v>371</v>
      </c>
      <c r="I38" s="3" t="s">
        <v>15</v>
      </c>
      <c r="K38" s="3" t="s">
        <v>47</v>
      </c>
      <c r="L38" s="4" t="s">
        <v>371</v>
      </c>
      <c r="M38" s="4" t="s">
        <v>371</v>
      </c>
      <c r="N38" s="3" t="s">
        <v>15</v>
      </c>
      <c r="O38" s="3" t="s">
        <v>12</v>
      </c>
      <c r="P38" s="3" t="s">
        <v>370</v>
      </c>
      <c r="Q38" s="3">
        <v>82</v>
      </c>
      <c r="T38" s="3">
        <v>17</v>
      </c>
      <c r="V38" s="3" t="s">
        <v>553</v>
      </c>
      <c r="W38" s="4" t="s">
        <v>373</v>
      </c>
      <c r="X38" s="3" t="s">
        <v>21</v>
      </c>
      <c r="Y38" cm="1">
        <f t="array" ref="Y38">SUM(IF(INT($M$2:$M$594)&amp;" "&amp;$K$2:$K$594=INT($M38)&amp;" "&amp;$K38,1,0))</f>
        <v>1</v>
      </c>
      <c r="Z38" cm="1">
        <f t="array" ref="Z38">SUM(IF(ROUND($M$2:$M$594,0)&amp;" "&amp;$K$2:$K$594=ROUND($M38,0)&amp;" "&amp;$K38,1,0))</f>
        <v>1</v>
      </c>
      <c r="AA38" cm="1">
        <f t="array" ref="AA38">SUM(IF($W$2:$W$594=$W38,1,0))</f>
        <v>1</v>
      </c>
    </row>
    <row r="39" spans="1:27" x14ac:dyDescent="0.25">
      <c r="B39" t="s">
        <v>1338</v>
      </c>
      <c r="C39" t="s">
        <v>1341</v>
      </c>
      <c r="D39" t="s">
        <v>193</v>
      </c>
      <c r="E39">
        <v>4</v>
      </c>
      <c r="F39" t="str">
        <f t="shared" si="0"/>
        <v>9/2</v>
      </c>
      <c r="G39" s="1" t="s">
        <v>480</v>
      </c>
      <c r="I39" s="3" t="s">
        <v>15</v>
      </c>
      <c r="K39" s="3" t="s">
        <v>14</v>
      </c>
      <c r="L39" s="4" t="s">
        <v>480</v>
      </c>
      <c r="M39" s="4" t="s">
        <v>480</v>
      </c>
      <c r="N39" s="3" t="s">
        <v>15</v>
      </c>
      <c r="O39" s="3" t="s">
        <v>12</v>
      </c>
      <c r="P39" s="3" t="s">
        <v>479</v>
      </c>
      <c r="Q39" s="3">
        <v>59</v>
      </c>
      <c r="T39" s="3">
        <v>41</v>
      </c>
      <c r="V39" s="3" t="s">
        <v>1802</v>
      </c>
      <c r="W39" s="4" t="s">
        <v>482</v>
      </c>
      <c r="X39" s="3" t="s">
        <v>21</v>
      </c>
      <c r="Y39" cm="1">
        <f t="array" ref="Y39">SUM(IF(INT($M$2:$M$594)&amp;" "&amp;$K$2:$K$594=INT($M39)&amp;" "&amp;$K39,1,0))</f>
        <v>1</v>
      </c>
      <c r="Z39" cm="1">
        <f t="array" ref="Z39">SUM(IF(ROUND($M$2:$M$594,0)&amp;" "&amp;$K$2:$K$594=ROUND($M39,0)&amp;" "&amp;$K39,1,0))</f>
        <v>1</v>
      </c>
      <c r="AA39" cm="1">
        <f t="array" ref="AA39">SUM(IF($W$2:$W$594=$W39,1,0))</f>
        <v>1</v>
      </c>
    </row>
    <row r="40" spans="1:27" x14ac:dyDescent="0.25">
      <c r="B40" t="s">
        <v>1338</v>
      </c>
      <c r="C40" t="s">
        <v>1341</v>
      </c>
      <c r="D40" t="s">
        <v>193</v>
      </c>
      <c r="E40">
        <v>3</v>
      </c>
      <c r="F40" t="str">
        <f t="shared" si="0"/>
        <v>7/2</v>
      </c>
      <c r="G40" s="1" t="s">
        <v>496</v>
      </c>
      <c r="I40" s="3" t="s">
        <v>15</v>
      </c>
      <c r="K40" s="3" t="s">
        <v>47</v>
      </c>
      <c r="L40" s="4" t="s">
        <v>496</v>
      </c>
      <c r="M40" s="4" t="s">
        <v>496</v>
      </c>
      <c r="N40" s="3" t="s">
        <v>15</v>
      </c>
      <c r="O40" s="3" t="s">
        <v>12</v>
      </c>
      <c r="P40" s="3" t="s">
        <v>479</v>
      </c>
      <c r="Q40" s="3">
        <v>59</v>
      </c>
      <c r="T40" s="3">
        <v>40</v>
      </c>
      <c r="V40" s="3" t="s">
        <v>1802</v>
      </c>
      <c r="W40" s="4" t="s">
        <v>498</v>
      </c>
      <c r="X40" s="3" t="s">
        <v>21</v>
      </c>
      <c r="Y40" cm="1">
        <f t="array" ref="Y40">SUM(IF(INT($M$2:$M$594)&amp;" "&amp;$K$2:$K$594=INT($M40)&amp;" "&amp;$K40,1,0))</f>
        <v>1</v>
      </c>
      <c r="Z40" cm="1">
        <f t="array" ref="Z40">SUM(IF(ROUND($M$2:$M$594,0)&amp;" "&amp;$K$2:$K$594=ROUND($M40,0)&amp;" "&amp;$K40,1,0))</f>
        <v>1</v>
      </c>
      <c r="AA40" cm="1">
        <f t="array" ref="AA40">SUM(IF($W$2:$W$594=$W40,1,0))</f>
        <v>1</v>
      </c>
    </row>
    <row r="41" spans="1:27" x14ac:dyDescent="0.25">
      <c r="B41" t="s">
        <v>1348</v>
      </c>
      <c r="C41" t="s">
        <v>1341</v>
      </c>
      <c r="D41" t="s">
        <v>351</v>
      </c>
      <c r="E41">
        <v>3</v>
      </c>
      <c r="F41" t="str">
        <f t="shared" si="0"/>
        <v>7/2</v>
      </c>
      <c r="G41" s="1" t="s">
        <v>554</v>
      </c>
      <c r="I41" s="3" t="s">
        <v>15</v>
      </c>
      <c r="K41" s="3" t="s">
        <v>47</v>
      </c>
      <c r="L41" s="4" t="s">
        <v>554</v>
      </c>
      <c r="M41" s="4" t="s">
        <v>554</v>
      </c>
      <c r="N41" s="3" t="s">
        <v>15</v>
      </c>
      <c r="O41" s="3" t="s">
        <v>12</v>
      </c>
      <c r="P41" s="3" t="s">
        <v>553</v>
      </c>
      <c r="Q41" s="3">
        <v>82</v>
      </c>
      <c r="T41" s="3">
        <v>17</v>
      </c>
      <c r="V41" s="3" t="s">
        <v>370</v>
      </c>
      <c r="W41" s="4" t="s">
        <v>556</v>
      </c>
      <c r="X41" s="3" t="s">
        <v>21</v>
      </c>
      <c r="Y41" cm="1">
        <f t="array" ref="Y41">SUM(IF(INT($M$2:$M$594)&amp;" "&amp;$K$2:$K$594=INT($M41)&amp;" "&amp;$K41,1,0))</f>
        <v>1</v>
      </c>
      <c r="Z41" cm="1">
        <f t="array" ref="Z41">SUM(IF(ROUND($M$2:$M$594,0)&amp;" "&amp;$K$2:$K$594=ROUND($M41,0)&amp;" "&amp;$K41,1,0))</f>
        <v>1</v>
      </c>
      <c r="AA41" cm="1">
        <f t="array" ref="AA41">SUM(IF($W$2:$W$594=$W41,1,0))</f>
        <v>1</v>
      </c>
    </row>
    <row r="42" spans="1:27" x14ac:dyDescent="0.25">
      <c r="B42" t="s">
        <v>1349</v>
      </c>
      <c r="C42" t="s">
        <v>1696</v>
      </c>
      <c r="D42" t="s">
        <v>1697</v>
      </c>
      <c r="E42">
        <v>3</v>
      </c>
      <c r="F42" t="str">
        <f t="shared" si="0"/>
        <v>7/2</v>
      </c>
      <c r="G42" s="1" t="s">
        <v>559</v>
      </c>
      <c r="I42" s="3" t="s">
        <v>15</v>
      </c>
      <c r="K42" s="3" t="s">
        <v>47</v>
      </c>
      <c r="L42" s="4" t="s">
        <v>559</v>
      </c>
      <c r="M42" s="4" t="s">
        <v>559</v>
      </c>
      <c r="N42" s="3" t="s">
        <v>15</v>
      </c>
      <c r="O42" s="3" t="s">
        <v>557</v>
      </c>
      <c r="P42" s="3" t="s">
        <v>558</v>
      </c>
      <c r="Q42" s="3">
        <v>82</v>
      </c>
      <c r="T42" s="3">
        <v>6</v>
      </c>
      <c r="U42" s="3" t="s">
        <v>571</v>
      </c>
      <c r="V42" s="3" t="s">
        <v>608</v>
      </c>
      <c r="W42" s="4" t="s">
        <v>561</v>
      </c>
      <c r="X42" s="3" t="s">
        <v>21</v>
      </c>
      <c r="Y42" cm="1">
        <f t="array" ref="Y42">SUM(IF(INT($M$2:$M$594)&amp;" "&amp;$K$2:$K$594=INT($M42)&amp;" "&amp;$K42,1,0))</f>
        <v>1</v>
      </c>
      <c r="Z42" cm="1">
        <f t="array" ref="Z42">SUM(IF(ROUND($M$2:$M$594,0)&amp;" "&amp;$K$2:$K$594=ROUND($M42,0)&amp;" "&amp;$K42,1,0))</f>
        <v>1</v>
      </c>
      <c r="AA42" cm="1">
        <f t="array" ref="AA42">SUM(IF($W$2:$W$594=$W42,1,0))</f>
        <v>1</v>
      </c>
    </row>
    <row r="43" spans="1:27" x14ac:dyDescent="0.25">
      <c r="B43" t="s">
        <v>1349</v>
      </c>
      <c r="C43" t="s">
        <v>1696</v>
      </c>
      <c r="D43" t="s">
        <v>1697</v>
      </c>
      <c r="E43">
        <v>4</v>
      </c>
      <c r="F43" t="str">
        <f t="shared" si="0"/>
        <v>9/2</v>
      </c>
      <c r="G43" s="1" t="s">
        <v>562</v>
      </c>
      <c r="I43" s="3" t="s">
        <v>15</v>
      </c>
      <c r="K43" s="3" t="s">
        <v>14</v>
      </c>
      <c r="L43" s="4" t="s">
        <v>562</v>
      </c>
      <c r="M43" s="4" t="s">
        <v>562</v>
      </c>
      <c r="N43" s="3" t="s">
        <v>15</v>
      </c>
      <c r="O43" s="3" t="s">
        <v>557</v>
      </c>
      <c r="P43" s="3" t="s">
        <v>558</v>
      </c>
      <c r="Q43" s="3">
        <v>95</v>
      </c>
      <c r="W43" s="4" t="s">
        <v>563</v>
      </c>
      <c r="X43" s="3" t="s">
        <v>21</v>
      </c>
      <c r="Y43" cm="1">
        <f t="array" ref="Y43">SUM(IF(INT($M$2:$M$594)&amp;" "&amp;$K$2:$K$594=INT($M43)&amp;" "&amp;$K43,1,0))</f>
        <v>1</v>
      </c>
      <c r="Z43" cm="1">
        <f t="array" ref="Z43">SUM(IF(ROUND($M$2:$M$594,0)&amp;" "&amp;$K$2:$K$594=ROUND($M43,0)&amp;" "&amp;$K43,1,0))</f>
        <v>1</v>
      </c>
      <c r="AA43" cm="1">
        <f t="array" ref="AA43">SUM(IF($W$2:$W$594=$W43,1,0))</f>
        <v>1</v>
      </c>
    </row>
    <row r="44" spans="1:27" x14ac:dyDescent="0.25">
      <c r="B44" t="s">
        <v>1349</v>
      </c>
      <c r="C44" t="s">
        <v>1696</v>
      </c>
      <c r="D44" t="s">
        <v>1697</v>
      </c>
      <c r="E44">
        <v>4</v>
      </c>
      <c r="F44" t="str">
        <f t="shared" si="0"/>
        <v>9/2</v>
      </c>
      <c r="G44" s="1" t="s">
        <v>566</v>
      </c>
      <c r="I44" s="3" t="s">
        <v>15</v>
      </c>
      <c r="K44" s="3" t="s">
        <v>14</v>
      </c>
      <c r="L44" s="4" t="s">
        <v>566</v>
      </c>
      <c r="M44" s="4" t="s">
        <v>566</v>
      </c>
      <c r="N44" s="3" t="s">
        <v>15</v>
      </c>
      <c r="O44" s="3" t="s">
        <v>564</v>
      </c>
      <c r="P44" s="3" t="s">
        <v>565</v>
      </c>
      <c r="Q44" s="3">
        <v>79</v>
      </c>
      <c r="T44" s="3">
        <v>7</v>
      </c>
      <c r="V44" s="3" t="s">
        <v>1806</v>
      </c>
      <c r="W44" s="4" t="s">
        <v>568</v>
      </c>
      <c r="X44" s="3" t="s">
        <v>21</v>
      </c>
      <c r="Y44" cm="1">
        <f t="array" ref="Y44">SUM(IF(INT($M$2:$M$594)&amp;" "&amp;$K$2:$K$594=INT($M44)&amp;" "&amp;$K44,1,0))</f>
        <v>1</v>
      </c>
      <c r="Z44" cm="1">
        <f t="array" ref="Z44">SUM(IF(ROUND($M$2:$M$594,0)&amp;" "&amp;$K$2:$K$594=ROUND($M44,0)&amp;" "&amp;$K44,1,0))</f>
        <v>1</v>
      </c>
      <c r="AA44" cm="1">
        <f t="array" ref="AA44">SUM(IF($W$2:$W$594=$W44,1,0))</f>
        <v>1</v>
      </c>
    </row>
    <row r="45" spans="1:27" x14ac:dyDescent="0.25">
      <c r="B45" t="s">
        <v>1349</v>
      </c>
      <c r="C45" t="s">
        <v>1696</v>
      </c>
      <c r="D45" t="s">
        <v>1697</v>
      </c>
      <c r="E45">
        <v>5</v>
      </c>
      <c r="F45" t="str">
        <f t="shared" si="0"/>
        <v>11/2</v>
      </c>
      <c r="G45" s="1" t="s">
        <v>569</v>
      </c>
      <c r="I45" s="3" t="s">
        <v>15</v>
      </c>
      <c r="K45" s="3" t="s">
        <v>22</v>
      </c>
      <c r="L45" s="4" t="s">
        <v>569</v>
      </c>
      <c r="M45" s="4" t="s">
        <v>569</v>
      </c>
      <c r="N45" s="3" t="s">
        <v>15</v>
      </c>
      <c r="O45" s="3" t="s">
        <v>564</v>
      </c>
      <c r="P45" s="3" t="s">
        <v>565</v>
      </c>
      <c r="Q45" s="3">
        <v>94</v>
      </c>
      <c r="W45" s="4" t="s">
        <v>570</v>
      </c>
      <c r="X45" s="3" t="s">
        <v>21</v>
      </c>
      <c r="Y45" cm="1">
        <f t="array" ref="Y45">SUM(IF(INT($M$2:$M$594)&amp;" "&amp;$K$2:$K$594=INT($M45)&amp;" "&amp;$K45,1,0))</f>
        <v>1</v>
      </c>
      <c r="Z45" cm="1">
        <f t="array" ref="Z45">SUM(IF(ROUND($M$2:$M$594,0)&amp;" "&amp;$K$2:$K$594=ROUND($M45,0)&amp;" "&amp;$K45,1,0))</f>
        <v>1</v>
      </c>
      <c r="AA45" cm="1">
        <f t="array" ref="AA45">SUM(IF($W$2:$W$594=$W45,1,0))</f>
        <v>1</v>
      </c>
    </row>
    <row r="46" spans="1:27" x14ac:dyDescent="0.25">
      <c r="B46" t="s">
        <v>1350</v>
      </c>
      <c r="C46" t="s">
        <v>1698</v>
      </c>
      <c r="D46" t="s">
        <v>351</v>
      </c>
      <c r="E46">
        <v>3</v>
      </c>
      <c r="F46" t="str">
        <f t="shared" si="0"/>
        <v>7/2</v>
      </c>
      <c r="G46" s="1" t="s">
        <v>572</v>
      </c>
      <c r="I46" s="3" t="s">
        <v>15</v>
      </c>
      <c r="K46" s="3" t="s">
        <v>47</v>
      </c>
      <c r="L46" s="4" t="s">
        <v>572</v>
      </c>
      <c r="M46" s="4" t="s">
        <v>572</v>
      </c>
      <c r="N46" s="3" t="s">
        <v>15</v>
      </c>
      <c r="O46" s="3" t="s">
        <v>571</v>
      </c>
      <c r="P46" s="3" t="s">
        <v>71</v>
      </c>
      <c r="Q46" s="3">
        <v>43</v>
      </c>
      <c r="R46" s="3" t="s">
        <v>608</v>
      </c>
      <c r="T46" s="3">
        <v>33</v>
      </c>
      <c r="V46" s="3" t="s">
        <v>1807</v>
      </c>
      <c r="W46" s="4" t="s">
        <v>574</v>
      </c>
      <c r="X46" s="3" t="s">
        <v>21</v>
      </c>
      <c r="Y46" cm="1">
        <f t="array" ref="Y46">SUM(IF(INT($M$2:$M$594)&amp;" "&amp;$K$2:$K$594=INT($M46)&amp;" "&amp;$K46,1,0))</f>
        <v>1</v>
      </c>
      <c r="Z46" cm="1">
        <f t="array" ref="Z46">SUM(IF(ROUND($M$2:$M$594,0)&amp;" "&amp;$K$2:$K$594=ROUND($M46,0)&amp;" "&amp;$K46,1,0))</f>
        <v>1</v>
      </c>
      <c r="AA46" cm="1">
        <f t="array" ref="AA46">SUM(IF($W$2:$W$594=$W46,1,0))</f>
        <v>1</v>
      </c>
    </row>
    <row r="47" spans="1:27" x14ac:dyDescent="0.25">
      <c r="B47" t="s">
        <v>1349</v>
      </c>
      <c r="C47" t="s">
        <v>1696</v>
      </c>
      <c r="D47" t="s">
        <v>1697</v>
      </c>
      <c r="E47">
        <v>4</v>
      </c>
      <c r="F47" t="str">
        <f t="shared" si="0"/>
        <v>9/2</v>
      </c>
      <c r="G47" s="1" t="s">
        <v>577</v>
      </c>
      <c r="I47" s="3" t="s">
        <v>15</v>
      </c>
      <c r="K47" s="3" t="s">
        <v>14</v>
      </c>
      <c r="L47" s="4" t="s">
        <v>577</v>
      </c>
      <c r="M47" s="4" t="s">
        <v>577</v>
      </c>
      <c r="N47" s="3" t="s">
        <v>15</v>
      </c>
      <c r="O47" s="3" t="s">
        <v>575</v>
      </c>
      <c r="P47" s="3" t="s">
        <v>576</v>
      </c>
      <c r="Q47" s="3">
        <v>53</v>
      </c>
      <c r="T47" s="3">
        <v>19</v>
      </c>
      <c r="U47" s="3" t="s">
        <v>571</v>
      </c>
      <c r="V47" s="3" t="s">
        <v>13</v>
      </c>
      <c r="W47" s="4" t="s">
        <v>579</v>
      </c>
      <c r="X47" s="3" t="s">
        <v>21</v>
      </c>
      <c r="Y47" cm="1">
        <f t="array" ref="Y47">SUM(IF(INT($M$2:$M$594)&amp;" "&amp;$K$2:$K$594=INT($M47)&amp;" "&amp;$K47,1,0))</f>
        <v>1</v>
      </c>
      <c r="Z47" cm="1">
        <f t="array" ref="Z47">SUM(IF(ROUND($M$2:$M$594,0)&amp;" "&amp;$K$2:$K$594=ROUND($M47,0)&amp;" "&amp;$K47,1,0))</f>
        <v>1</v>
      </c>
      <c r="AA47" cm="1">
        <f t="array" ref="AA47">SUM(IF($W$2:$W$594=$W47,1,0))</f>
        <v>1</v>
      </c>
    </row>
    <row r="48" spans="1:27" x14ac:dyDescent="0.25">
      <c r="B48" t="s">
        <v>1349</v>
      </c>
      <c r="C48" t="s">
        <v>1696</v>
      </c>
      <c r="D48" t="s">
        <v>1697</v>
      </c>
      <c r="E48">
        <v>3</v>
      </c>
      <c r="F48" t="str">
        <f t="shared" si="0"/>
        <v>7/2</v>
      </c>
      <c r="G48" s="1" t="s">
        <v>580</v>
      </c>
      <c r="I48" s="3" t="s">
        <v>15</v>
      </c>
      <c r="K48" s="3" t="s">
        <v>47</v>
      </c>
      <c r="L48" s="4" t="s">
        <v>580</v>
      </c>
      <c r="M48" s="4" t="s">
        <v>580</v>
      </c>
      <c r="N48" s="3" t="s">
        <v>15</v>
      </c>
      <c r="O48" s="3" t="s">
        <v>575</v>
      </c>
      <c r="P48" s="3" t="s">
        <v>576</v>
      </c>
      <c r="Q48" s="3">
        <v>80</v>
      </c>
      <c r="T48" s="3">
        <v>7</v>
      </c>
      <c r="U48" s="3" t="s">
        <v>571</v>
      </c>
      <c r="V48" s="3" t="s">
        <v>801</v>
      </c>
      <c r="W48" s="4" t="s">
        <v>582</v>
      </c>
      <c r="X48" s="3" t="s">
        <v>21</v>
      </c>
      <c r="Y48" cm="1">
        <f t="array" ref="Y48">SUM(IF(INT($M$2:$M$594)&amp;" "&amp;$K$2:$K$594=INT($M48)&amp;" "&amp;$K48,1,0))</f>
        <v>1</v>
      </c>
      <c r="Z48" cm="1">
        <f t="array" ref="Z48">SUM(IF(ROUND($M$2:$M$594,0)&amp;" "&amp;$K$2:$K$594=ROUND($M48,0)&amp;" "&amp;$K48,1,0))</f>
        <v>1</v>
      </c>
      <c r="AA48" cm="1">
        <f t="array" ref="AA48">SUM(IF($W$2:$W$594=$W48,1,0))</f>
        <v>1</v>
      </c>
    </row>
    <row r="49" spans="2:27" x14ac:dyDescent="0.25">
      <c r="B49" t="s">
        <v>1349</v>
      </c>
      <c r="C49" t="s">
        <v>1696</v>
      </c>
      <c r="D49" t="s">
        <v>1697</v>
      </c>
      <c r="E49">
        <v>2</v>
      </c>
      <c r="F49" t="str">
        <f t="shared" si="0"/>
        <v>5/2</v>
      </c>
      <c r="G49" s="1" t="s">
        <v>583</v>
      </c>
      <c r="I49" s="3" t="s">
        <v>15</v>
      </c>
      <c r="K49" s="3" t="s">
        <v>43</v>
      </c>
      <c r="L49" s="4" t="s">
        <v>583</v>
      </c>
      <c r="M49" s="4" t="s">
        <v>583</v>
      </c>
      <c r="N49" s="3" t="s">
        <v>15</v>
      </c>
      <c r="O49" s="3" t="s">
        <v>575</v>
      </c>
      <c r="P49" s="3" t="s">
        <v>576</v>
      </c>
      <c r="Q49" s="3">
        <v>72</v>
      </c>
      <c r="T49" s="3">
        <v>18</v>
      </c>
      <c r="V49" s="3" t="s">
        <v>1808</v>
      </c>
      <c r="W49" s="4" t="s">
        <v>585</v>
      </c>
      <c r="X49" s="3" t="s">
        <v>21</v>
      </c>
      <c r="Y49" cm="1">
        <f t="array" ref="Y49">SUM(IF(INT($M$2:$M$594)&amp;" "&amp;$K$2:$K$594=INT($M49)&amp;" "&amp;$K49,1,0))</f>
        <v>1</v>
      </c>
      <c r="Z49" cm="1">
        <f t="array" ref="Z49">SUM(IF(ROUND($M$2:$M$594,0)&amp;" "&amp;$K$2:$K$594=ROUND($M49,0)&amp;" "&amp;$K49,1,0))</f>
        <v>1</v>
      </c>
      <c r="AA49" cm="1">
        <f t="array" ref="AA49">SUM(IF($W$2:$W$594=$W49,1,0))</f>
        <v>1</v>
      </c>
    </row>
    <row r="50" spans="2:27" x14ac:dyDescent="0.25">
      <c r="B50" t="s">
        <v>1350</v>
      </c>
      <c r="C50" t="s">
        <v>1698</v>
      </c>
      <c r="D50" t="s">
        <v>351</v>
      </c>
      <c r="E50">
        <v>4</v>
      </c>
      <c r="F50" t="str">
        <f t="shared" si="0"/>
        <v>9/2</v>
      </c>
      <c r="G50" s="1" t="s">
        <v>586</v>
      </c>
      <c r="I50" s="3" t="s">
        <v>15</v>
      </c>
      <c r="K50" s="3" t="s">
        <v>14</v>
      </c>
      <c r="L50" s="4" t="s">
        <v>586</v>
      </c>
      <c r="M50" s="4" t="s">
        <v>586</v>
      </c>
      <c r="N50" s="3" t="s">
        <v>15</v>
      </c>
      <c r="O50" s="3" t="s">
        <v>571</v>
      </c>
      <c r="P50" s="3" t="s">
        <v>13</v>
      </c>
      <c r="Q50" s="3">
        <v>44</v>
      </c>
      <c r="T50" s="3">
        <v>32</v>
      </c>
      <c r="U50" s="3" t="s">
        <v>615</v>
      </c>
      <c r="W50" s="4" t="s">
        <v>588</v>
      </c>
      <c r="X50" s="3" t="s">
        <v>21</v>
      </c>
      <c r="Y50" cm="1">
        <f t="array" ref="Y50">SUM(IF(INT($M$2:$M$594)&amp;" "&amp;$K$2:$K$594=INT($M50)&amp;" "&amp;$K50,1,0))</f>
        <v>1</v>
      </c>
      <c r="Z50" cm="1">
        <f t="array" ref="Z50">SUM(IF(ROUND($M$2:$M$594,0)&amp;" "&amp;$K$2:$K$594=ROUND($M50,0)&amp;" "&amp;$K50,1,0))</f>
        <v>1</v>
      </c>
      <c r="AA50" cm="1">
        <f t="array" ref="AA50">SUM(IF($W$2:$W$594=$W50,1,0))</f>
        <v>1</v>
      </c>
    </row>
    <row r="51" spans="2:27" x14ac:dyDescent="0.25">
      <c r="B51" t="s">
        <v>1349</v>
      </c>
      <c r="C51" t="s">
        <v>1696</v>
      </c>
      <c r="D51" t="s">
        <v>1697</v>
      </c>
      <c r="E51">
        <v>5</v>
      </c>
      <c r="F51" t="str">
        <f t="shared" si="0"/>
        <v>11/2</v>
      </c>
      <c r="G51" s="1" t="s">
        <v>589</v>
      </c>
      <c r="I51" s="3" t="s">
        <v>15</v>
      </c>
      <c r="K51" s="3" t="s">
        <v>22</v>
      </c>
      <c r="L51" s="4" t="s">
        <v>589</v>
      </c>
      <c r="M51" s="4" t="s">
        <v>589</v>
      </c>
      <c r="N51" s="3" t="s">
        <v>15</v>
      </c>
      <c r="O51" s="3" t="s">
        <v>575</v>
      </c>
      <c r="P51" s="3" t="s">
        <v>576</v>
      </c>
      <c r="Q51" s="3">
        <v>40</v>
      </c>
      <c r="T51" s="3">
        <v>35</v>
      </c>
      <c r="V51" s="3" t="s">
        <v>1809</v>
      </c>
      <c r="W51" s="4" t="s">
        <v>591</v>
      </c>
      <c r="X51" s="3" t="s">
        <v>21</v>
      </c>
      <c r="Y51" cm="1">
        <f t="array" ref="Y51">SUM(IF(INT($M$2:$M$594)&amp;" "&amp;$K$2:$K$594=INT($M51)&amp;" "&amp;$K51,1,0))</f>
        <v>1</v>
      </c>
      <c r="Z51" cm="1">
        <f t="array" ref="Z51">SUM(IF(ROUND($M$2:$M$594,0)&amp;" "&amp;$K$2:$K$594=ROUND($M51,0)&amp;" "&amp;$K51,1,0))</f>
        <v>1</v>
      </c>
      <c r="AA51" cm="1">
        <f t="array" ref="AA51">SUM(IF($W$2:$W$594=$W51,1,0))</f>
        <v>1</v>
      </c>
    </row>
    <row r="52" spans="2:27" x14ac:dyDescent="0.25">
      <c r="B52" t="s">
        <v>1350</v>
      </c>
      <c r="C52" t="s">
        <v>1698</v>
      </c>
      <c r="D52" t="s">
        <v>351</v>
      </c>
      <c r="E52">
        <v>4</v>
      </c>
      <c r="F52" t="str">
        <f t="shared" si="0"/>
        <v>9/2</v>
      </c>
      <c r="G52" s="1" t="s">
        <v>592</v>
      </c>
      <c r="I52" s="3" t="s">
        <v>15</v>
      </c>
      <c r="K52" s="3" t="s">
        <v>14</v>
      </c>
      <c r="L52" s="4" t="s">
        <v>592</v>
      </c>
      <c r="M52" s="4" t="s">
        <v>592</v>
      </c>
      <c r="N52" s="3" t="s">
        <v>15</v>
      </c>
      <c r="O52" s="3" t="s">
        <v>571</v>
      </c>
      <c r="P52" s="3" t="s">
        <v>71</v>
      </c>
      <c r="Q52" s="3">
        <v>33</v>
      </c>
      <c r="R52" s="3" t="s">
        <v>801</v>
      </c>
      <c r="T52" s="3">
        <v>27</v>
      </c>
      <c r="V52" s="3" t="s">
        <v>1810</v>
      </c>
      <c r="W52" s="4" t="s">
        <v>594</v>
      </c>
      <c r="X52" s="3" t="s">
        <v>21</v>
      </c>
      <c r="Y52" cm="1">
        <f t="array" ref="Y52">SUM(IF(INT($M$2:$M$594)&amp;" "&amp;$K$2:$K$594=INT($M52)&amp;" "&amp;$K52,1,0))</f>
        <v>1</v>
      </c>
      <c r="Z52" cm="1">
        <f t="array" ref="Z52">SUM(IF(ROUND($M$2:$M$594,0)&amp;" "&amp;$K$2:$K$594=ROUND($M52,0)&amp;" "&amp;$K52,1,0))</f>
        <v>1</v>
      </c>
      <c r="AA52" cm="1">
        <f t="array" ref="AA52">SUM(IF($W$2:$W$594=$W52,1,0))</f>
        <v>1</v>
      </c>
    </row>
    <row r="53" spans="2:27" x14ac:dyDescent="0.25">
      <c r="B53" t="s">
        <v>1349</v>
      </c>
      <c r="C53" t="s">
        <v>1696</v>
      </c>
      <c r="D53" t="s">
        <v>1697</v>
      </c>
      <c r="E53">
        <v>5</v>
      </c>
      <c r="F53" t="str">
        <f t="shared" si="0"/>
        <v>11/2</v>
      </c>
      <c r="G53" s="1" t="s">
        <v>597</v>
      </c>
      <c r="I53" s="3" t="s">
        <v>15</v>
      </c>
      <c r="K53" s="3" t="s">
        <v>22</v>
      </c>
      <c r="L53" s="4" t="s">
        <v>597</v>
      </c>
      <c r="M53" s="4" t="s">
        <v>597</v>
      </c>
      <c r="N53" s="3" t="s">
        <v>15</v>
      </c>
      <c r="O53" s="3" t="s">
        <v>595</v>
      </c>
      <c r="P53" s="3" t="s">
        <v>596</v>
      </c>
      <c r="Q53" s="3">
        <v>55</v>
      </c>
      <c r="T53" s="3">
        <v>37</v>
      </c>
      <c r="V53" s="3" t="s">
        <v>1806</v>
      </c>
      <c r="W53" s="4" t="s">
        <v>599</v>
      </c>
      <c r="X53" s="3" t="s">
        <v>21</v>
      </c>
      <c r="Y53" cm="1">
        <f t="array" ref="Y53">SUM(IF(INT($M$2:$M$594)&amp;" "&amp;$K$2:$K$594=INT($M53)&amp;" "&amp;$K53,1,0))</f>
        <v>1</v>
      </c>
      <c r="Z53" cm="1">
        <f t="array" ref="Z53">SUM(IF(ROUND($M$2:$M$594,0)&amp;" "&amp;$K$2:$K$594=ROUND($M53,0)&amp;" "&amp;$K53,1,0))</f>
        <v>1</v>
      </c>
      <c r="AA53" cm="1">
        <f t="array" ref="AA53">SUM(IF($W$2:$W$594=$W53,1,0))</f>
        <v>1</v>
      </c>
    </row>
    <row r="54" spans="2:27" x14ac:dyDescent="0.25">
      <c r="B54" t="s">
        <v>1349</v>
      </c>
      <c r="C54" t="s">
        <v>1696</v>
      </c>
      <c r="D54" t="s">
        <v>1697</v>
      </c>
      <c r="E54">
        <v>6</v>
      </c>
      <c r="F54" t="str">
        <f t="shared" si="0"/>
        <v>13/2</v>
      </c>
      <c r="G54" s="1" t="s">
        <v>600</v>
      </c>
      <c r="I54" s="3" t="s">
        <v>15</v>
      </c>
      <c r="K54" s="3" t="s">
        <v>26</v>
      </c>
      <c r="L54" s="4" t="s">
        <v>600</v>
      </c>
      <c r="M54" s="4" t="s">
        <v>600</v>
      </c>
      <c r="N54" s="3" t="s">
        <v>15</v>
      </c>
      <c r="O54" s="3" t="s">
        <v>595</v>
      </c>
      <c r="P54" s="3" t="s">
        <v>596</v>
      </c>
      <c r="Q54" s="3">
        <v>89</v>
      </c>
      <c r="T54" s="3">
        <v>6</v>
      </c>
      <c r="V54" s="3" t="s">
        <v>1811</v>
      </c>
      <c r="W54" s="4" t="s">
        <v>602</v>
      </c>
      <c r="X54" s="3" t="s">
        <v>21</v>
      </c>
      <c r="Y54" cm="1">
        <f t="array" ref="Y54">SUM(IF(INT($M$2:$M$594)&amp;" "&amp;$K$2:$K$594=INT($M54)&amp;" "&amp;$K54,1,0))</f>
        <v>1</v>
      </c>
      <c r="Z54" cm="1">
        <f t="array" ref="Z54">SUM(IF(ROUND($M$2:$M$594,0)&amp;" "&amp;$K$2:$K$594=ROUND($M54,0)&amp;" "&amp;$K54,1,0))</f>
        <v>1</v>
      </c>
      <c r="AA54" cm="1">
        <f t="array" ref="AA54">SUM(IF($W$2:$W$594=$W54,1,0))</f>
        <v>1</v>
      </c>
    </row>
    <row r="55" spans="2:27" x14ac:dyDescent="0.25">
      <c r="B55" t="s">
        <v>1351</v>
      </c>
      <c r="C55" t="s">
        <v>1696</v>
      </c>
      <c r="D55" t="s">
        <v>1699</v>
      </c>
      <c r="E55">
        <v>1</v>
      </c>
      <c r="F55" t="str">
        <f t="shared" si="0"/>
        <v>3/2</v>
      </c>
      <c r="G55" s="1" t="s">
        <v>605</v>
      </c>
      <c r="I55" s="3" t="s">
        <v>15</v>
      </c>
      <c r="K55" s="3" t="s">
        <v>35</v>
      </c>
      <c r="L55" s="4" t="s">
        <v>605</v>
      </c>
      <c r="M55" s="4" t="s">
        <v>605</v>
      </c>
      <c r="N55" s="3" t="s">
        <v>15</v>
      </c>
      <c r="O55" s="3" t="s">
        <v>603</v>
      </c>
      <c r="P55" s="3" t="s">
        <v>604</v>
      </c>
      <c r="Q55" s="3">
        <v>91</v>
      </c>
      <c r="W55" s="4" t="s">
        <v>607</v>
      </c>
      <c r="X55" s="3" t="s">
        <v>21</v>
      </c>
      <c r="Y55" cm="1">
        <f t="array" ref="Y55">SUM(IF(INT($M$2:$M$594)&amp;" "&amp;$K$2:$K$594=INT($M55)&amp;" "&amp;$K55,1,0))</f>
        <v>1</v>
      </c>
      <c r="Z55" cm="1">
        <f t="array" ref="Z55">SUM(IF(ROUND($M$2:$M$594,0)&amp;" "&amp;$K$2:$K$594=ROUND($M55,0)&amp;" "&amp;$K55,1,0))</f>
        <v>1</v>
      </c>
      <c r="AA55" cm="1">
        <f t="array" ref="AA55">SUM(IF($W$2:$W$594=$W55,1,0))</f>
        <v>1</v>
      </c>
    </row>
    <row r="56" spans="2:27" x14ac:dyDescent="0.25">
      <c r="B56" t="s">
        <v>1350</v>
      </c>
      <c r="C56" t="s">
        <v>1698</v>
      </c>
      <c r="D56" t="s">
        <v>351</v>
      </c>
      <c r="E56">
        <v>3</v>
      </c>
      <c r="F56" t="str">
        <f t="shared" si="0"/>
        <v>7/2</v>
      </c>
      <c r="G56" s="1" t="s">
        <v>609</v>
      </c>
      <c r="I56" s="3" t="s">
        <v>15</v>
      </c>
      <c r="K56" s="3" t="s">
        <v>47</v>
      </c>
      <c r="L56" s="4" t="s">
        <v>609</v>
      </c>
      <c r="M56" s="4" t="s">
        <v>609</v>
      </c>
      <c r="N56" s="3" t="s">
        <v>15</v>
      </c>
      <c r="O56" s="3" t="s">
        <v>571</v>
      </c>
      <c r="P56" s="3" t="s">
        <v>608</v>
      </c>
      <c r="Q56" s="3">
        <v>42</v>
      </c>
      <c r="T56" s="3">
        <v>20</v>
      </c>
      <c r="V56" s="3" t="s">
        <v>1812</v>
      </c>
      <c r="W56" s="4" t="s">
        <v>611</v>
      </c>
      <c r="X56" s="3" t="s">
        <v>21</v>
      </c>
      <c r="Y56" cm="1">
        <f t="array" ref="Y56">SUM(IF(INT($M$2:$M$594)&amp;" "&amp;$K$2:$K$594=INT($M56)&amp;" "&amp;$K56,1,0))</f>
        <v>1</v>
      </c>
      <c r="Z56" cm="1">
        <f t="array" ref="Z56">SUM(IF(ROUND($M$2:$M$594,0)&amp;" "&amp;$K$2:$K$594=ROUND($M56,0)&amp;" "&amp;$K56,1,0))</f>
        <v>1</v>
      </c>
      <c r="AA56" cm="1">
        <f t="array" ref="AA56">SUM(IF($W$2:$W$594=$W56,1,0))</f>
        <v>1</v>
      </c>
    </row>
    <row r="57" spans="2:27" x14ac:dyDescent="0.25">
      <c r="B57" t="s">
        <v>1351</v>
      </c>
      <c r="C57" t="s">
        <v>1696</v>
      </c>
      <c r="D57" t="s">
        <v>1699</v>
      </c>
      <c r="E57">
        <v>2</v>
      </c>
      <c r="F57" t="str">
        <f t="shared" si="0"/>
        <v>5/2</v>
      </c>
      <c r="G57" s="1" t="s">
        <v>612</v>
      </c>
      <c r="I57" s="3" t="s">
        <v>15</v>
      </c>
      <c r="K57" s="3" t="s">
        <v>43</v>
      </c>
      <c r="L57" s="4" t="s">
        <v>612</v>
      </c>
      <c r="M57" s="4" t="s">
        <v>612</v>
      </c>
      <c r="N57" s="3" t="s">
        <v>15</v>
      </c>
      <c r="O57" s="3" t="s">
        <v>603</v>
      </c>
      <c r="P57" s="3" t="s">
        <v>604</v>
      </c>
      <c r="Q57" s="3">
        <v>75</v>
      </c>
      <c r="T57" s="3">
        <v>20</v>
      </c>
      <c r="V57" s="3" t="s">
        <v>1806</v>
      </c>
      <c r="W57" s="4" t="s">
        <v>614</v>
      </c>
      <c r="X57" s="3" t="s">
        <v>21</v>
      </c>
      <c r="Y57" cm="1">
        <f t="array" ref="Y57">SUM(IF(INT($M$2:$M$594)&amp;" "&amp;$K$2:$K$594=INT($M57)&amp;" "&amp;$K57,1,0))</f>
        <v>1</v>
      </c>
      <c r="Z57" cm="1">
        <f t="array" ref="Z57">SUM(IF(ROUND($M$2:$M$594,0)&amp;" "&amp;$K$2:$K$594=ROUND($M57,0)&amp;" "&amp;$K57,1,0))</f>
        <v>1</v>
      </c>
      <c r="AA57" cm="1">
        <f t="array" ref="AA57">SUM(IF($W$2:$W$594=$W57,1,0))</f>
        <v>1</v>
      </c>
    </row>
    <row r="58" spans="2:27" x14ac:dyDescent="0.25">
      <c r="B58" t="s">
        <v>1349</v>
      </c>
      <c r="C58" t="s">
        <v>1696</v>
      </c>
      <c r="D58" t="s">
        <v>1697</v>
      </c>
      <c r="E58">
        <v>4</v>
      </c>
      <c r="F58" t="str">
        <f t="shared" si="0"/>
        <v>9/2</v>
      </c>
      <c r="G58" s="1" t="s">
        <v>617</v>
      </c>
      <c r="I58" s="3" t="s">
        <v>15</v>
      </c>
      <c r="K58" s="3" t="s">
        <v>14</v>
      </c>
      <c r="L58" s="4" t="s">
        <v>617</v>
      </c>
      <c r="M58" s="4" t="s">
        <v>617</v>
      </c>
      <c r="N58" s="3" t="s">
        <v>15</v>
      </c>
      <c r="O58" s="3" t="s">
        <v>615</v>
      </c>
      <c r="P58" s="3" t="s">
        <v>616</v>
      </c>
      <c r="Q58" s="3">
        <v>67</v>
      </c>
      <c r="T58" s="3">
        <v>11</v>
      </c>
      <c r="U58" s="3" t="s">
        <v>571</v>
      </c>
      <c r="V58" s="3" t="s">
        <v>608</v>
      </c>
      <c r="W58" s="4" t="s">
        <v>619</v>
      </c>
      <c r="X58" s="3" t="s">
        <v>21</v>
      </c>
      <c r="Y58" cm="1">
        <f t="array" ref="Y58">SUM(IF(INT($M$2:$M$594)&amp;" "&amp;$K$2:$K$594=INT($M58)&amp;" "&amp;$K58,1,0))</f>
        <v>1</v>
      </c>
      <c r="Z58" cm="1">
        <f t="array" ref="Z58">SUM(IF(ROUND($M$2:$M$594,0)&amp;" "&amp;$K$2:$K$594=ROUND($M58,0)&amp;" "&amp;$K58,1,0))</f>
        <v>1</v>
      </c>
      <c r="AA58" cm="1">
        <f t="array" ref="AA58">SUM(IF($W$2:$W$594=$W58,1,0))</f>
        <v>1</v>
      </c>
    </row>
    <row r="59" spans="2:27" x14ac:dyDescent="0.25">
      <c r="B59" t="s">
        <v>1349</v>
      </c>
      <c r="C59" t="s">
        <v>1696</v>
      </c>
      <c r="D59" t="s">
        <v>1697</v>
      </c>
      <c r="E59">
        <v>3</v>
      </c>
      <c r="F59" t="str">
        <f t="shared" si="0"/>
        <v>7/2</v>
      </c>
      <c r="G59" s="1" t="s">
        <v>620</v>
      </c>
      <c r="I59" s="3" t="s">
        <v>15</v>
      </c>
      <c r="K59" s="3" t="s">
        <v>47</v>
      </c>
      <c r="L59" s="4" t="s">
        <v>620</v>
      </c>
      <c r="M59" s="4" t="s">
        <v>620</v>
      </c>
      <c r="N59" s="3" t="s">
        <v>15</v>
      </c>
      <c r="O59" s="3" t="s">
        <v>615</v>
      </c>
      <c r="P59" s="3" t="s">
        <v>616</v>
      </c>
      <c r="Q59" s="3">
        <v>47</v>
      </c>
      <c r="T59" s="3">
        <v>34</v>
      </c>
      <c r="V59" s="3" t="s">
        <v>1813</v>
      </c>
      <c r="W59" s="4" t="s">
        <v>622</v>
      </c>
      <c r="X59" s="3" t="s">
        <v>21</v>
      </c>
      <c r="Y59" cm="1">
        <f t="array" ref="Y59">SUM(IF(INT($M$2:$M$594)&amp;" "&amp;$K$2:$K$594=INT($M59)&amp;" "&amp;$K59,1,0))</f>
        <v>1</v>
      </c>
      <c r="Z59" cm="1">
        <f t="array" ref="Z59">SUM(IF(ROUND($M$2:$M$594,0)&amp;" "&amp;$K$2:$K$594=ROUND($M59,0)&amp;" "&amp;$K59,1,0))</f>
        <v>1</v>
      </c>
      <c r="AA59" cm="1">
        <f t="array" ref="AA59">SUM(IF($W$2:$W$594=$W59,1,0))</f>
        <v>1</v>
      </c>
    </row>
    <row r="60" spans="2:27" x14ac:dyDescent="0.25">
      <c r="B60" t="s">
        <v>1350</v>
      </c>
      <c r="C60" t="s">
        <v>1698</v>
      </c>
      <c r="D60" t="s">
        <v>351</v>
      </c>
      <c r="E60">
        <v>5</v>
      </c>
      <c r="F60" t="str">
        <f t="shared" si="0"/>
        <v>11/2</v>
      </c>
      <c r="G60" s="1" t="s">
        <v>623</v>
      </c>
      <c r="I60" s="3" t="s">
        <v>15</v>
      </c>
      <c r="K60" s="3" t="s">
        <v>22</v>
      </c>
      <c r="L60" s="4" t="s">
        <v>623</v>
      </c>
      <c r="M60" s="4" t="s">
        <v>623</v>
      </c>
      <c r="N60" s="3" t="s">
        <v>15</v>
      </c>
      <c r="O60" s="3" t="s">
        <v>571</v>
      </c>
      <c r="P60" s="3" t="s">
        <v>13</v>
      </c>
      <c r="Q60" s="3">
        <v>50</v>
      </c>
      <c r="T60" s="3">
        <v>24</v>
      </c>
      <c r="U60" s="3" t="s">
        <v>615</v>
      </c>
      <c r="W60" s="4" t="s">
        <v>625</v>
      </c>
      <c r="X60" s="3" t="s">
        <v>21</v>
      </c>
      <c r="Y60" cm="1">
        <f t="array" ref="Y60">SUM(IF(INT($M$2:$M$594)&amp;" "&amp;$K$2:$K$594=INT($M60)&amp;" "&amp;$K60,1,0))</f>
        <v>1</v>
      </c>
      <c r="Z60" cm="1">
        <f t="array" ref="Z60">SUM(IF(ROUND($M$2:$M$594,0)&amp;" "&amp;$K$2:$K$594=ROUND($M60,0)&amp;" "&amp;$K60,1,0))</f>
        <v>1</v>
      </c>
      <c r="AA60" cm="1">
        <f t="array" ref="AA60">SUM(IF($W$2:$W$594=$W60,1,0))</f>
        <v>1</v>
      </c>
    </row>
    <row r="61" spans="2:27" x14ac:dyDescent="0.25">
      <c r="B61" t="s">
        <v>1350</v>
      </c>
      <c r="C61" t="s">
        <v>1698</v>
      </c>
      <c r="D61" t="s">
        <v>351</v>
      </c>
      <c r="E61">
        <v>5</v>
      </c>
      <c r="F61" t="str">
        <f t="shared" si="0"/>
        <v>11/2</v>
      </c>
      <c r="G61" s="1" t="s">
        <v>626</v>
      </c>
      <c r="I61" s="3" t="s">
        <v>15</v>
      </c>
      <c r="K61" s="3" t="s">
        <v>22</v>
      </c>
      <c r="L61" s="4" t="s">
        <v>626</v>
      </c>
      <c r="M61" s="4" t="s">
        <v>626</v>
      </c>
      <c r="N61" s="3" t="s">
        <v>15</v>
      </c>
      <c r="O61" s="3" t="s">
        <v>571</v>
      </c>
      <c r="P61" s="3" t="s">
        <v>71</v>
      </c>
      <c r="Q61" s="3">
        <v>42</v>
      </c>
      <c r="R61" s="3" t="s">
        <v>13</v>
      </c>
      <c r="T61" s="3">
        <v>39</v>
      </c>
      <c r="U61" s="3" t="s">
        <v>615</v>
      </c>
      <c r="W61" s="4" t="s">
        <v>628</v>
      </c>
      <c r="X61" s="3" t="s">
        <v>21</v>
      </c>
      <c r="Y61" cm="1">
        <f t="array" ref="Y61">SUM(IF(INT($M$2:$M$594)&amp;" "&amp;$K$2:$K$594=INT($M61)&amp;" "&amp;$K61,1,0))</f>
        <v>1</v>
      </c>
      <c r="Z61" cm="1">
        <f t="array" ref="Z61">SUM(IF(ROUND($M$2:$M$594,0)&amp;" "&amp;$K$2:$K$594=ROUND($M61,0)&amp;" "&amp;$K61,1,0))</f>
        <v>1</v>
      </c>
      <c r="AA61" cm="1">
        <f t="array" ref="AA61">SUM(IF($W$2:$W$594=$W61,1,0))</f>
        <v>1</v>
      </c>
    </row>
    <row r="62" spans="2:27" x14ac:dyDescent="0.25">
      <c r="B62" t="s">
        <v>1349</v>
      </c>
      <c r="C62" t="s">
        <v>1696</v>
      </c>
      <c r="D62" t="s">
        <v>1697</v>
      </c>
      <c r="E62">
        <v>6</v>
      </c>
      <c r="F62" t="str">
        <f t="shared" si="0"/>
        <v>13/2</v>
      </c>
      <c r="G62" s="1" t="s">
        <v>629</v>
      </c>
      <c r="I62" s="3" t="s">
        <v>15</v>
      </c>
      <c r="K62" s="3" t="s">
        <v>26</v>
      </c>
      <c r="L62" s="4" t="s">
        <v>629</v>
      </c>
      <c r="M62" s="4" t="s">
        <v>629</v>
      </c>
      <c r="N62" s="3" t="s">
        <v>15</v>
      </c>
      <c r="O62" s="3" t="s">
        <v>615</v>
      </c>
      <c r="P62" s="3" t="s">
        <v>616</v>
      </c>
      <c r="Q62" s="3">
        <v>86</v>
      </c>
      <c r="T62" s="3">
        <v>8</v>
      </c>
      <c r="V62" s="3" t="s">
        <v>1811</v>
      </c>
      <c r="W62" s="4" t="s">
        <v>631</v>
      </c>
      <c r="X62" s="3" t="s">
        <v>21</v>
      </c>
      <c r="Y62" cm="1">
        <f t="array" ref="Y62">SUM(IF(INT($M$2:$M$594)&amp;" "&amp;$K$2:$K$594=INT($M62)&amp;" "&amp;$K62,1,0))</f>
        <v>1</v>
      </c>
      <c r="Z62" cm="1">
        <f t="array" ref="Z62">SUM(IF(ROUND($M$2:$M$594,0)&amp;" "&amp;$K$2:$K$594=ROUND($M62,0)&amp;" "&amp;$K62,1,0))</f>
        <v>1</v>
      </c>
      <c r="AA62" cm="1">
        <f t="array" ref="AA62">SUM(IF($W$2:$W$594=$W62,1,0))</f>
        <v>1</v>
      </c>
    </row>
    <row r="63" spans="2:27" x14ac:dyDescent="0.25">
      <c r="B63" t="s">
        <v>1350</v>
      </c>
      <c r="C63" t="s">
        <v>1698</v>
      </c>
      <c r="D63" t="s">
        <v>351</v>
      </c>
      <c r="E63">
        <v>4</v>
      </c>
      <c r="F63" t="str">
        <f t="shared" si="0"/>
        <v>9/2</v>
      </c>
      <c r="G63" s="1" t="s">
        <v>632</v>
      </c>
      <c r="I63" s="3" t="s">
        <v>15</v>
      </c>
      <c r="K63" s="3" t="s">
        <v>14</v>
      </c>
      <c r="L63" s="4" t="s">
        <v>632</v>
      </c>
      <c r="M63" s="4" t="s">
        <v>632</v>
      </c>
      <c r="N63" s="3" t="s">
        <v>15</v>
      </c>
      <c r="O63" s="3" t="s">
        <v>571</v>
      </c>
      <c r="P63" s="3" t="s">
        <v>608</v>
      </c>
      <c r="Q63" s="3">
        <v>46</v>
      </c>
      <c r="T63" s="3">
        <v>24</v>
      </c>
      <c r="U63" s="3" t="s">
        <v>615</v>
      </c>
      <c r="W63" s="4" t="s">
        <v>634</v>
      </c>
      <c r="X63" s="3" t="s">
        <v>21</v>
      </c>
      <c r="Y63" cm="1">
        <f t="array" ref="Y63">SUM(IF(INT($M$2:$M$594)&amp;" "&amp;$K$2:$K$594=INT($M63)&amp;" "&amp;$K63,1,0))</f>
        <v>1</v>
      </c>
      <c r="Z63" cm="1">
        <f t="array" ref="Z63">SUM(IF(ROUND($M$2:$M$594,0)&amp;" "&amp;$K$2:$K$594=ROUND($M63,0)&amp;" "&amp;$K63,1,0))</f>
        <v>1</v>
      </c>
      <c r="AA63" cm="1">
        <f t="array" ref="AA63">SUM(IF($W$2:$W$594=$W63,1,0))</f>
        <v>1</v>
      </c>
    </row>
    <row r="64" spans="2:27" x14ac:dyDescent="0.25">
      <c r="B64" t="s">
        <v>1351</v>
      </c>
      <c r="C64" t="s">
        <v>1696</v>
      </c>
      <c r="D64" t="s">
        <v>1699</v>
      </c>
      <c r="E64">
        <v>2</v>
      </c>
      <c r="F64" t="str">
        <f t="shared" si="0"/>
        <v>5/2</v>
      </c>
      <c r="G64" s="1" t="s">
        <v>637</v>
      </c>
      <c r="I64" s="3" t="s">
        <v>15</v>
      </c>
      <c r="K64" s="3" t="s">
        <v>43</v>
      </c>
      <c r="L64" s="4" t="s">
        <v>637</v>
      </c>
      <c r="M64" s="4" t="s">
        <v>637</v>
      </c>
      <c r="N64" s="3" t="s">
        <v>15</v>
      </c>
      <c r="O64" s="3" t="s">
        <v>635</v>
      </c>
      <c r="P64" s="3" t="s">
        <v>636</v>
      </c>
      <c r="Q64" s="3">
        <v>75</v>
      </c>
      <c r="T64" s="3">
        <v>7</v>
      </c>
      <c r="U64" s="3" t="s">
        <v>571</v>
      </c>
      <c r="V64" s="3" t="s">
        <v>225</v>
      </c>
      <c r="W64" s="4" t="s">
        <v>639</v>
      </c>
      <c r="X64" s="3" t="s">
        <v>21</v>
      </c>
      <c r="Y64" cm="1">
        <f t="array" ref="Y64">SUM(IF(INT($M$2:$M$594)&amp;" "&amp;$K$2:$K$594=INT($M64)&amp;" "&amp;$K64,1,0))</f>
        <v>1</v>
      </c>
      <c r="Z64" cm="1">
        <f t="array" ref="Z64">SUM(IF(ROUND($M$2:$M$594,0)&amp;" "&amp;$K$2:$K$594=ROUND($M64,0)&amp;" "&amp;$K64,1,0))</f>
        <v>1</v>
      </c>
      <c r="AA64" cm="1">
        <f t="array" ref="AA64">SUM(IF($W$2:$W$594=$W64,1,0))</f>
        <v>1</v>
      </c>
    </row>
    <row r="65" spans="1:27" x14ac:dyDescent="0.25">
      <c r="B65" t="s">
        <v>1350</v>
      </c>
      <c r="C65" t="s">
        <v>1698</v>
      </c>
      <c r="D65" t="s">
        <v>351</v>
      </c>
      <c r="E65">
        <v>2</v>
      </c>
      <c r="F65" t="str">
        <f t="shared" si="0"/>
        <v>5/2</v>
      </c>
      <c r="G65" s="1" t="s">
        <v>640</v>
      </c>
      <c r="I65" s="3" t="s">
        <v>15</v>
      </c>
      <c r="K65" s="3" t="s">
        <v>43</v>
      </c>
      <c r="L65" s="4" t="s">
        <v>640</v>
      </c>
      <c r="M65" s="4" t="s">
        <v>640</v>
      </c>
      <c r="N65" s="3" t="s">
        <v>15</v>
      </c>
      <c r="O65" s="3" t="s">
        <v>571</v>
      </c>
      <c r="P65" s="3" t="s">
        <v>71</v>
      </c>
      <c r="Q65" s="3">
        <v>31</v>
      </c>
      <c r="R65" s="3" t="s">
        <v>839</v>
      </c>
      <c r="T65" s="3">
        <v>27</v>
      </c>
      <c r="V65" s="3" t="s">
        <v>1814</v>
      </c>
      <c r="W65" s="4" t="s">
        <v>642</v>
      </c>
      <c r="X65" s="3" t="s">
        <v>21</v>
      </c>
      <c r="Y65" cm="1">
        <f t="array" ref="Y65">SUM(IF(INT($M$2:$M$594)&amp;" "&amp;$K$2:$K$594=INT($M65)&amp;" "&amp;$K65,1,0))</f>
        <v>1</v>
      </c>
      <c r="Z65" cm="1">
        <f t="array" ref="Z65">SUM(IF(ROUND($M$2:$M$594,0)&amp;" "&amp;$K$2:$K$594=ROUND($M65,0)&amp;" "&amp;$K65,1,0))</f>
        <v>1</v>
      </c>
      <c r="AA65" cm="1">
        <f t="array" ref="AA65">SUM(IF($W$2:$W$594=$W65,1,0))</f>
        <v>1</v>
      </c>
    </row>
    <row r="66" spans="1:27" x14ac:dyDescent="0.25">
      <c r="B66" t="s">
        <v>1351</v>
      </c>
      <c r="C66" t="s">
        <v>1696</v>
      </c>
      <c r="D66" t="s">
        <v>1699</v>
      </c>
      <c r="E66">
        <v>4</v>
      </c>
      <c r="F66" t="str">
        <f t="shared" si="0"/>
        <v>9/2</v>
      </c>
      <c r="G66" s="1" t="s">
        <v>644</v>
      </c>
      <c r="I66" s="3" t="s">
        <v>15</v>
      </c>
      <c r="K66" s="3" t="s">
        <v>14</v>
      </c>
      <c r="L66" s="4" t="s">
        <v>644</v>
      </c>
      <c r="M66" s="4" t="s">
        <v>644</v>
      </c>
      <c r="N66" s="3" t="s">
        <v>15</v>
      </c>
      <c r="O66" s="3" t="s">
        <v>643</v>
      </c>
      <c r="P66" s="3" t="s">
        <v>558</v>
      </c>
      <c r="Q66" s="3">
        <v>57</v>
      </c>
      <c r="T66" s="3">
        <v>24</v>
      </c>
      <c r="V66" s="3" t="s">
        <v>1815</v>
      </c>
      <c r="W66" s="4" t="s">
        <v>646</v>
      </c>
      <c r="X66" s="3" t="s">
        <v>21</v>
      </c>
      <c r="Y66" cm="1">
        <f t="array" ref="Y66">SUM(IF(INT($M$2:$M$594)&amp;" "&amp;$K$2:$K$594=INT($M66)&amp;" "&amp;$K66,1,0))</f>
        <v>1</v>
      </c>
      <c r="Z66" cm="1">
        <f t="array" ref="Z66">SUM(IF(ROUND($M$2:$M$594,0)&amp;" "&amp;$K$2:$K$594=ROUND($M66,0)&amp;" "&amp;$K66,1,0))</f>
        <v>1</v>
      </c>
      <c r="AA66" cm="1">
        <f t="array" ref="AA66">SUM(IF($W$2:$W$594=$W66,1,0))</f>
        <v>1</v>
      </c>
    </row>
    <row r="67" spans="1:27" x14ac:dyDescent="0.25">
      <c r="B67" t="s">
        <v>1350</v>
      </c>
      <c r="C67" t="s">
        <v>1698</v>
      </c>
      <c r="D67" t="s">
        <v>351</v>
      </c>
      <c r="E67">
        <v>5</v>
      </c>
      <c r="F67" t="str">
        <f t="shared" ref="F67:F130" si="1">(2*E67+1)&amp;"/2"</f>
        <v>11/2</v>
      </c>
      <c r="G67" s="1" t="s">
        <v>647</v>
      </c>
      <c r="I67" s="3" t="s">
        <v>15</v>
      </c>
      <c r="K67" s="3" t="s">
        <v>22</v>
      </c>
      <c r="L67" s="4" t="s">
        <v>647</v>
      </c>
      <c r="M67" s="4" t="s">
        <v>647</v>
      </c>
      <c r="N67" s="3" t="s">
        <v>15</v>
      </c>
      <c r="O67" s="3" t="s">
        <v>571</v>
      </c>
      <c r="P67" s="3" t="s">
        <v>608</v>
      </c>
      <c r="Q67" s="3">
        <v>73</v>
      </c>
      <c r="T67" s="3">
        <v>15</v>
      </c>
      <c r="U67" s="3" t="s">
        <v>615</v>
      </c>
      <c r="W67" s="4" t="s">
        <v>649</v>
      </c>
      <c r="X67" s="3" t="s">
        <v>21</v>
      </c>
      <c r="Y67" cm="1">
        <f t="array" ref="Y67">SUM(IF(INT($M$2:$M$594)&amp;" "&amp;$K$2:$K$594=INT($M67)&amp;" "&amp;$K67,1,0))</f>
        <v>1</v>
      </c>
      <c r="Z67" cm="1">
        <f t="array" ref="Z67">SUM(IF(ROUND($M$2:$M$594,0)&amp;" "&amp;$K$2:$K$594=ROUND($M67,0)&amp;" "&amp;$K67,1,0))</f>
        <v>1</v>
      </c>
      <c r="AA67" cm="1">
        <f t="array" ref="AA67">SUM(IF($W$2:$W$594=$W67,1,0))</f>
        <v>1</v>
      </c>
    </row>
    <row r="68" spans="1:27" x14ac:dyDescent="0.25">
      <c r="B68" t="s">
        <v>1351</v>
      </c>
      <c r="C68" t="s">
        <v>1696</v>
      </c>
      <c r="D68" t="s">
        <v>1699</v>
      </c>
      <c r="E68">
        <v>3</v>
      </c>
      <c r="F68" t="str">
        <f t="shared" si="1"/>
        <v>7/2</v>
      </c>
      <c r="G68" s="1" t="s">
        <v>650</v>
      </c>
      <c r="I68" s="3" t="s">
        <v>15</v>
      </c>
      <c r="K68" s="3" t="s">
        <v>47</v>
      </c>
      <c r="L68" s="4" t="s">
        <v>650</v>
      </c>
      <c r="M68" s="4" t="s">
        <v>650</v>
      </c>
      <c r="N68" s="3" t="s">
        <v>15</v>
      </c>
      <c r="O68" s="3" t="s">
        <v>643</v>
      </c>
      <c r="P68" s="3" t="s">
        <v>558</v>
      </c>
      <c r="Q68" s="3">
        <v>46</v>
      </c>
      <c r="T68" s="3">
        <v>17</v>
      </c>
      <c r="V68" s="3" t="s">
        <v>1815</v>
      </c>
      <c r="W68" s="4" t="s">
        <v>652</v>
      </c>
      <c r="X68" s="3" t="s">
        <v>21</v>
      </c>
      <c r="Y68" cm="1">
        <f t="array" ref="Y68">SUM(IF(INT($M$2:$M$594)&amp;" "&amp;$K$2:$K$594=INT($M68)&amp;" "&amp;$K68,1,0))</f>
        <v>1</v>
      </c>
      <c r="Z68" cm="1">
        <f t="array" ref="Z68">SUM(IF(ROUND($M$2:$M$594,0)&amp;" "&amp;$K$2:$K$594=ROUND($M68,0)&amp;" "&amp;$K68,1,0))</f>
        <v>1</v>
      </c>
      <c r="AA68" cm="1">
        <f t="array" ref="AA68">SUM(IF($W$2:$W$594=$W68,1,0))</f>
        <v>1</v>
      </c>
    </row>
    <row r="69" spans="1:27" x14ac:dyDescent="0.25">
      <c r="A69" t="s">
        <v>1664</v>
      </c>
      <c r="B69" t="s">
        <v>1665</v>
      </c>
      <c r="C69" t="s">
        <v>1698</v>
      </c>
      <c r="D69" t="s">
        <v>1700</v>
      </c>
      <c r="E69">
        <v>1</v>
      </c>
      <c r="F69" t="str">
        <f t="shared" si="1"/>
        <v>3/2</v>
      </c>
      <c r="G69" s="1" t="s">
        <v>1352</v>
      </c>
      <c r="I69" s="3" t="s">
        <v>15</v>
      </c>
      <c r="K69" s="3" t="s">
        <v>35</v>
      </c>
      <c r="M69" s="4" t="s">
        <v>1352</v>
      </c>
      <c r="N69" s="3" t="s">
        <v>15</v>
      </c>
      <c r="O69" s="3" t="s">
        <v>1761</v>
      </c>
      <c r="P69" s="3" t="s">
        <v>71</v>
      </c>
      <c r="W69" s="5" t="s">
        <v>1929</v>
      </c>
      <c r="X69" s="3" t="s">
        <v>1757</v>
      </c>
      <c r="Y69" cm="1">
        <f t="array" ref="Y69">SUM(IF(INT($M$2:$M$594)&amp;" "&amp;$K$2:$K$594=INT($M69)&amp;" "&amp;$K69,1,0))</f>
        <v>1</v>
      </c>
      <c r="Z69" cm="1">
        <f t="array" ref="Z69">SUM(IF(ROUND($M$2:$M$594,0)&amp;" "&amp;$K$2:$K$594=ROUND($M69,0)&amp;" "&amp;$K69,1,0))</f>
        <v>1</v>
      </c>
      <c r="AA69" cm="1">
        <f t="array" ref="AA69">SUM(IF($W$2:$W$594=$W69,1,0))</f>
        <v>1</v>
      </c>
    </row>
    <row r="70" spans="1:27" x14ac:dyDescent="0.25">
      <c r="B70" t="s">
        <v>1351</v>
      </c>
      <c r="C70" t="s">
        <v>1696</v>
      </c>
      <c r="D70" t="s">
        <v>1699</v>
      </c>
      <c r="E70">
        <v>3</v>
      </c>
      <c r="F70" t="str">
        <f t="shared" si="1"/>
        <v>7/2</v>
      </c>
      <c r="G70" s="1" t="s">
        <v>653</v>
      </c>
      <c r="I70" s="3" t="s">
        <v>15</v>
      </c>
      <c r="K70" s="3" t="s">
        <v>47</v>
      </c>
      <c r="L70" s="4" t="s">
        <v>653</v>
      </c>
      <c r="M70" s="4" t="s">
        <v>653</v>
      </c>
      <c r="N70" s="3" t="s">
        <v>15</v>
      </c>
      <c r="O70" s="3" t="s">
        <v>635</v>
      </c>
      <c r="P70" s="3" t="s">
        <v>636</v>
      </c>
      <c r="Q70" s="3">
        <v>45</v>
      </c>
      <c r="T70" s="3">
        <v>39</v>
      </c>
      <c r="V70" s="3" t="s">
        <v>1816</v>
      </c>
      <c r="W70" s="4" t="s">
        <v>655</v>
      </c>
      <c r="X70" s="3" t="s">
        <v>21</v>
      </c>
      <c r="Y70" cm="1">
        <f t="array" ref="Y70">SUM(IF(INT($M$2:$M$594)&amp;" "&amp;$K$2:$K$594=INT($M70)&amp;" "&amp;$K70,1,0))</f>
        <v>1</v>
      </c>
      <c r="Z70" cm="1">
        <f t="array" ref="Z70">SUM(IF(ROUND($M$2:$M$594,0)&amp;" "&amp;$K$2:$K$594=ROUND($M70,0)&amp;" "&amp;$K70,1,0))</f>
        <v>1</v>
      </c>
      <c r="AA70" cm="1">
        <f t="array" ref="AA70">SUM(IF($W$2:$W$594=$W70,1,0))</f>
        <v>1</v>
      </c>
    </row>
    <row r="71" spans="1:27" x14ac:dyDescent="0.25">
      <c r="A71" t="s">
        <v>1664</v>
      </c>
      <c r="B71" t="s">
        <v>1665</v>
      </c>
      <c r="C71" t="s">
        <v>1698</v>
      </c>
      <c r="D71" t="s">
        <v>1700</v>
      </c>
      <c r="E71">
        <v>1</v>
      </c>
      <c r="F71" t="str">
        <f t="shared" si="1"/>
        <v>3/2</v>
      </c>
      <c r="G71" s="1" t="s">
        <v>1353</v>
      </c>
      <c r="I71" s="3" t="s">
        <v>15</v>
      </c>
      <c r="K71" s="3" t="s">
        <v>35</v>
      </c>
      <c r="M71" s="4" t="s">
        <v>1353</v>
      </c>
      <c r="N71" s="3" t="s">
        <v>15</v>
      </c>
      <c r="O71" s="3" t="s">
        <v>1761</v>
      </c>
      <c r="P71" s="3" t="s">
        <v>71</v>
      </c>
      <c r="W71" s="5" t="s">
        <v>1930</v>
      </c>
      <c r="X71" s="3" t="s">
        <v>1757</v>
      </c>
      <c r="Y71" cm="1">
        <f t="array" ref="Y71">SUM(IF(INT($M$2:$M$594)&amp;" "&amp;$K$2:$K$594=INT($M71)&amp;" "&amp;$K71,1,0))</f>
        <v>1</v>
      </c>
      <c r="Z71" cm="1">
        <f t="array" ref="Z71">SUM(IF(ROUND($M$2:$M$594,0)&amp;" "&amp;$K$2:$K$594=ROUND($M71,0)&amp;" "&amp;$K71,1,0))</f>
        <v>1</v>
      </c>
      <c r="AA71" cm="1">
        <f t="array" ref="AA71">SUM(IF($W$2:$W$594=$W71,1,0))</f>
        <v>1</v>
      </c>
    </row>
    <row r="72" spans="1:27" x14ac:dyDescent="0.25">
      <c r="B72" t="s">
        <v>1350</v>
      </c>
      <c r="C72" t="s">
        <v>1698</v>
      </c>
      <c r="D72" t="s">
        <v>351</v>
      </c>
      <c r="E72">
        <v>2</v>
      </c>
      <c r="F72" t="str">
        <f t="shared" si="1"/>
        <v>5/2</v>
      </c>
      <c r="G72" s="1" t="s">
        <v>656</v>
      </c>
      <c r="I72" s="3" t="s">
        <v>15</v>
      </c>
      <c r="K72" s="3" t="s">
        <v>43</v>
      </c>
      <c r="L72" s="4" t="s">
        <v>656</v>
      </c>
      <c r="M72" s="4" t="s">
        <v>656</v>
      </c>
      <c r="N72" s="3" t="s">
        <v>15</v>
      </c>
      <c r="O72" s="3" t="s">
        <v>571</v>
      </c>
      <c r="P72" s="3" t="s">
        <v>75</v>
      </c>
      <c r="Q72" s="3">
        <v>47</v>
      </c>
      <c r="T72" s="3">
        <v>18</v>
      </c>
      <c r="V72" s="3" t="s">
        <v>1817</v>
      </c>
      <c r="W72" s="4" t="s">
        <v>658</v>
      </c>
      <c r="X72" s="3" t="s">
        <v>21</v>
      </c>
      <c r="Y72" cm="1">
        <f t="array" ref="Y72">SUM(IF(INT($M$2:$M$594)&amp;" "&amp;$K$2:$K$594=INT($M72)&amp;" "&amp;$K72,1,0))</f>
        <v>1</v>
      </c>
      <c r="Z72" cm="1">
        <f t="array" ref="Z72">SUM(IF(ROUND($M$2:$M$594,0)&amp;" "&amp;$K$2:$K$594=ROUND($M72,0)&amp;" "&amp;$K72,1,0))</f>
        <v>1</v>
      </c>
      <c r="AA72" cm="1">
        <f t="array" ref="AA72">SUM(IF($W$2:$W$594=$W72,1,0))</f>
        <v>1</v>
      </c>
    </row>
    <row r="73" spans="1:27" x14ac:dyDescent="0.25">
      <c r="B73" t="s">
        <v>1349</v>
      </c>
      <c r="C73" t="s">
        <v>1696</v>
      </c>
      <c r="D73" t="s">
        <v>1697</v>
      </c>
      <c r="E73">
        <v>5</v>
      </c>
      <c r="F73" t="str">
        <f t="shared" si="1"/>
        <v>11/2</v>
      </c>
      <c r="G73" s="1" t="s">
        <v>661</v>
      </c>
      <c r="I73" s="3" t="s">
        <v>15</v>
      </c>
      <c r="K73" s="3" t="s">
        <v>22</v>
      </c>
      <c r="L73" s="4" t="s">
        <v>661</v>
      </c>
      <c r="M73" s="4" t="s">
        <v>661</v>
      </c>
      <c r="N73" s="3" t="s">
        <v>15</v>
      </c>
      <c r="O73" s="3" t="s">
        <v>659</v>
      </c>
      <c r="P73" s="3" t="s">
        <v>660</v>
      </c>
      <c r="Q73" s="3">
        <v>88</v>
      </c>
      <c r="T73" s="3">
        <v>4</v>
      </c>
      <c r="U73" s="3" t="s">
        <v>571</v>
      </c>
      <c r="V73" s="3" t="s">
        <v>608</v>
      </c>
      <c r="W73" s="4" t="s">
        <v>663</v>
      </c>
      <c r="X73" s="3" t="s">
        <v>21</v>
      </c>
      <c r="Y73" cm="1">
        <f t="array" ref="Y73">SUM(IF(INT($M$2:$M$594)&amp;" "&amp;$K$2:$K$594=INT($M73)&amp;" "&amp;$K73,1,0))</f>
        <v>1</v>
      </c>
      <c r="Z73" cm="1">
        <f t="array" ref="Z73">SUM(IF(ROUND($M$2:$M$594,0)&amp;" "&amp;$K$2:$K$594=ROUND($M73,0)&amp;" "&amp;$K73,1,0))</f>
        <v>1</v>
      </c>
      <c r="AA73" cm="1">
        <f t="array" ref="AA73">SUM(IF($W$2:$W$594=$W73,1,0))</f>
        <v>1</v>
      </c>
    </row>
    <row r="74" spans="1:27" x14ac:dyDescent="0.25">
      <c r="B74" t="s">
        <v>1350</v>
      </c>
      <c r="C74" t="s">
        <v>1698</v>
      </c>
      <c r="D74" t="s">
        <v>351</v>
      </c>
      <c r="E74">
        <v>3</v>
      </c>
      <c r="F74" t="str">
        <f t="shared" si="1"/>
        <v>7/2</v>
      </c>
      <c r="G74" s="1" t="s">
        <v>664</v>
      </c>
      <c r="I74" s="3" t="s">
        <v>15</v>
      </c>
      <c r="K74" s="3" t="s">
        <v>47</v>
      </c>
      <c r="L74" s="4" t="s">
        <v>664</v>
      </c>
      <c r="M74" s="4" t="s">
        <v>664</v>
      </c>
      <c r="N74" s="3" t="s">
        <v>15</v>
      </c>
      <c r="O74" s="3" t="s">
        <v>571</v>
      </c>
      <c r="P74" s="3" t="s">
        <v>71</v>
      </c>
      <c r="Q74" s="3">
        <v>22</v>
      </c>
      <c r="R74" s="3" t="s">
        <v>839</v>
      </c>
      <c r="T74" s="3">
        <v>12</v>
      </c>
      <c r="V74" s="3" t="s">
        <v>1818</v>
      </c>
      <c r="W74" s="4" t="s">
        <v>666</v>
      </c>
      <c r="X74" s="3" t="s">
        <v>21</v>
      </c>
      <c r="Y74" cm="1">
        <f t="array" ref="Y74">SUM(IF(INT($M$2:$M$594)&amp;" "&amp;$K$2:$K$594=INT($M74)&amp;" "&amp;$K74,1,0))</f>
        <v>1</v>
      </c>
      <c r="Z74" cm="1">
        <f t="array" ref="Z74">SUM(IF(ROUND($M$2:$M$594,0)&amp;" "&amp;$K$2:$K$594=ROUND($M74,0)&amp;" "&amp;$K74,1,0))</f>
        <v>1</v>
      </c>
      <c r="AA74" cm="1">
        <f t="array" ref="AA74">SUM(IF($W$2:$W$594=$W74,1,0))</f>
        <v>1</v>
      </c>
    </row>
    <row r="75" spans="1:27" x14ac:dyDescent="0.25">
      <c r="B75" t="s">
        <v>1350</v>
      </c>
      <c r="C75" t="s">
        <v>1698</v>
      </c>
      <c r="D75" t="s">
        <v>351</v>
      </c>
      <c r="E75">
        <v>6</v>
      </c>
      <c r="F75" t="str">
        <f t="shared" si="1"/>
        <v>13/2</v>
      </c>
      <c r="G75" s="1" t="s">
        <v>667</v>
      </c>
      <c r="I75" s="3" t="s">
        <v>15</v>
      </c>
      <c r="K75" s="3" t="s">
        <v>26</v>
      </c>
      <c r="L75" s="4" t="s">
        <v>667</v>
      </c>
      <c r="M75" s="4" t="s">
        <v>667</v>
      </c>
      <c r="N75" s="3" t="s">
        <v>15</v>
      </c>
      <c r="O75" s="3" t="s">
        <v>571</v>
      </c>
      <c r="P75" s="3" t="s">
        <v>13</v>
      </c>
      <c r="Q75" s="3">
        <v>86</v>
      </c>
      <c r="T75" s="3">
        <v>5</v>
      </c>
      <c r="V75" s="3" t="s">
        <v>1819</v>
      </c>
      <c r="W75" s="4" t="s">
        <v>669</v>
      </c>
      <c r="X75" s="3" t="s">
        <v>21</v>
      </c>
      <c r="Y75" cm="1">
        <f t="array" ref="Y75">SUM(IF(INT($M$2:$M$594)&amp;" "&amp;$K$2:$K$594=INT($M75)&amp;" "&amp;$K75,1,0))</f>
        <v>1</v>
      </c>
      <c r="Z75" cm="1">
        <f t="array" ref="Z75">SUM(IF(ROUND($M$2:$M$594,0)&amp;" "&amp;$K$2:$K$594=ROUND($M75,0)&amp;" "&amp;$K75,1,0))</f>
        <v>1</v>
      </c>
      <c r="AA75" cm="1">
        <f t="array" ref="AA75">SUM(IF($W$2:$W$594=$W75,1,0))</f>
        <v>1</v>
      </c>
    </row>
    <row r="76" spans="1:27" x14ac:dyDescent="0.25">
      <c r="B76" t="s">
        <v>1349</v>
      </c>
      <c r="C76" t="s">
        <v>1696</v>
      </c>
      <c r="D76" t="s">
        <v>1697</v>
      </c>
      <c r="E76">
        <v>6</v>
      </c>
      <c r="F76" t="str">
        <f t="shared" si="1"/>
        <v>13/2</v>
      </c>
      <c r="G76" s="1" t="s">
        <v>670</v>
      </c>
      <c r="I76" s="3" t="s">
        <v>15</v>
      </c>
      <c r="K76" s="3" t="s">
        <v>26</v>
      </c>
      <c r="L76" s="4" t="s">
        <v>670</v>
      </c>
      <c r="M76" s="4" t="s">
        <v>670</v>
      </c>
      <c r="N76" s="3" t="s">
        <v>15</v>
      </c>
      <c r="O76" s="3" t="s">
        <v>659</v>
      </c>
      <c r="P76" s="3" t="s">
        <v>660</v>
      </c>
      <c r="Q76" s="3">
        <v>51</v>
      </c>
      <c r="T76" s="3">
        <v>25</v>
      </c>
      <c r="U76" s="3" t="s">
        <v>571</v>
      </c>
      <c r="V76" s="3" t="s">
        <v>608</v>
      </c>
      <c r="W76" s="4" t="s">
        <v>672</v>
      </c>
      <c r="X76" s="3" t="s">
        <v>21</v>
      </c>
      <c r="Y76" cm="1">
        <f t="array" ref="Y76">SUM(IF(INT($M$2:$M$594)&amp;" "&amp;$K$2:$K$594=INT($M76)&amp;" "&amp;$K76,1,0))</f>
        <v>1</v>
      </c>
      <c r="Z76" cm="1">
        <f t="array" ref="Z76">SUM(IF(ROUND($M$2:$M$594,0)&amp;" "&amp;$K$2:$K$594=ROUND($M76,0)&amp;" "&amp;$K76,1,0))</f>
        <v>1</v>
      </c>
      <c r="AA76" cm="1">
        <f t="array" ref="AA76">SUM(IF($W$2:$W$594=$W76,1,0))</f>
        <v>1</v>
      </c>
    </row>
    <row r="77" spans="1:27" x14ac:dyDescent="0.25">
      <c r="B77" t="s">
        <v>1349</v>
      </c>
      <c r="C77" t="s">
        <v>1696</v>
      </c>
      <c r="D77" t="s">
        <v>1697</v>
      </c>
      <c r="E77">
        <v>7</v>
      </c>
      <c r="F77" t="str">
        <f t="shared" si="1"/>
        <v>15/2</v>
      </c>
      <c r="G77" s="1" t="s">
        <v>673</v>
      </c>
      <c r="I77" s="3" t="s">
        <v>15</v>
      </c>
      <c r="K77" s="3" t="s">
        <v>30</v>
      </c>
      <c r="L77" s="4" t="s">
        <v>673</v>
      </c>
      <c r="M77" s="4" t="s">
        <v>673</v>
      </c>
      <c r="N77" s="3" t="s">
        <v>15</v>
      </c>
      <c r="O77" s="3" t="s">
        <v>659</v>
      </c>
      <c r="P77" s="3" t="s">
        <v>660</v>
      </c>
      <c r="Q77" s="3">
        <v>96</v>
      </c>
      <c r="W77" s="4" t="s">
        <v>675</v>
      </c>
      <c r="X77" s="3" t="s">
        <v>21</v>
      </c>
      <c r="Y77" cm="1">
        <f t="array" ref="Y77">SUM(IF(INT($M$2:$M$594)&amp;" "&amp;$K$2:$K$594=INT($M77)&amp;" "&amp;$K77,1,0))</f>
        <v>1</v>
      </c>
      <c r="Z77" cm="1">
        <f t="array" ref="Z77">SUM(IF(ROUND($M$2:$M$594,0)&amp;" "&amp;$K$2:$K$594=ROUND($M77,0)&amp;" "&amp;$K77,1,0))</f>
        <v>1</v>
      </c>
      <c r="AA77" cm="1">
        <f t="array" ref="AA77">SUM(IF($W$2:$W$594=$W77,1,0))</f>
        <v>1</v>
      </c>
    </row>
    <row r="78" spans="1:27" x14ac:dyDescent="0.25">
      <c r="B78" t="s">
        <v>1351</v>
      </c>
      <c r="C78" t="s">
        <v>1696</v>
      </c>
      <c r="D78" t="s">
        <v>1699</v>
      </c>
      <c r="E78">
        <v>0</v>
      </c>
      <c r="F78" t="str">
        <f t="shared" si="1"/>
        <v>1/2</v>
      </c>
      <c r="G78" s="1" t="s">
        <v>678</v>
      </c>
      <c r="I78" s="3" t="s">
        <v>15</v>
      </c>
      <c r="K78" s="3" t="s">
        <v>145</v>
      </c>
      <c r="L78" s="4" t="s">
        <v>678</v>
      </c>
      <c r="M78" s="4" t="s">
        <v>678</v>
      </c>
      <c r="N78" s="3" t="s">
        <v>15</v>
      </c>
      <c r="O78" s="3" t="s">
        <v>676</v>
      </c>
      <c r="P78" s="3" t="s">
        <v>677</v>
      </c>
      <c r="Q78" s="3">
        <v>81</v>
      </c>
      <c r="T78" s="3">
        <v>4</v>
      </c>
      <c r="U78" s="3" t="s">
        <v>571</v>
      </c>
      <c r="V78" s="3" t="s">
        <v>1820</v>
      </c>
      <c r="W78" s="4" t="s">
        <v>680</v>
      </c>
      <c r="X78" s="3" t="s">
        <v>21</v>
      </c>
      <c r="Y78" cm="1">
        <f t="array" ref="Y78">SUM(IF(INT($M$2:$M$594)&amp;" "&amp;$K$2:$K$594=INT($M78)&amp;" "&amp;$K78,1,0))</f>
        <v>1</v>
      </c>
      <c r="Z78" cm="1">
        <f t="array" ref="Z78">SUM(IF(ROUND($M$2:$M$594,0)&amp;" "&amp;$K$2:$K$594=ROUND($M78,0)&amp;" "&amp;$K78,1,0))</f>
        <v>1</v>
      </c>
      <c r="AA78" cm="1">
        <f t="array" ref="AA78">SUM(IF($W$2:$W$594=$W78,1,0))</f>
        <v>1</v>
      </c>
    </row>
    <row r="79" spans="1:27" x14ac:dyDescent="0.25">
      <c r="B79" t="s">
        <v>1350</v>
      </c>
      <c r="C79" t="s">
        <v>1698</v>
      </c>
      <c r="D79" t="s">
        <v>351</v>
      </c>
      <c r="E79">
        <v>2</v>
      </c>
      <c r="F79" t="str">
        <f t="shared" si="1"/>
        <v>5/2</v>
      </c>
      <c r="G79" s="1" t="s">
        <v>681</v>
      </c>
      <c r="I79" s="3" t="s">
        <v>15</v>
      </c>
      <c r="K79" s="3" t="s">
        <v>43</v>
      </c>
      <c r="L79" s="4" t="s">
        <v>681</v>
      </c>
      <c r="M79" s="4" t="s">
        <v>681</v>
      </c>
      <c r="N79" s="3" t="s">
        <v>15</v>
      </c>
      <c r="O79" s="3" t="s">
        <v>571</v>
      </c>
      <c r="P79" s="3" t="s">
        <v>34</v>
      </c>
      <c r="Q79" s="3">
        <v>52</v>
      </c>
      <c r="T79" s="3">
        <v>30</v>
      </c>
      <c r="U79" s="3" t="s">
        <v>676</v>
      </c>
      <c r="W79" s="4" t="s">
        <v>683</v>
      </c>
      <c r="X79" s="3" t="s">
        <v>21</v>
      </c>
      <c r="Y79" cm="1">
        <f t="array" ref="Y79">SUM(IF(INT($M$2:$M$594)&amp;" "&amp;$K$2:$K$594=INT($M79)&amp;" "&amp;$K79,1,0))</f>
        <v>1</v>
      </c>
      <c r="Z79" cm="1">
        <f t="array" ref="Z79">SUM(IF(ROUND($M$2:$M$594,0)&amp;" "&amp;$K$2:$K$594=ROUND($M79,0)&amp;" "&amp;$K79,1,0))</f>
        <v>1</v>
      </c>
      <c r="AA79" cm="1">
        <f t="array" ref="AA79">SUM(IF($W$2:$W$594=$W79,1,0))</f>
        <v>1</v>
      </c>
    </row>
    <row r="80" spans="1:27" x14ac:dyDescent="0.25">
      <c r="B80" t="s">
        <v>1350</v>
      </c>
      <c r="C80" t="s">
        <v>1698</v>
      </c>
      <c r="D80" t="s">
        <v>351</v>
      </c>
      <c r="E80">
        <v>6</v>
      </c>
      <c r="F80" t="str">
        <f t="shared" si="1"/>
        <v>13/2</v>
      </c>
      <c r="G80" s="1" t="s">
        <v>684</v>
      </c>
      <c r="I80" s="3" t="s">
        <v>15</v>
      </c>
      <c r="K80" s="3" t="s">
        <v>26</v>
      </c>
      <c r="L80" s="4" t="s">
        <v>684</v>
      </c>
      <c r="M80" s="4" t="s">
        <v>684</v>
      </c>
      <c r="N80" s="3" t="s">
        <v>15</v>
      </c>
      <c r="O80" s="3" t="s">
        <v>571</v>
      </c>
      <c r="P80" s="3" t="s">
        <v>608</v>
      </c>
      <c r="Q80" s="3">
        <v>53</v>
      </c>
      <c r="T80" s="3">
        <v>32</v>
      </c>
      <c r="U80" s="3" t="s">
        <v>659</v>
      </c>
      <c r="W80" s="4" t="s">
        <v>686</v>
      </c>
      <c r="X80" s="3" t="s">
        <v>21</v>
      </c>
      <c r="Y80" cm="1">
        <f t="array" ref="Y80">SUM(IF(INT($M$2:$M$594)&amp;" "&amp;$K$2:$K$594=INT($M80)&amp;" "&amp;$K80,1,0))</f>
        <v>1</v>
      </c>
      <c r="Z80" cm="1">
        <f t="array" ref="Z80">SUM(IF(ROUND($M$2:$M$594,0)&amp;" "&amp;$K$2:$K$594=ROUND($M80,0)&amp;" "&amp;$K80,1,0))</f>
        <v>1</v>
      </c>
      <c r="AA80" cm="1">
        <f t="array" ref="AA80">SUM(IF($W$2:$W$594=$W80,1,0))</f>
        <v>1</v>
      </c>
    </row>
    <row r="81" spans="1:27" x14ac:dyDescent="0.25">
      <c r="B81" t="s">
        <v>1350</v>
      </c>
      <c r="C81" t="s">
        <v>1698</v>
      </c>
      <c r="D81" t="s">
        <v>351</v>
      </c>
      <c r="E81">
        <v>3</v>
      </c>
      <c r="F81" t="str">
        <f t="shared" si="1"/>
        <v>7/2</v>
      </c>
      <c r="G81" s="1" t="s">
        <v>687</v>
      </c>
      <c r="I81" s="3" t="s">
        <v>15</v>
      </c>
      <c r="K81" s="3" t="s">
        <v>47</v>
      </c>
      <c r="L81" s="4" t="s">
        <v>687</v>
      </c>
      <c r="M81" s="4" t="s">
        <v>687</v>
      </c>
      <c r="N81" s="3" t="s">
        <v>15</v>
      </c>
      <c r="O81" s="3" t="s">
        <v>571</v>
      </c>
      <c r="P81" s="3" t="s">
        <v>75</v>
      </c>
      <c r="Q81" s="3">
        <v>47</v>
      </c>
      <c r="T81" s="3">
        <v>18</v>
      </c>
      <c r="U81" s="3" t="s">
        <v>676</v>
      </c>
      <c r="W81" s="4" t="s">
        <v>689</v>
      </c>
      <c r="X81" s="3" t="s">
        <v>21</v>
      </c>
      <c r="Y81" cm="1">
        <f t="array" ref="Y81">SUM(IF(INT($M$2:$M$594)&amp;" "&amp;$K$2:$K$594=INT($M81)&amp;" "&amp;$K81,1,0))</f>
        <v>1</v>
      </c>
      <c r="Z81" cm="1">
        <f t="array" ref="Z81">SUM(IF(ROUND($M$2:$M$594,0)&amp;" "&amp;$K$2:$K$594=ROUND($M81,0)&amp;" "&amp;$K81,1,0))</f>
        <v>1</v>
      </c>
      <c r="AA81" cm="1">
        <f t="array" ref="AA81">SUM(IF($W$2:$W$594=$W81,1,0))</f>
        <v>1</v>
      </c>
    </row>
    <row r="82" spans="1:27" x14ac:dyDescent="0.25">
      <c r="B82" t="s">
        <v>1351</v>
      </c>
      <c r="C82" t="s">
        <v>1696</v>
      </c>
      <c r="D82" t="s">
        <v>1699</v>
      </c>
      <c r="E82">
        <v>1</v>
      </c>
      <c r="F82" t="str">
        <f t="shared" si="1"/>
        <v>3/2</v>
      </c>
      <c r="G82" s="1" t="s">
        <v>690</v>
      </c>
      <c r="I82" s="3" t="s">
        <v>15</v>
      </c>
      <c r="K82" s="3" t="s">
        <v>35</v>
      </c>
      <c r="L82" s="4" t="s">
        <v>690</v>
      </c>
      <c r="M82" s="4" t="s">
        <v>690</v>
      </c>
      <c r="N82" s="3" t="s">
        <v>15</v>
      </c>
      <c r="O82" s="3" t="s">
        <v>676</v>
      </c>
      <c r="P82" s="3" t="s">
        <v>677</v>
      </c>
      <c r="Q82" s="3">
        <v>76</v>
      </c>
      <c r="T82" s="3">
        <v>7</v>
      </c>
      <c r="U82" s="3" t="s">
        <v>571</v>
      </c>
      <c r="V82" s="3" t="s">
        <v>34</v>
      </c>
      <c r="W82" s="4" t="s">
        <v>692</v>
      </c>
      <c r="X82" s="3" t="s">
        <v>21</v>
      </c>
      <c r="Y82" cm="1">
        <f t="array" ref="Y82">SUM(IF(INT($M$2:$M$594)&amp;" "&amp;$K$2:$K$594=INT($M82)&amp;" "&amp;$K82,1,0))</f>
        <v>1</v>
      </c>
      <c r="Z82" cm="1">
        <f t="array" ref="Z82">SUM(IF(ROUND($M$2:$M$594,0)&amp;" "&amp;$K$2:$K$594=ROUND($M82,0)&amp;" "&amp;$K82,1,0))</f>
        <v>1</v>
      </c>
      <c r="AA82" cm="1">
        <f t="array" ref="AA82">SUM(IF($W$2:$W$594=$W82,1,0))</f>
        <v>1</v>
      </c>
    </row>
    <row r="83" spans="1:27" x14ac:dyDescent="0.25">
      <c r="B83" t="s">
        <v>1350</v>
      </c>
      <c r="C83" t="s">
        <v>1698</v>
      </c>
      <c r="D83" t="s">
        <v>351</v>
      </c>
      <c r="E83">
        <v>2</v>
      </c>
      <c r="F83" t="str">
        <f t="shared" si="1"/>
        <v>5/2</v>
      </c>
      <c r="G83" s="1" t="s">
        <v>693</v>
      </c>
      <c r="I83" s="3" t="s">
        <v>15</v>
      </c>
      <c r="K83" s="3" t="s">
        <v>43</v>
      </c>
      <c r="L83" s="4" t="s">
        <v>693</v>
      </c>
      <c r="M83" s="4" t="s">
        <v>693</v>
      </c>
      <c r="N83" s="3" t="s">
        <v>15</v>
      </c>
      <c r="O83" s="3" t="s">
        <v>571</v>
      </c>
      <c r="P83" s="3" t="s">
        <v>71</v>
      </c>
      <c r="Q83" s="3">
        <v>24</v>
      </c>
      <c r="R83" s="3" t="s">
        <v>225</v>
      </c>
      <c r="T83" s="3">
        <v>14</v>
      </c>
      <c r="U83" s="3" t="s">
        <v>676</v>
      </c>
      <c r="W83" s="4" t="s">
        <v>695</v>
      </c>
      <c r="X83" s="3" t="s">
        <v>21</v>
      </c>
      <c r="Y83" cm="1">
        <f t="array" ref="Y83">SUM(IF(INT($M$2:$M$594)&amp;" "&amp;$K$2:$K$594=INT($M83)&amp;" "&amp;$K83,1,0))</f>
        <v>1</v>
      </c>
      <c r="Z83" cm="1">
        <f t="array" ref="Z83">SUM(IF(ROUND($M$2:$M$594,0)&amp;" "&amp;$K$2:$K$594=ROUND($M83,0)&amp;" "&amp;$K83,1,0))</f>
        <v>1</v>
      </c>
      <c r="AA83" cm="1">
        <f t="array" ref="AA83">SUM(IF($W$2:$W$594=$W83,1,0))</f>
        <v>1</v>
      </c>
    </row>
    <row r="84" spans="1:27" x14ac:dyDescent="0.25">
      <c r="B84" t="s">
        <v>1349</v>
      </c>
      <c r="C84" t="s">
        <v>1696</v>
      </c>
      <c r="D84" t="s">
        <v>1697</v>
      </c>
      <c r="E84">
        <v>4</v>
      </c>
      <c r="F84" t="str">
        <f t="shared" si="1"/>
        <v>9/2</v>
      </c>
      <c r="G84" s="1" t="s">
        <v>696</v>
      </c>
      <c r="I84" s="3" t="s">
        <v>15</v>
      </c>
      <c r="K84" s="3" t="s">
        <v>14</v>
      </c>
      <c r="L84" s="4" t="s">
        <v>696</v>
      </c>
      <c r="M84" s="4" t="s">
        <v>696</v>
      </c>
      <c r="N84" s="3" t="s">
        <v>15</v>
      </c>
      <c r="O84" s="3" t="s">
        <v>659</v>
      </c>
      <c r="P84" s="3" t="s">
        <v>660</v>
      </c>
      <c r="Q84" s="3">
        <v>60</v>
      </c>
      <c r="T84" s="3">
        <v>12</v>
      </c>
      <c r="V84" s="3" t="s">
        <v>1815</v>
      </c>
      <c r="W84" s="4" t="s">
        <v>698</v>
      </c>
      <c r="X84" s="3" t="s">
        <v>21</v>
      </c>
      <c r="Y84" cm="1">
        <f t="array" ref="Y84">SUM(IF(INT($M$2:$M$594)&amp;" "&amp;$K$2:$K$594=INT($M84)&amp;" "&amp;$K84,1,0))</f>
        <v>1</v>
      </c>
      <c r="Z84" cm="1">
        <f t="array" ref="Z84">SUM(IF(ROUND($M$2:$M$594,0)&amp;" "&amp;$K$2:$K$594=ROUND($M84,0)&amp;" "&amp;$K84,1,0))</f>
        <v>1</v>
      </c>
      <c r="AA84" cm="1">
        <f t="array" ref="AA84">SUM(IF($W$2:$W$594=$W84,1,0))</f>
        <v>1</v>
      </c>
    </row>
    <row r="85" spans="1:27" x14ac:dyDescent="0.25">
      <c r="B85" t="s">
        <v>1351</v>
      </c>
      <c r="C85" t="s">
        <v>1696</v>
      </c>
      <c r="D85" t="s">
        <v>1699</v>
      </c>
      <c r="E85">
        <v>3</v>
      </c>
      <c r="F85" t="str">
        <f t="shared" si="1"/>
        <v>7/2</v>
      </c>
      <c r="G85" s="1" t="s">
        <v>699</v>
      </c>
      <c r="I85" s="3" t="s">
        <v>15</v>
      </c>
      <c r="K85" s="3" t="s">
        <v>47</v>
      </c>
      <c r="L85" s="4" t="s">
        <v>699</v>
      </c>
      <c r="M85" s="4" t="s">
        <v>699</v>
      </c>
      <c r="N85" s="3" t="s">
        <v>15</v>
      </c>
      <c r="O85" s="3" t="s">
        <v>676</v>
      </c>
      <c r="P85" s="3" t="s">
        <v>677</v>
      </c>
      <c r="Q85" s="3">
        <v>58</v>
      </c>
      <c r="T85" s="3">
        <v>27</v>
      </c>
      <c r="U85" s="3" t="s">
        <v>571</v>
      </c>
      <c r="V85" s="3" t="s">
        <v>75</v>
      </c>
      <c r="W85" s="4" t="s">
        <v>701</v>
      </c>
      <c r="X85" s="3" t="s">
        <v>21</v>
      </c>
      <c r="Y85" cm="1">
        <f t="array" ref="Y85">SUM(IF(INT($M$2:$M$594)&amp;" "&amp;$K$2:$K$594=INT($M85)&amp;" "&amp;$K85,1,0))</f>
        <v>1</v>
      </c>
      <c r="Z85" cm="1">
        <f t="array" ref="Z85">SUM(IF(ROUND($M$2:$M$594,0)&amp;" "&amp;$K$2:$K$594=ROUND($M85,0)&amp;" "&amp;$K85,1,0))</f>
        <v>1</v>
      </c>
      <c r="AA85" cm="1">
        <f t="array" ref="AA85">SUM(IF($W$2:$W$594=$W85,1,0))</f>
        <v>1</v>
      </c>
    </row>
    <row r="86" spans="1:27" x14ac:dyDescent="0.25">
      <c r="B86" t="s">
        <v>1351</v>
      </c>
      <c r="C86" t="s">
        <v>1696</v>
      </c>
      <c r="D86" t="s">
        <v>1699</v>
      </c>
      <c r="E86">
        <v>2</v>
      </c>
      <c r="F86" t="str">
        <f t="shared" si="1"/>
        <v>5/2</v>
      </c>
      <c r="G86" s="1" t="s">
        <v>702</v>
      </c>
      <c r="I86" s="3" t="s">
        <v>15</v>
      </c>
      <c r="K86" s="3" t="s">
        <v>43</v>
      </c>
      <c r="L86" s="4" t="s">
        <v>702</v>
      </c>
      <c r="M86" s="4" t="s">
        <v>702</v>
      </c>
      <c r="N86" s="3" t="s">
        <v>15</v>
      </c>
      <c r="O86" s="3" t="s">
        <v>676</v>
      </c>
      <c r="P86" s="3" t="s">
        <v>677</v>
      </c>
      <c r="Q86" s="3">
        <v>44</v>
      </c>
      <c r="T86" s="3">
        <v>22</v>
      </c>
      <c r="U86" s="3" t="s">
        <v>571</v>
      </c>
      <c r="V86" s="3" t="s">
        <v>34</v>
      </c>
      <c r="W86" s="4" t="s">
        <v>704</v>
      </c>
      <c r="X86" s="3" t="s">
        <v>21</v>
      </c>
      <c r="Y86" cm="1">
        <f t="array" ref="Y86">SUM(IF(INT($M$2:$M$594)&amp;" "&amp;$K$2:$K$594=INT($M86)&amp;" "&amp;$K86,1,0))</f>
        <v>1</v>
      </c>
      <c r="Z86" cm="1">
        <f t="array" ref="Z86">SUM(IF(ROUND($M$2:$M$594,0)&amp;" "&amp;$K$2:$K$594=ROUND($M86,0)&amp;" "&amp;$K86,1,0))</f>
        <v>1</v>
      </c>
      <c r="AA86" cm="1">
        <f t="array" ref="AA86">SUM(IF($W$2:$W$594=$W86,1,0))</f>
        <v>1</v>
      </c>
    </row>
    <row r="87" spans="1:27" x14ac:dyDescent="0.25">
      <c r="B87" t="s">
        <v>1354</v>
      </c>
      <c r="C87" t="s">
        <v>1698</v>
      </c>
      <c r="D87" t="s">
        <v>321</v>
      </c>
      <c r="E87">
        <v>4</v>
      </c>
      <c r="F87" t="str">
        <f t="shared" si="1"/>
        <v>9/2</v>
      </c>
      <c r="G87" s="1" t="s">
        <v>706</v>
      </c>
      <c r="I87" s="3" t="s">
        <v>15</v>
      </c>
      <c r="K87" s="3" t="s">
        <v>14</v>
      </c>
      <c r="L87" s="4" t="s">
        <v>706</v>
      </c>
      <c r="M87" s="4" t="s">
        <v>706</v>
      </c>
      <c r="N87" s="3" t="s">
        <v>15</v>
      </c>
      <c r="O87" s="3" t="s">
        <v>705</v>
      </c>
      <c r="P87" s="3" t="s">
        <v>71</v>
      </c>
      <c r="Q87" s="3">
        <v>29</v>
      </c>
      <c r="R87" s="3" t="s">
        <v>936</v>
      </c>
      <c r="T87" s="3">
        <v>20</v>
      </c>
      <c r="V87" s="3" t="s">
        <v>1821</v>
      </c>
      <c r="W87" s="4" t="s">
        <v>708</v>
      </c>
      <c r="X87" s="3" t="s">
        <v>21</v>
      </c>
      <c r="Y87" cm="1">
        <f t="array" ref="Y87">SUM(IF(INT($M$2:$M$594)&amp;" "&amp;$K$2:$K$594=INT($M87)&amp;" "&amp;$K87,1,0))</f>
        <v>1</v>
      </c>
      <c r="Z87" cm="1">
        <f t="array" ref="Z87">SUM(IF(ROUND($M$2:$M$594,0)&amp;" "&amp;$K$2:$K$594=ROUND($M87,0)&amp;" "&amp;$K87,1,0))</f>
        <v>1</v>
      </c>
      <c r="AA87" cm="1">
        <f t="array" ref="AA87">SUM(IF($W$2:$W$594=$W87,1,0))</f>
        <v>1</v>
      </c>
    </row>
    <row r="88" spans="1:27" x14ac:dyDescent="0.25">
      <c r="B88" t="s">
        <v>1350</v>
      </c>
      <c r="C88" t="s">
        <v>1698</v>
      </c>
      <c r="D88" t="s">
        <v>351</v>
      </c>
      <c r="E88">
        <v>3</v>
      </c>
      <c r="F88" t="str">
        <f t="shared" si="1"/>
        <v>7/2</v>
      </c>
      <c r="G88" s="1" t="s">
        <v>709</v>
      </c>
      <c r="I88" s="3" t="s">
        <v>15</v>
      </c>
      <c r="K88" s="3" t="s">
        <v>47</v>
      </c>
      <c r="L88" s="4" t="s">
        <v>709</v>
      </c>
      <c r="M88" s="4" t="s">
        <v>709</v>
      </c>
      <c r="N88" s="3" t="s">
        <v>15</v>
      </c>
      <c r="O88" s="3" t="s">
        <v>571</v>
      </c>
      <c r="P88" s="3" t="s">
        <v>34</v>
      </c>
      <c r="Q88" s="3">
        <v>32</v>
      </c>
      <c r="T88" s="3">
        <v>32</v>
      </c>
      <c r="U88" s="3" t="s">
        <v>727</v>
      </c>
      <c r="W88" s="4" t="s">
        <v>711</v>
      </c>
      <c r="X88" s="3" t="s">
        <v>21</v>
      </c>
      <c r="Y88" cm="1">
        <f t="array" ref="Y88">SUM(IF(INT($M$2:$M$594)&amp;" "&amp;$K$2:$K$594=INT($M88)&amp;" "&amp;$K88,1,0))</f>
        <v>1</v>
      </c>
      <c r="Z88" cm="1">
        <f t="array" ref="Z88">SUM(IF(ROUND($M$2:$M$594,0)&amp;" "&amp;$K$2:$K$594=ROUND($M88,0)&amp;" "&amp;$K88,1,0))</f>
        <v>1</v>
      </c>
      <c r="AA88" cm="1">
        <f t="array" ref="AA88">SUM(IF($W$2:$W$594=$W88,1,0))</f>
        <v>1</v>
      </c>
    </row>
    <row r="89" spans="1:27" x14ac:dyDescent="0.25">
      <c r="B89" t="s">
        <v>1351</v>
      </c>
      <c r="C89" t="s">
        <v>1696</v>
      </c>
      <c r="D89" t="s">
        <v>1699</v>
      </c>
      <c r="E89">
        <v>4</v>
      </c>
      <c r="F89" t="str">
        <f t="shared" si="1"/>
        <v>9/2</v>
      </c>
      <c r="G89" s="1" t="s">
        <v>714</v>
      </c>
      <c r="I89" s="3" t="s">
        <v>15</v>
      </c>
      <c r="K89" s="3" t="s">
        <v>14</v>
      </c>
      <c r="L89" s="4" t="s">
        <v>714</v>
      </c>
      <c r="M89" s="4" t="s">
        <v>714</v>
      </c>
      <c r="N89" s="3" t="s">
        <v>15</v>
      </c>
      <c r="O89" s="3" t="s">
        <v>712</v>
      </c>
      <c r="P89" s="3" t="s">
        <v>713</v>
      </c>
      <c r="Q89" s="3">
        <v>48</v>
      </c>
      <c r="T89" s="3">
        <v>26</v>
      </c>
      <c r="U89" s="3" t="s">
        <v>571</v>
      </c>
      <c r="V89" s="3" t="s">
        <v>75</v>
      </c>
      <c r="W89" s="4" t="s">
        <v>716</v>
      </c>
      <c r="X89" s="3" t="s">
        <v>21</v>
      </c>
      <c r="Y89" cm="1">
        <f t="array" ref="Y89">SUM(IF(INT($M$2:$M$594)&amp;" "&amp;$K$2:$K$594=INT($M89)&amp;" "&amp;$K89,1,0))</f>
        <v>1</v>
      </c>
      <c r="Z89" cm="1">
        <f t="array" ref="Z89">SUM(IF(ROUND($M$2:$M$594,0)&amp;" "&amp;$K$2:$K$594=ROUND($M89,0)&amp;" "&amp;$K89,1,0))</f>
        <v>1</v>
      </c>
      <c r="AA89" cm="1">
        <f t="array" ref="AA89">SUM(IF($W$2:$W$594=$W89,1,0))</f>
        <v>1</v>
      </c>
    </row>
    <row r="90" spans="1:27" x14ac:dyDescent="0.25">
      <c r="B90" t="s">
        <v>1351</v>
      </c>
      <c r="C90" t="s">
        <v>1696</v>
      </c>
      <c r="D90" t="s">
        <v>1699</v>
      </c>
      <c r="E90">
        <v>1</v>
      </c>
      <c r="F90" t="str">
        <f t="shared" si="1"/>
        <v>3/2</v>
      </c>
      <c r="G90" s="1" t="s">
        <v>717</v>
      </c>
      <c r="I90" s="3" t="s">
        <v>15</v>
      </c>
      <c r="K90" s="3" t="s">
        <v>35</v>
      </c>
      <c r="L90" s="4" t="s">
        <v>717</v>
      </c>
      <c r="M90" s="4" t="s">
        <v>717</v>
      </c>
      <c r="N90" s="3" t="s">
        <v>15</v>
      </c>
      <c r="O90" s="3" t="s">
        <v>712</v>
      </c>
      <c r="P90" s="3" t="s">
        <v>713</v>
      </c>
      <c r="Q90" s="3">
        <v>91</v>
      </c>
      <c r="W90" s="4" t="s">
        <v>718</v>
      </c>
      <c r="X90" s="3" t="s">
        <v>21</v>
      </c>
      <c r="Y90" cm="1">
        <f t="array" ref="Y90">SUM(IF(INT($M$2:$M$594)&amp;" "&amp;$K$2:$K$594=INT($M90)&amp;" "&amp;$K90,1,0))</f>
        <v>1</v>
      </c>
      <c r="Z90" cm="1">
        <f t="array" ref="Z90">SUM(IF(ROUND($M$2:$M$594,0)&amp;" "&amp;$K$2:$K$594=ROUND($M90,0)&amp;" "&amp;$K90,1,0))</f>
        <v>1</v>
      </c>
      <c r="AA90" cm="1">
        <f t="array" ref="AA90">SUM(IF($W$2:$W$594=$W90,1,0))</f>
        <v>1</v>
      </c>
    </row>
    <row r="91" spans="1:27" x14ac:dyDescent="0.25">
      <c r="B91" t="s">
        <v>1350</v>
      </c>
      <c r="C91" t="s">
        <v>1698</v>
      </c>
      <c r="D91" t="s">
        <v>351</v>
      </c>
      <c r="E91">
        <v>5</v>
      </c>
      <c r="F91" t="str">
        <f t="shared" si="1"/>
        <v>11/2</v>
      </c>
      <c r="G91" s="1" t="s">
        <v>719</v>
      </c>
      <c r="I91" s="3" t="s">
        <v>15</v>
      </c>
      <c r="K91" s="3" t="s">
        <v>22</v>
      </c>
      <c r="L91" s="4" t="s">
        <v>719</v>
      </c>
      <c r="M91" s="4" t="s">
        <v>719</v>
      </c>
      <c r="N91" s="3" t="s">
        <v>15</v>
      </c>
      <c r="O91" s="3" t="s">
        <v>571</v>
      </c>
      <c r="P91" s="3" t="s">
        <v>266</v>
      </c>
      <c r="Q91" s="3">
        <v>51</v>
      </c>
      <c r="T91" s="3">
        <v>36</v>
      </c>
      <c r="V91" s="3" t="s">
        <v>1822</v>
      </c>
      <c r="W91" s="4" t="s">
        <v>721</v>
      </c>
      <c r="X91" s="3" t="s">
        <v>21</v>
      </c>
      <c r="Y91" cm="1">
        <f t="array" ref="Y91">SUM(IF(INT($M$2:$M$594)&amp;" "&amp;$K$2:$K$594=INT($M91)&amp;" "&amp;$K91,1,0))</f>
        <v>1</v>
      </c>
      <c r="Z91" cm="1">
        <f t="array" ref="Z91">SUM(IF(ROUND($M$2:$M$594,0)&amp;" "&amp;$K$2:$K$594=ROUND($M91,0)&amp;" "&amp;$K91,1,0))</f>
        <v>1</v>
      </c>
      <c r="AA91" cm="1">
        <f t="array" ref="AA91">SUM(IF($W$2:$W$594=$W91,1,0))</f>
        <v>1</v>
      </c>
    </row>
    <row r="92" spans="1:27" x14ac:dyDescent="0.25">
      <c r="B92" t="s">
        <v>1350</v>
      </c>
      <c r="C92" t="s">
        <v>1698</v>
      </c>
      <c r="D92" t="s">
        <v>351</v>
      </c>
      <c r="E92">
        <v>7</v>
      </c>
      <c r="F92" t="str">
        <f t="shared" si="1"/>
        <v>15/2</v>
      </c>
      <c r="G92" s="1" t="s">
        <v>722</v>
      </c>
      <c r="I92" s="3" t="s">
        <v>15</v>
      </c>
      <c r="K92" s="3" t="s">
        <v>30</v>
      </c>
      <c r="L92" s="4" t="s">
        <v>722</v>
      </c>
      <c r="M92" s="4" t="s">
        <v>722</v>
      </c>
      <c r="N92" s="3" t="s">
        <v>15</v>
      </c>
      <c r="O92" s="3" t="s">
        <v>571</v>
      </c>
      <c r="P92" s="3" t="s">
        <v>13</v>
      </c>
      <c r="Q92" s="3">
        <v>95</v>
      </c>
      <c r="W92" s="4" t="s">
        <v>723</v>
      </c>
      <c r="X92" s="3" t="s">
        <v>21</v>
      </c>
      <c r="Y92" cm="1">
        <f t="array" ref="Y92">SUM(IF(INT($M$2:$M$594)&amp;" "&amp;$K$2:$K$594=INT($M92)&amp;" "&amp;$K92,1,0))</f>
        <v>1</v>
      </c>
      <c r="Z92" cm="1">
        <f t="array" ref="Z92">SUM(IF(ROUND($M$2:$M$594,0)&amp;" "&amp;$K$2:$K$594=ROUND($M92,0)&amp;" "&amp;$K92,1,0))</f>
        <v>1</v>
      </c>
      <c r="AA92" cm="1">
        <f t="array" ref="AA92">SUM(IF($W$2:$W$594=$W92,1,0))</f>
        <v>1</v>
      </c>
    </row>
    <row r="93" spans="1:27" x14ac:dyDescent="0.25">
      <c r="A93" t="s">
        <v>1664</v>
      </c>
      <c r="B93" t="s">
        <v>1666</v>
      </c>
      <c r="C93" t="s">
        <v>1696</v>
      </c>
      <c r="D93" t="s">
        <v>1701</v>
      </c>
      <c r="E93">
        <v>2</v>
      </c>
      <c r="F93" t="str">
        <f t="shared" si="1"/>
        <v>5/2</v>
      </c>
      <c r="G93" s="1" t="s">
        <v>1355</v>
      </c>
      <c r="I93" s="3" t="s">
        <v>15</v>
      </c>
      <c r="K93" s="3" t="s">
        <v>43</v>
      </c>
      <c r="M93" s="4" t="s">
        <v>1355</v>
      </c>
      <c r="N93" s="3" t="s">
        <v>15</v>
      </c>
      <c r="O93" s="3" t="s">
        <v>1762</v>
      </c>
      <c r="P93" s="3" t="s">
        <v>71</v>
      </c>
      <c r="W93" s="5" t="s">
        <v>1931</v>
      </c>
      <c r="X93" s="3" t="s">
        <v>1757</v>
      </c>
      <c r="Y93" cm="1">
        <f t="array" ref="Y93">SUM(IF(INT($M$2:$M$594)&amp;" "&amp;$K$2:$K$594=INT($M93)&amp;" "&amp;$K93,1,0))</f>
        <v>1</v>
      </c>
      <c r="Z93" cm="1">
        <f t="array" ref="Z93">SUM(IF(ROUND($M$2:$M$594,0)&amp;" "&amp;$K$2:$K$594=ROUND($M93,0)&amp;" "&amp;$K93,1,0))</f>
        <v>1</v>
      </c>
      <c r="AA93" cm="1">
        <f t="array" ref="AA93">SUM(IF($W$2:$W$594=$W93,1,0))</f>
        <v>1</v>
      </c>
    </row>
    <row r="94" spans="1:27" x14ac:dyDescent="0.25">
      <c r="B94" t="s">
        <v>1350</v>
      </c>
      <c r="C94" t="s">
        <v>1698</v>
      </c>
      <c r="D94" t="s">
        <v>351</v>
      </c>
      <c r="E94">
        <v>3</v>
      </c>
      <c r="F94" t="str">
        <f t="shared" si="1"/>
        <v>7/2</v>
      </c>
      <c r="G94" s="4" t="s">
        <v>1356</v>
      </c>
      <c r="I94" s="3" t="s">
        <v>15</v>
      </c>
      <c r="K94" s="3" t="s">
        <v>47</v>
      </c>
      <c r="L94" s="3" t="s">
        <v>724</v>
      </c>
      <c r="M94" s="4" t="s">
        <v>1356</v>
      </c>
      <c r="N94" s="3" t="s">
        <v>15</v>
      </c>
      <c r="O94" s="3" t="s">
        <v>571</v>
      </c>
      <c r="P94" s="3" t="s">
        <v>71</v>
      </c>
      <c r="Q94" s="3">
        <v>22</v>
      </c>
      <c r="R94" s="3" t="s">
        <v>34</v>
      </c>
      <c r="T94" s="3">
        <v>21</v>
      </c>
      <c r="U94" s="3" t="s">
        <v>712</v>
      </c>
      <c r="W94" s="4" t="s">
        <v>726</v>
      </c>
      <c r="X94" s="3" t="s">
        <v>1758</v>
      </c>
      <c r="Y94" cm="1">
        <f t="array" ref="Y94">SUM(IF(INT($M$2:$M$594)&amp;" "&amp;$K$2:$K$594=INT($M94)&amp;" "&amp;$K94,1,0))</f>
        <v>1</v>
      </c>
      <c r="Z94" cm="1">
        <f t="array" ref="Z94">SUM(IF(ROUND($M$2:$M$594,0)&amp;" "&amp;$K$2:$K$594=ROUND($M94,0)&amp;" "&amp;$K94,1,0))</f>
        <v>1</v>
      </c>
      <c r="AA94" cm="1">
        <f t="array" ref="AA94">SUM(IF($W$2:$W$594=$W94,1,0))</f>
        <v>1</v>
      </c>
    </row>
    <row r="95" spans="1:27" x14ac:dyDescent="0.25">
      <c r="B95" t="s">
        <v>1357</v>
      </c>
      <c r="C95" t="s">
        <v>1696</v>
      </c>
      <c r="D95" t="s">
        <v>1702</v>
      </c>
      <c r="E95">
        <v>4</v>
      </c>
      <c r="F95" t="str">
        <f t="shared" si="1"/>
        <v>9/2</v>
      </c>
      <c r="G95" s="1" t="s">
        <v>728</v>
      </c>
      <c r="I95" s="3" t="s">
        <v>15</v>
      </c>
      <c r="K95" s="3" t="s">
        <v>14</v>
      </c>
      <c r="L95" s="4" t="s">
        <v>728</v>
      </c>
      <c r="M95" s="4" t="s">
        <v>728</v>
      </c>
      <c r="N95" s="3" t="s">
        <v>15</v>
      </c>
      <c r="O95" s="3" t="s">
        <v>727</v>
      </c>
      <c r="P95" s="3" t="s">
        <v>71</v>
      </c>
      <c r="Q95" s="3">
        <v>41</v>
      </c>
      <c r="R95" s="3" t="s">
        <v>558</v>
      </c>
      <c r="T95" s="3">
        <v>22</v>
      </c>
      <c r="V95" s="3" t="s">
        <v>1823</v>
      </c>
      <c r="W95" s="4" t="s">
        <v>730</v>
      </c>
      <c r="X95" s="3" t="s">
        <v>21</v>
      </c>
      <c r="Y95" cm="1">
        <f t="array" ref="Y95">SUM(IF(INT($M$2:$M$594)&amp;" "&amp;$K$2:$K$594=INT($M95)&amp;" "&amp;$K95,1,0))</f>
        <v>1</v>
      </c>
      <c r="Z95" cm="1">
        <f t="array" ref="Z95">SUM(IF(ROUND($M$2:$M$594,0)&amp;" "&amp;$K$2:$K$594=ROUND($M95,0)&amp;" "&amp;$K95,1,0))</f>
        <v>1</v>
      </c>
      <c r="AA95" cm="1">
        <f t="array" ref="AA95">SUM(IF($W$2:$W$594=$W95,1,0))</f>
        <v>1</v>
      </c>
    </row>
    <row r="96" spans="1:27" x14ac:dyDescent="0.25">
      <c r="B96" t="s">
        <v>1351</v>
      </c>
      <c r="C96" t="s">
        <v>1696</v>
      </c>
      <c r="D96" t="s">
        <v>1699</v>
      </c>
      <c r="E96">
        <v>3</v>
      </c>
      <c r="F96" t="str">
        <f t="shared" si="1"/>
        <v>7/2</v>
      </c>
      <c r="G96" s="1" t="s">
        <v>731</v>
      </c>
      <c r="I96" s="3" t="s">
        <v>15</v>
      </c>
      <c r="K96" s="3" t="s">
        <v>47</v>
      </c>
      <c r="L96" s="4" t="s">
        <v>731</v>
      </c>
      <c r="M96" s="4" t="s">
        <v>731</v>
      </c>
      <c r="N96" s="3" t="s">
        <v>15</v>
      </c>
      <c r="O96" s="3" t="s">
        <v>712</v>
      </c>
      <c r="P96" s="3" t="s">
        <v>713</v>
      </c>
      <c r="Q96" s="3">
        <v>37</v>
      </c>
      <c r="T96" s="3">
        <v>17</v>
      </c>
      <c r="U96" s="3" t="s">
        <v>571</v>
      </c>
      <c r="V96" s="3" t="s">
        <v>34</v>
      </c>
      <c r="W96" s="4" t="s">
        <v>733</v>
      </c>
      <c r="X96" s="3" t="s">
        <v>21</v>
      </c>
      <c r="Y96" cm="1">
        <f t="array" ref="Y96">SUM(IF(INT($M$2:$M$594)&amp;" "&amp;$K$2:$K$594=INT($M96)&amp;" "&amp;$K96,1,0))</f>
        <v>1</v>
      </c>
      <c r="Z96" cm="1">
        <f t="array" ref="Z96">SUM(IF(ROUND($M$2:$M$594,0)&amp;" "&amp;$K$2:$K$594=ROUND($M96,0)&amp;" "&amp;$K96,1,0))</f>
        <v>1</v>
      </c>
      <c r="AA96" cm="1">
        <f t="array" ref="AA96">SUM(IF($W$2:$W$594=$W96,1,0))</f>
        <v>1</v>
      </c>
    </row>
    <row r="97" spans="1:27" x14ac:dyDescent="0.25">
      <c r="B97" t="s">
        <v>1351</v>
      </c>
      <c r="C97" t="s">
        <v>1696</v>
      </c>
      <c r="D97" t="s">
        <v>1699</v>
      </c>
      <c r="E97">
        <v>5</v>
      </c>
      <c r="F97" t="str">
        <f t="shared" si="1"/>
        <v>11/2</v>
      </c>
      <c r="G97" s="1" t="s">
        <v>735</v>
      </c>
      <c r="I97" s="3" t="s">
        <v>15</v>
      </c>
      <c r="K97" s="3" t="s">
        <v>22</v>
      </c>
      <c r="L97" s="4" t="s">
        <v>735</v>
      </c>
      <c r="M97" s="4" t="s">
        <v>735</v>
      </c>
      <c r="N97" s="3" t="s">
        <v>15</v>
      </c>
      <c r="O97" s="3" t="s">
        <v>734</v>
      </c>
      <c r="P97" s="3" t="s">
        <v>576</v>
      </c>
      <c r="Q97" s="3">
        <v>53</v>
      </c>
      <c r="T97" s="3">
        <v>20</v>
      </c>
      <c r="V97" s="3" t="s">
        <v>1824</v>
      </c>
      <c r="W97" s="4" t="s">
        <v>737</v>
      </c>
      <c r="X97" s="3" t="s">
        <v>21</v>
      </c>
      <c r="Y97" cm="1">
        <f t="array" ref="Y97">SUM(IF(INT($M$2:$M$594)&amp;" "&amp;$K$2:$K$594=INT($M97)&amp;" "&amp;$K97,1,0))</f>
        <v>1</v>
      </c>
      <c r="Z97" cm="1">
        <f t="array" ref="Z97">SUM(IF(ROUND($M$2:$M$594,0)&amp;" "&amp;$K$2:$K$594=ROUND($M97,0)&amp;" "&amp;$K97,1,0))</f>
        <v>1</v>
      </c>
      <c r="AA97" cm="1">
        <f t="array" ref="AA97">SUM(IF($W$2:$W$594=$W97,1,0))</f>
        <v>1</v>
      </c>
    </row>
    <row r="98" spans="1:27" x14ac:dyDescent="0.25">
      <c r="B98" t="s">
        <v>1350</v>
      </c>
      <c r="C98" t="s">
        <v>1698</v>
      </c>
      <c r="D98" t="s">
        <v>351</v>
      </c>
      <c r="E98">
        <v>4</v>
      </c>
      <c r="F98" t="str">
        <f t="shared" si="1"/>
        <v>9/2</v>
      </c>
      <c r="G98" s="1" t="s">
        <v>738</v>
      </c>
      <c r="I98" s="3" t="s">
        <v>15</v>
      </c>
      <c r="K98" s="3" t="s">
        <v>14</v>
      </c>
      <c r="L98" s="4" t="s">
        <v>738</v>
      </c>
      <c r="M98" s="4" t="s">
        <v>738</v>
      </c>
      <c r="N98" s="3" t="s">
        <v>15</v>
      </c>
      <c r="O98" s="3" t="s">
        <v>571</v>
      </c>
      <c r="P98" s="3" t="s">
        <v>75</v>
      </c>
      <c r="Q98" s="3">
        <v>50</v>
      </c>
      <c r="T98" s="3">
        <v>35</v>
      </c>
      <c r="U98" s="3" t="s">
        <v>712</v>
      </c>
      <c r="W98" s="4" t="s">
        <v>740</v>
      </c>
      <c r="X98" s="3" t="s">
        <v>21</v>
      </c>
      <c r="Y98" cm="1">
        <f t="array" ref="Y98">SUM(IF(INT($M$2:$M$594)&amp;" "&amp;$K$2:$K$594=INT($M98)&amp;" "&amp;$K98,1,0))</f>
        <v>1</v>
      </c>
      <c r="Z98" cm="1">
        <f t="array" ref="Z98">SUM(IF(ROUND($M$2:$M$594,0)&amp;" "&amp;$K$2:$K$594=ROUND($M98,0)&amp;" "&amp;$K98,1,0))</f>
        <v>1</v>
      </c>
      <c r="AA98" cm="1">
        <f t="array" ref="AA98">SUM(IF($W$2:$W$594=$W98,1,0))</f>
        <v>1</v>
      </c>
    </row>
    <row r="99" spans="1:27" x14ac:dyDescent="0.25">
      <c r="A99" t="s">
        <v>1664</v>
      </c>
      <c r="B99" t="s">
        <v>1350</v>
      </c>
      <c r="C99" t="s">
        <v>1698</v>
      </c>
      <c r="D99" t="s">
        <v>351</v>
      </c>
      <c r="E99">
        <v>1</v>
      </c>
      <c r="F99" t="str">
        <f t="shared" si="1"/>
        <v>3/2</v>
      </c>
      <c r="G99" s="1" t="s">
        <v>1358</v>
      </c>
      <c r="I99" s="3" t="s">
        <v>15</v>
      </c>
      <c r="K99" s="3" t="s">
        <v>35</v>
      </c>
      <c r="M99" s="4" t="s">
        <v>1358</v>
      </c>
      <c r="N99" s="3" t="s">
        <v>15</v>
      </c>
      <c r="O99" s="3" t="s">
        <v>1761</v>
      </c>
      <c r="P99" s="3" t="s">
        <v>71</v>
      </c>
      <c r="W99" s="5" t="s">
        <v>1932</v>
      </c>
      <c r="X99" s="3" t="s">
        <v>1757</v>
      </c>
      <c r="Y99" cm="1">
        <f t="array" ref="Y99">SUM(IF(INT($M$2:$M$594)&amp;" "&amp;$K$2:$K$594=INT($M99)&amp;" "&amp;$K99,1,0))</f>
        <v>1</v>
      </c>
      <c r="Z99" cm="1">
        <f t="array" ref="Z99">SUM(IF(ROUND($M$2:$M$594,0)&amp;" "&amp;$K$2:$K$594=ROUND($M99,0)&amp;" "&amp;$K99,1,0))</f>
        <v>1</v>
      </c>
      <c r="AA99" cm="1">
        <f t="array" ref="AA99">SUM(IF($W$2:$W$594=$W99,1,0))</f>
        <v>1</v>
      </c>
    </row>
    <row r="100" spans="1:27" x14ac:dyDescent="0.25">
      <c r="A100" t="s">
        <v>1664</v>
      </c>
      <c r="B100" t="s">
        <v>1360</v>
      </c>
      <c r="C100" s="2" t="s">
        <v>1360</v>
      </c>
      <c r="E100">
        <v>2</v>
      </c>
      <c r="F100" t="str">
        <f t="shared" si="1"/>
        <v>5/2</v>
      </c>
      <c r="G100" s="1" t="s">
        <v>1359</v>
      </c>
      <c r="I100" s="3" t="s">
        <v>15</v>
      </c>
      <c r="K100" s="3" t="s">
        <v>43</v>
      </c>
      <c r="M100" s="4" t="s">
        <v>1359</v>
      </c>
      <c r="N100" s="3" t="s">
        <v>15</v>
      </c>
      <c r="P100" s="3" t="s">
        <v>71</v>
      </c>
      <c r="W100" s="5" t="s">
        <v>1933</v>
      </c>
      <c r="X100" s="3" t="s">
        <v>1757</v>
      </c>
      <c r="Y100" cm="1">
        <f t="array" ref="Y100">SUM(IF(INT($M$2:$M$594)&amp;" "&amp;$K$2:$K$594=INT($M100)&amp;" "&amp;$K100,1,0))</f>
        <v>1</v>
      </c>
      <c r="Z100" cm="1">
        <f t="array" ref="Z100">SUM(IF(ROUND($M$2:$M$594,0)&amp;" "&amp;$K$2:$K$594=ROUND($M100,0)&amp;" "&amp;$K100,1,0))</f>
        <v>1</v>
      </c>
      <c r="AA100" cm="1">
        <f t="array" ref="AA100">SUM(IF($W$2:$W$594=$W100,1,0))</f>
        <v>1</v>
      </c>
    </row>
    <row r="101" spans="1:27" x14ac:dyDescent="0.25">
      <c r="B101" t="s">
        <v>1351</v>
      </c>
      <c r="C101" t="s">
        <v>1696</v>
      </c>
      <c r="D101" t="s">
        <v>1699</v>
      </c>
      <c r="E101">
        <v>3</v>
      </c>
      <c r="F101" t="str">
        <f t="shared" si="1"/>
        <v>7/2</v>
      </c>
      <c r="G101" s="1" t="s">
        <v>741</v>
      </c>
      <c r="I101" s="3" t="s">
        <v>15</v>
      </c>
      <c r="K101" s="3" t="s">
        <v>47</v>
      </c>
      <c r="L101" s="4" t="s">
        <v>741</v>
      </c>
      <c r="M101" s="4" t="s">
        <v>741</v>
      </c>
      <c r="N101" s="3" t="s">
        <v>15</v>
      </c>
      <c r="O101" s="3" t="s">
        <v>734</v>
      </c>
      <c r="P101" s="3" t="s">
        <v>71</v>
      </c>
      <c r="Q101" s="3">
        <v>29</v>
      </c>
      <c r="R101" s="3" t="s">
        <v>576</v>
      </c>
      <c r="T101" s="3">
        <v>23</v>
      </c>
      <c r="V101" s="3" t="s">
        <v>1824</v>
      </c>
      <c r="W101" s="4" t="s">
        <v>743</v>
      </c>
      <c r="X101" s="3" t="s">
        <v>21</v>
      </c>
      <c r="Y101" cm="1">
        <f t="array" ref="Y101">SUM(IF(INT($M$2:$M$594)&amp;" "&amp;$K$2:$K$594=INT($M101)&amp;" "&amp;$K101,1,0))</f>
        <v>1</v>
      </c>
      <c r="Z101" cm="1">
        <f t="array" ref="Z101">SUM(IF(ROUND($M$2:$M$594,0)&amp;" "&amp;$K$2:$K$594=ROUND($M101,0)&amp;" "&amp;$K101,1,0))</f>
        <v>1</v>
      </c>
      <c r="AA101" cm="1">
        <f t="array" ref="AA101">SUM(IF($W$2:$W$594=$W101,1,0))</f>
        <v>1</v>
      </c>
    </row>
    <row r="102" spans="1:27" x14ac:dyDescent="0.25">
      <c r="B102" t="s">
        <v>1360</v>
      </c>
      <c r="C102" t="s">
        <v>1703</v>
      </c>
      <c r="D102" t="s">
        <v>1704</v>
      </c>
      <c r="E102">
        <v>2</v>
      </c>
      <c r="F102" t="str">
        <f t="shared" si="1"/>
        <v>5/2</v>
      </c>
      <c r="G102" s="1" t="s">
        <v>744</v>
      </c>
      <c r="I102" s="3" t="s">
        <v>15</v>
      </c>
      <c r="K102" s="3" t="s">
        <v>43</v>
      </c>
      <c r="L102" s="4" t="s">
        <v>744</v>
      </c>
      <c r="M102" s="4" t="s">
        <v>744</v>
      </c>
      <c r="N102" s="3" t="s">
        <v>15</v>
      </c>
      <c r="O102" s="3" t="s">
        <v>712</v>
      </c>
      <c r="P102" s="3" t="s">
        <v>713</v>
      </c>
      <c r="Q102" s="3">
        <v>41</v>
      </c>
      <c r="T102" s="3">
        <v>35</v>
      </c>
      <c r="V102" s="3" t="s">
        <v>1825</v>
      </c>
      <c r="W102" s="4" t="s">
        <v>746</v>
      </c>
      <c r="X102" s="3" t="s">
        <v>21</v>
      </c>
      <c r="Y102" cm="1">
        <f t="array" ref="Y102">SUM(IF(INT($M$2:$M$594)&amp;" "&amp;$K$2:$K$594=INT($M102)&amp;" "&amp;$K102,1,0))</f>
        <v>1</v>
      </c>
      <c r="Z102" cm="1">
        <f t="array" ref="Z102">SUM(IF(ROUND($M$2:$M$594,0)&amp;" "&amp;$K$2:$K$594=ROUND($M102,0)&amp;" "&amp;$K102,1,0))</f>
        <v>1</v>
      </c>
      <c r="AA102" cm="1">
        <f t="array" ref="AA102">SUM(IF($W$2:$W$594=$W102,1,0))</f>
        <v>1</v>
      </c>
    </row>
    <row r="103" spans="1:27" x14ac:dyDescent="0.25">
      <c r="B103" t="s">
        <v>1351</v>
      </c>
      <c r="C103" t="s">
        <v>1696</v>
      </c>
      <c r="D103" t="s">
        <v>1699</v>
      </c>
      <c r="E103">
        <v>3</v>
      </c>
      <c r="F103" t="str">
        <f t="shared" si="1"/>
        <v>7/2</v>
      </c>
      <c r="G103" s="1" t="s">
        <v>747</v>
      </c>
      <c r="I103" s="3" t="s">
        <v>15</v>
      </c>
      <c r="K103" s="3" t="s">
        <v>47</v>
      </c>
      <c r="L103" s="4" t="s">
        <v>747</v>
      </c>
      <c r="M103" s="4" t="s">
        <v>747</v>
      </c>
      <c r="N103" s="3" t="s">
        <v>15</v>
      </c>
      <c r="O103" s="3" t="s">
        <v>571</v>
      </c>
      <c r="P103" s="3" t="s">
        <v>71</v>
      </c>
      <c r="Q103" s="3">
        <v>19</v>
      </c>
      <c r="R103" s="3" t="s">
        <v>225</v>
      </c>
      <c r="T103" s="3">
        <v>15</v>
      </c>
      <c r="V103" s="3" t="s">
        <v>1826</v>
      </c>
      <c r="W103" s="4" t="s">
        <v>749</v>
      </c>
      <c r="X103" s="3" t="s">
        <v>21</v>
      </c>
      <c r="Y103" cm="1">
        <f t="array" ref="Y103">SUM(IF(INT($M$2:$M$594)&amp;" "&amp;$K$2:$K$594=INT($M103)&amp;" "&amp;$K103,1,0))</f>
        <v>1</v>
      </c>
      <c r="Z103" cm="1">
        <f t="array" ref="Z103">SUM(IF(ROUND($M$2:$M$594,0)&amp;" "&amp;$K$2:$K$594=ROUND($M103,0)&amp;" "&amp;$K103,1,0))</f>
        <v>1</v>
      </c>
      <c r="AA103" cm="1">
        <f t="array" ref="AA103">SUM(IF($W$2:$W$594=$W103,1,0))</f>
        <v>1</v>
      </c>
    </row>
    <row r="104" spans="1:27" x14ac:dyDescent="0.25">
      <c r="B104" t="s">
        <v>1351</v>
      </c>
      <c r="C104" t="s">
        <v>1696</v>
      </c>
      <c r="D104" t="s">
        <v>1699</v>
      </c>
      <c r="E104">
        <v>4</v>
      </c>
      <c r="F104" t="str">
        <f t="shared" si="1"/>
        <v>9/2</v>
      </c>
      <c r="G104" s="1" t="s">
        <v>750</v>
      </c>
      <c r="I104" s="3" t="s">
        <v>15</v>
      </c>
      <c r="K104" s="3" t="s">
        <v>14</v>
      </c>
      <c r="L104" s="4" t="s">
        <v>750</v>
      </c>
      <c r="M104" s="4" t="s">
        <v>750</v>
      </c>
      <c r="N104" s="3" t="s">
        <v>15</v>
      </c>
      <c r="O104" s="3" t="s">
        <v>734</v>
      </c>
      <c r="P104" s="3" t="s">
        <v>71</v>
      </c>
      <c r="Q104" s="3">
        <v>36</v>
      </c>
      <c r="R104" s="3" t="s">
        <v>576</v>
      </c>
      <c r="T104" s="3">
        <v>32</v>
      </c>
      <c r="V104" s="3" t="s">
        <v>1824</v>
      </c>
      <c r="W104" s="4" t="s">
        <v>752</v>
      </c>
      <c r="X104" s="3" t="s">
        <v>21</v>
      </c>
      <c r="Y104" cm="1">
        <f t="array" ref="Y104">SUM(IF(INT($M$2:$M$594)&amp;" "&amp;$K$2:$K$594=INT($M104)&amp;" "&amp;$K104,1,0))</f>
        <v>1</v>
      </c>
      <c r="Z104" cm="1">
        <f t="array" ref="Z104">SUM(IF(ROUND($M$2:$M$594,0)&amp;" "&amp;$K$2:$K$594=ROUND($M104,0)&amp;" "&amp;$K104,1,0))</f>
        <v>1</v>
      </c>
      <c r="AA104" cm="1">
        <f t="array" ref="AA104">SUM(IF($W$2:$W$594=$W104,1,0))</f>
        <v>1</v>
      </c>
    </row>
    <row r="105" spans="1:27" x14ac:dyDescent="0.25">
      <c r="B105" t="s">
        <v>1350</v>
      </c>
      <c r="C105" t="s">
        <v>1698</v>
      </c>
      <c r="D105" t="s">
        <v>351</v>
      </c>
      <c r="E105">
        <v>5</v>
      </c>
      <c r="F105" t="str">
        <f t="shared" si="1"/>
        <v>11/2</v>
      </c>
      <c r="G105" s="1" t="s">
        <v>753</v>
      </c>
      <c r="I105" s="3" t="s">
        <v>15</v>
      </c>
      <c r="K105" s="3" t="s">
        <v>22</v>
      </c>
      <c r="L105" s="4" t="s">
        <v>753</v>
      </c>
      <c r="M105" s="4" t="s">
        <v>753</v>
      </c>
      <c r="N105" s="3" t="s">
        <v>15</v>
      </c>
      <c r="O105" s="3" t="s">
        <v>571</v>
      </c>
      <c r="P105" s="3" t="s">
        <v>71</v>
      </c>
      <c r="Q105" s="3">
        <v>37</v>
      </c>
      <c r="R105" s="3" t="s">
        <v>936</v>
      </c>
      <c r="T105" s="3">
        <v>25</v>
      </c>
      <c r="V105" s="3" t="s">
        <v>1827</v>
      </c>
      <c r="W105" s="4" t="s">
        <v>755</v>
      </c>
      <c r="X105" s="3" t="s">
        <v>21</v>
      </c>
      <c r="Y105" cm="1">
        <f t="array" ref="Y105">SUM(IF(INT($M$2:$M$594)&amp;" "&amp;$K$2:$K$594=INT($M105)&amp;" "&amp;$K105,1,0))</f>
        <v>1</v>
      </c>
      <c r="Z105" cm="1">
        <f t="array" ref="Z105">SUM(IF(ROUND($M$2:$M$594,0)&amp;" "&amp;$K$2:$K$594=ROUND($M105,0)&amp;" "&amp;$K105,1,0))</f>
        <v>1</v>
      </c>
      <c r="AA105" cm="1">
        <f t="array" ref="AA105">SUM(IF($W$2:$W$594=$W105,1,0))</f>
        <v>1</v>
      </c>
    </row>
    <row r="106" spans="1:27" x14ac:dyDescent="0.25">
      <c r="B106" t="s">
        <v>1350</v>
      </c>
      <c r="C106" t="s">
        <v>1698</v>
      </c>
      <c r="D106" t="s">
        <v>351</v>
      </c>
      <c r="E106">
        <v>3</v>
      </c>
      <c r="F106" t="str">
        <f t="shared" si="1"/>
        <v>7/2</v>
      </c>
      <c r="G106" s="1" t="s">
        <v>756</v>
      </c>
      <c r="I106" s="3" t="s">
        <v>15</v>
      </c>
      <c r="K106" s="3" t="s">
        <v>47</v>
      </c>
      <c r="L106" s="4" t="s">
        <v>756</v>
      </c>
      <c r="M106" s="4" t="s">
        <v>756</v>
      </c>
      <c r="N106" s="3" t="s">
        <v>15</v>
      </c>
      <c r="O106" s="3" t="s">
        <v>571</v>
      </c>
      <c r="P106" s="3" t="s">
        <v>71</v>
      </c>
      <c r="Q106" s="3">
        <v>18</v>
      </c>
      <c r="R106" s="3" t="s">
        <v>225</v>
      </c>
      <c r="T106" s="3">
        <v>17</v>
      </c>
      <c r="V106" s="3" t="s">
        <v>1826</v>
      </c>
      <c r="W106" s="4" t="s">
        <v>758</v>
      </c>
      <c r="X106" s="3" t="s">
        <v>21</v>
      </c>
      <c r="Y106" cm="1">
        <f t="array" ref="Y106">SUM(IF(INT($M$2:$M$594)&amp;" "&amp;$K$2:$K$594=INT($M106)&amp;" "&amp;$K106,1,0))</f>
        <v>1</v>
      </c>
      <c r="Z106" cm="1">
        <f t="array" ref="Z106">SUM(IF(ROUND($M$2:$M$594,0)&amp;" "&amp;$K$2:$K$594=ROUND($M106,0)&amp;" "&amp;$K106,1,0))</f>
        <v>1</v>
      </c>
      <c r="AA106" cm="1">
        <f t="array" ref="AA106">SUM(IF($W$2:$W$594=$W106,1,0))</f>
        <v>1</v>
      </c>
    </row>
    <row r="107" spans="1:27" x14ac:dyDescent="0.25">
      <c r="B107" t="s">
        <v>1361</v>
      </c>
      <c r="C107" t="s">
        <v>1698</v>
      </c>
      <c r="D107" t="s">
        <v>379</v>
      </c>
      <c r="E107">
        <v>2</v>
      </c>
      <c r="F107" t="str">
        <f t="shared" si="1"/>
        <v>5/2</v>
      </c>
      <c r="G107" s="1" t="s">
        <v>760</v>
      </c>
      <c r="I107" s="3" t="s">
        <v>15</v>
      </c>
      <c r="K107" s="3" t="s">
        <v>43</v>
      </c>
      <c r="L107" s="4" t="s">
        <v>760</v>
      </c>
      <c r="M107" s="4" t="s">
        <v>760</v>
      </c>
      <c r="N107" s="3" t="s">
        <v>15</v>
      </c>
      <c r="O107" s="3" t="s">
        <v>759</v>
      </c>
      <c r="P107" s="3" t="s">
        <v>75</v>
      </c>
      <c r="Q107" s="3">
        <v>83</v>
      </c>
      <c r="T107" s="3">
        <v>6</v>
      </c>
      <c r="V107" s="3" t="s">
        <v>1828</v>
      </c>
      <c r="W107" s="4" t="s">
        <v>762</v>
      </c>
      <c r="X107" s="3" t="s">
        <v>21</v>
      </c>
      <c r="Y107" cm="1">
        <f t="array" ref="Y107">SUM(IF(INT($M$2:$M$594)&amp;" "&amp;$K$2:$K$594=INT($M107)&amp;" "&amp;$K107,1,0))</f>
        <v>1</v>
      </c>
      <c r="Z107" cm="1">
        <f t="array" ref="Z107">SUM(IF(ROUND($M$2:$M$594,0)&amp;" "&amp;$K$2:$K$594=ROUND($M107,0)&amp;" "&amp;$K107,1,0))</f>
        <v>1</v>
      </c>
      <c r="AA107" cm="1">
        <f t="array" ref="AA107">SUM(IF($W$2:$W$594=$W107,1,0))</f>
        <v>1</v>
      </c>
    </row>
    <row r="108" spans="1:27" x14ac:dyDescent="0.25">
      <c r="B108" t="s">
        <v>1350</v>
      </c>
      <c r="C108" t="s">
        <v>1698</v>
      </c>
      <c r="D108" t="s">
        <v>351</v>
      </c>
      <c r="E108">
        <v>4</v>
      </c>
      <c r="F108" t="str">
        <f t="shared" si="1"/>
        <v>9/2</v>
      </c>
      <c r="G108" s="1" t="s">
        <v>763</v>
      </c>
      <c r="I108" s="3" t="s">
        <v>15</v>
      </c>
      <c r="K108" s="3" t="s">
        <v>14</v>
      </c>
      <c r="L108" s="4" t="s">
        <v>763</v>
      </c>
      <c r="M108" s="4" t="s">
        <v>763</v>
      </c>
      <c r="N108" s="3" t="s">
        <v>15</v>
      </c>
      <c r="O108" s="3" t="s">
        <v>571</v>
      </c>
      <c r="P108" s="3" t="s">
        <v>34</v>
      </c>
      <c r="Q108" s="3">
        <v>65</v>
      </c>
      <c r="T108" s="3">
        <v>8</v>
      </c>
      <c r="U108" s="3" t="s">
        <v>643</v>
      </c>
      <c r="W108" s="4" t="s">
        <v>765</v>
      </c>
      <c r="X108" s="3" t="s">
        <v>21</v>
      </c>
      <c r="Y108" cm="1">
        <f t="array" ref="Y108">SUM(IF(INT($M$2:$M$594)&amp;" "&amp;$K$2:$K$594=INT($M108)&amp;" "&amp;$K108,1,0))</f>
        <v>1</v>
      </c>
      <c r="Z108" cm="1">
        <f t="array" ref="Z108">SUM(IF(ROUND($M$2:$M$594,0)&amp;" "&amp;$K$2:$K$594=ROUND($M108,0)&amp;" "&amp;$K108,1,0))</f>
        <v>1</v>
      </c>
      <c r="AA108" cm="1">
        <f t="array" ref="AA108">SUM(IF($W$2:$W$594=$W108,1,0))</f>
        <v>1</v>
      </c>
    </row>
    <row r="109" spans="1:27" x14ac:dyDescent="0.25">
      <c r="B109" t="s">
        <v>1350</v>
      </c>
      <c r="C109" t="s">
        <v>1698</v>
      </c>
      <c r="D109" t="s">
        <v>351</v>
      </c>
      <c r="E109">
        <v>5</v>
      </c>
      <c r="F109" t="str">
        <f t="shared" si="1"/>
        <v>11/2</v>
      </c>
      <c r="G109" s="1" t="s">
        <v>766</v>
      </c>
      <c r="I109" s="3" t="s">
        <v>15</v>
      </c>
      <c r="K109" s="3" t="s">
        <v>22</v>
      </c>
      <c r="L109" s="4" t="s">
        <v>766</v>
      </c>
      <c r="M109" s="4" t="s">
        <v>766</v>
      </c>
      <c r="N109" s="3" t="s">
        <v>15</v>
      </c>
      <c r="O109" s="3" t="s">
        <v>571</v>
      </c>
      <c r="P109" s="3" t="s">
        <v>75</v>
      </c>
      <c r="Q109" s="3">
        <v>62</v>
      </c>
      <c r="T109" s="3">
        <v>11</v>
      </c>
      <c r="V109" s="3" t="s">
        <v>1829</v>
      </c>
      <c r="W109" s="4" t="s">
        <v>768</v>
      </c>
      <c r="X109" s="3" t="s">
        <v>21</v>
      </c>
      <c r="Y109" cm="1">
        <f t="array" ref="Y109">SUM(IF(INT($M$2:$M$594)&amp;" "&amp;$K$2:$K$594=INT($M109)&amp;" "&amp;$K109,1,0))</f>
        <v>1</v>
      </c>
      <c r="Z109" cm="1">
        <f t="array" ref="Z109">SUM(IF(ROUND($M$2:$M$594,0)&amp;" "&amp;$K$2:$K$594=ROUND($M109,0)&amp;" "&amp;$K109,1,0))</f>
        <v>1</v>
      </c>
      <c r="AA109" cm="1">
        <f t="array" ref="AA109">SUM(IF($W$2:$W$594=$W109,1,0))</f>
        <v>1</v>
      </c>
    </row>
    <row r="110" spans="1:27" x14ac:dyDescent="0.25">
      <c r="B110" t="s">
        <v>1350</v>
      </c>
      <c r="C110" t="s">
        <v>1698</v>
      </c>
      <c r="D110" t="s">
        <v>351</v>
      </c>
      <c r="E110">
        <v>6</v>
      </c>
      <c r="F110" t="str">
        <f t="shared" si="1"/>
        <v>13/2</v>
      </c>
      <c r="G110" s="1" t="s">
        <v>769</v>
      </c>
      <c r="I110" s="3" t="s">
        <v>15</v>
      </c>
      <c r="K110" s="3" t="s">
        <v>26</v>
      </c>
      <c r="L110" s="4" t="s">
        <v>769</v>
      </c>
      <c r="M110" s="4" t="s">
        <v>769</v>
      </c>
      <c r="N110" s="3" t="s">
        <v>15</v>
      </c>
      <c r="O110" s="3" t="s">
        <v>571</v>
      </c>
      <c r="P110" s="3" t="s">
        <v>266</v>
      </c>
      <c r="Q110" s="3">
        <v>53</v>
      </c>
      <c r="T110" s="3">
        <v>29</v>
      </c>
      <c r="V110" s="3" t="s">
        <v>1822</v>
      </c>
      <c r="W110" s="4" t="s">
        <v>771</v>
      </c>
      <c r="X110" s="3" t="s">
        <v>21</v>
      </c>
      <c r="Y110" cm="1">
        <f t="array" ref="Y110">SUM(IF(INT($M$2:$M$594)&amp;" "&amp;$K$2:$K$594=INT($M110)&amp;" "&amp;$K110,1,0))</f>
        <v>1</v>
      </c>
      <c r="Z110" cm="1">
        <f t="array" ref="Z110">SUM(IF(ROUND($M$2:$M$594,0)&amp;" "&amp;$K$2:$K$594=ROUND($M110,0)&amp;" "&amp;$K110,1,0))</f>
        <v>1</v>
      </c>
      <c r="AA110" cm="1">
        <f t="array" ref="AA110">SUM(IF($W$2:$W$594=$W110,1,0))</f>
        <v>1</v>
      </c>
    </row>
    <row r="111" spans="1:27" x14ac:dyDescent="0.25">
      <c r="B111" t="s">
        <v>1361</v>
      </c>
      <c r="C111" t="s">
        <v>1698</v>
      </c>
      <c r="D111" t="s">
        <v>379</v>
      </c>
      <c r="E111">
        <v>4</v>
      </c>
      <c r="F111" t="str">
        <f t="shared" si="1"/>
        <v>9/2</v>
      </c>
      <c r="G111" s="1" t="s">
        <v>772</v>
      </c>
      <c r="I111" s="3" t="s">
        <v>15</v>
      </c>
      <c r="K111" s="3" t="s">
        <v>14</v>
      </c>
      <c r="L111" s="4" t="s">
        <v>772</v>
      </c>
      <c r="M111" s="4" t="s">
        <v>772</v>
      </c>
      <c r="N111" s="3" t="s">
        <v>15</v>
      </c>
      <c r="O111" s="3" t="s">
        <v>759</v>
      </c>
      <c r="P111" s="3" t="s">
        <v>75</v>
      </c>
      <c r="Q111" s="3">
        <v>43</v>
      </c>
      <c r="T111" s="3">
        <v>17</v>
      </c>
      <c r="V111" s="3" t="s">
        <v>1830</v>
      </c>
      <c r="W111" s="4" t="s">
        <v>774</v>
      </c>
      <c r="X111" s="3" t="s">
        <v>21</v>
      </c>
      <c r="Y111" cm="1">
        <f t="array" ref="Y111">SUM(IF(INT($M$2:$M$594)&amp;" "&amp;$K$2:$K$594=INT($M111)&amp;" "&amp;$K111,1,0))</f>
        <v>1</v>
      </c>
      <c r="Z111" cm="1">
        <f t="array" ref="Z111">SUM(IF(ROUND($M$2:$M$594,0)&amp;" "&amp;$K$2:$K$594=ROUND($M111,0)&amp;" "&amp;$K111,1,0))</f>
        <v>1</v>
      </c>
      <c r="AA111" cm="1">
        <f t="array" ref="AA111">SUM(IF($W$2:$W$594=$W111,1,0))</f>
        <v>1</v>
      </c>
    </row>
    <row r="112" spans="1:27" x14ac:dyDescent="0.25">
      <c r="B112" t="s">
        <v>1361</v>
      </c>
      <c r="C112" t="s">
        <v>1698</v>
      </c>
      <c r="D112" t="s">
        <v>379</v>
      </c>
      <c r="E112">
        <v>3</v>
      </c>
      <c r="F112" t="str">
        <f t="shared" si="1"/>
        <v>7/2</v>
      </c>
      <c r="G112" s="1" t="s">
        <v>775</v>
      </c>
      <c r="I112" s="3" t="s">
        <v>15</v>
      </c>
      <c r="K112" s="3" t="s">
        <v>47</v>
      </c>
      <c r="L112" s="4" t="s">
        <v>775</v>
      </c>
      <c r="M112" s="4" t="s">
        <v>775</v>
      </c>
      <c r="N112" s="3" t="s">
        <v>15</v>
      </c>
      <c r="O112" s="3" t="s">
        <v>759</v>
      </c>
      <c r="P112" s="3" t="s">
        <v>75</v>
      </c>
      <c r="Q112" s="3">
        <v>58</v>
      </c>
      <c r="T112" s="3">
        <v>24</v>
      </c>
      <c r="V112" s="3" t="s">
        <v>1827</v>
      </c>
      <c r="W112" s="4" t="s">
        <v>777</v>
      </c>
      <c r="X112" s="3" t="s">
        <v>21</v>
      </c>
      <c r="Y112" cm="1">
        <f t="array" ref="Y112">SUM(IF(INT($M$2:$M$594)&amp;" "&amp;$K$2:$K$594=INT($M112)&amp;" "&amp;$K112,1,0))</f>
        <v>1</v>
      </c>
      <c r="Z112" cm="1">
        <f t="array" ref="Z112">SUM(IF(ROUND($M$2:$M$594,0)&amp;" "&amp;$K$2:$K$594=ROUND($M112,0)&amp;" "&amp;$K112,1,0))</f>
        <v>1</v>
      </c>
      <c r="AA112" cm="1">
        <f t="array" ref="AA112">SUM(IF($W$2:$W$594=$W112,1,0))</f>
        <v>1</v>
      </c>
    </row>
    <row r="113" spans="1:27" x14ac:dyDescent="0.25">
      <c r="B113" t="s">
        <v>1361</v>
      </c>
      <c r="C113" t="s">
        <v>1698</v>
      </c>
      <c r="D113" t="s">
        <v>379</v>
      </c>
      <c r="E113">
        <v>1</v>
      </c>
      <c r="F113" t="str">
        <f t="shared" si="1"/>
        <v>3/2</v>
      </c>
      <c r="G113" s="1" t="s">
        <v>778</v>
      </c>
      <c r="I113" s="3" t="s">
        <v>15</v>
      </c>
      <c r="K113" s="3" t="s">
        <v>35</v>
      </c>
      <c r="L113" s="4" t="s">
        <v>778</v>
      </c>
      <c r="M113" s="4" t="s">
        <v>778</v>
      </c>
      <c r="N113" s="3" t="s">
        <v>15</v>
      </c>
      <c r="O113" s="3" t="s">
        <v>759</v>
      </c>
      <c r="P113" s="3" t="s">
        <v>71</v>
      </c>
      <c r="Q113" s="3">
        <v>32</v>
      </c>
      <c r="R113" s="3" t="s">
        <v>1803</v>
      </c>
      <c r="T113" s="3">
        <v>25</v>
      </c>
      <c r="V113" s="3" t="s">
        <v>1831</v>
      </c>
      <c r="W113" s="4" t="s">
        <v>780</v>
      </c>
      <c r="X113" s="3" t="s">
        <v>21</v>
      </c>
      <c r="Y113" cm="1">
        <f t="array" ref="Y113">SUM(IF(INT($M$2:$M$594)&amp;" "&amp;$K$2:$K$594=INT($M113)&amp;" "&amp;$K113,1,0))</f>
        <v>1</v>
      </c>
      <c r="Z113" cm="1">
        <f t="array" ref="Z113">SUM(IF(ROUND($M$2:$M$594,0)&amp;" "&amp;$K$2:$K$594=ROUND($M113,0)&amp;" "&amp;$K113,1,0))</f>
        <v>1</v>
      </c>
      <c r="AA113" cm="1">
        <f t="array" ref="AA113">SUM(IF($W$2:$W$594=$W113,1,0))</f>
        <v>1</v>
      </c>
    </row>
    <row r="114" spans="1:27" x14ac:dyDescent="0.25">
      <c r="B114" t="s">
        <v>1357</v>
      </c>
      <c r="C114" t="s">
        <v>1696</v>
      </c>
      <c r="D114" t="s">
        <v>1702</v>
      </c>
      <c r="E114">
        <v>2</v>
      </c>
      <c r="F114" t="str">
        <f t="shared" si="1"/>
        <v>5/2</v>
      </c>
      <c r="G114" s="1" t="s">
        <v>782</v>
      </c>
      <c r="I114" s="3" t="s">
        <v>15</v>
      </c>
      <c r="K114" s="3" t="s">
        <v>43</v>
      </c>
      <c r="L114" s="4" t="s">
        <v>782</v>
      </c>
      <c r="M114" s="4" t="s">
        <v>782</v>
      </c>
      <c r="N114" s="3" t="s">
        <v>15</v>
      </c>
      <c r="O114" s="3" t="s">
        <v>781</v>
      </c>
      <c r="P114" s="3" t="s">
        <v>576</v>
      </c>
      <c r="Q114" s="3">
        <v>61</v>
      </c>
      <c r="T114" s="3">
        <v>28</v>
      </c>
      <c r="V114" s="3" t="s">
        <v>1825</v>
      </c>
      <c r="W114" s="4" t="s">
        <v>784</v>
      </c>
      <c r="X114" s="3" t="s">
        <v>21</v>
      </c>
      <c r="Y114" cm="1">
        <f t="array" ref="Y114">SUM(IF(INT($M$2:$M$594)&amp;" "&amp;$K$2:$K$594=INT($M114)&amp;" "&amp;$K114,1,0))</f>
        <v>1</v>
      </c>
      <c r="Z114" cm="1">
        <f t="array" ref="Z114">SUM(IF(ROUND($M$2:$M$594,0)&amp;" "&amp;$K$2:$K$594=ROUND($M114,0)&amp;" "&amp;$K114,1,0))</f>
        <v>1</v>
      </c>
      <c r="AA114" cm="1">
        <f t="array" ref="AA114">SUM(IF($W$2:$W$594=$W114,1,0))</f>
        <v>1</v>
      </c>
    </row>
    <row r="115" spans="1:27" x14ac:dyDescent="0.25">
      <c r="B115" t="s">
        <v>1357</v>
      </c>
      <c r="C115" t="s">
        <v>1696</v>
      </c>
      <c r="D115" t="s">
        <v>1702</v>
      </c>
      <c r="E115">
        <v>4</v>
      </c>
      <c r="F115" t="str">
        <f t="shared" si="1"/>
        <v>9/2</v>
      </c>
      <c r="G115" s="1" t="s">
        <v>785</v>
      </c>
      <c r="I115" s="3" t="s">
        <v>15</v>
      </c>
      <c r="K115" s="3" t="s">
        <v>14</v>
      </c>
      <c r="L115" s="4" t="s">
        <v>785</v>
      </c>
      <c r="M115" s="4" t="s">
        <v>785</v>
      </c>
      <c r="N115" s="3" t="s">
        <v>15</v>
      </c>
      <c r="O115" s="3" t="s">
        <v>781</v>
      </c>
      <c r="P115" s="3" t="s">
        <v>576</v>
      </c>
      <c r="Q115" s="3">
        <v>51</v>
      </c>
      <c r="T115" s="3">
        <v>37</v>
      </c>
      <c r="V115" s="3" t="s">
        <v>1825</v>
      </c>
      <c r="W115" s="4" t="s">
        <v>787</v>
      </c>
      <c r="X115" s="3" t="s">
        <v>21</v>
      </c>
      <c r="Y115" cm="1">
        <f t="array" ref="Y115">SUM(IF(INT($M$2:$M$594)&amp;" "&amp;$K$2:$K$594=INT($M115)&amp;" "&amp;$K115,1,0))</f>
        <v>1</v>
      </c>
      <c r="Z115" cm="1">
        <f t="array" ref="Z115">SUM(IF(ROUND($M$2:$M$594,0)&amp;" "&amp;$K$2:$K$594=ROUND($M115,0)&amp;" "&amp;$K115,1,0))</f>
        <v>1</v>
      </c>
      <c r="AA115" cm="1">
        <f t="array" ref="AA115">SUM(IF($W$2:$W$594=$W115,1,0))</f>
        <v>1</v>
      </c>
    </row>
    <row r="116" spans="1:27" x14ac:dyDescent="0.25">
      <c r="B116" t="s">
        <v>1357</v>
      </c>
      <c r="C116" t="s">
        <v>1696</v>
      </c>
      <c r="D116" t="s">
        <v>1702</v>
      </c>
      <c r="E116">
        <v>5</v>
      </c>
      <c r="F116" t="str">
        <f t="shared" si="1"/>
        <v>11/2</v>
      </c>
      <c r="G116" s="1" t="s">
        <v>788</v>
      </c>
      <c r="I116" s="3" t="s">
        <v>15</v>
      </c>
      <c r="K116" s="3" t="s">
        <v>22</v>
      </c>
      <c r="L116" s="4" t="s">
        <v>788</v>
      </c>
      <c r="M116" s="4" t="s">
        <v>788</v>
      </c>
      <c r="N116" s="3" t="s">
        <v>15</v>
      </c>
      <c r="O116" s="3" t="s">
        <v>781</v>
      </c>
      <c r="P116" s="3" t="s">
        <v>576</v>
      </c>
      <c r="Q116" s="3">
        <v>65</v>
      </c>
      <c r="T116" s="3">
        <v>29</v>
      </c>
      <c r="V116" s="3" t="s">
        <v>1825</v>
      </c>
      <c r="W116" s="4" t="s">
        <v>790</v>
      </c>
      <c r="X116" s="3" t="s">
        <v>21</v>
      </c>
      <c r="Y116" cm="1">
        <f t="array" ref="Y116">SUM(IF(INT($M$2:$M$594)&amp;" "&amp;$K$2:$K$594=INT($M116)&amp;" "&amp;$K116,1,0))</f>
        <v>1</v>
      </c>
      <c r="Z116" cm="1">
        <f t="array" ref="Z116">SUM(IF(ROUND($M$2:$M$594,0)&amp;" "&amp;$K$2:$K$594=ROUND($M116,0)&amp;" "&amp;$K116,1,0))</f>
        <v>1</v>
      </c>
      <c r="AA116" cm="1">
        <f t="array" ref="AA116">SUM(IF($W$2:$W$594=$W116,1,0))</f>
        <v>1</v>
      </c>
    </row>
    <row r="117" spans="1:27" x14ac:dyDescent="0.25">
      <c r="B117" t="s">
        <v>1357</v>
      </c>
      <c r="C117" t="s">
        <v>1696</v>
      </c>
      <c r="D117" t="s">
        <v>1702</v>
      </c>
      <c r="E117">
        <v>3</v>
      </c>
      <c r="F117" t="str">
        <f t="shared" si="1"/>
        <v>7/2</v>
      </c>
      <c r="G117" s="1" t="s">
        <v>791</v>
      </c>
      <c r="I117" s="3" t="s">
        <v>15</v>
      </c>
      <c r="K117" s="3" t="s">
        <v>47</v>
      </c>
      <c r="L117" s="4" t="s">
        <v>791</v>
      </c>
      <c r="M117" s="4" t="s">
        <v>791</v>
      </c>
      <c r="N117" s="3" t="s">
        <v>15</v>
      </c>
      <c r="O117" s="3" t="s">
        <v>781</v>
      </c>
      <c r="P117" s="3" t="s">
        <v>576</v>
      </c>
      <c r="Q117" s="3">
        <v>48</v>
      </c>
      <c r="T117" s="3">
        <v>38</v>
      </c>
      <c r="V117" s="3" t="s">
        <v>1825</v>
      </c>
      <c r="W117" s="4" t="s">
        <v>793</v>
      </c>
      <c r="X117" s="3" t="s">
        <v>21</v>
      </c>
      <c r="Y117" cm="1">
        <f t="array" ref="Y117">SUM(IF(INT($M$2:$M$594)&amp;" "&amp;$K$2:$K$594=INT($M117)&amp;" "&amp;$K117,1,0))</f>
        <v>1</v>
      </c>
      <c r="Z117" cm="1">
        <f t="array" ref="Z117">SUM(IF(ROUND($M$2:$M$594,0)&amp;" "&amp;$K$2:$K$594=ROUND($M117,0)&amp;" "&amp;$K117,1,0))</f>
        <v>1</v>
      </c>
      <c r="AA117" cm="1">
        <f t="array" ref="AA117">SUM(IF($W$2:$W$594=$W117,1,0))</f>
        <v>1</v>
      </c>
    </row>
    <row r="118" spans="1:27" x14ac:dyDescent="0.25">
      <c r="B118" t="s">
        <v>1354</v>
      </c>
      <c r="C118" t="s">
        <v>1698</v>
      </c>
      <c r="D118" t="s">
        <v>321</v>
      </c>
      <c r="E118">
        <v>2</v>
      </c>
      <c r="F118" t="str">
        <f t="shared" si="1"/>
        <v>5/2</v>
      </c>
      <c r="G118" s="1" t="s">
        <v>794</v>
      </c>
      <c r="I118" s="3" t="s">
        <v>15</v>
      </c>
      <c r="K118" s="3" t="s">
        <v>43</v>
      </c>
      <c r="L118" s="4" t="s">
        <v>794</v>
      </c>
      <c r="M118" s="4" t="s">
        <v>794</v>
      </c>
      <c r="N118" s="3" t="s">
        <v>15</v>
      </c>
      <c r="O118" s="3" t="s">
        <v>705</v>
      </c>
      <c r="P118" s="3" t="s">
        <v>71</v>
      </c>
      <c r="Q118" s="3">
        <v>26</v>
      </c>
      <c r="R118" s="3" t="s">
        <v>1803</v>
      </c>
      <c r="T118" s="3">
        <v>17</v>
      </c>
      <c r="V118" s="3" t="s">
        <v>1832</v>
      </c>
      <c r="W118" s="4" t="s">
        <v>796</v>
      </c>
      <c r="X118" s="3" t="s">
        <v>21</v>
      </c>
      <c r="Y118" cm="1">
        <f t="array" ref="Y118">SUM(IF(INT($M$2:$M$594)&amp;" "&amp;$K$2:$K$594=INT($M118)&amp;" "&amp;$K118,1,0))</f>
        <v>1</v>
      </c>
      <c r="Z118" cm="1">
        <f t="array" ref="Z118">SUM(IF(ROUND($M$2:$M$594,0)&amp;" "&amp;$K$2:$K$594=ROUND($M118,0)&amp;" "&amp;$K118,1,0))</f>
        <v>1</v>
      </c>
      <c r="AA118" cm="1">
        <f t="array" ref="AA118">SUM(IF($W$2:$W$594=$W118,1,0))</f>
        <v>1</v>
      </c>
    </row>
    <row r="119" spans="1:27" x14ac:dyDescent="0.25">
      <c r="B119" t="s">
        <v>1361</v>
      </c>
      <c r="C119" t="s">
        <v>1698</v>
      </c>
      <c r="D119" t="s">
        <v>379</v>
      </c>
      <c r="E119">
        <v>4</v>
      </c>
      <c r="F119" t="str">
        <f t="shared" si="1"/>
        <v>9/2</v>
      </c>
      <c r="G119" s="1" t="s">
        <v>797</v>
      </c>
      <c r="I119" s="3" t="s">
        <v>15</v>
      </c>
      <c r="K119" s="3" t="s">
        <v>14</v>
      </c>
      <c r="L119" s="4" t="s">
        <v>797</v>
      </c>
      <c r="M119" s="4" t="s">
        <v>797</v>
      </c>
      <c r="N119" s="3" t="s">
        <v>15</v>
      </c>
      <c r="O119" s="3" t="s">
        <v>759</v>
      </c>
      <c r="P119" s="3" t="s">
        <v>71</v>
      </c>
      <c r="Q119" s="3">
        <v>36</v>
      </c>
      <c r="R119" s="3" t="s">
        <v>75</v>
      </c>
      <c r="T119" s="3">
        <v>25</v>
      </c>
      <c r="V119" s="3" t="s">
        <v>1833</v>
      </c>
      <c r="W119" s="4" t="s">
        <v>799</v>
      </c>
      <c r="X119" s="3" t="s">
        <v>21</v>
      </c>
      <c r="Y119" cm="1">
        <f t="array" ref="Y119">SUM(IF(INT($M$2:$M$594)&amp;" "&amp;$K$2:$K$594=INT($M119)&amp;" "&amp;$K119,1,0))</f>
        <v>1</v>
      </c>
      <c r="Z119" cm="1">
        <f t="array" ref="Z119">SUM(IF(ROUND($M$2:$M$594,0)&amp;" "&amp;$K$2:$K$594=ROUND($M119,0)&amp;" "&amp;$K119,1,0))</f>
        <v>1</v>
      </c>
      <c r="AA119" cm="1">
        <f t="array" ref="AA119">SUM(IF($W$2:$W$594=$W119,1,0))</f>
        <v>1</v>
      </c>
    </row>
    <row r="120" spans="1:27" x14ac:dyDescent="0.25">
      <c r="B120" t="s">
        <v>1362</v>
      </c>
      <c r="C120" t="s">
        <v>1698</v>
      </c>
      <c r="D120" t="s">
        <v>193</v>
      </c>
      <c r="E120">
        <v>3</v>
      </c>
      <c r="F120" t="str">
        <f t="shared" si="1"/>
        <v>7/2</v>
      </c>
      <c r="G120" s="1" t="s">
        <v>802</v>
      </c>
      <c r="I120" s="3" t="s">
        <v>15</v>
      </c>
      <c r="K120" s="3" t="s">
        <v>47</v>
      </c>
      <c r="L120" s="4" t="s">
        <v>802</v>
      </c>
      <c r="M120" s="4" t="s">
        <v>802</v>
      </c>
      <c r="N120" s="3" t="s">
        <v>15</v>
      </c>
      <c r="O120" s="3" t="s">
        <v>800</v>
      </c>
      <c r="P120" s="3" t="s">
        <v>801</v>
      </c>
      <c r="Q120" s="3">
        <v>65</v>
      </c>
      <c r="T120" s="3">
        <v>9</v>
      </c>
      <c r="V120" s="3" t="s">
        <v>1830</v>
      </c>
      <c r="W120" s="4" t="s">
        <v>804</v>
      </c>
      <c r="X120" s="3" t="s">
        <v>21</v>
      </c>
      <c r="Y120" cm="1">
        <f t="array" ref="Y120">SUM(IF(INT($M$2:$M$594)&amp;" "&amp;$K$2:$K$594=INT($M120)&amp;" "&amp;$K120,1,0))</f>
        <v>1</v>
      </c>
      <c r="Z120" cm="1">
        <f t="array" ref="Z120">SUM(IF(ROUND($M$2:$M$594,0)&amp;" "&amp;$K$2:$K$594=ROUND($M120,0)&amp;" "&amp;$K120,1,0))</f>
        <v>1</v>
      </c>
      <c r="AA120" cm="1">
        <f t="array" ref="AA120">SUM(IF($W$2:$W$594=$W120,1,0))</f>
        <v>1</v>
      </c>
    </row>
    <row r="121" spans="1:27" x14ac:dyDescent="0.25">
      <c r="B121" t="s">
        <v>1354</v>
      </c>
      <c r="C121" t="s">
        <v>1698</v>
      </c>
      <c r="D121" t="s">
        <v>321</v>
      </c>
      <c r="E121">
        <v>4</v>
      </c>
      <c r="F121" t="str">
        <f t="shared" si="1"/>
        <v>9/2</v>
      </c>
      <c r="G121" s="1" t="s">
        <v>805</v>
      </c>
      <c r="I121" s="3" t="s">
        <v>15</v>
      </c>
      <c r="K121" s="3" t="s">
        <v>14</v>
      </c>
      <c r="L121" s="4" t="s">
        <v>805</v>
      </c>
      <c r="M121" s="4" t="s">
        <v>805</v>
      </c>
      <c r="N121" s="3" t="s">
        <v>15</v>
      </c>
      <c r="O121" s="3" t="s">
        <v>705</v>
      </c>
      <c r="P121" s="3" t="s">
        <v>801</v>
      </c>
      <c r="Q121" s="3">
        <v>42</v>
      </c>
      <c r="T121" s="3">
        <v>12</v>
      </c>
      <c r="V121" s="3" t="s">
        <v>1833</v>
      </c>
      <c r="W121" s="4" t="s">
        <v>807</v>
      </c>
      <c r="X121" s="3" t="s">
        <v>21</v>
      </c>
      <c r="Y121" cm="1">
        <f t="array" ref="Y121">SUM(IF(INT($M$2:$M$594)&amp;" "&amp;$K$2:$K$594=INT($M121)&amp;" "&amp;$K121,1,0))</f>
        <v>1</v>
      </c>
      <c r="Z121" cm="1">
        <f t="array" ref="Z121">SUM(IF(ROUND($M$2:$M$594,0)&amp;" "&amp;$K$2:$K$594=ROUND($M121,0)&amp;" "&amp;$K121,1,0))</f>
        <v>1</v>
      </c>
      <c r="AA121" cm="1">
        <f t="array" ref="AA121">SUM(IF($W$2:$W$594=$W121,1,0))</f>
        <v>1</v>
      </c>
    </row>
    <row r="122" spans="1:27" x14ac:dyDescent="0.25">
      <c r="B122" t="s">
        <v>1361</v>
      </c>
      <c r="C122" t="s">
        <v>1698</v>
      </c>
      <c r="D122" t="s">
        <v>379</v>
      </c>
      <c r="E122">
        <v>5</v>
      </c>
      <c r="F122" t="str">
        <f t="shared" si="1"/>
        <v>11/2</v>
      </c>
      <c r="G122" s="1" t="s">
        <v>808</v>
      </c>
      <c r="I122" s="3" t="s">
        <v>15</v>
      </c>
      <c r="K122" s="3" t="s">
        <v>22</v>
      </c>
      <c r="L122" s="4" t="s">
        <v>808</v>
      </c>
      <c r="M122" s="4" t="s">
        <v>808</v>
      </c>
      <c r="N122" s="3" t="s">
        <v>15</v>
      </c>
      <c r="O122" s="3" t="s">
        <v>759</v>
      </c>
      <c r="P122" s="3" t="s">
        <v>75</v>
      </c>
      <c r="Q122" s="3">
        <v>76</v>
      </c>
      <c r="T122" s="3">
        <v>9</v>
      </c>
      <c r="V122" s="3" t="s">
        <v>1821</v>
      </c>
      <c r="W122" s="4" t="s">
        <v>810</v>
      </c>
      <c r="X122" s="3" t="s">
        <v>21</v>
      </c>
      <c r="Y122" cm="1">
        <f t="array" ref="Y122">SUM(IF(INT($M$2:$M$594)&amp;" "&amp;$K$2:$K$594=INT($M122)&amp;" "&amp;$K122,1,0))</f>
        <v>1</v>
      </c>
      <c r="Z122" cm="1">
        <f t="array" ref="Z122">SUM(IF(ROUND($M$2:$M$594,0)&amp;" "&amp;$K$2:$K$594=ROUND($M122,0)&amp;" "&amp;$K122,1,0))</f>
        <v>1</v>
      </c>
      <c r="AA122" cm="1">
        <f t="array" ref="AA122">SUM(IF($W$2:$W$594=$W122,1,0))</f>
        <v>1</v>
      </c>
    </row>
    <row r="123" spans="1:27" x14ac:dyDescent="0.25">
      <c r="B123" t="s">
        <v>1361</v>
      </c>
      <c r="C123" t="s">
        <v>1698</v>
      </c>
      <c r="D123" t="s">
        <v>379</v>
      </c>
      <c r="E123">
        <v>2</v>
      </c>
      <c r="F123" t="str">
        <f t="shared" si="1"/>
        <v>5/2</v>
      </c>
      <c r="G123" s="1" t="s">
        <v>811</v>
      </c>
      <c r="I123" s="3" t="s">
        <v>15</v>
      </c>
      <c r="K123" s="3" t="s">
        <v>43</v>
      </c>
      <c r="L123" s="4" t="s">
        <v>811</v>
      </c>
      <c r="M123" s="4" t="s">
        <v>811</v>
      </c>
      <c r="N123" s="3" t="s">
        <v>15</v>
      </c>
      <c r="O123" s="3" t="s">
        <v>759</v>
      </c>
      <c r="P123" s="3" t="s">
        <v>71</v>
      </c>
      <c r="Q123" s="3">
        <v>27</v>
      </c>
      <c r="R123" s="3" t="s">
        <v>225</v>
      </c>
      <c r="T123" s="3">
        <v>23</v>
      </c>
      <c r="V123" s="3" t="s">
        <v>1834</v>
      </c>
      <c r="W123" s="4" t="s">
        <v>813</v>
      </c>
      <c r="X123" s="3" t="s">
        <v>21</v>
      </c>
      <c r="Y123" cm="1">
        <f t="array" ref="Y123">SUM(IF(INT($M$2:$M$594)&amp;" "&amp;$K$2:$K$594=INT($M123)&amp;" "&amp;$K123,1,0))</f>
        <v>1</v>
      </c>
      <c r="Z123" cm="1">
        <f t="array" ref="Z123">SUM(IF(ROUND($M$2:$M$594,0)&amp;" "&amp;$K$2:$K$594=ROUND($M123,0)&amp;" "&amp;$K123,1,0))</f>
        <v>1</v>
      </c>
      <c r="AA123" cm="1">
        <f t="array" ref="AA123">SUM(IF($W$2:$W$594=$W123,1,0))</f>
        <v>1</v>
      </c>
    </row>
    <row r="124" spans="1:27" x14ac:dyDescent="0.25">
      <c r="A124" t="s">
        <v>1664</v>
      </c>
      <c r="B124" t="s">
        <v>1665</v>
      </c>
      <c r="C124" t="s">
        <v>1698</v>
      </c>
      <c r="D124" t="s">
        <v>1700</v>
      </c>
      <c r="E124">
        <v>3</v>
      </c>
      <c r="F124" t="str">
        <f t="shared" si="1"/>
        <v>7/2</v>
      </c>
      <c r="G124" s="1" t="s">
        <v>1363</v>
      </c>
      <c r="I124" s="3" t="s">
        <v>15</v>
      </c>
      <c r="K124" s="3" t="s">
        <v>47</v>
      </c>
      <c r="M124" s="4" t="s">
        <v>1363</v>
      </c>
      <c r="N124" s="3" t="s">
        <v>15</v>
      </c>
      <c r="O124" s="3" t="s">
        <v>1761</v>
      </c>
      <c r="P124" s="3" t="s">
        <v>71</v>
      </c>
      <c r="W124" s="5" t="s">
        <v>1934</v>
      </c>
      <c r="X124" s="3" t="s">
        <v>1757</v>
      </c>
      <c r="Y124" cm="1">
        <f t="array" ref="Y124">SUM(IF(INT($M$2:$M$594)&amp;" "&amp;$K$2:$K$594=INT($M124)&amp;" "&amp;$K124,1,0))</f>
        <v>1</v>
      </c>
      <c r="Z124" cm="1">
        <f t="array" ref="Z124">SUM(IF(ROUND($M$2:$M$594,0)&amp;" "&amp;$K$2:$K$594=ROUND($M124,0)&amp;" "&amp;$K124,1,0))</f>
        <v>1</v>
      </c>
      <c r="AA124" cm="1">
        <f t="array" ref="AA124">SUM(IF($W$2:$W$594=$W124,1,0))</f>
        <v>1</v>
      </c>
    </row>
    <row r="125" spans="1:27" x14ac:dyDescent="0.25">
      <c r="B125" t="s">
        <v>1361</v>
      </c>
      <c r="C125" t="s">
        <v>1698</v>
      </c>
      <c r="D125" t="s">
        <v>379</v>
      </c>
      <c r="E125">
        <v>1</v>
      </c>
      <c r="F125" t="str">
        <f t="shared" si="1"/>
        <v>3/2</v>
      </c>
      <c r="G125" s="1" t="s">
        <v>814</v>
      </c>
      <c r="I125" s="3" t="s">
        <v>15</v>
      </c>
      <c r="K125" s="3" t="s">
        <v>35</v>
      </c>
      <c r="L125" s="4" t="s">
        <v>814</v>
      </c>
      <c r="M125" s="4" t="s">
        <v>814</v>
      </c>
      <c r="N125" s="3" t="s">
        <v>15</v>
      </c>
      <c r="O125" s="3" t="s">
        <v>759</v>
      </c>
      <c r="P125" s="3" t="s">
        <v>34</v>
      </c>
      <c r="Q125" s="3">
        <v>45</v>
      </c>
      <c r="T125" s="3">
        <v>26</v>
      </c>
      <c r="V125" s="3" t="s">
        <v>1835</v>
      </c>
      <c r="W125" s="4" t="s">
        <v>816</v>
      </c>
      <c r="X125" s="3" t="s">
        <v>21</v>
      </c>
      <c r="Y125" cm="1">
        <f t="array" ref="Y125">SUM(IF(INT($M$2:$M$594)&amp;" "&amp;$K$2:$K$594=INT($M125)&amp;" "&amp;$K125,1,0))</f>
        <v>1</v>
      </c>
      <c r="Z125" cm="1">
        <f t="array" ref="Z125">SUM(IF(ROUND($M$2:$M$594,0)&amp;" "&amp;$K$2:$K$594=ROUND($M125,0)&amp;" "&amp;$K125,1,0))</f>
        <v>1</v>
      </c>
      <c r="AA125" cm="1">
        <f t="array" ref="AA125">SUM(IF($W$2:$W$594=$W125,1,0))</f>
        <v>1</v>
      </c>
    </row>
    <row r="126" spans="1:27" x14ac:dyDescent="0.25">
      <c r="A126" t="s">
        <v>1664</v>
      </c>
      <c r="B126" t="s">
        <v>1665</v>
      </c>
      <c r="C126" t="s">
        <v>1698</v>
      </c>
      <c r="D126" t="s">
        <v>1700</v>
      </c>
      <c r="E126">
        <v>4</v>
      </c>
      <c r="F126" t="str">
        <f t="shared" si="1"/>
        <v>9/2</v>
      </c>
      <c r="G126" s="1" t="s">
        <v>1364</v>
      </c>
      <c r="I126" s="3" t="s">
        <v>15</v>
      </c>
      <c r="K126" s="3" t="s">
        <v>14</v>
      </c>
      <c r="M126" s="4" t="s">
        <v>1364</v>
      </c>
      <c r="N126" s="3" t="s">
        <v>15</v>
      </c>
      <c r="O126" s="3" t="s">
        <v>1761</v>
      </c>
      <c r="P126" s="3" t="s">
        <v>71</v>
      </c>
      <c r="W126" s="5" t="s">
        <v>1935</v>
      </c>
      <c r="X126" s="3" t="s">
        <v>1757</v>
      </c>
      <c r="Y126" cm="1">
        <f t="array" ref="Y126">SUM(IF(INT($M$2:$M$594)&amp;" "&amp;$K$2:$K$594=INT($M126)&amp;" "&amp;$K126,1,0))</f>
        <v>1</v>
      </c>
      <c r="Z126" cm="1">
        <f t="array" ref="Z126">SUM(IF(ROUND($M$2:$M$594,0)&amp;" "&amp;$K$2:$K$594=ROUND($M126,0)&amp;" "&amp;$K126,1,0))</f>
        <v>1</v>
      </c>
      <c r="AA126" cm="1">
        <f t="array" ref="AA126">SUM(IF($W$2:$W$594=$W126,1,0))</f>
        <v>1</v>
      </c>
    </row>
    <row r="127" spans="1:27" x14ac:dyDescent="0.25">
      <c r="B127" t="s">
        <v>1361</v>
      </c>
      <c r="C127" t="s">
        <v>1698</v>
      </c>
      <c r="D127" t="s">
        <v>379</v>
      </c>
      <c r="E127">
        <v>3</v>
      </c>
      <c r="F127" t="str">
        <f t="shared" si="1"/>
        <v>7/2</v>
      </c>
      <c r="G127" s="1" t="s">
        <v>817</v>
      </c>
      <c r="I127" s="3" t="s">
        <v>15</v>
      </c>
      <c r="K127" s="3" t="s">
        <v>47</v>
      </c>
      <c r="L127" s="4" t="s">
        <v>817</v>
      </c>
      <c r="M127" s="4" t="s">
        <v>817</v>
      </c>
      <c r="N127" s="3" t="s">
        <v>15</v>
      </c>
      <c r="O127" s="3" t="s">
        <v>759</v>
      </c>
      <c r="P127" s="3" t="s">
        <v>34</v>
      </c>
      <c r="Q127" s="3">
        <v>74</v>
      </c>
      <c r="T127" s="3">
        <v>7</v>
      </c>
      <c r="V127" s="3" t="s">
        <v>1832</v>
      </c>
      <c r="W127" s="4" t="s">
        <v>819</v>
      </c>
      <c r="X127" s="3" t="s">
        <v>21</v>
      </c>
      <c r="Y127" cm="1">
        <f t="array" ref="Y127">SUM(IF(INT($M$2:$M$594)&amp;" "&amp;$K$2:$K$594=INT($M127)&amp;" "&amp;$K127,1,0))</f>
        <v>1</v>
      </c>
      <c r="Z127" cm="1">
        <f t="array" ref="Z127">SUM(IF(ROUND($M$2:$M$594,0)&amp;" "&amp;$K$2:$K$594=ROUND($M127,0)&amp;" "&amp;$K127,1,0))</f>
        <v>1</v>
      </c>
      <c r="AA127" cm="1">
        <f t="array" ref="AA127">SUM(IF($W$2:$W$594=$W127,1,0))</f>
        <v>1</v>
      </c>
    </row>
    <row r="128" spans="1:27" x14ac:dyDescent="0.25">
      <c r="B128" t="s">
        <v>1365</v>
      </c>
      <c r="C128" t="s">
        <v>1696</v>
      </c>
      <c r="D128" t="s">
        <v>1705</v>
      </c>
      <c r="E128">
        <v>1</v>
      </c>
      <c r="F128" t="str">
        <f t="shared" si="1"/>
        <v>3/2</v>
      </c>
      <c r="G128" s="1" t="s">
        <v>821</v>
      </c>
      <c r="I128" s="3" t="s">
        <v>15</v>
      </c>
      <c r="K128" s="3" t="s">
        <v>35</v>
      </c>
      <c r="L128" s="4" t="s">
        <v>821</v>
      </c>
      <c r="M128" s="4" t="s">
        <v>821</v>
      </c>
      <c r="N128" s="3" t="s">
        <v>15</v>
      </c>
      <c r="O128" s="3" t="s">
        <v>820</v>
      </c>
      <c r="P128" s="3" t="s">
        <v>604</v>
      </c>
      <c r="Q128" s="3">
        <v>79</v>
      </c>
      <c r="T128" s="3">
        <v>8</v>
      </c>
      <c r="V128" s="3" t="s">
        <v>1836</v>
      </c>
      <c r="W128" s="4" t="s">
        <v>823</v>
      </c>
      <c r="X128" s="3" t="s">
        <v>21</v>
      </c>
      <c r="Y128" cm="1">
        <f t="array" ref="Y128">SUM(IF(INT($M$2:$M$594)&amp;" "&amp;$K$2:$K$594=INT($M128)&amp;" "&amp;$K128,1,0))</f>
        <v>1</v>
      </c>
      <c r="Z128" cm="1">
        <f t="array" ref="Z128">SUM(IF(ROUND($M$2:$M$594,0)&amp;" "&amp;$K$2:$K$594=ROUND($M128,0)&amp;" "&amp;$K128,1,0))</f>
        <v>1</v>
      </c>
      <c r="AA128" cm="1">
        <f t="array" ref="AA128">SUM(IF($W$2:$W$594=$W128,1,0))</f>
        <v>1</v>
      </c>
    </row>
    <row r="129" spans="1:27" x14ac:dyDescent="0.25">
      <c r="B129" t="s">
        <v>1350</v>
      </c>
      <c r="C129" t="s">
        <v>1698</v>
      </c>
      <c r="D129" t="s">
        <v>351</v>
      </c>
      <c r="E129">
        <v>2</v>
      </c>
      <c r="F129" t="str">
        <f t="shared" si="1"/>
        <v>5/2</v>
      </c>
      <c r="G129" s="1" t="s">
        <v>824</v>
      </c>
      <c r="I129" s="3" t="s">
        <v>15</v>
      </c>
      <c r="K129" s="3" t="s">
        <v>43</v>
      </c>
      <c r="L129" s="4" t="s">
        <v>824</v>
      </c>
      <c r="M129" s="4" t="s">
        <v>824</v>
      </c>
      <c r="N129" s="3" t="s">
        <v>15</v>
      </c>
      <c r="O129" s="3" t="s">
        <v>571</v>
      </c>
      <c r="P129" s="3" t="s">
        <v>71</v>
      </c>
      <c r="Q129" s="3">
        <v>35</v>
      </c>
      <c r="R129" s="3" t="s">
        <v>1803</v>
      </c>
      <c r="T129" s="3">
        <v>18</v>
      </c>
      <c r="U129" s="3" t="s">
        <v>820</v>
      </c>
      <c r="W129" s="4" t="s">
        <v>826</v>
      </c>
      <c r="X129" s="3" t="s">
        <v>21</v>
      </c>
      <c r="Y129" cm="1">
        <f t="array" ref="Y129">SUM(IF(INT($M$2:$M$594)&amp;" "&amp;$K$2:$K$594=INT($M129)&amp;" "&amp;$K129,1,0))</f>
        <v>1</v>
      </c>
      <c r="Z129" cm="1">
        <f t="array" ref="Z129">SUM(IF(ROUND($M$2:$M$594,0)&amp;" "&amp;$K$2:$K$594=ROUND($M129,0)&amp;" "&amp;$K129,1,0))</f>
        <v>1</v>
      </c>
      <c r="AA129" cm="1">
        <f t="array" ref="AA129">SUM(IF($W$2:$W$594=$W129,1,0))</f>
        <v>1</v>
      </c>
    </row>
    <row r="130" spans="1:27" x14ac:dyDescent="0.25">
      <c r="B130" t="s">
        <v>1365</v>
      </c>
      <c r="C130" t="s">
        <v>1696</v>
      </c>
      <c r="D130" t="s">
        <v>1705</v>
      </c>
      <c r="E130">
        <v>2</v>
      </c>
      <c r="F130" t="str">
        <f t="shared" si="1"/>
        <v>5/2</v>
      </c>
      <c r="G130" s="1" t="s">
        <v>827</v>
      </c>
      <c r="I130" s="3" t="s">
        <v>15</v>
      </c>
      <c r="K130" s="3" t="s">
        <v>43</v>
      </c>
      <c r="L130" s="4" t="s">
        <v>827</v>
      </c>
      <c r="M130" s="4" t="s">
        <v>827</v>
      </c>
      <c r="N130" s="3" t="s">
        <v>15</v>
      </c>
      <c r="O130" s="3" t="s">
        <v>820</v>
      </c>
      <c r="P130" s="3" t="s">
        <v>604</v>
      </c>
      <c r="Q130" s="3">
        <v>60</v>
      </c>
      <c r="T130" s="3">
        <v>10</v>
      </c>
      <c r="U130" s="3" t="s">
        <v>705</v>
      </c>
      <c r="V130" s="3" t="s">
        <v>1803</v>
      </c>
      <c r="W130" s="4" t="s">
        <v>829</v>
      </c>
      <c r="X130" s="3" t="s">
        <v>21</v>
      </c>
      <c r="Y130" cm="1">
        <f t="array" ref="Y130">SUM(IF(INT($M$2:$M$594)&amp;" "&amp;$K$2:$K$594=INT($M130)&amp;" "&amp;$K130,1,0))</f>
        <v>1</v>
      </c>
      <c r="Z130" cm="1">
        <f t="array" ref="Z130">SUM(IF(ROUND($M$2:$M$594,0)&amp;" "&amp;$K$2:$K$594=ROUND($M130,0)&amp;" "&amp;$K130,1,0))</f>
        <v>1</v>
      </c>
      <c r="AA130" cm="1">
        <f t="array" ref="AA130">SUM(IF($W$2:$W$594=$W130,1,0))</f>
        <v>1</v>
      </c>
    </row>
    <row r="131" spans="1:27" x14ac:dyDescent="0.25">
      <c r="B131" t="s">
        <v>1350</v>
      </c>
      <c r="C131" t="s">
        <v>1698</v>
      </c>
      <c r="D131" t="s">
        <v>351</v>
      </c>
      <c r="E131">
        <v>5</v>
      </c>
      <c r="F131" t="str">
        <f t="shared" ref="F131:F197" si="2">(2*E131+1)&amp;"/2"</f>
        <v>11/2</v>
      </c>
      <c r="G131" s="1" t="s">
        <v>830</v>
      </c>
      <c r="I131" s="3" t="s">
        <v>15</v>
      </c>
      <c r="K131" s="3" t="s">
        <v>22</v>
      </c>
      <c r="L131" s="4" t="s">
        <v>830</v>
      </c>
      <c r="M131" s="4" t="s">
        <v>830</v>
      </c>
      <c r="N131" s="3" t="s">
        <v>15</v>
      </c>
      <c r="O131" s="3" t="s">
        <v>571</v>
      </c>
      <c r="P131" s="3" t="s">
        <v>71</v>
      </c>
      <c r="Q131" s="3">
        <v>32</v>
      </c>
      <c r="R131" s="3" t="s">
        <v>936</v>
      </c>
      <c r="T131" s="3">
        <v>18</v>
      </c>
      <c r="V131" s="3" t="s">
        <v>1829</v>
      </c>
      <c r="W131" s="4" t="s">
        <v>832</v>
      </c>
      <c r="X131" s="3" t="s">
        <v>21</v>
      </c>
      <c r="Y131" cm="1">
        <f t="array" ref="Y131">SUM(IF(INT($M$2:$M$594)&amp;" "&amp;$K$2:$K$594=INT($M131)&amp;" "&amp;$K131,1,0))</f>
        <v>1</v>
      </c>
      <c r="Z131" cm="1">
        <f t="array" ref="Z131">SUM(IF(ROUND($M$2:$M$594,0)&amp;" "&amp;$K$2:$K$594=ROUND($M131,0)&amp;" "&amp;$K131,1,0))</f>
        <v>1</v>
      </c>
      <c r="AA131" cm="1">
        <f t="array" ref="AA131">SUM(IF($W$2:$W$594=$W131,1,0))</f>
        <v>1</v>
      </c>
    </row>
    <row r="132" spans="1:27" x14ac:dyDescent="0.25">
      <c r="B132" t="s">
        <v>1362</v>
      </c>
      <c r="C132" t="s">
        <v>1698</v>
      </c>
      <c r="D132" t="s">
        <v>193</v>
      </c>
      <c r="E132">
        <v>4</v>
      </c>
      <c r="F132" t="str">
        <f t="shared" si="2"/>
        <v>9/2</v>
      </c>
      <c r="G132" s="1" t="s">
        <v>833</v>
      </c>
      <c r="I132" s="3" t="s">
        <v>15</v>
      </c>
      <c r="K132" s="3" t="s">
        <v>14</v>
      </c>
      <c r="L132" s="4" t="s">
        <v>833</v>
      </c>
      <c r="M132" s="4" t="s">
        <v>833</v>
      </c>
      <c r="N132" s="3" t="s">
        <v>15</v>
      </c>
      <c r="O132" s="3" t="s">
        <v>800</v>
      </c>
      <c r="P132" s="3" t="s">
        <v>801</v>
      </c>
      <c r="Q132" s="3">
        <v>38</v>
      </c>
      <c r="T132" s="3">
        <v>21</v>
      </c>
      <c r="V132" s="3" t="s">
        <v>1833</v>
      </c>
      <c r="W132" s="4" t="s">
        <v>835</v>
      </c>
      <c r="X132" s="3" t="s">
        <v>21</v>
      </c>
      <c r="Y132" cm="1">
        <f t="array" ref="Y132">SUM(IF(INT($M$2:$M$594)&amp;" "&amp;$K$2:$K$594=INT($M132)&amp;" "&amp;$K132,1,0))</f>
        <v>1</v>
      </c>
      <c r="Z132" cm="1">
        <f t="array" ref="Z132">SUM(IF(ROUND($M$2:$M$594,0)&amp;" "&amp;$K$2:$K$594=ROUND($M132,0)&amp;" "&amp;$K132,1,0))</f>
        <v>1</v>
      </c>
      <c r="AA132" cm="1">
        <f t="array" ref="AA132">SUM(IF($W$2:$W$594=$W132,1,0))</f>
        <v>1</v>
      </c>
    </row>
    <row r="133" spans="1:27" x14ac:dyDescent="0.25">
      <c r="A133" t="s">
        <v>1664</v>
      </c>
      <c r="B133" t="s">
        <v>1354</v>
      </c>
      <c r="C133" t="s">
        <v>1698</v>
      </c>
      <c r="D133" t="s">
        <v>321</v>
      </c>
      <c r="E133">
        <v>3</v>
      </c>
      <c r="F133" t="str">
        <f t="shared" si="2"/>
        <v>7/2</v>
      </c>
      <c r="G133" s="1" t="s">
        <v>1366</v>
      </c>
      <c r="I133" s="3" t="s">
        <v>15</v>
      </c>
      <c r="K133" s="3" t="s">
        <v>47</v>
      </c>
      <c r="M133" s="4" t="s">
        <v>1366</v>
      </c>
      <c r="N133" s="3" t="s">
        <v>15</v>
      </c>
      <c r="O133" s="3" t="s">
        <v>705</v>
      </c>
      <c r="P133" s="3" t="s">
        <v>71</v>
      </c>
      <c r="W133" s="5" t="s">
        <v>1937</v>
      </c>
      <c r="X133" s="3" t="s">
        <v>1757</v>
      </c>
      <c r="Y133" cm="1">
        <f t="array" ref="Y133">SUM(IF(INT($M$2:$M$594)&amp;" "&amp;$K$2:$K$594=INT($M133)&amp;" "&amp;$K133,1,0))</f>
        <v>1</v>
      </c>
      <c r="Z133" cm="1">
        <f t="array" ref="Z133">SUM(IF(ROUND($M$2:$M$594,0)&amp;" "&amp;$K$2:$K$594=ROUND($M133,0)&amp;" "&amp;$K133,1,0))</f>
        <v>1</v>
      </c>
      <c r="AA133" cm="1">
        <f t="array" ref="AA133">SUM(IF($W$2:$W$594=$W133,1,0))</f>
        <v>1</v>
      </c>
    </row>
    <row r="134" spans="1:27" x14ac:dyDescent="0.25">
      <c r="A134" t="s">
        <v>1664</v>
      </c>
      <c r="B134" t="s">
        <v>1665</v>
      </c>
      <c r="C134" t="s">
        <v>1698</v>
      </c>
      <c r="D134" t="s">
        <v>1700</v>
      </c>
      <c r="E134">
        <v>5</v>
      </c>
      <c r="F134" t="str">
        <f t="shared" si="2"/>
        <v>11/2</v>
      </c>
      <c r="G134" s="1" t="s">
        <v>1367</v>
      </c>
      <c r="I134" s="3" t="s">
        <v>15</v>
      </c>
      <c r="K134" s="3" t="s">
        <v>22</v>
      </c>
      <c r="M134" s="4" t="s">
        <v>1367</v>
      </c>
      <c r="N134" s="3" t="s">
        <v>15</v>
      </c>
      <c r="O134" s="3" t="s">
        <v>1761</v>
      </c>
      <c r="P134" s="3" t="s">
        <v>71</v>
      </c>
      <c r="W134" s="5" t="s">
        <v>1938</v>
      </c>
      <c r="X134" s="3" t="s">
        <v>1757</v>
      </c>
      <c r="Y134" cm="1">
        <f t="array" ref="Y134">SUM(IF(INT($M$2:$M$594)&amp;" "&amp;$K$2:$K$594=INT($M134)&amp;" "&amp;$K134,1,0))</f>
        <v>1</v>
      </c>
      <c r="Z134" cm="1">
        <f t="array" ref="Z134">SUM(IF(ROUND($M$2:$M$594,0)&amp;" "&amp;$K$2:$K$594=ROUND($M134,0)&amp;" "&amp;$K134,1,0))</f>
        <v>1</v>
      </c>
      <c r="AA134" cm="1">
        <f t="array" ref="AA134">SUM(IF($W$2:$W$594=$W134,1,0))</f>
        <v>1</v>
      </c>
    </row>
    <row r="135" spans="1:27" x14ac:dyDescent="0.25">
      <c r="A135" t="s">
        <v>1664</v>
      </c>
      <c r="B135" t="s">
        <v>1665</v>
      </c>
      <c r="C135" t="s">
        <v>1698</v>
      </c>
      <c r="D135" t="s">
        <v>1700</v>
      </c>
      <c r="E135">
        <v>2</v>
      </c>
      <c r="F135" t="str">
        <f t="shared" si="2"/>
        <v>5/2</v>
      </c>
      <c r="G135" s="1" t="s">
        <v>1368</v>
      </c>
      <c r="I135" s="3" t="s">
        <v>15</v>
      </c>
      <c r="K135" s="3" t="s">
        <v>43</v>
      </c>
      <c r="M135" s="4" t="s">
        <v>1368</v>
      </c>
      <c r="N135" s="3" t="s">
        <v>15</v>
      </c>
      <c r="O135" s="3" t="s">
        <v>1761</v>
      </c>
      <c r="P135" s="3" t="s">
        <v>71</v>
      </c>
      <c r="W135" s="5" t="s">
        <v>1939</v>
      </c>
      <c r="X135" s="3" t="s">
        <v>1757</v>
      </c>
      <c r="Y135" cm="1">
        <f t="array" ref="Y135">SUM(IF(INT($M$2:$M$594)&amp;" "&amp;$K$2:$K$594=INT($M135)&amp;" "&amp;$K135,1,0))</f>
        <v>1</v>
      </c>
      <c r="Z135" cm="1">
        <f t="array" ref="Z135">SUM(IF(ROUND($M$2:$M$594,0)&amp;" "&amp;$K$2:$K$594=ROUND($M135,0)&amp;" "&amp;$K135,1,0))</f>
        <v>1</v>
      </c>
      <c r="AA135" cm="1">
        <f t="array" ref="AA135">SUM(IF($W$2:$W$594=$W135,1,0))</f>
        <v>1</v>
      </c>
    </row>
    <row r="136" spans="1:27" x14ac:dyDescent="0.25">
      <c r="A136" t="s">
        <v>1664</v>
      </c>
      <c r="B136" t="s">
        <v>1665</v>
      </c>
      <c r="C136" t="s">
        <v>1698</v>
      </c>
      <c r="D136" t="s">
        <v>1700</v>
      </c>
      <c r="E136">
        <v>6</v>
      </c>
      <c r="F136" t="str">
        <f t="shared" si="2"/>
        <v>13/2</v>
      </c>
      <c r="G136" s="1" t="s">
        <v>1369</v>
      </c>
      <c r="I136" s="3" t="s">
        <v>15</v>
      </c>
      <c r="K136" s="3" t="s">
        <v>26</v>
      </c>
      <c r="M136" s="4" t="s">
        <v>1369</v>
      </c>
      <c r="N136" s="3" t="s">
        <v>15</v>
      </c>
      <c r="O136" s="3" t="s">
        <v>1761</v>
      </c>
      <c r="P136" s="3" t="s">
        <v>71</v>
      </c>
      <c r="W136" s="5" t="s">
        <v>1940</v>
      </c>
      <c r="X136" s="3" t="s">
        <v>1757</v>
      </c>
      <c r="Y136" cm="1">
        <f t="array" ref="Y136">SUM(IF(INT($M$2:$M$594)&amp;" "&amp;$K$2:$K$594=INT($M136)&amp;" "&amp;$K136,1,0))</f>
        <v>1</v>
      </c>
      <c r="Z136" cm="1">
        <f t="array" ref="Z136">SUM(IF(ROUND($M$2:$M$594,0)&amp;" "&amp;$K$2:$K$594=ROUND($M136,0)&amp;" "&amp;$K136,1,0))</f>
        <v>1</v>
      </c>
      <c r="AA136" cm="1">
        <f t="array" ref="AA136">SUM(IF($W$2:$W$594=$W136,1,0))</f>
        <v>1</v>
      </c>
    </row>
    <row r="137" spans="1:27" x14ac:dyDescent="0.25">
      <c r="B137" t="s">
        <v>1350</v>
      </c>
      <c r="C137" t="s">
        <v>1698</v>
      </c>
      <c r="D137" t="s">
        <v>351</v>
      </c>
      <c r="E137">
        <v>1</v>
      </c>
      <c r="F137" t="str">
        <f t="shared" si="2"/>
        <v>3/2</v>
      </c>
      <c r="G137" s="1" t="s">
        <v>836</v>
      </c>
      <c r="I137" s="3" t="s">
        <v>15</v>
      </c>
      <c r="K137" s="3" t="s">
        <v>35</v>
      </c>
      <c r="L137" s="4" t="s">
        <v>836</v>
      </c>
      <c r="M137" s="4" t="s">
        <v>836</v>
      </c>
      <c r="N137" s="3" t="s">
        <v>15</v>
      </c>
      <c r="O137" s="3" t="s">
        <v>571</v>
      </c>
      <c r="P137" s="3" t="s">
        <v>71</v>
      </c>
      <c r="Q137" s="3">
        <v>30</v>
      </c>
      <c r="R137" s="3" t="s">
        <v>1803</v>
      </c>
      <c r="T137" s="3">
        <v>27</v>
      </c>
      <c r="V137" s="3" t="s">
        <v>1837</v>
      </c>
      <c r="W137" s="4" t="s">
        <v>838</v>
      </c>
      <c r="X137" s="3" t="s">
        <v>21</v>
      </c>
      <c r="Y137" cm="1">
        <f t="array" ref="Y137">SUM(IF(INT($M$2:$M$594)&amp;" "&amp;$K$2:$K$594=INT($M137)&amp;" "&amp;$K137,1,0))</f>
        <v>1</v>
      </c>
      <c r="Z137" cm="1">
        <f t="array" ref="Z137">SUM(IF(ROUND($M$2:$M$594,0)&amp;" "&amp;$K$2:$K$594=ROUND($M137,0)&amp;" "&amp;$K137,1,0))</f>
        <v>1</v>
      </c>
      <c r="AA137" cm="1">
        <f t="array" ref="AA137">SUM(IF($W$2:$W$594=$W137,1,0))</f>
        <v>1</v>
      </c>
    </row>
    <row r="138" spans="1:27" x14ac:dyDescent="0.25">
      <c r="A138" t="s">
        <v>1664</v>
      </c>
      <c r="B138" t="s">
        <v>1667</v>
      </c>
      <c r="C138" t="s">
        <v>1698</v>
      </c>
      <c r="D138">
        <v>2</v>
      </c>
      <c r="E138">
        <v>4</v>
      </c>
      <c r="F138" t="str">
        <f t="shared" si="2"/>
        <v>9/2</v>
      </c>
      <c r="G138" s="1" t="s">
        <v>1370</v>
      </c>
      <c r="I138" s="3" t="s">
        <v>15</v>
      </c>
      <c r="K138" s="3" t="s">
        <v>14</v>
      </c>
      <c r="M138" s="4" t="s">
        <v>1370</v>
      </c>
      <c r="N138" s="3" t="s">
        <v>15</v>
      </c>
      <c r="O138" s="3" t="s">
        <v>1761</v>
      </c>
      <c r="P138" s="3" t="s">
        <v>71</v>
      </c>
      <c r="W138" s="5" t="s">
        <v>1941</v>
      </c>
      <c r="X138" s="3" t="s">
        <v>1757</v>
      </c>
      <c r="Y138" cm="1">
        <f t="array" ref="Y138">SUM(IF(INT($M$2:$M$594)&amp;" "&amp;$K$2:$K$594=INT($M138)&amp;" "&amp;$K138,1,0))</f>
        <v>1</v>
      </c>
      <c r="Z138" cm="1">
        <f t="array" ref="Z138">SUM(IF(ROUND($M$2:$M$594,0)&amp;" "&amp;$K$2:$K$594=ROUND($M138,0)&amp;" "&amp;$K138,1,0))</f>
        <v>1</v>
      </c>
      <c r="AA138" cm="1">
        <f t="array" ref="AA138">SUM(IF($W$2:$W$594=$W138,1,0))</f>
        <v>1</v>
      </c>
    </row>
    <row r="139" spans="1:27" x14ac:dyDescent="0.25">
      <c r="B139" t="s">
        <v>1362</v>
      </c>
      <c r="C139" t="s">
        <v>1698</v>
      </c>
      <c r="D139" t="s">
        <v>193</v>
      </c>
      <c r="E139">
        <v>2</v>
      </c>
      <c r="F139" t="str">
        <f t="shared" si="2"/>
        <v>5/2</v>
      </c>
      <c r="G139" s="1" t="s">
        <v>840</v>
      </c>
      <c r="I139" s="3" t="s">
        <v>15</v>
      </c>
      <c r="K139" s="3" t="s">
        <v>43</v>
      </c>
      <c r="L139" s="4" t="s">
        <v>840</v>
      </c>
      <c r="M139" s="4" t="s">
        <v>840</v>
      </c>
      <c r="N139" s="3" t="s">
        <v>15</v>
      </c>
      <c r="O139" s="3" t="s">
        <v>800</v>
      </c>
      <c r="P139" s="3" t="s">
        <v>839</v>
      </c>
      <c r="Q139" s="3">
        <v>70</v>
      </c>
      <c r="T139" s="3">
        <v>5</v>
      </c>
      <c r="V139" s="3" t="s">
        <v>1838</v>
      </c>
      <c r="W139" s="4" t="s">
        <v>842</v>
      </c>
      <c r="X139" s="3" t="s">
        <v>21</v>
      </c>
      <c r="Y139" cm="1">
        <f t="array" ref="Y139">SUM(IF(INT($M$2:$M$594)&amp;" "&amp;$K$2:$K$594=INT($M139)&amp;" "&amp;$K139,1,0))</f>
        <v>1</v>
      </c>
      <c r="Z139" cm="1">
        <f t="array" ref="Z139">SUM(IF(ROUND($M$2:$M$594,0)&amp;" "&amp;$K$2:$K$594=ROUND($M139,0)&amp;" "&amp;$K139,1,0))</f>
        <v>1</v>
      </c>
      <c r="AA139" cm="1">
        <f t="array" ref="AA139">SUM(IF($W$2:$W$594=$W139,1,0))</f>
        <v>1</v>
      </c>
    </row>
    <row r="140" spans="1:27" x14ac:dyDescent="0.25">
      <c r="B140" t="s">
        <v>1365</v>
      </c>
      <c r="C140" t="s">
        <v>1696</v>
      </c>
      <c r="D140" t="s">
        <v>1705</v>
      </c>
      <c r="E140">
        <v>0</v>
      </c>
      <c r="F140" t="str">
        <f t="shared" si="2"/>
        <v>1/2</v>
      </c>
      <c r="G140" s="1" t="s">
        <v>844</v>
      </c>
      <c r="I140" s="3" t="s">
        <v>15</v>
      </c>
      <c r="K140" s="3" t="s">
        <v>145</v>
      </c>
      <c r="L140" s="4" t="s">
        <v>844</v>
      </c>
      <c r="M140" s="4" t="s">
        <v>844</v>
      </c>
      <c r="N140" s="3" t="s">
        <v>15</v>
      </c>
      <c r="O140" s="3" t="s">
        <v>843</v>
      </c>
      <c r="P140" s="3" t="s">
        <v>677</v>
      </c>
      <c r="Q140" s="3">
        <v>68</v>
      </c>
      <c r="T140" s="3">
        <v>11</v>
      </c>
      <c r="V140" s="3" t="s">
        <v>1839</v>
      </c>
      <c r="W140" s="4" t="s">
        <v>846</v>
      </c>
      <c r="X140" s="3" t="s">
        <v>21</v>
      </c>
      <c r="Y140" cm="1">
        <f t="array" ref="Y140">SUM(IF(INT($M$2:$M$594)&amp;" "&amp;$K$2:$K$594=INT($M140)&amp;" "&amp;$K140,1,0))</f>
        <v>1</v>
      </c>
      <c r="Z140" cm="1">
        <f t="array" ref="Z140">SUM(IF(ROUND($M$2:$M$594,0)&amp;" "&amp;$K$2:$K$594=ROUND($M140,0)&amp;" "&amp;$K140,1,0))</f>
        <v>1</v>
      </c>
      <c r="AA140" cm="1">
        <f t="array" ref="AA140">SUM(IF($W$2:$W$594=$W140,1,0))</f>
        <v>1</v>
      </c>
    </row>
    <row r="141" spans="1:27" x14ac:dyDescent="0.25">
      <c r="B141" t="s">
        <v>1362</v>
      </c>
      <c r="C141" t="s">
        <v>1698</v>
      </c>
      <c r="D141" t="s">
        <v>193</v>
      </c>
      <c r="E141">
        <v>3</v>
      </c>
      <c r="F141" t="str">
        <f t="shared" si="2"/>
        <v>7/2</v>
      </c>
      <c r="G141" s="1" t="s">
        <v>847</v>
      </c>
      <c r="I141" s="3" t="s">
        <v>15</v>
      </c>
      <c r="K141" s="3" t="s">
        <v>47</v>
      </c>
      <c r="L141" s="4" t="s">
        <v>847</v>
      </c>
      <c r="M141" s="4" t="s">
        <v>847</v>
      </c>
      <c r="N141" s="3" t="s">
        <v>15</v>
      </c>
      <c r="O141" s="3" t="s">
        <v>800</v>
      </c>
      <c r="P141" s="3" t="s">
        <v>839</v>
      </c>
      <c r="Q141" s="3">
        <v>58</v>
      </c>
      <c r="T141" s="3">
        <v>20</v>
      </c>
      <c r="U141" s="3" t="s">
        <v>843</v>
      </c>
      <c r="W141" s="4" t="s">
        <v>849</v>
      </c>
      <c r="X141" s="3" t="s">
        <v>21</v>
      </c>
      <c r="Y141" cm="1">
        <f t="array" ref="Y141">SUM(IF(INT($M$2:$M$594)&amp;" "&amp;$K$2:$K$594=INT($M141)&amp;" "&amp;$K141,1,0))</f>
        <v>1</v>
      </c>
      <c r="Z141" cm="1">
        <f t="array" ref="Z141">SUM(IF(ROUND($M$2:$M$594,0)&amp;" "&amp;$K$2:$K$594=ROUND($M141,0)&amp;" "&amp;$K141,1,0))</f>
        <v>1</v>
      </c>
      <c r="AA141" cm="1">
        <f t="array" ref="AA141">SUM(IF($W$2:$W$594=$W141,1,0))</f>
        <v>1</v>
      </c>
    </row>
    <row r="142" spans="1:27" x14ac:dyDescent="0.25">
      <c r="B142" t="s">
        <v>1362</v>
      </c>
      <c r="C142" t="s">
        <v>1698</v>
      </c>
      <c r="D142" t="s">
        <v>193</v>
      </c>
      <c r="E142">
        <v>5</v>
      </c>
      <c r="F142" t="str">
        <f t="shared" si="2"/>
        <v>11/2</v>
      </c>
      <c r="G142" s="1" t="s">
        <v>850</v>
      </c>
      <c r="I142" s="3" t="s">
        <v>15</v>
      </c>
      <c r="K142" s="3" t="s">
        <v>22</v>
      </c>
      <c r="L142" s="4" t="s">
        <v>850</v>
      </c>
      <c r="M142" s="4" t="s">
        <v>850</v>
      </c>
      <c r="N142" s="3" t="s">
        <v>15</v>
      </c>
      <c r="O142" s="3" t="s">
        <v>800</v>
      </c>
      <c r="P142" s="3" t="s">
        <v>266</v>
      </c>
      <c r="Q142" s="3">
        <v>35</v>
      </c>
      <c r="T142" s="3">
        <v>25</v>
      </c>
      <c r="V142" s="3" t="s">
        <v>1840</v>
      </c>
      <c r="W142" s="4" t="s">
        <v>852</v>
      </c>
      <c r="X142" s="3" t="s">
        <v>21</v>
      </c>
      <c r="Y142" cm="1">
        <f t="array" ref="Y142">SUM(IF(INT($M$2:$M$594)&amp;" "&amp;$K$2:$K$594=INT($M142)&amp;" "&amp;$K142,1,0))</f>
        <v>1</v>
      </c>
      <c r="Z142" cm="1">
        <f t="array" ref="Z142">SUM(IF(ROUND($M$2:$M$594,0)&amp;" "&amp;$K$2:$K$594=ROUND($M142,0)&amp;" "&amp;$K142,1,0))</f>
        <v>1</v>
      </c>
      <c r="AA142" cm="1">
        <f t="array" ref="AA142">SUM(IF($W$2:$W$594=$W142,1,0))</f>
        <v>1</v>
      </c>
    </row>
    <row r="143" spans="1:27" x14ac:dyDescent="0.25">
      <c r="B143" t="s">
        <v>1365</v>
      </c>
      <c r="C143" t="s">
        <v>1696</v>
      </c>
      <c r="D143" t="s">
        <v>1705</v>
      </c>
      <c r="E143">
        <v>1</v>
      </c>
      <c r="F143" t="str">
        <f t="shared" si="2"/>
        <v>3/2</v>
      </c>
      <c r="G143" s="1" t="s">
        <v>853</v>
      </c>
      <c r="I143" s="3" t="s">
        <v>15</v>
      </c>
      <c r="K143" s="3" t="s">
        <v>35</v>
      </c>
      <c r="L143" s="4" t="s">
        <v>853</v>
      </c>
      <c r="M143" s="4" t="s">
        <v>853</v>
      </c>
      <c r="N143" s="3" t="s">
        <v>15</v>
      </c>
      <c r="O143" s="3" t="s">
        <v>843</v>
      </c>
      <c r="P143" s="3" t="s">
        <v>677</v>
      </c>
      <c r="Q143" s="3">
        <v>76</v>
      </c>
      <c r="T143" s="3">
        <v>8</v>
      </c>
      <c r="V143" s="3" t="s">
        <v>1839</v>
      </c>
      <c r="W143" s="4" t="s">
        <v>855</v>
      </c>
      <c r="X143" s="3" t="s">
        <v>21</v>
      </c>
      <c r="Y143" cm="1">
        <f t="array" ref="Y143">SUM(IF(INT($M$2:$M$594)&amp;" "&amp;$K$2:$K$594=INT($M143)&amp;" "&amp;$K143,1,0))</f>
        <v>1</v>
      </c>
      <c r="Z143" cm="1">
        <f t="array" ref="Z143">SUM(IF(ROUND($M$2:$M$594,0)&amp;" "&amp;$K$2:$K$594=ROUND($M143,0)&amp;" "&amp;$K143,1,0))</f>
        <v>1</v>
      </c>
      <c r="AA143" cm="1">
        <f t="array" ref="AA143">SUM(IF($W$2:$W$594=$W143,1,0))</f>
        <v>1</v>
      </c>
    </row>
    <row r="144" spans="1:27" x14ac:dyDescent="0.25">
      <c r="B144" t="s">
        <v>1362</v>
      </c>
      <c r="C144" t="s">
        <v>1698</v>
      </c>
      <c r="D144" t="s">
        <v>193</v>
      </c>
      <c r="E144">
        <v>6</v>
      </c>
      <c r="F144" t="str">
        <f t="shared" si="2"/>
        <v>13/2</v>
      </c>
      <c r="G144" s="1" t="s">
        <v>856</v>
      </c>
      <c r="I144" s="3" t="s">
        <v>15</v>
      </c>
      <c r="K144" s="3" t="s">
        <v>26</v>
      </c>
      <c r="L144" s="4" t="s">
        <v>856</v>
      </c>
      <c r="M144" s="4" t="s">
        <v>856</v>
      </c>
      <c r="N144" s="3" t="s">
        <v>15</v>
      </c>
      <c r="O144" s="3" t="s">
        <v>800</v>
      </c>
      <c r="P144" s="3" t="s">
        <v>266</v>
      </c>
      <c r="Q144" s="3">
        <v>51</v>
      </c>
      <c r="T144" s="3">
        <v>26</v>
      </c>
      <c r="V144" s="3" t="s">
        <v>1840</v>
      </c>
      <c r="W144" s="4" t="s">
        <v>858</v>
      </c>
      <c r="X144" s="3" t="s">
        <v>21</v>
      </c>
      <c r="Y144" cm="1">
        <f t="array" ref="Y144">SUM(IF(INT($M$2:$M$594)&amp;" "&amp;$K$2:$K$594=INT($M144)&amp;" "&amp;$K144,1,0))</f>
        <v>1</v>
      </c>
      <c r="Z144" cm="1">
        <f t="array" ref="Z144">SUM(IF(ROUND($M$2:$M$594,0)&amp;" "&amp;$K$2:$K$594=ROUND($M144,0)&amp;" "&amp;$K144,1,0))</f>
        <v>1</v>
      </c>
      <c r="AA144" cm="1">
        <f t="array" ref="AA144">SUM(IF($W$2:$W$594=$W144,1,0))</f>
        <v>1</v>
      </c>
    </row>
    <row r="145" spans="1:27" x14ac:dyDescent="0.25">
      <c r="B145" t="s">
        <v>1365</v>
      </c>
      <c r="C145" t="s">
        <v>1696</v>
      </c>
      <c r="D145" t="s">
        <v>1705</v>
      </c>
      <c r="E145">
        <v>2</v>
      </c>
      <c r="F145" t="str">
        <f t="shared" si="2"/>
        <v>5/2</v>
      </c>
      <c r="G145" s="1" t="s">
        <v>859</v>
      </c>
      <c r="I145" s="3" t="s">
        <v>15</v>
      </c>
      <c r="K145" s="3" t="s">
        <v>43</v>
      </c>
      <c r="L145" s="4" t="s">
        <v>859</v>
      </c>
      <c r="M145" s="4" t="s">
        <v>859</v>
      </c>
      <c r="N145" s="3" t="s">
        <v>15</v>
      </c>
      <c r="O145" s="3" t="s">
        <v>843</v>
      </c>
      <c r="P145" s="3" t="s">
        <v>677</v>
      </c>
      <c r="Q145" s="3">
        <v>79</v>
      </c>
      <c r="T145" s="3">
        <v>7</v>
      </c>
      <c r="V145" s="3" t="s">
        <v>1839</v>
      </c>
      <c r="W145" s="4" t="s">
        <v>861</v>
      </c>
      <c r="X145" s="3" t="s">
        <v>21</v>
      </c>
      <c r="Y145" cm="1">
        <f t="array" ref="Y145">SUM(IF(INT($M$2:$M$594)&amp;" "&amp;$K$2:$K$594=INT($M145)&amp;" "&amp;$K145,1,0))</f>
        <v>1</v>
      </c>
      <c r="Z145" cm="1">
        <f t="array" ref="Z145">SUM(IF(ROUND($M$2:$M$594,0)&amp;" "&amp;$K$2:$K$594=ROUND($M145,0)&amp;" "&amp;$K145,1,0))</f>
        <v>1</v>
      </c>
      <c r="AA145" cm="1">
        <f t="array" ref="AA145">SUM(IF($W$2:$W$594=$W145,1,0))</f>
        <v>1</v>
      </c>
    </row>
    <row r="146" spans="1:27" x14ac:dyDescent="0.25">
      <c r="A146" t="s">
        <v>1664</v>
      </c>
      <c r="B146" t="s">
        <v>1665</v>
      </c>
      <c r="C146" t="s">
        <v>1698</v>
      </c>
      <c r="D146" t="s">
        <v>1700</v>
      </c>
      <c r="E146">
        <v>7</v>
      </c>
      <c r="F146" t="str">
        <f t="shared" si="2"/>
        <v>15/2</v>
      </c>
      <c r="G146" s="1" t="s">
        <v>1371</v>
      </c>
      <c r="I146" s="3" t="s">
        <v>15</v>
      </c>
      <c r="K146" s="3" t="s">
        <v>30</v>
      </c>
      <c r="M146" s="4" t="s">
        <v>1371</v>
      </c>
      <c r="N146" s="3" t="s">
        <v>15</v>
      </c>
      <c r="O146" s="3" t="s">
        <v>1761</v>
      </c>
      <c r="P146" s="3" t="s">
        <v>71</v>
      </c>
      <c r="W146" s="5" t="s">
        <v>1942</v>
      </c>
      <c r="X146" s="3" t="s">
        <v>1757</v>
      </c>
      <c r="Y146" cm="1">
        <f t="array" ref="Y146">SUM(IF(INT($M$2:$M$594)&amp;" "&amp;$K$2:$K$594=INT($M146)&amp;" "&amp;$K146,1,0))</f>
        <v>1</v>
      </c>
      <c r="Z146" cm="1">
        <f t="array" ref="Z146">SUM(IF(ROUND($M$2:$M$594,0)&amp;" "&amp;$K$2:$K$594=ROUND($M146,0)&amp;" "&amp;$K146,1,0))</f>
        <v>1</v>
      </c>
      <c r="AA146" cm="1">
        <f t="array" ref="AA146">SUM(IF($W$2:$W$594=$W146,1,0))</f>
        <v>1</v>
      </c>
    </row>
    <row r="147" spans="1:27" x14ac:dyDescent="0.25">
      <c r="A147" t="s">
        <v>1664</v>
      </c>
      <c r="B147" t="s">
        <v>1666</v>
      </c>
      <c r="C147" t="s">
        <v>1696</v>
      </c>
      <c r="D147" t="s">
        <v>1701</v>
      </c>
      <c r="E147">
        <v>0</v>
      </c>
      <c r="F147" t="str">
        <f t="shared" si="2"/>
        <v>1/2</v>
      </c>
      <c r="G147" s="1" t="s">
        <v>1372</v>
      </c>
      <c r="I147" s="3" t="s">
        <v>15</v>
      </c>
      <c r="K147" s="3" t="s">
        <v>145</v>
      </c>
      <c r="M147" s="4" t="s">
        <v>1372</v>
      </c>
      <c r="N147" s="3" t="s">
        <v>15</v>
      </c>
      <c r="O147" s="3" t="s">
        <v>1762</v>
      </c>
      <c r="P147" s="3" t="s">
        <v>71</v>
      </c>
      <c r="W147" s="5" t="s">
        <v>1943</v>
      </c>
      <c r="X147" s="3" t="s">
        <v>1757</v>
      </c>
      <c r="Y147" cm="1">
        <f t="array" ref="Y147">SUM(IF(INT($M$2:$M$594)&amp;" "&amp;$K$2:$K$594=INT($M147)&amp;" "&amp;$K147,1,0))</f>
        <v>1</v>
      </c>
      <c r="Z147" cm="1">
        <f t="array" ref="Z147">SUM(IF(ROUND($M$2:$M$594,0)&amp;" "&amp;$K$2:$K$594=ROUND($M147,0)&amp;" "&amp;$K147,1,0))</f>
        <v>1</v>
      </c>
      <c r="AA147" cm="1">
        <f t="array" ref="AA147">SUM(IF($W$2:$W$594=$W147,1,0))</f>
        <v>1</v>
      </c>
    </row>
    <row r="148" spans="1:27" x14ac:dyDescent="0.25">
      <c r="B148" t="s">
        <v>1365</v>
      </c>
      <c r="C148" t="s">
        <v>1696</v>
      </c>
      <c r="D148" t="s">
        <v>1705</v>
      </c>
      <c r="E148">
        <v>3</v>
      </c>
      <c r="F148" t="str">
        <f t="shared" si="2"/>
        <v>7/2</v>
      </c>
      <c r="G148" s="1" t="s">
        <v>862</v>
      </c>
      <c r="I148" s="3" t="s">
        <v>15</v>
      </c>
      <c r="K148" s="3" t="s">
        <v>47</v>
      </c>
      <c r="L148" s="4" t="s">
        <v>862</v>
      </c>
      <c r="M148" s="4" t="s">
        <v>862</v>
      </c>
      <c r="N148" s="3" t="s">
        <v>15</v>
      </c>
      <c r="O148" s="3" t="s">
        <v>843</v>
      </c>
      <c r="P148" s="3" t="s">
        <v>677</v>
      </c>
      <c r="Q148" s="3">
        <v>66</v>
      </c>
      <c r="T148" s="3">
        <v>14</v>
      </c>
      <c r="U148" s="3" t="s">
        <v>800</v>
      </c>
      <c r="V148" s="3" t="s">
        <v>839</v>
      </c>
      <c r="W148" s="4" t="s">
        <v>864</v>
      </c>
      <c r="X148" s="3" t="s">
        <v>21</v>
      </c>
      <c r="Y148" cm="1">
        <f t="array" ref="Y148">SUM(IF(INT($M$2:$M$594)&amp;" "&amp;$K$2:$K$594=INT($M148)&amp;" "&amp;$K148,1,0))</f>
        <v>1</v>
      </c>
      <c r="Z148" cm="1">
        <f t="array" ref="Z148">SUM(IF(ROUND($M$2:$M$594,0)&amp;" "&amp;$K$2:$K$594=ROUND($M148,0)&amp;" "&amp;$K148,1,0))</f>
        <v>1</v>
      </c>
      <c r="AA148" cm="1">
        <f t="array" ref="AA148">SUM(IF($W$2:$W$594=$W148,1,0))</f>
        <v>1</v>
      </c>
    </row>
    <row r="149" spans="1:27" x14ac:dyDescent="0.25">
      <c r="B149" t="s">
        <v>1373</v>
      </c>
      <c r="C149" t="s">
        <v>1696</v>
      </c>
      <c r="D149" t="s">
        <v>1706</v>
      </c>
      <c r="E149">
        <v>0</v>
      </c>
      <c r="F149" t="str">
        <f t="shared" si="2"/>
        <v>1/2</v>
      </c>
      <c r="G149" s="1" t="s">
        <v>867</v>
      </c>
      <c r="I149" s="3" t="s">
        <v>15</v>
      </c>
      <c r="K149" s="3" t="s">
        <v>145</v>
      </c>
      <c r="L149" s="4" t="s">
        <v>867</v>
      </c>
      <c r="M149" s="4" t="s">
        <v>867</v>
      </c>
      <c r="N149" s="3" t="s">
        <v>15</v>
      </c>
      <c r="O149" s="3" t="s">
        <v>865</v>
      </c>
      <c r="P149" s="3" t="s">
        <v>866</v>
      </c>
      <c r="Q149" s="3">
        <v>79</v>
      </c>
      <c r="T149" s="3">
        <v>12</v>
      </c>
      <c r="V149" s="3" t="s">
        <v>1841</v>
      </c>
      <c r="W149" s="4" t="s">
        <v>869</v>
      </c>
      <c r="X149" s="3" t="s">
        <v>21</v>
      </c>
      <c r="Y149" cm="1">
        <f t="array" ref="Y149">SUM(IF(INT($M$2:$M$594)&amp;" "&amp;$K$2:$K$594=INT($M149)&amp;" "&amp;$K149,1,0))</f>
        <v>1</v>
      </c>
      <c r="Z149" cm="1">
        <f t="array" ref="Z149">SUM(IF(ROUND($M$2:$M$594,0)&amp;" "&amp;$K$2:$K$594=ROUND($M149,0)&amp;" "&amp;$K149,1,0))</f>
        <v>1</v>
      </c>
      <c r="AA149" cm="1">
        <f t="array" ref="AA149">SUM(IF($W$2:$W$594=$W149,1,0))</f>
        <v>1</v>
      </c>
    </row>
    <row r="150" spans="1:27" x14ac:dyDescent="0.25">
      <c r="B150" t="s">
        <v>1373</v>
      </c>
      <c r="C150" t="s">
        <v>1696</v>
      </c>
      <c r="D150" t="s">
        <v>1706</v>
      </c>
      <c r="E150">
        <v>1</v>
      </c>
      <c r="F150" t="str">
        <f t="shared" si="2"/>
        <v>3/2</v>
      </c>
      <c r="G150" s="1" t="s">
        <v>870</v>
      </c>
      <c r="I150" s="3" t="s">
        <v>15</v>
      </c>
      <c r="K150" s="3" t="s">
        <v>35</v>
      </c>
      <c r="L150" s="4" t="s">
        <v>870</v>
      </c>
      <c r="M150" s="4" t="s">
        <v>870</v>
      </c>
      <c r="N150" s="3" t="s">
        <v>15</v>
      </c>
      <c r="O150" s="3" t="s">
        <v>865</v>
      </c>
      <c r="P150" s="3" t="s">
        <v>866</v>
      </c>
      <c r="Q150" s="3">
        <v>88</v>
      </c>
      <c r="T150" s="3">
        <v>5</v>
      </c>
      <c r="V150" s="3" t="s">
        <v>1842</v>
      </c>
      <c r="W150" s="4" t="s">
        <v>872</v>
      </c>
      <c r="X150" s="3" t="s">
        <v>21</v>
      </c>
      <c r="Y150" cm="1">
        <f t="array" ref="Y150">SUM(IF(INT($M$2:$M$594)&amp;" "&amp;$K$2:$K$594=INT($M150)&amp;" "&amp;$K150,1,0))</f>
        <v>1</v>
      </c>
      <c r="Z150" cm="1">
        <f t="array" ref="Z150">SUM(IF(ROUND($M$2:$M$594,0)&amp;" "&amp;$K$2:$K$594=ROUND($M150,0)&amp;" "&amp;$K150,1,0))</f>
        <v>1</v>
      </c>
      <c r="AA150" cm="1">
        <f t="array" ref="AA150">SUM(IF($W$2:$W$594=$W150,1,0))</f>
        <v>1</v>
      </c>
    </row>
    <row r="151" spans="1:27" x14ac:dyDescent="0.25">
      <c r="B151" t="s">
        <v>1374</v>
      </c>
      <c r="C151" t="s">
        <v>1696</v>
      </c>
      <c r="D151" t="s">
        <v>1707</v>
      </c>
      <c r="E151">
        <v>5</v>
      </c>
      <c r="F151" t="str">
        <f t="shared" si="2"/>
        <v>11/2</v>
      </c>
      <c r="G151" s="1" t="s">
        <v>874</v>
      </c>
      <c r="I151" s="3" t="s">
        <v>15</v>
      </c>
      <c r="K151" s="3" t="s">
        <v>22</v>
      </c>
      <c r="L151" s="4" t="s">
        <v>874</v>
      </c>
      <c r="M151" s="4" t="s">
        <v>874</v>
      </c>
      <c r="N151" s="3" t="s">
        <v>15</v>
      </c>
      <c r="O151" s="3" t="s">
        <v>873</v>
      </c>
      <c r="P151" s="3" t="s">
        <v>596</v>
      </c>
      <c r="Q151" s="3">
        <v>80</v>
      </c>
      <c r="T151" s="3">
        <v>6</v>
      </c>
      <c r="U151" s="3" t="s">
        <v>571</v>
      </c>
      <c r="V151" s="3" t="s">
        <v>266</v>
      </c>
      <c r="W151" s="4" t="s">
        <v>876</v>
      </c>
      <c r="X151" s="3" t="s">
        <v>21</v>
      </c>
      <c r="Y151" cm="1">
        <f t="array" ref="Y151">SUM(IF(INT($M$2:$M$594)&amp;" "&amp;$K$2:$K$594=INT($M151)&amp;" "&amp;$K151,1,0))</f>
        <v>1</v>
      </c>
      <c r="Z151" cm="1">
        <f t="array" ref="Z151">SUM(IF(ROUND($M$2:$M$594,0)&amp;" "&amp;$K$2:$K$594=ROUND($M151,0)&amp;" "&amp;$K151,1,0))</f>
        <v>1</v>
      </c>
      <c r="AA151" cm="1">
        <f t="array" ref="AA151">SUM(IF($W$2:$W$594=$W151,1,0))</f>
        <v>1</v>
      </c>
    </row>
    <row r="152" spans="1:27" x14ac:dyDescent="0.25">
      <c r="B152" t="s">
        <v>1373</v>
      </c>
      <c r="C152" t="s">
        <v>1696</v>
      </c>
      <c r="D152" t="s">
        <v>1706</v>
      </c>
      <c r="E152">
        <v>1</v>
      </c>
      <c r="F152" t="str">
        <f t="shared" si="2"/>
        <v>3/2</v>
      </c>
      <c r="G152" s="1" t="s">
        <v>878</v>
      </c>
      <c r="I152" s="3" t="s">
        <v>15</v>
      </c>
      <c r="K152" s="3" t="s">
        <v>35</v>
      </c>
      <c r="L152" s="4" t="s">
        <v>878</v>
      </c>
      <c r="M152" s="4" t="s">
        <v>878</v>
      </c>
      <c r="N152" s="3" t="s">
        <v>15</v>
      </c>
      <c r="O152" s="3" t="s">
        <v>877</v>
      </c>
      <c r="P152" s="3" t="s">
        <v>604</v>
      </c>
      <c r="Q152" s="3">
        <v>75</v>
      </c>
      <c r="T152" s="3">
        <v>7</v>
      </c>
      <c r="V152" s="3" t="s">
        <v>1843</v>
      </c>
      <c r="W152" s="4" t="s">
        <v>880</v>
      </c>
      <c r="X152" s="3" t="s">
        <v>21</v>
      </c>
      <c r="Y152" cm="1">
        <f t="array" ref="Y152">SUM(IF(INT($M$2:$M$594)&amp;" "&amp;$K$2:$K$594=INT($M152)&amp;" "&amp;$K152,1,0))</f>
        <v>1</v>
      </c>
      <c r="Z152" cm="1">
        <f t="array" ref="Z152">SUM(IF(ROUND($M$2:$M$594,0)&amp;" "&amp;$K$2:$K$594=ROUND($M152,0)&amp;" "&amp;$K152,1,0))</f>
        <v>1</v>
      </c>
      <c r="AA152" cm="1">
        <f t="array" ref="AA152">SUM(IF($W$2:$W$594=$W152,1,0))</f>
        <v>1</v>
      </c>
    </row>
    <row r="153" spans="1:27" x14ac:dyDescent="0.25">
      <c r="B153" t="s">
        <v>1374</v>
      </c>
      <c r="C153" t="s">
        <v>1696</v>
      </c>
      <c r="D153" t="s">
        <v>1707</v>
      </c>
      <c r="E153">
        <v>6</v>
      </c>
      <c r="F153" t="str">
        <f t="shared" si="2"/>
        <v>13/2</v>
      </c>
      <c r="G153" s="1" t="s">
        <v>881</v>
      </c>
      <c r="I153" s="3" t="s">
        <v>15</v>
      </c>
      <c r="K153" s="3" t="s">
        <v>26</v>
      </c>
      <c r="L153" s="4" t="s">
        <v>881</v>
      </c>
      <c r="M153" s="4" t="s">
        <v>881</v>
      </c>
      <c r="N153" s="3" t="s">
        <v>15</v>
      </c>
      <c r="O153" s="3" t="s">
        <v>873</v>
      </c>
      <c r="P153" s="3" t="s">
        <v>596</v>
      </c>
      <c r="Q153" s="3">
        <v>70</v>
      </c>
      <c r="T153" s="3">
        <v>12</v>
      </c>
      <c r="U153" s="3" t="s">
        <v>800</v>
      </c>
      <c r="V153" s="3" t="s">
        <v>266</v>
      </c>
      <c r="W153" s="4" t="s">
        <v>883</v>
      </c>
      <c r="X153" s="3" t="s">
        <v>21</v>
      </c>
      <c r="Y153" cm="1">
        <f t="array" ref="Y153">SUM(IF(INT($M$2:$M$594)&amp;" "&amp;$K$2:$K$594=INT($M153)&amp;" "&amp;$K153,1,0))</f>
        <v>1</v>
      </c>
      <c r="Z153" cm="1">
        <f t="array" ref="Z153">SUM(IF(ROUND($M$2:$M$594,0)&amp;" "&amp;$K$2:$K$594=ROUND($M153,0)&amp;" "&amp;$K153,1,0))</f>
        <v>1</v>
      </c>
      <c r="AA153" cm="1">
        <f t="array" ref="AA153">SUM(IF($W$2:$W$594=$W153,1,0))</f>
        <v>1</v>
      </c>
    </row>
    <row r="154" spans="1:27" x14ac:dyDescent="0.25">
      <c r="B154" t="s">
        <v>1373</v>
      </c>
      <c r="C154" t="s">
        <v>1696</v>
      </c>
      <c r="D154" t="s">
        <v>1706</v>
      </c>
      <c r="E154">
        <v>2</v>
      </c>
      <c r="F154" t="str">
        <f t="shared" si="2"/>
        <v>5/2</v>
      </c>
      <c r="G154" s="1" t="s">
        <v>884</v>
      </c>
      <c r="I154" s="3" t="s">
        <v>15</v>
      </c>
      <c r="K154" s="3" t="s">
        <v>43</v>
      </c>
      <c r="L154" s="4" t="s">
        <v>884</v>
      </c>
      <c r="M154" s="4" t="s">
        <v>884</v>
      </c>
      <c r="N154" s="3" t="s">
        <v>15</v>
      </c>
      <c r="O154" s="3" t="s">
        <v>877</v>
      </c>
      <c r="P154" s="3" t="s">
        <v>604</v>
      </c>
      <c r="Q154" s="3">
        <v>83</v>
      </c>
      <c r="T154" s="3">
        <v>8</v>
      </c>
      <c r="V154" s="3" t="s">
        <v>1843</v>
      </c>
      <c r="W154" s="4" t="s">
        <v>886</v>
      </c>
      <c r="X154" s="3" t="s">
        <v>21</v>
      </c>
      <c r="Y154" cm="1">
        <f t="array" ref="Y154">SUM(IF(INT($M$2:$M$594)&amp;" "&amp;$K$2:$K$594=INT($M154)&amp;" "&amp;$K154,1,0))</f>
        <v>1</v>
      </c>
      <c r="Z154" cm="1">
        <f t="array" ref="Z154">SUM(IF(ROUND($M$2:$M$594,0)&amp;" "&amp;$K$2:$K$594=ROUND($M154,0)&amp;" "&amp;$K154,1,0))</f>
        <v>1</v>
      </c>
      <c r="AA154" cm="1">
        <f t="array" ref="AA154">SUM(IF($W$2:$W$594=$W154,1,0))</f>
        <v>1</v>
      </c>
    </row>
    <row r="155" spans="1:27" x14ac:dyDescent="0.25">
      <c r="A155" t="s">
        <v>1664</v>
      </c>
      <c r="B155" t="s">
        <v>1667</v>
      </c>
      <c r="C155" t="s">
        <v>1698</v>
      </c>
      <c r="D155">
        <v>2</v>
      </c>
      <c r="E155">
        <v>3</v>
      </c>
      <c r="F155" t="str">
        <f t="shared" si="2"/>
        <v>7/2</v>
      </c>
      <c r="G155" s="1" t="s">
        <v>1375</v>
      </c>
      <c r="I155" s="3" t="s">
        <v>15</v>
      </c>
      <c r="K155" s="3" t="s">
        <v>47</v>
      </c>
      <c r="M155" s="4" t="s">
        <v>1375</v>
      </c>
      <c r="N155" s="3" t="s">
        <v>15</v>
      </c>
      <c r="O155" s="3" t="s">
        <v>1761</v>
      </c>
      <c r="P155" s="3" t="s">
        <v>71</v>
      </c>
      <c r="W155" s="5" t="s">
        <v>1944</v>
      </c>
      <c r="X155" s="3" t="s">
        <v>1757</v>
      </c>
      <c r="Y155" cm="1">
        <f t="array" ref="Y155">SUM(IF(INT($M$2:$M$594)&amp;" "&amp;$K$2:$K$594=INT($M155)&amp;" "&amp;$K155,1,0))</f>
        <v>1</v>
      </c>
      <c r="Z155" cm="1">
        <f t="array" ref="Z155">SUM(IF(ROUND($M$2:$M$594,0)&amp;" "&amp;$K$2:$K$594=ROUND($M155,0)&amp;" "&amp;$K155,1,0))</f>
        <v>1</v>
      </c>
      <c r="AA155" cm="1">
        <f t="array" ref="AA155">SUM(IF($W$2:$W$594=$W155,1,0))</f>
        <v>1</v>
      </c>
    </row>
    <row r="156" spans="1:27" x14ac:dyDescent="0.25">
      <c r="B156" t="s">
        <v>1373</v>
      </c>
      <c r="C156" t="s">
        <v>1696</v>
      </c>
      <c r="D156" t="s">
        <v>1706</v>
      </c>
      <c r="E156">
        <v>1</v>
      </c>
      <c r="F156" t="str">
        <f t="shared" si="2"/>
        <v>3/2</v>
      </c>
      <c r="G156" s="1" t="s">
        <v>889</v>
      </c>
      <c r="I156" s="3" t="s">
        <v>15</v>
      </c>
      <c r="K156" s="3" t="s">
        <v>35</v>
      </c>
      <c r="L156" s="4" t="s">
        <v>889</v>
      </c>
      <c r="M156" s="4" t="s">
        <v>889</v>
      </c>
      <c r="N156" s="3" t="s">
        <v>15</v>
      </c>
      <c r="O156" s="3" t="s">
        <v>887</v>
      </c>
      <c r="P156" s="3" t="s">
        <v>888</v>
      </c>
      <c r="Q156" s="3">
        <v>44</v>
      </c>
      <c r="T156" s="3">
        <v>35</v>
      </c>
      <c r="U156" s="3" t="s">
        <v>800</v>
      </c>
      <c r="V156" s="3" t="s">
        <v>1803</v>
      </c>
      <c r="W156" s="4" t="s">
        <v>891</v>
      </c>
      <c r="X156" s="3" t="s">
        <v>21</v>
      </c>
      <c r="Y156" cm="1">
        <f t="array" ref="Y156">SUM(IF(INT($M$2:$M$594)&amp;" "&amp;$K$2:$K$594=INT($M156)&amp;" "&amp;$K156,1,0))</f>
        <v>1</v>
      </c>
      <c r="Z156" cm="1">
        <f t="array" ref="Z156">SUM(IF(ROUND($M$2:$M$594,0)&amp;" "&amp;$K$2:$K$594=ROUND($M156,0)&amp;" "&amp;$K156,1,0))</f>
        <v>1</v>
      </c>
      <c r="AA156" cm="1">
        <f t="array" ref="AA156">SUM(IF($W$2:$W$594=$W156,1,0))</f>
        <v>1</v>
      </c>
    </row>
    <row r="157" spans="1:27" x14ac:dyDescent="0.25">
      <c r="B157" t="s">
        <v>1373</v>
      </c>
      <c r="C157" t="s">
        <v>1696</v>
      </c>
      <c r="D157" t="s">
        <v>1706</v>
      </c>
      <c r="E157">
        <v>1</v>
      </c>
      <c r="F157" t="str">
        <f t="shared" si="2"/>
        <v>3/2</v>
      </c>
      <c r="G157" s="1" t="s">
        <v>894</v>
      </c>
      <c r="I157" s="3" t="s">
        <v>15</v>
      </c>
      <c r="K157" s="3" t="s">
        <v>35</v>
      </c>
      <c r="L157" s="4" t="s">
        <v>894</v>
      </c>
      <c r="M157" s="4" t="s">
        <v>894</v>
      </c>
      <c r="N157" s="3" t="s">
        <v>15</v>
      </c>
      <c r="O157" s="3" t="s">
        <v>892</v>
      </c>
      <c r="P157" s="3" t="s">
        <v>893</v>
      </c>
      <c r="Q157" s="3">
        <v>43</v>
      </c>
      <c r="T157" s="3">
        <v>23</v>
      </c>
      <c r="V157" s="3" t="s">
        <v>1844</v>
      </c>
      <c r="W157" s="4" t="s">
        <v>896</v>
      </c>
      <c r="X157" s="3" t="s">
        <v>21</v>
      </c>
      <c r="Y157" cm="1">
        <f t="array" ref="Y157">SUM(IF(INT($M$2:$M$594)&amp;" "&amp;$K$2:$K$594=INT($M157)&amp;" "&amp;$K157,1,0))</f>
        <v>1</v>
      </c>
      <c r="Z157" cm="1">
        <f t="array" ref="Z157">SUM(IF(ROUND($M$2:$M$594,0)&amp;" "&amp;$K$2:$K$594=ROUND($M157,0)&amp;" "&amp;$K157,1,0))</f>
        <v>1</v>
      </c>
      <c r="AA157" cm="1">
        <f t="array" ref="AA157">SUM(IF($W$2:$W$594=$W157,1,0))</f>
        <v>1</v>
      </c>
    </row>
    <row r="158" spans="1:27" x14ac:dyDescent="0.25">
      <c r="B158" t="s">
        <v>1373</v>
      </c>
      <c r="C158" t="s">
        <v>1696</v>
      </c>
      <c r="D158" t="s">
        <v>1706</v>
      </c>
      <c r="E158">
        <v>2</v>
      </c>
      <c r="F158" t="str">
        <f t="shared" si="2"/>
        <v>5/2</v>
      </c>
      <c r="G158" s="1" t="s">
        <v>897</v>
      </c>
      <c r="I158" s="3" t="s">
        <v>15</v>
      </c>
      <c r="K158" s="3" t="s">
        <v>43</v>
      </c>
      <c r="L158" s="4" t="s">
        <v>897</v>
      </c>
      <c r="M158" s="4" t="s">
        <v>897</v>
      </c>
      <c r="N158" s="3" t="s">
        <v>15</v>
      </c>
      <c r="O158" s="3" t="s">
        <v>892</v>
      </c>
      <c r="P158" s="3" t="s">
        <v>893</v>
      </c>
      <c r="Q158" s="3">
        <v>79</v>
      </c>
      <c r="T158" s="3">
        <v>10</v>
      </c>
      <c r="U158" s="3" t="s">
        <v>800</v>
      </c>
      <c r="V158" s="3" t="s">
        <v>1803</v>
      </c>
      <c r="W158" s="4" t="s">
        <v>899</v>
      </c>
      <c r="X158" s="3" t="s">
        <v>21</v>
      </c>
      <c r="Y158" cm="1">
        <f t="array" ref="Y158">SUM(IF(INT($M$2:$M$594)&amp;" "&amp;$K$2:$K$594=INT($M158)&amp;" "&amp;$K158,1,0))</f>
        <v>1</v>
      </c>
      <c r="Z158" cm="1">
        <f t="array" ref="Z158">SUM(IF(ROUND($M$2:$M$594,0)&amp;" "&amp;$K$2:$K$594=ROUND($M158,0)&amp;" "&amp;$K158,1,0))</f>
        <v>1</v>
      </c>
      <c r="AA158" cm="1">
        <f t="array" ref="AA158">SUM(IF($W$2:$W$594=$W158,1,0))</f>
        <v>1</v>
      </c>
    </row>
    <row r="159" spans="1:27" x14ac:dyDescent="0.25">
      <c r="B159" t="s">
        <v>1374</v>
      </c>
      <c r="C159" t="s">
        <v>1696</v>
      </c>
      <c r="D159" t="s">
        <v>1707</v>
      </c>
      <c r="E159">
        <v>5</v>
      </c>
      <c r="F159" t="str">
        <f t="shared" si="2"/>
        <v>11/2</v>
      </c>
      <c r="G159" s="1" t="s">
        <v>901</v>
      </c>
      <c r="I159" s="3" t="s">
        <v>15</v>
      </c>
      <c r="K159" s="3" t="s">
        <v>22</v>
      </c>
      <c r="L159" s="4" t="s">
        <v>901</v>
      </c>
      <c r="M159" s="4" t="s">
        <v>901</v>
      </c>
      <c r="N159" s="3" t="s">
        <v>15</v>
      </c>
      <c r="O159" s="3" t="s">
        <v>900</v>
      </c>
      <c r="P159" s="3" t="s">
        <v>660</v>
      </c>
      <c r="Q159" s="3">
        <v>87</v>
      </c>
      <c r="T159" s="3">
        <v>7</v>
      </c>
      <c r="V159" s="3" t="s">
        <v>1845</v>
      </c>
      <c r="W159" s="4" t="s">
        <v>903</v>
      </c>
      <c r="X159" s="3" t="s">
        <v>21</v>
      </c>
      <c r="Y159" cm="1">
        <f t="array" ref="Y159">SUM(IF(INT($M$2:$M$594)&amp;" "&amp;$K$2:$K$594=INT($M159)&amp;" "&amp;$K159,1,0))</f>
        <v>1</v>
      </c>
      <c r="Z159" cm="1">
        <f t="array" ref="Z159">SUM(IF(ROUND($M$2:$M$594,0)&amp;" "&amp;$K$2:$K$594=ROUND($M159,0)&amp;" "&amp;$K159,1,0))</f>
        <v>1</v>
      </c>
      <c r="AA159" cm="1">
        <f t="array" ref="AA159">SUM(IF($W$2:$W$594=$W159,1,0))</f>
        <v>1</v>
      </c>
    </row>
    <row r="160" spans="1:27" x14ac:dyDescent="0.25">
      <c r="B160" t="s">
        <v>1374</v>
      </c>
      <c r="C160" t="s">
        <v>1696</v>
      </c>
      <c r="D160" t="s">
        <v>1707</v>
      </c>
      <c r="E160">
        <v>6</v>
      </c>
      <c r="F160" t="str">
        <f t="shared" si="2"/>
        <v>13/2</v>
      </c>
      <c r="G160" s="1" t="s">
        <v>904</v>
      </c>
      <c r="I160" s="3" t="s">
        <v>15</v>
      </c>
      <c r="K160" s="3" t="s">
        <v>26</v>
      </c>
      <c r="L160" s="4" t="s">
        <v>904</v>
      </c>
      <c r="M160" s="4" t="s">
        <v>904</v>
      </c>
      <c r="N160" s="3" t="s">
        <v>15</v>
      </c>
      <c r="O160" s="3" t="s">
        <v>900</v>
      </c>
      <c r="P160" s="3" t="s">
        <v>660</v>
      </c>
      <c r="Q160" s="3">
        <v>87</v>
      </c>
      <c r="T160" s="3">
        <v>11</v>
      </c>
      <c r="V160" s="3" t="s">
        <v>1845</v>
      </c>
      <c r="W160" s="4" t="s">
        <v>906</v>
      </c>
      <c r="X160" s="3" t="s">
        <v>21</v>
      </c>
      <c r="Y160" cm="1">
        <f t="array" ref="Y160">SUM(IF(INT($M$2:$M$594)&amp;" "&amp;$K$2:$K$594=INT($M160)&amp;" "&amp;$K160,1,0))</f>
        <v>1</v>
      </c>
      <c r="Z160" cm="1">
        <f t="array" ref="Z160">SUM(IF(ROUND($M$2:$M$594,0)&amp;" "&amp;$K$2:$K$594=ROUND($M160,0)&amp;" "&amp;$K160,1,0))</f>
        <v>1</v>
      </c>
      <c r="AA160" cm="1">
        <f t="array" ref="AA160">SUM(IF($W$2:$W$594=$W160,1,0))</f>
        <v>1</v>
      </c>
    </row>
    <row r="161" spans="1:27" x14ac:dyDescent="0.25">
      <c r="A161" t="s">
        <v>1664</v>
      </c>
      <c r="B161" t="s">
        <v>1390</v>
      </c>
      <c r="F161" s="1" t="s">
        <v>47</v>
      </c>
      <c r="G161" s="1" t="s">
        <v>1791</v>
      </c>
      <c r="I161" s="3" t="s">
        <v>15</v>
      </c>
      <c r="K161" s="3" t="s">
        <v>47</v>
      </c>
      <c r="M161" s="4" t="s">
        <v>1791</v>
      </c>
      <c r="N161" s="3" t="s">
        <v>15</v>
      </c>
      <c r="O161" s="3" t="s">
        <v>1759</v>
      </c>
      <c r="P161" s="3" t="s">
        <v>71</v>
      </c>
      <c r="W161" s="5" t="s">
        <v>1945</v>
      </c>
      <c r="X161" s="3" t="s">
        <v>1757</v>
      </c>
      <c r="Y161" cm="1">
        <f t="array" ref="Y161">SUM(IF(INT($M$2:$M$594)&amp;" "&amp;$K$2:$K$594=INT($M161)&amp;" "&amp;$K161,1,0))</f>
        <v>1</v>
      </c>
      <c r="Z161" cm="1">
        <f t="array" ref="Z161">SUM(IF(ROUND($M$2:$M$594,0)&amp;" "&amp;$K$2:$K$594=ROUND($M161,0)&amp;" "&amp;$K161,1,0))</f>
        <v>1</v>
      </c>
      <c r="AA161" cm="1">
        <f t="array" ref="AA161">SUM(IF($W$2:$W$594=$W161,1,0))</f>
        <v>1</v>
      </c>
    </row>
    <row r="162" spans="1:27" x14ac:dyDescent="0.25">
      <c r="A162" t="s">
        <v>1664</v>
      </c>
      <c r="B162" t="s">
        <v>1385</v>
      </c>
      <c r="C162" t="s">
        <v>1698</v>
      </c>
      <c r="D162" t="s">
        <v>1708</v>
      </c>
      <c r="E162">
        <v>1</v>
      </c>
      <c r="F162" t="str">
        <f t="shared" si="2"/>
        <v>3/2</v>
      </c>
      <c r="G162" s="1" t="s">
        <v>1376</v>
      </c>
      <c r="I162" s="3" t="s">
        <v>15</v>
      </c>
      <c r="K162" s="3" t="s">
        <v>35</v>
      </c>
      <c r="M162" s="4" t="s">
        <v>1376</v>
      </c>
      <c r="N162" s="3" t="s">
        <v>15</v>
      </c>
      <c r="O162" s="3" t="s">
        <v>956</v>
      </c>
      <c r="P162" s="3" t="s">
        <v>71</v>
      </c>
      <c r="W162" s="5" t="s">
        <v>1946</v>
      </c>
      <c r="X162" s="3" t="s">
        <v>1757</v>
      </c>
      <c r="Y162" cm="1">
        <f t="array" ref="Y162">SUM(IF(INT($M$2:$M$594)&amp;" "&amp;$K$2:$K$594=INT($M162)&amp;" "&amp;$K162,1,0))</f>
        <v>1</v>
      </c>
      <c r="Z162" cm="1">
        <f t="array" ref="Z162">SUM(IF(ROUND($M$2:$M$594,0)&amp;" "&amp;$K$2:$K$594=ROUND($M162,0)&amp;" "&amp;$K162,1,0))</f>
        <v>1</v>
      </c>
      <c r="AA162" cm="1">
        <f t="array" ref="AA162">SUM(IF($W$2:$W$594=$W162,1,0))</f>
        <v>1</v>
      </c>
    </row>
    <row r="163" spans="1:27" x14ac:dyDescent="0.25">
      <c r="B163" t="s">
        <v>1373</v>
      </c>
      <c r="C163" t="s">
        <v>1696</v>
      </c>
      <c r="D163" t="s">
        <v>1706</v>
      </c>
      <c r="E163">
        <v>1</v>
      </c>
      <c r="F163" t="str">
        <f t="shared" si="2"/>
        <v>3/2</v>
      </c>
      <c r="G163" s="1" t="s">
        <v>908</v>
      </c>
      <c r="I163" s="3" t="s">
        <v>15</v>
      </c>
      <c r="K163" s="3" t="s">
        <v>35</v>
      </c>
      <c r="L163" s="4" t="s">
        <v>908</v>
      </c>
      <c r="M163" s="4" t="s">
        <v>908</v>
      </c>
      <c r="N163" s="3" t="s">
        <v>15</v>
      </c>
      <c r="O163" s="3" t="s">
        <v>907</v>
      </c>
      <c r="P163" s="3" t="s">
        <v>34</v>
      </c>
      <c r="Q163" s="3">
        <v>62</v>
      </c>
      <c r="T163" s="3">
        <v>11</v>
      </c>
      <c r="U163" s="3" t="s">
        <v>892</v>
      </c>
      <c r="W163" s="4" t="s">
        <v>910</v>
      </c>
      <c r="X163" s="3" t="s">
        <v>21</v>
      </c>
      <c r="Y163" cm="1">
        <f t="array" ref="Y163">SUM(IF(INT($M$2:$M$594)&amp;" "&amp;$K$2:$K$594=INT($M163)&amp;" "&amp;$K163,1,0))</f>
        <v>1</v>
      </c>
      <c r="Z163" cm="1">
        <f t="array" ref="Z163">SUM(IF(ROUND($M$2:$M$594,0)&amp;" "&amp;$K$2:$K$594=ROUND($M163,0)&amp;" "&amp;$K163,1,0))</f>
        <v>1</v>
      </c>
      <c r="AA163" cm="1">
        <f t="array" ref="AA163">SUM(IF($W$2:$W$594=$W163,1,0))</f>
        <v>1</v>
      </c>
    </row>
    <row r="164" spans="1:27" x14ac:dyDescent="0.25">
      <c r="B164" t="s">
        <v>1374</v>
      </c>
      <c r="C164" t="s">
        <v>1696</v>
      </c>
      <c r="D164" t="s">
        <v>1707</v>
      </c>
      <c r="E164">
        <v>4</v>
      </c>
      <c r="F164" t="str">
        <f t="shared" si="2"/>
        <v>9/2</v>
      </c>
      <c r="G164" s="1" t="s">
        <v>911</v>
      </c>
      <c r="I164" s="3" t="s">
        <v>15</v>
      </c>
      <c r="K164" s="3" t="s">
        <v>14</v>
      </c>
      <c r="L164" s="4" t="s">
        <v>911</v>
      </c>
      <c r="M164" s="4" t="s">
        <v>911</v>
      </c>
      <c r="N164" s="3" t="s">
        <v>15</v>
      </c>
      <c r="O164" s="3" t="s">
        <v>900</v>
      </c>
      <c r="P164" s="3" t="s">
        <v>660</v>
      </c>
      <c r="Q164" s="3">
        <v>78</v>
      </c>
      <c r="T164" s="3">
        <v>8</v>
      </c>
      <c r="U164" s="3" t="s">
        <v>1846</v>
      </c>
      <c r="V164" s="3" t="s">
        <v>936</v>
      </c>
      <c r="W164" s="4" t="s">
        <v>913</v>
      </c>
      <c r="X164" s="3" t="s">
        <v>21</v>
      </c>
      <c r="Y164" cm="1">
        <f t="array" ref="Y164">SUM(IF(INT($M$2:$M$594)&amp;" "&amp;$K$2:$K$594=INT($M164)&amp;" "&amp;$K164,1,0))</f>
        <v>1</v>
      </c>
      <c r="Z164" cm="1">
        <f t="array" ref="Z164">SUM(IF(ROUND($M$2:$M$594,0)&amp;" "&amp;$K$2:$K$594=ROUND($M164,0)&amp;" "&amp;$K164,1,0))</f>
        <v>1</v>
      </c>
      <c r="AA164" cm="1">
        <f t="array" ref="AA164">SUM(IF($W$2:$W$594=$W164,1,0))</f>
        <v>1</v>
      </c>
    </row>
    <row r="165" spans="1:27" x14ac:dyDescent="0.25">
      <c r="B165" t="s">
        <v>1373</v>
      </c>
      <c r="C165" t="s">
        <v>1696</v>
      </c>
      <c r="D165" t="s">
        <v>1706</v>
      </c>
      <c r="E165">
        <v>3</v>
      </c>
      <c r="F165" t="str">
        <f t="shared" si="2"/>
        <v>7/2</v>
      </c>
      <c r="G165" s="1" t="s">
        <v>915</v>
      </c>
      <c r="I165" s="3" t="s">
        <v>15</v>
      </c>
      <c r="K165" s="3" t="s">
        <v>47</v>
      </c>
      <c r="L165" s="4" t="s">
        <v>915</v>
      </c>
      <c r="M165" s="4" t="s">
        <v>915</v>
      </c>
      <c r="N165" s="3" t="s">
        <v>15</v>
      </c>
      <c r="O165" s="3" t="s">
        <v>914</v>
      </c>
      <c r="P165" s="3" t="s">
        <v>677</v>
      </c>
      <c r="Q165" s="3">
        <v>85</v>
      </c>
      <c r="T165" s="3">
        <v>9</v>
      </c>
      <c r="V165" s="3" t="s">
        <v>1842</v>
      </c>
      <c r="W165" s="4" t="s">
        <v>917</v>
      </c>
      <c r="X165" s="3" t="s">
        <v>21</v>
      </c>
      <c r="Y165" cm="1">
        <f t="array" ref="Y165">SUM(IF(INT($M$2:$M$594)&amp;" "&amp;$K$2:$K$594=INT($M165)&amp;" "&amp;$K165,1,0))</f>
        <v>1</v>
      </c>
      <c r="Z165" cm="1">
        <f t="array" ref="Z165">SUM(IF(ROUND($M$2:$M$594,0)&amp;" "&amp;$K$2:$K$594=ROUND($M165,0)&amp;" "&amp;$K165,1,0))</f>
        <v>1</v>
      </c>
      <c r="AA165" cm="1">
        <f t="array" ref="AA165">SUM(IF($W$2:$W$594=$W165,1,0))</f>
        <v>1</v>
      </c>
    </row>
    <row r="166" spans="1:27" x14ac:dyDescent="0.25">
      <c r="A166" t="s">
        <v>1664</v>
      </c>
      <c r="B166" t="s">
        <v>1390</v>
      </c>
      <c r="C166" t="s">
        <v>1698</v>
      </c>
      <c r="D166" t="s">
        <v>1709</v>
      </c>
      <c r="E166">
        <v>4</v>
      </c>
      <c r="F166" t="str">
        <f t="shared" si="2"/>
        <v>9/2</v>
      </c>
      <c r="G166" s="1" t="s">
        <v>1377</v>
      </c>
      <c r="I166" s="3" t="s">
        <v>15</v>
      </c>
      <c r="K166" s="3" t="s">
        <v>14</v>
      </c>
      <c r="M166" s="4" t="s">
        <v>1377</v>
      </c>
      <c r="N166" s="3" t="s">
        <v>15</v>
      </c>
      <c r="O166" s="3" t="s">
        <v>1759</v>
      </c>
      <c r="P166" s="3" t="s">
        <v>71</v>
      </c>
      <c r="W166" s="5" t="s">
        <v>1947</v>
      </c>
      <c r="X166" s="3" t="s">
        <v>1757</v>
      </c>
      <c r="Y166" cm="1">
        <f t="array" ref="Y166">SUM(IF(INT($M$2:$M$594)&amp;" "&amp;$K$2:$K$594=INT($M166)&amp;" "&amp;$K166,1,0))</f>
        <v>1</v>
      </c>
      <c r="Z166" cm="1">
        <f t="array" ref="Z166">SUM(IF(ROUND($M$2:$M$594,0)&amp;" "&amp;$K$2:$K$594=ROUND($M166,0)&amp;" "&amp;$K166,1,0))</f>
        <v>1</v>
      </c>
      <c r="AA166" cm="1">
        <f t="array" ref="AA166">SUM(IF($W$2:$W$594=$W166,1,0))</f>
        <v>1</v>
      </c>
    </row>
    <row r="167" spans="1:27" x14ac:dyDescent="0.25">
      <c r="A167" t="s">
        <v>1664</v>
      </c>
      <c r="B167" t="s">
        <v>1668</v>
      </c>
      <c r="C167" s="2" t="s">
        <v>1668</v>
      </c>
      <c r="E167">
        <v>1</v>
      </c>
      <c r="F167" t="str">
        <f t="shared" si="2"/>
        <v>3/2</v>
      </c>
      <c r="G167" s="1" t="s">
        <v>1378</v>
      </c>
      <c r="I167" s="3" t="s">
        <v>15</v>
      </c>
      <c r="K167" s="3" t="s">
        <v>35</v>
      </c>
      <c r="M167" s="4" t="s">
        <v>1378</v>
      </c>
      <c r="N167" s="3" t="s">
        <v>15</v>
      </c>
      <c r="P167" s="3" t="s">
        <v>71</v>
      </c>
      <c r="W167" s="5" t="s">
        <v>1949</v>
      </c>
      <c r="X167" s="3" t="s">
        <v>1757</v>
      </c>
      <c r="Y167" cm="1">
        <f t="array" ref="Y167">SUM(IF(INT($M$2:$M$594)&amp;" "&amp;$K$2:$K$594=INT($M167)&amp;" "&amp;$K167,1,0))</f>
        <v>1</v>
      </c>
      <c r="Z167" cm="1">
        <f t="array" ref="Z167">SUM(IF(ROUND($M$2:$M$594,0)&amp;" "&amp;$K$2:$K$594=ROUND($M167,0)&amp;" "&amp;$K167,1,0))</f>
        <v>1</v>
      </c>
      <c r="AA167" cm="1">
        <f t="array" ref="AA167">SUM(IF($W$2:$W$594=$W167,1,0))</f>
        <v>1</v>
      </c>
    </row>
    <row r="168" spans="1:27" x14ac:dyDescent="0.25">
      <c r="B168" t="s">
        <v>1374</v>
      </c>
      <c r="C168" t="s">
        <v>1696</v>
      </c>
      <c r="D168" t="s">
        <v>1707</v>
      </c>
      <c r="E168">
        <v>7</v>
      </c>
      <c r="F168" t="str">
        <f t="shared" si="2"/>
        <v>15/2</v>
      </c>
      <c r="G168" s="1" t="s">
        <v>918</v>
      </c>
      <c r="I168" s="3" t="s">
        <v>15</v>
      </c>
      <c r="K168" s="3" t="s">
        <v>30</v>
      </c>
      <c r="L168" s="4" t="s">
        <v>918</v>
      </c>
      <c r="M168" s="4" t="s">
        <v>918</v>
      </c>
      <c r="N168" s="3" t="s">
        <v>15</v>
      </c>
      <c r="O168" s="3" t="s">
        <v>900</v>
      </c>
      <c r="P168" s="3" t="s">
        <v>660</v>
      </c>
      <c r="Q168" s="3">
        <v>98</v>
      </c>
      <c r="W168" s="4" t="s">
        <v>919</v>
      </c>
      <c r="X168" s="3" t="s">
        <v>21</v>
      </c>
      <c r="Y168" cm="1">
        <f t="array" ref="Y168">SUM(IF(INT($M$2:$M$594)&amp;" "&amp;$K$2:$K$594=INT($M168)&amp;" "&amp;$K168,1,0))</f>
        <v>1</v>
      </c>
      <c r="Z168" cm="1">
        <f t="array" ref="Z168">SUM(IF(ROUND($M$2:$M$594,0)&amp;" "&amp;$K$2:$K$594=ROUND($M168,0)&amp;" "&amp;$K168,1,0))</f>
        <v>1</v>
      </c>
      <c r="AA168" cm="1">
        <f t="array" ref="AA168">SUM(IF($W$2:$W$594=$W168,1,0))</f>
        <v>1</v>
      </c>
    </row>
    <row r="169" spans="1:27" x14ac:dyDescent="0.25">
      <c r="B169" t="s">
        <v>1373</v>
      </c>
      <c r="C169" t="s">
        <v>1696</v>
      </c>
      <c r="D169" t="s">
        <v>1706</v>
      </c>
      <c r="E169">
        <v>2</v>
      </c>
      <c r="F169" t="str">
        <f t="shared" si="2"/>
        <v>5/2</v>
      </c>
      <c r="G169" s="1" t="s">
        <v>920</v>
      </c>
      <c r="I169" s="3" t="s">
        <v>15</v>
      </c>
      <c r="K169" s="3" t="s">
        <v>43</v>
      </c>
      <c r="L169" s="4" t="s">
        <v>920</v>
      </c>
      <c r="M169" s="4" t="s">
        <v>920</v>
      </c>
      <c r="N169" s="3" t="s">
        <v>15</v>
      </c>
      <c r="O169" s="3" t="s">
        <v>914</v>
      </c>
      <c r="P169" s="3" t="s">
        <v>677</v>
      </c>
      <c r="Q169" s="3">
        <v>52</v>
      </c>
      <c r="T169" s="3">
        <v>19</v>
      </c>
      <c r="U169" s="3" t="s">
        <v>800</v>
      </c>
      <c r="V169" s="3" t="s">
        <v>1803</v>
      </c>
      <c r="W169" s="4" t="s">
        <v>922</v>
      </c>
      <c r="X169" s="3" t="s">
        <v>21</v>
      </c>
      <c r="Y169" cm="1">
        <f t="array" ref="Y169">SUM(IF(INT($M$2:$M$594)&amp;" "&amp;$K$2:$K$594=INT($M169)&amp;" "&amp;$K169,1,0))</f>
        <v>1</v>
      </c>
      <c r="Z169" cm="1">
        <f t="array" ref="Z169">SUM(IF(ROUND($M$2:$M$594,0)&amp;" "&amp;$K$2:$K$594=ROUND($M169,0)&amp;" "&amp;$K169,1,0))</f>
        <v>1</v>
      </c>
      <c r="AA169" cm="1">
        <f t="array" ref="AA169">SUM(IF($W$2:$W$594=$W169,1,0))</f>
        <v>1</v>
      </c>
    </row>
    <row r="170" spans="1:27" x14ac:dyDescent="0.25">
      <c r="A170" t="s">
        <v>1664</v>
      </c>
      <c r="B170" t="s">
        <v>1669</v>
      </c>
      <c r="C170" t="s">
        <v>1698</v>
      </c>
      <c r="D170" t="s">
        <v>1710</v>
      </c>
      <c r="E170">
        <v>2</v>
      </c>
      <c r="F170" t="str">
        <f t="shared" si="2"/>
        <v>5/2</v>
      </c>
      <c r="G170" s="1" t="s">
        <v>1379</v>
      </c>
      <c r="I170" s="3" t="s">
        <v>15</v>
      </c>
      <c r="K170" s="3" t="s">
        <v>43</v>
      </c>
      <c r="M170" s="4" t="s">
        <v>1379</v>
      </c>
      <c r="N170" s="3" t="s">
        <v>15</v>
      </c>
      <c r="O170" s="3" t="s">
        <v>1759</v>
      </c>
      <c r="P170" s="3" t="s">
        <v>71</v>
      </c>
      <c r="W170" s="5" t="s">
        <v>1950</v>
      </c>
      <c r="X170" s="3" t="s">
        <v>1757</v>
      </c>
      <c r="Y170" cm="1">
        <f t="array" ref="Y170">SUM(IF(INT($M$2:$M$594)&amp;" "&amp;$K$2:$K$594=INT($M170)&amp;" "&amp;$K170,1,0))</f>
        <v>1</v>
      </c>
      <c r="Z170" cm="1">
        <f t="array" ref="Z170">SUM(IF(ROUND($M$2:$M$594,0)&amp;" "&amp;$K$2:$K$594=ROUND($M170,0)&amp;" "&amp;$K170,1,0))</f>
        <v>1</v>
      </c>
      <c r="AA170" cm="1">
        <f t="array" ref="AA170">SUM(IF($W$2:$W$594=$W170,1,0))</f>
        <v>1</v>
      </c>
    </row>
    <row r="171" spans="1:27" x14ac:dyDescent="0.25">
      <c r="A171" t="s">
        <v>1664</v>
      </c>
      <c r="B171" t="s">
        <v>1390</v>
      </c>
      <c r="F171" s="1" t="s">
        <v>47</v>
      </c>
      <c r="G171" s="1" t="s">
        <v>1792</v>
      </c>
      <c r="I171" s="3" t="s">
        <v>15</v>
      </c>
      <c r="K171" s="3" t="s">
        <v>47</v>
      </c>
      <c r="M171" s="4" t="s">
        <v>1792</v>
      </c>
      <c r="N171" s="3" t="s">
        <v>15</v>
      </c>
      <c r="O171" s="3" t="s">
        <v>1759</v>
      </c>
      <c r="P171" s="3" t="s">
        <v>71</v>
      </c>
      <c r="W171" s="5" t="s">
        <v>1951</v>
      </c>
      <c r="X171" s="3" t="s">
        <v>1757</v>
      </c>
      <c r="Y171" cm="1">
        <f t="array" ref="Y171">SUM(IF(INT($M$2:$M$594)&amp;" "&amp;$K$2:$K$594=INT($M171)&amp;" "&amp;$K171,1,0))</f>
        <v>1</v>
      </c>
      <c r="Z171" cm="1">
        <f t="array" ref="Z171">SUM(IF(ROUND($M$2:$M$594,0)&amp;" "&amp;$K$2:$K$594=ROUND($M171,0)&amp;" "&amp;$K171,1,0))</f>
        <v>1</v>
      </c>
      <c r="AA171" cm="1">
        <f t="array" ref="AA171">SUM(IF($W$2:$W$594=$W171,1,0))</f>
        <v>1</v>
      </c>
    </row>
    <row r="172" spans="1:27" x14ac:dyDescent="0.25">
      <c r="A172" t="s">
        <v>1664</v>
      </c>
      <c r="B172" t="s">
        <v>1390</v>
      </c>
      <c r="F172" s="1" t="s">
        <v>14</v>
      </c>
      <c r="G172" s="1" t="s">
        <v>1793</v>
      </c>
      <c r="I172" s="3" t="s">
        <v>15</v>
      </c>
      <c r="K172" s="3" t="s">
        <v>14</v>
      </c>
      <c r="M172" s="4" t="s">
        <v>1793</v>
      </c>
      <c r="N172" s="3" t="s">
        <v>15</v>
      </c>
      <c r="O172" s="3" t="s">
        <v>1759</v>
      </c>
      <c r="P172" s="3" t="s">
        <v>71</v>
      </c>
      <c r="W172" s="5" t="s">
        <v>1952</v>
      </c>
      <c r="X172" s="3" t="s">
        <v>1757</v>
      </c>
      <c r="Y172" cm="1">
        <f t="array" ref="Y172">SUM(IF(INT($M$2:$M$594)&amp;" "&amp;$K$2:$K$594=INT($M172)&amp;" "&amp;$K172,1,0))</f>
        <v>1</v>
      </c>
      <c r="Z172" cm="1">
        <f t="array" ref="Z172">SUM(IF(ROUND($M$2:$M$594,0)&amp;" "&amp;$K$2:$K$594=ROUND($M172,0)&amp;" "&amp;$K172,1,0))</f>
        <v>1</v>
      </c>
      <c r="AA172" cm="1">
        <f t="array" ref="AA172">SUM(IF($W$2:$W$594=$W172,1,0))</f>
        <v>1</v>
      </c>
    </row>
    <row r="173" spans="1:27" x14ac:dyDescent="0.25">
      <c r="A173" t="s">
        <v>1664</v>
      </c>
      <c r="B173" t="s">
        <v>1667</v>
      </c>
      <c r="C173" t="s">
        <v>1698</v>
      </c>
      <c r="D173">
        <v>2</v>
      </c>
      <c r="E173">
        <v>1</v>
      </c>
      <c r="F173" t="str">
        <f t="shared" si="2"/>
        <v>3/2</v>
      </c>
      <c r="G173" s="1" t="s">
        <v>1380</v>
      </c>
      <c r="I173" s="3" t="s">
        <v>15</v>
      </c>
      <c r="K173" s="3" t="s">
        <v>35</v>
      </c>
      <c r="M173" s="4" t="s">
        <v>1380</v>
      </c>
      <c r="N173" s="3" t="s">
        <v>15</v>
      </c>
      <c r="O173" s="3" t="s">
        <v>1761</v>
      </c>
      <c r="P173" s="3" t="s">
        <v>71</v>
      </c>
      <c r="W173" s="5" t="s">
        <v>1953</v>
      </c>
      <c r="X173" s="3" t="s">
        <v>1757</v>
      </c>
      <c r="Y173" cm="1">
        <f t="array" ref="Y173">SUM(IF(INT($M$2:$M$594)&amp;" "&amp;$K$2:$K$594=INT($M173)&amp;" "&amp;$K173,1,0))</f>
        <v>1</v>
      </c>
      <c r="Z173" cm="1">
        <f t="array" ref="Z173">SUM(IF(ROUND($M$2:$M$594,0)&amp;" "&amp;$K$2:$K$594=ROUND($M173,0)&amp;" "&amp;$K173,1,0))</f>
        <v>1</v>
      </c>
      <c r="AA173" cm="1">
        <f t="array" ref="AA173">SUM(IF($W$2:$W$594=$W173,1,0))</f>
        <v>1</v>
      </c>
    </row>
    <row r="174" spans="1:27" x14ac:dyDescent="0.25">
      <c r="B174" t="s">
        <v>1381</v>
      </c>
      <c r="C174" t="s">
        <v>1698</v>
      </c>
      <c r="D174" t="s">
        <v>1711</v>
      </c>
      <c r="E174">
        <v>3</v>
      </c>
      <c r="F174" t="str">
        <f t="shared" si="2"/>
        <v>7/2</v>
      </c>
      <c r="G174" s="1" t="s">
        <v>924</v>
      </c>
      <c r="I174" s="3" t="s">
        <v>15</v>
      </c>
      <c r="K174" s="3" t="s">
        <v>47</v>
      </c>
      <c r="L174" s="4" t="s">
        <v>924</v>
      </c>
      <c r="M174" s="4" t="s">
        <v>924</v>
      </c>
      <c r="N174" s="3" t="s">
        <v>15</v>
      </c>
      <c r="O174" s="3" t="s">
        <v>923</v>
      </c>
      <c r="P174" s="3" t="s">
        <v>75</v>
      </c>
      <c r="Q174" s="3">
        <v>52</v>
      </c>
      <c r="T174" s="3">
        <v>26</v>
      </c>
      <c r="V174" s="3" t="s">
        <v>1847</v>
      </c>
      <c r="W174" s="4" t="s">
        <v>926</v>
      </c>
      <c r="X174" s="3" t="s">
        <v>21</v>
      </c>
      <c r="Y174" cm="1">
        <f t="array" ref="Y174">SUM(IF(INT($M$2:$M$594)&amp;" "&amp;$K$2:$K$594=INT($M174)&amp;" "&amp;$K174,1,0))</f>
        <v>1</v>
      </c>
      <c r="Z174" cm="1">
        <f t="array" ref="Z174">SUM(IF(ROUND($M$2:$M$594,0)&amp;" "&amp;$K$2:$K$594=ROUND($M174,0)&amp;" "&amp;$K174,1,0))</f>
        <v>1</v>
      </c>
      <c r="AA174" cm="1">
        <f t="array" ref="AA174">SUM(IF($W$2:$W$594=$W174,1,0))</f>
        <v>1</v>
      </c>
    </row>
    <row r="175" spans="1:27" x14ac:dyDescent="0.25">
      <c r="A175" t="s">
        <v>1664</v>
      </c>
      <c r="B175" t="s">
        <v>1390</v>
      </c>
      <c r="C175" t="s">
        <v>1698</v>
      </c>
      <c r="D175" t="s">
        <v>1709</v>
      </c>
      <c r="E175">
        <v>5</v>
      </c>
      <c r="F175" t="str">
        <f t="shared" si="2"/>
        <v>11/2</v>
      </c>
      <c r="G175" s="1" t="s">
        <v>1382</v>
      </c>
      <c r="I175" s="3" t="s">
        <v>15</v>
      </c>
      <c r="K175" s="3" t="s">
        <v>22</v>
      </c>
      <c r="M175" s="4" t="s">
        <v>1382</v>
      </c>
      <c r="N175" s="3" t="s">
        <v>15</v>
      </c>
      <c r="O175" s="3" t="s">
        <v>1759</v>
      </c>
      <c r="P175" s="3" t="s">
        <v>71</v>
      </c>
      <c r="W175" s="5" t="s">
        <v>1954</v>
      </c>
      <c r="X175" s="3" t="s">
        <v>1757</v>
      </c>
      <c r="Y175" cm="1">
        <f t="array" ref="Y175">SUM(IF(INT($M$2:$M$594)&amp;" "&amp;$K$2:$K$594=INT($M175)&amp;" "&amp;$K175,1,0))</f>
        <v>1</v>
      </c>
      <c r="Z175" cm="1">
        <f t="array" ref="Z175">SUM(IF(ROUND($M$2:$M$594,0)&amp;" "&amp;$K$2:$K$594=ROUND($M175,0)&amp;" "&amp;$K175,1,0))</f>
        <v>1</v>
      </c>
      <c r="AA175" cm="1">
        <f t="array" ref="AA175">SUM(IF($W$2:$W$594=$W175,1,0))</f>
        <v>1</v>
      </c>
    </row>
    <row r="176" spans="1:27" x14ac:dyDescent="0.25">
      <c r="A176" t="s">
        <v>1664</v>
      </c>
      <c r="B176" t="s">
        <v>1381</v>
      </c>
      <c r="C176" t="s">
        <v>1698</v>
      </c>
      <c r="D176" t="s">
        <v>1711</v>
      </c>
      <c r="E176">
        <v>4</v>
      </c>
      <c r="F176" t="str">
        <f t="shared" si="2"/>
        <v>9/2</v>
      </c>
      <c r="G176" s="1" t="s">
        <v>1383</v>
      </c>
      <c r="H176" t="s">
        <v>1384</v>
      </c>
      <c r="I176" s="3" t="s">
        <v>15</v>
      </c>
      <c r="K176" s="3" t="s">
        <v>14</v>
      </c>
      <c r="L176" s="3" t="s">
        <v>927</v>
      </c>
      <c r="M176" s="4" t="s">
        <v>1383</v>
      </c>
      <c r="N176" s="3" t="s">
        <v>15</v>
      </c>
      <c r="O176" s="3" t="s">
        <v>923</v>
      </c>
      <c r="P176" s="3" t="s">
        <v>75</v>
      </c>
      <c r="Q176" s="3">
        <v>57</v>
      </c>
      <c r="T176" s="3">
        <v>35</v>
      </c>
      <c r="V176" s="3" t="s">
        <v>1848</v>
      </c>
      <c r="W176" s="4" t="s">
        <v>929</v>
      </c>
      <c r="X176" s="3" t="s">
        <v>1758</v>
      </c>
      <c r="Y176" cm="1">
        <f t="array" ref="Y176">SUM(IF(INT($M$2:$M$594)&amp;" "&amp;$K$2:$K$594=INT($M176)&amp;" "&amp;$K176,1,0))</f>
        <v>1</v>
      </c>
      <c r="Z176" cm="1">
        <f t="array" ref="Z176">SUM(IF(ROUND($M$2:$M$594,0)&amp;" "&amp;$K$2:$K$594=ROUND($M176,0)&amp;" "&amp;$K176,1,0))</f>
        <v>1</v>
      </c>
      <c r="AA176" cm="1">
        <f t="array" ref="AA176">SUM(IF($W$2:$W$594=$W176,1,0))</f>
        <v>1</v>
      </c>
    </row>
    <row r="177" spans="1:27" x14ac:dyDescent="0.25">
      <c r="B177" t="s">
        <v>1385</v>
      </c>
      <c r="C177" t="s">
        <v>1698</v>
      </c>
      <c r="D177" t="s">
        <v>1708</v>
      </c>
      <c r="E177">
        <v>4</v>
      </c>
      <c r="F177" t="str">
        <f t="shared" si="2"/>
        <v>9/2</v>
      </c>
      <c r="G177" s="1" t="s">
        <v>930</v>
      </c>
      <c r="I177" s="3" t="s">
        <v>15</v>
      </c>
      <c r="K177" s="3" t="s">
        <v>14</v>
      </c>
      <c r="L177" s="4" t="s">
        <v>930</v>
      </c>
      <c r="M177" s="4" t="s">
        <v>930</v>
      </c>
      <c r="N177" s="3" t="s">
        <v>15</v>
      </c>
      <c r="O177" s="3" t="s">
        <v>907</v>
      </c>
      <c r="P177" s="3" t="s">
        <v>34</v>
      </c>
      <c r="Q177" s="3">
        <v>39</v>
      </c>
      <c r="T177" s="3">
        <v>35</v>
      </c>
      <c r="V177" s="3" t="s">
        <v>1849</v>
      </c>
      <c r="W177" s="4" t="s">
        <v>932</v>
      </c>
      <c r="X177" s="3" t="s">
        <v>21</v>
      </c>
      <c r="Y177" cm="1">
        <f t="array" ref="Y177">SUM(IF(INT($M$2:$M$594)&amp;" "&amp;$K$2:$K$594=INT($M177)&amp;" "&amp;$K177,1,0))</f>
        <v>1</v>
      </c>
      <c r="Z177" cm="1">
        <f t="array" ref="Z177">SUM(IF(ROUND($M$2:$M$594,0)&amp;" "&amp;$K$2:$K$594=ROUND($M177,0)&amp;" "&amp;$K177,1,0))</f>
        <v>1</v>
      </c>
      <c r="AA177" cm="1">
        <f t="array" ref="AA177">SUM(IF($W$2:$W$594=$W177,1,0))</f>
        <v>1</v>
      </c>
    </row>
    <row r="178" spans="1:27" x14ac:dyDescent="0.25">
      <c r="A178" t="s">
        <v>1664</v>
      </c>
      <c r="B178" t="s">
        <v>1390</v>
      </c>
      <c r="C178" t="s">
        <v>1698</v>
      </c>
      <c r="D178" t="s">
        <v>1709</v>
      </c>
      <c r="E178">
        <v>6</v>
      </c>
      <c r="F178" t="str">
        <f t="shared" si="2"/>
        <v>13/2</v>
      </c>
      <c r="G178" s="1" t="s">
        <v>1386</v>
      </c>
      <c r="I178" s="3" t="s">
        <v>15</v>
      </c>
      <c r="K178" s="3" t="s">
        <v>26</v>
      </c>
      <c r="M178" s="4" t="s">
        <v>1386</v>
      </c>
      <c r="N178" s="3" t="s">
        <v>15</v>
      </c>
      <c r="O178" s="3" t="s">
        <v>1759</v>
      </c>
      <c r="P178" s="3" t="s">
        <v>71</v>
      </c>
      <c r="W178" s="5" t="s">
        <v>1955</v>
      </c>
      <c r="X178" s="3" t="s">
        <v>1757</v>
      </c>
      <c r="Y178" cm="1">
        <f t="array" ref="Y178">SUM(IF(INT($M$2:$M$594)&amp;" "&amp;$K$2:$K$594=INT($M178)&amp;" "&amp;$K178,1,0))</f>
        <v>1</v>
      </c>
      <c r="Z178" cm="1">
        <f t="array" ref="Z178">SUM(IF(ROUND($M$2:$M$594,0)&amp;" "&amp;$K$2:$K$594=ROUND($M178,0)&amp;" "&amp;$K178,1,0))</f>
        <v>1</v>
      </c>
      <c r="AA178" cm="1">
        <f t="array" ref="AA178">SUM(IF($W$2:$W$594=$W178,1,0))</f>
        <v>1</v>
      </c>
    </row>
    <row r="179" spans="1:27" x14ac:dyDescent="0.25">
      <c r="B179" t="s">
        <v>1381</v>
      </c>
      <c r="C179" t="s">
        <v>1698</v>
      </c>
      <c r="D179" t="s">
        <v>1711</v>
      </c>
      <c r="E179">
        <v>5</v>
      </c>
      <c r="F179" t="str">
        <f t="shared" si="2"/>
        <v>11/2</v>
      </c>
      <c r="G179" s="1" t="s">
        <v>933</v>
      </c>
      <c r="I179" s="3" t="s">
        <v>15</v>
      </c>
      <c r="K179" s="3" t="s">
        <v>22</v>
      </c>
      <c r="L179" s="4" t="s">
        <v>933</v>
      </c>
      <c r="M179" s="4" t="s">
        <v>933</v>
      </c>
      <c r="N179" s="3" t="s">
        <v>15</v>
      </c>
      <c r="O179" s="3" t="s">
        <v>923</v>
      </c>
      <c r="P179" s="3" t="s">
        <v>75</v>
      </c>
      <c r="Q179" s="3">
        <v>96</v>
      </c>
      <c r="W179" s="4" t="s">
        <v>934</v>
      </c>
      <c r="X179" s="3" t="s">
        <v>21</v>
      </c>
      <c r="Y179" cm="1">
        <f t="array" ref="Y179">SUM(IF(INT($M$2:$M$594)&amp;" "&amp;$K$2:$K$594=INT($M179)&amp;" "&amp;$K179,1,0))</f>
        <v>1</v>
      </c>
      <c r="Z179" cm="1">
        <f t="array" ref="Z179">SUM(IF(ROUND($M$2:$M$594,0)&amp;" "&amp;$K$2:$K$594=ROUND($M179,0)&amp;" "&amp;$K179,1,0))</f>
        <v>1</v>
      </c>
      <c r="AA179" cm="1">
        <f t="array" ref="AA179">SUM(IF($W$2:$W$594=$W179,1,0))</f>
        <v>1</v>
      </c>
    </row>
    <row r="180" spans="1:27" x14ac:dyDescent="0.25">
      <c r="B180" t="s">
        <v>1387</v>
      </c>
      <c r="C180" t="s">
        <v>1698</v>
      </c>
      <c r="D180" t="s">
        <v>1712</v>
      </c>
      <c r="E180">
        <v>4</v>
      </c>
      <c r="F180" t="str">
        <f t="shared" si="2"/>
        <v>9/2</v>
      </c>
      <c r="G180" s="1" t="s">
        <v>937</v>
      </c>
      <c r="I180" s="3" t="s">
        <v>15</v>
      </c>
      <c r="K180" s="3" t="s">
        <v>14</v>
      </c>
      <c r="L180" s="4" t="s">
        <v>937</v>
      </c>
      <c r="M180" s="4" t="s">
        <v>937</v>
      </c>
      <c r="N180" s="3" t="s">
        <v>15</v>
      </c>
      <c r="O180" s="3" t="s">
        <v>935</v>
      </c>
      <c r="P180" s="3" t="s">
        <v>936</v>
      </c>
      <c r="Q180" s="3">
        <v>79</v>
      </c>
      <c r="T180" s="3">
        <v>5</v>
      </c>
      <c r="U180" s="3" t="s">
        <v>705</v>
      </c>
      <c r="V180" s="3" t="s">
        <v>936</v>
      </c>
      <c r="W180" s="4" t="s">
        <v>939</v>
      </c>
      <c r="X180" s="3" t="s">
        <v>21</v>
      </c>
      <c r="Y180" cm="1">
        <f t="array" ref="Y180">SUM(IF(INT($M$2:$M$594)&amp;" "&amp;$K$2:$K$594=INT($M180)&amp;" "&amp;$K180,1,0))</f>
        <v>1</v>
      </c>
      <c r="Z180" cm="1">
        <f t="array" ref="Z180">SUM(IF(ROUND($M$2:$M$594,0)&amp;" "&amp;$K$2:$K$594=ROUND($M180,0)&amp;" "&amp;$K180,1,0))</f>
        <v>1</v>
      </c>
      <c r="AA180" cm="1">
        <f t="array" ref="AA180">SUM(IF($W$2:$W$594=$W180,1,0))</f>
        <v>1</v>
      </c>
    </row>
    <row r="181" spans="1:27" x14ac:dyDescent="0.25">
      <c r="B181" t="s">
        <v>1381</v>
      </c>
      <c r="C181" t="s">
        <v>1698</v>
      </c>
      <c r="D181" t="s">
        <v>1711</v>
      </c>
      <c r="E181">
        <v>3</v>
      </c>
      <c r="F181" t="str">
        <f t="shared" si="2"/>
        <v>7/2</v>
      </c>
      <c r="G181" s="1" t="s">
        <v>940</v>
      </c>
      <c r="I181" s="3" t="s">
        <v>15</v>
      </c>
      <c r="K181" s="3" t="s">
        <v>47</v>
      </c>
      <c r="L181" s="4" t="s">
        <v>940</v>
      </c>
      <c r="M181" s="4" t="s">
        <v>940</v>
      </c>
      <c r="N181" s="3" t="s">
        <v>15</v>
      </c>
      <c r="O181" s="3" t="s">
        <v>923</v>
      </c>
      <c r="P181" s="3" t="s">
        <v>801</v>
      </c>
      <c r="Q181" s="3">
        <v>53</v>
      </c>
      <c r="T181" s="3">
        <v>21</v>
      </c>
      <c r="V181" s="3" t="s">
        <v>1850</v>
      </c>
      <c r="W181" s="4" t="s">
        <v>942</v>
      </c>
      <c r="X181" s="3" t="s">
        <v>21</v>
      </c>
      <c r="Y181" cm="1">
        <f t="array" ref="Y181">SUM(IF(INT($M$2:$M$594)&amp;" "&amp;$K$2:$K$594=INT($M181)&amp;" "&amp;$K181,1,0))</f>
        <v>1</v>
      </c>
      <c r="Z181" cm="1">
        <f t="array" ref="Z181">SUM(IF(ROUND($M$2:$M$594,0)&amp;" "&amp;$K$2:$K$594=ROUND($M181,0)&amp;" "&amp;$K181,1,0))</f>
        <v>1</v>
      </c>
      <c r="AA181" cm="1">
        <f t="array" ref="AA181">SUM(IF($W$2:$W$594=$W181,1,0))</f>
        <v>1</v>
      </c>
    </row>
    <row r="182" spans="1:27" x14ac:dyDescent="0.25">
      <c r="A182" t="s">
        <v>1662</v>
      </c>
      <c r="B182" t="s">
        <v>1388</v>
      </c>
      <c r="C182" t="s">
        <v>1698</v>
      </c>
      <c r="D182" t="s">
        <v>375</v>
      </c>
      <c r="E182">
        <v>2</v>
      </c>
      <c r="F182" t="str">
        <f t="shared" si="2"/>
        <v>5/2</v>
      </c>
      <c r="G182" s="1" t="s">
        <v>944</v>
      </c>
      <c r="I182" s="3" t="s">
        <v>15</v>
      </c>
      <c r="J182" s="3" t="s">
        <v>1662</v>
      </c>
      <c r="K182" s="3" t="s">
        <v>43</v>
      </c>
      <c r="L182" s="4" t="s">
        <v>944</v>
      </c>
      <c r="M182" s="4" t="s">
        <v>944</v>
      </c>
      <c r="N182" s="3" t="s">
        <v>15</v>
      </c>
      <c r="O182" s="3" t="s">
        <v>943</v>
      </c>
      <c r="P182" s="3" t="s">
        <v>839</v>
      </c>
      <c r="Q182" s="3">
        <v>54</v>
      </c>
      <c r="T182" s="3">
        <v>13</v>
      </c>
      <c r="U182" s="3" t="s">
        <v>956</v>
      </c>
      <c r="V182" s="3" t="s">
        <v>839</v>
      </c>
      <c r="W182" s="4" t="s">
        <v>946</v>
      </c>
      <c r="X182" s="3" t="s">
        <v>21</v>
      </c>
      <c r="Y182" cm="1">
        <f t="array" ref="Y182">SUM(IF(INT($M$2:$M$594)&amp;" "&amp;$K$2:$K$594=INT($M182)&amp;" "&amp;$K182,1,0))</f>
        <v>1</v>
      </c>
      <c r="Z182" cm="1">
        <f t="array" ref="Z182">SUM(IF(ROUND($M$2:$M$594,0)&amp;" "&amp;$K$2:$K$594=ROUND($M182,0)&amp;" "&amp;$K182,1,0))</f>
        <v>1</v>
      </c>
      <c r="AA182" cm="1">
        <f t="array" ref="AA182">SUM(IF($W$2:$W$594=$W182,1,0))</f>
        <v>1</v>
      </c>
    </row>
    <row r="183" spans="1:27" x14ac:dyDescent="0.25">
      <c r="B183" t="s">
        <v>1387</v>
      </c>
      <c r="C183" t="s">
        <v>1698</v>
      </c>
      <c r="D183" t="s">
        <v>1712</v>
      </c>
      <c r="E183">
        <v>5</v>
      </c>
      <c r="F183" t="str">
        <f t="shared" si="2"/>
        <v>11/2</v>
      </c>
      <c r="G183" s="1" t="s">
        <v>947</v>
      </c>
      <c r="I183" s="3" t="s">
        <v>15</v>
      </c>
      <c r="K183" s="3" t="s">
        <v>22</v>
      </c>
      <c r="L183" s="4" t="s">
        <v>947</v>
      </c>
      <c r="M183" s="4" t="s">
        <v>947</v>
      </c>
      <c r="N183" s="3" t="s">
        <v>15</v>
      </c>
      <c r="O183" s="3" t="s">
        <v>935</v>
      </c>
      <c r="P183" s="3" t="s">
        <v>936</v>
      </c>
      <c r="Q183" s="3">
        <v>80</v>
      </c>
      <c r="T183" s="3">
        <v>9</v>
      </c>
      <c r="V183" s="3" t="s">
        <v>1851</v>
      </c>
      <c r="W183" s="4" t="s">
        <v>949</v>
      </c>
      <c r="X183" s="3" t="s">
        <v>21</v>
      </c>
      <c r="Y183" cm="1">
        <f t="array" ref="Y183">SUM(IF(INT($M$2:$M$594)&amp;" "&amp;$K$2:$K$594=INT($M183)&amp;" "&amp;$K183,1,0))</f>
        <v>1</v>
      </c>
      <c r="Z183" cm="1">
        <f t="array" ref="Z183">SUM(IF(ROUND($M$2:$M$594,0)&amp;" "&amp;$K$2:$K$594=ROUND($M183,0)&amp;" "&amp;$K183,1,0))</f>
        <v>1</v>
      </c>
      <c r="AA183" cm="1">
        <f t="array" ref="AA183">SUM(IF($W$2:$W$594=$W183,1,0))</f>
        <v>1</v>
      </c>
    </row>
    <row r="184" spans="1:27" x14ac:dyDescent="0.25">
      <c r="B184" t="s">
        <v>1388</v>
      </c>
      <c r="C184" t="s">
        <v>1698</v>
      </c>
      <c r="D184" t="s">
        <v>375</v>
      </c>
      <c r="E184">
        <v>3</v>
      </c>
      <c r="F184" t="str">
        <f t="shared" si="2"/>
        <v>7/2</v>
      </c>
      <c r="G184" s="1" t="s">
        <v>950</v>
      </c>
      <c r="I184" s="3" t="s">
        <v>15</v>
      </c>
      <c r="K184" s="3" t="s">
        <v>47</v>
      </c>
      <c r="L184" s="4" t="s">
        <v>950</v>
      </c>
      <c r="M184" s="4" t="s">
        <v>950</v>
      </c>
      <c r="N184" s="3" t="s">
        <v>15</v>
      </c>
      <c r="O184" s="3" t="s">
        <v>943</v>
      </c>
      <c r="P184" s="3" t="s">
        <v>839</v>
      </c>
      <c r="Q184" s="3">
        <v>74</v>
      </c>
      <c r="T184" s="3">
        <v>4</v>
      </c>
      <c r="U184" s="3" t="s">
        <v>923</v>
      </c>
      <c r="V184" s="3" t="s">
        <v>801</v>
      </c>
      <c r="W184" s="4" t="s">
        <v>952</v>
      </c>
      <c r="X184" s="3" t="s">
        <v>21</v>
      </c>
      <c r="Y184" cm="1">
        <f t="array" ref="Y184">SUM(IF(INT($M$2:$M$594)&amp;" "&amp;$K$2:$K$594=INT($M184)&amp;" "&amp;$K184,1,0))</f>
        <v>1</v>
      </c>
      <c r="Z184" cm="1">
        <f t="array" ref="Z184">SUM(IF(ROUND($M$2:$M$594,0)&amp;" "&amp;$K$2:$K$594=ROUND($M184,0)&amp;" "&amp;$K184,1,0))</f>
        <v>1</v>
      </c>
      <c r="AA184" cm="1">
        <f t="array" ref="AA184">SUM(IF($W$2:$W$594=$W184,1,0))</f>
        <v>1</v>
      </c>
    </row>
    <row r="185" spans="1:27" x14ac:dyDescent="0.25">
      <c r="B185" t="s">
        <v>1381</v>
      </c>
      <c r="C185" t="s">
        <v>1698</v>
      </c>
      <c r="D185" t="s">
        <v>1711</v>
      </c>
      <c r="E185">
        <v>4</v>
      </c>
      <c r="F185" t="str">
        <f t="shared" si="2"/>
        <v>9/2</v>
      </c>
      <c r="G185" s="1" t="s">
        <v>953</v>
      </c>
      <c r="I185" s="3" t="s">
        <v>15</v>
      </c>
      <c r="K185" s="3" t="s">
        <v>14</v>
      </c>
      <c r="L185" s="4" t="s">
        <v>953</v>
      </c>
      <c r="M185" s="4" t="s">
        <v>953</v>
      </c>
      <c r="N185" s="3" t="s">
        <v>15</v>
      </c>
      <c r="O185" s="3" t="s">
        <v>923</v>
      </c>
      <c r="P185" s="3" t="s">
        <v>801</v>
      </c>
      <c r="Q185" s="3">
        <v>77</v>
      </c>
      <c r="T185" s="3">
        <v>8</v>
      </c>
      <c r="U185" s="3" t="s">
        <v>705</v>
      </c>
      <c r="V185" s="3" t="s">
        <v>801</v>
      </c>
      <c r="W185" s="4" t="s">
        <v>955</v>
      </c>
      <c r="X185" s="3" t="s">
        <v>21</v>
      </c>
      <c r="Y185" cm="1">
        <f t="array" ref="Y185">SUM(IF(INT($M$2:$M$594)&amp;" "&amp;$K$2:$K$594=INT($M185)&amp;" "&amp;$K185,1,0))</f>
        <v>1</v>
      </c>
      <c r="Z185" cm="1">
        <f t="array" ref="Z185">SUM(IF(ROUND($M$2:$M$594,0)&amp;" "&amp;$K$2:$K$594=ROUND($M185,0)&amp;" "&amp;$K185,1,0))</f>
        <v>1</v>
      </c>
      <c r="AA185" cm="1">
        <f t="array" ref="AA185">SUM(IF($W$2:$W$594=$W185,1,0))</f>
        <v>1</v>
      </c>
    </row>
    <row r="186" spans="1:27" x14ac:dyDescent="0.25">
      <c r="B186" t="s">
        <v>1385</v>
      </c>
      <c r="C186" t="s">
        <v>1698</v>
      </c>
      <c r="D186" t="s">
        <v>1708</v>
      </c>
      <c r="E186">
        <v>3</v>
      </c>
      <c r="F186" t="str">
        <f t="shared" si="2"/>
        <v>7/2</v>
      </c>
      <c r="G186" s="1" t="s">
        <v>957</v>
      </c>
      <c r="I186" s="3" t="s">
        <v>15</v>
      </c>
      <c r="K186" s="3" t="s">
        <v>47</v>
      </c>
      <c r="L186" s="4" t="s">
        <v>957</v>
      </c>
      <c r="M186" s="4" t="s">
        <v>957</v>
      </c>
      <c r="N186" s="3" t="s">
        <v>15</v>
      </c>
      <c r="O186" s="3" t="s">
        <v>956</v>
      </c>
      <c r="P186" s="3" t="s">
        <v>839</v>
      </c>
      <c r="Q186" s="3">
        <v>51</v>
      </c>
      <c r="T186" s="3">
        <v>23</v>
      </c>
      <c r="V186" s="3" t="s">
        <v>1852</v>
      </c>
      <c r="W186" s="4" t="s">
        <v>959</v>
      </c>
      <c r="X186" s="3" t="s">
        <v>21</v>
      </c>
      <c r="Y186" cm="1">
        <f t="array" ref="Y186">SUM(IF(INT($M$2:$M$594)&amp;" "&amp;$K$2:$K$594=INT($M186)&amp;" "&amp;$K186,1,0))</f>
        <v>1</v>
      </c>
      <c r="Z186" cm="1">
        <f t="array" ref="Z186">SUM(IF(ROUND($M$2:$M$594,0)&amp;" "&amp;$K$2:$K$594=ROUND($M186,0)&amp;" "&amp;$K186,1,0))</f>
        <v>1</v>
      </c>
      <c r="AA186" cm="1">
        <f t="array" ref="AA186">SUM(IF($W$2:$W$594=$W186,1,0))</f>
        <v>1</v>
      </c>
    </row>
    <row r="187" spans="1:27" x14ac:dyDescent="0.25">
      <c r="A187" t="s">
        <v>1664</v>
      </c>
      <c r="B187" t="s">
        <v>1387</v>
      </c>
      <c r="C187" t="s">
        <v>1698</v>
      </c>
      <c r="D187" t="s">
        <v>1712</v>
      </c>
      <c r="E187">
        <v>4</v>
      </c>
      <c r="F187" t="str">
        <f t="shared" si="2"/>
        <v>9/2</v>
      </c>
      <c r="G187" s="1" t="s">
        <v>1389</v>
      </c>
      <c r="I187" s="3" t="s">
        <v>15</v>
      </c>
      <c r="K187" s="3" t="s">
        <v>14</v>
      </c>
      <c r="M187" s="4" t="s">
        <v>1389</v>
      </c>
      <c r="N187" s="3" t="s">
        <v>15</v>
      </c>
      <c r="O187" s="3" t="s">
        <v>1759</v>
      </c>
      <c r="P187" s="3" t="s">
        <v>71</v>
      </c>
      <c r="W187" s="5" t="s">
        <v>1956</v>
      </c>
      <c r="X187" s="3" t="s">
        <v>1757</v>
      </c>
      <c r="Y187" cm="1">
        <f t="array" ref="Y187">SUM(IF(INT($M$2:$M$594)&amp;" "&amp;$K$2:$K$594=INT($M187)&amp;" "&amp;$K187,1,0))</f>
        <v>1</v>
      </c>
      <c r="Z187" cm="1">
        <f t="array" ref="Z187">SUM(IF(ROUND($M$2:$M$594,0)&amp;" "&amp;$K$2:$K$594=ROUND($M187,0)&amp;" "&amp;$K187,1,0))</f>
        <v>1</v>
      </c>
      <c r="AA187" cm="1">
        <f t="array" ref="AA187">SUM(IF($W$2:$W$594=$W187,1,0))</f>
        <v>1</v>
      </c>
    </row>
    <row r="188" spans="1:27" x14ac:dyDescent="0.25">
      <c r="B188" t="s">
        <v>1390</v>
      </c>
      <c r="C188" t="s">
        <v>1698</v>
      </c>
      <c r="D188" t="s">
        <v>1709</v>
      </c>
      <c r="E188">
        <v>5</v>
      </c>
      <c r="F188" t="str">
        <f t="shared" si="2"/>
        <v>11/2</v>
      </c>
      <c r="G188" s="4" t="s">
        <v>1391</v>
      </c>
      <c r="I188" s="3" t="s">
        <v>15</v>
      </c>
      <c r="K188" s="3" t="s">
        <v>22</v>
      </c>
      <c r="M188" s="4" t="s">
        <v>1391</v>
      </c>
      <c r="N188" s="3" t="s">
        <v>15</v>
      </c>
      <c r="O188" s="3" t="s">
        <v>1794</v>
      </c>
      <c r="P188" s="3" t="s">
        <v>936</v>
      </c>
      <c r="W188" s="5" t="s">
        <v>1957</v>
      </c>
      <c r="X188" s="3" t="s">
        <v>1757</v>
      </c>
      <c r="Y188" cm="1">
        <f t="array" ref="Y188">SUM(IF(INT($M$2:$M$594)&amp;" "&amp;$K$2:$K$594=INT($M188)&amp;" "&amp;$K188,1,0))</f>
        <v>1</v>
      </c>
      <c r="Z188" cm="1">
        <f t="array" ref="Z188">SUM(IF(ROUND($M$2:$M$594,0)&amp;" "&amp;$K$2:$K$594=ROUND($M188,0)&amp;" "&amp;$K188,1,0))</f>
        <v>1</v>
      </c>
      <c r="AA188" cm="1">
        <f t="array" ref="AA188">SUM(IF($W$2:$W$594=$W188,1,0))</f>
        <v>1</v>
      </c>
    </row>
    <row r="189" spans="1:27" x14ac:dyDescent="0.25">
      <c r="B189" t="s">
        <v>1392</v>
      </c>
      <c r="C189" t="s">
        <v>1713</v>
      </c>
      <c r="D189" t="s">
        <v>1714</v>
      </c>
      <c r="E189">
        <v>5</v>
      </c>
      <c r="F189" t="str">
        <f t="shared" si="2"/>
        <v>11/2</v>
      </c>
      <c r="G189" s="4" t="s">
        <v>1393</v>
      </c>
      <c r="I189" s="3" t="s">
        <v>15</v>
      </c>
      <c r="K189" s="3" t="s">
        <v>22</v>
      </c>
      <c r="L189" s="3" t="s">
        <v>1070</v>
      </c>
      <c r="M189" s="4" t="s">
        <v>1393</v>
      </c>
      <c r="N189" s="3" t="s">
        <v>15</v>
      </c>
      <c r="O189" s="3" t="s">
        <v>1068</v>
      </c>
      <c r="P189" s="3" t="s">
        <v>1069</v>
      </c>
      <c r="Q189" s="3">
        <v>83</v>
      </c>
      <c r="S189" s="3" t="s">
        <v>1801</v>
      </c>
      <c r="T189" s="3">
        <v>74</v>
      </c>
      <c r="V189" s="3" t="s">
        <v>1853</v>
      </c>
      <c r="W189" s="4" t="s">
        <v>1072</v>
      </c>
      <c r="X189" s="3" t="s">
        <v>1758</v>
      </c>
      <c r="Y189" cm="1">
        <f t="array" ref="Y189">SUM(IF(INT($M$2:$M$594)&amp;" "&amp;$K$2:$K$594=INT($M189)&amp;" "&amp;$K189,1,0))</f>
        <v>1</v>
      </c>
      <c r="Z189" cm="1">
        <f t="array" ref="Z189">SUM(IF(ROUND($M$2:$M$594,0)&amp;" "&amp;$K$2:$K$594=ROUND($M189,0)&amp;" "&amp;$K189,1,0))</f>
        <v>1</v>
      </c>
      <c r="AA189" cm="1">
        <f t="array" ref="AA189">SUM(IF($W$2:$W$594=$W189,1,0))</f>
        <v>1</v>
      </c>
    </row>
    <row r="190" spans="1:27" x14ac:dyDescent="0.25">
      <c r="B190" t="s">
        <v>1392</v>
      </c>
      <c r="C190" t="s">
        <v>1713</v>
      </c>
      <c r="D190" t="s">
        <v>1714</v>
      </c>
      <c r="E190">
        <v>3</v>
      </c>
      <c r="F190" t="str">
        <f t="shared" si="2"/>
        <v>7/2</v>
      </c>
      <c r="G190" s="4" t="s">
        <v>1394</v>
      </c>
      <c r="I190" s="3" t="s">
        <v>15</v>
      </c>
      <c r="K190" s="3" t="s">
        <v>47</v>
      </c>
      <c r="L190" s="3" t="s">
        <v>1074</v>
      </c>
      <c r="M190" s="4" t="s">
        <v>1394</v>
      </c>
      <c r="N190" s="3" t="s">
        <v>15</v>
      </c>
      <c r="O190" s="3" t="s">
        <v>1068</v>
      </c>
      <c r="P190" s="3" t="s">
        <v>1073</v>
      </c>
      <c r="Q190" s="3">
        <v>91</v>
      </c>
      <c r="S190" s="3" t="s">
        <v>1801</v>
      </c>
      <c r="T190" s="3">
        <v>81</v>
      </c>
      <c r="V190" s="3" t="s">
        <v>1854</v>
      </c>
      <c r="W190" s="4" t="s">
        <v>1076</v>
      </c>
      <c r="X190" s="3" t="s">
        <v>1758</v>
      </c>
      <c r="Y190" cm="1">
        <f t="array" ref="Y190">SUM(IF(INT($M$2:$M$594)&amp;" "&amp;$K$2:$K$594=INT($M190)&amp;" "&amp;$K190,1,0))</f>
        <v>1</v>
      </c>
      <c r="Z190" cm="1">
        <f t="array" ref="Z190">SUM(IF(ROUND($M$2:$M$594,0)&amp;" "&amp;$K$2:$K$594=ROUND($M190,0)&amp;" "&amp;$K190,1,0))</f>
        <v>1</v>
      </c>
      <c r="AA190" cm="1">
        <f t="array" ref="AA190">SUM(IF($W$2:$W$594=$W190,1,0))</f>
        <v>1</v>
      </c>
    </row>
    <row r="191" spans="1:27" x14ac:dyDescent="0.25">
      <c r="B191" t="s">
        <v>1392</v>
      </c>
      <c r="C191" t="s">
        <v>1713</v>
      </c>
      <c r="D191" t="s">
        <v>1714</v>
      </c>
      <c r="E191">
        <v>6</v>
      </c>
      <c r="F191" t="str">
        <f t="shared" si="2"/>
        <v>13/2</v>
      </c>
      <c r="G191" s="4" t="s">
        <v>1395</v>
      </c>
      <c r="I191" s="3" t="s">
        <v>15</v>
      </c>
      <c r="K191" s="3" t="s">
        <v>26</v>
      </c>
      <c r="L191" s="3" t="s">
        <v>1078</v>
      </c>
      <c r="M191" s="4" t="s">
        <v>1395</v>
      </c>
      <c r="N191" s="3" t="s">
        <v>15</v>
      </c>
      <c r="O191" s="3" t="s">
        <v>1068</v>
      </c>
      <c r="P191" s="3" t="s">
        <v>1077</v>
      </c>
      <c r="Q191" s="3">
        <v>97</v>
      </c>
      <c r="S191" s="3" t="s">
        <v>1801</v>
      </c>
      <c r="T191" s="3">
        <v>89</v>
      </c>
      <c r="V191" s="3" t="s">
        <v>1855</v>
      </c>
      <c r="W191" s="4" t="s">
        <v>1080</v>
      </c>
      <c r="X191" s="3" t="s">
        <v>1758</v>
      </c>
      <c r="Y191" cm="1">
        <f t="array" ref="Y191">SUM(IF(INT($M$2:$M$594)&amp;" "&amp;$K$2:$K$594=INT($M191)&amp;" "&amp;$K191,1,0))</f>
        <v>1</v>
      </c>
      <c r="Z191" cm="1">
        <f t="array" ref="Z191">SUM(IF(ROUND($M$2:$M$594,0)&amp;" "&amp;$K$2:$K$594=ROUND($M191,0)&amp;" "&amp;$K191,1,0))</f>
        <v>1</v>
      </c>
      <c r="AA191" cm="1">
        <f t="array" ref="AA191">SUM(IF($W$2:$W$594=$W191,1,0))</f>
        <v>1</v>
      </c>
    </row>
    <row r="192" spans="1:27" x14ac:dyDescent="0.25">
      <c r="B192" t="s">
        <v>1392</v>
      </c>
      <c r="C192" t="s">
        <v>1713</v>
      </c>
      <c r="D192" t="s">
        <v>1714</v>
      </c>
      <c r="E192">
        <v>5</v>
      </c>
      <c r="F192" t="str">
        <f t="shared" si="2"/>
        <v>11/2</v>
      </c>
      <c r="G192" s="4" t="s">
        <v>1396</v>
      </c>
      <c r="I192" s="3" t="s">
        <v>15</v>
      </c>
      <c r="K192" s="3" t="s">
        <v>22</v>
      </c>
      <c r="L192" s="3" t="s">
        <v>1082</v>
      </c>
      <c r="M192" s="4" t="s">
        <v>1396</v>
      </c>
      <c r="N192" s="3" t="s">
        <v>15</v>
      </c>
      <c r="O192" s="3" t="s">
        <v>1068</v>
      </c>
      <c r="P192" s="3" t="s">
        <v>1081</v>
      </c>
      <c r="Q192" s="3">
        <v>78</v>
      </c>
      <c r="S192" s="3" t="s">
        <v>1801</v>
      </c>
      <c r="T192" s="3">
        <v>41</v>
      </c>
      <c r="V192" s="3" t="s">
        <v>1856</v>
      </c>
      <c r="W192" s="4" t="s">
        <v>1084</v>
      </c>
      <c r="X192" s="3" t="s">
        <v>1758</v>
      </c>
      <c r="Y192" cm="1">
        <f t="array" ref="Y192">SUM(IF(INT($M$2:$M$594)&amp;" "&amp;$K$2:$K$594=INT($M192)&amp;" "&amp;$K192,1,0))</f>
        <v>1</v>
      </c>
      <c r="Z192" cm="1">
        <f t="array" ref="Z192">SUM(IF(ROUND($M$2:$M$594,0)&amp;" "&amp;$K$2:$K$594=ROUND($M192,0)&amp;" "&amp;$K192,1,0))</f>
        <v>1</v>
      </c>
      <c r="AA192" cm="1">
        <f t="array" ref="AA192">SUM(IF($W$2:$W$594=$W192,1,0))</f>
        <v>1</v>
      </c>
    </row>
    <row r="193" spans="1:27" x14ac:dyDescent="0.25">
      <c r="B193" t="s">
        <v>1392</v>
      </c>
      <c r="C193" t="s">
        <v>1713</v>
      </c>
      <c r="D193" t="s">
        <v>1714</v>
      </c>
      <c r="E193">
        <v>4</v>
      </c>
      <c r="F193" t="str">
        <f t="shared" si="2"/>
        <v>9/2</v>
      </c>
      <c r="G193" s="4" t="s">
        <v>1397</v>
      </c>
      <c r="I193" s="3" t="s">
        <v>15</v>
      </c>
      <c r="K193" s="3" t="s">
        <v>14</v>
      </c>
      <c r="L193" s="3" t="s">
        <v>1085</v>
      </c>
      <c r="M193" s="4" t="s">
        <v>1397</v>
      </c>
      <c r="N193" s="3" t="s">
        <v>15</v>
      </c>
      <c r="O193" s="3" t="s">
        <v>1068</v>
      </c>
      <c r="P193" s="3" t="s">
        <v>1073</v>
      </c>
      <c r="Q193" s="3">
        <v>66</v>
      </c>
      <c r="S193" s="3" t="s">
        <v>1801</v>
      </c>
      <c r="T193" s="3">
        <v>70</v>
      </c>
      <c r="V193" s="3" t="s">
        <v>1857</v>
      </c>
      <c r="W193" s="4" t="s">
        <v>1087</v>
      </c>
      <c r="X193" s="3" t="s">
        <v>1758</v>
      </c>
      <c r="Y193" cm="1">
        <f t="array" ref="Y193">SUM(IF(INT($M$2:$M$594)&amp;" "&amp;$K$2:$K$594=INT($M193)&amp;" "&amp;$K193,1,0))</f>
        <v>1</v>
      </c>
      <c r="Z193" cm="1">
        <f t="array" ref="Z193">SUM(IF(ROUND($M$2:$M$594,0)&amp;" "&amp;$K$2:$K$594=ROUND($M193,0)&amp;" "&amp;$K193,1,0))</f>
        <v>1</v>
      </c>
      <c r="AA193" cm="1">
        <f t="array" ref="AA193">SUM(IF($W$2:$W$594=$W193,1,0))</f>
        <v>1</v>
      </c>
    </row>
    <row r="194" spans="1:27" x14ac:dyDescent="0.25">
      <c r="B194" t="s">
        <v>1392</v>
      </c>
      <c r="C194" t="s">
        <v>1713</v>
      </c>
      <c r="D194" t="s">
        <v>1714</v>
      </c>
      <c r="E194">
        <v>6</v>
      </c>
      <c r="F194" t="str">
        <f t="shared" si="2"/>
        <v>13/2</v>
      </c>
      <c r="G194" s="4" t="s">
        <v>1398</v>
      </c>
      <c r="I194" s="3" t="s">
        <v>15</v>
      </c>
      <c r="K194" s="3" t="s">
        <v>26</v>
      </c>
      <c r="L194" s="3" t="s">
        <v>1088</v>
      </c>
      <c r="M194" s="4" t="s">
        <v>1398</v>
      </c>
      <c r="N194" s="3" t="s">
        <v>15</v>
      </c>
      <c r="O194" s="3" t="s">
        <v>1068</v>
      </c>
      <c r="P194" s="3" t="s">
        <v>1069</v>
      </c>
      <c r="Q194" s="3">
        <v>87</v>
      </c>
      <c r="S194" s="3" t="s">
        <v>1801</v>
      </c>
      <c r="T194" s="3">
        <v>59</v>
      </c>
      <c r="V194" s="3" t="s">
        <v>1853</v>
      </c>
      <c r="W194" s="4" t="s">
        <v>1090</v>
      </c>
      <c r="X194" s="3" t="s">
        <v>1758</v>
      </c>
      <c r="Y194" cm="1">
        <f t="array" ref="Y194">SUM(IF(INT($M$2:$M$594)&amp;" "&amp;$K$2:$K$594=INT($M194)&amp;" "&amp;$K194,1,0))</f>
        <v>1</v>
      </c>
      <c r="Z194" cm="1">
        <f t="array" ref="Z194">SUM(IF(ROUND($M$2:$M$594,0)&amp;" "&amp;$K$2:$K$594=ROUND($M194,0)&amp;" "&amp;$K194,1,0))</f>
        <v>1</v>
      </c>
      <c r="AA194" cm="1">
        <f t="array" ref="AA194">SUM(IF($W$2:$W$594=$W194,1,0))</f>
        <v>1</v>
      </c>
    </row>
    <row r="195" spans="1:27" x14ac:dyDescent="0.25">
      <c r="B195" t="s">
        <v>1392</v>
      </c>
      <c r="C195" t="s">
        <v>1713</v>
      </c>
      <c r="D195" t="s">
        <v>1714</v>
      </c>
      <c r="E195">
        <v>1</v>
      </c>
      <c r="F195" t="str">
        <f t="shared" si="2"/>
        <v>3/2</v>
      </c>
      <c r="G195" s="4" t="s">
        <v>1399</v>
      </c>
      <c r="I195" s="3" t="s">
        <v>15</v>
      </c>
      <c r="K195" s="3" t="s">
        <v>35</v>
      </c>
      <c r="L195" s="3" t="s">
        <v>1092</v>
      </c>
      <c r="M195" s="4" t="s">
        <v>1399</v>
      </c>
      <c r="N195" s="3" t="s">
        <v>15</v>
      </c>
      <c r="O195" s="3" t="s">
        <v>1068</v>
      </c>
      <c r="P195" s="3" t="s">
        <v>1091</v>
      </c>
      <c r="Q195" s="3">
        <v>92</v>
      </c>
      <c r="S195" s="3" t="s">
        <v>1801</v>
      </c>
      <c r="T195" s="3">
        <v>80</v>
      </c>
      <c r="V195" s="3" t="s">
        <v>1858</v>
      </c>
      <c r="W195" s="4" t="s">
        <v>1094</v>
      </c>
      <c r="X195" s="3" t="s">
        <v>1758</v>
      </c>
      <c r="Y195" cm="1">
        <f t="array" ref="Y195">SUM(IF(INT($M$2:$M$594)&amp;" "&amp;$K$2:$K$594=INT($M195)&amp;" "&amp;$K195,1,0))</f>
        <v>1</v>
      </c>
      <c r="Z195" cm="1">
        <f t="array" ref="Z195">SUM(IF(ROUND($M$2:$M$594,0)&amp;" "&amp;$K$2:$K$594=ROUND($M195,0)&amp;" "&amp;$K195,1,0))</f>
        <v>1</v>
      </c>
      <c r="AA195" cm="1">
        <f t="array" ref="AA195">SUM(IF($W$2:$W$594=$W195,1,0))</f>
        <v>1</v>
      </c>
    </row>
    <row r="196" spans="1:27" x14ac:dyDescent="0.25">
      <c r="B196" t="s">
        <v>1392</v>
      </c>
      <c r="C196" t="s">
        <v>1713</v>
      </c>
      <c r="D196" t="s">
        <v>1714</v>
      </c>
      <c r="E196">
        <v>7</v>
      </c>
      <c r="F196" t="str">
        <f t="shared" si="2"/>
        <v>15/2</v>
      </c>
      <c r="G196" s="4" t="s">
        <v>1400</v>
      </c>
      <c r="I196" s="3" t="s">
        <v>15</v>
      </c>
      <c r="K196" s="3" t="s">
        <v>30</v>
      </c>
      <c r="L196" s="3" t="s">
        <v>1095</v>
      </c>
      <c r="M196" s="4" t="s">
        <v>1400</v>
      </c>
      <c r="N196" s="3" t="s">
        <v>15</v>
      </c>
      <c r="O196" s="3" t="s">
        <v>1068</v>
      </c>
      <c r="P196" s="3" t="s">
        <v>1077</v>
      </c>
      <c r="Q196" s="3">
        <v>82</v>
      </c>
      <c r="S196" s="3" t="s">
        <v>1801</v>
      </c>
      <c r="T196" s="3">
        <v>67</v>
      </c>
      <c r="V196" s="3" t="s">
        <v>1855</v>
      </c>
      <c r="W196" s="4" t="s">
        <v>1097</v>
      </c>
      <c r="X196" s="3" t="s">
        <v>1758</v>
      </c>
      <c r="Y196" cm="1">
        <f t="array" ref="Y196">SUM(IF(INT($M$2:$M$594)&amp;" "&amp;$K$2:$K$594=INT($M196)&amp;" "&amp;$K196,1,0))</f>
        <v>1</v>
      </c>
      <c r="Z196" cm="1">
        <f t="array" ref="Z196">SUM(IF(ROUND($M$2:$M$594,0)&amp;" "&amp;$K$2:$K$594=ROUND($M196,0)&amp;" "&amp;$K196,1,0))</f>
        <v>1</v>
      </c>
      <c r="AA196" cm="1">
        <f t="array" ref="AA196">SUM(IF($W$2:$W$594=$W196,1,0))</f>
        <v>1</v>
      </c>
    </row>
    <row r="197" spans="1:27" x14ac:dyDescent="0.25">
      <c r="B197" t="s">
        <v>1392</v>
      </c>
      <c r="C197" t="s">
        <v>1713</v>
      </c>
      <c r="D197" t="s">
        <v>1714</v>
      </c>
      <c r="E197">
        <v>3</v>
      </c>
      <c r="F197" t="str">
        <f t="shared" si="2"/>
        <v>7/2</v>
      </c>
      <c r="G197" s="4" t="s">
        <v>1401</v>
      </c>
      <c r="I197" s="3" t="s">
        <v>15</v>
      </c>
      <c r="K197" s="3" t="s">
        <v>47</v>
      </c>
      <c r="L197" s="3" t="s">
        <v>1099</v>
      </c>
      <c r="M197" s="4" t="s">
        <v>1401</v>
      </c>
      <c r="N197" s="3" t="s">
        <v>15</v>
      </c>
      <c r="O197" s="3" t="s">
        <v>1068</v>
      </c>
      <c r="P197" s="3" t="s">
        <v>1098</v>
      </c>
      <c r="Q197" s="3">
        <v>87</v>
      </c>
      <c r="S197" s="3" t="s">
        <v>1801</v>
      </c>
      <c r="T197" s="3">
        <v>40</v>
      </c>
      <c r="V197" s="3" t="s">
        <v>1859</v>
      </c>
      <c r="W197" s="4" t="s">
        <v>1101</v>
      </c>
      <c r="X197" s="3" t="s">
        <v>1758</v>
      </c>
      <c r="Y197" cm="1">
        <f t="array" ref="Y197">SUM(IF(INT($M$2:$M$594)&amp;" "&amp;$K$2:$K$594=INT($M197)&amp;" "&amp;$K197,1,0))</f>
        <v>1</v>
      </c>
      <c r="Z197" cm="1">
        <f t="array" ref="Z197">SUM(IF(ROUND($M$2:$M$594,0)&amp;" "&amp;$K$2:$K$594=ROUND($M197,0)&amp;" "&amp;$K197,1,0))</f>
        <v>1</v>
      </c>
      <c r="AA197" cm="1">
        <f t="array" ref="AA197">SUM(IF($W$2:$W$594=$W197,1,0))</f>
        <v>1</v>
      </c>
    </row>
    <row r="198" spans="1:27" x14ac:dyDescent="0.25">
      <c r="B198" t="s">
        <v>1392</v>
      </c>
      <c r="C198" t="s">
        <v>1713</v>
      </c>
      <c r="D198" t="s">
        <v>1714</v>
      </c>
      <c r="E198">
        <v>2</v>
      </c>
      <c r="F198" t="str">
        <f t="shared" ref="F198:F261" si="3">(2*E198+1)&amp;"/2"</f>
        <v>5/2</v>
      </c>
      <c r="G198" s="4" t="s">
        <v>1402</v>
      </c>
      <c r="I198" s="3" t="s">
        <v>15</v>
      </c>
      <c r="K198" s="3" t="s">
        <v>43</v>
      </c>
      <c r="L198" s="3" t="s">
        <v>1102</v>
      </c>
      <c r="M198" s="4" t="s">
        <v>1402</v>
      </c>
      <c r="N198" s="3" t="s">
        <v>15</v>
      </c>
      <c r="O198" s="3" t="s">
        <v>1068</v>
      </c>
      <c r="P198" s="3" t="s">
        <v>1091</v>
      </c>
      <c r="Q198" s="3">
        <v>64</v>
      </c>
      <c r="S198" s="3" t="s">
        <v>1801</v>
      </c>
      <c r="T198" s="3">
        <v>59</v>
      </c>
      <c r="V198" s="3" t="s">
        <v>1858</v>
      </c>
      <c r="W198" s="4" t="s">
        <v>1104</v>
      </c>
      <c r="X198" s="3" t="s">
        <v>1758</v>
      </c>
      <c r="Y198" cm="1">
        <f t="array" ref="Y198">SUM(IF(INT($M$2:$M$594)&amp;" "&amp;$K$2:$K$594=INT($M198)&amp;" "&amp;$K198,1,0))</f>
        <v>1</v>
      </c>
      <c r="Z198" cm="1">
        <f t="array" ref="Z198">SUM(IF(ROUND($M$2:$M$594,0)&amp;" "&amp;$K$2:$K$594=ROUND($M198,0)&amp;" "&amp;$K198,1,0))</f>
        <v>1</v>
      </c>
      <c r="AA198" cm="1">
        <f t="array" ref="AA198">SUM(IF($W$2:$W$594=$W198,1,0))</f>
        <v>1</v>
      </c>
    </row>
    <row r="199" spans="1:27" x14ac:dyDescent="0.25">
      <c r="A199" t="s">
        <v>1664</v>
      </c>
      <c r="B199" t="s">
        <v>1670</v>
      </c>
      <c r="C199" t="s">
        <v>1715</v>
      </c>
      <c r="D199" t="s">
        <v>1714</v>
      </c>
      <c r="E199">
        <v>4</v>
      </c>
      <c r="F199" t="str">
        <f t="shared" si="3"/>
        <v>9/2</v>
      </c>
      <c r="G199" s="1" t="s">
        <v>1403</v>
      </c>
      <c r="I199" s="3" t="s">
        <v>15</v>
      </c>
      <c r="K199" s="3" t="s">
        <v>14</v>
      </c>
      <c r="M199" s="4" t="s">
        <v>1403</v>
      </c>
      <c r="N199" s="3" t="s">
        <v>15</v>
      </c>
      <c r="O199" s="3" t="s">
        <v>1763</v>
      </c>
      <c r="P199" s="3" t="s">
        <v>71</v>
      </c>
      <c r="W199" s="5" t="s">
        <v>1958</v>
      </c>
      <c r="X199" s="3" t="s">
        <v>1757</v>
      </c>
      <c r="Y199" cm="1">
        <f t="array" ref="Y199">SUM(IF(INT($M$2:$M$594)&amp;" "&amp;$K$2:$K$594=INT($M199)&amp;" "&amp;$K199,1,0))</f>
        <v>1</v>
      </c>
      <c r="Z199" cm="1">
        <f t="array" ref="Z199">SUM(IF(ROUND($M$2:$M$594,0)&amp;" "&amp;$K$2:$K$594=ROUND($M199,0)&amp;" "&amp;$K199,1,0))</f>
        <v>1</v>
      </c>
      <c r="AA199" cm="1">
        <f t="array" ref="AA199">SUM(IF($W$2:$W$594=$W199,1,0))</f>
        <v>1</v>
      </c>
    </row>
    <row r="200" spans="1:27" x14ac:dyDescent="0.25">
      <c r="A200" t="s">
        <v>1664</v>
      </c>
      <c r="B200" t="s">
        <v>1670</v>
      </c>
      <c r="C200" t="s">
        <v>1715</v>
      </c>
      <c r="D200" t="s">
        <v>1714</v>
      </c>
      <c r="E200">
        <v>3</v>
      </c>
      <c r="F200" t="str">
        <f t="shared" si="3"/>
        <v>7/2</v>
      </c>
      <c r="G200" s="1" t="s">
        <v>1404</v>
      </c>
      <c r="I200" s="3" t="s">
        <v>15</v>
      </c>
      <c r="K200" s="3" t="s">
        <v>47</v>
      </c>
      <c r="M200" s="4" t="s">
        <v>1404</v>
      </c>
      <c r="N200" s="3" t="s">
        <v>15</v>
      </c>
      <c r="O200" s="3" t="s">
        <v>1763</v>
      </c>
      <c r="P200" s="3" t="s">
        <v>71</v>
      </c>
      <c r="W200" s="5" t="s">
        <v>1959</v>
      </c>
      <c r="X200" s="3" t="s">
        <v>1757</v>
      </c>
      <c r="Y200" cm="1">
        <f t="array" ref="Y200">SUM(IF(INT($M$2:$M$594)&amp;" "&amp;$K$2:$K$594=INT($M200)&amp;" "&amp;$K200,1,0))</f>
        <v>1</v>
      </c>
      <c r="Z200" cm="1">
        <f t="array" ref="Z200">SUM(IF(ROUND($M$2:$M$594,0)&amp;" "&amp;$K$2:$K$594=ROUND($M200,0)&amp;" "&amp;$K200,1,0))</f>
        <v>1</v>
      </c>
      <c r="AA200" cm="1">
        <f t="array" ref="AA200">SUM(IF($W$2:$W$594=$W200,1,0))</f>
        <v>1</v>
      </c>
    </row>
    <row r="201" spans="1:27" x14ac:dyDescent="0.25">
      <c r="A201" t="s">
        <v>1664</v>
      </c>
      <c r="B201" t="s">
        <v>1392</v>
      </c>
      <c r="C201" t="s">
        <v>1713</v>
      </c>
      <c r="D201" t="s">
        <v>1714</v>
      </c>
      <c r="E201">
        <v>1</v>
      </c>
      <c r="F201" t="str">
        <f t="shared" si="3"/>
        <v>3/2</v>
      </c>
      <c r="G201" s="1" t="s">
        <v>1405</v>
      </c>
      <c r="I201" s="3" t="s">
        <v>15</v>
      </c>
      <c r="K201" s="3" t="s">
        <v>35</v>
      </c>
      <c r="M201" s="4" t="s">
        <v>1405</v>
      </c>
      <c r="N201" s="3" t="s">
        <v>15</v>
      </c>
      <c r="O201" s="3" t="s">
        <v>1068</v>
      </c>
      <c r="P201" s="3" t="s">
        <v>71</v>
      </c>
      <c r="W201" s="5" t="s">
        <v>1960</v>
      </c>
      <c r="X201" s="3" t="s">
        <v>1757</v>
      </c>
      <c r="Y201" cm="1">
        <f t="array" ref="Y201">SUM(IF(INT($M$2:$M$594)&amp;" "&amp;$K$2:$K$594=INT($M201)&amp;" "&amp;$K201,1,0))</f>
        <v>1</v>
      </c>
      <c r="Z201" cm="1">
        <f t="array" ref="Z201">SUM(IF(ROUND($M$2:$M$594,0)&amp;" "&amp;$K$2:$K$594=ROUND($M201,0)&amp;" "&amp;$K201,1,0))</f>
        <v>1</v>
      </c>
      <c r="AA201" cm="1">
        <f t="array" ref="AA201">SUM(IF($W$2:$W$594=$W201,1,0))</f>
        <v>1</v>
      </c>
    </row>
    <row r="202" spans="1:27" x14ac:dyDescent="0.25">
      <c r="A202" t="s">
        <v>1664</v>
      </c>
      <c r="B202" t="s">
        <v>1392</v>
      </c>
      <c r="C202" t="s">
        <v>1713</v>
      </c>
      <c r="D202" t="s">
        <v>1714</v>
      </c>
      <c r="E202">
        <v>0</v>
      </c>
      <c r="F202" t="str">
        <f t="shared" si="3"/>
        <v>1/2</v>
      </c>
      <c r="G202" s="1" t="s">
        <v>1406</v>
      </c>
      <c r="I202" s="3" t="s">
        <v>15</v>
      </c>
      <c r="K202" s="3" t="s">
        <v>145</v>
      </c>
      <c r="M202" s="4" t="s">
        <v>1406</v>
      </c>
      <c r="N202" s="3" t="s">
        <v>15</v>
      </c>
      <c r="O202" s="3" t="s">
        <v>1068</v>
      </c>
      <c r="P202" s="3" t="s">
        <v>71</v>
      </c>
      <c r="W202" s="5" t="s">
        <v>1961</v>
      </c>
      <c r="X202" s="3" t="s">
        <v>1757</v>
      </c>
      <c r="Y202" cm="1">
        <f t="array" ref="Y202">SUM(IF(INT($M$2:$M$594)&amp;" "&amp;$K$2:$K$594=INT($M202)&amp;" "&amp;$K202,1,0))</f>
        <v>1</v>
      </c>
      <c r="Z202" cm="1">
        <f t="array" ref="Z202">SUM(IF(ROUND($M$2:$M$594,0)&amp;" "&amp;$K$2:$K$594=ROUND($M202,0)&amp;" "&amp;$K202,1,0))</f>
        <v>1</v>
      </c>
      <c r="AA202" cm="1">
        <f t="array" ref="AA202">SUM(IF($W$2:$W$594=$W202,1,0))</f>
        <v>1</v>
      </c>
    </row>
    <row r="203" spans="1:27" x14ac:dyDescent="0.25">
      <c r="A203" t="s">
        <v>1664</v>
      </c>
      <c r="B203" t="s">
        <v>1392</v>
      </c>
      <c r="C203" t="s">
        <v>1713</v>
      </c>
      <c r="D203" t="s">
        <v>1714</v>
      </c>
      <c r="E203">
        <v>2</v>
      </c>
      <c r="F203" t="str">
        <f t="shared" si="3"/>
        <v>5/2</v>
      </c>
      <c r="G203" s="1" t="s">
        <v>1407</v>
      </c>
      <c r="I203" s="3" t="s">
        <v>15</v>
      </c>
      <c r="K203" s="3" t="s">
        <v>43</v>
      </c>
      <c r="M203" s="4" t="s">
        <v>1407</v>
      </c>
      <c r="N203" s="3" t="s">
        <v>15</v>
      </c>
      <c r="O203" s="3" t="s">
        <v>1068</v>
      </c>
      <c r="P203" s="3" t="s">
        <v>71</v>
      </c>
      <c r="W203" s="5" t="s">
        <v>1962</v>
      </c>
      <c r="X203" s="3" t="s">
        <v>1757</v>
      </c>
      <c r="Y203" cm="1">
        <f t="array" ref="Y203">SUM(IF(INT($M$2:$M$594)&amp;" "&amp;$K$2:$K$594=INT($M203)&amp;" "&amp;$K203,1,0))</f>
        <v>1</v>
      </c>
      <c r="Z203" cm="1">
        <f t="array" ref="Z203">SUM(IF(ROUND($M$2:$M$594,0)&amp;" "&amp;$K$2:$K$594=ROUND($M203,0)&amp;" "&amp;$K203,1,0))</f>
        <v>1</v>
      </c>
      <c r="AA203" cm="1">
        <f t="array" ref="AA203">SUM(IF($W$2:$W$594=$W203,1,0))</f>
        <v>1</v>
      </c>
    </row>
    <row r="204" spans="1:27" x14ac:dyDescent="0.25">
      <c r="B204" t="s">
        <v>1392</v>
      </c>
      <c r="C204" t="s">
        <v>1713</v>
      </c>
      <c r="D204" t="s">
        <v>1714</v>
      </c>
      <c r="E204">
        <v>4</v>
      </c>
      <c r="F204" t="str">
        <f t="shared" si="3"/>
        <v>9/2</v>
      </c>
      <c r="G204" s="4" t="s">
        <v>1408</v>
      </c>
      <c r="I204" s="3" t="s">
        <v>15</v>
      </c>
      <c r="K204" s="3" t="s">
        <v>14</v>
      </c>
      <c r="L204" s="3" t="s">
        <v>1105</v>
      </c>
      <c r="M204" s="4" t="s">
        <v>1408</v>
      </c>
      <c r="N204" s="3" t="s">
        <v>15</v>
      </c>
      <c r="O204" s="3" t="s">
        <v>1068</v>
      </c>
      <c r="P204" s="3" t="s">
        <v>1081</v>
      </c>
      <c r="Q204" s="3">
        <v>72</v>
      </c>
      <c r="S204" s="3" t="s">
        <v>1801</v>
      </c>
      <c r="T204" s="3">
        <v>58</v>
      </c>
      <c r="V204" s="3" t="s">
        <v>1840</v>
      </c>
      <c r="W204" s="4" t="s">
        <v>1107</v>
      </c>
      <c r="X204" s="3" t="s">
        <v>1758</v>
      </c>
      <c r="Y204" cm="1">
        <f t="array" ref="Y204">SUM(IF(INT($M$2:$M$594)&amp;" "&amp;$K$2:$K$594=INT($M204)&amp;" "&amp;$K204,1,0))</f>
        <v>1</v>
      </c>
      <c r="Z204" cm="1">
        <f t="array" ref="Z204">SUM(IF(ROUND($M$2:$M$594,0)&amp;" "&amp;$K$2:$K$594=ROUND($M204,0)&amp;" "&amp;$K204,1,0))</f>
        <v>1</v>
      </c>
      <c r="AA204" cm="1">
        <f t="array" ref="AA204">SUM(IF($W$2:$W$594=$W204,1,0))</f>
        <v>1</v>
      </c>
    </row>
    <row r="205" spans="1:27" x14ac:dyDescent="0.25">
      <c r="B205" t="s">
        <v>1409</v>
      </c>
      <c r="C205" t="s">
        <v>1713</v>
      </c>
      <c r="D205" t="s">
        <v>1716</v>
      </c>
      <c r="E205">
        <v>5</v>
      </c>
      <c r="F205" t="str">
        <f t="shared" si="3"/>
        <v>11/2</v>
      </c>
      <c r="G205" s="4" t="s">
        <v>1410</v>
      </c>
      <c r="I205" s="3" t="s">
        <v>15</v>
      </c>
      <c r="K205" s="3" t="s">
        <v>22</v>
      </c>
      <c r="L205" s="3" t="s">
        <v>1109</v>
      </c>
      <c r="M205" s="4" t="s">
        <v>1410</v>
      </c>
      <c r="N205" s="3" t="s">
        <v>15</v>
      </c>
      <c r="O205" s="3" t="s">
        <v>1108</v>
      </c>
      <c r="P205" s="3" t="s">
        <v>1081</v>
      </c>
      <c r="Q205" s="3">
        <v>66</v>
      </c>
      <c r="S205" s="3" t="s">
        <v>1801</v>
      </c>
      <c r="T205" s="3">
        <v>61</v>
      </c>
      <c r="V205" s="3" t="s">
        <v>1854</v>
      </c>
      <c r="W205" s="4" t="s">
        <v>1111</v>
      </c>
      <c r="X205" s="3" t="s">
        <v>1758</v>
      </c>
      <c r="Y205" cm="1">
        <f t="array" ref="Y205">SUM(IF(INT($M$2:$M$594)&amp;" "&amp;$K$2:$K$594=INT($M205)&amp;" "&amp;$K205,1,0))</f>
        <v>1</v>
      </c>
      <c r="Z205" cm="1">
        <f t="array" ref="Z205">SUM(IF(ROUND($M$2:$M$594,0)&amp;" "&amp;$K$2:$K$594=ROUND($M205,0)&amp;" "&amp;$K205,1,0))</f>
        <v>1</v>
      </c>
      <c r="AA205" cm="1">
        <f t="array" ref="AA205">SUM(IF($W$2:$W$594=$W205,1,0))</f>
        <v>1</v>
      </c>
    </row>
    <row r="206" spans="1:27" x14ac:dyDescent="0.25">
      <c r="B206" t="s">
        <v>1409</v>
      </c>
      <c r="C206" t="s">
        <v>1713</v>
      </c>
      <c r="D206" t="s">
        <v>1716</v>
      </c>
      <c r="E206">
        <v>6</v>
      </c>
      <c r="F206" t="str">
        <f t="shared" si="3"/>
        <v>13/2</v>
      </c>
      <c r="G206" s="4" t="s">
        <v>1411</v>
      </c>
      <c r="I206" s="3" t="s">
        <v>15</v>
      </c>
      <c r="K206" s="3" t="s">
        <v>26</v>
      </c>
      <c r="L206" s="3" t="s">
        <v>1112</v>
      </c>
      <c r="M206" s="4" t="s">
        <v>1411</v>
      </c>
      <c r="N206" s="3" t="s">
        <v>15</v>
      </c>
      <c r="O206" s="3" t="s">
        <v>1108</v>
      </c>
      <c r="P206" s="3" t="s">
        <v>1077</v>
      </c>
      <c r="Q206" s="3">
        <v>51</v>
      </c>
      <c r="S206" s="3" t="s">
        <v>1801</v>
      </c>
      <c r="T206" s="3">
        <v>39</v>
      </c>
      <c r="V206" s="3" t="s">
        <v>1856</v>
      </c>
      <c r="W206" s="4" t="s">
        <v>1114</v>
      </c>
      <c r="X206" s="3" t="s">
        <v>1758</v>
      </c>
      <c r="Y206" cm="1">
        <f t="array" ref="Y206">SUM(IF(INT($M$2:$M$594)&amp;" "&amp;$K$2:$K$594=INT($M206)&amp;" "&amp;$K206,1,0))</f>
        <v>1</v>
      </c>
      <c r="Z206" cm="1">
        <f t="array" ref="Z206">SUM(IF(ROUND($M$2:$M$594,0)&amp;" "&amp;$K$2:$K$594=ROUND($M206,0)&amp;" "&amp;$K206,1,0))</f>
        <v>1</v>
      </c>
      <c r="AA206" cm="1">
        <f t="array" ref="AA206">SUM(IF($W$2:$W$594=$W206,1,0))</f>
        <v>1</v>
      </c>
    </row>
    <row r="207" spans="1:27" x14ac:dyDescent="0.25">
      <c r="A207" t="s">
        <v>1664</v>
      </c>
      <c r="B207" t="s">
        <v>1670</v>
      </c>
      <c r="C207" t="s">
        <v>1715</v>
      </c>
      <c r="D207" t="s">
        <v>1714</v>
      </c>
      <c r="E207">
        <v>4</v>
      </c>
      <c r="F207" t="str">
        <f t="shared" si="3"/>
        <v>9/2</v>
      </c>
      <c r="G207" s="1" t="s">
        <v>1412</v>
      </c>
      <c r="I207" s="3" t="s">
        <v>15</v>
      </c>
      <c r="K207" s="3" t="s">
        <v>14</v>
      </c>
      <c r="M207" s="4" t="s">
        <v>1412</v>
      </c>
      <c r="N207" s="3" t="s">
        <v>15</v>
      </c>
      <c r="O207" s="3" t="s">
        <v>1763</v>
      </c>
      <c r="P207" s="3" t="s">
        <v>71</v>
      </c>
      <c r="W207" s="5" t="s">
        <v>1963</v>
      </c>
      <c r="X207" s="3" t="s">
        <v>1757</v>
      </c>
      <c r="Y207" cm="1">
        <f t="array" ref="Y207">SUM(IF(INT($M$2:$M$594)&amp;" "&amp;$K$2:$K$594=INT($M207)&amp;" "&amp;$K207,1,0))</f>
        <v>1</v>
      </c>
      <c r="Z207" cm="1">
        <f t="array" ref="Z207">SUM(IF(ROUND($M$2:$M$594,0)&amp;" "&amp;$K$2:$K$594=ROUND($M207,0)&amp;" "&amp;$K207,1,0))</f>
        <v>1</v>
      </c>
      <c r="AA207" cm="1">
        <f t="array" ref="AA207">SUM(IF($W$2:$W$594=$W207,1,0))</f>
        <v>1</v>
      </c>
    </row>
    <row r="208" spans="1:27" x14ac:dyDescent="0.25">
      <c r="B208" t="s">
        <v>1409</v>
      </c>
      <c r="C208" t="s">
        <v>1713</v>
      </c>
      <c r="D208" t="s">
        <v>1716</v>
      </c>
      <c r="E208">
        <v>7</v>
      </c>
      <c r="F208" t="str">
        <f t="shared" si="3"/>
        <v>15/2</v>
      </c>
      <c r="G208" s="1" t="s">
        <v>1115</v>
      </c>
      <c r="I208" s="3" t="s">
        <v>15</v>
      </c>
      <c r="K208" s="3" t="s">
        <v>30</v>
      </c>
      <c r="L208" s="4" t="s">
        <v>1115</v>
      </c>
      <c r="M208" s="4" t="s">
        <v>1115</v>
      </c>
      <c r="N208" s="3" t="s">
        <v>15</v>
      </c>
      <c r="O208" s="3" t="s">
        <v>1108</v>
      </c>
      <c r="P208" s="3" t="s">
        <v>1077</v>
      </c>
      <c r="Q208" s="3">
        <v>88</v>
      </c>
      <c r="S208" s="3" t="s">
        <v>1801</v>
      </c>
      <c r="T208" s="3">
        <v>72</v>
      </c>
      <c r="V208" s="3" t="s">
        <v>1853</v>
      </c>
      <c r="W208" s="4" t="s">
        <v>1117</v>
      </c>
      <c r="X208" s="3" t="s">
        <v>21</v>
      </c>
      <c r="Y208" cm="1">
        <f t="array" ref="Y208">SUM(IF(INT($M$2:$M$594)&amp;" "&amp;$K$2:$K$594=INT($M208)&amp;" "&amp;$K208,1,0))</f>
        <v>1</v>
      </c>
      <c r="Z208" cm="1">
        <f t="array" ref="Z208">SUM(IF(ROUND($M$2:$M$594,0)&amp;" "&amp;$K$2:$K$594=ROUND($M208,0)&amp;" "&amp;$K208,1,0))</f>
        <v>1</v>
      </c>
      <c r="AA208" cm="1">
        <f t="array" ref="AA208">SUM(IF($W$2:$W$594=$W208,1,0))</f>
        <v>1</v>
      </c>
    </row>
    <row r="209" spans="1:27" x14ac:dyDescent="0.25">
      <c r="B209" t="s">
        <v>1409</v>
      </c>
      <c r="C209" t="s">
        <v>1713</v>
      </c>
      <c r="D209" t="s">
        <v>1716</v>
      </c>
      <c r="E209">
        <v>8</v>
      </c>
      <c r="F209" t="str">
        <f t="shared" si="3"/>
        <v>17/2</v>
      </c>
      <c r="G209" s="1" t="s">
        <v>1119</v>
      </c>
      <c r="I209" s="3" t="s">
        <v>15</v>
      </c>
      <c r="K209" s="3" t="s">
        <v>164</v>
      </c>
      <c r="L209" s="4" t="s">
        <v>1119</v>
      </c>
      <c r="M209" s="4" t="s">
        <v>1119</v>
      </c>
      <c r="N209" s="3" t="s">
        <v>15</v>
      </c>
      <c r="O209" s="3" t="s">
        <v>1108</v>
      </c>
      <c r="P209" s="3" t="s">
        <v>1118</v>
      </c>
      <c r="Q209" s="3">
        <v>94</v>
      </c>
      <c r="S209" s="3" t="s">
        <v>1801</v>
      </c>
      <c r="T209" s="3">
        <v>94</v>
      </c>
      <c r="V209" s="3" t="s">
        <v>1855</v>
      </c>
      <c r="W209" s="4" t="s">
        <v>1121</v>
      </c>
      <c r="X209" s="3" t="s">
        <v>21</v>
      </c>
      <c r="Y209" cm="1">
        <f t="array" ref="Y209">SUM(IF(INT($M$2:$M$594)&amp;" "&amp;$K$2:$K$594=INT($M209)&amp;" "&amp;$K209,1,0))</f>
        <v>1</v>
      </c>
      <c r="Z209" cm="1">
        <f t="array" ref="Z209">SUM(IF(ROUND($M$2:$M$594,0)&amp;" "&amp;$K$2:$K$594=ROUND($M209,0)&amp;" "&amp;$K209,1,0))</f>
        <v>1</v>
      </c>
      <c r="AA209" cm="1">
        <f t="array" ref="AA209">SUM(IF($W$2:$W$594=$W209,1,0))</f>
        <v>1</v>
      </c>
    </row>
    <row r="210" spans="1:27" x14ac:dyDescent="0.25">
      <c r="A210" t="s">
        <v>1664</v>
      </c>
      <c r="B210" t="s">
        <v>1670</v>
      </c>
      <c r="C210" t="s">
        <v>1715</v>
      </c>
      <c r="D210" t="s">
        <v>1714</v>
      </c>
      <c r="E210">
        <v>3</v>
      </c>
      <c r="F210" t="str">
        <f t="shared" si="3"/>
        <v>7/2</v>
      </c>
      <c r="G210" s="1" t="s">
        <v>1413</v>
      </c>
      <c r="I210" s="3" t="s">
        <v>15</v>
      </c>
      <c r="K210" s="3" t="s">
        <v>47</v>
      </c>
      <c r="M210" s="4" t="s">
        <v>1413</v>
      </c>
      <c r="N210" s="3" t="s">
        <v>15</v>
      </c>
      <c r="O210" s="3" t="s">
        <v>1763</v>
      </c>
      <c r="P210" s="3" t="s">
        <v>71</v>
      </c>
      <c r="W210" s="5" t="s">
        <v>1965</v>
      </c>
      <c r="X210" s="3" t="s">
        <v>1757</v>
      </c>
      <c r="Y210" cm="1">
        <f t="array" ref="Y210">SUM(IF(INT($M$2:$M$594)&amp;" "&amp;$K$2:$K$594=INT($M210)&amp;" "&amp;$K210,1,0))</f>
        <v>1</v>
      </c>
      <c r="Z210" cm="1">
        <f t="array" ref="Z210">SUM(IF(ROUND($M$2:$M$594,0)&amp;" "&amp;$K$2:$K$594=ROUND($M210,0)&amp;" "&amp;$K210,1,0))</f>
        <v>1</v>
      </c>
      <c r="AA210" cm="1">
        <f t="array" ref="AA210">SUM(IF($W$2:$W$594=$W210,1,0))</f>
        <v>1</v>
      </c>
    </row>
    <row r="211" spans="1:27" x14ac:dyDescent="0.25">
      <c r="B211" t="s">
        <v>1409</v>
      </c>
      <c r="C211" t="s">
        <v>1713</v>
      </c>
      <c r="D211" t="s">
        <v>1716</v>
      </c>
      <c r="E211">
        <v>4</v>
      </c>
      <c r="F211" t="str">
        <f t="shared" si="3"/>
        <v>9/2</v>
      </c>
      <c r="G211" s="4" t="s">
        <v>1414</v>
      </c>
      <c r="I211" s="3" t="s">
        <v>15</v>
      </c>
      <c r="K211" s="3" t="s">
        <v>14</v>
      </c>
      <c r="L211" s="3" t="s">
        <v>1122</v>
      </c>
      <c r="M211" s="4" t="s">
        <v>1414</v>
      </c>
      <c r="N211" s="3" t="s">
        <v>15</v>
      </c>
      <c r="O211" s="3" t="s">
        <v>1108</v>
      </c>
      <c r="P211" s="3" t="s">
        <v>1081</v>
      </c>
      <c r="Q211" s="3">
        <v>62</v>
      </c>
      <c r="W211" s="4" t="s">
        <v>1124</v>
      </c>
      <c r="X211" s="3" t="s">
        <v>1758</v>
      </c>
      <c r="Y211" cm="1">
        <f t="array" ref="Y211">SUM(IF(INT($M$2:$M$594)&amp;" "&amp;$K$2:$K$594=INT($M211)&amp;" "&amp;$K211,1,0))</f>
        <v>1</v>
      </c>
      <c r="Z211" cm="1">
        <f t="array" ref="Z211">SUM(IF(ROUND($M$2:$M$594,0)&amp;" "&amp;$K$2:$K$594=ROUND($M211,0)&amp;" "&amp;$K211,1,0))</f>
        <v>1</v>
      </c>
      <c r="AA211" cm="1">
        <f t="array" ref="AA211">SUM(IF($W$2:$W$594=$W211,1,0))</f>
        <v>1</v>
      </c>
    </row>
    <row r="212" spans="1:27" x14ac:dyDescent="0.25">
      <c r="A212" t="s">
        <v>1664</v>
      </c>
      <c r="B212" t="s">
        <v>1670</v>
      </c>
      <c r="C212" t="s">
        <v>1715</v>
      </c>
      <c r="D212" t="s">
        <v>1714</v>
      </c>
      <c r="E212">
        <v>5</v>
      </c>
      <c r="F212" t="str">
        <f t="shared" si="3"/>
        <v>11/2</v>
      </c>
      <c r="G212" s="1" t="s">
        <v>1415</v>
      </c>
      <c r="I212" s="3" t="s">
        <v>15</v>
      </c>
      <c r="K212" s="3" t="s">
        <v>22</v>
      </c>
      <c r="M212" s="4" t="s">
        <v>1415</v>
      </c>
      <c r="N212" s="3" t="s">
        <v>15</v>
      </c>
      <c r="O212" s="3" t="s">
        <v>1763</v>
      </c>
      <c r="P212" s="3" t="s">
        <v>71</v>
      </c>
      <c r="W212" s="5" t="s">
        <v>1966</v>
      </c>
      <c r="X212" s="3" t="s">
        <v>1757</v>
      </c>
      <c r="Y212" cm="1">
        <f t="array" ref="Y212">SUM(IF(INT($M$2:$M$594)&amp;" "&amp;$K$2:$K$594=INT($M212)&amp;" "&amp;$K212,1,0))</f>
        <v>1</v>
      </c>
      <c r="Z212" cm="1">
        <f t="array" ref="Z212">SUM(IF(ROUND($M$2:$M$594,0)&amp;" "&amp;$K$2:$K$594=ROUND($M212,0)&amp;" "&amp;$K212,1,0))</f>
        <v>1</v>
      </c>
      <c r="AA212" cm="1">
        <f t="array" ref="AA212">SUM(IF($W$2:$W$594=$W212,1,0))</f>
        <v>1</v>
      </c>
    </row>
    <row r="213" spans="1:27" x14ac:dyDescent="0.25">
      <c r="A213" t="s">
        <v>1664</v>
      </c>
      <c r="B213" t="s">
        <v>1670</v>
      </c>
      <c r="C213" t="s">
        <v>1715</v>
      </c>
      <c r="D213" t="s">
        <v>1714</v>
      </c>
      <c r="E213">
        <v>2</v>
      </c>
      <c r="F213" t="str">
        <f t="shared" si="3"/>
        <v>5/2</v>
      </c>
      <c r="G213" s="1" t="s">
        <v>1416</v>
      </c>
      <c r="I213" s="3" t="s">
        <v>15</v>
      </c>
      <c r="K213" s="3" t="s">
        <v>43</v>
      </c>
      <c r="M213" s="4" t="s">
        <v>1416</v>
      </c>
      <c r="N213" s="3" t="s">
        <v>15</v>
      </c>
      <c r="O213" s="3" t="s">
        <v>1763</v>
      </c>
      <c r="P213" s="3" t="s">
        <v>71</v>
      </c>
      <c r="W213" s="5" t="s">
        <v>1967</v>
      </c>
      <c r="X213" s="3" t="s">
        <v>1757</v>
      </c>
      <c r="Y213" cm="1">
        <f t="array" ref="Y213">SUM(IF(INT($M$2:$M$594)&amp;" "&amp;$K$2:$K$594=INT($M213)&amp;" "&amp;$K213,1,0))</f>
        <v>1</v>
      </c>
      <c r="Z213" cm="1">
        <f t="array" ref="Z213">SUM(IF(ROUND($M$2:$M$594,0)&amp;" "&amp;$K$2:$K$594=ROUND($M213,0)&amp;" "&amp;$K213,1,0))</f>
        <v>1</v>
      </c>
      <c r="AA213" cm="1">
        <f t="array" ref="AA213">SUM(IF($W$2:$W$594=$W213,1,0))</f>
        <v>1</v>
      </c>
    </row>
    <row r="214" spans="1:27" x14ac:dyDescent="0.25">
      <c r="B214" t="s">
        <v>1409</v>
      </c>
      <c r="C214" t="s">
        <v>1713</v>
      </c>
      <c r="D214" t="s">
        <v>1716</v>
      </c>
      <c r="E214">
        <v>3</v>
      </c>
      <c r="F214" t="str">
        <f t="shared" si="3"/>
        <v>7/2</v>
      </c>
      <c r="G214" s="4" t="s">
        <v>1417</v>
      </c>
      <c r="I214" s="3" t="s">
        <v>15</v>
      </c>
      <c r="K214" s="3" t="s">
        <v>47</v>
      </c>
      <c r="L214" s="3" t="s">
        <v>1125</v>
      </c>
      <c r="M214" s="4" t="s">
        <v>1417</v>
      </c>
      <c r="N214" s="3" t="s">
        <v>15</v>
      </c>
      <c r="O214" s="3" t="s">
        <v>1108</v>
      </c>
      <c r="P214" s="3" t="s">
        <v>1073</v>
      </c>
      <c r="Q214" s="3">
        <v>50</v>
      </c>
      <c r="S214" s="3" t="s">
        <v>1801</v>
      </c>
      <c r="T214" s="3">
        <v>44</v>
      </c>
      <c r="V214" s="3" t="s">
        <v>1858</v>
      </c>
      <c r="W214" s="4" t="s">
        <v>1127</v>
      </c>
      <c r="X214" s="3" t="s">
        <v>1758</v>
      </c>
      <c r="Y214" cm="1">
        <f t="array" ref="Y214">SUM(IF(INT($M$2:$M$594)&amp;" "&amp;$K$2:$K$594=INT($M214)&amp;" "&amp;$K214,1,0))</f>
        <v>1</v>
      </c>
      <c r="Z214" cm="1">
        <f t="array" ref="Z214">SUM(IF(ROUND($M$2:$M$594,0)&amp;" "&amp;$K$2:$K$594=ROUND($M214,0)&amp;" "&amp;$K214,1,0))</f>
        <v>1</v>
      </c>
      <c r="AA214" cm="1">
        <f t="array" ref="AA214">SUM(IF($W$2:$W$594=$W214,1,0))</f>
        <v>1</v>
      </c>
    </row>
    <row r="215" spans="1:27" x14ac:dyDescent="0.25">
      <c r="B215" t="s">
        <v>1409</v>
      </c>
      <c r="C215" t="s">
        <v>1713</v>
      </c>
      <c r="D215" t="s">
        <v>1716</v>
      </c>
      <c r="E215">
        <v>2</v>
      </c>
      <c r="F215" t="str">
        <f t="shared" si="3"/>
        <v>5/2</v>
      </c>
      <c r="G215" s="1" t="s">
        <v>1128</v>
      </c>
      <c r="I215" s="3" t="s">
        <v>15</v>
      </c>
      <c r="K215" s="3" t="s">
        <v>43</v>
      </c>
      <c r="L215" s="4" t="s">
        <v>1128</v>
      </c>
      <c r="M215" s="4" t="s">
        <v>1128</v>
      </c>
      <c r="N215" s="3" t="s">
        <v>15</v>
      </c>
      <c r="O215" s="3" t="s">
        <v>1108</v>
      </c>
      <c r="P215" s="3" t="s">
        <v>1098</v>
      </c>
      <c r="Q215" s="3">
        <v>45</v>
      </c>
      <c r="S215" s="3" t="s">
        <v>1801</v>
      </c>
      <c r="T215" s="3">
        <v>23</v>
      </c>
      <c r="V215" s="3" t="s">
        <v>1860</v>
      </c>
      <c r="W215" s="4" t="s">
        <v>1130</v>
      </c>
      <c r="X215" s="3" t="s">
        <v>21</v>
      </c>
      <c r="Y215" cm="1">
        <f t="array" ref="Y215">SUM(IF(INT($M$2:$M$594)&amp;" "&amp;$K$2:$K$594=INT($M215)&amp;" "&amp;$K215,1,0))</f>
        <v>1</v>
      </c>
      <c r="Z215" cm="1">
        <f t="array" ref="Z215">SUM(IF(ROUND($M$2:$M$594,0)&amp;" "&amp;$K$2:$K$594=ROUND($M215,0)&amp;" "&amp;$K215,1,0))</f>
        <v>1</v>
      </c>
      <c r="AA215" cm="1">
        <f t="array" ref="AA215">SUM(IF($W$2:$W$594=$W215,1,0))</f>
        <v>1</v>
      </c>
    </row>
    <row r="216" spans="1:27" x14ac:dyDescent="0.25">
      <c r="B216" t="s">
        <v>1409</v>
      </c>
      <c r="C216" t="s">
        <v>1713</v>
      </c>
      <c r="D216" t="s">
        <v>1716</v>
      </c>
      <c r="E216">
        <v>6</v>
      </c>
      <c r="F216" t="str">
        <f t="shared" si="3"/>
        <v>13/2</v>
      </c>
      <c r="G216" s="4" t="s">
        <v>1418</v>
      </c>
      <c r="I216" s="3" t="s">
        <v>15</v>
      </c>
      <c r="K216" s="3" t="s">
        <v>26</v>
      </c>
      <c r="L216" s="3" t="s">
        <v>1131</v>
      </c>
      <c r="M216" s="4" t="s">
        <v>1418</v>
      </c>
      <c r="N216" s="3" t="s">
        <v>15</v>
      </c>
      <c r="O216" s="3" t="s">
        <v>1108</v>
      </c>
      <c r="P216" s="3" t="s">
        <v>1069</v>
      </c>
      <c r="Q216" s="3">
        <v>49</v>
      </c>
      <c r="S216" s="3" t="s">
        <v>1801</v>
      </c>
      <c r="T216" s="3">
        <v>43</v>
      </c>
      <c r="V216" s="3" t="s">
        <v>1861</v>
      </c>
      <c r="W216" s="4" t="s">
        <v>1133</v>
      </c>
      <c r="X216" s="3" t="s">
        <v>1758</v>
      </c>
      <c r="Y216" cm="1">
        <f t="array" ref="Y216">SUM(IF(INT($M$2:$M$594)&amp;" "&amp;$K$2:$K$594=INT($M216)&amp;" "&amp;$K216,1,0))</f>
        <v>1</v>
      </c>
      <c r="Z216" cm="1">
        <f t="array" ref="Z216">SUM(IF(ROUND($M$2:$M$594,0)&amp;" "&amp;$K$2:$K$594=ROUND($M216,0)&amp;" "&amp;$K216,1,0))</f>
        <v>1</v>
      </c>
      <c r="AA216" cm="1">
        <f t="array" ref="AA216">SUM(IF($W$2:$W$594=$W216,1,0))</f>
        <v>1</v>
      </c>
    </row>
    <row r="217" spans="1:27" x14ac:dyDescent="0.25">
      <c r="B217" t="s">
        <v>1409</v>
      </c>
      <c r="C217" t="s">
        <v>1713</v>
      </c>
      <c r="D217" t="s">
        <v>1716</v>
      </c>
      <c r="E217">
        <v>3</v>
      </c>
      <c r="F217" t="str">
        <f t="shared" si="3"/>
        <v>7/2</v>
      </c>
      <c r="G217" s="4" t="s">
        <v>1419</v>
      </c>
      <c r="I217" s="3" t="s">
        <v>15</v>
      </c>
      <c r="K217" s="3" t="s">
        <v>47</v>
      </c>
      <c r="L217" s="3" t="s">
        <v>1134</v>
      </c>
      <c r="M217" s="4" t="s">
        <v>1419</v>
      </c>
      <c r="N217" s="3" t="s">
        <v>15</v>
      </c>
      <c r="O217" s="3" t="s">
        <v>1108</v>
      </c>
      <c r="P217" s="3" t="s">
        <v>1098</v>
      </c>
      <c r="Q217" s="3">
        <v>46</v>
      </c>
      <c r="S217" s="3" t="s">
        <v>1801</v>
      </c>
      <c r="T217" s="3">
        <v>51</v>
      </c>
      <c r="V217" s="3" t="s">
        <v>1862</v>
      </c>
      <c r="W217" s="4" t="s">
        <v>1136</v>
      </c>
      <c r="X217" s="3" t="s">
        <v>1758</v>
      </c>
      <c r="Y217" cm="1">
        <f t="array" ref="Y217">SUM(IF(INT($M$2:$M$594)&amp;" "&amp;$K$2:$K$594=INT($M217)&amp;" "&amp;$K217,1,0))</f>
        <v>1</v>
      </c>
      <c r="Z217" cm="1">
        <f t="array" ref="Z217">SUM(IF(ROUND($M$2:$M$594,0)&amp;" "&amp;$K$2:$K$594=ROUND($M217,0)&amp;" "&amp;$K217,1,0))</f>
        <v>1</v>
      </c>
      <c r="AA217" cm="1">
        <f t="array" ref="AA217">SUM(IF($W$2:$W$594=$W217,1,0))</f>
        <v>1</v>
      </c>
    </row>
    <row r="218" spans="1:27" x14ac:dyDescent="0.25">
      <c r="B218" t="s">
        <v>1409</v>
      </c>
      <c r="C218" t="s">
        <v>1713</v>
      </c>
      <c r="D218" t="s">
        <v>1716</v>
      </c>
      <c r="E218">
        <v>5</v>
      </c>
      <c r="F218" t="str">
        <f t="shared" si="3"/>
        <v>11/2</v>
      </c>
      <c r="G218" s="4" t="s">
        <v>1420</v>
      </c>
      <c r="I218" s="3" t="s">
        <v>15</v>
      </c>
      <c r="K218" s="3" t="s">
        <v>22</v>
      </c>
      <c r="L218" s="3" t="s">
        <v>1137</v>
      </c>
      <c r="M218" s="4" t="s">
        <v>1420</v>
      </c>
      <c r="N218" s="3" t="s">
        <v>15</v>
      </c>
      <c r="O218" s="3" t="s">
        <v>1108</v>
      </c>
      <c r="P218" s="3" t="s">
        <v>1069</v>
      </c>
      <c r="Q218" s="3">
        <v>61</v>
      </c>
      <c r="S218" s="3" t="s">
        <v>1801</v>
      </c>
      <c r="T218" s="3">
        <v>67</v>
      </c>
      <c r="V218" s="3" t="s">
        <v>1863</v>
      </c>
      <c r="W218" s="4" t="s">
        <v>1139</v>
      </c>
      <c r="X218" s="3" t="s">
        <v>1758</v>
      </c>
      <c r="Y218" cm="1">
        <f t="array" ref="Y218">SUM(IF(INT($M$2:$M$594)&amp;" "&amp;$K$2:$K$594=INT($M218)&amp;" "&amp;$K218,1,0))</f>
        <v>1</v>
      </c>
      <c r="Z218" cm="1">
        <f t="array" ref="Z218">SUM(IF(ROUND($M$2:$M$594,0)&amp;" "&amp;$K$2:$K$594=ROUND($M218,0)&amp;" "&amp;$K218,1,0))</f>
        <v>1</v>
      </c>
      <c r="AA218" cm="1">
        <f t="array" ref="AA218">SUM(IF($W$2:$W$594=$W218,1,0))</f>
        <v>1</v>
      </c>
    </row>
    <row r="219" spans="1:27" x14ac:dyDescent="0.25">
      <c r="B219" t="s">
        <v>1409</v>
      </c>
      <c r="C219" t="s">
        <v>1713</v>
      </c>
      <c r="D219" t="s">
        <v>1716</v>
      </c>
      <c r="E219">
        <v>4</v>
      </c>
      <c r="F219" t="str">
        <f t="shared" si="3"/>
        <v>9/2</v>
      </c>
      <c r="G219" s="4" t="s">
        <v>1421</v>
      </c>
      <c r="I219" s="3" t="s">
        <v>15</v>
      </c>
      <c r="K219" s="3" t="s">
        <v>14</v>
      </c>
      <c r="L219" s="3" t="s">
        <v>1140</v>
      </c>
      <c r="M219" s="4" t="s">
        <v>1421</v>
      </c>
      <c r="N219" s="3" t="s">
        <v>15</v>
      </c>
      <c r="O219" s="3" t="s">
        <v>1108</v>
      </c>
      <c r="P219" s="3" t="s">
        <v>1073</v>
      </c>
      <c r="Q219" s="3">
        <v>66</v>
      </c>
      <c r="S219" s="3" t="s">
        <v>1801</v>
      </c>
      <c r="T219" s="3">
        <v>35</v>
      </c>
      <c r="V219" s="3" t="s">
        <v>1864</v>
      </c>
      <c r="W219" s="4" t="s">
        <v>1142</v>
      </c>
      <c r="X219" s="3" t="s">
        <v>1758</v>
      </c>
      <c r="Y219" cm="1">
        <f t="array" ref="Y219">SUM(IF(INT($M$2:$M$594)&amp;" "&amp;$K$2:$K$594=INT($M219)&amp;" "&amp;$K219,1,0))</f>
        <v>1</v>
      </c>
      <c r="Z219" cm="1">
        <f t="array" ref="Z219">SUM(IF(ROUND($M$2:$M$594,0)&amp;" "&amp;$K$2:$K$594=ROUND($M219,0)&amp;" "&amp;$K219,1,0))</f>
        <v>1</v>
      </c>
      <c r="AA219" cm="1">
        <f t="array" ref="AA219">SUM(IF($W$2:$W$594=$W219,1,0))</f>
        <v>1</v>
      </c>
    </row>
    <row r="220" spans="1:27" x14ac:dyDescent="0.25">
      <c r="B220" t="s">
        <v>1409</v>
      </c>
      <c r="C220" t="s">
        <v>1713</v>
      </c>
      <c r="D220" t="s">
        <v>1716</v>
      </c>
      <c r="E220">
        <v>1</v>
      </c>
      <c r="F220" t="str">
        <f t="shared" si="3"/>
        <v>3/2</v>
      </c>
      <c r="G220" s="1" t="s">
        <v>1143</v>
      </c>
      <c r="I220" s="3" t="s">
        <v>15</v>
      </c>
      <c r="K220" s="3" t="s">
        <v>35</v>
      </c>
      <c r="L220" s="4" t="s">
        <v>1143</v>
      </c>
      <c r="M220" s="4" t="s">
        <v>1143</v>
      </c>
      <c r="N220" s="3" t="s">
        <v>15</v>
      </c>
      <c r="O220" s="3" t="s">
        <v>1108</v>
      </c>
      <c r="P220" s="3" t="s">
        <v>1091</v>
      </c>
      <c r="Q220" s="3">
        <v>93</v>
      </c>
      <c r="S220" s="3" t="s">
        <v>1801</v>
      </c>
      <c r="T220" s="3">
        <v>45</v>
      </c>
      <c r="V220" s="3" t="s">
        <v>1865</v>
      </c>
      <c r="W220" s="4" t="s">
        <v>1145</v>
      </c>
      <c r="X220" s="3" t="s">
        <v>21</v>
      </c>
      <c r="Y220" cm="1">
        <f t="array" ref="Y220">SUM(IF(INT($M$2:$M$594)&amp;" "&amp;$K$2:$K$594=INT($M220)&amp;" "&amp;$K220,1,0))</f>
        <v>1</v>
      </c>
      <c r="Z220" cm="1">
        <f t="array" ref="Z220">SUM(IF(ROUND($M$2:$M$594,0)&amp;" "&amp;$K$2:$K$594=ROUND($M220,0)&amp;" "&amp;$K220,1,0))</f>
        <v>1</v>
      </c>
      <c r="AA220" cm="1">
        <f t="array" ref="AA220">SUM(IF($W$2:$W$594=$W220,1,0))</f>
        <v>1</v>
      </c>
    </row>
    <row r="221" spans="1:27" x14ac:dyDescent="0.25">
      <c r="B221" t="s">
        <v>1409</v>
      </c>
      <c r="C221" t="s">
        <v>1713</v>
      </c>
      <c r="D221" t="s">
        <v>1716</v>
      </c>
      <c r="E221">
        <v>7</v>
      </c>
      <c r="F221" t="str">
        <f t="shared" si="3"/>
        <v>15/2</v>
      </c>
      <c r="G221" s="1" t="s">
        <v>1146</v>
      </c>
      <c r="I221" s="3" t="s">
        <v>15</v>
      </c>
      <c r="K221" s="3" t="s">
        <v>30</v>
      </c>
      <c r="L221" s="4" t="s">
        <v>1146</v>
      </c>
      <c r="M221" s="4" t="s">
        <v>1146</v>
      </c>
      <c r="N221" s="3" t="s">
        <v>15</v>
      </c>
      <c r="O221" s="3" t="s">
        <v>1108</v>
      </c>
      <c r="P221" s="3" t="s">
        <v>1118</v>
      </c>
      <c r="Q221" s="3">
        <v>79</v>
      </c>
      <c r="S221" s="3" t="s">
        <v>1801</v>
      </c>
      <c r="T221" s="3">
        <v>76</v>
      </c>
      <c r="V221" s="3" t="s">
        <v>1866</v>
      </c>
      <c r="W221" s="4" t="s">
        <v>1148</v>
      </c>
      <c r="X221" s="3" t="s">
        <v>21</v>
      </c>
      <c r="Y221" cm="1">
        <f t="array" ref="Y221">SUM(IF(INT($M$2:$M$594)&amp;" "&amp;$K$2:$K$594=INT($M221)&amp;" "&amp;$K221,1,0))</f>
        <v>1</v>
      </c>
      <c r="Z221" cm="1">
        <f t="array" ref="Z221">SUM(IF(ROUND($M$2:$M$594,0)&amp;" "&amp;$K$2:$K$594=ROUND($M221,0)&amp;" "&amp;$K221,1,0))</f>
        <v>1</v>
      </c>
      <c r="AA221" cm="1">
        <f t="array" ref="AA221">SUM(IF($W$2:$W$594=$W221,1,0))</f>
        <v>1</v>
      </c>
    </row>
    <row r="222" spans="1:27" x14ac:dyDescent="0.25">
      <c r="A222" t="s">
        <v>1664</v>
      </c>
      <c r="B222" t="s">
        <v>1671</v>
      </c>
      <c r="C222" t="s">
        <v>1715</v>
      </c>
      <c r="D222" t="s">
        <v>1716</v>
      </c>
      <c r="E222">
        <v>5</v>
      </c>
      <c r="F222" t="str">
        <f t="shared" si="3"/>
        <v>11/2</v>
      </c>
      <c r="G222" s="1" t="s">
        <v>1422</v>
      </c>
      <c r="I222" s="3" t="s">
        <v>15</v>
      </c>
      <c r="K222" s="3" t="s">
        <v>22</v>
      </c>
      <c r="M222" s="4" t="s">
        <v>1422</v>
      </c>
      <c r="N222" s="3" t="s">
        <v>15</v>
      </c>
      <c r="O222" s="3" t="s">
        <v>1764</v>
      </c>
      <c r="P222" s="3" t="s">
        <v>71</v>
      </c>
      <c r="W222" s="5" t="s">
        <v>1968</v>
      </c>
      <c r="X222" s="3" t="s">
        <v>1757</v>
      </c>
      <c r="Y222" cm="1">
        <f t="array" ref="Y222">SUM(IF(INT($M$2:$M$594)&amp;" "&amp;$K$2:$K$594=INT($M222)&amp;" "&amp;$K222,1,0))</f>
        <v>1</v>
      </c>
      <c r="Z222" cm="1">
        <f t="array" ref="Z222">SUM(IF(ROUND($M$2:$M$594,0)&amp;" "&amp;$K$2:$K$594=ROUND($M222,0)&amp;" "&amp;$K222,1,0))</f>
        <v>1</v>
      </c>
      <c r="AA222" cm="1">
        <f t="array" ref="AA222">SUM(IF($W$2:$W$594=$W222,1,0))</f>
        <v>1</v>
      </c>
    </row>
    <row r="223" spans="1:27" x14ac:dyDescent="0.25">
      <c r="A223" t="s">
        <v>1664</v>
      </c>
      <c r="B223" t="s">
        <v>1671</v>
      </c>
      <c r="C223" t="s">
        <v>1715</v>
      </c>
      <c r="D223" t="s">
        <v>1716</v>
      </c>
      <c r="E223">
        <v>4</v>
      </c>
      <c r="F223" t="str">
        <f t="shared" si="3"/>
        <v>9/2</v>
      </c>
      <c r="G223" s="1" t="s">
        <v>1423</v>
      </c>
      <c r="I223" s="3" t="s">
        <v>15</v>
      </c>
      <c r="K223" s="3" t="s">
        <v>14</v>
      </c>
      <c r="M223" s="4" t="s">
        <v>1423</v>
      </c>
      <c r="N223" s="3" t="s">
        <v>15</v>
      </c>
      <c r="O223" s="3" t="s">
        <v>1764</v>
      </c>
      <c r="P223" s="3" t="s">
        <v>71</v>
      </c>
      <c r="W223" s="5" t="s">
        <v>1969</v>
      </c>
      <c r="X223" s="3" t="s">
        <v>1757</v>
      </c>
      <c r="Y223" cm="1">
        <f t="array" ref="Y223">SUM(IF(INT($M$2:$M$594)&amp;" "&amp;$K$2:$K$594=INT($M223)&amp;" "&amp;$K223,1,0))</f>
        <v>1</v>
      </c>
      <c r="Z223" cm="1">
        <f t="array" ref="Z223">SUM(IF(ROUND($M$2:$M$594,0)&amp;" "&amp;$K$2:$K$594=ROUND($M223,0)&amp;" "&amp;$K223,1,0))</f>
        <v>1</v>
      </c>
      <c r="AA223" cm="1">
        <f t="array" ref="AA223">SUM(IF($W$2:$W$594=$W223,1,0))</f>
        <v>1</v>
      </c>
    </row>
    <row r="224" spans="1:27" x14ac:dyDescent="0.25">
      <c r="B224" t="s">
        <v>1409</v>
      </c>
      <c r="C224" t="s">
        <v>1713</v>
      </c>
      <c r="D224" t="s">
        <v>1716</v>
      </c>
      <c r="E224">
        <v>2</v>
      </c>
      <c r="F224" t="str">
        <f t="shared" si="3"/>
        <v>5/2</v>
      </c>
      <c r="G224" s="4" t="s">
        <v>1424</v>
      </c>
      <c r="I224" s="3" t="s">
        <v>15</v>
      </c>
      <c r="K224" s="3" t="s">
        <v>43</v>
      </c>
      <c r="L224" s="3" t="s">
        <v>1149</v>
      </c>
      <c r="M224" s="4" t="s">
        <v>1424</v>
      </c>
      <c r="N224" s="3" t="s">
        <v>15</v>
      </c>
      <c r="O224" s="3" t="s">
        <v>1108</v>
      </c>
      <c r="P224" s="3" t="s">
        <v>1091</v>
      </c>
      <c r="Q224" s="3">
        <v>46</v>
      </c>
      <c r="S224" s="3" t="s">
        <v>1801</v>
      </c>
      <c r="T224" s="3">
        <v>38</v>
      </c>
      <c r="V224" s="3" t="s">
        <v>1867</v>
      </c>
      <c r="W224" s="4" t="s">
        <v>1151</v>
      </c>
      <c r="X224" s="3" t="s">
        <v>1758</v>
      </c>
      <c r="Y224" cm="1">
        <f t="array" ref="Y224">SUM(IF(INT($M$2:$M$594)&amp;" "&amp;$K$2:$K$594=INT($M224)&amp;" "&amp;$K224,1,0))</f>
        <v>1</v>
      </c>
      <c r="Z224" cm="1">
        <f t="array" ref="Z224">SUM(IF(ROUND($M$2:$M$594,0)&amp;" "&amp;$K$2:$K$594=ROUND($M224,0)&amp;" "&amp;$K224,1,0))</f>
        <v>1</v>
      </c>
      <c r="AA224" cm="1">
        <f t="array" ref="AA224">SUM(IF($W$2:$W$594=$W224,1,0))</f>
        <v>1</v>
      </c>
    </row>
    <row r="225" spans="1:27" x14ac:dyDescent="0.25">
      <c r="B225" t="s">
        <v>1425</v>
      </c>
      <c r="C225" t="s">
        <v>1713</v>
      </c>
      <c r="D225" t="s">
        <v>1717</v>
      </c>
      <c r="E225">
        <v>8</v>
      </c>
      <c r="F225" t="str">
        <f t="shared" si="3"/>
        <v>17/2</v>
      </c>
      <c r="G225" s="1" t="s">
        <v>1153</v>
      </c>
      <c r="I225" s="3" t="s">
        <v>15</v>
      </c>
      <c r="K225" s="3" t="s">
        <v>164</v>
      </c>
      <c r="L225" s="4" t="s">
        <v>1153</v>
      </c>
      <c r="M225" s="4" t="s">
        <v>1153</v>
      </c>
      <c r="N225" s="3" t="s">
        <v>15</v>
      </c>
      <c r="O225" s="3" t="s">
        <v>1152</v>
      </c>
      <c r="P225" s="3" t="s">
        <v>1118</v>
      </c>
      <c r="Q225" s="3">
        <v>95</v>
      </c>
      <c r="S225" s="3" t="s">
        <v>1801</v>
      </c>
      <c r="T225" s="3">
        <v>95</v>
      </c>
      <c r="V225" s="3" t="s">
        <v>1853</v>
      </c>
      <c r="W225" s="4" t="s">
        <v>1155</v>
      </c>
      <c r="X225" s="3" t="s">
        <v>21</v>
      </c>
      <c r="Y225" cm="1">
        <f t="array" ref="Y225">SUM(IF(INT($M$2:$M$594)&amp;" "&amp;$K$2:$K$594=INT($M225)&amp;" "&amp;$K225,1,0))</f>
        <v>1</v>
      </c>
      <c r="Z225" cm="1">
        <f t="array" ref="Z225">SUM(IF(ROUND($M$2:$M$594,0)&amp;" "&amp;$K$2:$K$594=ROUND($M225,0)&amp;" "&amp;$K225,1,0))</f>
        <v>1</v>
      </c>
      <c r="AA225" cm="1">
        <f t="array" ref="AA225">SUM(IF($W$2:$W$594=$W225,1,0))</f>
        <v>1</v>
      </c>
    </row>
    <row r="226" spans="1:27" x14ac:dyDescent="0.25">
      <c r="B226" t="s">
        <v>1425</v>
      </c>
      <c r="C226" t="s">
        <v>1713</v>
      </c>
      <c r="D226" t="s">
        <v>1717</v>
      </c>
      <c r="E226">
        <v>6</v>
      </c>
      <c r="F226" t="str">
        <f t="shared" si="3"/>
        <v>13/2</v>
      </c>
      <c r="G226" s="4" t="s">
        <v>1426</v>
      </c>
      <c r="I226" s="3" t="s">
        <v>15</v>
      </c>
      <c r="K226" s="3" t="s">
        <v>26</v>
      </c>
      <c r="L226" s="3" t="s">
        <v>1156</v>
      </c>
      <c r="M226" s="4" t="s">
        <v>1426</v>
      </c>
      <c r="N226" s="3" t="s">
        <v>15</v>
      </c>
      <c r="O226" s="3" t="s">
        <v>1152</v>
      </c>
      <c r="P226" s="3" t="s">
        <v>1069</v>
      </c>
      <c r="Q226" s="3">
        <v>69</v>
      </c>
      <c r="S226" s="3" t="s">
        <v>1801</v>
      </c>
      <c r="T226" s="3">
        <v>48</v>
      </c>
      <c r="V226" s="3" t="s">
        <v>1854</v>
      </c>
      <c r="W226" s="4" t="s">
        <v>1158</v>
      </c>
      <c r="X226" s="3" t="s">
        <v>1758</v>
      </c>
      <c r="Y226" cm="1">
        <f t="array" ref="Y226">SUM(IF(INT($M$2:$M$594)&amp;" "&amp;$K$2:$K$594=INT($M226)&amp;" "&amp;$K226,1,0))</f>
        <v>1</v>
      </c>
      <c r="Z226" cm="1">
        <f t="array" ref="Z226">SUM(IF(ROUND($M$2:$M$594,0)&amp;" "&amp;$K$2:$K$594=ROUND($M226,0)&amp;" "&amp;$K226,1,0))</f>
        <v>1</v>
      </c>
      <c r="AA226" cm="1">
        <f t="array" ref="AA226">SUM(IF($W$2:$W$594=$W226,1,0))</f>
        <v>1</v>
      </c>
    </row>
    <row r="227" spans="1:27" x14ac:dyDescent="0.25">
      <c r="B227" t="s">
        <v>1425</v>
      </c>
      <c r="C227" t="s">
        <v>1713</v>
      </c>
      <c r="D227" t="s">
        <v>1717</v>
      </c>
      <c r="E227">
        <v>9</v>
      </c>
      <c r="F227" t="str">
        <f t="shared" si="3"/>
        <v>19/2</v>
      </c>
      <c r="G227" s="4" t="s">
        <v>1427</v>
      </c>
      <c r="I227" s="3" t="s">
        <v>15</v>
      </c>
      <c r="K227" s="3" t="s">
        <v>1160</v>
      </c>
      <c r="L227" s="3" t="s">
        <v>1161</v>
      </c>
      <c r="M227" s="4" t="s">
        <v>1427</v>
      </c>
      <c r="N227" s="3" t="s">
        <v>15</v>
      </c>
      <c r="O227" s="3" t="s">
        <v>1152</v>
      </c>
      <c r="P227" s="3" t="s">
        <v>1159</v>
      </c>
      <c r="Q227" s="3">
        <v>100</v>
      </c>
      <c r="S227" s="3" t="s">
        <v>1801</v>
      </c>
      <c r="T227" s="3">
        <v>100</v>
      </c>
      <c r="V227" s="3" t="s">
        <v>1855</v>
      </c>
      <c r="W227" s="4" t="s">
        <v>1163</v>
      </c>
      <c r="X227" s="3" t="s">
        <v>1758</v>
      </c>
      <c r="Y227" cm="1">
        <f t="array" ref="Y227">SUM(IF(INT($M$2:$M$594)&amp;" "&amp;$K$2:$K$594=INT($M227)&amp;" "&amp;$K227,1,0))</f>
        <v>1</v>
      </c>
      <c r="Z227" cm="1">
        <f t="array" ref="Z227">SUM(IF(ROUND($M$2:$M$594,0)&amp;" "&amp;$K$2:$K$594=ROUND($M227,0)&amp;" "&amp;$K227,1,0))</f>
        <v>1</v>
      </c>
      <c r="AA227" cm="1">
        <f t="array" ref="AA227">SUM(IF($W$2:$W$594=$W227,1,0))</f>
        <v>1</v>
      </c>
    </row>
    <row r="228" spans="1:27" x14ac:dyDescent="0.25">
      <c r="A228" t="s">
        <v>1664</v>
      </c>
      <c r="B228" t="s">
        <v>1671</v>
      </c>
      <c r="C228" t="s">
        <v>1715</v>
      </c>
      <c r="D228" t="s">
        <v>1716</v>
      </c>
      <c r="E228">
        <v>5</v>
      </c>
      <c r="F228" t="str">
        <f t="shared" si="3"/>
        <v>11/2</v>
      </c>
      <c r="G228" s="1" t="s">
        <v>1428</v>
      </c>
      <c r="I228" s="3" t="s">
        <v>15</v>
      </c>
      <c r="K228" s="3" t="s">
        <v>22</v>
      </c>
      <c r="M228" s="4" t="s">
        <v>1428</v>
      </c>
      <c r="N228" s="3" t="s">
        <v>15</v>
      </c>
      <c r="O228" s="3" t="s">
        <v>1764</v>
      </c>
      <c r="P228" s="3" t="s">
        <v>71</v>
      </c>
      <c r="W228" s="5" t="s">
        <v>1970</v>
      </c>
      <c r="X228" s="3" t="s">
        <v>1757</v>
      </c>
      <c r="Y228" cm="1">
        <f t="array" ref="Y228">SUM(IF(INT($M$2:$M$594)&amp;" "&amp;$K$2:$K$594=INT($M228)&amp;" "&amp;$K228,1,0))</f>
        <v>1</v>
      </c>
      <c r="Z228" cm="1">
        <f t="array" ref="Z228">SUM(IF(ROUND($M$2:$M$594,0)&amp;" "&amp;$K$2:$K$594=ROUND($M228,0)&amp;" "&amp;$K228,1,0))</f>
        <v>1</v>
      </c>
      <c r="AA228" cm="1">
        <f t="array" ref="AA228">SUM(IF($W$2:$W$594=$W228,1,0))</f>
        <v>1</v>
      </c>
    </row>
    <row r="229" spans="1:27" x14ac:dyDescent="0.25">
      <c r="A229" t="s">
        <v>1664</v>
      </c>
      <c r="B229" t="s">
        <v>1671</v>
      </c>
      <c r="C229" t="s">
        <v>1715</v>
      </c>
      <c r="D229" t="s">
        <v>1716</v>
      </c>
      <c r="E229">
        <v>4</v>
      </c>
      <c r="F229" t="str">
        <f t="shared" si="3"/>
        <v>9/2</v>
      </c>
      <c r="G229" s="1" t="s">
        <v>1429</v>
      </c>
      <c r="I229" s="3" t="s">
        <v>15</v>
      </c>
      <c r="K229" s="3" t="s">
        <v>14</v>
      </c>
      <c r="M229" s="4" t="s">
        <v>1429</v>
      </c>
      <c r="N229" s="3" t="s">
        <v>15</v>
      </c>
      <c r="O229" s="3" t="s">
        <v>1764</v>
      </c>
      <c r="P229" s="3" t="s">
        <v>71</v>
      </c>
      <c r="W229" s="5" t="s">
        <v>1971</v>
      </c>
      <c r="X229" s="3" t="s">
        <v>1757</v>
      </c>
      <c r="Y229" cm="1">
        <f t="array" ref="Y229">SUM(IF(INT($M$2:$M$594)&amp;" "&amp;$K$2:$K$594=INT($M229)&amp;" "&amp;$K229,1,0))</f>
        <v>1</v>
      </c>
      <c r="Z229" cm="1">
        <f t="array" ref="Z229">SUM(IF(ROUND($M$2:$M$594,0)&amp;" "&amp;$K$2:$K$594=ROUND($M229,0)&amp;" "&amp;$K229,1,0))</f>
        <v>1</v>
      </c>
      <c r="AA229" cm="1">
        <f t="array" ref="AA229">SUM(IF($W$2:$W$594=$W229,1,0))</f>
        <v>1</v>
      </c>
    </row>
    <row r="230" spans="1:27" x14ac:dyDescent="0.25">
      <c r="A230" t="s">
        <v>1664</v>
      </c>
      <c r="B230" t="s">
        <v>1671</v>
      </c>
      <c r="C230" t="s">
        <v>1715</v>
      </c>
      <c r="D230" t="s">
        <v>1716</v>
      </c>
      <c r="E230">
        <v>6</v>
      </c>
      <c r="F230" t="str">
        <f t="shared" si="3"/>
        <v>13/2</v>
      </c>
      <c r="G230" s="1" t="s">
        <v>1430</v>
      </c>
      <c r="I230" s="3" t="s">
        <v>15</v>
      </c>
      <c r="K230" s="3" t="s">
        <v>26</v>
      </c>
      <c r="M230" s="4" t="s">
        <v>1430</v>
      </c>
      <c r="N230" s="3" t="s">
        <v>15</v>
      </c>
      <c r="O230" s="3" t="s">
        <v>1764</v>
      </c>
      <c r="P230" s="3" t="s">
        <v>71</v>
      </c>
      <c r="W230" s="5" t="s">
        <v>1972</v>
      </c>
      <c r="X230" s="3" t="s">
        <v>1757</v>
      </c>
      <c r="Y230" cm="1">
        <f t="array" ref="Y230">SUM(IF(INT($M$2:$M$594)&amp;" "&amp;$K$2:$K$594=INT($M230)&amp;" "&amp;$K230,1,0))</f>
        <v>1</v>
      </c>
      <c r="Z230" cm="1">
        <f t="array" ref="Z230">SUM(IF(ROUND($M$2:$M$594,0)&amp;" "&amp;$K$2:$K$594=ROUND($M230,0)&amp;" "&amp;$K230,1,0))</f>
        <v>1</v>
      </c>
      <c r="AA230" cm="1">
        <f t="array" ref="AA230">SUM(IF($W$2:$W$594=$W230,1,0))</f>
        <v>1</v>
      </c>
    </row>
    <row r="231" spans="1:27" x14ac:dyDescent="0.25">
      <c r="B231" t="s">
        <v>1425</v>
      </c>
      <c r="C231" t="s">
        <v>1713</v>
      </c>
      <c r="D231" t="s">
        <v>1717</v>
      </c>
      <c r="E231">
        <v>4</v>
      </c>
      <c r="F231" t="str">
        <f t="shared" si="3"/>
        <v>9/2</v>
      </c>
      <c r="G231" s="4" t="s">
        <v>1431</v>
      </c>
      <c r="I231" s="3" t="s">
        <v>15</v>
      </c>
      <c r="K231" s="3" t="s">
        <v>14</v>
      </c>
      <c r="L231" s="3" t="s">
        <v>1164</v>
      </c>
      <c r="M231" s="4" t="s">
        <v>1431</v>
      </c>
      <c r="N231" s="3" t="s">
        <v>15</v>
      </c>
      <c r="O231" s="3" t="s">
        <v>1152</v>
      </c>
      <c r="P231" s="3" t="s">
        <v>1073</v>
      </c>
      <c r="Q231" s="3">
        <v>46</v>
      </c>
      <c r="S231" s="3" t="s">
        <v>1801</v>
      </c>
      <c r="T231" s="3">
        <v>35</v>
      </c>
      <c r="V231" s="3" t="s">
        <v>1858</v>
      </c>
      <c r="W231" s="4" t="s">
        <v>1166</v>
      </c>
      <c r="X231" s="3" t="s">
        <v>1758</v>
      </c>
      <c r="Y231" cm="1">
        <f t="array" ref="Y231">SUM(IF(INT($M$2:$M$594)&amp;" "&amp;$K$2:$K$594=INT($M231)&amp;" "&amp;$K231,1,0))</f>
        <v>1</v>
      </c>
      <c r="Z231" cm="1">
        <f t="array" ref="Z231">SUM(IF(ROUND($M$2:$M$594,0)&amp;" "&amp;$K$2:$K$594=ROUND($M231,0)&amp;" "&amp;$K231,1,0))</f>
        <v>1</v>
      </c>
      <c r="AA231" cm="1">
        <f t="array" ref="AA231">SUM(IF($W$2:$W$594=$W231,1,0))</f>
        <v>1</v>
      </c>
    </row>
    <row r="232" spans="1:27" x14ac:dyDescent="0.25">
      <c r="B232" t="s">
        <v>1425</v>
      </c>
      <c r="C232" t="s">
        <v>1713</v>
      </c>
      <c r="D232" t="s">
        <v>1717</v>
      </c>
      <c r="E232">
        <v>5</v>
      </c>
      <c r="F232" t="str">
        <f t="shared" si="3"/>
        <v>11/2</v>
      </c>
      <c r="G232" s="4" t="s">
        <v>1432</v>
      </c>
      <c r="I232" s="3" t="s">
        <v>15</v>
      </c>
      <c r="K232" s="3" t="s">
        <v>22</v>
      </c>
      <c r="L232" s="3" t="s">
        <v>1167</v>
      </c>
      <c r="M232" s="4" t="s">
        <v>1432</v>
      </c>
      <c r="N232" s="3" t="s">
        <v>15</v>
      </c>
      <c r="O232" s="3" t="s">
        <v>1152</v>
      </c>
      <c r="P232" s="3" t="s">
        <v>1069</v>
      </c>
      <c r="Q232" s="3">
        <v>64</v>
      </c>
      <c r="S232" s="3" t="s">
        <v>1801</v>
      </c>
      <c r="T232" s="3">
        <v>34</v>
      </c>
      <c r="V232" s="3" t="s">
        <v>1864</v>
      </c>
      <c r="W232" s="4" t="s">
        <v>1169</v>
      </c>
      <c r="X232" s="3" t="s">
        <v>1758</v>
      </c>
      <c r="Y232" cm="1">
        <f t="array" ref="Y232">SUM(IF(INT($M$2:$M$594)&amp;" "&amp;$K$2:$K$594=INT($M232)&amp;" "&amp;$K232,1,0))</f>
        <v>1</v>
      </c>
      <c r="Z232" cm="1">
        <f t="array" ref="Z232">SUM(IF(ROUND($M$2:$M$594,0)&amp;" "&amp;$K$2:$K$594=ROUND($M232,0)&amp;" "&amp;$K232,1,0))</f>
        <v>1</v>
      </c>
      <c r="AA232" cm="1">
        <f t="array" ref="AA232">SUM(IF($W$2:$W$594=$W232,1,0))</f>
        <v>1</v>
      </c>
    </row>
    <row r="233" spans="1:27" x14ac:dyDescent="0.25">
      <c r="B233" t="s">
        <v>1425</v>
      </c>
      <c r="C233" t="s">
        <v>1713</v>
      </c>
      <c r="D233" t="s">
        <v>1717</v>
      </c>
      <c r="E233">
        <v>6</v>
      </c>
      <c r="F233" t="str">
        <f t="shared" si="3"/>
        <v>13/2</v>
      </c>
      <c r="G233" s="4" t="s">
        <v>1433</v>
      </c>
      <c r="I233" s="3" t="s">
        <v>15</v>
      </c>
      <c r="K233" s="3" t="s">
        <v>26</v>
      </c>
      <c r="L233" s="3" t="s">
        <v>1170</v>
      </c>
      <c r="M233" s="4" t="s">
        <v>1433</v>
      </c>
      <c r="N233" s="3" t="s">
        <v>15</v>
      </c>
      <c r="O233" s="3" t="s">
        <v>1152</v>
      </c>
      <c r="P233" s="3" t="s">
        <v>1077</v>
      </c>
      <c r="Q233" s="3">
        <v>64</v>
      </c>
      <c r="S233" s="3" t="s">
        <v>1801</v>
      </c>
      <c r="T233" s="3">
        <v>60</v>
      </c>
      <c r="V233" s="3" t="s">
        <v>1863</v>
      </c>
      <c r="W233" s="4" t="s">
        <v>1172</v>
      </c>
      <c r="X233" s="3" t="s">
        <v>1758</v>
      </c>
      <c r="Y233" cm="1">
        <f t="array" ref="Y233">SUM(IF(INT($M$2:$M$594)&amp;" "&amp;$K$2:$K$594=INT($M233)&amp;" "&amp;$K233,1,0))</f>
        <v>1</v>
      </c>
      <c r="Z233" cm="1">
        <f t="array" ref="Z233">SUM(IF(ROUND($M$2:$M$594,0)&amp;" "&amp;$K$2:$K$594=ROUND($M233,0)&amp;" "&amp;$K233,1,0))</f>
        <v>1</v>
      </c>
      <c r="AA233" cm="1">
        <f t="array" ref="AA233">SUM(IF($W$2:$W$594=$W233,1,0))</f>
        <v>1</v>
      </c>
    </row>
    <row r="234" spans="1:27" x14ac:dyDescent="0.25">
      <c r="B234" t="s">
        <v>1425</v>
      </c>
      <c r="C234" t="s">
        <v>1713</v>
      </c>
      <c r="D234" t="s">
        <v>1717</v>
      </c>
      <c r="E234">
        <v>3</v>
      </c>
      <c r="F234" t="str">
        <f t="shared" si="3"/>
        <v>7/2</v>
      </c>
      <c r="G234" s="1" t="s">
        <v>1173</v>
      </c>
      <c r="I234" s="3" t="s">
        <v>15</v>
      </c>
      <c r="K234" s="3" t="s">
        <v>47</v>
      </c>
      <c r="L234" s="4" t="s">
        <v>1173</v>
      </c>
      <c r="M234" s="4" t="s">
        <v>1173</v>
      </c>
      <c r="N234" s="3" t="s">
        <v>15</v>
      </c>
      <c r="O234" s="3" t="s">
        <v>1152</v>
      </c>
      <c r="P234" s="3" t="s">
        <v>71</v>
      </c>
      <c r="Q234" s="3">
        <v>36</v>
      </c>
      <c r="R234" s="3" t="s">
        <v>1098</v>
      </c>
      <c r="S234" s="3" t="s">
        <v>1801</v>
      </c>
      <c r="T234" s="3">
        <v>35</v>
      </c>
      <c r="V234" s="3" t="s">
        <v>1860</v>
      </c>
      <c r="W234" s="4" t="s">
        <v>1175</v>
      </c>
      <c r="X234" s="3" t="s">
        <v>21</v>
      </c>
      <c r="Y234" cm="1">
        <f t="array" ref="Y234">SUM(IF(INT($M$2:$M$594)&amp;" "&amp;$K$2:$K$594=INT($M234)&amp;" "&amp;$K234,1,0))</f>
        <v>1</v>
      </c>
      <c r="Z234" cm="1">
        <f t="array" ref="Z234">SUM(IF(ROUND($M$2:$M$594,0)&amp;" "&amp;$K$2:$K$594=ROUND($M234,0)&amp;" "&amp;$K234,1,0))</f>
        <v>1</v>
      </c>
      <c r="AA234" cm="1">
        <f t="array" ref="AA234">SUM(IF($W$2:$W$594=$W234,1,0))</f>
        <v>1</v>
      </c>
    </row>
    <row r="235" spans="1:27" x14ac:dyDescent="0.25">
      <c r="A235" t="s">
        <v>1664</v>
      </c>
      <c r="B235" t="s">
        <v>1671</v>
      </c>
      <c r="C235" t="s">
        <v>1715</v>
      </c>
      <c r="D235" t="s">
        <v>1716</v>
      </c>
      <c r="E235">
        <v>3</v>
      </c>
      <c r="F235" t="str">
        <f t="shared" si="3"/>
        <v>7/2</v>
      </c>
      <c r="G235" s="1" t="s">
        <v>1434</v>
      </c>
      <c r="I235" s="3" t="s">
        <v>15</v>
      </c>
      <c r="K235" s="3" t="s">
        <v>47</v>
      </c>
      <c r="M235" s="4" t="s">
        <v>1434</v>
      </c>
      <c r="N235" s="3" t="s">
        <v>15</v>
      </c>
      <c r="O235" s="3" t="s">
        <v>1764</v>
      </c>
      <c r="P235" s="3" t="s">
        <v>71</v>
      </c>
      <c r="W235" s="5" t="s">
        <v>1973</v>
      </c>
      <c r="X235" s="3" t="s">
        <v>1757</v>
      </c>
      <c r="Y235" cm="1">
        <f t="array" ref="Y235">SUM(IF(INT($M$2:$M$594)&amp;" "&amp;$K$2:$K$594=INT($M235)&amp;" "&amp;$K235,1,0))</f>
        <v>1</v>
      </c>
      <c r="Z235" cm="1">
        <f t="array" ref="Z235">SUM(IF(ROUND($M$2:$M$594,0)&amp;" "&amp;$K$2:$K$594=ROUND($M235,0)&amp;" "&amp;$K235,1,0))</f>
        <v>1</v>
      </c>
      <c r="AA235" cm="1">
        <f t="array" ref="AA235">SUM(IF($W$2:$W$594=$W235,1,0))</f>
        <v>1</v>
      </c>
    </row>
    <row r="236" spans="1:27" x14ac:dyDescent="0.25">
      <c r="B236" t="s">
        <v>1425</v>
      </c>
      <c r="C236" t="s">
        <v>1713</v>
      </c>
      <c r="D236" t="s">
        <v>1717</v>
      </c>
      <c r="E236">
        <v>4</v>
      </c>
      <c r="F236" t="str">
        <f t="shared" si="3"/>
        <v>9/2</v>
      </c>
      <c r="G236" s="4" t="s">
        <v>1435</v>
      </c>
      <c r="I236" s="3" t="s">
        <v>15</v>
      </c>
      <c r="K236" s="3" t="s">
        <v>14</v>
      </c>
      <c r="L236" s="3" t="s">
        <v>1176</v>
      </c>
      <c r="M236" s="4" t="s">
        <v>1435</v>
      </c>
      <c r="N236" s="3" t="s">
        <v>15</v>
      </c>
      <c r="O236" s="3" t="s">
        <v>1152</v>
      </c>
      <c r="P236" s="3" t="s">
        <v>1081</v>
      </c>
      <c r="Q236" s="3">
        <v>59</v>
      </c>
      <c r="S236" s="3" t="s">
        <v>1801</v>
      </c>
      <c r="T236" s="3">
        <v>54</v>
      </c>
      <c r="V236" s="3" t="s">
        <v>1859</v>
      </c>
      <c r="W236" s="4" t="s">
        <v>1178</v>
      </c>
      <c r="X236" s="3" t="s">
        <v>1758</v>
      </c>
      <c r="Y236" cm="1">
        <f t="array" ref="Y236">SUM(IF(INT($M$2:$M$594)&amp;" "&amp;$K$2:$K$594=INT($M236)&amp;" "&amp;$K236,1,0))</f>
        <v>1</v>
      </c>
      <c r="Z236" cm="1">
        <f t="array" ref="Z236">SUM(IF(ROUND($M$2:$M$594,0)&amp;" "&amp;$K$2:$K$594=ROUND($M236,0)&amp;" "&amp;$K236,1,0))</f>
        <v>1</v>
      </c>
      <c r="AA236" cm="1">
        <f t="array" ref="AA236">SUM(IF($W$2:$W$594=$W236,1,0))</f>
        <v>1</v>
      </c>
    </row>
    <row r="237" spans="1:27" x14ac:dyDescent="0.25">
      <c r="B237" t="s">
        <v>1436</v>
      </c>
      <c r="C237" t="s">
        <v>1713</v>
      </c>
      <c r="D237" t="s">
        <v>1718</v>
      </c>
      <c r="E237">
        <v>3</v>
      </c>
      <c r="F237" t="str">
        <f t="shared" si="3"/>
        <v>7/2</v>
      </c>
      <c r="G237" s="1" t="s">
        <v>1180</v>
      </c>
      <c r="I237" s="3" t="s">
        <v>15</v>
      </c>
      <c r="K237" s="3" t="s">
        <v>47</v>
      </c>
      <c r="L237" s="4" t="s">
        <v>1180</v>
      </c>
      <c r="M237" s="4" t="s">
        <v>1180</v>
      </c>
      <c r="N237" s="3" t="s">
        <v>15</v>
      </c>
      <c r="O237" s="3" t="s">
        <v>1179</v>
      </c>
      <c r="P237" s="3" t="s">
        <v>1073</v>
      </c>
      <c r="Q237" s="3">
        <v>89</v>
      </c>
      <c r="S237" s="3" t="s">
        <v>1801</v>
      </c>
      <c r="T237" s="3">
        <v>82</v>
      </c>
      <c r="V237" s="3" t="s">
        <v>1857</v>
      </c>
      <c r="W237" s="4" t="s">
        <v>1182</v>
      </c>
      <c r="X237" s="3" t="s">
        <v>21</v>
      </c>
      <c r="Y237" cm="1">
        <f t="array" ref="Y237">SUM(IF(INT($M$2:$M$594)&amp;" "&amp;$K$2:$K$594=INT($M237)&amp;" "&amp;$K237,1,0))</f>
        <v>1</v>
      </c>
      <c r="Z237" cm="1">
        <f t="array" ref="Z237">SUM(IF(ROUND($M$2:$M$594,0)&amp;" "&amp;$K$2:$K$594=ROUND($M237,0)&amp;" "&amp;$K237,1,0))</f>
        <v>1</v>
      </c>
      <c r="AA237" cm="1">
        <f t="array" ref="AA237">SUM(IF($W$2:$W$594=$W237,1,0))</f>
        <v>1</v>
      </c>
    </row>
    <row r="238" spans="1:27" x14ac:dyDescent="0.25">
      <c r="B238" t="s">
        <v>1425</v>
      </c>
      <c r="C238" t="s">
        <v>1713</v>
      </c>
      <c r="D238" t="s">
        <v>1717</v>
      </c>
      <c r="E238">
        <v>7</v>
      </c>
      <c r="F238" t="str">
        <f t="shared" si="3"/>
        <v>15/2</v>
      </c>
      <c r="G238" s="4" t="s">
        <v>1437</v>
      </c>
      <c r="I238" s="3" t="s">
        <v>15</v>
      </c>
      <c r="K238" s="3" t="s">
        <v>30</v>
      </c>
      <c r="L238" s="3" t="s">
        <v>1183</v>
      </c>
      <c r="M238" s="4" t="s">
        <v>1437</v>
      </c>
      <c r="N238" s="3" t="s">
        <v>15</v>
      </c>
      <c r="O238" s="3" t="s">
        <v>1152</v>
      </c>
      <c r="P238" s="3" t="s">
        <v>1118</v>
      </c>
      <c r="Q238" s="3">
        <v>71</v>
      </c>
      <c r="S238" s="3" t="s">
        <v>1801</v>
      </c>
      <c r="T238" s="3">
        <v>57</v>
      </c>
      <c r="V238" s="3" t="s">
        <v>1861</v>
      </c>
      <c r="W238" s="4" t="s">
        <v>1185</v>
      </c>
      <c r="X238" s="3" t="s">
        <v>1758</v>
      </c>
      <c r="Y238" cm="1">
        <f t="array" ref="Y238">SUM(IF(INT($M$2:$M$594)&amp;" "&amp;$K$2:$K$594=INT($M238)&amp;" "&amp;$K238,1,0))</f>
        <v>1</v>
      </c>
      <c r="Z238" cm="1">
        <f t="array" ref="Z238">SUM(IF(ROUND($M$2:$M$594,0)&amp;" "&amp;$K$2:$K$594=ROUND($M238,0)&amp;" "&amp;$K238,1,0))</f>
        <v>1</v>
      </c>
      <c r="AA238" cm="1">
        <f t="array" ref="AA238">SUM(IF($W$2:$W$594=$W238,1,0))</f>
        <v>1</v>
      </c>
    </row>
    <row r="239" spans="1:27" x14ac:dyDescent="0.25">
      <c r="A239" t="s">
        <v>1664</v>
      </c>
      <c r="B239" t="s">
        <v>1436</v>
      </c>
      <c r="C239" t="s">
        <v>1713</v>
      </c>
      <c r="D239" t="s">
        <v>1718</v>
      </c>
      <c r="E239">
        <v>0</v>
      </c>
      <c r="F239" t="str">
        <f t="shared" si="3"/>
        <v>1/2</v>
      </c>
      <c r="G239" s="1" t="s">
        <v>1438</v>
      </c>
      <c r="I239" s="3" t="s">
        <v>15</v>
      </c>
      <c r="K239" s="3" t="s">
        <v>145</v>
      </c>
      <c r="M239" s="4" t="s">
        <v>1438</v>
      </c>
      <c r="N239" s="3" t="s">
        <v>15</v>
      </c>
      <c r="O239" s="3" t="s">
        <v>1179</v>
      </c>
      <c r="P239" s="3" t="s">
        <v>71</v>
      </c>
      <c r="W239" s="5" t="s">
        <v>1974</v>
      </c>
      <c r="X239" s="3" t="s">
        <v>1757</v>
      </c>
      <c r="Y239" cm="1">
        <f t="array" ref="Y239">SUM(IF(INT($M$2:$M$594)&amp;" "&amp;$K$2:$K$594=INT($M239)&amp;" "&amp;$K239,1,0))</f>
        <v>1</v>
      </c>
      <c r="Z239" cm="1">
        <f t="array" ref="Z239">SUM(IF(ROUND($M$2:$M$594,0)&amp;" "&amp;$K$2:$K$594=ROUND($M239,0)&amp;" "&amp;$K239,1,0))</f>
        <v>1</v>
      </c>
      <c r="AA239" cm="1">
        <f t="array" ref="AA239">SUM(IF($W$2:$W$594=$W239,1,0))</f>
        <v>1</v>
      </c>
    </row>
    <row r="240" spans="1:27" x14ac:dyDescent="0.25">
      <c r="B240" t="s">
        <v>1425</v>
      </c>
      <c r="C240" t="s">
        <v>1713</v>
      </c>
      <c r="D240" t="s">
        <v>1717</v>
      </c>
      <c r="E240">
        <v>2</v>
      </c>
      <c r="F240" t="str">
        <f t="shared" si="3"/>
        <v>5/2</v>
      </c>
      <c r="G240" s="4" t="s">
        <v>1439</v>
      </c>
      <c r="I240" s="3" t="s">
        <v>15</v>
      </c>
      <c r="K240" s="3" t="s">
        <v>43</v>
      </c>
      <c r="L240" s="3" t="s">
        <v>1186</v>
      </c>
      <c r="M240" s="4" t="s">
        <v>1439</v>
      </c>
      <c r="N240" s="3" t="s">
        <v>15</v>
      </c>
      <c r="O240" s="3" t="s">
        <v>1152</v>
      </c>
      <c r="P240" s="3" t="s">
        <v>1098</v>
      </c>
      <c r="Q240" s="3">
        <v>48</v>
      </c>
      <c r="S240" s="3" t="s">
        <v>1801</v>
      </c>
      <c r="T240" s="3">
        <v>47</v>
      </c>
      <c r="V240" s="3" t="s">
        <v>1865</v>
      </c>
      <c r="W240" s="4" t="s">
        <v>1188</v>
      </c>
      <c r="X240" s="3" t="s">
        <v>1758</v>
      </c>
      <c r="Y240" cm="1">
        <f t="array" ref="Y240">SUM(IF(INT($M$2:$M$594)&amp;" "&amp;$K$2:$K$594=INT($M240)&amp;" "&amp;$K240,1,0))</f>
        <v>1</v>
      </c>
      <c r="Z240" cm="1">
        <f t="array" ref="Z240">SUM(IF(ROUND($M$2:$M$594,0)&amp;" "&amp;$K$2:$K$594=ROUND($M240,0)&amp;" "&amp;$K240,1,0))</f>
        <v>1</v>
      </c>
      <c r="AA240" cm="1">
        <f t="array" ref="AA240">SUM(IF($W$2:$W$594=$W240,1,0))</f>
        <v>1</v>
      </c>
    </row>
    <row r="241" spans="1:27" x14ac:dyDescent="0.25">
      <c r="A241" t="s">
        <v>1664</v>
      </c>
      <c r="B241" t="s">
        <v>1436</v>
      </c>
      <c r="C241" t="s">
        <v>1713</v>
      </c>
      <c r="D241" t="s">
        <v>1718</v>
      </c>
      <c r="E241">
        <v>4</v>
      </c>
      <c r="F241" t="str">
        <f t="shared" si="3"/>
        <v>9/2</v>
      </c>
      <c r="G241" s="1" t="s">
        <v>1440</v>
      </c>
      <c r="I241" s="3" t="s">
        <v>15</v>
      </c>
      <c r="K241" s="3" t="s">
        <v>14</v>
      </c>
      <c r="M241" s="4" t="s">
        <v>1440</v>
      </c>
      <c r="N241" s="3" t="s">
        <v>15</v>
      </c>
      <c r="O241" s="3" t="s">
        <v>1179</v>
      </c>
      <c r="P241" s="3" t="s">
        <v>71</v>
      </c>
      <c r="W241" s="5" t="s">
        <v>1975</v>
      </c>
      <c r="X241" s="3" t="s">
        <v>1757</v>
      </c>
      <c r="Y241" cm="1">
        <f t="array" ref="Y241">SUM(IF(INT($M$2:$M$594)&amp;" "&amp;$K$2:$K$594=INT($M241)&amp;" "&amp;$K241,1,0))</f>
        <v>1</v>
      </c>
      <c r="Z241" cm="1">
        <f t="array" ref="Z241">SUM(IF(ROUND($M$2:$M$594,0)&amp;" "&amp;$K$2:$K$594=ROUND($M241,0)&amp;" "&amp;$K241,1,0))</f>
        <v>1</v>
      </c>
      <c r="AA241" cm="1">
        <f t="array" ref="AA241">SUM(IF($W$2:$W$594=$W241,1,0))</f>
        <v>1</v>
      </c>
    </row>
    <row r="242" spans="1:27" x14ac:dyDescent="0.25">
      <c r="B242" t="s">
        <v>1425</v>
      </c>
      <c r="C242" t="s">
        <v>1713</v>
      </c>
      <c r="D242" t="s">
        <v>1717</v>
      </c>
      <c r="E242">
        <v>5</v>
      </c>
      <c r="F242" t="str">
        <f t="shared" si="3"/>
        <v>11/2</v>
      </c>
      <c r="G242" s="4" t="s">
        <v>1441</v>
      </c>
      <c r="I242" s="3" t="s">
        <v>15</v>
      </c>
      <c r="K242" s="3" t="s">
        <v>22</v>
      </c>
      <c r="L242" s="3" t="s">
        <v>1189</v>
      </c>
      <c r="M242" s="4" t="s">
        <v>1441</v>
      </c>
      <c r="N242" s="3" t="s">
        <v>15</v>
      </c>
      <c r="O242" s="3" t="s">
        <v>1152</v>
      </c>
      <c r="P242" s="3" t="s">
        <v>1081</v>
      </c>
      <c r="Q242" s="3">
        <v>50</v>
      </c>
      <c r="S242" s="3" t="s">
        <v>1801</v>
      </c>
      <c r="T242" s="3">
        <v>41</v>
      </c>
      <c r="V242" s="3" t="s">
        <v>1862</v>
      </c>
      <c r="W242" s="4" t="s">
        <v>1191</v>
      </c>
      <c r="X242" s="3" t="s">
        <v>1758</v>
      </c>
      <c r="Y242" cm="1">
        <f t="array" ref="Y242">SUM(IF(INT($M$2:$M$594)&amp;" "&amp;$K$2:$K$594=INT($M242)&amp;" "&amp;$K242,1,0))</f>
        <v>1</v>
      </c>
      <c r="Z242" cm="1">
        <f t="array" ref="Z242">SUM(IF(ROUND($M$2:$M$594,0)&amp;" "&amp;$K$2:$K$594=ROUND($M242,0)&amp;" "&amp;$K242,1,0))</f>
        <v>1</v>
      </c>
      <c r="AA242" cm="1">
        <f t="array" ref="AA242">SUM(IF($W$2:$W$594=$W242,1,0))</f>
        <v>1</v>
      </c>
    </row>
    <row r="243" spans="1:27" x14ac:dyDescent="0.25">
      <c r="A243" t="s">
        <v>1664</v>
      </c>
      <c r="B243" t="s">
        <v>1436</v>
      </c>
      <c r="C243" t="s">
        <v>1713</v>
      </c>
      <c r="D243" t="s">
        <v>1718</v>
      </c>
      <c r="E243">
        <v>1</v>
      </c>
      <c r="F243" t="str">
        <f t="shared" si="3"/>
        <v>3/2</v>
      </c>
      <c r="G243" s="1" t="s">
        <v>1442</v>
      </c>
      <c r="I243" s="3" t="s">
        <v>15</v>
      </c>
      <c r="K243" s="3" t="s">
        <v>35</v>
      </c>
      <c r="M243" s="4" t="s">
        <v>1442</v>
      </c>
      <c r="N243" s="3" t="s">
        <v>15</v>
      </c>
      <c r="O243" s="3" t="s">
        <v>1179</v>
      </c>
      <c r="P243" s="3" t="s">
        <v>71</v>
      </c>
      <c r="W243" s="5" t="s">
        <v>1976</v>
      </c>
      <c r="X243" s="3" t="s">
        <v>1757</v>
      </c>
      <c r="Y243" cm="1">
        <f t="array" ref="Y243">SUM(IF(INT($M$2:$M$594)&amp;" "&amp;$K$2:$K$594=INT($M243)&amp;" "&amp;$K243,1,0))</f>
        <v>1</v>
      </c>
      <c r="Z243" cm="1">
        <f t="array" ref="Z243">SUM(IF(ROUND($M$2:$M$594,0)&amp;" "&amp;$K$2:$K$594=ROUND($M243,0)&amp;" "&amp;$K243,1,0))</f>
        <v>1</v>
      </c>
      <c r="AA243" cm="1">
        <f t="array" ref="AA243">SUM(IF($W$2:$W$594=$W243,1,0))</f>
        <v>1</v>
      </c>
    </row>
    <row r="244" spans="1:27" x14ac:dyDescent="0.25">
      <c r="B244" t="s">
        <v>1425</v>
      </c>
      <c r="C244" t="s">
        <v>1713</v>
      </c>
      <c r="D244" t="s">
        <v>1717</v>
      </c>
      <c r="E244">
        <v>3</v>
      </c>
      <c r="F244" t="str">
        <f t="shared" si="3"/>
        <v>7/2</v>
      </c>
      <c r="G244" s="4" t="s">
        <v>1443</v>
      </c>
      <c r="I244" s="3" t="s">
        <v>15</v>
      </c>
      <c r="K244" s="3" t="s">
        <v>47</v>
      </c>
      <c r="L244" s="3" t="s">
        <v>1192</v>
      </c>
      <c r="M244" s="4" t="s">
        <v>1443</v>
      </c>
      <c r="N244" s="3" t="s">
        <v>15</v>
      </c>
      <c r="O244" s="3" t="s">
        <v>1152</v>
      </c>
      <c r="P244" s="3" t="s">
        <v>71</v>
      </c>
      <c r="Q244" s="3">
        <v>41</v>
      </c>
      <c r="R244" s="3" t="s">
        <v>1098</v>
      </c>
      <c r="S244" s="3" t="s">
        <v>1801</v>
      </c>
      <c r="T244" s="3">
        <v>42</v>
      </c>
      <c r="V244" s="3" t="s">
        <v>1867</v>
      </c>
      <c r="W244" s="4" t="s">
        <v>1194</v>
      </c>
      <c r="X244" s="3" t="s">
        <v>1758</v>
      </c>
      <c r="Y244" cm="1">
        <f t="array" ref="Y244">SUM(IF(INT($M$2:$M$594)&amp;" "&amp;$K$2:$K$594=INT($M244)&amp;" "&amp;$K244,1,0))</f>
        <v>1</v>
      </c>
      <c r="Z244" cm="1">
        <f t="array" ref="Z244">SUM(IF(ROUND($M$2:$M$594,0)&amp;" "&amp;$K$2:$K$594=ROUND($M244,0)&amp;" "&amp;$K244,1,0))</f>
        <v>1</v>
      </c>
      <c r="AA244" cm="1">
        <f t="array" ref="AA244">SUM(IF($W$2:$W$594=$W244,1,0))</f>
        <v>1</v>
      </c>
    </row>
    <row r="245" spans="1:27" x14ac:dyDescent="0.25">
      <c r="A245" t="s">
        <v>1664</v>
      </c>
      <c r="B245" t="s">
        <v>1672</v>
      </c>
      <c r="C245" t="s">
        <v>1715</v>
      </c>
      <c r="D245" t="s">
        <v>1717</v>
      </c>
      <c r="E245">
        <v>5</v>
      </c>
      <c r="F245" t="str">
        <f t="shared" si="3"/>
        <v>11/2</v>
      </c>
      <c r="G245" s="1" t="s">
        <v>1444</v>
      </c>
      <c r="I245" s="3" t="s">
        <v>15</v>
      </c>
      <c r="K245" s="3" t="s">
        <v>22</v>
      </c>
      <c r="M245" s="4" t="s">
        <v>1444</v>
      </c>
      <c r="N245" s="3" t="s">
        <v>15</v>
      </c>
      <c r="O245" s="3" t="s">
        <v>1765</v>
      </c>
      <c r="P245" s="3" t="s">
        <v>71</v>
      </c>
      <c r="W245" s="5" t="s">
        <v>1977</v>
      </c>
      <c r="X245" s="3" t="s">
        <v>1757</v>
      </c>
      <c r="Y245" cm="1">
        <f t="array" ref="Y245">SUM(IF(INT($M$2:$M$594)&amp;" "&amp;$K$2:$K$594=INT($M245)&amp;" "&amp;$K245,1,0))</f>
        <v>1</v>
      </c>
      <c r="Z245" cm="1">
        <f t="array" ref="Z245">SUM(IF(ROUND($M$2:$M$594,0)&amp;" "&amp;$K$2:$K$594=ROUND($M245,0)&amp;" "&amp;$K245,1,0))</f>
        <v>1</v>
      </c>
      <c r="AA245" cm="1">
        <f t="array" ref="AA245">SUM(IF($W$2:$W$594=$W245,1,0))</f>
        <v>1</v>
      </c>
    </row>
    <row r="246" spans="1:27" x14ac:dyDescent="0.25">
      <c r="B246" t="s">
        <v>1425</v>
      </c>
      <c r="C246" t="s">
        <v>1713</v>
      </c>
      <c r="D246" t="s">
        <v>1717</v>
      </c>
      <c r="E246">
        <v>7</v>
      </c>
      <c r="F246" t="str">
        <f t="shared" si="3"/>
        <v>15/2</v>
      </c>
      <c r="G246" s="4" t="s">
        <v>1445</v>
      </c>
      <c r="I246" s="3" t="s">
        <v>15</v>
      </c>
      <c r="K246" s="3" t="s">
        <v>30</v>
      </c>
      <c r="L246" s="3" t="s">
        <v>1195</v>
      </c>
      <c r="M246" s="4" t="s">
        <v>1445</v>
      </c>
      <c r="N246" s="3" t="s">
        <v>15</v>
      </c>
      <c r="O246" s="3" t="s">
        <v>1152</v>
      </c>
      <c r="P246" s="3" t="s">
        <v>1077</v>
      </c>
      <c r="Q246" s="3">
        <v>78</v>
      </c>
      <c r="S246" s="3" t="s">
        <v>1801</v>
      </c>
      <c r="T246" s="3">
        <v>72</v>
      </c>
      <c r="V246" s="3" t="s">
        <v>1863</v>
      </c>
      <c r="W246" s="4" t="s">
        <v>1197</v>
      </c>
      <c r="X246" s="3" t="s">
        <v>1758</v>
      </c>
      <c r="Y246" cm="1">
        <f t="array" ref="Y246">SUM(IF(INT($M$2:$M$594)&amp;" "&amp;$K$2:$K$594=INT($M246)&amp;" "&amp;$K246,1,0))</f>
        <v>1</v>
      </c>
      <c r="Z246" cm="1">
        <f t="array" ref="Z246">SUM(IF(ROUND($M$2:$M$594,0)&amp;" "&amp;$K$2:$K$594=ROUND($M246,0)&amp;" "&amp;$K246,1,0))</f>
        <v>1</v>
      </c>
      <c r="AA246" cm="1">
        <f t="array" ref="AA246">SUM(IF($W$2:$W$594=$W246,1,0))</f>
        <v>1</v>
      </c>
    </row>
    <row r="247" spans="1:27" x14ac:dyDescent="0.25">
      <c r="B247" t="s">
        <v>1436</v>
      </c>
      <c r="C247" t="s">
        <v>1713</v>
      </c>
      <c r="D247" t="s">
        <v>1718</v>
      </c>
      <c r="E247">
        <v>5</v>
      </c>
      <c r="F247" t="str">
        <f t="shared" si="3"/>
        <v>11/2</v>
      </c>
      <c r="G247" s="4" t="s">
        <v>1446</v>
      </c>
      <c r="I247" s="3" t="s">
        <v>15</v>
      </c>
      <c r="K247" s="3" t="s">
        <v>22</v>
      </c>
      <c r="L247" s="3" t="s">
        <v>1198</v>
      </c>
      <c r="M247" s="4" t="s">
        <v>1446</v>
      </c>
      <c r="N247" s="3" t="s">
        <v>15</v>
      </c>
      <c r="O247" s="3" t="s">
        <v>1179</v>
      </c>
      <c r="P247" s="3" t="s">
        <v>1081</v>
      </c>
      <c r="Q247" s="3">
        <v>63</v>
      </c>
      <c r="S247" s="3" t="s">
        <v>1801</v>
      </c>
      <c r="T247" s="3">
        <v>31</v>
      </c>
      <c r="V247" s="3" t="s">
        <v>1868</v>
      </c>
      <c r="W247" s="4" t="s">
        <v>1200</v>
      </c>
      <c r="X247" s="3" t="s">
        <v>1758</v>
      </c>
      <c r="Y247" cm="1">
        <f t="array" ref="Y247">SUM(IF(INT($M$2:$M$594)&amp;" "&amp;$K$2:$K$594=INT($M247)&amp;" "&amp;$K247,1,0))</f>
        <v>1</v>
      </c>
      <c r="Z247" cm="1">
        <f t="array" ref="Z247">SUM(IF(ROUND($M$2:$M$594,0)&amp;" "&amp;$K$2:$K$594=ROUND($M247,0)&amp;" "&amp;$K247,1,0))</f>
        <v>1</v>
      </c>
      <c r="AA247" cm="1">
        <f t="array" ref="AA247">SUM(IF($W$2:$W$594=$W247,1,0))</f>
        <v>1</v>
      </c>
    </row>
    <row r="248" spans="1:27" x14ac:dyDescent="0.25">
      <c r="B248" t="s">
        <v>1436</v>
      </c>
      <c r="C248" t="s">
        <v>1713</v>
      </c>
      <c r="D248" t="s">
        <v>1718</v>
      </c>
      <c r="E248">
        <v>4</v>
      </c>
      <c r="F248" t="str">
        <f t="shared" si="3"/>
        <v>9/2</v>
      </c>
      <c r="G248" s="1" t="s">
        <v>1201</v>
      </c>
      <c r="I248" s="3" t="s">
        <v>15</v>
      </c>
      <c r="K248" s="3" t="s">
        <v>14</v>
      </c>
      <c r="L248" s="4" t="s">
        <v>1201</v>
      </c>
      <c r="M248" s="4" t="s">
        <v>1201</v>
      </c>
      <c r="N248" s="3" t="s">
        <v>15</v>
      </c>
      <c r="O248" s="3" t="s">
        <v>1179</v>
      </c>
      <c r="P248" s="3" t="s">
        <v>1073</v>
      </c>
      <c r="Q248" s="3">
        <v>52</v>
      </c>
      <c r="S248" s="3" t="s">
        <v>1801</v>
      </c>
      <c r="T248" s="3">
        <v>54</v>
      </c>
      <c r="V248" s="3" t="s">
        <v>1869</v>
      </c>
      <c r="W248" s="4" t="s">
        <v>1203</v>
      </c>
      <c r="X248" s="3" t="s">
        <v>21</v>
      </c>
      <c r="Y248" cm="1">
        <f t="array" ref="Y248">SUM(IF(INT($M$2:$M$594)&amp;" "&amp;$K$2:$K$594=INT($M248)&amp;" "&amp;$K248,1,0))</f>
        <v>1</v>
      </c>
      <c r="Z248" cm="1">
        <f t="array" ref="Z248">SUM(IF(ROUND($M$2:$M$594,0)&amp;" "&amp;$K$2:$K$594=ROUND($M248,0)&amp;" "&amp;$K248,1,0))</f>
        <v>1</v>
      </c>
      <c r="AA248" cm="1">
        <f t="array" ref="AA248">SUM(IF($W$2:$W$594=$W248,1,0))</f>
        <v>1</v>
      </c>
    </row>
    <row r="249" spans="1:27" x14ac:dyDescent="0.25">
      <c r="B249" t="s">
        <v>1425</v>
      </c>
      <c r="C249" t="s">
        <v>1713</v>
      </c>
      <c r="D249" t="s">
        <v>1717</v>
      </c>
      <c r="E249">
        <v>8</v>
      </c>
      <c r="F249" t="str">
        <f t="shared" si="3"/>
        <v>17/2</v>
      </c>
      <c r="G249" s="4" t="s">
        <v>1447</v>
      </c>
      <c r="I249" s="3" t="s">
        <v>15</v>
      </c>
      <c r="K249" s="3" t="s">
        <v>164</v>
      </c>
      <c r="L249" s="3" t="s">
        <v>1204</v>
      </c>
      <c r="M249" s="4" t="s">
        <v>1447</v>
      </c>
      <c r="N249" s="3" t="s">
        <v>15</v>
      </c>
      <c r="O249" s="3" t="s">
        <v>1152</v>
      </c>
      <c r="P249" s="3" t="s">
        <v>1159</v>
      </c>
      <c r="Q249" s="3">
        <v>89</v>
      </c>
      <c r="S249" s="3" t="s">
        <v>1801</v>
      </c>
      <c r="T249" s="3">
        <v>89</v>
      </c>
      <c r="V249" s="3" t="s">
        <v>1866</v>
      </c>
      <c r="W249" s="4" t="s">
        <v>1206</v>
      </c>
      <c r="X249" s="3" t="s">
        <v>1758</v>
      </c>
      <c r="Y249" cm="1">
        <f t="array" ref="Y249">SUM(IF(INT($M$2:$M$594)&amp;" "&amp;$K$2:$K$594=INT($M249)&amp;" "&amp;$K249,1,0))</f>
        <v>1</v>
      </c>
      <c r="Z249" cm="1">
        <f t="array" ref="Z249">SUM(IF(ROUND($M$2:$M$594,0)&amp;" "&amp;$K$2:$K$594=ROUND($M249,0)&amp;" "&amp;$K249,1,0))</f>
        <v>1</v>
      </c>
      <c r="AA249" cm="1">
        <f t="array" ref="AA249">SUM(IF($W$2:$W$594=$W249,1,0))</f>
        <v>1</v>
      </c>
    </row>
    <row r="250" spans="1:27" x14ac:dyDescent="0.25">
      <c r="B250" t="s">
        <v>1436</v>
      </c>
      <c r="C250" t="s">
        <v>1713</v>
      </c>
      <c r="D250" t="s">
        <v>1718</v>
      </c>
      <c r="E250">
        <v>2</v>
      </c>
      <c r="F250" t="str">
        <f t="shared" si="3"/>
        <v>5/2</v>
      </c>
      <c r="G250" s="1" t="s">
        <v>1207</v>
      </c>
      <c r="I250" s="3" t="s">
        <v>15</v>
      </c>
      <c r="K250" s="3" t="s">
        <v>43</v>
      </c>
      <c r="L250" s="4" t="s">
        <v>1207</v>
      </c>
      <c r="M250" s="4" t="s">
        <v>1207</v>
      </c>
      <c r="N250" s="3" t="s">
        <v>15</v>
      </c>
      <c r="O250" s="3" t="s">
        <v>1179</v>
      </c>
      <c r="P250" s="3" t="s">
        <v>1098</v>
      </c>
      <c r="Q250" s="3">
        <v>66</v>
      </c>
      <c r="S250" s="3" t="s">
        <v>1801</v>
      </c>
      <c r="T250" s="3">
        <v>50</v>
      </c>
      <c r="V250" s="3" t="s">
        <v>1870</v>
      </c>
      <c r="W250" s="4" t="s">
        <v>1209</v>
      </c>
      <c r="X250" s="3" t="s">
        <v>21</v>
      </c>
      <c r="Y250" cm="1">
        <f t="array" ref="Y250">SUM(IF(INT($M$2:$M$594)&amp;" "&amp;$K$2:$K$594=INT($M250)&amp;" "&amp;$K250,1,0))</f>
        <v>1</v>
      </c>
      <c r="Z250" cm="1">
        <f t="array" ref="Z250">SUM(IF(ROUND($M$2:$M$594,0)&amp;" "&amp;$K$2:$K$594=ROUND($M250,0)&amp;" "&amp;$K250,1,0))</f>
        <v>1</v>
      </c>
      <c r="AA250" cm="1">
        <f t="array" ref="AA250">SUM(IF($W$2:$W$594=$W250,1,0))</f>
        <v>1</v>
      </c>
    </row>
    <row r="251" spans="1:27" x14ac:dyDescent="0.25">
      <c r="A251" t="s">
        <v>1664</v>
      </c>
      <c r="B251" t="s">
        <v>1436</v>
      </c>
      <c r="C251" t="s">
        <v>1713</v>
      </c>
      <c r="D251" t="s">
        <v>1718</v>
      </c>
      <c r="E251">
        <v>1</v>
      </c>
      <c r="F251" t="str">
        <f t="shared" si="3"/>
        <v>3/2</v>
      </c>
      <c r="G251" s="1" t="s">
        <v>1448</v>
      </c>
      <c r="I251" s="3" t="s">
        <v>15</v>
      </c>
      <c r="K251" s="3" t="s">
        <v>35</v>
      </c>
      <c r="M251" s="4" t="s">
        <v>1448</v>
      </c>
      <c r="N251" s="3" t="s">
        <v>15</v>
      </c>
      <c r="O251" s="3" t="s">
        <v>1179</v>
      </c>
      <c r="P251" s="3" t="s">
        <v>71</v>
      </c>
      <c r="W251" s="5" t="s">
        <v>1978</v>
      </c>
      <c r="X251" s="3" t="s">
        <v>1757</v>
      </c>
      <c r="Y251" cm="1">
        <f t="array" ref="Y251">SUM(IF(INT($M$2:$M$594)&amp;" "&amp;$K$2:$K$594=INT($M251)&amp;" "&amp;$K251,1,0))</f>
        <v>1</v>
      </c>
      <c r="Z251" cm="1">
        <f t="array" ref="Z251">SUM(IF(ROUND($M$2:$M$594,0)&amp;" "&amp;$K$2:$K$594=ROUND($M251,0)&amp;" "&amp;$K251,1,0))</f>
        <v>1</v>
      </c>
      <c r="AA251" cm="1">
        <f t="array" ref="AA251">SUM(IF($W$2:$W$594=$W251,1,0))</f>
        <v>1</v>
      </c>
    </row>
    <row r="252" spans="1:27" x14ac:dyDescent="0.25">
      <c r="B252" t="s">
        <v>1436</v>
      </c>
      <c r="C252" t="s">
        <v>1713</v>
      </c>
      <c r="D252" t="s">
        <v>1718</v>
      </c>
      <c r="E252">
        <v>3</v>
      </c>
      <c r="F252" t="str">
        <f t="shared" si="3"/>
        <v>7/2</v>
      </c>
      <c r="G252" s="1" t="s">
        <v>1210</v>
      </c>
      <c r="I252" s="3" t="s">
        <v>15</v>
      </c>
      <c r="K252" s="3" t="s">
        <v>47</v>
      </c>
      <c r="L252" s="4" t="s">
        <v>1210</v>
      </c>
      <c r="M252" s="4" t="s">
        <v>1210</v>
      </c>
      <c r="N252" s="3" t="s">
        <v>15</v>
      </c>
      <c r="O252" s="3" t="s">
        <v>1179</v>
      </c>
      <c r="P252" s="3" t="s">
        <v>1098</v>
      </c>
      <c r="Q252" s="3">
        <v>57</v>
      </c>
      <c r="S252" s="3" t="s">
        <v>1801</v>
      </c>
      <c r="T252" s="3">
        <v>21</v>
      </c>
      <c r="V252" s="3" t="s">
        <v>1870</v>
      </c>
      <c r="W252" s="4" t="s">
        <v>1212</v>
      </c>
      <c r="X252" s="3" t="s">
        <v>21</v>
      </c>
      <c r="Y252" cm="1">
        <f t="array" ref="Y252">SUM(IF(INT($M$2:$M$594)&amp;" "&amp;$K$2:$K$594=INT($M252)&amp;" "&amp;$K252,1,0))</f>
        <v>1</v>
      </c>
      <c r="Z252" cm="1">
        <f t="array" ref="Z252">SUM(IF(ROUND($M$2:$M$594,0)&amp;" "&amp;$K$2:$K$594=ROUND($M252,0)&amp;" "&amp;$K252,1,0))</f>
        <v>1</v>
      </c>
      <c r="AA252" cm="1">
        <f t="array" ref="AA252">SUM(IF($W$2:$W$594=$W252,1,0))</f>
        <v>1</v>
      </c>
    </row>
    <row r="253" spans="1:27" x14ac:dyDescent="0.25">
      <c r="B253" t="s">
        <v>1449</v>
      </c>
      <c r="C253" t="s">
        <v>1713</v>
      </c>
      <c r="D253" t="s">
        <v>1719</v>
      </c>
      <c r="E253">
        <v>6</v>
      </c>
      <c r="F253" t="str">
        <f t="shared" si="3"/>
        <v>13/2</v>
      </c>
      <c r="G253" s="1" t="s">
        <v>1214</v>
      </c>
      <c r="I253" s="3" t="s">
        <v>15</v>
      </c>
      <c r="K253" s="3" t="s">
        <v>26</v>
      </c>
      <c r="L253" s="4" t="s">
        <v>1214</v>
      </c>
      <c r="M253" s="4" t="s">
        <v>1214</v>
      </c>
      <c r="N253" s="3" t="s">
        <v>15</v>
      </c>
      <c r="O253" s="3" t="s">
        <v>1213</v>
      </c>
      <c r="P253" s="3" t="s">
        <v>1069</v>
      </c>
      <c r="Q253" s="3">
        <v>56</v>
      </c>
      <c r="S253" s="3" t="s">
        <v>1801</v>
      </c>
      <c r="T253" s="3">
        <v>54</v>
      </c>
      <c r="V253" s="3" t="s">
        <v>1857</v>
      </c>
      <c r="W253" s="4" t="s">
        <v>1216</v>
      </c>
      <c r="X253" s="3" t="s">
        <v>21</v>
      </c>
      <c r="Y253" cm="1">
        <f t="array" ref="Y253">SUM(IF(INT($M$2:$M$594)&amp;" "&amp;$K$2:$K$594=INT($M253)&amp;" "&amp;$K253,1,0))</f>
        <v>1</v>
      </c>
      <c r="Z253" cm="1">
        <f t="array" ref="Z253">SUM(IF(ROUND($M$2:$M$594,0)&amp;" "&amp;$K$2:$K$594=ROUND($M253,0)&amp;" "&amp;$K253,1,0))</f>
        <v>1</v>
      </c>
      <c r="AA253" cm="1">
        <f t="array" ref="AA253">SUM(IF($W$2:$W$594=$W253,1,0))</f>
        <v>1</v>
      </c>
    </row>
    <row r="254" spans="1:27" x14ac:dyDescent="0.25">
      <c r="B254" t="s">
        <v>1449</v>
      </c>
      <c r="C254" t="s">
        <v>1713</v>
      </c>
      <c r="D254" t="s">
        <v>1719</v>
      </c>
      <c r="E254">
        <v>5</v>
      </c>
      <c r="F254" t="str">
        <f t="shared" si="3"/>
        <v>11/2</v>
      </c>
      <c r="G254" s="1" t="s">
        <v>1217</v>
      </c>
      <c r="I254" s="3" t="s">
        <v>15</v>
      </c>
      <c r="K254" s="3" t="s">
        <v>22</v>
      </c>
      <c r="L254" s="4" t="s">
        <v>1217</v>
      </c>
      <c r="M254" s="4" t="s">
        <v>1217</v>
      </c>
      <c r="N254" s="3" t="s">
        <v>15</v>
      </c>
      <c r="O254" s="3" t="s">
        <v>1213</v>
      </c>
      <c r="P254" s="3" t="s">
        <v>1069</v>
      </c>
      <c r="Q254" s="3">
        <v>35</v>
      </c>
      <c r="S254" s="3" t="s">
        <v>1801</v>
      </c>
      <c r="T254" s="3">
        <v>28</v>
      </c>
      <c r="V254" s="3" t="s">
        <v>1857</v>
      </c>
      <c r="W254" s="4" t="s">
        <v>1219</v>
      </c>
      <c r="X254" s="3" t="s">
        <v>21</v>
      </c>
      <c r="Y254" cm="1">
        <f t="array" ref="Y254">SUM(IF(INT($M$2:$M$594)&amp;" "&amp;$K$2:$K$594=INT($M254)&amp;" "&amp;$K254,1,0))</f>
        <v>1</v>
      </c>
      <c r="Z254" cm="1">
        <f t="array" ref="Z254">SUM(IF(ROUND($M$2:$M$594,0)&amp;" "&amp;$K$2:$K$594=ROUND($M254,0)&amp;" "&amp;$K254,1,0))</f>
        <v>1</v>
      </c>
      <c r="AA254" cm="1">
        <f t="array" ref="AA254">SUM(IF($W$2:$W$594=$W254,1,0))</f>
        <v>1</v>
      </c>
    </row>
    <row r="255" spans="1:27" x14ac:dyDescent="0.25">
      <c r="A255" t="s">
        <v>1664</v>
      </c>
      <c r="B255" t="s">
        <v>1449</v>
      </c>
      <c r="C255" t="s">
        <v>1713</v>
      </c>
      <c r="D255" t="s">
        <v>1719</v>
      </c>
      <c r="E255">
        <v>0</v>
      </c>
      <c r="F255" t="str">
        <f t="shared" si="3"/>
        <v>1/2</v>
      </c>
      <c r="G255" s="1" t="s">
        <v>1450</v>
      </c>
      <c r="I255" s="3" t="s">
        <v>15</v>
      </c>
      <c r="K255" s="3" t="s">
        <v>145</v>
      </c>
      <c r="M255" s="4" t="s">
        <v>1450</v>
      </c>
      <c r="N255" s="3" t="s">
        <v>15</v>
      </c>
      <c r="O255" s="3" t="s">
        <v>1213</v>
      </c>
      <c r="P255" s="3" t="s">
        <v>71</v>
      </c>
      <c r="W255" s="5" t="s">
        <v>1979</v>
      </c>
      <c r="X255" s="3" t="s">
        <v>1757</v>
      </c>
      <c r="Y255" cm="1">
        <f t="array" ref="Y255">SUM(IF(INT($M$2:$M$594)&amp;" "&amp;$K$2:$K$594=INT($M255)&amp;" "&amp;$K255,1,0))</f>
        <v>1</v>
      </c>
      <c r="Z255" cm="1">
        <f t="array" ref="Z255">SUM(IF(ROUND($M$2:$M$594,0)&amp;" "&amp;$K$2:$K$594=ROUND($M255,0)&amp;" "&amp;$K255,1,0))</f>
        <v>1</v>
      </c>
      <c r="AA255" cm="1">
        <f t="array" ref="AA255">SUM(IF($W$2:$W$594=$W255,1,0))</f>
        <v>1</v>
      </c>
    </row>
    <row r="256" spans="1:27" x14ac:dyDescent="0.25">
      <c r="A256" t="s">
        <v>1664</v>
      </c>
      <c r="B256" t="s">
        <v>1672</v>
      </c>
      <c r="C256" t="s">
        <v>1715</v>
      </c>
      <c r="D256" t="s">
        <v>1717</v>
      </c>
      <c r="E256">
        <v>7</v>
      </c>
      <c r="F256" t="str">
        <f t="shared" si="3"/>
        <v>15/2</v>
      </c>
      <c r="G256" s="1" t="s">
        <v>1451</v>
      </c>
      <c r="I256" s="3" t="s">
        <v>15</v>
      </c>
      <c r="K256" s="3" t="s">
        <v>30</v>
      </c>
      <c r="M256" s="4" t="s">
        <v>1451</v>
      </c>
      <c r="N256" s="3" t="s">
        <v>15</v>
      </c>
      <c r="O256" s="3" t="s">
        <v>1765</v>
      </c>
      <c r="P256" s="3" t="s">
        <v>71</v>
      </c>
      <c r="W256" s="5" t="s">
        <v>1980</v>
      </c>
      <c r="X256" s="3" t="s">
        <v>1757</v>
      </c>
      <c r="Y256" cm="1">
        <f t="array" ref="Y256">SUM(IF(INT($M$2:$M$594)&amp;" "&amp;$K$2:$K$594=INT($M256)&amp;" "&amp;$K256,1,0))</f>
        <v>1</v>
      </c>
      <c r="Z256" cm="1">
        <f t="array" ref="Z256">SUM(IF(ROUND($M$2:$M$594,0)&amp;" "&amp;$K$2:$K$594=ROUND($M256,0)&amp;" "&amp;$K256,1,0))</f>
        <v>1</v>
      </c>
      <c r="AA256" cm="1">
        <f t="array" ref="AA256">SUM(IF($W$2:$W$594=$W256,1,0))</f>
        <v>1</v>
      </c>
    </row>
    <row r="257" spans="1:27" x14ac:dyDescent="0.25">
      <c r="A257" t="s">
        <v>1664</v>
      </c>
      <c r="B257" t="s">
        <v>1672</v>
      </c>
      <c r="C257" t="s">
        <v>1715</v>
      </c>
      <c r="D257" t="s">
        <v>1717</v>
      </c>
      <c r="E257">
        <v>5</v>
      </c>
      <c r="F257" t="str">
        <f t="shared" si="3"/>
        <v>11/2</v>
      </c>
      <c r="G257" s="1" t="s">
        <v>1452</v>
      </c>
      <c r="I257" s="3" t="s">
        <v>15</v>
      </c>
      <c r="K257" s="3" t="s">
        <v>22</v>
      </c>
      <c r="M257" s="4" t="s">
        <v>1452</v>
      </c>
      <c r="N257" s="3" t="s">
        <v>15</v>
      </c>
      <c r="O257" s="3" t="s">
        <v>1765</v>
      </c>
      <c r="P257" s="3" t="s">
        <v>71</v>
      </c>
      <c r="W257" s="5" t="s">
        <v>1981</v>
      </c>
      <c r="X257" s="3" t="s">
        <v>1757</v>
      </c>
      <c r="Y257" cm="1">
        <f t="array" ref="Y257">SUM(IF(INT($M$2:$M$594)&amp;" "&amp;$K$2:$K$594=INT($M257)&amp;" "&amp;$K257,1,0))</f>
        <v>1</v>
      </c>
      <c r="Z257" cm="1">
        <f t="array" ref="Z257">SUM(IF(ROUND($M$2:$M$594,0)&amp;" "&amp;$K$2:$K$594=ROUND($M257,0)&amp;" "&amp;$K257,1,0))</f>
        <v>1</v>
      </c>
      <c r="AA257" cm="1">
        <f t="array" ref="AA257">SUM(IF($W$2:$W$594=$W257,1,0))</f>
        <v>1</v>
      </c>
    </row>
    <row r="258" spans="1:27" x14ac:dyDescent="0.25">
      <c r="A258" t="s">
        <v>1664</v>
      </c>
      <c r="B258" t="s">
        <v>1672</v>
      </c>
      <c r="C258" t="s">
        <v>1715</v>
      </c>
      <c r="D258" t="s">
        <v>1717</v>
      </c>
      <c r="E258">
        <v>6</v>
      </c>
      <c r="F258" t="str">
        <f t="shared" si="3"/>
        <v>13/2</v>
      </c>
      <c r="G258" s="1" t="s">
        <v>1453</v>
      </c>
      <c r="I258" s="3" t="s">
        <v>15</v>
      </c>
      <c r="K258" s="3" t="s">
        <v>26</v>
      </c>
      <c r="M258" s="4" t="s">
        <v>1453</v>
      </c>
      <c r="N258" s="3" t="s">
        <v>15</v>
      </c>
      <c r="O258" s="3" t="s">
        <v>1765</v>
      </c>
      <c r="P258" s="3" t="s">
        <v>71</v>
      </c>
      <c r="W258" s="5" t="s">
        <v>1982</v>
      </c>
      <c r="X258" s="3" t="s">
        <v>1757</v>
      </c>
      <c r="Y258" cm="1">
        <f t="array" ref="Y258">SUM(IF(INT($M$2:$M$594)&amp;" "&amp;$K$2:$K$594=INT($M258)&amp;" "&amp;$K258,1,0))</f>
        <v>1</v>
      </c>
      <c r="Z258" cm="1">
        <f t="array" ref="Z258">SUM(IF(ROUND($M$2:$M$594,0)&amp;" "&amp;$K$2:$K$594=ROUND($M258,0)&amp;" "&amp;$K258,1,0))</f>
        <v>1</v>
      </c>
      <c r="AA258" cm="1">
        <f t="array" ref="AA258">SUM(IF($W$2:$W$594=$W258,1,0))</f>
        <v>1</v>
      </c>
    </row>
    <row r="259" spans="1:27" x14ac:dyDescent="0.25">
      <c r="A259" t="s">
        <v>1664</v>
      </c>
      <c r="B259" t="s">
        <v>1449</v>
      </c>
      <c r="C259" t="s">
        <v>1713</v>
      </c>
      <c r="D259" t="s">
        <v>1719</v>
      </c>
      <c r="E259">
        <v>4</v>
      </c>
      <c r="F259" t="str">
        <f t="shared" si="3"/>
        <v>9/2</v>
      </c>
      <c r="G259" s="1" t="s">
        <v>1454</v>
      </c>
      <c r="I259" s="3" t="s">
        <v>15</v>
      </c>
      <c r="K259" s="3" t="s">
        <v>14</v>
      </c>
      <c r="M259" s="4" t="s">
        <v>1454</v>
      </c>
      <c r="N259" s="3" t="s">
        <v>15</v>
      </c>
      <c r="O259" s="3" t="s">
        <v>1213</v>
      </c>
      <c r="P259" s="3" t="s">
        <v>71</v>
      </c>
      <c r="W259" s="5" t="s">
        <v>1983</v>
      </c>
      <c r="X259" s="3" t="s">
        <v>1757</v>
      </c>
      <c r="Y259" cm="1">
        <f t="array" ref="Y259">SUM(IF(INT($M$2:$M$594)&amp;" "&amp;$K$2:$K$594=INT($M259)&amp;" "&amp;$K259,1,0))</f>
        <v>1</v>
      </c>
      <c r="Z259" cm="1">
        <f t="array" ref="Z259">SUM(IF(ROUND($M$2:$M$594,0)&amp;" "&amp;$K$2:$K$594=ROUND($M259,0)&amp;" "&amp;$K259,1,0))</f>
        <v>1</v>
      </c>
      <c r="AA259" cm="1">
        <f t="array" ref="AA259">SUM(IF($W$2:$W$594=$W259,1,0))</f>
        <v>1</v>
      </c>
    </row>
    <row r="260" spans="1:27" x14ac:dyDescent="0.25">
      <c r="B260" t="s">
        <v>1449</v>
      </c>
      <c r="C260" t="s">
        <v>1713</v>
      </c>
      <c r="D260" t="s">
        <v>1719</v>
      </c>
      <c r="E260">
        <v>1</v>
      </c>
      <c r="F260" t="str">
        <f t="shared" si="3"/>
        <v>3/2</v>
      </c>
      <c r="G260" s="1" t="s">
        <v>1220</v>
      </c>
      <c r="I260" s="3" t="s">
        <v>15</v>
      </c>
      <c r="K260" s="3" t="s">
        <v>35</v>
      </c>
      <c r="L260" s="4" t="s">
        <v>1220</v>
      </c>
      <c r="M260" s="4" t="s">
        <v>1220</v>
      </c>
      <c r="N260" s="3" t="s">
        <v>15</v>
      </c>
      <c r="O260" s="3" t="s">
        <v>1213</v>
      </c>
      <c r="P260" s="3" t="s">
        <v>71</v>
      </c>
      <c r="Q260" s="3">
        <v>26</v>
      </c>
      <c r="R260" s="3" t="s">
        <v>1280</v>
      </c>
      <c r="S260" s="3" t="s">
        <v>1801</v>
      </c>
      <c r="T260" s="3">
        <v>24</v>
      </c>
      <c r="V260" s="3" t="s">
        <v>1871</v>
      </c>
      <c r="W260" s="4" t="s">
        <v>1222</v>
      </c>
      <c r="X260" s="3" t="s">
        <v>21</v>
      </c>
      <c r="Y260" cm="1">
        <f t="array" ref="Y260">SUM(IF(INT($M$2:$M$594)&amp;" "&amp;$K$2:$K$594=INT($M260)&amp;" "&amp;$K260,1,0))</f>
        <v>1</v>
      </c>
      <c r="Z260" cm="1">
        <f t="array" ref="Z260">SUM(IF(ROUND($M$2:$M$594,0)&amp;" "&amp;$K$2:$K$594=ROUND($M260,0)&amp;" "&amp;$K260,1,0))</f>
        <v>1</v>
      </c>
      <c r="AA260" cm="1">
        <f t="array" ref="AA260">SUM(IF($W$2:$W$594=$W260,1,0))</f>
        <v>1</v>
      </c>
    </row>
    <row r="261" spans="1:27" x14ac:dyDescent="0.25">
      <c r="B261" t="s">
        <v>1449</v>
      </c>
      <c r="C261" t="s">
        <v>1713</v>
      </c>
      <c r="D261" t="s">
        <v>1719</v>
      </c>
      <c r="E261">
        <v>5</v>
      </c>
      <c r="F261" t="str">
        <f t="shared" si="3"/>
        <v>11/2</v>
      </c>
      <c r="G261" s="1" t="s">
        <v>1223</v>
      </c>
      <c r="I261" s="3" t="s">
        <v>15</v>
      </c>
      <c r="K261" s="3" t="s">
        <v>22</v>
      </c>
      <c r="L261" s="4" t="s">
        <v>1223</v>
      </c>
      <c r="M261" s="4" t="s">
        <v>1223</v>
      </c>
      <c r="N261" s="3" t="s">
        <v>15</v>
      </c>
      <c r="O261" s="3" t="s">
        <v>1213</v>
      </c>
      <c r="P261" s="3" t="s">
        <v>1081</v>
      </c>
      <c r="Q261" s="3">
        <v>51</v>
      </c>
      <c r="S261" s="3" t="s">
        <v>1801</v>
      </c>
      <c r="T261" s="3">
        <v>48</v>
      </c>
      <c r="V261" s="3" t="s">
        <v>1840</v>
      </c>
      <c r="W261" s="4" t="s">
        <v>1225</v>
      </c>
      <c r="X261" s="3" t="s">
        <v>21</v>
      </c>
      <c r="Y261" cm="1">
        <f t="array" ref="Y261">SUM(IF(INT($M$2:$M$594)&amp;" "&amp;$K$2:$K$594=INT($M261)&amp;" "&amp;$K261,1,0))</f>
        <v>1</v>
      </c>
      <c r="Z261" cm="1">
        <f t="array" ref="Z261">SUM(IF(ROUND($M$2:$M$594,0)&amp;" "&amp;$K$2:$K$594=ROUND($M261,0)&amp;" "&amp;$K261,1,0))</f>
        <v>1</v>
      </c>
      <c r="AA261" cm="1">
        <f t="array" ref="AA261">SUM(IF($W$2:$W$594=$W261,1,0))</f>
        <v>1</v>
      </c>
    </row>
    <row r="262" spans="1:27" x14ac:dyDescent="0.25">
      <c r="A262" t="s">
        <v>1664</v>
      </c>
      <c r="B262" t="s">
        <v>1449</v>
      </c>
      <c r="C262" t="s">
        <v>1713</v>
      </c>
      <c r="D262" t="s">
        <v>1719</v>
      </c>
      <c r="E262">
        <v>2</v>
      </c>
      <c r="F262" t="str">
        <f t="shared" ref="F262:F325" si="4">(2*E262+1)&amp;"/2"</f>
        <v>5/2</v>
      </c>
      <c r="G262" s="1" t="s">
        <v>1455</v>
      </c>
      <c r="I262" s="3" t="s">
        <v>15</v>
      </c>
      <c r="K262" s="3" t="s">
        <v>43</v>
      </c>
      <c r="M262" s="4" t="s">
        <v>1455</v>
      </c>
      <c r="N262" s="3" t="s">
        <v>15</v>
      </c>
      <c r="O262" s="3" t="s">
        <v>1213</v>
      </c>
      <c r="P262" s="3" t="s">
        <v>71</v>
      </c>
      <c r="W262" s="5" t="s">
        <v>1984</v>
      </c>
      <c r="X262" s="3" t="s">
        <v>1757</v>
      </c>
      <c r="Y262" cm="1">
        <f t="array" ref="Y262">SUM(IF(INT($M$2:$M$594)&amp;" "&amp;$K$2:$K$594=INT($M262)&amp;" "&amp;$K262,1,0))</f>
        <v>1</v>
      </c>
      <c r="Z262" cm="1">
        <f t="array" ref="Z262">SUM(IF(ROUND($M$2:$M$594,0)&amp;" "&amp;$K$2:$K$594=ROUND($M262,0)&amp;" "&amp;$K262,1,0))</f>
        <v>1</v>
      </c>
      <c r="AA262" cm="1">
        <f t="array" ref="AA262">SUM(IF($W$2:$W$594=$W262,1,0))</f>
        <v>1</v>
      </c>
    </row>
    <row r="263" spans="1:27" x14ac:dyDescent="0.25">
      <c r="B263" t="s">
        <v>1449</v>
      </c>
      <c r="C263" t="s">
        <v>1713</v>
      </c>
      <c r="D263" t="s">
        <v>1719</v>
      </c>
      <c r="E263">
        <v>3</v>
      </c>
      <c r="F263" t="str">
        <f t="shared" si="4"/>
        <v>7/2</v>
      </c>
      <c r="G263" s="1" t="s">
        <v>1226</v>
      </c>
      <c r="I263" s="3" t="s">
        <v>15</v>
      </c>
      <c r="K263" s="3" t="s">
        <v>47</v>
      </c>
      <c r="L263" s="4" t="s">
        <v>1226</v>
      </c>
      <c r="M263" s="4" t="s">
        <v>1226</v>
      </c>
      <c r="N263" s="3" t="s">
        <v>15</v>
      </c>
      <c r="O263" s="3" t="s">
        <v>1213</v>
      </c>
      <c r="P263" s="3" t="s">
        <v>1073</v>
      </c>
      <c r="Q263" s="3">
        <v>64</v>
      </c>
      <c r="S263" s="3" t="s">
        <v>1801</v>
      </c>
      <c r="T263" s="3">
        <v>33</v>
      </c>
      <c r="V263" s="3" t="s">
        <v>1838</v>
      </c>
      <c r="W263" s="4" t="s">
        <v>1228</v>
      </c>
      <c r="X263" s="3" t="s">
        <v>21</v>
      </c>
      <c r="Y263" cm="1">
        <f t="array" ref="Y263">SUM(IF(INT($M$2:$M$594)&amp;" "&amp;$K$2:$K$594=INT($M263)&amp;" "&amp;$K263,1,0))</f>
        <v>1</v>
      </c>
      <c r="Z263" cm="1">
        <f t="array" ref="Z263">SUM(IF(ROUND($M$2:$M$594,0)&amp;" "&amp;$K$2:$K$594=ROUND($M263,0)&amp;" "&amp;$K263,1,0))</f>
        <v>1</v>
      </c>
      <c r="AA263" cm="1">
        <f t="array" ref="AA263">SUM(IF($W$2:$W$594=$W263,1,0))</f>
        <v>1</v>
      </c>
    </row>
    <row r="264" spans="1:27" x14ac:dyDescent="0.25">
      <c r="B264" t="s">
        <v>1449</v>
      </c>
      <c r="C264" t="s">
        <v>1713</v>
      </c>
      <c r="D264" t="s">
        <v>1719</v>
      </c>
      <c r="E264">
        <v>2</v>
      </c>
      <c r="F264" t="str">
        <f t="shared" si="4"/>
        <v>5/2</v>
      </c>
      <c r="G264" s="1" t="s">
        <v>1229</v>
      </c>
      <c r="I264" s="3" t="s">
        <v>15</v>
      </c>
      <c r="K264" s="3" t="s">
        <v>43</v>
      </c>
      <c r="L264" s="4" t="s">
        <v>1229</v>
      </c>
      <c r="M264" s="4" t="s">
        <v>1229</v>
      </c>
      <c r="N264" s="3" t="s">
        <v>15</v>
      </c>
      <c r="O264" s="3" t="s">
        <v>1213</v>
      </c>
      <c r="P264" s="3" t="s">
        <v>1098</v>
      </c>
      <c r="Q264" s="3">
        <v>33</v>
      </c>
      <c r="S264" s="3" t="s">
        <v>1801</v>
      </c>
      <c r="T264" s="3">
        <v>42</v>
      </c>
      <c r="V264" s="3" t="s">
        <v>1818</v>
      </c>
      <c r="W264" s="4" t="s">
        <v>1231</v>
      </c>
      <c r="X264" s="3" t="s">
        <v>21</v>
      </c>
      <c r="Y264" cm="1">
        <f t="array" ref="Y264">SUM(IF(INT($M$2:$M$594)&amp;" "&amp;$K$2:$K$594=INT($M264)&amp;" "&amp;$K264,1,0))</f>
        <v>1</v>
      </c>
      <c r="Z264" cm="1">
        <f t="array" ref="Z264">SUM(IF(ROUND($M$2:$M$594,0)&amp;" "&amp;$K$2:$K$594=ROUND($M264,0)&amp;" "&amp;$K264,1,0))</f>
        <v>1</v>
      </c>
      <c r="AA264" cm="1">
        <f t="array" ref="AA264">SUM(IF($W$2:$W$594=$W264,1,0))</f>
        <v>1</v>
      </c>
    </row>
    <row r="265" spans="1:27" x14ac:dyDescent="0.25">
      <c r="B265" t="s">
        <v>1456</v>
      </c>
      <c r="C265" t="s">
        <v>1713</v>
      </c>
      <c r="D265" t="s">
        <v>1720</v>
      </c>
      <c r="E265">
        <v>6</v>
      </c>
      <c r="F265" t="str">
        <f t="shared" si="4"/>
        <v>13/2</v>
      </c>
      <c r="G265" s="1" t="s">
        <v>1233</v>
      </c>
      <c r="I265" s="3" t="s">
        <v>15</v>
      </c>
      <c r="K265" s="3" t="s">
        <v>26</v>
      </c>
      <c r="L265" s="4" t="s">
        <v>1233</v>
      </c>
      <c r="M265" s="4" t="s">
        <v>1233</v>
      </c>
      <c r="N265" s="3" t="s">
        <v>15</v>
      </c>
      <c r="O265" s="3" t="s">
        <v>1232</v>
      </c>
      <c r="P265" s="3" t="s">
        <v>71</v>
      </c>
      <c r="Q265" s="3">
        <v>28</v>
      </c>
      <c r="R265" s="3" t="s">
        <v>1069</v>
      </c>
      <c r="S265" s="3" t="s">
        <v>1801</v>
      </c>
      <c r="T265" s="3">
        <v>61</v>
      </c>
      <c r="V265" s="3" t="s">
        <v>1868</v>
      </c>
      <c r="W265" s="4" t="s">
        <v>1235</v>
      </c>
      <c r="X265" s="3" t="s">
        <v>21</v>
      </c>
      <c r="Y265" cm="1">
        <f t="array" ref="Y265">SUM(IF(INT($M$2:$M$594)&amp;" "&amp;$K$2:$K$594=INT($M265)&amp;" "&amp;$K265,1,0))</f>
        <v>1</v>
      </c>
      <c r="Z265" cm="1">
        <f t="array" ref="Z265">SUM(IF(ROUND($M$2:$M$594,0)&amp;" "&amp;$K$2:$K$594=ROUND($M265,0)&amp;" "&amp;$K265,1,0))</f>
        <v>1</v>
      </c>
      <c r="AA265" cm="1">
        <f t="array" ref="AA265">SUM(IF($W$2:$W$594=$W265,1,0))</f>
        <v>1</v>
      </c>
    </row>
    <row r="266" spans="1:27" x14ac:dyDescent="0.25">
      <c r="B266" t="s">
        <v>1456</v>
      </c>
      <c r="C266" t="s">
        <v>1713</v>
      </c>
      <c r="D266" t="s">
        <v>1720</v>
      </c>
      <c r="E266">
        <v>7</v>
      </c>
      <c r="F266" t="str">
        <f t="shared" si="4"/>
        <v>15/2</v>
      </c>
      <c r="G266" s="1" t="s">
        <v>1236</v>
      </c>
      <c r="I266" s="3" t="s">
        <v>15</v>
      </c>
      <c r="K266" s="3" t="s">
        <v>30</v>
      </c>
      <c r="L266" s="4" t="s">
        <v>1236</v>
      </c>
      <c r="M266" s="4" t="s">
        <v>1236</v>
      </c>
      <c r="N266" s="3" t="s">
        <v>15</v>
      </c>
      <c r="O266" s="3" t="s">
        <v>1232</v>
      </c>
      <c r="P266" s="3" t="s">
        <v>1077</v>
      </c>
      <c r="Q266" s="3">
        <v>70</v>
      </c>
      <c r="S266" s="3" t="s">
        <v>1801</v>
      </c>
      <c r="T266" s="3">
        <v>65</v>
      </c>
      <c r="V266" s="3" t="s">
        <v>1868</v>
      </c>
      <c r="W266" s="4" t="s">
        <v>1238</v>
      </c>
      <c r="X266" s="3" t="s">
        <v>21</v>
      </c>
      <c r="Y266" cm="1">
        <f t="array" ref="Y266">SUM(IF(INT($M$2:$M$594)&amp;" "&amp;$K$2:$K$594=INT($M266)&amp;" "&amp;$K266,1,0))</f>
        <v>1</v>
      </c>
      <c r="Z266" cm="1">
        <f t="array" ref="Z266">SUM(IF(ROUND($M$2:$M$594,0)&amp;" "&amp;$K$2:$K$594=ROUND($M266,0)&amp;" "&amp;$K266,1,0))</f>
        <v>1</v>
      </c>
      <c r="AA266" cm="1">
        <f t="array" ref="AA266">SUM(IF($W$2:$W$594=$W266,1,0))</f>
        <v>1</v>
      </c>
    </row>
    <row r="267" spans="1:27" x14ac:dyDescent="0.25">
      <c r="A267" t="s">
        <v>1664</v>
      </c>
      <c r="B267" t="s">
        <v>1456</v>
      </c>
      <c r="C267" t="s">
        <v>1713</v>
      </c>
      <c r="D267" t="s">
        <v>1720</v>
      </c>
      <c r="E267">
        <v>3</v>
      </c>
      <c r="F267" t="str">
        <f t="shared" si="4"/>
        <v>7/2</v>
      </c>
      <c r="G267" s="1" t="s">
        <v>1457</v>
      </c>
      <c r="I267" s="3" t="s">
        <v>15</v>
      </c>
      <c r="K267" s="3" t="s">
        <v>47</v>
      </c>
      <c r="M267" s="4" t="s">
        <v>1457</v>
      </c>
      <c r="N267" s="3" t="s">
        <v>15</v>
      </c>
      <c r="O267" s="3" t="s">
        <v>1232</v>
      </c>
      <c r="P267" s="3" t="s">
        <v>71</v>
      </c>
      <c r="W267" s="5" t="s">
        <v>1985</v>
      </c>
      <c r="X267" s="3" t="s">
        <v>1757</v>
      </c>
      <c r="Y267" cm="1">
        <f t="array" ref="Y267">SUM(IF(INT($M$2:$M$594)&amp;" "&amp;$K$2:$K$594=INT($M267)&amp;" "&amp;$K267,1,0))</f>
        <v>1</v>
      </c>
      <c r="Z267" cm="1">
        <f t="array" ref="Z267">SUM(IF(ROUND($M$2:$M$594,0)&amp;" "&amp;$K$2:$K$594=ROUND($M267,0)&amp;" "&amp;$K267,1,0))</f>
        <v>1</v>
      </c>
      <c r="AA267" cm="1">
        <f t="array" ref="AA267">SUM(IF($W$2:$W$594=$W267,1,0))</f>
        <v>1</v>
      </c>
    </row>
    <row r="268" spans="1:27" x14ac:dyDescent="0.25">
      <c r="B268" t="s">
        <v>1449</v>
      </c>
      <c r="C268" t="s">
        <v>1713</v>
      </c>
      <c r="D268" t="s">
        <v>1719</v>
      </c>
      <c r="E268">
        <v>4</v>
      </c>
      <c r="F268" t="str">
        <f t="shared" si="4"/>
        <v>9/2</v>
      </c>
      <c r="G268" s="1" t="s">
        <v>1239</v>
      </c>
      <c r="I268" s="3" t="s">
        <v>15</v>
      </c>
      <c r="K268" s="3" t="s">
        <v>14</v>
      </c>
      <c r="L268" s="4" t="s">
        <v>1239</v>
      </c>
      <c r="M268" s="4" t="s">
        <v>1239</v>
      </c>
      <c r="N268" s="3" t="s">
        <v>15</v>
      </c>
      <c r="O268" s="3" t="s">
        <v>1213</v>
      </c>
      <c r="P268" s="3" t="s">
        <v>1073</v>
      </c>
      <c r="Q268" s="3">
        <v>40</v>
      </c>
      <c r="S268" s="3" t="s">
        <v>1801</v>
      </c>
      <c r="T268" s="3">
        <v>36</v>
      </c>
      <c r="V268" s="3" t="s">
        <v>1807</v>
      </c>
      <c r="W268" s="4" t="s">
        <v>1241</v>
      </c>
      <c r="X268" s="3" t="s">
        <v>21</v>
      </c>
      <c r="Y268" cm="1">
        <f t="array" ref="Y268">SUM(IF(INT($M$2:$M$594)&amp;" "&amp;$K$2:$K$594=INT($M268)&amp;" "&amp;$K268,1,0))</f>
        <v>1</v>
      </c>
      <c r="Z268" cm="1">
        <f t="array" ref="Z268">SUM(IF(ROUND($M$2:$M$594,0)&amp;" "&amp;$K$2:$K$594=ROUND($M268,0)&amp;" "&amp;$K268,1,0))</f>
        <v>1</v>
      </c>
      <c r="AA268" cm="1">
        <f t="array" ref="AA268">SUM(IF($W$2:$W$594=$W268,1,0))</f>
        <v>1</v>
      </c>
    </row>
    <row r="269" spans="1:27" x14ac:dyDescent="0.25">
      <c r="B269" t="s">
        <v>1449</v>
      </c>
      <c r="C269" t="s">
        <v>1713</v>
      </c>
      <c r="D269" t="s">
        <v>1719</v>
      </c>
      <c r="E269">
        <v>1</v>
      </c>
      <c r="F269" t="str">
        <f t="shared" si="4"/>
        <v>3/2</v>
      </c>
      <c r="G269" s="1" t="s">
        <v>1242</v>
      </c>
      <c r="I269" s="3" t="s">
        <v>15</v>
      </c>
      <c r="K269" s="3" t="s">
        <v>35</v>
      </c>
      <c r="L269" s="4" t="s">
        <v>1242</v>
      </c>
      <c r="M269" s="4" t="s">
        <v>1242</v>
      </c>
      <c r="N269" s="3" t="s">
        <v>15</v>
      </c>
      <c r="O269" s="3" t="s">
        <v>1213</v>
      </c>
      <c r="P269" s="3" t="s">
        <v>1091</v>
      </c>
      <c r="Q269" s="3">
        <v>59</v>
      </c>
      <c r="S269" s="3" t="s">
        <v>1801</v>
      </c>
      <c r="T269" s="3">
        <v>34</v>
      </c>
      <c r="V269" s="3" t="s">
        <v>1872</v>
      </c>
      <c r="W269" s="4" t="s">
        <v>1244</v>
      </c>
      <c r="X269" s="3" t="s">
        <v>21</v>
      </c>
      <c r="Y269" cm="1">
        <f t="array" ref="Y269">SUM(IF(INT($M$2:$M$594)&amp;" "&amp;$K$2:$K$594=INT($M269)&amp;" "&amp;$K269,1,0))</f>
        <v>1</v>
      </c>
      <c r="Z269" cm="1">
        <f t="array" ref="Z269">SUM(IF(ROUND($M$2:$M$594,0)&amp;" "&amp;$K$2:$K$594=ROUND($M269,0)&amp;" "&amp;$K269,1,0))</f>
        <v>1</v>
      </c>
      <c r="AA269" cm="1">
        <f t="array" ref="AA269">SUM(IF($W$2:$W$594=$W269,1,0))</f>
        <v>1</v>
      </c>
    </row>
    <row r="270" spans="1:27" x14ac:dyDescent="0.25">
      <c r="A270" t="s">
        <v>1664</v>
      </c>
      <c r="B270" t="s">
        <v>1449</v>
      </c>
      <c r="C270" t="s">
        <v>1713</v>
      </c>
      <c r="D270" t="s">
        <v>1719</v>
      </c>
      <c r="E270">
        <v>1</v>
      </c>
      <c r="F270" t="str">
        <f t="shared" si="4"/>
        <v>3/2</v>
      </c>
      <c r="G270" s="1" t="s">
        <v>1458</v>
      </c>
      <c r="I270" s="3" t="s">
        <v>15</v>
      </c>
      <c r="K270" s="3" t="s">
        <v>35</v>
      </c>
      <c r="M270" s="4" t="s">
        <v>1458</v>
      </c>
      <c r="N270" s="3" t="s">
        <v>15</v>
      </c>
      <c r="O270" s="3" t="s">
        <v>1213</v>
      </c>
      <c r="P270" s="3" t="s">
        <v>71</v>
      </c>
      <c r="W270" s="5" t="s">
        <v>1986</v>
      </c>
      <c r="X270" s="3" t="s">
        <v>1757</v>
      </c>
      <c r="Y270" cm="1">
        <f t="array" ref="Y270">SUM(IF(INT($M$2:$M$594)&amp;" "&amp;$K$2:$K$594=INT($M270)&amp;" "&amp;$K270,1,0))</f>
        <v>1</v>
      </c>
      <c r="Z270" cm="1">
        <f t="array" ref="Z270">SUM(IF(ROUND($M$2:$M$594,0)&amp;" "&amp;$K$2:$K$594=ROUND($M270,0)&amp;" "&amp;$K270,1,0))</f>
        <v>1</v>
      </c>
      <c r="AA270" cm="1">
        <f t="array" ref="AA270">SUM(IF($W$2:$W$594=$W270,1,0))</f>
        <v>1</v>
      </c>
    </row>
    <row r="271" spans="1:27" x14ac:dyDescent="0.25">
      <c r="B271" t="s">
        <v>1456</v>
      </c>
      <c r="C271" t="s">
        <v>1713</v>
      </c>
      <c r="D271" t="s">
        <v>1720</v>
      </c>
      <c r="E271">
        <v>5</v>
      </c>
      <c r="F271" t="str">
        <f t="shared" si="4"/>
        <v>11/2</v>
      </c>
      <c r="G271" s="1" t="s">
        <v>1245</v>
      </c>
      <c r="I271" s="3" t="s">
        <v>15</v>
      </c>
      <c r="K271" s="3" t="s">
        <v>22</v>
      </c>
      <c r="L271" s="4" t="s">
        <v>1245</v>
      </c>
      <c r="M271" s="4" t="s">
        <v>1245</v>
      </c>
      <c r="N271" s="3" t="s">
        <v>15</v>
      </c>
      <c r="O271" s="3" t="s">
        <v>1232</v>
      </c>
      <c r="P271" s="3" t="s">
        <v>71</v>
      </c>
      <c r="Q271" s="3">
        <v>22</v>
      </c>
      <c r="R271" s="3" t="s">
        <v>1081</v>
      </c>
      <c r="S271" s="3" t="s">
        <v>1801</v>
      </c>
      <c r="T271" s="3">
        <v>32</v>
      </c>
      <c r="V271" s="3" t="s">
        <v>1870</v>
      </c>
      <c r="W271" s="4" t="s">
        <v>1247</v>
      </c>
      <c r="X271" s="3" t="s">
        <v>21</v>
      </c>
      <c r="Y271" cm="1">
        <f t="array" ref="Y271">SUM(IF(INT($M$2:$M$594)&amp;" "&amp;$K$2:$K$594=INT($M271)&amp;" "&amp;$K271,1,0))</f>
        <v>1</v>
      </c>
      <c r="Z271" cm="1">
        <f t="array" ref="Z271">SUM(IF(ROUND($M$2:$M$594,0)&amp;" "&amp;$K$2:$K$594=ROUND($M271,0)&amp;" "&amp;$K271,1,0))</f>
        <v>1</v>
      </c>
      <c r="AA271" cm="1">
        <f t="array" ref="AA271">SUM(IF($W$2:$W$594=$W271,1,0))</f>
        <v>1</v>
      </c>
    </row>
    <row r="272" spans="1:27" x14ac:dyDescent="0.25">
      <c r="B272" t="s">
        <v>1449</v>
      </c>
      <c r="C272" t="s">
        <v>1713</v>
      </c>
      <c r="D272" t="s">
        <v>1719</v>
      </c>
      <c r="E272">
        <v>3</v>
      </c>
      <c r="F272" t="str">
        <f t="shared" si="4"/>
        <v>7/2</v>
      </c>
      <c r="G272" s="1" t="s">
        <v>1248</v>
      </c>
      <c r="I272" s="3" t="s">
        <v>15</v>
      </c>
      <c r="K272" s="3" t="s">
        <v>47</v>
      </c>
      <c r="L272" s="4" t="s">
        <v>1248</v>
      </c>
      <c r="M272" s="4" t="s">
        <v>1248</v>
      </c>
      <c r="N272" s="3" t="s">
        <v>15</v>
      </c>
      <c r="O272" s="3" t="s">
        <v>1213</v>
      </c>
      <c r="P272" s="3" t="s">
        <v>1098</v>
      </c>
      <c r="Q272" s="3">
        <v>60</v>
      </c>
      <c r="S272" s="3" t="s">
        <v>1801</v>
      </c>
      <c r="T272" s="3">
        <v>41</v>
      </c>
      <c r="V272" s="3" t="s">
        <v>1807</v>
      </c>
      <c r="W272" s="4" t="s">
        <v>1250</v>
      </c>
      <c r="X272" s="3" t="s">
        <v>21</v>
      </c>
      <c r="Y272" cm="1">
        <f t="array" ref="Y272">SUM(IF(INT($M$2:$M$594)&amp;" "&amp;$K$2:$K$594=INT($M272)&amp;" "&amp;$K272,1,0))</f>
        <v>1</v>
      </c>
      <c r="Z272" cm="1">
        <f t="array" ref="Z272">SUM(IF(ROUND($M$2:$M$594,0)&amp;" "&amp;$K$2:$K$594=ROUND($M272,0)&amp;" "&amp;$K272,1,0))</f>
        <v>1</v>
      </c>
      <c r="AA272" cm="1">
        <f t="array" ref="AA272">SUM(IF($W$2:$W$594=$W272,1,0))</f>
        <v>1</v>
      </c>
    </row>
    <row r="273" spans="1:27" x14ac:dyDescent="0.25">
      <c r="B273" t="s">
        <v>1456</v>
      </c>
      <c r="C273" t="s">
        <v>1713</v>
      </c>
      <c r="D273" t="s">
        <v>1720</v>
      </c>
      <c r="E273">
        <v>4</v>
      </c>
      <c r="F273" t="str">
        <f t="shared" si="4"/>
        <v>9/2</v>
      </c>
      <c r="G273" s="1" t="s">
        <v>1251</v>
      </c>
      <c r="I273" s="3" t="s">
        <v>15</v>
      </c>
      <c r="K273" s="3" t="s">
        <v>14</v>
      </c>
      <c r="L273" s="4" t="s">
        <v>1251</v>
      </c>
      <c r="M273" s="4" t="s">
        <v>1251</v>
      </c>
      <c r="N273" s="3" t="s">
        <v>15</v>
      </c>
      <c r="O273" s="3" t="s">
        <v>1068</v>
      </c>
      <c r="P273" s="3" t="s">
        <v>71</v>
      </c>
      <c r="Q273" s="3">
        <v>36</v>
      </c>
      <c r="R273" s="3" t="s">
        <v>1081</v>
      </c>
      <c r="S273" s="3" t="s">
        <v>1801</v>
      </c>
      <c r="T273" s="3">
        <v>36</v>
      </c>
      <c r="V273" s="3" t="s">
        <v>1870</v>
      </c>
      <c r="W273" s="4" t="s">
        <v>1253</v>
      </c>
      <c r="X273" s="3" t="s">
        <v>21</v>
      </c>
      <c r="Y273" cm="1">
        <f t="array" ref="Y273">SUM(IF(INT($M$2:$M$594)&amp;" "&amp;$K$2:$K$594=INT($M273)&amp;" "&amp;$K273,1,0))</f>
        <v>1</v>
      </c>
      <c r="Z273" cm="1">
        <f t="array" ref="Z273">SUM(IF(ROUND($M$2:$M$594,0)&amp;" "&amp;$K$2:$K$594=ROUND($M273,0)&amp;" "&amp;$K273,1,0))</f>
        <v>1</v>
      </c>
      <c r="AA273" cm="1">
        <f t="array" ref="AA273">SUM(IF($W$2:$W$594=$W273,1,0))</f>
        <v>1</v>
      </c>
    </row>
    <row r="274" spans="1:27" x14ac:dyDescent="0.25">
      <c r="A274" t="s">
        <v>1664</v>
      </c>
      <c r="B274" t="s">
        <v>1456</v>
      </c>
      <c r="C274" t="s">
        <v>1713</v>
      </c>
      <c r="D274" t="s">
        <v>1720</v>
      </c>
      <c r="E274">
        <v>2</v>
      </c>
      <c r="F274" t="str">
        <f t="shared" si="4"/>
        <v>5/2</v>
      </c>
      <c r="G274" s="1" t="s">
        <v>1459</v>
      </c>
      <c r="I274" s="3" t="s">
        <v>15</v>
      </c>
      <c r="K274" s="3" t="s">
        <v>43</v>
      </c>
      <c r="M274" s="4" t="s">
        <v>1459</v>
      </c>
      <c r="N274" s="3" t="s">
        <v>15</v>
      </c>
      <c r="O274" s="3" t="s">
        <v>1232</v>
      </c>
      <c r="P274" s="3" t="s">
        <v>71</v>
      </c>
      <c r="W274" s="5" t="s">
        <v>1987</v>
      </c>
      <c r="X274" s="3" t="s">
        <v>1757</v>
      </c>
      <c r="Y274" cm="1">
        <f t="array" ref="Y274">SUM(IF(INT($M$2:$M$594)&amp;" "&amp;$K$2:$K$594=INT($M274)&amp;" "&amp;$K274,1,0))</f>
        <v>1</v>
      </c>
      <c r="Z274" cm="1">
        <f t="array" ref="Z274">SUM(IF(ROUND($M$2:$M$594,0)&amp;" "&amp;$K$2:$K$594=ROUND($M274,0)&amp;" "&amp;$K274,1,0))</f>
        <v>1</v>
      </c>
      <c r="AA274" cm="1">
        <f t="array" ref="AA274">SUM(IF($W$2:$W$594=$W274,1,0))</f>
        <v>1</v>
      </c>
    </row>
    <row r="275" spans="1:27" x14ac:dyDescent="0.25">
      <c r="B275" t="s">
        <v>1456</v>
      </c>
      <c r="C275" t="s">
        <v>1713</v>
      </c>
      <c r="D275" t="s">
        <v>1720</v>
      </c>
      <c r="E275">
        <v>6</v>
      </c>
      <c r="F275" t="str">
        <f t="shared" si="4"/>
        <v>13/2</v>
      </c>
      <c r="G275" s="1" t="s">
        <v>1254</v>
      </c>
      <c r="I275" s="3" t="s">
        <v>15</v>
      </c>
      <c r="K275" s="3" t="s">
        <v>26</v>
      </c>
      <c r="L275" s="4" t="s">
        <v>1254</v>
      </c>
      <c r="M275" s="4" t="s">
        <v>1254</v>
      </c>
      <c r="N275" s="3" t="s">
        <v>15</v>
      </c>
      <c r="O275" s="3" t="s">
        <v>1232</v>
      </c>
      <c r="P275" s="3" t="s">
        <v>1077</v>
      </c>
      <c r="Q275" s="3">
        <v>36</v>
      </c>
      <c r="S275" s="3" t="s">
        <v>1801</v>
      </c>
      <c r="T275" s="3">
        <v>55</v>
      </c>
      <c r="V275" s="3" t="s">
        <v>1840</v>
      </c>
      <c r="W275" s="4" t="s">
        <v>1256</v>
      </c>
      <c r="X275" s="3" t="s">
        <v>21</v>
      </c>
      <c r="Y275" cm="1">
        <f t="array" ref="Y275">SUM(IF(INT($M$2:$M$594)&amp;" "&amp;$K$2:$K$594=INT($M275)&amp;" "&amp;$K275,1,0))</f>
        <v>1</v>
      </c>
      <c r="Z275" cm="1">
        <f t="array" ref="Z275">SUM(IF(ROUND($M$2:$M$594,0)&amp;" "&amp;$K$2:$K$594=ROUND($M275,0)&amp;" "&amp;$K275,1,0))</f>
        <v>1</v>
      </c>
      <c r="AA275" cm="1">
        <f t="array" ref="AA275">SUM(IF($W$2:$W$594=$W275,1,0))</f>
        <v>1</v>
      </c>
    </row>
    <row r="276" spans="1:27" x14ac:dyDescent="0.25">
      <c r="A276" t="s">
        <v>1664</v>
      </c>
      <c r="B276" t="s">
        <v>1456</v>
      </c>
      <c r="C276" t="s">
        <v>1713</v>
      </c>
      <c r="D276" t="s">
        <v>1720</v>
      </c>
      <c r="E276">
        <v>3</v>
      </c>
      <c r="F276" t="str">
        <f t="shared" si="4"/>
        <v>7/2</v>
      </c>
      <c r="G276" s="1" t="s">
        <v>1460</v>
      </c>
      <c r="I276" s="3" t="s">
        <v>15</v>
      </c>
      <c r="K276" s="3" t="s">
        <v>47</v>
      </c>
      <c r="M276" s="4" t="s">
        <v>1460</v>
      </c>
      <c r="N276" s="3" t="s">
        <v>15</v>
      </c>
      <c r="O276" s="3" t="s">
        <v>1232</v>
      </c>
      <c r="P276" s="3" t="s">
        <v>71</v>
      </c>
      <c r="W276" s="5" t="s">
        <v>1988</v>
      </c>
      <c r="X276" s="3" t="s">
        <v>1757</v>
      </c>
      <c r="Y276" cm="1">
        <f t="array" ref="Y276">SUM(IF(INT($M$2:$M$594)&amp;" "&amp;$K$2:$K$594=INT($M276)&amp;" "&amp;$K276,1,0))</f>
        <v>1</v>
      </c>
      <c r="Z276" cm="1">
        <f t="array" ref="Z276">SUM(IF(ROUND($M$2:$M$594,0)&amp;" "&amp;$K$2:$K$594=ROUND($M276,0)&amp;" "&amp;$K276,1,0))</f>
        <v>1</v>
      </c>
      <c r="AA276" cm="1">
        <f t="array" ref="AA276">SUM(IF($W$2:$W$594=$W276,1,0))</f>
        <v>1</v>
      </c>
    </row>
    <row r="277" spans="1:27" x14ac:dyDescent="0.25">
      <c r="B277" t="s">
        <v>1456</v>
      </c>
      <c r="C277" t="s">
        <v>1713</v>
      </c>
      <c r="D277" t="s">
        <v>1720</v>
      </c>
      <c r="E277">
        <v>5</v>
      </c>
      <c r="F277" t="str">
        <f t="shared" si="4"/>
        <v>11/2</v>
      </c>
      <c r="G277" s="1" t="s">
        <v>1257</v>
      </c>
      <c r="I277" s="3" t="s">
        <v>15</v>
      </c>
      <c r="K277" s="3" t="s">
        <v>22</v>
      </c>
      <c r="L277" s="4" t="s">
        <v>1257</v>
      </c>
      <c r="M277" s="4" t="s">
        <v>1257</v>
      </c>
      <c r="N277" s="3" t="s">
        <v>15</v>
      </c>
      <c r="O277" s="3" t="s">
        <v>1068</v>
      </c>
      <c r="P277" s="3" t="s">
        <v>71</v>
      </c>
      <c r="Q277" s="3">
        <v>35</v>
      </c>
      <c r="R277" s="3" t="s">
        <v>1081</v>
      </c>
      <c r="S277" s="3" t="s">
        <v>1801</v>
      </c>
      <c r="T277" s="3">
        <v>37</v>
      </c>
      <c r="V277" s="3" t="s">
        <v>1821</v>
      </c>
      <c r="W277" s="4" t="s">
        <v>1259</v>
      </c>
      <c r="X277" s="3" t="s">
        <v>21</v>
      </c>
      <c r="Y277" cm="1">
        <f t="array" ref="Y277">SUM(IF(INT($M$2:$M$594)&amp;" "&amp;$K$2:$K$594=INT($M277)&amp;" "&amp;$K277,1,0))</f>
        <v>1</v>
      </c>
      <c r="Z277" cm="1">
        <f t="array" ref="Z277">SUM(IF(ROUND($M$2:$M$594,0)&amp;" "&amp;$K$2:$K$594=ROUND($M277,0)&amp;" "&amp;$K277,1,0))</f>
        <v>1</v>
      </c>
      <c r="AA277" cm="1">
        <f t="array" ref="AA277">SUM(IF($W$2:$W$594=$W277,1,0))</f>
        <v>1</v>
      </c>
    </row>
    <row r="278" spans="1:27" x14ac:dyDescent="0.25">
      <c r="A278" t="s">
        <v>1664</v>
      </c>
      <c r="B278" t="s">
        <v>1449</v>
      </c>
      <c r="C278" t="s">
        <v>1713</v>
      </c>
      <c r="D278" t="s">
        <v>1719</v>
      </c>
      <c r="E278">
        <v>4</v>
      </c>
      <c r="F278" t="str">
        <f t="shared" si="4"/>
        <v>9/2</v>
      </c>
      <c r="G278" s="1" t="s">
        <v>1461</v>
      </c>
      <c r="I278" s="3" t="s">
        <v>15</v>
      </c>
      <c r="K278" s="3" t="s">
        <v>14</v>
      </c>
      <c r="M278" s="4" t="s">
        <v>1461</v>
      </c>
      <c r="N278" s="3" t="s">
        <v>15</v>
      </c>
      <c r="O278" s="3" t="s">
        <v>1213</v>
      </c>
      <c r="P278" s="3" t="s">
        <v>71</v>
      </c>
      <c r="W278" s="5" t="s">
        <v>1989</v>
      </c>
      <c r="X278" s="3" t="s">
        <v>1757</v>
      </c>
      <c r="Y278" cm="1">
        <f t="array" ref="Y278">SUM(IF(INT($M$2:$M$594)&amp;" "&amp;$K$2:$K$594=INT($M278)&amp;" "&amp;$K278,1,0))</f>
        <v>1</v>
      </c>
      <c r="Z278" cm="1">
        <f t="array" ref="Z278">SUM(IF(ROUND($M$2:$M$594,0)&amp;" "&amp;$K$2:$K$594=ROUND($M278,0)&amp;" "&amp;$K278,1,0))</f>
        <v>1</v>
      </c>
      <c r="AA278" cm="1">
        <f t="array" ref="AA278">SUM(IF($W$2:$W$594=$W278,1,0))</f>
        <v>1</v>
      </c>
    </row>
    <row r="279" spans="1:27" x14ac:dyDescent="0.25">
      <c r="A279" t="s">
        <v>1664</v>
      </c>
      <c r="B279" t="s">
        <v>1456</v>
      </c>
      <c r="C279" t="s">
        <v>1713</v>
      </c>
      <c r="D279" t="s">
        <v>1720</v>
      </c>
      <c r="E279">
        <v>2</v>
      </c>
      <c r="F279" t="str">
        <f t="shared" si="4"/>
        <v>5/2</v>
      </c>
      <c r="G279" s="1" t="s">
        <v>1462</v>
      </c>
      <c r="I279" s="3" t="s">
        <v>15</v>
      </c>
      <c r="K279" s="3" t="s">
        <v>43</v>
      </c>
      <c r="M279" s="4" t="s">
        <v>1462</v>
      </c>
      <c r="N279" s="3" t="s">
        <v>15</v>
      </c>
      <c r="O279" s="3" t="s">
        <v>1232</v>
      </c>
      <c r="P279" s="3" t="s">
        <v>71</v>
      </c>
      <c r="W279" s="5" t="s">
        <v>1990</v>
      </c>
      <c r="X279" s="3" t="s">
        <v>1757</v>
      </c>
      <c r="Y279" cm="1">
        <f t="array" ref="Y279">SUM(IF(INT($M$2:$M$594)&amp;" "&amp;$K$2:$K$594=INT($M279)&amp;" "&amp;$K279,1,0))</f>
        <v>1</v>
      </c>
      <c r="Z279" cm="1">
        <f t="array" ref="Z279">SUM(IF(ROUND($M$2:$M$594,0)&amp;" "&amp;$K$2:$K$594=ROUND($M279,0)&amp;" "&amp;$K279,1,0))</f>
        <v>1</v>
      </c>
      <c r="AA279" cm="1">
        <f t="array" ref="AA279">SUM(IF($W$2:$W$594=$W279,1,0))</f>
        <v>1</v>
      </c>
    </row>
    <row r="280" spans="1:27" x14ac:dyDescent="0.25">
      <c r="A280" t="s">
        <v>1664</v>
      </c>
      <c r="B280" t="s">
        <v>1456</v>
      </c>
      <c r="C280" t="s">
        <v>1713</v>
      </c>
      <c r="D280" t="s">
        <v>1720</v>
      </c>
      <c r="E280">
        <v>0</v>
      </c>
      <c r="F280" t="str">
        <f t="shared" si="4"/>
        <v>1/2</v>
      </c>
      <c r="G280" s="1" t="s">
        <v>1463</v>
      </c>
      <c r="I280" s="3" t="s">
        <v>15</v>
      </c>
      <c r="K280" s="3" t="s">
        <v>145</v>
      </c>
      <c r="M280" s="4" t="s">
        <v>1463</v>
      </c>
      <c r="N280" s="3" t="s">
        <v>15</v>
      </c>
      <c r="O280" s="3" t="s">
        <v>1232</v>
      </c>
      <c r="P280" s="3" t="s">
        <v>71</v>
      </c>
      <c r="W280" s="5" t="s">
        <v>1991</v>
      </c>
      <c r="X280" s="3" t="s">
        <v>1757</v>
      </c>
      <c r="Y280" cm="1">
        <f t="array" ref="Y280">SUM(IF(INT($M$2:$M$594)&amp;" "&amp;$K$2:$K$594=INT($M280)&amp;" "&amp;$K280,1,0))</f>
        <v>1</v>
      </c>
      <c r="Z280" cm="1">
        <f t="array" ref="Z280">SUM(IF(ROUND($M$2:$M$594,0)&amp;" "&amp;$K$2:$K$594=ROUND($M280,0)&amp;" "&amp;$K280,1,0))</f>
        <v>1</v>
      </c>
      <c r="AA280" cm="1">
        <f t="array" ref="AA280">SUM(IF($W$2:$W$594=$W280,1,0))</f>
        <v>1</v>
      </c>
    </row>
    <row r="281" spans="1:27" x14ac:dyDescent="0.25">
      <c r="A281" t="s">
        <v>1664</v>
      </c>
      <c r="B281" t="s">
        <v>1456</v>
      </c>
      <c r="C281" t="s">
        <v>1713</v>
      </c>
      <c r="D281" t="s">
        <v>1720</v>
      </c>
      <c r="E281">
        <v>1</v>
      </c>
      <c r="F281" t="str">
        <f t="shared" si="4"/>
        <v>3/2</v>
      </c>
      <c r="G281" s="1" t="s">
        <v>1464</v>
      </c>
      <c r="I281" s="3" t="s">
        <v>15</v>
      </c>
      <c r="K281" s="3" t="s">
        <v>35</v>
      </c>
      <c r="M281" s="4" t="s">
        <v>1464</v>
      </c>
      <c r="N281" s="3" t="s">
        <v>15</v>
      </c>
      <c r="O281" s="3" t="s">
        <v>1232</v>
      </c>
      <c r="P281" s="3" t="s">
        <v>71</v>
      </c>
      <c r="W281" s="5" t="s">
        <v>1992</v>
      </c>
      <c r="X281" s="3" t="s">
        <v>1757</v>
      </c>
      <c r="Y281" cm="1">
        <f t="array" ref="Y281">SUM(IF(INT($M$2:$M$594)&amp;" "&amp;$K$2:$K$594=INT($M281)&amp;" "&amp;$K281,1,0))</f>
        <v>1</v>
      </c>
      <c r="Z281" cm="1">
        <f t="array" ref="Z281">SUM(IF(ROUND($M$2:$M$594,0)&amp;" "&amp;$K$2:$K$594=ROUND($M281,0)&amp;" "&amp;$K281,1,0))</f>
        <v>1</v>
      </c>
      <c r="AA281" cm="1">
        <f t="array" ref="AA281">SUM(IF($W$2:$W$594=$W281,1,0))</f>
        <v>1</v>
      </c>
    </row>
    <row r="282" spans="1:27" x14ac:dyDescent="0.25">
      <c r="B282" t="s">
        <v>1465</v>
      </c>
      <c r="C282" t="s">
        <v>1713</v>
      </c>
      <c r="D282" t="s">
        <v>1721</v>
      </c>
      <c r="E282">
        <v>6</v>
      </c>
      <c r="F282" t="str">
        <f t="shared" si="4"/>
        <v>13/2</v>
      </c>
      <c r="G282" s="1" t="s">
        <v>1261</v>
      </c>
      <c r="I282" s="3" t="s">
        <v>15</v>
      </c>
      <c r="K282" s="3" t="s">
        <v>26</v>
      </c>
      <c r="L282" s="4" t="s">
        <v>1261</v>
      </c>
      <c r="M282" s="4" t="s">
        <v>1261</v>
      </c>
      <c r="N282" s="3" t="s">
        <v>15</v>
      </c>
      <c r="O282" s="3" t="s">
        <v>1260</v>
      </c>
      <c r="P282" s="3" t="s">
        <v>1069</v>
      </c>
      <c r="Q282" s="3">
        <v>61</v>
      </c>
      <c r="S282" s="3" t="s">
        <v>1801</v>
      </c>
      <c r="T282" s="3">
        <v>56</v>
      </c>
      <c r="V282" s="3" t="s">
        <v>1822</v>
      </c>
      <c r="W282" s="4" t="s">
        <v>1263</v>
      </c>
      <c r="X282" s="3" t="s">
        <v>21</v>
      </c>
      <c r="Y282" cm="1">
        <f t="array" ref="Y282">SUM(IF(INT($M$2:$M$594)&amp;" "&amp;$K$2:$K$594=INT($M282)&amp;" "&amp;$K282,1,0))</f>
        <v>1</v>
      </c>
      <c r="Z282" cm="1">
        <f t="array" ref="Z282">SUM(IF(ROUND($M$2:$M$594,0)&amp;" "&amp;$K$2:$K$594=ROUND($M282,0)&amp;" "&amp;$K282,1,0))</f>
        <v>1</v>
      </c>
      <c r="AA282" cm="1">
        <f t="array" ref="AA282">SUM(IF($W$2:$W$594=$W282,1,0))</f>
        <v>1</v>
      </c>
    </row>
    <row r="283" spans="1:27" x14ac:dyDescent="0.25">
      <c r="A283" t="s">
        <v>1664</v>
      </c>
      <c r="B283" t="s">
        <v>1465</v>
      </c>
      <c r="C283" t="s">
        <v>1713</v>
      </c>
      <c r="D283" t="s">
        <v>1721</v>
      </c>
      <c r="E283">
        <v>2</v>
      </c>
      <c r="F283" t="str">
        <f t="shared" si="4"/>
        <v>5/2</v>
      </c>
      <c r="G283" s="1" t="s">
        <v>1466</v>
      </c>
      <c r="I283" s="3" t="s">
        <v>15</v>
      </c>
      <c r="K283" s="3" t="s">
        <v>43</v>
      </c>
      <c r="M283" s="4" t="s">
        <v>1466</v>
      </c>
      <c r="N283" s="3" t="s">
        <v>15</v>
      </c>
      <c r="O283" s="3" t="s">
        <v>1260</v>
      </c>
      <c r="P283" s="3" t="s">
        <v>71</v>
      </c>
      <c r="W283" s="5" t="s">
        <v>1993</v>
      </c>
      <c r="X283" s="3" t="s">
        <v>1757</v>
      </c>
      <c r="Y283" cm="1">
        <f t="array" ref="Y283">SUM(IF(INT($M$2:$M$594)&amp;" "&amp;$K$2:$K$594=INT($M283)&amp;" "&amp;$K283,1,0))</f>
        <v>1</v>
      </c>
      <c r="Z283" cm="1">
        <f t="array" ref="Z283">SUM(IF(ROUND($M$2:$M$594,0)&amp;" "&amp;$K$2:$K$594=ROUND($M283,0)&amp;" "&amp;$K283,1,0))</f>
        <v>1</v>
      </c>
      <c r="AA283" cm="1">
        <f t="array" ref="AA283">SUM(IF($W$2:$W$594=$W283,1,0))</f>
        <v>1</v>
      </c>
    </row>
    <row r="284" spans="1:27" x14ac:dyDescent="0.25">
      <c r="B284" t="s">
        <v>1465</v>
      </c>
      <c r="C284" t="s">
        <v>1713</v>
      </c>
      <c r="D284" t="s">
        <v>1721</v>
      </c>
      <c r="E284">
        <v>5</v>
      </c>
      <c r="F284" t="str">
        <f t="shared" si="4"/>
        <v>11/2</v>
      </c>
      <c r="G284" s="1" t="s">
        <v>1264</v>
      </c>
      <c r="I284" s="3" t="s">
        <v>15</v>
      </c>
      <c r="K284" s="3" t="s">
        <v>22</v>
      </c>
      <c r="L284" s="4" t="s">
        <v>1264</v>
      </c>
      <c r="M284" s="4" t="s">
        <v>1264</v>
      </c>
      <c r="N284" s="3" t="s">
        <v>15</v>
      </c>
      <c r="O284" s="3" t="s">
        <v>1260</v>
      </c>
      <c r="P284" s="3" t="s">
        <v>1081</v>
      </c>
      <c r="Q284" s="3">
        <v>45</v>
      </c>
      <c r="S284" s="3" t="s">
        <v>1801</v>
      </c>
      <c r="T284" s="3">
        <v>40</v>
      </c>
      <c r="V284" s="3" t="s">
        <v>1833</v>
      </c>
      <c r="W284" s="4" t="s">
        <v>1266</v>
      </c>
      <c r="X284" s="3" t="s">
        <v>21</v>
      </c>
      <c r="Y284" cm="1">
        <f t="array" ref="Y284">SUM(IF(INT($M$2:$M$594)&amp;" "&amp;$K$2:$K$594=INT($M284)&amp;" "&amp;$K284,1,0))</f>
        <v>1</v>
      </c>
      <c r="Z284" cm="1">
        <f t="array" ref="Z284">SUM(IF(ROUND($M$2:$M$594,0)&amp;" "&amp;$K$2:$K$594=ROUND($M284,0)&amp;" "&amp;$K284,1,0))</f>
        <v>1</v>
      </c>
      <c r="AA284" cm="1">
        <f t="array" ref="AA284">SUM(IF($W$2:$W$594=$W284,1,0))</f>
        <v>1</v>
      </c>
    </row>
    <row r="285" spans="1:27" x14ac:dyDescent="0.25">
      <c r="B285" t="s">
        <v>1465</v>
      </c>
      <c r="C285" t="s">
        <v>1713</v>
      </c>
      <c r="D285" t="s">
        <v>1721</v>
      </c>
      <c r="E285">
        <v>7</v>
      </c>
      <c r="F285" t="str">
        <f t="shared" si="4"/>
        <v>15/2</v>
      </c>
      <c r="G285" s="1" t="s">
        <v>1267</v>
      </c>
      <c r="I285" s="3" t="s">
        <v>15</v>
      </c>
      <c r="K285" s="3" t="s">
        <v>30</v>
      </c>
      <c r="L285" s="4" t="s">
        <v>1267</v>
      </c>
      <c r="M285" s="4" t="s">
        <v>1267</v>
      </c>
      <c r="N285" s="3" t="s">
        <v>15</v>
      </c>
      <c r="O285" s="3" t="s">
        <v>1260</v>
      </c>
      <c r="P285" s="3" t="s">
        <v>1077</v>
      </c>
      <c r="Q285" s="3">
        <v>73</v>
      </c>
      <c r="S285" s="3" t="s">
        <v>1801</v>
      </c>
      <c r="T285" s="3">
        <v>67</v>
      </c>
      <c r="V285" s="3" t="s">
        <v>1873</v>
      </c>
      <c r="W285" s="4" t="s">
        <v>1269</v>
      </c>
      <c r="X285" s="3" t="s">
        <v>21</v>
      </c>
      <c r="Y285" cm="1">
        <f t="array" ref="Y285">SUM(IF(INT($M$2:$M$594)&amp;" "&amp;$K$2:$K$594=INT($M285)&amp;" "&amp;$K285,1,0))</f>
        <v>1</v>
      </c>
      <c r="Z285" cm="1">
        <f t="array" ref="Z285">SUM(IF(ROUND($M$2:$M$594,0)&amp;" "&amp;$K$2:$K$594=ROUND($M285,0)&amp;" "&amp;$K285,1,0))</f>
        <v>1</v>
      </c>
      <c r="AA285" cm="1">
        <f t="array" ref="AA285">SUM(IF($W$2:$W$594=$W285,1,0))</f>
        <v>1</v>
      </c>
    </row>
    <row r="286" spans="1:27" x14ac:dyDescent="0.25">
      <c r="B286" t="s">
        <v>1465</v>
      </c>
      <c r="C286" t="s">
        <v>1713</v>
      </c>
      <c r="D286" t="s">
        <v>1721</v>
      </c>
      <c r="E286">
        <v>4</v>
      </c>
      <c r="F286" t="str">
        <f t="shared" si="4"/>
        <v>9/2</v>
      </c>
      <c r="G286" s="1" t="s">
        <v>1270</v>
      </c>
      <c r="I286" s="3" t="s">
        <v>15</v>
      </c>
      <c r="K286" s="3" t="s">
        <v>14</v>
      </c>
      <c r="L286" s="4" t="s">
        <v>1270</v>
      </c>
      <c r="M286" s="4" t="s">
        <v>1270</v>
      </c>
      <c r="N286" s="3" t="s">
        <v>15</v>
      </c>
      <c r="O286" s="3" t="s">
        <v>1260</v>
      </c>
      <c r="P286" s="3" t="s">
        <v>1081</v>
      </c>
      <c r="Q286" s="3">
        <v>51</v>
      </c>
      <c r="S286" s="3" t="s">
        <v>1801</v>
      </c>
      <c r="T286" s="3">
        <v>46</v>
      </c>
      <c r="V286" s="3" t="s">
        <v>1833</v>
      </c>
      <c r="W286" s="4" t="s">
        <v>1272</v>
      </c>
      <c r="X286" s="3" t="s">
        <v>21</v>
      </c>
      <c r="Y286" cm="1">
        <f t="array" ref="Y286">SUM(IF(INT($M$2:$M$594)&amp;" "&amp;$K$2:$K$594=INT($M286)&amp;" "&amp;$K286,1,0))</f>
        <v>1</v>
      </c>
      <c r="Z286" cm="1">
        <f t="array" ref="Z286">SUM(IF(ROUND($M$2:$M$594,0)&amp;" "&amp;$K$2:$K$594=ROUND($M286,0)&amp;" "&amp;$K286,1,0))</f>
        <v>1</v>
      </c>
      <c r="AA286" cm="1">
        <f t="array" ref="AA286">SUM(IF($W$2:$W$594=$W286,1,0))</f>
        <v>1</v>
      </c>
    </row>
    <row r="287" spans="1:27" x14ac:dyDescent="0.25">
      <c r="A287" t="s">
        <v>1664</v>
      </c>
      <c r="B287" t="s">
        <v>1465</v>
      </c>
      <c r="C287" t="s">
        <v>1713</v>
      </c>
      <c r="D287" t="s">
        <v>1721</v>
      </c>
      <c r="E287">
        <v>3</v>
      </c>
      <c r="F287" t="str">
        <f t="shared" si="4"/>
        <v>7/2</v>
      </c>
      <c r="G287" s="1" t="s">
        <v>1467</v>
      </c>
      <c r="I287" s="3" t="s">
        <v>15</v>
      </c>
      <c r="K287" s="3" t="s">
        <v>47</v>
      </c>
      <c r="M287" s="4" t="s">
        <v>1467</v>
      </c>
      <c r="N287" s="3" t="s">
        <v>15</v>
      </c>
      <c r="O287" s="3" t="s">
        <v>1260</v>
      </c>
      <c r="P287" s="3" t="s">
        <v>71</v>
      </c>
      <c r="W287" s="5" t="s">
        <v>1994</v>
      </c>
      <c r="X287" s="3" t="s">
        <v>1757</v>
      </c>
      <c r="Y287" cm="1">
        <f t="array" ref="Y287">SUM(IF(INT($M$2:$M$594)&amp;" "&amp;$K$2:$K$594=INT($M287)&amp;" "&amp;$K287,1,0))</f>
        <v>1</v>
      </c>
      <c r="Z287" cm="1">
        <f t="array" ref="Z287">SUM(IF(ROUND($M$2:$M$594,0)&amp;" "&amp;$K$2:$K$594=ROUND($M287,0)&amp;" "&amp;$K287,1,0))</f>
        <v>1</v>
      </c>
      <c r="AA287" cm="1">
        <f t="array" ref="AA287">SUM(IF($W$2:$W$594=$W287,1,0))</f>
        <v>1</v>
      </c>
    </row>
    <row r="288" spans="1:27" x14ac:dyDescent="0.25">
      <c r="B288" t="s">
        <v>1465</v>
      </c>
      <c r="C288" t="s">
        <v>1713</v>
      </c>
      <c r="D288" t="s">
        <v>1721</v>
      </c>
      <c r="E288">
        <v>6</v>
      </c>
      <c r="F288" t="str">
        <f t="shared" si="4"/>
        <v>13/2</v>
      </c>
      <c r="G288" s="1" t="s">
        <v>1273</v>
      </c>
      <c r="I288" s="3" t="s">
        <v>15</v>
      </c>
      <c r="K288" s="3" t="s">
        <v>26</v>
      </c>
      <c r="L288" s="4" t="s">
        <v>1273</v>
      </c>
      <c r="M288" s="4" t="s">
        <v>1273</v>
      </c>
      <c r="N288" s="3" t="s">
        <v>15</v>
      </c>
      <c r="O288" s="3" t="s">
        <v>1260</v>
      </c>
      <c r="P288" s="3" t="s">
        <v>1077</v>
      </c>
      <c r="Q288" s="3">
        <v>50</v>
      </c>
      <c r="S288" s="3" t="s">
        <v>1801</v>
      </c>
      <c r="T288" s="3">
        <v>44</v>
      </c>
      <c r="V288" s="3" t="s">
        <v>1873</v>
      </c>
      <c r="W288" s="4" t="s">
        <v>1275</v>
      </c>
      <c r="X288" s="3" t="s">
        <v>21</v>
      </c>
      <c r="Y288" cm="1">
        <f t="array" ref="Y288">SUM(IF(INT($M$2:$M$594)&amp;" "&amp;$K$2:$K$594=INT($M288)&amp;" "&amp;$K288,1,0))</f>
        <v>1</v>
      </c>
      <c r="Z288" cm="1">
        <f t="array" ref="Z288">SUM(IF(ROUND($M$2:$M$594,0)&amp;" "&amp;$K$2:$K$594=ROUND($M288,0)&amp;" "&amp;$K288,1,0))</f>
        <v>1</v>
      </c>
      <c r="AA288" cm="1">
        <f t="array" ref="AA288">SUM(IF($W$2:$W$594=$W288,1,0))</f>
        <v>1</v>
      </c>
    </row>
    <row r="289" spans="1:27" x14ac:dyDescent="0.25">
      <c r="B289" t="s">
        <v>1465</v>
      </c>
      <c r="C289" t="s">
        <v>1713</v>
      </c>
      <c r="D289" t="s">
        <v>1721</v>
      </c>
      <c r="E289">
        <v>5</v>
      </c>
      <c r="F289" t="str">
        <f t="shared" si="4"/>
        <v>11/2</v>
      </c>
      <c r="G289" s="1" t="s">
        <v>1276</v>
      </c>
      <c r="I289" s="3" t="s">
        <v>15</v>
      </c>
      <c r="K289" s="3" t="s">
        <v>22</v>
      </c>
      <c r="L289" s="4" t="s">
        <v>1276</v>
      </c>
      <c r="M289" s="4" t="s">
        <v>1276</v>
      </c>
      <c r="N289" s="3" t="s">
        <v>15</v>
      </c>
      <c r="O289" s="3" t="s">
        <v>1260</v>
      </c>
      <c r="P289" s="3" t="s">
        <v>1069</v>
      </c>
      <c r="Q289" s="3">
        <v>35</v>
      </c>
      <c r="S289" s="3" t="s">
        <v>1801</v>
      </c>
      <c r="T289" s="3">
        <v>31</v>
      </c>
      <c r="V289" s="3" t="s">
        <v>1822</v>
      </c>
      <c r="W289" s="4" t="s">
        <v>1278</v>
      </c>
      <c r="X289" s="3" t="s">
        <v>21</v>
      </c>
      <c r="Y289" cm="1">
        <f t="array" ref="Y289">SUM(IF(INT($M$2:$M$594)&amp;" "&amp;$K$2:$K$594=INT($M289)&amp;" "&amp;$K289,1,0))</f>
        <v>1</v>
      </c>
      <c r="Z289" cm="1">
        <f t="array" ref="Z289">SUM(IF(ROUND($M$2:$M$594,0)&amp;" "&amp;$K$2:$K$594=ROUND($M289,0)&amp;" "&amp;$K289,1,0))</f>
        <v>1</v>
      </c>
      <c r="AA289" cm="1">
        <f t="array" ref="AA289">SUM(IF($W$2:$W$594=$W289,1,0))</f>
        <v>1</v>
      </c>
    </row>
    <row r="290" spans="1:27" x14ac:dyDescent="0.25">
      <c r="A290" t="s">
        <v>1664</v>
      </c>
      <c r="B290" t="s">
        <v>1465</v>
      </c>
      <c r="C290" t="s">
        <v>1713</v>
      </c>
      <c r="D290" t="s">
        <v>1721</v>
      </c>
      <c r="E290">
        <v>3</v>
      </c>
      <c r="F290" t="str">
        <f t="shared" si="4"/>
        <v>7/2</v>
      </c>
      <c r="G290" s="1" t="s">
        <v>1468</v>
      </c>
      <c r="I290" s="3" t="s">
        <v>15</v>
      </c>
      <c r="K290" s="3" t="s">
        <v>47</v>
      </c>
      <c r="M290" s="4" t="s">
        <v>1468</v>
      </c>
      <c r="N290" s="3" t="s">
        <v>15</v>
      </c>
      <c r="O290" s="3" t="s">
        <v>1260</v>
      </c>
      <c r="P290" s="3" t="s">
        <v>71</v>
      </c>
      <c r="W290" s="5" t="s">
        <v>1995</v>
      </c>
      <c r="X290" s="3" t="s">
        <v>1757</v>
      </c>
      <c r="Y290" cm="1">
        <f t="array" ref="Y290">SUM(IF(INT($M$2:$M$594)&amp;" "&amp;$K$2:$K$594=INT($M290)&amp;" "&amp;$K290,1,0))</f>
        <v>1</v>
      </c>
      <c r="Z290" cm="1">
        <f t="array" ref="Z290">SUM(IF(ROUND($M$2:$M$594,0)&amp;" "&amp;$K$2:$K$594=ROUND($M290,0)&amp;" "&amp;$K290,1,0))</f>
        <v>1</v>
      </c>
      <c r="AA290" cm="1">
        <f t="array" ref="AA290">SUM(IF($W$2:$W$594=$W290,1,0))</f>
        <v>1</v>
      </c>
    </row>
    <row r="291" spans="1:27" x14ac:dyDescent="0.25">
      <c r="A291" t="s">
        <v>1664</v>
      </c>
      <c r="B291" t="s">
        <v>1465</v>
      </c>
      <c r="C291" t="s">
        <v>1713</v>
      </c>
      <c r="D291" t="s">
        <v>1721</v>
      </c>
      <c r="E291">
        <v>1</v>
      </c>
      <c r="F291" t="str">
        <f t="shared" si="4"/>
        <v>3/2</v>
      </c>
      <c r="G291" s="1" t="s">
        <v>1469</v>
      </c>
      <c r="I291" s="3" t="s">
        <v>15</v>
      </c>
      <c r="K291" s="3" t="s">
        <v>35</v>
      </c>
      <c r="M291" s="4" t="s">
        <v>1469</v>
      </c>
      <c r="N291" s="3" t="s">
        <v>15</v>
      </c>
      <c r="O291" s="3" t="s">
        <v>1260</v>
      </c>
      <c r="P291" s="3" t="s">
        <v>71</v>
      </c>
      <c r="W291" s="5" t="s">
        <v>1996</v>
      </c>
      <c r="X291" s="3" t="s">
        <v>1757</v>
      </c>
      <c r="Y291" cm="1">
        <f t="array" ref="Y291">SUM(IF(INT($M$2:$M$594)&amp;" "&amp;$K$2:$K$594=INT($M291)&amp;" "&amp;$K291,1,0))</f>
        <v>1</v>
      </c>
      <c r="Z291" cm="1">
        <f t="array" ref="Z291">SUM(IF(ROUND($M$2:$M$594,0)&amp;" "&amp;$K$2:$K$594=ROUND($M291,0)&amp;" "&amp;$K291,1,0))</f>
        <v>1</v>
      </c>
      <c r="AA291" cm="1">
        <f t="array" ref="AA291">SUM(IF($W$2:$W$594=$W291,1,0))</f>
        <v>1</v>
      </c>
    </row>
    <row r="292" spans="1:27" x14ac:dyDescent="0.25">
      <c r="A292" t="s">
        <v>1664</v>
      </c>
      <c r="B292" t="s">
        <v>1465</v>
      </c>
      <c r="C292" t="s">
        <v>1713</v>
      </c>
      <c r="D292" t="s">
        <v>1721</v>
      </c>
      <c r="E292">
        <v>4</v>
      </c>
      <c r="F292" t="str">
        <f t="shared" si="4"/>
        <v>9/2</v>
      </c>
      <c r="G292" s="1" t="s">
        <v>1470</v>
      </c>
      <c r="I292" s="3" t="s">
        <v>15</v>
      </c>
      <c r="K292" s="3" t="s">
        <v>14</v>
      </c>
      <c r="M292" s="4" t="s">
        <v>1470</v>
      </c>
      <c r="N292" s="3" t="s">
        <v>15</v>
      </c>
      <c r="O292" s="3" t="s">
        <v>1260</v>
      </c>
      <c r="P292" s="3" t="s">
        <v>71</v>
      </c>
      <c r="W292" s="5" t="s">
        <v>1997</v>
      </c>
      <c r="X292" s="3" t="s">
        <v>1757</v>
      </c>
      <c r="Y292" cm="1">
        <f t="array" ref="Y292">SUM(IF(INT($M$2:$M$594)&amp;" "&amp;$K$2:$K$594=INT($M292)&amp;" "&amp;$K292,1,0))</f>
        <v>1</v>
      </c>
      <c r="Z292" cm="1">
        <f t="array" ref="Z292">SUM(IF(ROUND($M$2:$M$594,0)&amp;" "&amp;$K$2:$K$594=ROUND($M292,0)&amp;" "&amp;$K292,1,0))</f>
        <v>1</v>
      </c>
      <c r="AA292" cm="1">
        <f t="array" ref="AA292">SUM(IF($W$2:$W$594=$W292,1,0))</f>
        <v>1</v>
      </c>
    </row>
    <row r="293" spans="1:27" x14ac:dyDescent="0.25">
      <c r="B293" t="s">
        <v>1471</v>
      </c>
      <c r="C293" t="s">
        <v>1713</v>
      </c>
      <c r="D293" t="s">
        <v>1722</v>
      </c>
      <c r="E293">
        <v>1</v>
      </c>
      <c r="F293" t="str">
        <f t="shared" si="4"/>
        <v>3/2</v>
      </c>
      <c r="G293" s="1" t="s">
        <v>1281</v>
      </c>
      <c r="I293" s="3" t="s">
        <v>15</v>
      </c>
      <c r="K293" s="3" t="s">
        <v>35</v>
      </c>
      <c r="L293" s="4" t="s">
        <v>1281</v>
      </c>
      <c r="M293" s="4" t="s">
        <v>1281</v>
      </c>
      <c r="N293" s="3" t="s">
        <v>15</v>
      </c>
      <c r="O293" s="3" t="s">
        <v>1279</v>
      </c>
      <c r="P293" s="3" t="s">
        <v>1280</v>
      </c>
      <c r="Q293" s="3">
        <v>84</v>
      </c>
      <c r="S293" s="3" t="s">
        <v>1801</v>
      </c>
      <c r="T293" s="3">
        <v>83</v>
      </c>
      <c r="V293" s="3" t="s">
        <v>1837</v>
      </c>
      <c r="W293" s="4" t="s">
        <v>1283</v>
      </c>
      <c r="X293" s="3" t="s">
        <v>21</v>
      </c>
      <c r="Y293" cm="1">
        <f t="array" ref="Y293">SUM(IF(INT($M$2:$M$594)&amp;" "&amp;$K$2:$K$594=INT($M293)&amp;" "&amp;$K293,1,0))</f>
        <v>1</v>
      </c>
      <c r="Z293" cm="1">
        <f t="array" ref="Z293">SUM(IF(ROUND($M$2:$M$594,0)&amp;" "&amp;$K$2:$K$594=ROUND($M293,0)&amp;" "&amp;$K293,1,0))</f>
        <v>1</v>
      </c>
      <c r="AA293" cm="1">
        <f t="array" ref="AA293">SUM(IF($W$2:$W$594=$W293,1,0))</f>
        <v>1</v>
      </c>
    </row>
    <row r="294" spans="1:27" x14ac:dyDescent="0.25">
      <c r="B294" t="s">
        <v>1471</v>
      </c>
      <c r="C294" t="s">
        <v>1713</v>
      </c>
      <c r="D294" t="s">
        <v>1722</v>
      </c>
      <c r="E294">
        <v>4</v>
      </c>
      <c r="F294" t="str">
        <f t="shared" si="4"/>
        <v>9/2</v>
      </c>
      <c r="G294" s="1" t="s">
        <v>1284</v>
      </c>
      <c r="I294" s="3" t="s">
        <v>15</v>
      </c>
      <c r="K294" s="3" t="s">
        <v>14</v>
      </c>
      <c r="L294" s="4" t="s">
        <v>1284</v>
      </c>
      <c r="M294" s="4" t="s">
        <v>1284</v>
      </c>
      <c r="N294" s="3" t="s">
        <v>15</v>
      </c>
      <c r="O294" s="3" t="s">
        <v>1279</v>
      </c>
      <c r="P294" s="3" t="s">
        <v>1081</v>
      </c>
      <c r="Q294" s="3">
        <v>78</v>
      </c>
      <c r="S294" s="3" t="s">
        <v>1801</v>
      </c>
      <c r="T294" s="3">
        <v>77</v>
      </c>
      <c r="V294" s="3" t="s">
        <v>1829</v>
      </c>
      <c r="W294" s="4" t="s">
        <v>1286</v>
      </c>
      <c r="X294" s="3" t="s">
        <v>21</v>
      </c>
      <c r="Y294" cm="1">
        <f t="array" ref="Y294">SUM(IF(INT($M$2:$M$594)&amp;" "&amp;$K$2:$K$594=INT($M294)&amp;" "&amp;$K294,1,0))</f>
        <v>1</v>
      </c>
      <c r="Z294" cm="1">
        <f t="array" ref="Z294">SUM(IF(ROUND($M$2:$M$594,0)&amp;" "&amp;$K$2:$K$594=ROUND($M294,0)&amp;" "&amp;$K294,1,0))</f>
        <v>1</v>
      </c>
      <c r="AA294" cm="1">
        <f t="array" ref="AA294">SUM(IF($W$2:$W$594=$W294,1,0))</f>
        <v>1</v>
      </c>
    </row>
    <row r="295" spans="1:27" x14ac:dyDescent="0.25">
      <c r="B295" t="s">
        <v>1471</v>
      </c>
      <c r="C295" t="s">
        <v>1713</v>
      </c>
      <c r="D295" t="s">
        <v>1722</v>
      </c>
      <c r="E295">
        <v>5</v>
      </c>
      <c r="F295" t="str">
        <f t="shared" si="4"/>
        <v>11/2</v>
      </c>
      <c r="G295" s="1" t="s">
        <v>1287</v>
      </c>
      <c r="I295" s="3" t="s">
        <v>15</v>
      </c>
      <c r="K295" s="3" t="s">
        <v>22</v>
      </c>
      <c r="L295" s="4" t="s">
        <v>1287</v>
      </c>
      <c r="M295" s="4" t="s">
        <v>1287</v>
      </c>
      <c r="N295" s="3" t="s">
        <v>15</v>
      </c>
      <c r="O295" s="3" t="s">
        <v>1279</v>
      </c>
      <c r="P295" s="3" t="s">
        <v>1081</v>
      </c>
      <c r="Q295" s="3">
        <v>89</v>
      </c>
      <c r="S295" s="3" t="s">
        <v>1801</v>
      </c>
      <c r="T295" s="3">
        <v>88</v>
      </c>
      <c r="V295" s="3" t="s">
        <v>1829</v>
      </c>
      <c r="W295" s="4" t="s">
        <v>1289</v>
      </c>
      <c r="X295" s="3" t="s">
        <v>21</v>
      </c>
      <c r="Y295" cm="1">
        <f t="array" ref="Y295">SUM(IF(INT($M$2:$M$594)&amp;" "&amp;$K$2:$K$594=INT($M295)&amp;" "&amp;$K295,1,0))</f>
        <v>1</v>
      </c>
      <c r="Z295" cm="1">
        <f t="array" ref="Z295">SUM(IF(ROUND($M$2:$M$594,0)&amp;" "&amp;$K$2:$K$594=ROUND($M295,0)&amp;" "&amp;$K295,1,0))</f>
        <v>1</v>
      </c>
      <c r="AA295" cm="1">
        <f t="array" ref="AA295">SUM(IF($W$2:$W$594=$W295,1,0))</f>
        <v>1</v>
      </c>
    </row>
    <row r="296" spans="1:27" x14ac:dyDescent="0.25">
      <c r="B296" t="s">
        <v>1471</v>
      </c>
      <c r="C296" t="s">
        <v>1713</v>
      </c>
      <c r="D296" t="s">
        <v>1722</v>
      </c>
      <c r="E296">
        <v>3</v>
      </c>
      <c r="F296" t="str">
        <f t="shared" si="4"/>
        <v>7/2</v>
      </c>
      <c r="G296" s="1" t="s">
        <v>1290</v>
      </c>
      <c r="I296" s="3" t="s">
        <v>15</v>
      </c>
      <c r="K296" s="3" t="s">
        <v>47</v>
      </c>
      <c r="L296" s="4" t="s">
        <v>1290</v>
      </c>
      <c r="M296" s="4" t="s">
        <v>1290</v>
      </c>
      <c r="N296" s="3" t="s">
        <v>15</v>
      </c>
      <c r="O296" s="3" t="s">
        <v>1279</v>
      </c>
      <c r="P296" s="3" t="s">
        <v>1073</v>
      </c>
      <c r="Q296" s="3">
        <v>87</v>
      </c>
      <c r="S296" s="3" t="s">
        <v>1801</v>
      </c>
      <c r="T296" s="3">
        <v>86</v>
      </c>
      <c r="V296" s="3" t="s">
        <v>1827</v>
      </c>
      <c r="W296" s="4" t="s">
        <v>1292</v>
      </c>
      <c r="X296" s="3" t="s">
        <v>21</v>
      </c>
      <c r="Y296" cm="1">
        <f t="array" ref="Y296">SUM(IF(INT($M$2:$M$594)&amp;" "&amp;$K$2:$K$594=INT($M296)&amp;" "&amp;$K296,1,0))</f>
        <v>1</v>
      </c>
      <c r="Z296" cm="1">
        <f t="array" ref="Z296">SUM(IF(ROUND($M$2:$M$594,0)&amp;" "&amp;$K$2:$K$594=ROUND($M296,0)&amp;" "&amp;$K296,1,0))</f>
        <v>1</v>
      </c>
      <c r="AA296" cm="1">
        <f t="array" ref="AA296">SUM(IF($W$2:$W$594=$W296,1,0))</f>
        <v>1</v>
      </c>
    </row>
    <row r="297" spans="1:27" x14ac:dyDescent="0.25">
      <c r="A297" t="s">
        <v>1664</v>
      </c>
      <c r="B297" t="s">
        <v>1471</v>
      </c>
      <c r="C297" t="s">
        <v>1713</v>
      </c>
      <c r="D297" t="s">
        <v>1722</v>
      </c>
      <c r="E297">
        <v>2</v>
      </c>
      <c r="F297" t="str">
        <f t="shared" si="4"/>
        <v>5/2</v>
      </c>
      <c r="G297" s="1" t="s">
        <v>1472</v>
      </c>
      <c r="I297" s="3" t="s">
        <v>15</v>
      </c>
      <c r="K297" s="3" t="s">
        <v>43</v>
      </c>
      <c r="M297" s="4" t="s">
        <v>1472</v>
      </c>
      <c r="N297" s="3" t="s">
        <v>15</v>
      </c>
      <c r="O297" s="3" t="s">
        <v>1279</v>
      </c>
      <c r="P297" s="3" t="s">
        <v>71</v>
      </c>
      <c r="W297" s="5" t="s">
        <v>1998</v>
      </c>
      <c r="X297" s="3" t="s">
        <v>1757</v>
      </c>
      <c r="Y297" cm="1">
        <f t="array" ref="Y297">SUM(IF(INT($M$2:$M$594)&amp;" "&amp;$K$2:$K$594=INT($M297)&amp;" "&amp;$K297,1,0))</f>
        <v>1</v>
      </c>
      <c r="Z297" cm="1">
        <f t="array" ref="Z297">SUM(IF(ROUND($M$2:$M$594,0)&amp;" "&amp;$K$2:$K$594=ROUND($M297,0)&amp;" "&amp;$K297,1,0))</f>
        <v>1</v>
      </c>
      <c r="AA297" cm="1">
        <f t="array" ref="AA297">SUM(IF($W$2:$W$594=$W297,1,0))</f>
        <v>1</v>
      </c>
    </row>
    <row r="298" spans="1:27" x14ac:dyDescent="0.25">
      <c r="B298" t="s">
        <v>1471</v>
      </c>
      <c r="C298" t="s">
        <v>1713</v>
      </c>
      <c r="D298" t="s">
        <v>1722</v>
      </c>
      <c r="E298">
        <v>4</v>
      </c>
      <c r="F298" t="str">
        <f t="shared" si="4"/>
        <v>9/2</v>
      </c>
      <c r="G298" s="1" t="s">
        <v>1293</v>
      </c>
      <c r="I298" s="3" t="s">
        <v>15</v>
      </c>
      <c r="K298" s="3" t="s">
        <v>14</v>
      </c>
      <c r="L298" s="4" t="s">
        <v>1293</v>
      </c>
      <c r="M298" s="4" t="s">
        <v>1293</v>
      </c>
      <c r="N298" s="3" t="s">
        <v>15</v>
      </c>
      <c r="O298" s="3" t="s">
        <v>1279</v>
      </c>
      <c r="P298" s="3" t="s">
        <v>1073</v>
      </c>
      <c r="Q298" s="3">
        <v>79</v>
      </c>
      <c r="S298" s="3" t="s">
        <v>1801</v>
      </c>
      <c r="T298" s="3">
        <v>78</v>
      </c>
      <c r="V298" s="3" t="s">
        <v>1827</v>
      </c>
      <c r="W298" s="4" t="s">
        <v>1295</v>
      </c>
      <c r="X298" s="3" t="s">
        <v>21</v>
      </c>
      <c r="Y298" cm="1">
        <f t="array" ref="Y298">SUM(IF(INT($M$2:$M$594)&amp;" "&amp;$K$2:$K$594=INT($M298)&amp;" "&amp;$K298,1,0))</f>
        <v>1</v>
      </c>
      <c r="Z298" cm="1">
        <f t="array" ref="Z298">SUM(IF(ROUND($M$2:$M$594,0)&amp;" "&amp;$K$2:$K$594=ROUND($M298,0)&amp;" "&amp;$K298,1,0))</f>
        <v>1</v>
      </c>
      <c r="AA298" cm="1">
        <f t="array" ref="AA298">SUM(IF($W$2:$W$594=$W298,1,0))</f>
        <v>1</v>
      </c>
    </row>
    <row r="299" spans="1:27" x14ac:dyDescent="0.25">
      <c r="A299" t="s">
        <v>1664</v>
      </c>
      <c r="B299" t="s">
        <v>1471</v>
      </c>
      <c r="C299" t="s">
        <v>1713</v>
      </c>
      <c r="D299" t="s">
        <v>1722</v>
      </c>
      <c r="E299">
        <v>2</v>
      </c>
      <c r="F299" t="str">
        <f t="shared" si="4"/>
        <v>5/2</v>
      </c>
      <c r="G299" s="1" t="s">
        <v>1473</v>
      </c>
      <c r="I299" s="3" t="s">
        <v>15</v>
      </c>
      <c r="K299" s="3" t="s">
        <v>43</v>
      </c>
      <c r="M299" s="4" t="s">
        <v>1473</v>
      </c>
      <c r="N299" s="3" t="s">
        <v>15</v>
      </c>
      <c r="O299" s="3" t="s">
        <v>1279</v>
      </c>
      <c r="P299" s="3" t="s">
        <v>71</v>
      </c>
      <c r="W299" s="5" t="s">
        <v>1999</v>
      </c>
      <c r="X299" s="3" t="s">
        <v>1757</v>
      </c>
      <c r="Y299" cm="1">
        <f t="array" ref="Y299">SUM(IF(INT($M$2:$M$594)&amp;" "&amp;$K$2:$K$594=INT($M299)&amp;" "&amp;$K299,1,0))</f>
        <v>1</v>
      </c>
      <c r="Z299" cm="1">
        <f t="array" ref="Z299">SUM(IF(ROUND($M$2:$M$594,0)&amp;" "&amp;$K$2:$K$594=ROUND($M299,0)&amp;" "&amp;$K299,1,0))</f>
        <v>1</v>
      </c>
      <c r="AA299" cm="1">
        <f t="array" ref="AA299">SUM(IF($W$2:$W$594=$W299,1,0))</f>
        <v>1</v>
      </c>
    </row>
    <row r="300" spans="1:27" x14ac:dyDescent="0.25">
      <c r="A300" t="s">
        <v>1664</v>
      </c>
      <c r="B300" t="s">
        <v>1471</v>
      </c>
      <c r="C300" t="s">
        <v>1713</v>
      </c>
      <c r="D300" t="s">
        <v>1722</v>
      </c>
      <c r="E300">
        <v>3</v>
      </c>
      <c r="F300" t="str">
        <f t="shared" si="4"/>
        <v>7/2</v>
      </c>
      <c r="G300" s="1" t="s">
        <v>1474</v>
      </c>
      <c r="I300" s="3" t="s">
        <v>15</v>
      </c>
      <c r="K300" s="3" t="s">
        <v>47</v>
      </c>
      <c r="M300" s="4" t="s">
        <v>1474</v>
      </c>
      <c r="N300" s="3" t="s">
        <v>15</v>
      </c>
      <c r="O300" s="3" t="s">
        <v>1279</v>
      </c>
      <c r="P300" s="3" t="s">
        <v>71</v>
      </c>
      <c r="W300" s="5" t="s">
        <v>2000</v>
      </c>
      <c r="X300" s="3" t="s">
        <v>1757</v>
      </c>
      <c r="Y300" cm="1">
        <f t="array" ref="Y300">SUM(IF(INT($M$2:$M$594)&amp;" "&amp;$K$2:$K$594=INT($M300)&amp;" "&amp;$K300,1,0))</f>
        <v>1</v>
      </c>
      <c r="Z300" cm="1">
        <f t="array" ref="Z300">SUM(IF(ROUND($M$2:$M$594,0)&amp;" "&amp;$K$2:$K$594=ROUND($M300,0)&amp;" "&amp;$K300,1,0))</f>
        <v>1</v>
      </c>
      <c r="AA300" cm="1">
        <f t="array" ref="AA300">SUM(IF($W$2:$W$594=$W300,1,0))</f>
        <v>1</v>
      </c>
    </row>
    <row r="301" spans="1:27" x14ac:dyDescent="0.25">
      <c r="A301" t="s">
        <v>1664</v>
      </c>
      <c r="B301" t="s">
        <v>1673</v>
      </c>
      <c r="C301" t="s">
        <v>1713</v>
      </c>
      <c r="D301" t="s">
        <v>1723</v>
      </c>
      <c r="E301">
        <v>3</v>
      </c>
      <c r="F301" t="str">
        <f t="shared" si="4"/>
        <v>7/2</v>
      </c>
      <c r="G301" s="1" t="s">
        <v>1475</v>
      </c>
      <c r="I301" s="3" t="s">
        <v>15</v>
      </c>
      <c r="K301" s="3" t="s">
        <v>47</v>
      </c>
      <c r="M301" s="4" t="s">
        <v>1475</v>
      </c>
      <c r="N301" s="3" t="s">
        <v>15</v>
      </c>
      <c r="O301" s="3" t="s">
        <v>1767</v>
      </c>
      <c r="P301" s="3" t="s">
        <v>71</v>
      </c>
      <c r="W301" s="5" t="s">
        <v>2001</v>
      </c>
      <c r="X301" s="3" t="s">
        <v>1757</v>
      </c>
      <c r="Y301" cm="1">
        <f t="array" ref="Y301">SUM(IF(INT($M$2:$M$594)&amp;" "&amp;$K$2:$K$594=INT($M301)&amp;" "&amp;$K301,1,0))</f>
        <v>1</v>
      </c>
      <c r="Z301" cm="1">
        <f t="array" ref="Z301">SUM(IF(ROUND($M$2:$M$594,0)&amp;" "&amp;$K$2:$K$594=ROUND($M301,0)&amp;" "&amp;$K301,1,0))</f>
        <v>1</v>
      </c>
      <c r="AA301" cm="1">
        <f t="array" ref="AA301">SUM(IF($W$2:$W$594=$W301,1,0))</f>
        <v>1</v>
      </c>
    </row>
    <row r="302" spans="1:27" x14ac:dyDescent="0.25">
      <c r="A302" t="s">
        <v>1664</v>
      </c>
      <c r="B302" t="s">
        <v>1481</v>
      </c>
      <c r="C302" t="s">
        <v>1713</v>
      </c>
      <c r="D302" t="s">
        <v>1724</v>
      </c>
      <c r="E302">
        <v>6</v>
      </c>
      <c r="F302" t="str">
        <f t="shared" si="4"/>
        <v>13/2</v>
      </c>
      <c r="G302" s="1" t="s">
        <v>1476</v>
      </c>
      <c r="I302" s="3" t="s">
        <v>15</v>
      </c>
      <c r="K302" s="3" t="s">
        <v>26</v>
      </c>
      <c r="M302" s="4" t="s">
        <v>1476</v>
      </c>
      <c r="N302" s="3" t="s">
        <v>15</v>
      </c>
      <c r="O302" s="3" t="s">
        <v>1304</v>
      </c>
      <c r="P302" s="3" t="s">
        <v>71</v>
      </c>
      <c r="W302" s="5" t="s">
        <v>2002</v>
      </c>
      <c r="X302" s="3" t="s">
        <v>1757</v>
      </c>
      <c r="Y302" cm="1">
        <f t="array" ref="Y302">SUM(IF(INT($M$2:$M$594)&amp;" "&amp;$K$2:$K$594=INT($M302)&amp;" "&amp;$K302,1,0))</f>
        <v>1</v>
      </c>
      <c r="Z302" cm="1">
        <f t="array" ref="Z302">SUM(IF(ROUND($M$2:$M$594,0)&amp;" "&amp;$K$2:$K$594=ROUND($M302,0)&amp;" "&amp;$K302,1,0))</f>
        <v>1</v>
      </c>
      <c r="AA302" cm="1">
        <f t="array" ref="AA302">SUM(IF($W$2:$W$594=$W302,1,0))</f>
        <v>1</v>
      </c>
    </row>
    <row r="303" spans="1:27" x14ac:dyDescent="0.25">
      <c r="A303" t="s">
        <v>1664</v>
      </c>
      <c r="B303" t="s">
        <v>1481</v>
      </c>
      <c r="C303" t="s">
        <v>1713</v>
      </c>
      <c r="D303" t="s">
        <v>1724</v>
      </c>
      <c r="E303">
        <v>7</v>
      </c>
      <c r="F303" t="str">
        <f t="shared" si="4"/>
        <v>15/2</v>
      </c>
      <c r="G303" s="1" t="s">
        <v>1477</v>
      </c>
      <c r="I303" s="3" t="s">
        <v>15</v>
      </c>
      <c r="K303" s="3" t="s">
        <v>30</v>
      </c>
      <c r="M303" s="4" t="s">
        <v>1477</v>
      </c>
      <c r="N303" s="3" t="s">
        <v>15</v>
      </c>
      <c r="O303" s="3" t="s">
        <v>1304</v>
      </c>
      <c r="P303" s="3" t="s">
        <v>71</v>
      </c>
      <c r="W303" s="5" t="s">
        <v>2003</v>
      </c>
      <c r="X303" s="3" t="s">
        <v>1757</v>
      </c>
      <c r="Y303" cm="1">
        <f t="array" ref="Y303">SUM(IF(INT($M$2:$M$594)&amp;" "&amp;$K$2:$K$594=INT($M303)&amp;" "&amp;$K303,1,0))</f>
        <v>1</v>
      </c>
      <c r="Z303" cm="1">
        <f t="array" ref="Z303">SUM(IF(ROUND($M$2:$M$594,0)&amp;" "&amp;$K$2:$K$594=ROUND($M303,0)&amp;" "&amp;$K303,1,0))</f>
        <v>1</v>
      </c>
      <c r="AA303" cm="1">
        <f t="array" ref="AA303">SUM(IF($W$2:$W$594=$W303,1,0))</f>
        <v>1</v>
      </c>
    </row>
    <row r="304" spans="1:27" x14ac:dyDescent="0.25">
      <c r="A304" t="s">
        <v>1664</v>
      </c>
      <c r="B304" t="s">
        <v>1674</v>
      </c>
      <c r="C304" t="s">
        <v>1713</v>
      </c>
      <c r="D304" t="s">
        <v>1725</v>
      </c>
      <c r="E304">
        <v>3</v>
      </c>
      <c r="F304" t="str">
        <f t="shared" si="4"/>
        <v>7/2</v>
      </c>
      <c r="G304" s="1" t="s">
        <v>1478</v>
      </c>
      <c r="I304" s="3" t="s">
        <v>15</v>
      </c>
      <c r="K304" s="3" t="s">
        <v>47</v>
      </c>
      <c r="M304" s="4" t="s">
        <v>1478</v>
      </c>
      <c r="N304" s="3" t="s">
        <v>15</v>
      </c>
      <c r="O304" s="3" t="s">
        <v>1768</v>
      </c>
      <c r="P304" s="3" t="s">
        <v>71</v>
      </c>
      <c r="W304" s="5" t="s">
        <v>2004</v>
      </c>
      <c r="X304" s="3" t="s">
        <v>1757</v>
      </c>
      <c r="Y304" cm="1">
        <f t="array" ref="Y304">SUM(IF(INT($M$2:$M$594)&amp;" "&amp;$K$2:$K$594=INT($M304)&amp;" "&amp;$K304,1,0))</f>
        <v>1</v>
      </c>
      <c r="Z304" cm="1">
        <f t="array" ref="Z304">SUM(IF(ROUND($M$2:$M$594,0)&amp;" "&amp;$K$2:$K$594=ROUND($M304,0)&amp;" "&amp;$K304,1,0))</f>
        <v>1</v>
      </c>
      <c r="AA304" cm="1">
        <f t="array" ref="AA304">SUM(IF($W$2:$W$594=$W304,1,0))</f>
        <v>1</v>
      </c>
    </row>
    <row r="305" spans="1:27" x14ac:dyDescent="0.25">
      <c r="A305" t="s">
        <v>1664</v>
      </c>
      <c r="B305" t="s">
        <v>1481</v>
      </c>
      <c r="C305" t="s">
        <v>1713</v>
      </c>
      <c r="D305" t="s">
        <v>1724</v>
      </c>
      <c r="E305">
        <v>5</v>
      </c>
      <c r="F305" t="str">
        <f t="shared" si="4"/>
        <v>11/2</v>
      </c>
      <c r="G305" s="1" t="s">
        <v>1479</v>
      </c>
      <c r="I305" s="3" t="s">
        <v>15</v>
      </c>
      <c r="K305" s="3" t="s">
        <v>22</v>
      </c>
      <c r="M305" s="4" t="s">
        <v>1479</v>
      </c>
      <c r="N305" s="3" t="s">
        <v>15</v>
      </c>
      <c r="O305" s="3" t="s">
        <v>1304</v>
      </c>
      <c r="P305" s="3" t="s">
        <v>71</v>
      </c>
      <c r="W305" s="5" t="s">
        <v>2005</v>
      </c>
      <c r="X305" s="3" t="s">
        <v>1757</v>
      </c>
      <c r="Y305" cm="1">
        <f t="array" ref="Y305">SUM(IF(INT($M$2:$M$594)&amp;" "&amp;$K$2:$K$594=INT($M305)&amp;" "&amp;$K305,1,0))</f>
        <v>1</v>
      </c>
      <c r="Z305" cm="1">
        <f t="array" ref="Z305">SUM(IF(ROUND($M$2:$M$594,0)&amp;" "&amp;$K$2:$K$594=ROUND($M305,0)&amp;" "&amp;$K305,1,0))</f>
        <v>1</v>
      </c>
      <c r="AA305" cm="1">
        <f t="array" ref="AA305">SUM(IF($W$2:$W$594=$W305,1,0))</f>
        <v>1</v>
      </c>
    </row>
    <row r="306" spans="1:27" x14ac:dyDescent="0.25">
      <c r="A306" t="s">
        <v>1664</v>
      </c>
      <c r="B306" t="s">
        <v>1481</v>
      </c>
      <c r="C306" t="s">
        <v>1713</v>
      </c>
      <c r="D306" t="s">
        <v>1724</v>
      </c>
      <c r="E306">
        <v>6</v>
      </c>
      <c r="F306" t="str">
        <f t="shared" si="4"/>
        <v>13/2</v>
      </c>
      <c r="G306" s="1" t="s">
        <v>1480</v>
      </c>
      <c r="I306" s="3" t="s">
        <v>15</v>
      </c>
      <c r="K306" s="3" t="s">
        <v>26</v>
      </c>
      <c r="M306" s="4" t="s">
        <v>1480</v>
      </c>
      <c r="N306" s="3" t="s">
        <v>15</v>
      </c>
      <c r="O306" s="3" t="s">
        <v>1304</v>
      </c>
      <c r="P306" s="3" t="s">
        <v>71</v>
      </c>
      <c r="W306" s="5" t="s">
        <v>2006</v>
      </c>
      <c r="X306" s="3" t="s">
        <v>1757</v>
      </c>
      <c r="Y306" cm="1">
        <f t="array" ref="Y306">SUM(IF(INT($M$2:$M$594)&amp;" "&amp;$K$2:$K$594=INT($M306)&amp;" "&amp;$K306,1,0))</f>
        <v>1</v>
      </c>
      <c r="Z306" cm="1">
        <f t="array" ref="Z306">SUM(IF(ROUND($M$2:$M$594,0)&amp;" "&amp;$K$2:$K$594=ROUND($M306,0)&amp;" "&amp;$K306,1,0))</f>
        <v>1</v>
      </c>
      <c r="AA306" cm="1">
        <f t="array" ref="AA306">SUM(IF($W$2:$W$594=$W306,1,0))</f>
        <v>1</v>
      </c>
    </row>
    <row r="307" spans="1:27" x14ac:dyDescent="0.25">
      <c r="B307" t="s">
        <v>1481</v>
      </c>
      <c r="C307" t="s">
        <v>1713</v>
      </c>
      <c r="D307" t="s">
        <v>1724</v>
      </c>
      <c r="E307">
        <v>8</v>
      </c>
      <c r="F307" t="str">
        <f t="shared" si="4"/>
        <v>17/2</v>
      </c>
      <c r="G307" s="1" t="s">
        <v>1305</v>
      </c>
      <c r="I307" s="3" t="s">
        <v>15</v>
      </c>
      <c r="K307" s="3" t="s">
        <v>164</v>
      </c>
      <c r="L307" s="4" t="s">
        <v>1305</v>
      </c>
      <c r="M307" s="4" t="s">
        <v>1305</v>
      </c>
      <c r="N307" s="3" t="s">
        <v>15</v>
      </c>
      <c r="O307" s="3" t="s">
        <v>1304</v>
      </c>
      <c r="P307" s="3" t="s">
        <v>1159</v>
      </c>
      <c r="Q307" s="3">
        <v>98</v>
      </c>
      <c r="S307" s="3" t="s">
        <v>1801</v>
      </c>
      <c r="T307" s="3">
        <v>98</v>
      </c>
      <c r="V307" s="3" t="s">
        <v>1874</v>
      </c>
      <c r="W307" s="4" t="s">
        <v>1307</v>
      </c>
      <c r="X307" s="3" t="s">
        <v>21</v>
      </c>
      <c r="Y307" cm="1">
        <f t="array" ref="Y307">SUM(IF(INT($M$2:$M$594)&amp;" "&amp;$K$2:$K$594=INT($M307)&amp;" "&amp;$K307,1,0))</f>
        <v>1</v>
      </c>
      <c r="Z307" cm="1">
        <f t="array" ref="Z307">SUM(IF(ROUND($M$2:$M$594,0)&amp;" "&amp;$K$2:$K$594=ROUND($M307,0)&amp;" "&amp;$K307,1,0))</f>
        <v>1</v>
      </c>
      <c r="AA307" cm="1">
        <f t="array" ref="AA307">SUM(IF($W$2:$W$594=$W307,1,0))</f>
        <v>1</v>
      </c>
    </row>
    <row r="308" spans="1:27" x14ac:dyDescent="0.25">
      <c r="B308" t="s">
        <v>1481</v>
      </c>
      <c r="C308" t="s">
        <v>1713</v>
      </c>
      <c r="D308" t="s">
        <v>1724</v>
      </c>
      <c r="E308">
        <v>9</v>
      </c>
      <c r="F308" t="str">
        <f t="shared" si="4"/>
        <v>19/2</v>
      </c>
      <c r="G308" s="1" t="s">
        <v>1308</v>
      </c>
      <c r="I308" s="3" t="s">
        <v>15</v>
      </c>
      <c r="K308" s="3" t="s">
        <v>1160</v>
      </c>
      <c r="L308" s="4" t="s">
        <v>1308</v>
      </c>
      <c r="M308" s="4" t="s">
        <v>1308</v>
      </c>
      <c r="N308" s="3" t="s">
        <v>15</v>
      </c>
      <c r="O308" s="3" t="s">
        <v>1304</v>
      </c>
      <c r="P308" s="3" t="s">
        <v>1159</v>
      </c>
      <c r="Q308" s="3">
        <v>100</v>
      </c>
      <c r="S308" s="3" t="s">
        <v>1801</v>
      </c>
      <c r="T308" s="3">
        <v>100</v>
      </c>
      <c r="V308" s="3" t="s">
        <v>1874</v>
      </c>
      <c r="W308" s="4" t="s">
        <v>1310</v>
      </c>
      <c r="X308" s="3" t="s">
        <v>21</v>
      </c>
      <c r="Y308" cm="1">
        <f t="array" ref="Y308">SUM(IF(INT($M$2:$M$594)&amp;" "&amp;$K$2:$K$594=INT($M308)&amp;" "&amp;$K308,1,0))</f>
        <v>1</v>
      </c>
      <c r="Z308" cm="1">
        <f t="array" ref="Z308">SUM(IF(ROUND($M$2:$M$594,0)&amp;" "&amp;$K$2:$K$594=ROUND($M308,0)&amp;" "&amp;$K308,1,0))</f>
        <v>1</v>
      </c>
      <c r="AA308" cm="1">
        <f t="array" ref="AA308">SUM(IF($W$2:$W$594=$W308,1,0))</f>
        <v>1</v>
      </c>
    </row>
    <row r="309" spans="1:27" x14ac:dyDescent="0.25">
      <c r="A309" t="s">
        <v>1664</v>
      </c>
      <c r="B309" t="s">
        <v>1481</v>
      </c>
      <c r="C309" t="s">
        <v>1713</v>
      </c>
      <c r="D309" t="s">
        <v>1724</v>
      </c>
      <c r="E309">
        <v>4</v>
      </c>
      <c r="F309" t="str">
        <f t="shared" si="4"/>
        <v>9/2</v>
      </c>
      <c r="G309" s="1" t="s">
        <v>1482</v>
      </c>
      <c r="I309" s="3" t="s">
        <v>15</v>
      </c>
      <c r="K309" s="3" t="s">
        <v>14</v>
      </c>
      <c r="M309" s="4" t="s">
        <v>1482</v>
      </c>
      <c r="N309" s="3" t="s">
        <v>15</v>
      </c>
      <c r="O309" s="3" t="s">
        <v>1304</v>
      </c>
      <c r="P309" s="3" t="s">
        <v>71</v>
      </c>
      <c r="W309" s="5" t="s">
        <v>2007</v>
      </c>
      <c r="X309" s="3" t="s">
        <v>1757</v>
      </c>
      <c r="Y309" cm="1">
        <f t="array" ref="Y309">SUM(IF(INT($M$2:$M$594)&amp;" "&amp;$K$2:$K$594=INT($M309)&amp;" "&amp;$K309,1,0))</f>
        <v>1</v>
      </c>
      <c r="Z309" cm="1">
        <f t="array" ref="Z309">SUM(IF(ROUND($M$2:$M$594,0)&amp;" "&amp;$K$2:$K$594=ROUND($M309,0)&amp;" "&amp;$K309,1,0))</f>
        <v>1</v>
      </c>
      <c r="AA309" cm="1">
        <f t="array" ref="AA309">SUM(IF($W$2:$W$594=$W309,1,0))</f>
        <v>1</v>
      </c>
    </row>
    <row r="310" spans="1:27" x14ac:dyDescent="0.25">
      <c r="B310" t="s">
        <v>1481</v>
      </c>
      <c r="C310" t="s">
        <v>1713</v>
      </c>
      <c r="D310" t="s">
        <v>1724</v>
      </c>
      <c r="E310">
        <v>7</v>
      </c>
      <c r="F310" t="str">
        <f t="shared" si="4"/>
        <v>15/2</v>
      </c>
      <c r="G310" s="1" t="s">
        <v>1311</v>
      </c>
      <c r="I310" s="3" t="s">
        <v>15</v>
      </c>
      <c r="K310" s="3" t="s">
        <v>30</v>
      </c>
      <c r="L310" s="4" t="s">
        <v>1311</v>
      </c>
      <c r="M310" s="4" t="s">
        <v>1311</v>
      </c>
      <c r="N310" s="3" t="s">
        <v>15</v>
      </c>
      <c r="O310" s="3" t="s">
        <v>1304</v>
      </c>
      <c r="P310" s="3" t="s">
        <v>1118</v>
      </c>
      <c r="Q310" s="3">
        <v>98</v>
      </c>
      <c r="S310" s="3" t="s">
        <v>1801</v>
      </c>
      <c r="T310" s="3">
        <v>98</v>
      </c>
      <c r="V310" s="3" t="s">
        <v>1875</v>
      </c>
      <c r="W310" s="4" t="s">
        <v>1313</v>
      </c>
      <c r="X310" s="3" t="s">
        <v>21</v>
      </c>
      <c r="Y310" cm="1">
        <f t="array" ref="Y310">SUM(IF(INT($M$2:$M$594)&amp;" "&amp;$K$2:$K$594=INT($M310)&amp;" "&amp;$K310,1,0))</f>
        <v>1</v>
      </c>
      <c r="Z310" cm="1">
        <f t="array" ref="Z310">SUM(IF(ROUND($M$2:$M$594,0)&amp;" "&amp;$K$2:$K$594=ROUND($M310,0)&amp;" "&amp;$K310,1,0))</f>
        <v>1</v>
      </c>
      <c r="AA310" cm="1">
        <f t="array" ref="AA310">SUM(IF($W$2:$W$594=$W310,1,0))</f>
        <v>1</v>
      </c>
    </row>
    <row r="311" spans="1:27" x14ac:dyDescent="0.25">
      <c r="A311" t="s">
        <v>1664</v>
      </c>
      <c r="B311" t="s">
        <v>1481</v>
      </c>
      <c r="C311" t="s">
        <v>1713</v>
      </c>
      <c r="D311" t="s">
        <v>1724</v>
      </c>
      <c r="E311">
        <v>5</v>
      </c>
      <c r="F311" t="str">
        <f t="shared" si="4"/>
        <v>11/2</v>
      </c>
      <c r="G311" s="1" t="s">
        <v>1483</v>
      </c>
      <c r="I311" s="3" t="s">
        <v>15</v>
      </c>
      <c r="K311" s="3" t="s">
        <v>22</v>
      </c>
      <c r="M311" s="4" t="s">
        <v>1483</v>
      </c>
      <c r="N311" s="3" t="s">
        <v>15</v>
      </c>
      <c r="O311" s="3" t="s">
        <v>1304</v>
      </c>
      <c r="P311" s="3" t="s">
        <v>71</v>
      </c>
      <c r="W311" s="5" t="s">
        <v>2008</v>
      </c>
      <c r="X311" s="3" t="s">
        <v>1757</v>
      </c>
      <c r="Y311" cm="1">
        <f t="array" ref="Y311">SUM(IF(INT($M$2:$M$594)&amp;" "&amp;$K$2:$K$594=INT($M311)&amp;" "&amp;$K311,1,0))</f>
        <v>1</v>
      </c>
      <c r="Z311" cm="1">
        <f t="array" ref="Z311">SUM(IF(ROUND($M$2:$M$594,0)&amp;" "&amp;$K$2:$K$594=ROUND($M311,0)&amp;" "&amp;$K311,1,0))</f>
        <v>1</v>
      </c>
      <c r="AA311" cm="1">
        <f t="array" ref="AA311">SUM(IF($W$2:$W$594=$W311,1,0))</f>
        <v>1</v>
      </c>
    </row>
    <row r="312" spans="1:27" x14ac:dyDescent="0.25">
      <c r="B312" t="s">
        <v>1481</v>
      </c>
      <c r="C312" t="s">
        <v>1713</v>
      </c>
      <c r="D312" t="s">
        <v>1724</v>
      </c>
      <c r="E312">
        <v>8</v>
      </c>
      <c r="F312" t="str">
        <f t="shared" si="4"/>
        <v>17/2</v>
      </c>
      <c r="G312" s="1" t="s">
        <v>1314</v>
      </c>
      <c r="I312" s="3" t="s">
        <v>15</v>
      </c>
      <c r="K312" s="3" t="s">
        <v>164</v>
      </c>
      <c r="L312" s="4" t="s">
        <v>1314</v>
      </c>
      <c r="M312" s="4" t="s">
        <v>1314</v>
      </c>
      <c r="N312" s="3" t="s">
        <v>15</v>
      </c>
      <c r="O312" s="3" t="s">
        <v>1304</v>
      </c>
      <c r="P312" s="3" t="s">
        <v>1118</v>
      </c>
      <c r="Q312" s="3">
        <v>97</v>
      </c>
      <c r="S312" s="3" t="s">
        <v>1801</v>
      </c>
      <c r="T312" s="3">
        <v>97</v>
      </c>
      <c r="V312" s="3" t="s">
        <v>1875</v>
      </c>
      <c r="W312" s="4" t="s">
        <v>1316</v>
      </c>
      <c r="X312" s="3" t="s">
        <v>21</v>
      </c>
      <c r="Y312" cm="1">
        <f t="array" ref="Y312">SUM(IF(INT($M$2:$M$594)&amp;" "&amp;$K$2:$K$594=INT($M312)&amp;" "&amp;$K312,1,0))</f>
        <v>1</v>
      </c>
      <c r="Z312" cm="1">
        <f t="array" ref="Z312">SUM(IF(ROUND($M$2:$M$594,0)&amp;" "&amp;$K$2:$K$594=ROUND($M312,0)&amp;" "&amp;$K312,1,0))</f>
        <v>1</v>
      </c>
      <c r="AA312" cm="1">
        <f t="array" ref="AA312">SUM(IF($W$2:$W$594=$W312,1,0))</f>
        <v>1</v>
      </c>
    </row>
    <row r="313" spans="1:27" x14ac:dyDescent="0.25">
      <c r="B313" t="s">
        <v>1481</v>
      </c>
      <c r="C313" t="s">
        <v>1713</v>
      </c>
      <c r="D313" t="s">
        <v>1724</v>
      </c>
      <c r="E313">
        <v>4</v>
      </c>
      <c r="F313" t="str">
        <f t="shared" si="4"/>
        <v>9/2</v>
      </c>
      <c r="G313" s="4" t="s">
        <v>1484</v>
      </c>
      <c r="I313" s="3" t="s">
        <v>15</v>
      </c>
      <c r="K313" s="3" t="s">
        <v>14</v>
      </c>
      <c r="M313" s="4" t="s">
        <v>1484</v>
      </c>
      <c r="N313" s="3" t="s">
        <v>15</v>
      </c>
      <c r="O313" s="3" t="s">
        <v>1304</v>
      </c>
      <c r="P313" s="3" t="s">
        <v>71</v>
      </c>
      <c r="W313" s="5" t="s">
        <v>2009</v>
      </c>
      <c r="X313" s="3" t="s">
        <v>1757</v>
      </c>
      <c r="Y313" cm="1">
        <f t="array" ref="Y313">SUM(IF(INT($M$2:$M$594)&amp;" "&amp;$K$2:$K$594=INT($M313)&amp;" "&amp;$K313,1,0))</f>
        <v>1</v>
      </c>
      <c r="Z313" cm="1">
        <f t="array" ref="Z313">SUM(IF(ROUND($M$2:$M$594,0)&amp;" "&amp;$K$2:$K$594=ROUND($M313,0)&amp;" "&amp;$K313,1,0))</f>
        <v>1</v>
      </c>
      <c r="AA313" cm="1">
        <f t="array" ref="AA313">SUM(IF($W$2:$W$594=$W313,1,0))</f>
        <v>1</v>
      </c>
    </row>
    <row r="314" spans="1:27" x14ac:dyDescent="0.25">
      <c r="A314" t="s">
        <v>1664</v>
      </c>
      <c r="B314" t="s">
        <v>1675</v>
      </c>
      <c r="C314" t="s">
        <v>1726</v>
      </c>
      <c r="D314" t="s">
        <v>1714</v>
      </c>
      <c r="E314">
        <v>5</v>
      </c>
      <c r="F314" t="str">
        <f t="shared" si="4"/>
        <v>11/2</v>
      </c>
      <c r="G314" s="1" t="s">
        <v>1485</v>
      </c>
      <c r="I314" s="3" t="s">
        <v>15</v>
      </c>
      <c r="K314" s="3" t="s">
        <v>22</v>
      </c>
      <c r="M314" s="4" t="s">
        <v>1485</v>
      </c>
      <c r="N314" s="3" t="s">
        <v>15</v>
      </c>
      <c r="O314" s="3" t="s">
        <v>1769</v>
      </c>
      <c r="P314" s="3" t="s">
        <v>71</v>
      </c>
      <c r="W314" s="5" t="s">
        <v>2010</v>
      </c>
      <c r="X314" s="3" t="s">
        <v>1757</v>
      </c>
      <c r="Y314" cm="1">
        <f t="array" ref="Y314">SUM(IF(INT($M$2:$M$594)&amp;" "&amp;$K$2:$K$594=INT($M314)&amp;" "&amp;$K314,1,0))</f>
        <v>1</v>
      </c>
      <c r="Z314" cm="1">
        <f t="array" ref="Z314">SUM(IF(ROUND($M$2:$M$594,0)&amp;" "&amp;$K$2:$K$594=ROUND($M314,0)&amp;" "&amp;$K314,1,0))</f>
        <v>1</v>
      </c>
      <c r="AA314" cm="1">
        <f t="array" ref="AA314">SUM(IF($W$2:$W$594=$W314,1,0))</f>
        <v>1</v>
      </c>
    </row>
    <row r="315" spans="1:27" x14ac:dyDescent="0.25">
      <c r="A315" t="s">
        <v>1664</v>
      </c>
      <c r="B315" t="s">
        <v>1675</v>
      </c>
      <c r="C315" t="s">
        <v>1726</v>
      </c>
      <c r="D315" t="s">
        <v>1714</v>
      </c>
      <c r="E315">
        <v>3</v>
      </c>
      <c r="F315" t="str">
        <f t="shared" si="4"/>
        <v>7/2</v>
      </c>
      <c r="G315" s="1" t="s">
        <v>1486</v>
      </c>
      <c r="I315" s="3" t="s">
        <v>15</v>
      </c>
      <c r="K315" s="3" t="s">
        <v>47</v>
      </c>
      <c r="M315" s="4" t="s">
        <v>1486</v>
      </c>
      <c r="N315" s="3" t="s">
        <v>15</v>
      </c>
      <c r="O315" s="3" t="s">
        <v>1769</v>
      </c>
      <c r="P315" s="3" t="s">
        <v>71</v>
      </c>
      <c r="W315" s="5" t="s">
        <v>2011</v>
      </c>
      <c r="X315" s="3" t="s">
        <v>1757</v>
      </c>
      <c r="Y315" cm="1">
        <f t="array" ref="Y315">SUM(IF(INT($M$2:$M$594)&amp;" "&amp;$K$2:$K$594=INT($M315)&amp;" "&amp;$K315,1,0))</f>
        <v>1</v>
      </c>
      <c r="Z315" cm="1">
        <f t="array" ref="Z315">SUM(IF(ROUND($M$2:$M$594,0)&amp;" "&amp;$K$2:$K$594=ROUND($M315,0)&amp;" "&amp;$K315,1,0))</f>
        <v>1</v>
      </c>
      <c r="AA315" cm="1">
        <f t="array" ref="AA315">SUM(IF($W$2:$W$594=$W315,1,0))</f>
        <v>1</v>
      </c>
    </row>
    <row r="316" spans="1:27" x14ac:dyDescent="0.25">
      <c r="A316" t="s">
        <v>1664</v>
      </c>
      <c r="B316" t="s">
        <v>1675</v>
      </c>
      <c r="C316" t="s">
        <v>1726</v>
      </c>
      <c r="D316" t="s">
        <v>1714</v>
      </c>
      <c r="E316">
        <v>6</v>
      </c>
      <c r="F316" t="str">
        <f t="shared" si="4"/>
        <v>13/2</v>
      </c>
      <c r="G316" s="1" t="s">
        <v>1487</v>
      </c>
      <c r="I316" s="3" t="s">
        <v>15</v>
      </c>
      <c r="K316" s="3" t="s">
        <v>26</v>
      </c>
      <c r="M316" s="4" t="s">
        <v>1487</v>
      </c>
      <c r="N316" s="3" t="s">
        <v>15</v>
      </c>
      <c r="O316" s="3" t="s">
        <v>1769</v>
      </c>
      <c r="P316" s="3" t="s">
        <v>71</v>
      </c>
      <c r="W316" s="5" t="s">
        <v>2012</v>
      </c>
      <c r="X316" s="3" t="s">
        <v>1757</v>
      </c>
      <c r="Y316" cm="1">
        <f t="array" ref="Y316">SUM(IF(INT($M$2:$M$594)&amp;" "&amp;$K$2:$K$594=INT($M316)&amp;" "&amp;$K316,1,0))</f>
        <v>1</v>
      </c>
      <c r="Z316" cm="1">
        <f t="array" ref="Z316">SUM(IF(ROUND($M$2:$M$594,0)&amp;" "&amp;$K$2:$K$594=ROUND($M316,0)&amp;" "&amp;$K316,1,0))</f>
        <v>1</v>
      </c>
      <c r="AA316" cm="1">
        <f t="array" ref="AA316">SUM(IF($W$2:$W$594=$W316,1,0))</f>
        <v>1</v>
      </c>
    </row>
    <row r="317" spans="1:27" x14ac:dyDescent="0.25">
      <c r="A317" t="s">
        <v>1664</v>
      </c>
      <c r="B317" t="s">
        <v>1675</v>
      </c>
      <c r="C317" t="s">
        <v>1726</v>
      </c>
      <c r="D317" t="s">
        <v>1714</v>
      </c>
      <c r="E317">
        <v>4</v>
      </c>
      <c r="F317" t="str">
        <f t="shared" si="4"/>
        <v>9/2</v>
      </c>
      <c r="G317" s="1" t="s">
        <v>1488</v>
      </c>
      <c r="I317" s="3" t="s">
        <v>15</v>
      </c>
      <c r="K317" s="3" t="s">
        <v>14</v>
      </c>
      <c r="M317" s="4" t="s">
        <v>1488</v>
      </c>
      <c r="N317" s="3" t="s">
        <v>15</v>
      </c>
      <c r="O317" s="3" t="s">
        <v>1769</v>
      </c>
      <c r="P317" s="3" t="s">
        <v>71</v>
      </c>
      <c r="W317" s="5" t="s">
        <v>2013</v>
      </c>
      <c r="X317" s="3" t="s">
        <v>1757</v>
      </c>
      <c r="Y317" cm="1">
        <f t="array" ref="Y317">SUM(IF(INT($M$2:$M$594)&amp;" "&amp;$K$2:$K$594=INT($M317)&amp;" "&amp;$K317,1,0))</f>
        <v>1</v>
      </c>
      <c r="Z317" cm="1">
        <f t="array" ref="Z317">SUM(IF(ROUND($M$2:$M$594,0)&amp;" "&amp;$K$2:$K$594=ROUND($M317,0)&amp;" "&amp;$K317,1,0))</f>
        <v>1</v>
      </c>
      <c r="AA317" cm="1">
        <f t="array" ref="AA317">SUM(IF($W$2:$W$594=$W317,1,0))</f>
        <v>1</v>
      </c>
    </row>
    <row r="318" spans="1:27" x14ac:dyDescent="0.25">
      <c r="A318" t="s">
        <v>1664</v>
      </c>
      <c r="B318" t="s">
        <v>1676</v>
      </c>
      <c r="C318" t="s">
        <v>1713</v>
      </c>
      <c r="D318" t="s">
        <v>1727</v>
      </c>
      <c r="E318">
        <v>5</v>
      </c>
      <c r="F318" t="str">
        <f t="shared" si="4"/>
        <v>11/2</v>
      </c>
      <c r="G318" s="1" t="s">
        <v>1489</v>
      </c>
      <c r="I318" s="3" t="s">
        <v>15</v>
      </c>
      <c r="K318" s="3" t="s">
        <v>22</v>
      </c>
      <c r="M318" s="4" t="s">
        <v>1489</v>
      </c>
      <c r="N318" s="3" t="s">
        <v>15</v>
      </c>
      <c r="O318" s="3" t="s">
        <v>1766</v>
      </c>
      <c r="P318" s="3" t="s">
        <v>71</v>
      </c>
      <c r="W318" s="5" t="s">
        <v>2014</v>
      </c>
      <c r="X318" s="3" t="s">
        <v>1757</v>
      </c>
      <c r="Y318" cm="1">
        <f t="array" ref="Y318">SUM(IF(INT($M$2:$M$594)&amp;" "&amp;$K$2:$K$594=INT($M318)&amp;" "&amp;$K318,1,0))</f>
        <v>1</v>
      </c>
      <c r="Z318" cm="1">
        <f t="array" ref="Z318">SUM(IF(ROUND($M$2:$M$594,0)&amp;" "&amp;$K$2:$K$594=ROUND($M318,0)&amp;" "&amp;$K318,1,0))</f>
        <v>1</v>
      </c>
      <c r="AA318" cm="1">
        <f t="array" ref="AA318">SUM(IF($W$2:$W$594=$W318,1,0))</f>
        <v>1</v>
      </c>
    </row>
    <row r="319" spans="1:27" x14ac:dyDescent="0.25">
      <c r="A319" t="s">
        <v>1664</v>
      </c>
      <c r="B319" t="s">
        <v>1392</v>
      </c>
      <c r="C319" t="s">
        <v>1713</v>
      </c>
      <c r="D319" t="s">
        <v>1714</v>
      </c>
      <c r="E319">
        <v>5</v>
      </c>
      <c r="F319" t="str">
        <f t="shared" si="4"/>
        <v>11/2</v>
      </c>
      <c r="G319" s="1" t="s">
        <v>1490</v>
      </c>
      <c r="I319" s="3" t="s">
        <v>15</v>
      </c>
      <c r="K319" s="3" t="s">
        <v>22</v>
      </c>
      <c r="M319" s="4" t="s">
        <v>1490</v>
      </c>
      <c r="N319" s="3" t="s">
        <v>15</v>
      </c>
      <c r="O319" s="3" t="s">
        <v>1769</v>
      </c>
      <c r="P319" s="3" t="s">
        <v>71</v>
      </c>
      <c r="W319" s="5" t="s">
        <v>2015</v>
      </c>
      <c r="X319" s="3" t="s">
        <v>1757</v>
      </c>
      <c r="Y319" cm="1">
        <f t="array" ref="Y319">SUM(IF(INT($M$2:$M$594)&amp;" "&amp;$K$2:$K$594=INT($M319)&amp;" "&amp;$K319,1,0))</f>
        <v>1</v>
      </c>
      <c r="Z319" cm="1">
        <f t="array" ref="Z319">SUM(IF(ROUND($M$2:$M$594,0)&amp;" "&amp;$K$2:$K$594=ROUND($M319,0)&amp;" "&amp;$K319,1,0))</f>
        <v>1</v>
      </c>
      <c r="AA319" cm="1">
        <f t="array" ref="AA319">SUM(IF($W$2:$W$594=$W319,1,0))</f>
        <v>1</v>
      </c>
    </row>
    <row r="320" spans="1:27" x14ac:dyDescent="0.25">
      <c r="A320" t="s">
        <v>1664</v>
      </c>
      <c r="B320" t="s">
        <v>1676</v>
      </c>
      <c r="C320" t="s">
        <v>1713</v>
      </c>
      <c r="D320" t="s">
        <v>1727</v>
      </c>
      <c r="E320">
        <v>4</v>
      </c>
      <c r="F320" t="str">
        <f t="shared" si="4"/>
        <v>9/2</v>
      </c>
      <c r="G320" s="1" t="s">
        <v>1491</v>
      </c>
      <c r="I320" s="3" t="s">
        <v>15</v>
      </c>
      <c r="K320" s="3" t="s">
        <v>14</v>
      </c>
      <c r="M320" s="4" t="s">
        <v>1491</v>
      </c>
      <c r="N320" s="3" t="s">
        <v>15</v>
      </c>
      <c r="O320" s="3" t="s">
        <v>1766</v>
      </c>
      <c r="P320" s="3" t="s">
        <v>71</v>
      </c>
      <c r="W320" s="5" t="s">
        <v>2016</v>
      </c>
      <c r="X320" s="3" t="s">
        <v>1757</v>
      </c>
      <c r="Y320" cm="1">
        <f t="array" ref="Y320">SUM(IF(INT($M$2:$M$594)&amp;" "&amp;$K$2:$K$594=INT($M320)&amp;" "&amp;$K320,1,0))</f>
        <v>1</v>
      </c>
      <c r="Z320" cm="1">
        <f t="array" ref="Z320">SUM(IF(ROUND($M$2:$M$594,0)&amp;" "&amp;$K$2:$K$594=ROUND($M320,0)&amp;" "&amp;$K320,1,0))</f>
        <v>1</v>
      </c>
      <c r="AA320" cm="1">
        <f t="array" ref="AA320">SUM(IF($W$2:$W$594=$W320,1,0))</f>
        <v>1</v>
      </c>
    </row>
    <row r="321" spans="1:27" x14ac:dyDescent="0.25">
      <c r="A321" t="s">
        <v>1664</v>
      </c>
      <c r="B321" t="s">
        <v>1676</v>
      </c>
      <c r="C321" t="s">
        <v>1713</v>
      </c>
      <c r="D321" t="s">
        <v>1727</v>
      </c>
      <c r="E321">
        <v>3</v>
      </c>
      <c r="F321" t="str">
        <f t="shared" si="4"/>
        <v>7/2</v>
      </c>
      <c r="G321" s="1" t="s">
        <v>1492</v>
      </c>
      <c r="I321" s="3" t="s">
        <v>15</v>
      </c>
      <c r="K321" s="3" t="s">
        <v>47</v>
      </c>
      <c r="M321" s="4" t="s">
        <v>1492</v>
      </c>
      <c r="N321" s="3" t="s">
        <v>15</v>
      </c>
      <c r="O321" s="3" t="s">
        <v>1766</v>
      </c>
      <c r="P321" s="3" t="s">
        <v>71</v>
      </c>
      <c r="W321" s="5" t="s">
        <v>2017</v>
      </c>
      <c r="X321" s="3" t="s">
        <v>1757</v>
      </c>
      <c r="Y321" cm="1">
        <f t="array" ref="Y321">SUM(IF(INT($M$2:$M$594)&amp;" "&amp;$K$2:$K$594=INT($M321)&amp;" "&amp;$K321,1,0))</f>
        <v>1</v>
      </c>
      <c r="Z321" cm="1">
        <f t="array" ref="Z321">SUM(IF(ROUND($M$2:$M$594,0)&amp;" "&amp;$K$2:$K$594=ROUND($M321,0)&amp;" "&amp;$K321,1,0))</f>
        <v>1</v>
      </c>
      <c r="AA321" cm="1">
        <f t="array" ref="AA321">SUM(IF($W$2:$W$594=$W321,1,0))</f>
        <v>1</v>
      </c>
    </row>
    <row r="322" spans="1:27" x14ac:dyDescent="0.25">
      <c r="A322" t="s">
        <v>1664</v>
      </c>
      <c r="B322" t="s">
        <v>1675</v>
      </c>
      <c r="C322" t="s">
        <v>1726</v>
      </c>
      <c r="D322" t="s">
        <v>1714</v>
      </c>
      <c r="E322">
        <v>6</v>
      </c>
      <c r="F322" t="str">
        <f t="shared" si="4"/>
        <v>13/2</v>
      </c>
      <c r="G322" s="1" t="s">
        <v>1493</v>
      </c>
      <c r="I322" s="3" t="s">
        <v>15</v>
      </c>
      <c r="K322" s="3" t="s">
        <v>26</v>
      </c>
      <c r="M322" s="4" t="s">
        <v>1493</v>
      </c>
      <c r="N322" s="3" t="s">
        <v>15</v>
      </c>
      <c r="O322" s="3" t="s">
        <v>1769</v>
      </c>
      <c r="P322" s="3" t="s">
        <v>71</v>
      </c>
      <c r="W322" s="5" t="s">
        <v>2018</v>
      </c>
      <c r="X322" s="3" t="s">
        <v>1757</v>
      </c>
      <c r="Y322" cm="1">
        <f t="array" ref="Y322">SUM(IF(INT($M$2:$M$594)&amp;" "&amp;$K$2:$K$594=INT($M322)&amp;" "&amp;$K322,1,0))</f>
        <v>1</v>
      </c>
      <c r="Z322" cm="1">
        <f t="array" ref="Z322">SUM(IF(ROUND($M$2:$M$594,0)&amp;" "&amp;$K$2:$K$594=ROUND($M322,0)&amp;" "&amp;$K322,1,0))</f>
        <v>1</v>
      </c>
      <c r="AA322" cm="1">
        <f t="array" ref="AA322">SUM(IF($W$2:$W$594=$W322,1,0))</f>
        <v>1</v>
      </c>
    </row>
    <row r="323" spans="1:27" x14ac:dyDescent="0.25">
      <c r="A323" t="s">
        <v>1664</v>
      </c>
      <c r="B323" t="s">
        <v>1675</v>
      </c>
      <c r="C323" t="s">
        <v>1726</v>
      </c>
      <c r="D323" t="s">
        <v>1714</v>
      </c>
      <c r="E323">
        <v>7</v>
      </c>
      <c r="F323" t="str">
        <f t="shared" si="4"/>
        <v>15/2</v>
      </c>
      <c r="G323" s="1" t="s">
        <v>1494</v>
      </c>
      <c r="I323" s="3" t="s">
        <v>15</v>
      </c>
      <c r="K323" s="3" t="s">
        <v>30</v>
      </c>
      <c r="M323" s="4" t="s">
        <v>1494</v>
      </c>
      <c r="N323" s="3" t="s">
        <v>15</v>
      </c>
      <c r="O323" s="3" t="s">
        <v>1769</v>
      </c>
      <c r="P323" s="3" t="s">
        <v>71</v>
      </c>
      <c r="W323" s="5" t="s">
        <v>2019</v>
      </c>
      <c r="X323" s="3" t="s">
        <v>1757</v>
      </c>
      <c r="Y323" cm="1">
        <f t="array" ref="Y323">SUM(IF(INT($M$2:$M$594)&amp;" "&amp;$K$2:$K$594=INT($M323)&amp;" "&amp;$K323,1,0))</f>
        <v>1</v>
      </c>
      <c r="Z323" cm="1">
        <f t="array" ref="Z323">SUM(IF(ROUND($M$2:$M$594,0)&amp;" "&amp;$K$2:$K$594=ROUND($M323,0)&amp;" "&amp;$K323,1,0))</f>
        <v>1</v>
      </c>
      <c r="AA323" cm="1">
        <f t="array" ref="AA323">SUM(IF($W$2:$W$594=$W323,1,0))</f>
        <v>1</v>
      </c>
    </row>
    <row r="324" spans="1:27" x14ac:dyDescent="0.25">
      <c r="A324" t="s">
        <v>1664</v>
      </c>
      <c r="B324" t="s">
        <v>1465</v>
      </c>
      <c r="C324" t="s">
        <v>1713</v>
      </c>
      <c r="D324" t="s">
        <v>1721</v>
      </c>
      <c r="E324">
        <v>3</v>
      </c>
      <c r="F324" t="str">
        <f t="shared" si="4"/>
        <v>7/2</v>
      </c>
      <c r="G324" s="1" t="s">
        <v>1495</v>
      </c>
      <c r="I324" s="3" t="s">
        <v>15</v>
      </c>
      <c r="K324" s="3" t="s">
        <v>47</v>
      </c>
      <c r="M324" s="4" t="s">
        <v>1495</v>
      </c>
      <c r="N324" s="3" t="s">
        <v>15</v>
      </c>
      <c r="O324" s="3" t="s">
        <v>1260</v>
      </c>
      <c r="P324" s="3" t="s">
        <v>71</v>
      </c>
      <c r="W324" s="5" t="s">
        <v>2020</v>
      </c>
      <c r="X324" s="3" t="s">
        <v>1757</v>
      </c>
      <c r="Y324" cm="1">
        <f t="array" ref="Y324">SUM(IF(INT($M$2:$M$594)&amp;" "&amp;$K$2:$K$594=INT($M324)&amp;" "&amp;$K324,1,0))</f>
        <v>1</v>
      </c>
      <c r="Z324" cm="1">
        <f t="array" ref="Z324">SUM(IF(ROUND($M$2:$M$594,0)&amp;" "&amp;$K$2:$K$594=ROUND($M324,0)&amp;" "&amp;$K324,1,0))</f>
        <v>1</v>
      </c>
      <c r="AA324" cm="1">
        <f t="array" ref="AA324">SUM(IF($W$2:$W$594=$W324,1,0))</f>
        <v>1</v>
      </c>
    </row>
    <row r="325" spans="1:27" x14ac:dyDescent="0.25">
      <c r="A325" t="s">
        <v>1664</v>
      </c>
      <c r="B325" t="s">
        <v>1677</v>
      </c>
      <c r="C325" t="s">
        <v>1713</v>
      </c>
      <c r="D325" t="s">
        <v>1728</v>
      </c>
      <c r="E325">
        <v>4</v>
      </c>
      <c r="F325" t="str">
        <f t="shared" si="4"/>
        <v>9/2</v>
      </c>
      <c r="G325" s="1" t="s">
        <v>1496</v>
      </c>
      <c r="I325" s="3" t="s">
        <v>15</v>
      </c>
      <c r="K325" s="3" t="s">
        <v>14</v>
      </c>
      <c r="M325" s="4" t="s">
        <v>1496</v>
      </c>
      <c r="N325" s="3" t="s">
        <v>15</v>
      </c>
      <c r="O325" s="3" t="s">
        <v>1770</v>
      </c>
      <c r="P325" s="3" t="s">
        <v>71</v>
      </c>
      <c r="W325" s="5" t="s">
        <v>2021</v>
      </c>
      <c r="X325" s="3" t="s">
        <v>1757</v>
      </c>
      <c r="Y325" cm="1">
        <f t="array" ref="Y325">SUM(IF(INT($M$2:$M$594)&amp;" "&amp;$K$2:$K$594=INT($M325)&amp;" "&amp;$K325,1,0))</f>
        <v>1</v>
      </c>
      <c r="Z325" cm="1">
        <f t="array" ref="Z325">SUM(IF(ROUND($M$2:$M$594,0)&amp;" "&amp;$K$2:$K$594=ROUND($M325,0)&amp;" "&amp;$K325,1,0))</f>
        <v>1</v>
      </c>
      <c r="AA325" cm="1">
        <f t="array" ref="AA325">SUM(IF($W$2:$W$594=$W325,1,0))</f>
        <v>1</v>
      </c>
    </row>
    <row r="326" spans="1:27" x14ac:dyDescent="0.25">
      <c r="A326" t="s">
        <v>1664</v>
      </c>
      <c r="B326" t="s">
        <v>1678</v>
      </c>
      <c r="C326" t="s">
        <v>1726</v>
      </c>
      <c r="D326" t="s">
        <v>1716</v>
      </c>
      <c r="E326">
        <v>5</v>
      </c>
      <c r="F326" t="str">
        <f t="shared" ref="F326:F387" si="5">(2*E326+1)&amp;"/2"</f>
        <v>11/2</v>
      </c>
      <c r="G326" s="1" t="s">
        <v>1497</v>
      </c>
      <c r="I326" s="3" t="s">
        <v>15</v>
      </c>
      <c r="K326" s="3" t="s">
        <v>22</v>
      </c>
      <c r="M326" s="4" t="s">
        <v>1497</v>
      </c>
      <c r="N326" s="3" t="s">
        <v>15</v>
      </c>
      <c r="O326" s="3" t="s">
        <v>1772</v>
      </c>
      <c r="P326" s="3" t="s">
        <v>71</v>
      </c>
      <c r="W326" s="5" t="s">
        <v>2022</v>
      </c>
      <c r="X326" s="3" t="s">
        <v>1757</v>
      </c>
      <c r="Y326" cm="1">
        <f t="array" ref="Y326">SUM(IF(INT($M$2:$M$594)&amp;" "&amp;$K$2:$K$594=INT($M326)&amp;" "&amp;$K326,1,0))</f>
        <v>1</v>
      </c>
      <c r="Z326" cm="1">
        <f t="array" ref="Z326">SUM(IF(ROUND($M$2:$M$594,0)&amp;" "&amp;$K$2:$K$594=ROUND($M326,0)&amp;" "&amp;$K326,1,0))</f>
        <v>1</v>
      </c>
      <c r="AA326" cm="1">
        <f t="array" ref="AA326">SUM(IF($W$2:$W$594=$W326,1,0))</f>
        <v>1</v>
      </c>
    </row>
    <row r="327" spans="1:27" x14ac:dyDescent="0.25">
      <c r="A327" t="s">
        <v>1664</v>
      </c>
      <c r="B327" t="s">
        <v>1678</v>
      </c>
      <c r="C327" t="s">
        <v>1726</v>
      </c>
      <c r="D327" t="s">
        <v>1716</v>
      </c>
      <c r="E327">
        <v>6</v>
      </c>
      <c r="F327" t="str">
        <f t="shared" si="5"/>
        <v>13/2</v>
      </c>
      <c r="G327" s="1" t="s">
        <v>1498</v>
      </c>
      <c r="I327" s="3" t="s">
        <v>15</v>
      </c>
      <c r="K327" s="3" t="s">
        <v>26</v>
      </c>
      <c r="M327" s="4" t="s">
        <v>1498</v>
      </c>
      <c r="N327" s="3" t="s">
        <v>15</v>
      </c>
      <c r="O327" s="3" t="s">
        <v>1772</v>
      </c>
      <c r="P327" s="3" t="s">
        <v>71</v>
      </c>
      <c r="W327" s="5" t="s">
        <v>2023</v>
      </c>
      <c r="X327" s="3" t="s">
        <v>1757</v>
      </c>
      <c r="Y327" cm="1">
        <f t="array" ref="Y327">SUM(IF(INT($M$2:$M$594)&amp;" "&amp;$K$2:$K$594=INT($M327)&amp;" "&amp;$K327,1,0))</f>
        <v>1</v>
      </c>
      <c r="Z327" cm="1">
        <f t="array" ref="Z327">SUM(IF(ROUND($M$2:$M$594,0)&amp;" "&amp;$K$2:$K$594=ROUND($M327,0)&amp;" "&amp;$K327,1,0))</f>
        <v>1</v>
      </c>
      <c r="AA327" cm="1">
        <f t="array" ref="AA327">SUM(IF($W$2:$W$594=$W327,1,0))</f>
        <v>1</v>
      </c>
    </row>
    <row r="328" spans="1:27" x14ac:dyDescent="0.25">
      <c r="A328" t="s">
        <v>1664</v>
      </c>
      <c r="B328" t="s">
        <v>1678</v>
      </c>
      <c r="C328" t="s">
        <v>1726</v>
      </c>
      <c r="D328" t="s">
        <v>1716</v>
      </c>
      <c r="E328">
        <v>7</v>
      </c>
      <c r="F328" t="str">
        <f t="shared" si="5"/>
        <v>15/2</v>
      </c>
      <c r="G328" s="1" t="s">
        <v>1499</v>
      </c>
      <c r="I328" s="3" t="s">
        <v>15</v>
      </c>
      <c r="K328" s="3" t="s">
        <v>30</v>
      </c>
      <c r="M328" s="4" t="s">
        <v>1499</v>
      </c>
      <c r="N328" s="3" t="s">
        <v>15</v>
      </c>
      <c r="O328" s="3" t="s">
        <v>1772</v>
      </c>
      <c r="P328" s="3" t="s">
        <v>71</v>
      </c>
      <c r="W328" s="5" t="s">
        <v>2024</v>
      </c>
      <c r="X328" s="3" t="s">
        <v>1757</v>
      </c>
      <c r="Y328" cm="1">
        <f t="array" ref="Y328">SUM(IF(INT($M$2:$M$594)&amp;" "&amp;$K$2:$K$594=INT($M328)&amp;" "&amp;$K328,1,0))</f>
        <v>1</v>
      </c>
      <c r="Z328" cm="1">
        <f t="array" ref="Z328">SUM(IF(ROUND($M$2:$M$594,0)&amp;" "&amp;$K$2:$K$594=ROUND($M328,0)&amp;" "&amp;$K328,1,0))</f>
        <v>1</v>
      </c>
      <c r="AA328" cm="1">
        <f t="array" ref="AA328">SUM(IF($W$2:$W$594=$W328,1,0))</f>
        <v>1</v>
      </c>
    </row>
    <row r="329" spans="1:27" x14ac:dyDescent="0.25">
      <c r="A329" t="s">
        <v>1664</v>
      </c>
      <c r="B329" t="s">
        <v>1678</v>
      </c>
      <c r="C329" t="s">
        <v>1726</v>
      </c>
      <c r="D329" t="s">
        <v>1716</v>
      </c>
      <c r="E329">
        <v>8</v>
      </c>
      <c r="F329" t="str">
        <f t="shared" si="5"/>
        <v>17/2</v>
      </c>
      <c r="G329" s="1" t="s">
        <v>1500</v>
      </c>
      <c r="I329" s="3" t="s">
        <v>15</v>
      </c>
      <c r="K329" s="3" t="s">
        <v>164</v>
      </c>
      <c r="M329" s="4" t="s">
        <v>1500</v>
      </c>
      <c r="N329" s="3" t="s">
        <v>15</v>
      </c>
      <c r="O329" s="3" t="s">
        <v>1772</v>
      </c>
      <c r="P329" s="3" t="s">
        <v>71</v>
      </c>
      <c r="W329" s="5" t="s">
        <v>2025</v>
      </c>
      <c r="X329" s="3" t="s">
        <v>1757</v>
      </c>
      <c r="Y329" cm="1">
        <f t="array" ref="Y329">SUM(IF(INT($M$2:$M$594)&amp;" "&amp;$K$2:$K$594=INT($M329)&amp;" "&amp;$K329,1,0))</f>
        <v>1</v>
      </c>
      <c r="Z329" cm="1">
        <f t="array" ref="Z329">SUM(IF(ROUND($M$2:$M$594,0)&amp;" "&amp;$K$2:$K$594=ROUND($M329,0)&amp;" "&amp;$K329,1,0))</f>
        <v>1</v>
      </c>
      <c r="AA329" cm="1">
        <f t="array" ref="AA329">SUM(IF($W$2:$W$594=$W329,1,0))</f>
        <v>1</v>
      </c>
    </row>
    <row r="330" spans="1:27" x14ac:dyDescent="0.25">
      <c r="A330" t="s">
        <v>1664</v>
      </c>
      <c r="B330" t="s">
        <v>1481</v>
      </c>
      <c r="C330" t="s">
        <v>1713</v>
      </c>
      <c r="D330" t="s">
        <v>1724</v>
      </c>
      <c r="E330">
        <v>3</v>
      </c>
      <c r="F330" t="str">
        <f t="shared" si="5"/>
        <v>7/2</v>
      </c>
      <c r="G330" s="1" t="s">
        <v>1501</v>
      </c>
      <c r="I330" s="3" t="s">
        <v>15</v>
      </c>
      <c r="K330" s="3" t="s">
        <v>47</v>
      </c>
      <c r="M330" s="4" t="s">
        <v>1501</v>
      </c>
      <c r="N330" s="3" t="s">
        <v>15</v>
      </c>
      <c r="O330" s="3" t="s">
        <v>1304</v>
      </c>
      <c r="P330" s="3" t="s">
        <v>71</v>
      </c>
      <c r="W330" s="5" t="s">
        <v>2026</v>
      </c>
      <c r="X330" s="3" t="s">
        <v>1757</v>
      </c>
      <c r="Y330" cm="1">
        <f t="array" ref="Y330">SUM(IF(INT($M$2:$M$594)&amp;" "&amp;$K$2:$K$594=INT($M330)&amp;" "&amp;$K330,1,0))</f>
        <v>1</v>
      </c>
      <c r="Z330" cm="1">
        <f t="array" ref="Z330">SUM(IF(ROUND($M$2:$M$594,0)&amp;" "&amp;$K$2:$K$594=ROUND($M330,0)&amp;" "&amp;$K330,1,0))</f>
        <v>1</v>
      </c>
      <c r="AA330" cm="1">
        <f t="array" ref="AA330">SUM(IF($W$2:$W$594=$W330,1,0))</f>
        <v>1</v>
      </c>
    </row>
    <row r="331" spans="1:27" x14ac:dyDescent="0.25">
      <c r="A331" t="s">
        <v>1664</v>
      </c>
      <c r="B331" t="s">
        <v>1481</v>
      </c>
      <c r="C331" t="s">
        <v>1713</v>
      </c>
      <c r="D331" t="s">
        <v>1724</v>
      </c>
      <c r="E331">
        <v>2</v>
      </c>
      <c r="F331" t="str">
        <f t="shared" si="5"/>
        <v>5/2</v>
      </c>
      <c r="G331" s="1" t="s">
        <v>1502</v>
      </c>
      <c r="I331" s="3" t="s">
        <v>15</v>
      </c>
      <c r="K331" s="3" t="s">
        <v>43</v>
      </c>
      <c r="M331" s="4" t="s">
        <v>1502</v>
      </c>
      <c r="N331" s="3" t="s">
        <v>15</v>
      </c>
      <c r="O331" s="3" t="s">
        <v>1304</v>
      </c>
      <c r="P331" s="3" t="s">
        <v>71</v>
      </c>
      <c r="W331" s="5" t="s">
        <v>2027</v>
      </c>
      <c r="X331" s="3" t="s">
        <v>1757</v>
      </c>
      <c r="Y331" cm="1">
        <f t="array" ref="Y331">SUM(IF(INT($M$2:$M$594)&amp;" "&amp;$K$2:$K$594=INT($M331)&amp;" "&amp;$K331,1,0))</f>
        <v>1</v>
      </c>
      <c r="Z331" cm="1">
        <f t="array" ref="Z331">SUM(IF(ROUND($M$2:$M$594,0)&amp;" "&amp;$K$2:$K$594=ROUND($M331,0)&amp;" "&amp;$K331,1,0))</f>
        <v>1</v>
      </c>
      <c r="AA331" cm="1">
        <f t="array" ref="AA331">SUM(IF($W$2:$W$594=$W331,1,0))</f>
        <v>1</v>
      </c>
    </row>
    <row r="332" spans="1:27" x14ac:dyDescent="0.25">
      <c r="A332" t="s">
        <v>1664</v>
      </c>
      <c r="B332" t="s">
        <v>1678</v>
      </c>
      <c r="C332" t="s">
        <v>1726</v>
      </c>
      <c r="D332" t="s">
        <v>1716</v>
      </c>
      <c r="E332">
        <v>6</v>
      </c>
      <c r="F332" t="str">
        <f t="shared" si="5"/>
        <v>13/2</v>
      </c>
      <c r="G332" s="1" t="s">
        <v>1503</v>
      </c>
      <c r="I332" s="3" t="s">
        <v>15</v>
      </c>
      <c r="K332" s="3" t="s">
        <v>26</v>
      </c>
      <c r="M332" s="4" t="s">
        <v>1503</v>
      </c>
      <c r="N332" s="3" t="s">
        <v>15</v>
      </c>
      <c r="O332" s="3" t="s">
        <v>1772</v>
      </c>
      <c r="P332" s="3" t="s">
        <v>71</v>
      </c>
      <c r="W332" s="5" t="s">
        <v>2028</v>
      </c>
      <c r="X332" s="3" t="s">
        <v>1757</v>
      </c>
      <c r="Y332" cm="1">
        <f t="array" ref="Y332">SUM(IF(INT($M$2:$M$594)&amp;" "&amp;$K$2:$K$594=INT($M332)&amp;" "&amp;$K332,1,0))</f>
        <v>1</v>
      </c>
      <c r="Z332" cm="1">
        <f t="array" ref="Z332">SUM(IF(ROUND($M$2:$M$594,0)&amp;" "&amp;$K$2:$K$594=ROUND($M332,0)&amp;" "&amp;$K332,1,0))</f>
        <v>1</v>
      </c>
      <c r="AA332" cm="1">
        <f t="array" ref="AA332">SUM(IF($W$2:$W$594=$W332,1,0))</f>
        <v>1</v>
      </c>
    </row>
    <row r="333" spans="1:27" x14ac:dyDescent="0.25">
      <c r="A333" t="s">
        <v>1664</v>
      </c>
      <c r="B333" t="s">
        <v>1678</v>
      </c>
      <c r="C333" t="s">
        <v>1726</v>
      </c>
      <c r="D333" t="s">
        <v>1716</v>
      </c>
      <c r="E333">
        <v>7</v>
      </c>
      <c r="F333" t="str">
        <f t="shared" si="5"/>
        <v>15/2</v>
      </c>
      <c r="G333" s="1" t="s">
        <v>1504</v>
      </c>
      <c r="I333" s="3" t="s">
        <v>15</v>
      </c>
      <c r="K333" s="3" t="s">
        <v>30</v>
      </c>
      <c r="M333" s="4" t="s">
        <v>1504</v>
      </c>
      <c r="N333" s="3" t="s">
        <v>15</v>
      </c>
      <c r="O333" s="3" t="s">
        <v>1772</v>
      </c>
      <c r="P333" s="3" t="s">
        <v>71</v>
      </c>
      <c r="W333" s="5" t="s">
        <v>2029</v>
      </c>
      <c r="X333" s="3" t="s">
        <v>1757</v>
      </c>
      <c r="Y333" cm="1">
        <f t="array" ref="Y333">SUM(IF(INT($M$2:$M$594)&amp;" "&amp;$K$2:$K$594=INT($M333)&amp;" "&amp;$K333,1,0))</f>
        <v>1</v>
      </c>
      <c r="Z333" cm="1">
        <f t="array" ref="Z333">SUM(IF(ROUND($M$2:$M$594,0)&amp;" "&amp;$K$2:$K$594=ROUND($M333,0)&amp;" "&amp;$K333,1,0))</f>
        <v>1</v>
      </c>
      <c r="AA333" cm="1">
        <f t="array" ref="AA333">SUM(IF($W$2:$W$594=$W333,1,0))</f>
        <v>1</v>
      </c>
    </row>
    <row r="334" spans="1:27" x14ac:dyDescent="0.25">
      <c r="A334" t="s">
        <v>1664</v>
      </c>
      <c r="B334" t="s">
        <v>1678</v>
      </c>
      <c r="C334" t="s">
        <v>1726</v>
      </c>
      <c r="D334" t="s">
        <v>1716</v>
      </c>
      <c r="E334">
        <v>4</v>
      </c>
      <c r="F334" t="str">
        <f t="shared" si="5"/>
        <v>9/2</v>
      </c>
      <c r="G334" s="1" t="s">
        <v>1505</v>
      </c>
      <c r="I334" s="3" t="s">
        <v>15</v>
      </c>
      <c r="K334" s="3" t="s">
        <v>14</v>
      </c>
      <c r="M334" s="4" t="s">
        <v>1505</v>
      </c>
      <c r="N334" s="3" t="s">
        <v>15</v>
      </c>
      <c r="O334" s="3" t="s">
        <v>1772</v>
      </c>
      <c r="P334" s="3" t="s">
        <v>71</v>
      </c>
      <c r="W334" s="5" t="s">
        <v>2030</v>
      </c>
      <c r="X334" s="3" t="s">
        <v>1757</v>
      </c>
      <c r="Y334" cm="1">
        <f t="array" ref="Y334">SUM(IF(INT($M$2:$M$594)&amp;" "&amp;$K$2:$K$594=INT($M334)&amp;" "&amp;$K334,1,0))</f>
        <v>1</v>
      </c>
      <c r="Z334" cm="1">
        <f t="array" ref="Z334">SUM(IF(ROUND($M$2:$M$594,0)&amp;" "&amp;$K$2:$K$594=ROUND($M334,0)&amp;" "&amp;$K334,1,0))</f>
        <v>1</v>
      </c>
      <c r="AA334" cm="1">
        <f t="array" ref="AA334">SUM(IF($W$2:$W$594=$W334,1,0))</f>
        <v>1</v>
      </c>
    </row>
    <row r="335" spans="1:27" x14ac:dyDescent="0.25">
      <c r="A335" t="s">
        <v>1664</v>
      </c>
      <c r="B335" t="s">
        <v>1679</v>
      </c>
      <c r="C335" t="s">
        <v>1726</v>
      </c>
      <c r="D335" t="s">
        <v>1717</v>
      </c>
      <c r="E335">
        <v>8</v>
      </c>
      <c r="F335" t="str">
        <f t="shared" si="5"/>
        <v>17/2</v>
      </c>
      <c r="G335" s="1" t="s">
        <v>1506</v>
      </c>
      <c r="I335" s="3" t="s">
        <v>15</v>
      </c>
      <c r="K335" s="3" t="s">
        <v>164</v>
      </c>
      <c r="M335" s="4" t="s">
        <v>1506</v>
      </c>
      <c r="N335" s="3" t="s">
        <v>15</v>
      </c>
      <c r="O335" s="3" t="s">
        <v>1771</v>
      </c>
      <c r="P335" s="3" t="s">
        <v>71</v>
      </c>
      <c r="W335" s="5" t="s">
        <v>2031</v>
      </c>
      <c r="X335" s="3" t="s">
        <v>1757</v>
      </c>
      <c r="Y335" cm="1">
        <f t="array" ref="Y335">SUM(IF(INT($M$2:$M$594)&amp;" "&amp;$K$2:$K$594=INT($M335)&amp;" "&amp;$K335,1,0))</f>
        <v>1</v>
      </c>
      <c r="Z335" cm="1">
        <f t="array" ref="Z335">SUM(IF(ROUND($M$2:$M$594,0)&amp;" "&amp;$K$2:$K$594=ROUND($M335,0)&amp;" "&amp;$K335,1,0))</f>
        <v>1</v>
      </c>
      <c r="AA335" cm="1">
        <f t="array" ref="AA335">SUM(IF($W$2:$W$594=$W335,1,0))</f>
        <v>1</v>
      </c>
    </row>
    <row r="336" spans="1:27" x14ac:dyDescent="0.25">
      <c r="A336" t="s">
        <v>1664</v>
      </c>
      <c r="B336" t="s">
        <v>1679</v>
      </c>
      <c r="C336" t="s">
        <v>1726</v>
      </c>
      <c r="D336" t="s">
        <v>1717</v>
      </c>
      <c r="E336">
        <v>6</v>
      </c>
      <c r="F336" t="str">
        <f t="shared" si="5"/>
        <v>13/2</v>
      </c>
      <c r="G336" s="1" t="s">
        <v>1507</v>
      </c>
      <c r="I336" s="3" t="s">
        <v>15</v>
      </c>
      <c r="K336" s="3" t="s">
        <v>26</v>
      </c>
      <c r="M336" s="4" t="s">
        <v>1507</v>
      </c>
      <c r="N336" s="3" t="s">
        <v>15</v>
      </c>
      <c r="O336" s="3" t="s">
        <v>1771</v>
      </c>
      <c r="P336" s="3" t="s">
        <v>71</v>
      </c>
      <c r="W336" s="5" t="s">
        <v>2032</v>
      </c>
      <c r="X336" s="3" t="s">
        <v>1757</v>
      </c>
      <c r="Y336" cm="1">
        <f t="array" ref="Y336">SUM(IF(INT($M$2:$M$594)&amp;" "&amp;$K$2:$K$594=INT($M336)&amp;" "&amp;$K336,1,0))</f>
        <v>1</v>
      </c>
      <c r="Z336" cm="1">
        <f t="array" ref="Z336">SUM(IF(ROUND($M$2:$M$594,0)&amp;" "&amp;$K$2:$K$594=ROUND($M336,0)&amp;" "&amp;$K336,1,0))</f>
        <v>1</v>
      </c>
      <c r="AA336" cm="1">
        <f t="array" ref="AA336">SUM(IF($W$2:$W$594=$W336,1,0))</f>
        <v>1</v>
      </c>
    </row>
    <row r="337" spans="1:27" x14ac:dyDescent="0.25">
      <c r="A337" t="s">
        <v>1664</v>
      </c>
      <c r="B337" t="s">
        <v>1679</v>
      </c>
      <c r="C337" t="s">
        <v>1726</v>
      </c>
      <c r="D337" t="s">
        <v>1717</v>
      </c>
      <c r="E337">
        <v>9</v>
      </c>
      <c r="F337" t="str">
        <f t="shared" si="5"/>
        <v>19/2</v>
      </c>
      <c r="G337" s="1" t="s">
        <v>1508</v>
      </c>
      <c r="I337" s="3" t="s">
        <v>15</v>
      </c>
      <c r="K337" s="3" t="s">
        <v>1160</v>
      </c>
      <c r="M337" s="4" t="s">
        <v>1508</v>
      </c>
      <c r="N337" s="3" t="s">
        <v>15</v>
      </c>
      <c r="O337" s="3" t="s">
        <v>1771</v>
      </c>
      <c r="P337" s="3" t="s">
        <v>71</v>
      </c>
      <c r="W337" s="5" t="s">
        <v>2033</v>
      </c>
      <c r="X337" s="3" t="s">
        <v>1757</v>
      </c>
      <c r="Y337" cm="1">
        <f t="array" ref="Y337">SUM(IF(INT($M$2:$M$594)&amp;" "&amp;$K$2:$K$594=INT($M337)&amp;" "&amp;$K337,1,0))</f>
        <v>1</v>
      </c>
      <c r="Z337" cm="1">
        <f t="array" ref="Z337">SUM(IF(ROUND($M$2:$M$594,0)&amp;" "&amp;$K$2:$K$594=ROUND($M337,0)&amp;" "&amp;$K337,1,0))</f>
        <v>1</v>
      </c>
      <c r="AA337" cm="1">
        <f t="array" ref="AA337">SUM(IF($W$2:$W$594=$W337,1,0))</f>
        <v>1</v>
      </c>
    </row>
    <row r="338" spans="1:27" x14ac:dyDescent="0.25">
      <c r="A338" t="s">
        <v>1664</v>
      </c>
      <c r="B338" t="s">
        <v>1679</v>
      </c>
      <c r="C338" t="s">
        <v>1726</v>
      </c>
      <c r="D338" t="s">
        <v>1717</v>
      </c>
      <c r="E338">
        <v>6</v>
      </c>
      <c r="F338" t="str">
        <f t="shared" si="5"/>
        <v>13/2</v>
      </c>
      <c r="G338" s="1" t="s">
        <v>1509</v>
      </c>
      <c r="I338" s="3" t="s">
        <v>15</v>
      </c>
      <c r="K338" s="3" t="s">
        <v>26</v>
      </c>
      <c r="M338" s="4" t="s">
        <v>1509</v>
      </c>
      <c r="N338" s="3" t="s">
        <v>15</v>
      </c>
      <c r="O338" s="3" t="s">
        <v>1771</v>
      </c>
      <c r="P338" s="3" t="s">
        <v>71</v>
      </c>
      <c r="W338" s="5" t="s">
        <v>2034</v>
      </c>
      <c r="X338" s="3" t="s">
        <v>1757</v>
      </c>
      <c r="Y338" cm="1">
        <f t="array" ref="Y338">SUM(IF(INT($M$2:$M$594)&amp;" "&amp;$K$2:$K$594=INT($M338)&amp;" "&amp;$K338,1,0))</f>
        <v>1</v>
      </c>
      <c r="Z338" cm="1">
        <f t="array" ref="Z338">SUM(IF(ROUND($M$2:$M$594,0)&amp;" "&amp;$K$2:$K$594=ROUND($M338,0)&amp;" "&amp;$K338,1,0))</f>
        <v>1</v>
      </c>
      <c r="AA338" cm="1">
        <f t="array" ref="AA338">SUM(IF($W$2:$W$594=$W338,1,0))</f>
        <v>1</v>
      </c>
    </row>
    <row r="339" spans="1:27" x14ac:dyDescent="0.25">
      <c r="A339" t="s">
        <v>1664</v>
      </c>
      <c r="B339" t="s">
        <v>1679</v>
      </c>
      <c r="C339" t="s">
        <v>1726</v>
      </c>
      <c r="D339" t="s">
        <v>1717</v>
      </c>
      <c r="E339">
        <v>5</v>
      </c>
      <c r="F339" t="str">
        <f t="shared" si="5"/>
        <v>11/2</v>
      </c>
      <c r="G339" s="1" t="s">
        <v>1510</v>
      </c>
      <c r="I339" s="3" t="s">
        <v>15</v>
      </c>
      <c r="K339" s="3" t="s">
        <v>22</v>
      </c>
      <c r="M339" s="4" t="s">
        <v>1510</v>
      </c>
      <c r="N339" s="3" t="s">
        <v>15</v>
      </c>
      <c r="O339" s="3" t="s">
        <v>1771</v>
      </c>
      <c r="P339" s="3" t="s">
        <v>71</v>
      </c>
      <c r="W339" s="5" t="s">
        <v>2035</v>
      </c>
      <c r="X339" s="3" t="s">
        <v>1757</v>
      </c>
      <c r="Y339" cm="1">
        <f t="array" ref="Y339">SUM(IF(INT($M$2:$M$594)&amp;" "&amp;$K$2:$K$594=INT($M339)&amp;" "&amp;$K339,1,0))</f>
        <v>1</v>
      </c>
      <c r="Z339" cm="1">
        <f t="array" ref="Z339">SUM(IF(ROUND($M$2:$M$594,0)&amp;" "&amp;$K$2:$K$594=ROUND($M339,0)&amp;" "&amp;$K339,1,0))</f>
        <v>1</v>
      </c>
      <c r="AA339" cm="1">
        <f t="array" ref="AA339">SUM(IF($W$2:$W$594=$W339,1,0))</f>
        <v>1</v>
      </c>
    </row>
    <row r="340" spans="1:27" x14ac:dyDescent="0.25">
      <c r="A340" t="s">
        <v>1664</v>
      </c>
      <c r="B340" t="s">
        <v>1679</v>
      </c>
      <c r="C340" t="s">
        <v>1726</v>
      </c>
      <c r="D340" t="s">
        <v>1717</v>
      </c>
      <c r="E340">
        <v>4</v>
      </c>
      <c r="F340" t="str">
        <f t="shared" si="5"/>
        <v>9/2</v>
      </c>
      <c r="G340" s="1" t="s">
        <v>1511</v>
      </c>
      <c r="I340" s="3" t="s">
        <v>15</v>
      </c>
      <c r="K340" s="3" t="s">
        <v>14</v>
      </c>
      <c r="M340" s="4" t="s">
        <v>1511</v>
      </c>
      <c r="N340" s="3" t="s">
        <v>15</v>
      </c>
      <c r="O340" s="3" t="s">
        <v>1771</v>
      </c>
      <c r="P340" s="3" t="s">
        <v>71</v>
      </c>
      <c r="W340" s="5" t="s">
        <v>2036</v>
      </c>
      <c r="X340" s="3" t="s">
        <v>1757</v>
      </c>
      <c r="Y340" cm="1">
        <f t="array" ref="Y340">SUM(IF(INT($M$2:$M$594)&amp;" "&amp;$K$2:$K$594=INT($M340)&amp;" "&amp;$K340,1,0))</f>
        <v>1</v>
      </c>
      <c r="Z340" cm="1">
        <f t="array" ref="Z340">SUM(IF(ROUND($M$2:$M$594,0)&amp;" "&amp;$K$2:$K$594=ROUND($M340,0)&amp;" "&amp;$K340,1,0))</f>
        <v>1</v>
      </c>
      <c r="AA340" cm="1">
        <f t="array" ref="AA340">SUM(IF($W$2:$W$594=$W340,1,0))</f>
        <v>1</v>
      </c>
    </row>
    <row r="341" spans="1:27" x14ac:dyDescent="0.25">
      <c r="A341" t="s">
        <v>1664</v>
      </c>
      <c r="B341" t="s">
        <v>1679</v>
      </c>
      <c r="C341" t="s">
        <v>1726</v>
      </c>
      <c r="D341" t="s">
        <v>1717</v>
      </c>
      <c r="E341">
        <v>5</v>
      </c>
      <c r="F341" t="str">
        <f t="shared" si="5"/>
        <v>11/2</v>
      </c>
      <c r="G341" s="1" t="s">
        <v>1512</v>
      </c>
      <c r="I341" s="3" t="s">
        <v>15</v>
      </c>
      <c r="K341" s="3" t="s">
        <v>22</v>
      </c>
      <c r="M341" s="4" t="s">
        <v>1512</v>
      </c>
      <c r="N341" s="3" t="s">
        <v>15</v>
      </c>
      <c r="O341" s="3" t="s">
        <v>1771</v>
      </c>
      <c r="P341" s="3" t="s">
        <v>71</v>
      </c>
      <c r="W341" s="5" t="s">
        <v>2037</v>
      </c>
      <c r="X341" s="3" t="s">
        <v>1757</v>
      </c>
      <c r="Y341" cm="1">
        <f t="array" ref="Y341">SUM(IF(INT($M$2:$M$594)&amp;" "&amp;$K$2:$K$594=INT($M341)&amp;" "&amp;$K341,1,0))</f>
        <v>1</v>
      </c>
      <c r="Z341" cm="1">
        <f t="array" ref="Z341">SUM(IF(ROUND($M$2:$M$594,0)&amp;" "&amp;$K$2:$K$594=ROUND($M341,0)&amp;" "&amp;$K341,1,0))</f>
        <v>1</v>
      </c>
      <c r="AA341" cm="1">
        <f t="array" ref="AA341">SUM(IF($W$2:$W$594=$W341,1,0))</f>
        <v>1</v>
      </c>
    </row>
    <row r="342" spans="1:27" x14ac:dyDescent="0.25">
      <c r="A342" t="s">
        <v>1664</v>
      </c>
      <c r="B342" t="s">
        <v>1679</v>
      </c>
      <c r="C342" t="s">
        <v>1726</v>
      </c>
      <c r="D342" t="s">
        <v>1717</v>
      </c>
      <c r="E342">
        <v>7</v>
      </c>
      <c r="F342" t="str">
        <f t="shared" si="5"/>
        <v>15/2</v>
      </c>
      <c r="G342" s="1" t="s">
        <v>1513</v>
      </c>
      <c r="I342" s="3" t="s">
        <v>15</v>
      </c>
      <c r="K342" s="3" t="s">
        <v>30</v>
      </c>
      <c r="M342" s="4" t="s">
        <v>1513</v>
      </c>
      <c r="N342" s="3" t="s">
        <v>15</v>
      </c>
      <c r="O342" s="3" t="s">
        <v>1771</v>
      </c>
      <c r="P342" s="3" t="s">
        <v>71</v>
      </c>
      <c r="W342" s="5" t="s">
        <v>1936</v>
      </c>
      <c r="X342" s="3" t="s">
        <v>1757</v>
      </c>
      <c r="Y342" cm="1">
        <f t="array" ref="Y342">SUM(IF(INT($M$2:$M$594)&amp;" "&amp;$K$2:$K$594=INT($M342)&amp;" "&amp;$K342,1,0))</f>
        <v>1</v>
      </c>
      <c r="Z342" cm="1">
        <f t="array" ref="Z342">SUM(IF(ROUND($M$2:$M$594,0)&amp;" "&amp;$K$2:$K$594=ROUND($M342,0)&amp;" "&amp;$K342,1,0))</f>
        <v>1</v>
      </c>
      <c r="AA342" cm="1">
        <f t="array" ref="AA342">SUM(IF($W$2:$W$594=$W342,1,0))</f>
        <v>1</v>
      </c>
    </row>
    <row r="343" spans="1:27" x14ac:dyDescent="0.25">
      <c r="A343" t="s">
        <v>1664</v>
      </c>
      <c r="B343" t="s">
        <v>1679</v>
      </c>
      <c r="C343" t="s">
        <v>1726</v>
      </c>
      <c r="D343" t="s">
        <v>1717</v>
      </c>
      <c r="E343">
        <v>8</v>
      </c>
      <c r="F343" t="str">
        <f t="shared" si="5"/>
        <v>17/2</v>
      </c>
      <c r="G343" s="1" t="s">
        <v>1514</v>
      </c>
      <c r="I343" s="3" t="s">
        <v>15</v>
      </c>
      <c r="K343" s="3" t="s">
        <v>164</v>
      </c>
      <c r="M343" s="4" t="s">
        <v>1514</v>
      </c>
      <c r="N343" s="3" t="s">
        <v>15</v>
      </c>
      <c r="O343" s="3" t="s">
        <v>1771</v>
      </c>
      <c r="P343" s="3" t="s">
        <v>71</v>
      </c>
      <c r="W343" s="5" t="s">
        <v>2038</v>
      </c>
      <c r="X343" s="3" t="s">
        <v>1757</v>
      </c>
      <c r="Y343" cm="1">
        <f t="array" ref="Y343">SUM(IF(INT($M$2:$M$594)&amp;" "&amp;$K$2:$K$594=INT($M343)&amp;" "&amp;$K343,1,0))</f>
        <v>1</v>
      </c>
      <c r="Z343" cm="1">
        <f t="array" ref="Z343">SUM(IF(ROUND($M$2:$M$594,0)&amp;" "&amp;$K$2:$K$594=ROUND($M343,0)&amp;" "&amp;$K343,1,0))</f>
        <v>1</v>
      </c>
      <c r="AA343" cm="1">
        <f t="array" ref="AA343">SUM(IF($W$2:$W$594=$W343,1,0))</f>
        <v>1</v>
      </c>
    </row>
    <row r="344" spans="1:27" x14ac:dyDescent="0.25">
      <c r="B344" t="s">
        <v>1515</v>
      </c>
      <c r="C344" t="s">
        <v>1520</v>
      </c>
      <c r="D344" t="s">
        <v>62</v>
      </c>
      <c r="E344">
        <v>4</v>
      </c>
      <c r="F344" t="str">
        <f t="shared" si="5"/>
        <v>9/2</v>
      </c>
      <c r="G344" s="1" t="s">
        <v>64</v>
      </c>
      <c r="I344" s="3" t="s">
        <v>63</v>
      </c>
      <c r="K344" s="3" t="s">
        <v>14</v>
      </c>
      <c r="L344" s="4" t="s">
        <v>64</v>
      </c>
      <c r="M344" s="4" t="s">
        <v>64</v>
      </c>
      <c r="N344" s="3" t="s">
        <v>63</v>
      </c>
      <c r="O344" s="3" t="s">
        <v>61</v>
      </c>
      <c r="P344" s="3" t="s">
        <v>62</v>
      </c>
      <c r="Q344" s="3">
        <v>52</v>
      </c>
      <c r="T344" s="3">
        <v>38</v>
      </c>
      <c r="V344" s="3" t="s">
        <v>1876</v>
      </c>
      <c r="W344" s="4" t="s">
        <v>66</v>
      </c>
      <c r="X344" s="3" t="s">
        <v>21</v>
      </c>
      <c r="Y344" cm="1">
        <f t="array" ref="Y344">SUM(IF(INT($M$2:$M$594)&amp;" "&amp;$K$2:$K$594=INT($M344)&amp;" "&amp;$K344,1,0))</f>
        <v>1</v>
      </c>
      <c r="Z344" cm="1">
        <f t="array" ref="Z344">SUM(IF(ROUND($M$2:$M$594,0)&amp;" "&amp;$K$2:$K$594=ROUND($M344,0)&amp;" "&amp;$K344,1,0))</f>
        <v>1</v>
      </c>
      <c r="AA344" cm="1">
        <f t="array" ref="AA344">SUM(IF($W$2:$W$594=$W344,1,0))</f>
        <v>1</v>
      </c>
    </row>
    <row r="345" spans="1:27" x14ac:dyDescent="0.25">
      <c r="B345" t="s">
        <v>1516</v>
      </c>
      <c r="C345" t="s">
        <v>1520</v>
      </c>
      <c r="D345" t="s">
        <v>67</v>
      </c>
      <c r="E345">
        <v>5</v>
      </c>
      <c r="F345" t="str">
        <f t="shared" si="5"/>
        <v>11/2</v>
      </c>
      <c r="G345" s="1" t="s">
        <v>68</v>
      </c>
      <c r="I345" s="3" t="s">
        <v>63</v>
      </c>
      <c r="K345" s="3" t="s">
        <v>22</v>
      </c>
      <c r="L345" s="4" t="s">
        <v>68</v>
      </c>
      <c r="M345" s="4" t="s">
        <v>68</v>
      </c>
      <c r="N345" s="3" t="s">
        <v>63</v>
      </c>
      <c r="O345" s="3" t="s">
        <v>61</v>
      </c>
      <c r="P345" s="3" t="s">
        <v>67</v>
      </c>
      <c r="Q345" s="3">
        <v>80</v>
      </c>
      <c r="W345" s="4" t="s">
        <v>70</v>
      </c>
      <c r="X345" s="3" t="s">
        <v>21</v>
      </c>
      <c r="Y345" cm="1">
        <f t="array" ref="Y345">SUM(IF(INT($M$2:$M$594)&amp;" "&amp;$K$2:$K$594=INT($M345)&amp;" "&amp;$K345,1,0))</f>
        <v>1</v>
      </c>
      <c r="Z345" cm="1">
        <f t="array" ref="Z345">SUM(IF(ROUND($M$2:$M$594,0)&amp;" "&amp;$K$2:$K$594=ROUND($M345,0)&amp;" "&amp;$K345,1,0))</f>
        <v>1</v>
      </c>
      <c r="AA345" cm="1">
        <f t="array" ref="AA345">SUM(IF($W$2:$W$594=$W345,1,0))</f>
        <v>1</v>
      </c>
    </row>
    <row r="346" spans="1:27" x14ac:dyDescent="0.25">
      <c r="B346" t="s">
        <v>1517</v>
      </c>
      <c r="C346" t="s">
        <v>1520</v>
      </c>
      <c r="D346" t="s">
        <v>79</v>
      </c>
      <c r="E346">
        <v>4</v>
      </c>
      <c r="F346" t="str">
        <f t="shared" si="5"/>
        <v>9/2</v>
      </c>
      <c r="G346" s="1" t="s">
        <v>80</v>
      </c>
      <c r="I346" s="3" t="s">
        <v>63</v>
      </c>
      <c r="K346" s="3" t="s">
        <v>14</v>
      </c>
      <c r="L346" s="4" t="s">
        <v>80</v>
      </c>
      <c r="M346" s="4" t="s">
        <v>80</v>
      </c>
      <c r="N346" s="3" t="s">
        <v>63</v>
      </c>
      <c r="O346" s="3" t="s">
        <v>61</v>
      </c>
      <c r="P346" s="3" t="s">
        <v>79</v>
      </c>
      <c r="Q346" s="3">
        <v>59</v>
      </c>
      <c r="T346" s="3">
        <v>26</v>
      </c>
      <c r="V346" s="3" t="s">
        <v>1877</v>
      </c>
      <c r="W346" s="4" t="s">
        <v>82</v>
      </c>
      <c r="X346" s="3" t="s">
        <v>21</v>
      </c>
      <c r="Y346" cm="1">
        <f t="array" ref="Y346">SUM(IF(INT($M$2:$M$594)&amp;" "&amp;$K$2:$K$594=INT($M346)&amp;" "&amp;$K346,1,0))</f>
        <v>1</v>
      </c>
      <c r="Z346" cm="1">
        <f t="array" ref="Z346">SUM(IF(ROUND($M$2:$M$594,0)&amp;" "&amp;$K$2:$K$594=ROUND($M346,0)&amp;" "&amp;$K346,1,0))</f>
        <v>1</v>
      </c>
      <c r="AA346" cm="1">
        <f t="array" ref="AA346">SUM(IF($W$2:$W$594=$W346,1,0))</f>
        <v>1</v>
      </c>
    </row>
    <row r="347" spans="1:27" x14ac:dyDescent="0.25">
      <c r="B347" t="s">
        <v>1515</v>
      </c>
      <c r="C347" t="s">
        <v>1520</v>
      </c>
      <c r="D347" t="s">
        <v>62</v>
      </c>
      <c r="E347">
        <v>5</v>
      </c>
      <c r="F347" t="str">
        <f t="shared" si="5"/>
        <v>11/2</v>
      </c>
      <c r="G347" s="1" t="s">
        <v>83</v>
      </c>
      <c r="I347" s="3" t="s">
        <v>63</v>
      </c>
      <c r="K347" s="3" t="s">
        <v>22</v>
      </c>
      <c r="L347" s="4" t="s">
        <v>83</v>
      </c>
      <c r="M347" s="4" t="s">
        <v>83</v>
      </c>
      <c r="N347" s="3" t="s">
        <v>63</v>
      </c>
      <c r="O347" s="3" t="s">
        <v>61</v>
      </c>
      <c r="P347" s="3" t="s">
        <v>62</v>
      </c>
      <c r="Q347" s="3">
        <v>46</v>
      </c>
      <c r="T347" s="3">
        <v>27</v>
      </c>
      <c r="V347" s="3" t="s">
        <v>1876</v>
      </c>
      <c r="W347" s="4" t="s">
        <v>85</v>
      </c>
      <c r="X347" s="3" t="s">
        <v>21</v>
      </c>
      <c r="Y347" cm="1">
        <f t="array" ref="Y347">SUM(IF(INT($M$2:$M$594)&amp;" "&amp;$K$2:$K$594=INT($M347)&amp;" "&amp;$K347,1,0))</f>
        <v>1</v>
      </c>
      <c r="Z347" cm="1">
        <f t="array" ref="Z347">SUM(IF(ROUND($M$2:$M$594,0)&amp;" "&amp;$K$2:$K$594=ROUND($M347,0)&amp;" "&amp;$K347,1,0))</f>
        <v>1</v>
      </c>
      <c r="AA347" cm="1">
        <f t="array" ref="AA347">SUM(IF($W$2:$W$594=$W347,1,0))</f>
        <v>1</v>
      </c>
    </row>
    <row r="348" spans="1:27" x14ac:dyDescent="0.25">
      <c r="B348" t="s">
        <v>1518</v>
      </c>
      <c r="C348" t="s">
        <v>1520</v>
      </c>
      <c r="D348" t="s">
        <v>86</v>
      </c>
      <c r="E348">
        <v>2</v>
      </c>
      <c r="F348" t="str">
        <f t="shared" si="5"/>
        <v>5/2</v>
      </c>
      <c r="G348" s="1" t="s">
        <v>87</v>
      </c>
      <c r="I348" s="3" t="s">
        <v>63</v>
      </c>
      <c r="K348" s="3" t="s">
        <v>43</v>
      </c>
      <c r="L348" s="4" t="s">
        <v>87</v>
      </c>
      <c r="M348" s="4" t="s">
        <v>87</v>
      </c>
      <c r="N348" s="3" t="s">
        <v>63</v>
      </c>
      <c r="O348" s="3" t="s">
        <v>61</v>
      </c>
      <c r="P348" s="3" t="s">
        <v>86</v>
      </c>
      <c r="Q348" s="3">
        <v>50</v>
      </c>
      <c r="T348" s="3">
        <v>25</v>
      </c>
      <c r="V348" s="3" t="s">
        <v>1878</v>
      </c>
      <c r="W348" s="4" t="s">
        <v>89</v>
      </c>
      <c r="X348" s="3" t="s">
        <v>21</v>
      </c>
      <c r="Y348" cm="1">
        <f t="array" ref="Y348">SUM(IF(INT($M$2:$M$594)&amp;" "&amp;$K$2:$K$594=INT($M348)&amp;" "&amp;$K348,1,0))</f>
        <v>1</v>
      </c>
      <c r="Z348" cm="1">
        <f t="array" ref="Z348">SUM(IF(ROUND($M$2:$M$594,0)&amp;" "&amp;$K$2:$K$594=ROUND($M348,0)&amp;" "&amp;$K348,1,0))</f>
        <v>1</v>
      </c>
      <c r="AA348" cm="1">
        <f t="array" ref="AA348">SUM(IF($W$2:$W$594=$W348,1,0))</f>
        <v>1</v>
      </c>
    </row>
    <row r="349" spans="1:27" x14ac:dyDescent="0.25">
      <c r="B349" t="s">
        <v>1516</v>
      </c>
      <c r="C349" t="s">
        <v>1520</v>
      </c>
      <c r="D349" t="s">
        <v>67</v>
      </c>
      <c r="E349">
        <v>6</v>
      </c>
      <c r="F349" t="str">
        <f t="shared" si="5"/>
        <v>13/2</v>
      </c>
      <c r="G349" s="1" t="s">
        <v>93</v>
      </c>
      <c r="I349" s="3" t="s">
        <v>63</v>
      </c>
      <c r="K349" s="3" t="s">
        <v>26</v>
      </c>
      <c r="L349" s="4" t="s">
        <v>93</v>
      </c>
      <c r="M349" s="4" t="s">
        <v>93</v>
      </c>
      <c r="N349" s="3" t="s">
        <v>63</v>
      </c>
      <c r="O349" s="3" t="s">
        <v>61</v>
      </c>
      <c r="P349" s="3" t="s">
        <v>67</v>
      </c>
      <c r="Q349" s="3">
        <v>95</v>
      </c>
      <c r="W349" s="4" t="s">
        <v>95</v>
      </c>
      <c r="X349" s="3" t="s">
        <v>21</v>
      </c>
      <c r="Y349" cm="1">
        <f t="array" ref="Y349">SUM(IF(INT($M$2:$M$594)&amp;" "&amp;$K$2:$K$594=INT($M349)&amp;" "&amp;$K349,1,0))</f>
        <v>1</v>
      </c>
      <c r="Z349" cm="1">
        <f t="array" ref="Z349">SUM(IF(ROUND($M$2:$M$594,0)&amp;" "&amp;$K$2:$K$594=ROUND($M349,0)&amp;" "&amp;$K349,1,0))</f>
        <v>1</v>
      </c>
      <c r="AA349" cm="1">
        <f t="array" ref="AA349">SUM(IF($W$2:$W$594=$W349,1,0))</f>
        <v>1</v>
      </c>
    </row>
    <row r="350" spans="1:27" x14ac:dyDescent="0.25">
      <c r="B350" t="s">
        <v>1517</v>
      </c>
      <c r="C350" t="s">
        <v>1520</v>
      </c>
      <c r="D350" t="s">
        <v>79</v>
      </c>
      <c r="E350">
        <v>5</v>
      </c>
      <c r="F350" t="str">
        <f t="shared" si="5"/>
        <v>11/2</v>
      </c>
      <c r="G350" s="1" t="s">
        <v>96</v>
      </c>
      <c r="I350" s="3" t="s">
        <v>63</v>
      </c>
      <c r="K350" s="3" t="s">
        <v>22</v>
      </c>
      <c r="L350" s="4" t="s">
        <v>96</v>
      </c>
      <c r="M350" s="4" t="s">
        <v>96</v>
      </c>
      <c r="N350" s="3" t="s">
        <v>63</v>
      </c>
      <c r="O350" s="3" t="s">
        <v>61</v>
      </c>
      <c r="P350" s="3" t="s">
        <v>79</v>
      </c>
      <c r="Q350" s="3">
        <v>68</v>
      </c>
      <c r="W350" s="4" t="s">
        <v>98</v>
      </c>
      <c r="X350" s="3" t="s">
        <v>21</v>
      </c>
      <c r="Y350" cm="1">
        <f t="array" ref="Y350">SUM(IF(INT($M$2:$M$594)&amp;" "&amp;$K$2:$K$594=INT($M350)&amp;" "&amp;$K350,1,0))</f>
        <v>1</v>
      </c>
      <c r="Z350" cm="1">
        <f t="array" ref="Z350">SUM(IF(ROUND($M$2:$M$594,0)&amp;" "&amp;$K$2:$K$594=ROUND($M350,0)&amp;" "&amp;$K350,1,0))</f>
        <v>1</v>
      </c>
      <c r="AA350" cm="1">
        <f t="array" ref="AA350">SUM(IF($W$2:$W$594=$W350,1,0))</f>
        <v>1</v>
      </c>
    </row>
    <row r="351" spans="1:27" x14ac:dyDescent="0.25">
      <c r="B351" t="s">
        <v>1519</v>
      </c>
      <c r="C351" t="s">
        <v>1520</v>
      </c>
      <c r="D351" t="s">
        <v>106</v>
      </c>
      <c r="E351">
        <v>3</v>
      </c>
      <c r="F351" t="str">
        <f t="shared" si="5"/>
        <v>7/2</v>
      </c>
      <c r="G351" s="1" t="s">
        <v>107</v>
      </c>
      <c r="I351" s="3" t="s">
        <v>63</v>
      </c>
      <c r="K351" s="3" t="s">
        <v>47</v>
      </c>
      <c r="L351" s="4" t="s">
        <v>107</v>
      </c>
      <c r="M351" s="4" t="s">
        <v>107</v>
      </c>
      <c r="N351" s="3" t="s">
        <v>63</v>
      </c>
      <c r="O351" s="3" t="s">
        <v>61</v>
      </c>
      <c r="P351" s="3" t="s">
        <v>106</v>
      </c>
      <c r="Q351" s="3">
        <v>76</v>
      </c>
      <c r="W351" s="4" t="s">
        <v>109</v>
      </c>
      <c r="X351" s="3" t="s">
        <v>21</v>
      </c>
      <c r="Y351" cm="1">
        <f t="array" ref="Y351">SUM(IF(INT($M$2:$M$594)&amp;" "&amp;$K$2:$K$594=INT($M351)&amp;" "&amp;$K351,1,0))</f>
        <v>1</v>
      </c>
      <c r="Z351" cm="1">
        <f t="array" ref="Z351">SUM(IF(ROUND($M$2:$M$594,0)&amp;" "&amp;$K$2:$K$594=ROUND($M351,0)&amp;" "&amp;$K351,1,0))</f>
        <v>1</v>
      </c>
      <c r="AA351" cm="1">
        <f t="array" ref="AA351">SUM(IF($W$2:$W$594=$W351,1,0))</f>
        <v>1</v>
      </c>
    </row>
    <row r="352" spans="1:27" x14ac:dyDescent="0.25">
      <c r="B352" t="s">
        <v>1518</v>
      </c>
      <c r="C352" t="s">
        <v>1520</v>
      </c>
      <c r="D352" t="s">
        <v>86</v>
      </c>
      <c r="E352">
        <v>3</v>
      </c>
      <c r="F352" t="str">
        <f t="shared" si="5"/>
        <v>7/2</v>
      </c>
      <c r="G352" s="1" t="s">
        <v>110</v>
      </c>
      <c r="I352" s="3" t="s">
        <v>63</v>
      </c>
      <c r="K352" s="3" t="s">
        <v>47</v>
      </c>
      <c r="L352" s="4" t="s">
        <v>110</v>
      </c>
      <c r="M352" s="4" t="s">
        <v>110</v>
      </c>
      <c r="N352" s="3" t="s">
        <v>63</v>
      </c>
      <c r="O352" s="3" t="s">
        <v>61</v>
      </c>
      <c r="P352" s="3" t="s">
        <v>86</v>
      </c>
      <c r="Q352" s="3">
        <v>57</v>
      </c>
      <c r="T352" s="3">
        <v>25</v>
      </c>
      <c r="V352" s="3" t="s">
        <v>1878</v>
      </c>
      <c r="W352" s="4" t="s">
        <v>112</v>
      </c>
      <c r="X352" s="3" t="s">
        <v>21</v>
      </c>
      <c r="Y352" cm="1">
        <f t="array" ref="Y352">SUM(IF(INT($M$2:$M$594)&amp;" "&amp;$K$2:$K$594=INT($M352)&amp;" "&amp;$K352,1,0))</f>
        <v>1</v>
      </c>
      <c r="Z352" cm="1">
        <f t="array" ref="Z352">SUM(IF(ROUND($M$2:$M$594,0)&amp;" "&amp;$K$2:$K$594=ROUND($M352,0)&amp;" "&amp;$K352,1,0))</f>
        <v>1</v>
      </c>
      <c r="AA352" cm="1">
        <f t="array" ref="AA352">SUM(IF($W$2:$W$594=$W352,1,0))</f>
        <v>1</v>
      </c>
    </row>
    <row r="353" spans="1:27" x14ac:dyDescent="0.25">
      <c r="B353" t="s">
        <v>1517</v>
      </c>
      <c r="C353" t="s">
        <v>1520</v>
      </c>
      <c r="D353" t="s">
        <v>79</v>
      </c>
      <c r="E353">
        <v>6</v>
      </c>
      <c r="F353" t="str">
        <f t="shared" si="5"/>
        <v>13/2</v>
      </c>
      <c r="G353" s="1" t="s">
        <v>120</v>
      </c>
      <c r="I353" s="3" t="s">
        <v>63</v>
      </c>
      <c r="K353" s="3" t="s">
        <v>26</v>
      </c>
      <c r="L353" s="4" t="s">
        <v>120</v>
      </c>
      <c r="M353" s="4" t="s">
        <v>120</v>
      </c>
      <c r="N353" s="3" t="s">
        <v>63</v>
      </c>
      <c r="O353" s="3" t="s">
        <v>61</v>
      </c>
      <c r="P353" s="3" t="s">
        <v>79</v>
      </c>
      <c r="Q353" s="3">
        <v>98</v>
      </c>
      <c r="W353" s="4" t="s">
        <v>122</v>
      </c>
      <c r="X353" s="3" t="s">
        <v>21</v>
      </c>
      <c r="Y353" cm="1">
        <f t="array" ref="Y353">SUM(IF(INT($M$2:$M$594)&amp;" "&amp;$K$2:$K$594=INT($M353)&amp;" "&amp;$K353,1,0))</f>
        <v>1</v>
      </c>
      <c r="Z353" cm="1">
        <f t="array" ref="Z353">SUM(IF(ROUND($M$2:$M$594,0)&amp;" "&amp;$K$2:$K$594=ROUND($M353,0)&amp;" "&amp;$K353,1,0))</f>
        <v>1</v>
      </c>
      <c r="AA353" cm="1">
        <f t="array" ref="AA353">SUM(IF($W$2:$W$594=$W353,1,0))</f>
        <v>1</v>
      </c>
    </row>
    <row r="354" spans="1:27" x14ac:dyDescent="0.25">
      <c r="B354" t="s">
        <v>1516</v>
      </c>
      <c r="C354" t="s">
        <v>1520</v>
      </c>
      <c r="D354" t="s">
        <v>67</v>
      </c>
      <c r="E354">
        <v>7</v>
      </c>
      <c r="F354" t="str">
        <f t="shared" si="5"/>
        <v>15/2</v>
      </c>
      <c r="G354" s="1" t="s">
        <v>126</v>
      </c>
      <c r="I354" s="3" t="s">
        <v>63</v>
      </c>
      <c r="K354" s="3" t="s">
        <v>30</v>
      </c>
      <c r="L354" s="4" t="s">
        <v>126</v>
      </c>
      <c r="M354" s="4" t="s">
        <v>126</v>
      </c>
      <c r="N354" s="3" t="s">
        <v>63</v>
      </c>
      <c r="O354" s="3" t="s">
        <v>61</v>
      </c>
      <c r="P354" s="3" t="s">
        <v>67</v>
      </c>
      <c r="Q354" s="3">
        <v>100</v>
      </c>
      <c r="W354" s="4" t="s">
        <v>127</v>
      </c>
      <c r="X354" s="3" t="s">
        <v>21</v>
      </c>
      <c r="Y354" cm="1">
        <f t="array" ref="Y354">SUM(IF(INT($M$2:$M$594)&amp;" "&amp;$K$2:$K$594=INT($M354)&amp;" "&amp;$K354,1,0))</f>
        <v>1</v>
      </c>
      <c r="Z354" cm="1">
        <f t="array" ref="Z354">SUM(IF(ROUND($M$2:$M$594,0)&amp;" "&amp;$K$2:$K$594=ROUND($M354,0)&amp;" "&amp;$K354,1,0))</f>
        <v>1</v>
      </c>
      <c r="AA354" cm="1">
        <f t="array" ref="AA354">SUM(IF($W$2:$W$594=$W354,1,0))</f>
        <v>1</v>
      </c>
    </row>
    <row r="355" spans="1:27" x14ac:dyDescent="0.25">
      <c r="B355" t="s">
        <v>1519</v>
      </c>
      <c r="C355" t="s">
        <v>1520</v>
      </c>
      <c r="D355" t="s">
        <v>106</v>
      </c>
      <c r="E355">
        <v>4</v>
      </c>
      <c r="F355" t="str">
        <f t="shared" si="5"/>
        <v>9/2</v>
      </c>
      <c r="G355" s="1" t="s">
        <v>128</v>
      </c>
      <c r="I355" s="3" t="s">
        <v>63</v>
      </c>
      <c r="K355" s="3" t="s">
        <v>14</v>
      </c>
      <c r="L355" s="4" t="s">
        <v>128</v>
      </c>
      <c r="M355" s="4" t="s">
        <v>128</v>
      </c>
      <c r="N355" s="3" t="s">
        <v>63</v>
      </c>
      <c r="O355" s="3" t="s">
        <v>61</v>
      </c>
      <c r="P355" s="3" t="s">
        <v>106</v>
      </c>
      <c r="Q355" s="3">
        <v>76</v>
      </c>
      <c r="T355" s="3">
        <v>10</v>
      </c>
      <c r="V355" s="3" t="s">
        <v>1879</v>
      </c>
      <c r="W355" s="4" t="s">
        <v>130</v>
      </c>
      <c r="X355" s="3" t="s">
        <v>21</v>
      </c>
      <c r="Y355" cm="1">
        <f t="array" ref="Y355">SUM(IF(INT($M$2:$M$594)&amp;" "&amp;$K$2:$K$594=INT($M355)&amp;" "&amp;$K355,1,0))</f>
        <v>1</v>
      </c>
      <c r="Z355" cm="1">
        <f t="array" ref="Z355">SUM(IF(ROUND($M$2:$M$594,0)&amp;" "&amp;$K$2:$K$594=ROUND($M355,0)&amp;" "&amp;$K355,1,0))</f>
        <v>1</v>
      </c>
      <c r="AA355" cm="1">
        <f t="array" ref="AA355">SUM(IF($W$2:$W$594=$W355,1,0))</f>
        <v>1</v>
      </c>
    </row>
    <row r="356" spans="1:27" x14ac:dyDescent="0.25">
      <c r="B356" t="s">
        <v>1518</v>
      </c>
      <c r="C356" t="s">
        <v>1520</v>
      </c>
      <c r="D356" t="s">
        <v>86</v>
      </c>
      <c r="E356">
        <v>4</v>
      </c>
      <c r="F356" t="str">
        <f t="shared" si="5"/>
        <v>9/2</v>
      </c>
      <c r="G356" s="1" t="s">
        <v>134</v>
      </c>
      <c r="I356" s="3" t="s">
        <v>63</v>
      </c>
      <c r="K356" s="3" t="s">
        <v>14</v>
      </c>
      <c r="L356" s="4" t="s">
        <v>134</v>
      </c>
      <c r="M356" s="4" t="s">
        <v>134</v>
      </c>
      <c r="N356" s="3" t="s">
        <v>63</v>
      </c>
      <c r="O356" s="3" t="s">
        <v>61</v>
      </c>
      <c r="P356" s="3" t="s">
        <v>86</v>
      </c>
      <c r="Q356" s="3">
        <v>56</v>
      </c>
      <c r="T356" s="3">
        <v>25</v>
      </c>
      <c r="V356" s="3" t="s">
        <v>1878</v>
      </c>
      <c r="W356" s="4" t="s">
        <v>136</v>
      </c>
      <c r="X356" s="3" t="s">
        <v>21</v>
      </c>
      <c r="Y356" cm="1">
        <f t="array" ref="Y356">SUM(IF(INT($M$2:$M$594)&amp;" "&amp;$K$2:$K$594=INT($M356)&amp;" "&amp;$K356,1,0))</f>
        <v>1</v>
      </c>
      <c r="Z356" cm="1">
        <f t="array" ref="Z356">SUM(IF(ROUND($M$2:$M$594,0)&amp;" "&amp;$K$2:$K$594=ROUND($M356,0)&amp;" "&amp;$K356,1,0))</f>
        <v>1</v>
      </c>
      <c r="AA356" cm="1">
        <f t="array" ref="AA356">SUM(IF($W$2:$W$594=$W356,1,0))</f>
        <v>1</v>
      </c>
    </row>
    <row r="357" spans="1:27" x14ac:dyDescent="0.25">
      <c r="B357" t="s">
        <v>1520</v>
      </c>
      <c r="C357" t="s">
        <v>1520</v>
      </c>
      <c r="E357">
        <v>2</v>
      </c>
      <c r="F357" t="str">
        <f t="shared" si="5"/>
        <v>5/2</v>
      </c>
      <c r="G357" s="1" t="s">
        <v>137</v>
      </c>
      <c r="I357" s="3" t="s">
        <v>63</v>
      </c>
      <c r="K357" s="3" t="s">
        <v>43</v>
      </c>
      <c r="L357" s="4" t="s">
        <v>137</v>
      </c>
      <c r="M357" s="4" t="s">
        <v>137</v>
      </c>
      <c r="N357" s="3" t="s">
        <v>63</v>
      </c>
      <c r="O357" s="3" t="s">
        <v>61</v>
      </c>
      <c r="P357" s="3" t="s">
        <v>17</v>
      </c>
      <c r="Q357" s="3">
        <v>34</v>
      </c>
      <c r="R357" s="3" t="s">
        <v>351</v>
      </c>
      <c r="T357" s="3">
        <v>21</v>
      </c>
      <c r="V357" s="3" t="s">
        <v>1880</v>
      </c>
      <c r="W357" s="4" t="s">
        <v>139</v>
      </c>
      <c r="X357" s="3" t="s">
        <v>21</v>
      </c>
      <c r="Y357" cm="1">
        <f t="array" ref="Y357">SUM(IF(INT($M$2:$M$594)&amp;" "&amp;$K$2:$K$594=INT($M357)&amp;" "&amp;$K357,1,0))</f>
        <v>1</v>
      </c>
      <c r="Z357" cm="1">
        <f t="array" ref="Z357">SUM(IF(ROUND($M$2:$M$594,0)&amp;" "&amp;$K$2:$K$594=ROUND($M357,0)&amp;" "&amp;$K357,1,0))</f>
        <v>1</v>
      </c>
      <c r="AA357" cm="1">
        <f t="array" ref="AA357">SUM(IF($W$2:$W$594=$W357,1,0))</f>
        <v>1</v>
      </c>
    </row>
    <row r="358" spans="1:27" x14ac:dyDescent="0.25">
      <c r="B358" t="s">
        <v>1521</v>
      </c>
      <c r="C358" t="s">
        <v>1520</v>
      </c>
      <c r="D358" t="s">
        <v>140</v>
      </c>
      <c r="E358">
        <v>5</v>
      </c>
      <c r="F358" t="str">
        <f t="shared" si="5"/>
        <v>11/2</v>
      </c>
      <c r="G358" s="1" t="s">
        <v>141</v>
      </c>
      <c r="I358" s="3" t="s">
        <v>63</v>
      </c>
      <c r="K358" s="3" t="s">
        <v>22</v>
      </c>
      <c r="L358" s="4" t="s">
        <v>141</v>
      </c>
      <c r="M358" s="4" t="s">
        <v>141</v>
      </c>
      <c r="N358" s="3" t="s">
        <v>63</v>
      </c>
      <c r="O358" s="3" t="s">
        <v>61</v>
      </c>
      <c r="P358" s="3" t="s">
        <v>140</v>
      </c>
      <c r="Q358" s="3">
        <v>47</v>
      </c>
      <c r="T358" s="3">
        <v>16</v>
      </c>
      <c r="V358" s="3" t="s">
        <v>1881</v>
      </c>
      <c r="W358" s="4" t="s">
        <v>143</v>
      </c>
      <c r="X358" s="3" t="s">
        <v>21</v>
      </c>
      <c r="Y358" cm="1">
        <f t="array" ref="Y358">SUM(IF(INT($M$2:$M$594)&amp;" "&amp;$K$2:$K$594=INT($M358)&amp;" "&amp;$K358,1,0))</f>
        <v>1</v>
      </c>
      <c r="Z358" cm="1">
        <f t="array" ref="Z358">SUM(IF(ROUND($M$2:$M$594,0)&amp;" "&amp;$K$2:$K$594=ROUND($M358,0)&amp;" "&amp;$K358,1,0))</f>
        <v>1</v>
      </c>
      <c r="AA358" cm="1">
        <f t="array" ref="AA358">SUM(IF($W$2:$W$594=$W358,1,0))</f>
        <v>1</v>
      </c>
    </row>
    <row r="359" spans="1:27" x14ac:dyDescent="0.25">
      <c r="B359" t="s">
        <v>1517</v>
      </c>
      <c r="C359" t="s">
        <v>1520</v>
      </c>
      <c r="D359" t="s">
        <v>79</v>
      </c>
      <c r="E359">
        <v>7</v>
      </c>
      <c r="F359" t="str">
        <f t="shared" si="5"/>
        <v>15/2</v>
      </c>
      <c r="G359" s="1" t="s">
        <v>149</v>
      </c>
      <c r="I359" s="3" t="s">
        <v>63</v>
      </c>
      <c r="K359" s="3" t="s">
        <v>30</v>
      </c>
      <c r="L359" s="4" t="s">
        <v>149</v>
      </c>
      <c r="M359" s="4" t="s">
        <v>149</v>
      </c>
      <c r="N359" s="3" t="s">
        <v>63</v>
      </c>
      <c r="O359" s="3" t="s">
        <v>61</v>
      </c>
      <c r="P359" s="3" t="s">
        <v>79</v>
      </c>
      <c r="Q359" s="3">
        <v>98</v>
      </c>
      <c r="W359" s="4" t="s">
        <v>150</v>
      </c>
      <c r="X359" s="3" t="s">
        <v>21</v>
      </c>
      <c r="Y359" cm="1">
        <f t="array" ref="Y359">SUM(IF(INT($M$2:$M$594)&amp;" "&amp;$K$2:$K$594=INT($M359)&amp;" "&amp;$K359,1,0))</f>
        <v>1</v>
      </c>
      <c r="Z359" cm="1">
        <f t="array" ref="Z359">SUM(IF(ROUND($M$2:$M$594,0)&amp;" "&amp;$K$2:$K$594=ROUND($M359,0)&amp;" "&amp;$K359,1,0))</f>
        <v>1</v>
      </c>
      <c r="AA359" cm="1">
        <f t="array" ref="AA359">SUM(IF($W$2:$W$594=$W359,1,0))</f>
        <v>1</v>
      </c>
    </row>
    <row r="360" spans="1:27" x14ac:dyDescent="0.25">
      <c r="B360" t="s">
        <v>1522</v>
      </c>
      <c r="C360" t="s">
        <v>1530</v>
      </c>
      <c r="D360" t="s">
        <v>106</v>
      </c>
      <c r="E360">
        <v>3</v>
      </c>
      <c r="F360" t="str">
        <f t="shared" si="5"/>
        <v>7/2</v>
      </c>
      <c r="G360" s="1" t="s">
        <v>152</v>
      </c>
      <c r="I360" s="3" t="s">
        <v>63</v>
      </c>
      <c r="K360" s="3" t="s">
        <v>47</v>
      </c>
      <c r="L360" s="4" t="s">
        <v>152</v>
      </c>
      <c r="M360" s="4" t="s">
        <v>152</v>
      </c>
      <c r="N360" s="3" t="s">
        <v>63</v>
      </c>
      <c r="O360" s="3" t="s">
        <v>151</v>
      </c>
      <c r="P360" s="3" t="s">
        <v>106</v>
      </c>
      <c r="Q360" s="3">
        <v>88</v>
      </c>
      <c r="W360" s="4" t="s">
        <v>154</v>
      </c>
      <c r="X360" s="3" t="s">
        <v>21</v>
      </c>
      <c r="Y360" cm="1">
        <f t="array" ref="Y360">SUM(IF(INT($M$2:$M$594)&amp;" "&amp;$K$2:$K$594=INT($M360)&amp;" "&amp;$K360,1,0))</f>
        <v>1</v>
      </c>
      <c r="Z360" cm="1">
        <f t="array" ref="Z360">SUM(IF(ROUND($M$2:$M$594,0)&amp;" "&amp;$K$2:$K$594=ROUND($M360,0)&amp;" "&amp;$K360,1,0))</f>
        <v>1</v>
      </c>
      <c r="AA360" cm="1">
        <f t="array" ref="AA360">SUM(IF($W$2:$W$594=$W360,1,0))</f>
        <v>1</v>
      </c>
    </row>
    <row r="361" spans="1:27" x14ac:dyDescent="0.25">
      <c r="B361" t="s">
        <v>1519</v>
      </c>
      <c r="C361" t="s">
        <v>1520</v>
      </c>
      <c r="D361" t="s">
        <v>106</v>
      </c>
      <c r="E361">
        <v>5</v>
      </c>
      <c r="F361" t="str">
        <f t="shared" si="5"/>
        <v>11/2</v>
      </c>
      <c r="G361" s="1" t="s">
        <v>158</v>
      </c>
      <c r="I361" s="3" t="s">
        <v>63</v>
      </c>
      <c r="K361" s="3" t="s">
        <v>22</v>
      </c>
      <c r="L361" s="4" t="s">
        <v>158</v>
      </c>
      <c r="M361" s="4" t="s">
        <v>158</v>
      </c>
      <c r="N361" s="3" t="s">
        <v>63</v>
      </c>
      <c r="O361" s="3" t="s">
        <v>61</v>
      </c>
      <c r="P361" s="3" t="s">
        <v>106</v>
      </c>
      <c r="Q361" s="3">
        <v>85</v>
      </c>
      <c r="W361" s="4" t="s">
        <v>160</v>
      </c>
      <c r="X361" s="3" t="s">
        <v>21</v>
      </c>
      <c r="Y361" cm="1">
        <f t="array" ref="Y361">SUM(IF(INT($M$2:$M$594)&amp;" "&amp;$K$2:$K$594=INT($M361)&amp;" "&amp;$K361,1,0))</f>
        <v>1</v>
      </c>
      <c r="Z361" cm="1">
        <f t="array" ref="Z361">SUM(IF(ROUND($M$2:$M$594,0)&amp;" "&amp;$K$2:$K$594=ROUND($M361,0)&amp;" "&amp;$K361,1,0))</f>
        <v>1</v>
      </c>
      <c r="AA361" cm="1">
        <f t="array" ref="AA361">SUM(IF($W$2:$W$594=$W361,1,0))</f>
        <v>1</v>
      </c>
    </row>
    <row r="362" spans="1:27" x14ac:dyDescent="0.25">
      <c r="B362" t="s">
        <v>1521</v>
      </c>
      <c r="C362" t="s">
        <v>1520</v>
      </c>
      <c r="D362" t="s">
        <v>140</v>
      </c>
      <c r="E362">
        <v>6</v>
      </c>
      <c r="F362" t="str">
        <f t="shared" si="5"/>
        <v>13/2</v>
      </c>
      <c r="G362" s="1" t="s">
        <v>161</v>
      </c>
      <c r="I362" s="3" t="s">
        <v>63</v>
      </c>
      <c r="K362" s="3" t="s">
        <v>26</v>
      </c>
      <c r="L362" s="4" t="s">
        <v>161</v>
      </c>
      <c r="M362" s="4" t="s">
        <v>161</v>
      </c>
      <c r="N362" s="3" t="s">
        <v>63</v>
      </c>
      <c r="O362" s="3" t="s">
        <v>61</v>
      </c>
      <c r="P362" s="3" t="s">
        <v>140</v>
      </c>
      <c r="Q362" s="3">
        <v>50</v>
      </c>
      <c r="T362" s="3">
        <v>19</v>
      </c>
      <c r="V362" s="3" t="s">
        <v>1882</v>
      </c>
      <c r="W362" s="4" t="s">
        <v>163</v>
      </c>
      <c r="X362" s="3" t="s">
        <v>21</v>
      </c>
      <c r="Y362" cm="1">
        <f t="array" ref="Y362">SUM(IF(INT($M$2:$M$594)&amp;" "&amp;$K$2:$K$594=INT($M362)&amp;" "&amp;$K362,1,0))</f>
        <v>1</v>
      </c>
      <c r="Z362" cm="1">
        <f t="array" ref="Z362">SUM(IF(ROUND($M$2:$M$594,0)&amp;" "&amp;$K$2:$K$594=ROUND($M362,0)&amp;" "&amp;$K362,1,0))</f>
        <v>1</v>
      </c>
      <c r="AA362" cm="1">
        <f t="array" ref="AA362">SUM(IF($W$2:$W$594=$W362,1,0))</f>
        <v>1</v>
      </c>
    </row>
    <row r="363" spans="1:27" x14ac:dyDescent="0.25">
      <c r="B363" t="s">
        <v>1516</v>
      </c>
      <c r="C363" t="s">
        <v>1520</v>
      </c>
      <c r="D363" t="s">
        <v>67</v>
      </c>
      <c r="E363">
        <v>8</v>
      </c>
      <c r="F363" t="str">
        <f t="shared" si="5"/>
        <v>17/2</v>
      </c>
      <c r="G363" s="1" t="s">
        <v>165</v>
      </c>
      <c r="I363" s="3" t="s">
        <v>63</v>
      </c>
      <c r="K363" s="3" t="s">
        <v>164</v>
      </c>
      <c r="L363" s="4" t="s">
        <v>165</v>
      </c>
      <c r="M363" s="4" t="s">
        <v>165</v>
      </c>
      <c r="N363" s="3" t="s">
        <v>63</v>
      </c>
      <c r="O363" s="3" t="s">
        <v>61</v>
      </c>
      <c r="P363" s="3" t="s">
        <v>67</v>
      </c>
      <c r="Q363" s="3">
        <v>100</v>
      </c>
      <c r="W363" s="4" t="s">
        <v>166</v>
      </c>
      <c r="X363" s="3" t="s">
        <v>21</v>
      </c>
      <c r="Y363" cm="1">
        <f t="array" ref="Y363">SUM(IF(INT($M$2:$M$594)&amp;" "&amp;$K$2:$K$594=INT($M363)&amp;" "&amp;$K363,1,0))</f>
        <v>1</v>
      </c>
      <c r="Z363" cm="1">
        <f t="array" ref="Z363">SUM(IF(ROUND($M$2:$M$594,0)&amp;" "&amp;$K$2:$K$594=ROUND($M363,0)&amp;" "&amp;$K363,1,0))</f>
        <v>1</v>
      </c>
      <c r="AA363" cm="1">
        <f t="array" ref="AA363">SUM(IF($W$2:$W$594=$W363,1,0))</f>
        <v>1</v>
      </c>
    </row>
    <row r="364" spans="1:27" x14ac:dyDescent="0.25">
      <c r="B364" t="s">
        <v>1518</v>
      </c>
      <c r="C364" t="s">
        <v>1520</v>
      </c>
      <c r="D364" t="s">
        <v>86</v>
      </c>
      <c r="E364">
        <v>5</v>
      </c>
      <c r="F364" t="str">
        <f t="shared" si="5"/>
        <v>11/2</v>
      </c>
      <c r="G364" s="1" t="s">
        <v>167</v>
      </c>
      <c r="I364" s="3" t="s">
        <v>63</v>
      </c>
      <c r="K364" s="3" t="s">
        <v>22</v>
      </c>
      <c r="L364" s="4" t="s">
        <v>167</v>
      </c>
      <c r="M364" s="4" t="s">
        <v>167</v>
      </c>
      <c r="N364" s="3" t="s">
        <v>63</v>
      </c>
      <c r="O364" s="3" t="s">
        <v>61</v>
      </c>
      <c r="P364" s="3" t="s">
        <v>86</v>
      </c>
      <c r="Q364" s="3">
        <v>52</v>
      </c>
      <c r="T364" s="3">
        <v>29</v>
      </c>
      <c r="V364" s="3" t="s">
        <v>1878</v>
      </c>
      <c r="W364" s="4" t="s">
        <v>169</v>
      </c>
      <c r="X364" s="3" t="s">
        <v>21</v>
      </c>
      <c r="Y364" cm="1">
        <f t="array" ref="Y364">SUM(IF(INT($M$2:$M$594)&amp;" "&amp;$K$2:$K$594=INT($M364)&amp;" "&amp;$K364,1,0))</f>
        <v>1</v>
      </c>
      <c r="Z364" cm="1">
        <f t="array" ref="Z364">SUM(IF(ROUND($M$2:$M$594,0)&amp;" "&amp;$K$2:$K$594=ROUND($M364,0)&amp;" "&amp;$K364,1,0))</f>
        <v>1</v>
      </c>
      <c r="AA364" cm="1">
        <f t="array" ref="AA364">SUM(IF($W$2:$W$594=$W364,1,0))</f>
        <v>1</v>
      </c>
    </row>
    <row r="365" spans="1:27" x14ac:dyDescent="0.25">
      <c r="B365" t="s">
        <v>1520</v>
      </c>
      <c r="C365" t="s">
        <v>1520</v>
      </c>
      <c r="E365">
        <v>3</v>
      </c>
      <c r="F365" t="str">
        <f t="shared" si="5"/>
        <v>7/2</v>
      </c>
      <c r="G365" s="1" t="s">
        <v>170</v>
      </c>
      <c r="I365" s="3" t="s">
        <v>63</v>
      </c>
      <c r="K365" s="3" t="s">
        <v>47</v>
      </c>
      <c r="L365" s="4" t="s">
        <v>170</v>
      </c>
      <c r="M365" s="4" t="s">
        <v>170</v>
      </c>
      <c r="N365" s="3" t="s">
        <v>63</v>
      </c>
      <c r="O365" s="3" t="s">
        <v>61</v>
      </c>
      <c r="P365" s="3" t="s">
        <v>17</v>
      </c>
      <c r="Q365" s="3">
        <v>33</v>
      </c>
      <c r="R365" s="3" t="s">
        <v>351</v>
      </c>
      <c r="T365" s="3">
        <v>23</v>
      </c>
      <c r="V365" s="3" t="s">
        <v>1880</v>
      </c>
      <c r="W365" s="4" t="s">
        <v>172</v>
      </c>
      <c r="X365" s="3" t="s">
        <v>21</v>
      </c>
      <c r="Y365" cm="1">
        <f t="array" ref="Y365">SUM(IF(INT($M$2:$M$594)&amp;" "&amp;$K$2:$K$594=INT($M365)&amp;" "&amp;$K365,1,0))</f>
        <v>1</v>
      </c>
      <c r="Z365" cm="1">
        <f t="array" ref="Z365">SUM(IF(ROUND($M$2:$M$594,0)&amp;" "&amp;$K$2:$K$594=ROUND($M365,0)&amp;" "&amp;$K365,1,0))</f>
        <v>1</v>
      </c>
      <c r="AA365" cm="1">
        <f t="array" ref="AA365">SUM(IF($W$2:$W$594=$W365,1,0))</f>
        <v>1</v>
      </c>
    </row>
    <row r="366" spans="1:27" x14ac:dyDescent="0.25">
      <c r="A366" t="s">
        <v>1664</v>
      </c>
      <c r="B366" t="s">
        <v>1680</v>
      </c>
      <c r="C366" t="s">
        <v>1530</v>
      </c>
      <c r="D366" t="s">
        <v>1729</v>
      </c>
      <c r="E366">
        <v>0</v>
      </c>
      <c r="F366" t="str">
        <f t="shared" si="5"/>
        <v>1/2</v>
      </c>
      <c r="G366" s="1" t="s">
        <v>1523</v>
      </c>
      <c r="I366" s="3" t="s">
        <v>63</v>
      </c>
      <c r="K366" s="3" t="s">
        <v>145</v>
      </c>
      <c r="M366" s="4" t="s">
        <v>1523</v>
      </c>
      <c r="N366" s="3" t="s">
        <v>63</v>
      </c>
      <c r="O366" s="3" t="s">
        <v>151</v>
      </c>
      <c r="W366" s="5" t="s">
        <v>2039</v>
      </c>
      <c r="X366" s="3" t="s">
        <v>1757</v>
      </c>
      <c r="Y366" cm="1">
        <f t="array" ref="Y366">SUM(IF(INT($M$2:$M$594)&amp;" "&amp;$K$2:$K$594=INT($M366)&amp;" "&amp;$K366,1,0))</f>
        <v>1</v>
      </c>
      <c r="Z366" cm="1">
        <f t="array" ref="Z366">SUM(IF(ROUND($M$2:$M$594,0)&amp;" "&amp;$K$2:$K$594=ROUND($M366,0)&amp;" "&amp;$K366,1,0))</f>
        <v>1</v>
      </c>
      <c r="AA366" cm="1">
        <f t="array" ref="AA366">SUM(IF($W$2:$W$594=$W366,1,0))</f>
        <v>1</v>
      </c>
    </row>
    <row r="367" spans="1:27" x14ac:dyDescent="0.25">
      <c r="B367" t="s">
        <v>1524</v>
      </c>
      <c r="C367" t="s">
        <v>1520</v>
      </c>
      <c r="D367" t="s">
        <v>173</v>
      </c>
      <c r="E367">
        <v>1</v>
      </c>
      <c r="F367" t="str">
        <f t="shared" si="5"/>
        <v>3/2</v>
      </c>
      <c r="G367" s="1" t="s">
        <v>174</v>
      </c>
      <c r="I367" s="3" t="s">
        <v>63</v>
      </c>
      <c r="K367" s="3" t="s">
        <v>35</v>
      </c>
      <c r="L367" s="4" t="s">
        <v>174</v>
      </c>
      <c r="M367" s="4" t="s">
        <v>174</v>
      </c>
      <c r="N367" s="3" t="s">
        <v>63</v>
      </c>
      <c r="O367" s="3" t="s">
        <v>61</v>
      </c>
      <c r="P367" s="3" t="s">
        <v>173</v>
      </c>
      <c r="Q367" s="3">
        <v>78</v>
      </c>
      <c r="T367" s="3">
        <v>16</v>
      </c>
      <c r="V367" s="3" t="s">
        <v>1883</v>
      </c>
      <c r="W367" s="4" t="s">
        <v>176</v>
      </c>
      <c r="X367" s="3" t="s">
        <v>21</v>
      </c>
      <c r="Y367" cm="1">
        <f t="array" ref="Y367">SUM(IF(INT($M$2:$M$594)&amp;" "&amp;$K$2:$K$594=INT($M367)&amp;" "&amp;$K367,1,0))</f>
        <v>1</v>
      </c>
      <c r="Z367" cm="1">
        <f t="array" ref="Z367">SUM(IF(ROUND($M$2:$M$594,0)&amp;" "&amp;$K$2:$K$594=ROUND($M367,0)&amp;" "&amp;$K367,1,0))</f>
        <v>1</v>
      </c>
      <c r="AA367" cm="1">
        <f t="array" ref="AA367">SUM(IF($W$2:$W$594=$W367,1,0))</f>
        <v>1</v>
      </c>
    </row>
    <row r="368" spans="1:27" x14ac:dyDescent="0.25">
      <c r="B368" t="s">
        <v>1522</v>
      </c>
      <c r="C368" t="s">
        <v>1530</v>
      </c>
      <c r="D368" t="s">
        <v>106</v>
      </c>
      <c r="E368">
        <v>4</v>
      </c>
      <c r="F368" t="str">
        <f t="shared" si="5"/>
        <v>9/2</v>
      </c>
      <c r="G368" s="1" t="s">
        <v>177</v>
      </c>
      <c r="I368" s="3" t="s">
        <v>63</v>
      </c>
      <c r="K368" s="3" t="s">
        <v>14</v>
      </c>
      <c r="L368" s="4" t="s">
        <v>177</v>
      </c>
      <c r="M368" s="4" t="s">
        <v>177</v>
      </c>
      <c r="N368" s="3" t="s">
        <v>63</v>
      </c>
      <c r="O368" s="3" t="s">
        <v>151</v>
      </c>
      <c r="P368" s="3" t="s">
        <v>106</v>
      </c>
      <c r="Q368" s="3">
        <v>89</v>
      </c>
      <c r="W368" s="4" t="s">
        <v>179</v>
      </c>
      <c r="X368" s="3" t="s">
        <v>21</v>
      </c>
      <c r="Y368" cm="1">
        <f t="array" ref="Y368">SUM(IF(INT($M$2:$M$594)&amp;" "&amp;$K$2:$K$594=INT($M368)&amp;" "&amp;$K368,1,0))</f>
        <v>1</v>
      </c>
      <c r="Z368" cm="1">
        <f t="array" ref="Z368">SUM(IF(ROUND($M$2:$M$594,0)&amp;" "&amp;$K$2:$K$594=ROUND($M368,0)&amp;" "&amp;$K368,1,0))</f>
        <v>1</v>
      </c>
      <c r="AA368" cm="1">
        <f t="array" ref="AA368">SUM(IF($W$2:$W$594=$W368,1,0))</f>
        <v>1</v>
      </c>
    </row>
    <row r="369" spans="1:27" x14ac:dyDescent="0.25">
      <c r="B369" t="s">
        <v>1524</v>
      </c>
      <c r="C369" t="s">
        <v>1520</v>
      </c>
      <c r="D369" t="s">
        <v>173</v>
      </c>
      <c r="E369">
        <v>2</v>
      </c>
      <c r="F369" t="str">
        <f t="shared" si="5"/>
        <v>5/2</v>
      </c>
      <c r="G369" s="1" t="s">
        <v>180</v>
      </c>
      <c r="I369" s="3" t="s">
        <v>63</v>
      </c>
      <c r="K369" s="3" t="s">
        <v>43</v>
      </c>
      <c r="L369" s="4" t="s">
        <v>180</v>
      </c>
      <c r="M369" s="4" t="s">
        <v>180</v>
      </c>
      <c r="N369" s="3" t="s">
        <v>63</v>
      </c>
      <c r="O369" s="3" t="s">
        <v>61</v>
      </c>
      <c r="P369" s="3" t="s">
        <v>173</v>
      </c>
      <c r="Q369" s="3">
        <v>41</v>
      </c>
      <c r="T369" s="3">
        <v>17</v>
      </c>
      <c r="V369" s="3" t="s">
        <v>1878</v>
      </c>
      <c r="W369" s="4" t="s">
        <v>182</v>
      </c>
      <c r="X369" s="3" t="s">
        <v>21</v>
      </c>
      <c r="Y369" cm="1">
        <f t="array" ref="Y369">SUM(IF(INT($M$2:$M$594)&amp;" "&amp;$K$2:$K$594=INT($M369)&amp;" "&amp;$K369,1,0))</f>
        <v>1</v>
      </c>
      <c r="Z369" cm="1">
        <f t="array" ref="Z369">SUM(IF(ROUND($M$2:$M$594,0)&amp;" "&amp;$K$2:$K$594=ROUND($M369,0)&amp;" "&amp;$K369,1,0))</f>
        <v>1</v>
      </c>
      <c r="AA369" cm="1">
        <f t="array" ref="AA369">SUM(IF($W$2:$W$594=$W369,1,0))</f>
        <v>1</v>
      </c>
    </row>
    <row r="370" spans="1:27" x14ac:dyDescent="0.25">
      <c r="B370" t="s">
        <v>1525</v>
      </c>
      <c r="C370" t="s">
        <v>1530</v>
      </c>
      <c r="D370" t="s">
        <v>186</v>
      </c>
      <c r="E370">
        <v>1</v>
      </c>
      <c r="F370" t="str">
        <f t="shared" si="5"/>
        <v>3/2</v>
      </c>
      <c r="G370" s="1" t="s">
        <v>187</v>
      </c>
      <c r="I370" s="3" t="s">
        <v>63</v>
      </c>
      <c r="K370" s="3" t="s">
        <v>35</v>
      </c>
      <c r="L370" s="4" t="s">
        <v>187</v>
      </c>
      <c r="M370" s="4" t="s">
        <v>187</v>
      </c>
      <c r="N370" s="3" t="s">
        <v>63</v>
      </c>
      <c r="O370" s="3" t="s">
        <v>151</v>
      </c>
      <c r="P370" s="3" t="s">
        <v>186</v>
      </c>
      <c r="Q370" s="3">
        <v>60</v>
      </c>
      <c r="T370" s="3">
        <v>17</v>
      </c>
      <c r="V370" s="3" t="s">
        <v>1884</v>
      </c>
      <c r="W370" s="4" t="s">
        <v>189</v>
      </c>
      <c r="X370" s="3" t="s">
        <v>21</v>
      </c>
      <c r="Y370" cm="1">
        <f t="array" ref="Y370">SUM(IF(INT($M$2:$M$594)&amp;" "&amp;$K$2:$K$594=INT($M370)&amp;" "&amp;$K370,1,0))</f>
        <v>1</v>
      </c>
      <c r="Z370" cm="1">
        <f t="array" ref="Z370">SUM(IF(ROUND($M$2:$M$594,0)&amp;" "&amp;$K$2:$K$594=ROUND($M370,0)&amp;" "&amp;$K370,1,0))</f>
        <v>1</v>
      </c>
      <c r="AA370" cm="1">
        <f t="array" ref="AA370">SUM(IF($W$2:$W$594=$W370,1,0))</f>
        <v>1</v>
      </c>
    </row>
    <row r="371" spans="1:27" x14ac:dyDescent="0.25">
      <c r="B371" t="s">
        <v>1519</v>
      </c>
      <c r="C371" t="s">
        <v>1520</v>
      </c>
      <c r="D371" t="s">
        <v>106</v>
      </c>
      <c r="E371">
        <v>6</v>
      </c>
      <c r="F371" t="str">
        <f t="shared" si="5"/>
        <v>13/2</v>
      </c>
      <c r="G371" s="1" t="s">
        <v>190</v>
      </c>
      <c r="I371" s="3" t="s">
        <v>63</v>
      </c>
      <c r="K371" s="3" t="s">
        <v>26</v>
      </c>
      <c r="L371" s="4" t="s">
        <v>190</v>
      </c>
      <c r="M371" s="4" t="s">
        <v>190</v>
      </c>
      <c r="N371" s="3" t="s">
        <v>63</v>
      </c>
      <c r="O371" s="3" t="s">
        <v>61</v>
      </c>
      <c r="P371" s="3" t="s">
        <v>106</v>
      </c>
      <c r="Q371" s="3">
        <v>77</v>
      </c>
      <c r="T371" s="3">
        <v>13</v>
      </c>
      <c r="V371" s="3" t="s">
        <v>1885</v>
      </c>
      <c r="W371" s="4" t="s">
        <v>192</v>
      </c>
      <c r="X371" s="3" t="s">
        <v>21</v>
      </c>
      <c r="Y371" cm="1">
        <f t="array" ref="Y371">SUM(IF(INT($M$2:$M$594)&amp;" "&amp;$K$2:$K$594=INT($M371)&amp;" "&amp;$K371,1,0))</f>
        <v>1</v>
      </c>
      <c r="Z371" cm="1">
        <f t="array" ref="Z371">SUM(IF(ROUND($M$2:$M$594,0)&amp;" "&amp;$K$2:$K$594=ROUND($M371,0)&amp;" "&amp;$K371,1,0))</f>
        <v>1</v>
      </c>
      <c r="AA371" cm="1">
        <f t="array" ref="AA371">SUM(IF($W$2:$W$594=$W371,1,0))</f>
        <v>1</v>
      </c>
    </row>
    <row r="372" spans="1:27" x14ac:dyDescent="0.25">
      <c r="B372" t="s">
        <v>1526</v>
      </c>
      <c r="C372" t="s">
        <v>1520</v>
      </c>
      <c r="D372" t="s">
        <v>193</v>
      </c>
      <c r="E372">
        <v>3</v>
      </c>
      <c r="F372" t="str">
        <f t="shared" si="5"/>
        <v>7/2</v>
      </c>
      <c r="G372" s="1" t="s">
        <v>194</v>
      </c>
      <c r="I372" s="3" t="s">
        <v>63</v>
      </c>
      <c r="K372" s="3" t="s">
        <v>47</v>
      </c>
      <c r="L372" s="4" t="s">
        <v>194</v>
      </c>
      <c r="M372" s="4" t="s">
        <v>194</v>
      </c>
      <c r="N372" s="3" t="s">
        <v>63</v>
      </c>
      <c r="O372" s="3" t="s">
        <v>61</v>
      </c>
      <c r="P372" s="3" t="s">
        <v>193</v>
      </c>
      <c r="Q372" s="3">
        <v>38</v>
      </c>
      <c r="W372" s="4" t="s">
        <v>196</v>
      </c>
      <c r="X372" s="3" t="s">
        <v>21</v>
      </c>
      <c r="Y372" cm="1">
        <f t="array" ref="Y372">SUM(IF(INT($M$2:$M$594)&amp;" "&amp;$K$2:$K$594=INT($M372)&amp;" "&amp;$K372,1,0))</f>
        <v>1</v>
      </c>
      <c r="Z372" cm="1">
        <f t="array" ref="Z372">SUM(IF(ROUND($M$2:$M$594,0)&amp;" "&amp;$K$2:$K$594=ROUND($M372,0)&amp;" "&amp;$K372,1,0))</f>
        <v>1</v>
      </c>
      <c r="AA372" cm="1">
        <f t="array" ref="AA372">SUM(IF($W$2:$W$594=$W372,1,0))</f>
        <v>1</v>
      </c>
    </row>
    <row r="373" spans="1:27" x14ac:dyDescent="0.25">
      <c r="B373" t="s">
        <v>1527</v>
      </c>
      <c r="C373" t="s">
        <v>1530</v>
      </c>
      <c r="D373" t="s">
        <v>86</v>
      </c>
      <c r="E373">
        <v>2</v>
      </c>
      <c r="F373" t="str">
        <f t="shared" si="5"/>
        <v>5/2</v>
      </c>
      <c r="G373" s="1" t="s">
        <v>197</v>
      </c>
      <c r="I373" s="3" t="s">
        <v>63</v>
      </c>
      <c r="K373" s="3" t="s">
        <v>43</v>
      </c>
      <c r="L373" s="4" t="s">
        <v>197</v>
      </c>
      <c r="M373" s="4" t="s">
        <v>197</v>
      </c>
      <c r="N373" s="3" t="s">
        <v>63</v>
      </c>
      <c r="O373" s="3" t="s">
        <v>151</v>
      </c>
      <c r="P373" s="3" t="s">
        <v>86</v>
      </c>
      <c r="Q373" s="3">
        <v>40</v>
      </c>
      <c r="T373" s="3">
        <v>16</v>
      </c>
      <c r="V373" s="3" t="s">
        <v>1886</v>
      </c>
      <c r="W373" s="4" t="s">
        <v>199</v>
      </c>
      <c r="X373" s="3" t="s">
        <v>21</v>
      </c>
      <c r="Y373" cm="1">
        <f t="array" ref="Y373">SUM(IF(INT($M$2:$M$594)&amp;" "&amp;$K$2:$K$594=INT($M373)&amp;" "&amp;$K373,1,0))</f>
        <v>1</v>
      </c>
      <c r="Z373" cm="1">
        <f t="array" ref="Z373">SUM(IF(ROUND($M$2:$M$594,0)&amp;" "&amp;$K$2:$K$594=ROUND($M373,0)&amp;" "&amp;$K373,1,0))</f>
        <v>1</v>
      </c>
      <c r="AA373" cm="1">
        <f t="array" ref="AA373">SUM(IF($W$2:$W$594=$W373,1,0))</f>
        <v>1</v>
      </c>
    </row>
    <row r="374" spans="1:27" x14ac:dyDescent="0.25">
      <c r="B374" t="s">
        <v>1528</v>
      </c>
      <c r="C374" t="s">
        <v>1528</v>
      </c>
      <c r="E374">
        <v>4</v>
      </c>
      <c r="F374" t="str">
        <f t="shared" si="5"/>
        <v>9/2</v>
      </c>
      <c r="G374" s="1" t="s">
        <v>201</v>
      </c>
      <c r="I374" s="3" t="s">
        <v>63</v>
      </c>
      <c r="K374" s="3" t="s">
        <v>14</v>
      </c>
      <c r="L374" s="4" t="s">
        <v>201</v>
      </c>
      <c r="M374" s="4" t="s">
        <v>201</v>
      </c>
      <c r="N374" s="3" t="s">
        <v>63</v>
      </c>
      <c r="O374" s="3" t="s">
        <v>200</v>
      </c>
      <c r="P374" s="3" t="s">
        <v>17</v>
      </c>
      <c r="Q374" s="3">
        <v>33</v>
      </c>
      <c r="R374" s="3" t="s">
        <v>62</v>
      </c>
      <c r="T374" s="3">
        <v>13</v>
      </c>
      <c r="V374" s="3" t="s">
        <v>1878</v>
      </c>
      <c r="W374" s="4" t="s">
        <v>203</v>
      </c>
      <c r="X374" s="3" t="s">
        <v>21</v>
      </c>
      <c r="Y374" cm="1">
        <f t="array" ref="Y374">SUM(IF(INT($M$2:$M$594)&amp;" "&amp;$K$2:$K$594=INT($M374)&amp;" "&amp;$K374,1,0))</f>
        <v>1</v>
      </c>
      <c r="Z374" cm="1">
        <f t="array" ref="Z374">SUM(IF(ROUND($M$2:$M$594,0)&amp;" "&amp;$K$2:$K$594=ROUND($M374,0)&amp;" "&amp;$K374,1,0))</f>
        <v>1</v>
      </c>
      <c r="AA374" cm="1">
        <f t="array" ref="AA374">SUM(IF($W$2:$W$594=$W374,1,0))</f>
        <v>1</v>
      </c>
    </row>
    <row r="375" spans="1:27" x14ac:dyDescent="0.25">
      <c r="A375" t="s">
        <v>1664</v>
      </c>
      <c r="B375" t="s">
        <v>1680</v>
      </c>
      <c r="C375" t="s">
        <v>1530</v>
      </c>
      <c r="D375" t="s">
        <v>1729</v>
      </c>
      <c r="E375">
        <v>0</v>
      </c>
      <c r="F375" t="str">
        <f t="shared" si="5"/>
        <v>1/2</v>
      </c>
      <c r="G375" s="1" t="s">
        <v>1529</v>
      </c>
      <c r="I375" s="3" t="s">
        <v>63</v>
      </c>
      <c r="K375" s="3" t="s">
        <v>145</v>
      </c>
      <c r="M375" s="4" t="s">
        <v>1529</v>
      </c>
      <c r="N375" s="3" t="s">
        <v>63</v>
      </c>
      <c r="O375" s="3" t="s">
        <v>151</v>
      </c>
      <c r="W375" s="5" t="s">
        <v>2040</v>
      </c>
      <c r="X375" s="3" t="s">
        <v>1757</v>
      </c>
      <c r="Y375" cm="1">
        <f t="array" ref="Y375">SUM(IF(INT($M$2:$M$594)&amp;" "&amp;$K$2:$K$594=INT($M375)&amp;" "&amp;$K375,1,0))</f>
        <v>1</v>
      </c>
      <c r="Z375" cm="1">
        <f t="array" ref="Z375">SUM(IF(ROUND($M$2:$M$594,0)&amp;" "&amp;$K$2:$K$594=ROUND($M375,0)&amp;" "&amp;$K375,1,0))</f>
        <v>1</v>
      </c>
      <c r="AA375" cm="1">
        <f t="array" ref="AA375">SUM(IF($W$2:$W$594=$W375,1,0))</f>
        <v>1</v>
      </c>
    </row>
    <row r="376" spans="1:27" x14ac:dyDescent="0.25">
      <c r="B376" t="s">
        <v>1525</v>
      </c>
      <c r="C376" t="s">
        <v>1530</v>
      </c>
      <c r="D376" t="s">
        <v>186</v>
      </c>
      <c r="E376">
        <v>2</v>
      </c>
      <c r="F376" t="str">
        <f t="shared" si="5"/>
        <v>5/2</v>
      </c>
      <c r="G376" s="1" t="s">
        <v>204</v>
      </c>
      <c r="I376" s="3" t="s">
        <v>63</v>
      </c>
      <c r="K376" s="3" t="s">
        <v>43</v>
      </c>
      <c r="L376" s="4" t="s">
        <v>204</v>
      </c>
      <c r="M376" s="4" t="s">
        <v>204</v>
      </c>
      <c r="N376" s="3" t="s">
        <v>63</v>
      </c>
      <c r="O376" s="3" t="s">
        <v>151</v>
      </c>
      <c r="P376" s="3" t="s">
        <v>186</v>
      </c>
      <c r="Q376" s="3">
        <v>39</v>
      </c>
      <c r="T376" s="3">
        <v>14</v>
      </c>
      <c r="V376" s="3" t="s">
        <v>1887</v>
      </c>
      <c r="W376" s="4" t="s">
        <v>206</v>
      </c>
      <c r="X376" s="3" t="s">
        <v>21</v>
      </c>
      <c r="Y376" cm="1">
        <f t="array" ref="Y376">SUM(IF(INT($M$2:$M$594)&amp;" "&amp;$K$2:$K$594=INT($M376)&amp;" "&amp;$K376,1,0))</f>
        <v>1</v>
      </c>
      <c r="Z376" cm="1">
        <f t="array" ref="Z376">SUM(IF(ROUND($M$2:$M$594,0)&amp;" "&amp;$K$2:$K$594=ROUND($M376,0)&amp;" "&amp;$K376,1,0))</f>
        <v>1</v>
      </c>
      <c r="AA376" cm="1">
        <f t="array" ref="AA376">SUM(IF($W$2:$W$594=$W376,1,0))</f>
        <v>1</v>
      </c>
    </row>
    <row r="377" spans="1:27" x14ac:dyDescent="0.25">
      <c r="B377" t="s">
        <v>1522</v>
      </c>
      <c r="C377" t="s">
        <v>1530</v>
      </c>
      <c r="D377" t="s">
        <v>106</v>
      </c>
      <c r="E377">
        <v>5</v>
      </c>
      <c r="F377" t="str">
        <f t="shared" si="5"/>
        <v>11/2</v>
      </c>
      <c r="G377" s="1" t="s">
        <v>207</v>
      </c>
      <c r="I377" s="3" t="s">
        <v>63</v>
      </c>
      <c r="K377" s="3" t="s">
        <v>22</v>
      </c>
      <c r="L377" s="4" t="s">
        <v>207</v>
      </c>
      <c r="M377" s="4" t="s">
        <v>207</v>
      </c>
      <c r="N377" s="3" t="s">
        <v>63</v>
      </c>
      <c r="O377" s="3" t="s">
        <v>151</v>
      </c>
      <c r="P377" s="3" t="s">
        <v>106</v>
      </c>
      <c r="Q377" s="3">
        <v>88</v>
      </c>
      <c r="W377" s="4" t="s">
        <v>208</v>
      </c>
      <c r="X377" s="3" t="s">
        <v>21</v>
      </c>
      <c r="Y377" cm="1">
        <f t="array" ref="Y377">SUM(IF(INT($M$2:$M$594)&amp;" "&amp;$K$2:$K$594=INT($M377)&amp;" "&amp;$K377,1,0))</f>
        <v>1</v>
      </c>
      <c r="Z377" cm="1">
        <f t="array" ref="Z377">SUM(IF(ROUND($M$2:$M$594,0)&amp;" "&amp;$K$2:$K$594=ROUND($M377,0)&amp;" "&amp;$K377,1,0))</f>
        <v>1</v>
      </c>
      <c r="AA377" cm="1">
        <f t="array" ref="AA377">SUM(IF($W$2:$W$594=$W377,1,0))</f>
        <v>1</v>
      </c>
    </row>
    <row r="378" spans="1:27" x14ac:dyDescent="0.25">
      <c r="B378" t="s">
        <v>1527</v>
      </c>
      <c r="C378" t="s">
        <v>1530</v>
      </c>
      <c r="D378" t="s">
        <v>86</v>
      </c>
      <c r="E378">
        <v>3</v>
      </c>
      <c r="F378" t="str">
        <f t="shared" si="5"/>
        <v>7/2</v>
      </c>
      <c r="G378" s="1" t="s">
        <v>209</v>
      </c>
      <c r="I378" s="3" t="s">
        <v>63</v>
      </c>
      <c r="K378" s="3" t="s">
        <v>47</v>
      </c>
      <c r="L378" s="4" t="s">
        <v>209</v>
      </c>
      <c r="M378" s="4" t="s">
        <v>209</v>
      </c>
      <c r="N378" s="3" t="s">
        <v>63</v>
      </c>
      <c r="O378" s="3" t="s">
        <v>151</v>
      </c>
      <c r="P378" s="3" t="s">
        <v>86</v>
      </c>
      <c r="Q378" s="3">
        <v>40</v>
      </c>
      <c r="T378" s="3">
        <v>27</v>
      </c>
      <c r="V378" s="3" t="s">
        <v>1887</v>
      </c>
      <c r="W378" s="4" t="s">
        <v>211</v>
      </c>
      <c r="X378" s="3" t="s">
        <v>21</v>
      </c>
      <c r="Y378" cm="1">
        <f t="array" ref="Y378">SUM(IF(INT($M$2:$M$594)&amp;" "&amp;$K$2:$K$594=INT($M378)&amp;" "&amp;$K378,1,0))</f>
        <v>1</v>
      </c>
      <c r="Z378" cm="1">
        <f t="array" ref="Z378">SUM(IF(ROUND($M$2:$M$594,0)&amp;" "&amp;$K$2:$K$594=ROUND($M378,0)&amp;" "&amp;$K378,1,0))</f>
        <v>1</v>
      </c>
      <c r="AA378" cm="1">
        <f t="array" ref="AA378">SUM(IF($W$2:$W$594=$W378,1,0))</f>
        <v>1</v>
      </c>
    </row>
    <row r="379" spans="1:27" x14ac:dyDescent="0.25">
      <c r="B379" t="s">
        <v>1530</v>
      </c>
      <c r="C379" t="s">
        <v>1530</v>
      </c>
      <c r="E379">
        <v>1</v>
      </c>
      <c r="F379" t="str">
        <f t="shared" si="5"/>
        <v>3/2</v>
      </c>
      <c r="G379" s="1" t="s">
        <v>212</v>
      </c>
      <c r="I379" s="3" t="s">
        <v>63</v>
      </c>
      <c r="K379" s="3" t="s">
        <v>35</v>
      </c>
      <c r="L379" s="4" t="s">
        <v>212</v>
      </c>
      <c r="M379" s="4" t="s">
        <v>212</v>
      </c>
      <c r="N379" s="3" t="s">
        <v>63</v>
      </c>
      <c r="O379" s="3" t="s">
        <v>151</v>
      </c>
      <c r="P379" s="3" t="s">
        <v>17</v>
      </c>
      <c r="Q379" s="3">
        <v>30</v>
      </c>
      <c r="R379" s="3" t="s">
        <v>221</v>
      </c>
      <c r="T379" s="3">
        <v>27</v>
      </c>
      <c r="V379" s="3" t="s">
        <v>1888</v>
      </c>
      <c r="W379" s="4" t="s">
        <v>214</v>
      </c>
      <c r="X379" s="3" t="s">
        <v>21</v>
      </c>
      <c r="Y379" cm="1">
        <f t="array" ref="Y379">SUM(IF(INT($M$2:$M$594)&amp;" "&amp;$K$2:$K$594=INT($M379)&amp;" "&amp;$K379,1,0))</f>
        <v>1</v>
      </c>
      <c r="Z379" cm="1">
        <f t="array" ref="Z379">SUM(IF(ROUND($M$2:$M$594,0)&amp;" "&amp;$K$2:$K$594=ROUND($M379,0)&amp;" "&amp;$K379,1,0))</f>
        <v>1</v>
      </c>
      <c r="AA379" cm="1">
        <f t="array" ref="AA379">SUM(IF($W$2:$W$594=$W379,1,0))</f>
        <v>1</v>
      </c>
    </row>
    <row r="380" spans="1:27" x14ac:dyDescent="0.25">
      <c r="B380" t="s">
        <v>1520</v>
      </c>
      <c r="C380" t="s">
        <v>1520</v>
      </c>
      <c r="E380">
        <v>3</v>
      </c>
      <c r="F380" t="str">
        <f t="shared" si="5"/>
        <v>7/2</v>
      </c>
      <c r="G380" s="1" t="s">
        <v>215</v>
      </c>
      <c r="I380" s="3" t="s">
        <v>63</v>
      </c>
      <c r="K380" s="3" t="s">
        <v>47</v>
      </c>
      <c r="L380" s="4" t="s">
        <v>215</v>
      </c>
      <c r="M380" s="4" t="s">
        <v>215</v>
      </c>
      <c r="N380" s="3" t="s">
        <v>63</v>
      </c>
      <c r="O380" s="3" t="s">
        <v>61</v>
      </c>
      <c r="P380" s="3" t="s">
        <v>17</v>
      </c>
      <c r="Q380" s="3">
        <v>22</v>
      </c>
      <c r="R380" s="3" t="s">
        <v>173</v>
      </c>
      <c r="T380" s="3">
        <v>16</v>
      </c>
      <c r="V380" s="3" t="s">
        <v>1878</v>
      </c>
      <c r="W380" s="4" t="s">
        <v>217</v>
      </c>
      <c r="X380" s="3" t="s">
        <v>21</v>
      </c>
      <c r="Y380" cm="1">
        <f t="array" ref="Y380">SUM(IF(INT($M$2:$M$594)&amp;" "&amp;$K$2:$K$594=INT($M380)&amp;" "&amp;$K380,1,0))</f>
        <v>1</v>
      </c>
      <c r="Z380" cm="1">
        <f t="array" ref="Z380">SUM(IF(ROUND($M$2:$M$594,0)&amp;" "&amp;$K$2:$K$594=ROUND($M380,0)&amp;" "&amp;$K380,1,0))</f>
        <v>1</v>
      </c>
      <c r="AA380" cm="1">
        <f t="array" ref="AA380">SUM(IF($W$2:$W$594=$W380,1,0))</f>
        <v>1</v>
      </c>
    </row>
    <row r="381" spans="1:27" x14ac:dyDescent="0.25">
      <c r="B381" t="s">
        <v>1524</v>
      </c>
      <c r="C381" t="s">
        <v>1520</v>
      </c>
      <c r="D381" t="s">
        <v>173</v>
      </c>
      <c r="E381">
        <v>4</v>
      </c>
      <c r="F381" t="str">
        <f t="shared" si="5"/>
        <v>9/2</v>
      </c>
      <c r="G381" s="1" t="s">
        <v>218</v>
      </c>
      <c r="I381" s="3" t="s">
        <v>63</v>
      </c>
      <c r="K381" s="3" t="s">
        <v>14</v>
      </c>
      <c r="L381" s="4" t="s">
        <v>218</v>
      </c>
      <c r="M381" s="4" t="s">
        <v>218</v>
      </c>
      <c r="N381" s="3" t="s">
        <v>63</v>
      </c>
      <c r="O381" s="3" t="s">
        <v>61</v>
      </c>
      <c r="P381" s="3" t="s">
        <v>173</v>
      </c>
      <c r="Q381" s="3">
        <v>49</v>
      </c>
      <c r="T381" s="3">
        <v>13</v>
      </c>
      <c r="V381" s="3" t="s">
        <v>1889</v>
      </c>
      <c r="W381" s="4" t="s">
        <v>220</v>
      </c>
      <c r="X381" s="3" t="s">
        <v>21</v>
      </c>
      <c r="Y381" cm="1">
        <f t="array" ref="Y381">SUM(IF(INT($M$2:$M$594)&amp;" "&amp;$K$2:$K$594=INT($M381)&amp;" "&amp;$K381,1,0))</f>
        <v>1</v>
      </c>
      <c r="Z381" cm="1">
        <f t="array" ref="Z381">SUM(IF(ROUND($M$2:$M$594,0)&amp;" "&amp;$K$2:$K$594=ROUND($M381,0)&amp;" "&amp;$K381,1,0))</f>
        <v>1</v>
      </c>
      <c r="AA381" cm="1">
        <f t="array" ref="AA381">SUM(IF($W$2:$W$594=$W381,1,0))</f>
        <v>1</v>
      </c>
    </row>
    <row r="382" spans="1:27" x14ac:dyDescent="0.25">
      <c r="B382" t="s">
        <v>1531</v>
      </c>
      <c r="C382" t="s">
        <v>1530</v>
      </c>
      <c r="D382" t="s">
        <v>221</v>
      </c>
      <c r="E382">
        <v>1</v>
      </c>
      <c r="F382" t="str">
        <f t="shared" si="5"/>
        <v>3/2</v>
      </c>
      <c r="G382" s="1" t="s">
        <v>222</v>
      </c>
      <c r="I382" s="3" t="s">
        <v>63</v>
      </c>
      <c r="K382" s="3" t="s">
        <v>35</v>
      </c>
      <c r="L382" s="4" t="s">
        <v>222</v>
      </c>
      <c r="M382" s="4" t="s">
        <v>222</v>
      </c>
      <c r="N382" s="3" t="s">
        <v>63</v>
      </c>
      <c r="O382" s="3" t="s">
        <v>151</v>
      </c>
      <c r="P382" s="3" t="s">
        <v>221</v>
      </c>
      <c r="Q382" s="3">
        <v>30</v>
      </c>
      <c r="T382" s="3">
        <v>23</v>
      </c>
      <c r="V382" s="3" t="s">
        <v>1886</v>
      </c>
      <c r="W382" s="4" t="s">
        <v>224</v>
      </c>
      <c r="X382" s="3" t="s">
        <v>21</v>
      </c>
      <c r="Y382" cm="1">
        <f t="array" ref="Y382">SUM(IF(INT($M$2:$M$594)&amp;" "&amp;$K$2:$K$594=INT($M382)&amp;" "&amp;$K382,1,0))</f>
        <v>1</v>
      </c>
      <c r="Z382" cm="1">
        <f t="array" ref="Z382">SUM(IF(ROUND($M$2:$M$594,0)&amp;" "&amp;$K$2:$K$594=ROUND($M382,0)&amp;" "&amp;$K382,1,0))</f>
        <v>1</v>
      </c>
      <c r="AA382" cm="1">
        <f t="array" ref="AA382">SUM(IF($W$2:$W$594=$W382,1,0))</f>
        <v>1</v>
      </c>
    </row>
    <row r="383" spans="1:27" x14ac:dyDescent="0.25">
      <c r="B383" t="s">
        <v>1522</v>
      </c>
      <c r="C383" t="s">
        <v>1530</v>
      </c>
      <c r="D383" t="s">
        <v>106</v>
      </c>
      <c r="E383">
        <v>6</v>
      </c>
      <c r="F383" t="str">
        <f t="shared" si="5"/>
        <v>13/2</v>
      </c>
      <c r="G383" s="1" t="s">
        <v>229</v>
      </c>
      <c r="I383" s="3" t="s">
        <v>63</v>
      </c>
      <c r="K383" s="3" t="s">
        <v>26</v>
      </c>
      <c r="L383" s="4" t="s">
        <v>229</v>
      </c>
      <c r="M383" s="4" t="s">
        <v>229</v>
      </c>
      <c r="N383" s="3" t="s">
        <v>63</v>
      </c>
      <c r="O383" s="3" t="s">
        <v>151</v>
      </c>
      <c r="P383" s="3" t="s">
        <v>106</v>
      </c>
      <c r="Q383" s="3">
        <v>71</v>
      </c>
      <c r="T383" s="3">
        <v>15</v>
      </c>
      <c r="V383" s="3" t="s">
        <v>1890</v>
      </c>
      <c r="W383" s="4" t="s">
        <v>231</v>
      </c>
      <c r="X383" s="3" t="s">
        <v>21</v>
      </c>
      <c r="Y383" cm="1">
        <f t="array" ref="Y383">SUM(IF(INT($M$2:$M$594)&amp;" "&amp;$K$2:$K$594=INT($M383)&amp;" "&amp;$K383,1,0))</f>
        <v>1</v>
      </c>
      <c r="Z383" cm="1">
        <f t="array" ref="Z383">SUM(IF(ROUND($M$2:$M$594,0)&amp;" "&amp;$K$2:$K$594=ROUND($M383,0)&amp;" "&amp;$K383,1,0))</f>
        <v>1</v>
      </c>
      <c r="AA383" cm="1">
        <f t="array" ref="AA383">SUM(IF($W$2:$W$594=$W383,1,0))</f>
        <v>1</v>
      </c>
    </row>
    <row r="384" spans="1:27" x14ac:dyDescent="0.25">
      <c r="B384" t="s">
        <v>1528</v>
      </c>
      <c r="C384" t="s">
        <v>1528</v>
      </c>
      <c r="E384">
        <v>5</v>
      </c>
      <c r="F384" t="str">
        <f t="shared" si="5"/>
        <v>11/2</v>
      </c>
      <c r="G384" s="1" t="s">
        <v>235</v>
      </c>
      <c r="I384" s="3" t="s">
        <v>63</v>
      </c>
      <c r="K384" s="3" t="s">
        <v>22</v>
      </c>
      <c r="L384" s="4" t="s">
        <v>235</v>
      </c>
      <c r="M384" s="4" t="s">
        <v>235</v>
      </c>
      <c r="N384" s="3" t="s">
        <v>63</v>
      </c>
      <c r="O384" s="3" t="s">
        <v>200</v>
      </c>
      <c r="P384" s="3" t="s">
        <v>17</v>
      </c>
      <c r="Q384" s="3">
        <v>35</v>
      </c>
      <c r="R384" s="3" t="s">
        <v>62</v>
      </c>
      <c r="T384" s="3">
        <v>22</v>
      </c>
      <c r="V384" s="3" t="s">
        <v>1878</v>
      </c>
      <c r="W384" s="4" t="s">
        <v>237</v>
      </c>
      <c r="X384" s="3" t="s">
        <v>21</v>
      </c>
      <c r="Y384" cm="1">
        <f t="array" ref="Y384">SUM(IF(INT($M$2:$M$594)&amp;" "&amp;$K$2:$K$594=INT($M384)&amp;" "&amp;$K384,1,0))</f>
        <v>1</v>
      </c>
      <c r="Z384" cm="1">
        <f t="array" ref="Z384">SUM(IF(ROUND($M$2:$M$594,0)&amp;" "&amp;$K$2:$K$594=ROUND($M384,0)&amp;" "&amp;$K384,1,0))</f>
        <v>1</v>
      </c>
      <c r="AA384" cm="1">
        <f t="array" ref="AA384">SUM(IF($W$2:$W$594=$W384,1,0))</f>
        <v>1</v>
      </c>
    </row>
    <row r="385" spans="2:27" x14ac:dyDescent="0.25">
      <c r="B385" t="s">
        <v>1530</v>
      </c>
      <c r="C385" t="s">
        <v>1530</v>
      </c>
      <c r="E385">
        <v>2</v>
      </c>
      <c r="F385" t="str">
        <f t="shared" si="5"/>
        <v>5/2</v>
      </c>
      <c r="G385" s="1" t="s">
        <v>241</v>
      </c>
      <c r="I385" s="3" t="s">
        <v>63</v>
      </c>
      <c r="K385" s="3" t="s">
        <v>43</v>
      </c>
      <c r="L385" s="4" t="s">
        <v>241</v>
      </c>
      <c r="M385" s="4" t="s">
        <v>241</v>
      </c>
      <c r="N385" s="3" t="s">
        <v>63</v>
      </c>
      <c r="O385" s="3" t="s">
        <v>151</v>
      </c>
      <c r="P385" s="3" t="s">
        <v>17</v>
      </c>
      <c r="Q385" s="3">
        <v>23</v>
      </c>
      <c r="R385" s="3" t="s">
        <v>173</v>
      </c>
      <c r="T385" s="3">
        <v>15</v>
      </c>
      <c r="V385" s="3" t="s">
        <v>1891</v>
      </c>
      <c r="W385" s="4" t="s">
        <v>243</v>
      </c>
      <c r="X385" s="3" t="s">
        <v>21</v>
      </c>
      <c r="Y385" cm="1">
        <f t="array" ref="Y385">SUM(IF(INT($M$2:$M$594)&amp;" "&amp;$K$2:$K$594=INT($M385)&amp;" "&amp;$K385,1,0))</f>
        <v>1</v>
      </c>
      <c r="Z385" cm="1">
        <f t="array" ref="Z385">SUM(IF(ROUND($M$2:$M$594,0)&amp;" "&amp;$K$2:$K$594=ROUND($M385,0)&amp;" "&amp;$K385,1,0))</f>
        <v>1</v>
      </c>
      <c r="AA385" cm="1">
        <f t="array" ref="AA385">SUM(IF($W$2:$W$594=$W385,1,0))</f>
        <v>1</v>
      </c>
    </row>
    <row r="386" spans="2:27" x14ac:dyDescent="0.25">
      <c r="B386" t="s">
        <v>1532</v>
      </c>
      <c r="C386" t="s">
        <v>1520</v>
      </c>
      <c r="D386" t="s">
        <v>244</v>
      </c>
      <c r="E386">
        <v>6</v>
      </c>
      <c r="F386" t="str">
        <f t="shared" si="5"/>
        <v>13/2</v>
      </c>
      <c r="G386" s="1" t="s">
        <v>245</v>
      </c>
      <c r="I386" s="3" t="s">
        <v>63</v>
      </c>
      <c r="K386" s="3" t="s">
        <v>26</v>
      </c>
      <c r="L386" s="4" t="s">
        <v>245</v>
      </c>
      <c r="M386" s="4" t="s">
        <v>245</v>
      </c>
      <c r="N386" s="3" t="s">
        <v>63</v>
      </c>
      <c r="O386" s="3" t="s">
        <v>61</v>
      </c>
      <c r="P386" s="3" t="s">
        <v>244</v>
      </c>
      <c r="Q386" s="3">
        <v>71</v>
      </c>
      <c r="T386" s="3">
        <v>19</v>
      </c>
      <c r="V386" s="3" t="s">
        <v>1892</v>
      </c>
      <c r="W386" s="4" t="s">
        <v>247</v>
      </c>
      <c r="X386" s="3" t="s">
        <v>21</v>
      </c>
      <c r="Y386" cm="1">
        <f t="array" ref="Y386">SUM(IF(INT($M$2:$M$594)&amp;" "&amp;$K$2:$K$594=INT($M386)&amp;" "&amp;$K386,1,0))</f>
        <v>1</v>
      </c>
      <c r="Z386" cm="1">
        <f t="array" ref="Z386">SUM(IF(ROUND($M$2:$M$594,0)&amp;" "&amp;$K$2:$K$594=ROUND($M386,0)&amp;" "&amp;$K386,1,0))</f>
        <v>1</v>
      </c>
      <c r="AA386" cm="1">
        <f t="array" ref="AA386">SUM(IF($W$2:$W$594=$W386,1,0))</f>
        <v>1</v>
      </c>
    </row>
    <row r="387" spans="2:27" x14ac:dyDescent="0.25">
      <c r="B387" t="s">
        <v>1528</v>
      </c>
      <c r="C387" t="s">
        <v>1528</v>
      </c>
      <c r="E387">
        <v>3</v>
      </c>
      <c r="F387" t="str">
        <f t="shared" si="5"/>
        <v>7/2</v>
      </c>
      <c r="G387" s="1" t="s">
        <v>248</v>
      </c>
      <c r="I387" s="3" t="s">
        <v>63</v>
      </c>
      <c r="K387" s="3" t="s">
        <v>47</v>
      </c>
      <c r="L387" s="4" t="s">
        <v>248</v>
      </c>
      <c r="M387" s="4" t="s">
        <v>248</v>
      </c>
      <c r="N387" s="3" t="s">
        <v>63</v>
      </c>
      <c r="O387" s="3" t="s">
        <v>200</v>
      </c>
      <c r="P387" s="3" t="s">
        <v>17</v>
      </c>
      <c r="Q387" s="3">
        <v>24</v>
      </c>
      <c r="R387" s="3" t="s">
        <v>193</v>
      </c>
      <c r="T387" s="3">
        <v>17</v>
      </c>
      <c r="V387" s="3" t="s">
        <v>1893</v>
      </c>
      <c r="W387" s="4" t="s">
        <v>250</v>
      </c>
      <c r="X387" s="3" t="s">
        <v>21</v>
      </c>
      <c r="Y387" cm="1">
        <f t="array" ref="Y387">SUM(IF(INT($M$2:$M$594)&amp;" "&amp;$K$2:$K$594=INT($M387)&amp;" "&amp;$K387,1,0))</f>
        <v>1</v>
      </c>
      <c r="Z387" cm="1">
        <f t="array" ref="Z387">SUM(IF(ROUND($M$2:$M$594,0)&amp;" "&amp;$K$2:$K$594=ROUND($M387,0)&amp;" "&amp;$K387,1,0))</f>
        <v>1</v>
      </c>
      <c r="AA387" cm="1">
        <f t="array" ref="AA387">SUM(IF($W$2:$W$594=$W387,1,0))</f>
        <v>1</v>
      </c>
    </row>
    <row r="388" spans="2:27" x14ac:dyDescent="0.25">
      <c r="B388" t="s">
        <v>1531</v>
      </c>
      <c r="C388" t="s">
        <v>1530</v>
      </c>
      <c r="D388" t="s">
        <v>221</v>
      </c>
      <c r="E388">
        <v>2</v>
      </c>
      <c r="F388" t="str">
        <f t="shared" ref="F388:F451" si="6">(2*E388+1)&amp;"/2"</f>
        <v>5/2</v>
      </c>
      <c r="G388" s="1" t="s">
        <v>251</v>
      </c>
      <c r="I388" s="3" t="s">
        <v>63</v>
      </c>
      <c r="K388" s="3" t="s">
        <v>43</v>
      </c>
      <c r="L388" s="4" t="s">
        <v>251</v>
      </c>
      <c r="M388" s="4" t="s">
        <v>251</v>
      </c>
      <c r="N388" s="3" t="s">
        <v>63</v>
      </c>
      <c r="O388" s="3" t="s">
        <v>151</v>
      </c>
      <c r="P388" s="3" t="s">
        <v>221</v>
      </c>
      <c r="Q388" s="3">
        <v>76</v>
      </c>
      <c r="T388" s="3">
        <v>10</v>
      </c>
      <c r="V388" s="3" t="s">
        <v>1893</v>
      </c>
      <c r="W388" s="4" t="s">
        <v>253</v>
      </c>
      <c r="X388" s="3" t="s">
        <v>21</v>
      </c>
      <c r="Y388" cm="1">
        <f t="array" ref="Y388">SUM(IF(INT($M$2:$M$594)&amp;" "&amp;$K$2:$K$594=INT($M388)&amp;" "&amp;$K388,1,0))</f>
        <v>1</v>
      </c>
      <c r="Z388" cm="1">
        <f t="array" ref="Z388">SUM(IF(ROUND($M$2:$M$594,0)&amp;" "&amp;$K$2:$K$594=ROUND($M388,0)&amp;" "&amp;$K388,1,0))</f>
        <v>1</v>
      </c>
      <c r="AA388" cm="1">
        <f t="array" ref="AA388">SUM(IF($W$2:$W$594=$W388,1,0))</f>
        <v>1</v>
      </c>
    </row>
    <row r="389" spans="2:27" x14ac:dyDescent="0.25">
      <c r="B389" t="s">
        <v>1527</v>
      </c>
      <c r="C389" t="s">
        <v>1530</v>
      </c>
      <c r="D389" t="s">
        <v>86</v>
      </c>
      <c r="E389">
        <v>4</v>
      </c>
      <c r="F389" t="str">
        <f t="shared" si="6"/>
        <v>9/2</v>
      </c>
      <c r="G389" s="1" t="s">
        <v>254</v>
      </c>
      <c r="I389" s="3" t="s">
        <v>63</v>
      </c>
      <c r="K389" s="3" t="s">
        <v>14</v>
      </c>
      <c r="L389" s="4" t="s">
        <v>254</v>
      </c>
      <c r="M389" s="4" t="s">
        <v>254</v>
      </c>
      <c r="N389" s="3" t="s">
        <v>63</v>
      </c>
      <c r="O389" s="3" t="s">
        <v>151</v>
      </c>
      <c r="P389" s="3" t="s">
        <v>86</v>
      </c>
      <c r="Q389" s="3">
        <v>48</v>
      </c>
      <c r="T389" s="3">
        <v>14</v>
      </c>
      <c r="V389" s="3" t="s">
        <v>1879</v>
      </c>
      <c r="W389" s="4" t="s">
        <v>256</v>
      </c>
      <c r="X389" s="3" t="s">
        <v>21</v>
      </c>
      <c r="Y389" cm="1">
        <f t="array" ref="Y389">SUM(IF(INT($M$2:$M$594)&amp;" "&amp;$K$2:$K$594=INT($M389)&amp;" "&amp;$K389,1,0))</f>
        <v>1</v>
      </c>
      <c r="Z389" cm="1">
        <f t="array" ref="Z389">SUM(IF(ROUND($M$2:$M$594,0)&amp;" "&amp;$K$2:$K$594=ROUND($M389,0)&amp;" "&amp;$K389,1,0))</f>
        <v>1</v>
      </c>
      <c r="AA389" cm="1">
        <f t="array" ref="AA389">SUM(IF($W$2:$W$594=$W389,1,0))</f>
        <v>1</v>
      </c>
    </row>
    <row r="390" spans="2:27" x14ac:dyDescent="0.25">
      <c r="B390" t="s">
        <v>1531</v>
      </c>
      <c r="C390" t="s">
        <v>1530</v>
      </c>
      <c r="D390" t="s">
        <v>221</v>
      </c>
      <c r="E390">
        <v>0</v>
      </c>
      <c r="F390" t="str">
        <f t="shared" si="6"/>
        <v>1/2</v>
      </c>
      <c r="G390" s="1" t="s">
        <v>257</v>
      </c>
      <c r="I390" s="3" t="s">
        <v>63</v>
      </c>
      <c r="K390" s="3" t="s">
        <v>145</v>
      </c>
      <c r="L390" s="4" t="s">
        <v>257</v>
      </c>
      <c r="M390" s="4" t="s">
        <v>257</v>
      </c>
      <c r="N390" s="3" t="s">
        <v>63</v>
      </c>
      <c r="O390" s="3" t="s">
        <v>151</v>
      </c>
      <c r="P390" s="3" t="s">
        <v>221</v>
      </c>
      <c r="Q390" s="3">
        <v>66</v>
      </c>
      <c r="T390" s="3">
        <v>28</v>
      </c>
      <c r="V390" s="3" t="s">
        <v>1884</v>
      </c>
      <c r="W390" s="4" t="s">
        <v>259</v>
      </c>
      <c r="X390" s="3" t="s">
        <v>21</v>
      </c>
      <c r="Y390" cm="1">
        <f t="array" ref="Y390">SUM(IF(INT($M$2:$M$594)&amp;" "&amp;$K$2:$K$594=INT($M390)&amp;" "&amp;$K390,1,0))</f>
        <v>1</v>
      </c>
      <c r="Z390" cm="1">
        <f t="array" ref="Z390">SUM(IF(ROUND($M$2:$M$594,0)&amp;" "&amp;$K$2:$K$594=ROUND($M390,0)&amp;" "&amp;$K390,1,0))</f>
        <v>1</v>
      </c>
      <c r="AA390" cm="1">
        <f t="array" ref="AA390">SUM(IF($W$2:$W$594=$W390,1,0))</f>
        <v>1</v>
      </c>
    </row>
    <row r="391" spans="2:27" x14ac:dyDescent="0.25">
      <c r="B391" t="s">
        <v>1533</v>
      </c>
      <c r="C391" t="s">
        <v>1530</v>
      </c>
      <c r="D391" t="s">
        <v>173</v>
      </c>
      <c r="E391">
        <v>1</v>
      </c>
      <c r="F391" t="str">
        <f t="shared" si="6"/>
        <v>3/2</v>
      </c>
      <c r="G391" s="1" t="s">
        <v>260</v>
      </c>
      <c r="I391" s="3" t="s">
        <v>63</v>
      </c>
      <c r="K391" s="3" t="s">
        <v>35</v>
      </c>
      <c r="L391" s="4" t="s">
        <v>260</v>
      </c>
      <c r="M391" s="4" t="s">
        <v>260</v>
      </c>
      <c r="N391" s="3" t="s">
        <v>63</v>
      </c>
      <c r="O391" s="3" t="s">
        <v>151</v>
      </c>
      <c r="P391" s="3" t="s">
        <v>173</v>
      </c>
      <c r="Q391" s="3">
        <v>38</v>
      </c>
      <c r="T391" s="3">
        <v>20</v>
      </c>
      <c r="V391" s="3" t="s">
        <v>1884</v>
      </c>
      <c r="W391" s="4" t="s">
        <v>262</v>
      </c>
      <c r="X391" s="3" t="s">
        <v>21</v>
      </c>
      <c r="Y391" cm="1">
        <f t="array" ref="Y391">SUM(IF(INT($M$2:$M$594)&amp;" "&amp;$K$2:$K$594=INT($M391)&amp;" "&amp;$K391,1,0))</f>
        <v>1</v>
      </c>
      <c r="Z391" cm="1">
        <f t="array" ref="Z391">SUM(IF(ROUND($M$2:$M$594,0)&amp;" "&amp;$K$2:$K$594=ROUND($M391,0)&amp;" "&amp;$K391,1,0))</f>
        <v>1</v>
      </c>
      <c r="AA391" cm="1">
        <f t="array" ref="AA391">SUM(IF($W$2:$W$594=$W391,1,0))</f>
        <v>1</v>
      </c>
    </row>
    <row r="392" spans="2:27" x14ac:dyDescent="0.25">
      <c r="B392" t="s">
        <v>1530</v>
      </c>
      <c r="C392" t="s">
        <v>1530</v>
      </c>
      <c r="E392">
        <v>1</v>
      </c>
      <c r="F392" t="str">
        <f t="shared" si="6"/>
        <v>3/2</v>
      </c>
      <c r="G392" s="1" t="s">
        <v>263</v>
      </c>
      <c r="I392" s="3" t="s">
        <v>63</v>
      </c>
      <c r="K392" s="3" t="s">
        <v>35</v>
      </c>
      <c r="L392" s="4" t="s">
        <v>263</v>
      </c>
      <c r="M392" s="4" t="s">
        <v>263</v>
      </c>
      <c r="N392" s="3" t="s">
        <v>63</v>
      </c>
      <c r="O392" s="3" t="s">
        <v>151</v>
      </c>
      <c r="P392" s="3" t="s">
        <v>17</v>
      </c>
      <c r="Q392" s="3">
        <v>28</v>
      </c>
      <c r="R392" s="3" t="s">
        <v>221</v>
      </c>
      <c r="T392" s="3">
        <v>26</v>
      </c>
      <c r="V392" s="3" t="s">
        <v>1884</v>
      </c>
      <c r="W392" s="4" t="s">
        <v>265</v>
      </c>
      <c r="X392" s="3" t="s">
        <v>21</v>
      </c>
      <c r="Y392" cm="1">
        <f t="array" ref="Y392">SUM(IF(INT($M$2:$M$594)&amp;" "&amp;$K$2:$K$594=INT($M392)&amp;" "&amp;$K392,1,0))</f>
        <v>1</v>
      </c>
      <c r="Z392" cm="1">
        <f t="array" ref="Z392">SUM(IF(ROUND($M$2:$M$594,0)&amp;" "&amp;$K$2:$K$594=ROUND($M392,0)&amp;" "&amp;$K392,1,0))</f>
        <v>1</v>
      </c>
      <c r="AA392" cm="1">
        <f t="array" ref="AA392">SUM(IF($W$2:$W$594=$W392,1,0))</f>
        <v>1</v>
      </c>
    </row>
    <row r="393" spans="2:27" x14ac:dyDescent="0.25">
      <c r="B393" t="s">
        <v>1533</v>
      </c>
      <c r="C393" t="s">
        <v>1530</v>
      </c>
      <c r="D393" t="s">
        <v>173</v>
      </c>
      <c r="E393">
        <v>2</v>
      </c>
      <c r="F393" t="str">
        <f t="shared" si="6"/>
        <v>5/2</v>
      </c>
      <c r="G393" s="1" t="s">
        <v>270</v>
      </c>
      <c r="I393" s="3" t="s">
        <v>63</v>
      </c>
      <c r="K393" s="3" t="s">
        <v>43</v>
      </c>
      <c r="L393" s="4" t="s">
        <v>270</v>
      </c>
      <c r="M393" s="4" t="s">
        <v>270</v>
      </c>
      <c r="N393" s="3" t="s">
        <v>63</v>
      </c>
      <c r="O393" s="3" t="s">
        <v>151</v>
      </c>
      <c r="P393" s="3" t="s">
        <v>173</v>
      </c>
      <c r="Q393" s="3">
        <v>43</v>
      </c>
      <c r="T393" s="3">
        <v>18</v>
      </c>
      <c r="V393" s="3" t="s">
        <v>1888</v>
      </c>
      <c r="W393" s="4" t="s">
        <v>272</v>
      </c>
      <c r="X393" s="3" t="s">
        <v>21</v>
      </c>
      <c r="Y393" cm="1">
        <f t="array" ref="Y393">SUM(IF(INT($M$2:$M$594)&amp;" "&amp;$K$2:$K$594=INT($M393)&amp;" "&amp;$K393,1,0))</f>
        <v>1</v>
      </c>
      <c r="Z393" cm="1">
        <f t="array" ref="Z393">SUM(IF(ROUND($M$2:$M$594,0)&amp;" "&amp;$K$2:$K$594=ROUND($M393,0)&amp;" "&amp;$K393,1,0))</f>
        <v>1</v>
      </c>
      <c r="AA393" cm="1">
        <f t="array" ref="AA393">SUM(IF($W$2:$W$594=$W393,1,0))</f>
        <v>1</v>
      </c>
    </row>
    <row r="394" spans="2:27" x14ac:dyDescent="0.25">
      <c r="B394" t="s">
        <v>1531</v>
      </c>
      <c r="C394" t="s">
        <v>1530</v>
      </c>
      <c r="D394" t="s">
        <v>221</v>
      </c>
      <c r="E394">
        <v>3</v>
      </c>
      <c r="F394" t="str">
        <f t="shared" si="6"/>
        <v>7/2</v>
      </c>
      <c r="G394" s="1" t="s">
        <v>273</v>
      </c>
      <c r="I394" s="3" t="s">
        <v>63</v>
      </c>
      <c r="K394" s="3" t="s">
        <v>47</v>
      </c>
      <c r="L394" s="4" t="s">
        <v>273</v>
      </c>
      <c r="M394" s="4" t="s">
        <v>273</v>
      </c>
      <c r="N394" s="3" t="s">
        <v>63</v>
      </c>
      <c r="O394" s="3" t="s">
        <v>151</v>
      </c>
      <c r="P394" s="3" t="s">
        <v>221</v>
      </c>
      <c r="Q394" s="3">
        <v>69</v>
      </c>
      <c r="W394" s="4" t="s">
        <v>275</v>
      </c>
      <c r="X394" s="3" t="s">
        <v>21</v>
      </c>
      <c r="Y394" cm="1">
        <f t="array" ref="Y394">SUM(IF(INT($M$2:$M$594)&amp;" "&amp;$K$2:$K$594=INT($M394)&amp;" "&amp;$K394,1,0))</f>
        <v>1</v>
      </c>
      <c r="Z394" cm="1">
        <f t="array" ref="Z394">SUM(IF(ROUND($M$2:$M$594,0)&amp;" "&amp;$K$2:$K$594=ROUND($M394,0)&amp;" "&amp;$K394,1,0))</f>
        <v>1</v>
      </c>
      <c r="AA394" cm="1">
        <f t="array" ref="AA394">SUM(IF($W$2:$W$594=$W394,1,0))</f>
        <v>1</v>
      </c>
    </row>
    <row r="395" spans="2:27" x14ac:dyDescent="0.25">
      <c r="B395" t="s">
        <v>1526</v>
      </c>
      <c r="C395" t="s">
        <v>1520</v>
      </c>
      <c r="D395" t="s">
        <v>193</v>
      </c>
      <c r="E395">
        <v>4</v>
      </c>
      <c r="F395" t="str">
        <f t="shared" si="6"/>
        <v>9/2</v>
      </c>
      <c r="G395" s="1" t="s">
        <v>276</v>
      </c>
      <c r="I395" s="3" t="s">
        <v>63</v>
      </c>
      <c r="K395" s="3" t="s">
        <v>14</v>
      </c>
      <c r="L395" s="4" t="s">
        <v>276</v>
      </c>
      <c r="M395" s="4" t="s">
        <v>276</v>
      </c>
      <c r="N395" s="3" t="s">
        <v>63</v>
      </c>
      <c r="O395" s="3" t="s">
        <v>61</v>
      </c>
      <c r="P395" s="3" t="s">
        <v>193</v>
      </c>
      <c r="Q395" s="3">
        <v>48</v>
      </c>
      <c r="T395" s="3">
        <v>15</v>
      </c>
      <c r="V395" s="3" t="s">
        <v>1883</v>
      </c>
      <c r="W395" s="4" t="s">
        <v>278</v>
      </c>
      <c r="X395" s="3" t="s">
        <v>21</v>
      </c>
      <c r="Y395" cm="1">
        <f t="array" ref="Y395">SUM(IF(INT($M$2:$M$594)&amp;" "&amp;$K$2:$K$594=INT($M395)&amp;" "&amp;$K395,1,0))</f>
        <v>1</v>
      </c>
      <c r="Z395" cm="1">
        <f t="array" ref="Z395">SUM(IF(ROUND($M$2:$M$594,0)&amp;" "&amp;$K$2:$K$594=ROUND($M395,0)&amp;" "&amp;$K395,1,0))</f>
        <v>1</v>
      </c>
      <c r="AA395" cm="1">
        <f t="array" ref="AA395">SUM(IF($W$2:$W$594=$W395,1,0))</f>
        <v>1</v>
      </c>
    </row>
    <row r="396" spans="2:27" x14ac:dyDescent="0.25">
      <c r="B396" t="s">
        <v>1528</v>
      </c>
      <c r="C396" t="s">
        <v>1528</v>
      </c>
      <c r="E396">
        <v>4</v>
      </c>
      <c r="F396" t="str">
        <f t="shared" si="6"/>
        <v>9/2</v>
      </c>
      <c r="G396" s="1" t="s">
        <v>281</v>
      </c>
      <c r="I396" s="3" t="s">
        <v>63</v>
      </c>
      <c r="K396" s="3" t="s">
        <v>14</v>
      </c>
      <c r="L396" s="4" t="s">
        <v>281</v>
      </c>
      <c r="M396" s="4" t="s">
        <v>281</v>
      </c>
      <c r="N396" s="3" t="s">
        <v>63</v>
      </c>
      <c r="O396" s="3" t="s">
        <v>200</v>
      </c>
      <c r="P396" s="3" t="s">
        <v>17</v>
      </c>
      <c r="Q396" s="3">
        <v>36</v>
      </c>
      <c r="R396" s="3" t="s">
        <v>193</v>
      </c>
      <c r="T396" s="3">
        <v>33</v>
      </c>
      <c r="V396" s="3" t="s">
        <v>1887</v>
      </c>
      <c r="W396" s="4" t="s">
        <v>283</v>
      </c>
      <c r="X396" s="3" t="s">
        <v>21</v>
      </c>
      <c r="Y396" cm="1">
        <f t="array" ref="Y396">SUM(IF(INT($M$2:$M$594)&amp;" "&amp;$K$2:$K$594=INT($M396)&amp;" "&amp;$K396,1,0))</f>
        <v>1</v>
      </c>
      <c r="Z396" cm="1">
        <f t="array" ref="Z396">SUM(IF(ROUND($M$2:$M$594,0)&amp;" "&amp;$K$2:$K$594=ROUND($M396,0)&amp;" "&amp;$K396,1,0))</f>
        <v>1</v>
      </c>
      <c r="AA396" cm="1">
        <f t="array" ref="AA396">SUM(IF($W$2:$W$594=$W396,1,0))</f>
        <v>1</v>
      </c>
    </row>
    <row r="397" spans="2:27" x14ac:dyDescent="0.25">
      <c r="B397" t="s">
        <v>1530</v>
      </c>
      <c r="C397" t="s">
        <v>1530</v>
      </c>
      <c r="E397">
        <v>3</v>
      </c>
      <c r="F397" t="str">
        <f t="shared" si="6"/>
        <v>7/2</v>
      </c>
      <c r="G397" s="1" t="s">
        <v>290</v>
      </c>
      <c r="I397" s="3" t="s">
        <v>63</v>
      </c>
      <c r="K397" s="3" t="s">
        <v>47</v>
      </c>
      <c r="L397" s="4" t="s">
        <v>290</v>
      </c>
      <c r="M397" s="4" t="s">
        <v>290</v>
      </c>
      <c r="N397" s="3" t="s">
        <v>63</v>
      </c>
      <c r="O397" s="3" t="s">
        <v>151</v>
      </c>
      <c r="P397" s="3" t="s">
        <v>17</v>
      </c>
      <c r="Q397" s="3">
        <v>30</v>
      </c>
      <c r="R397" s="3" t="s">
        <v>173</v>
      </c>
      <c r="T397" s="3">
        <v>25</v>
      </c>
      <c r="V397" s="3" t="s">
        <v>1894</v>
      </c>
      <c r="W397" s="4" t="s">
        <v>292</v>
      </c>
      <c r="X397" s="3" t="s">
        <v>21</v>
      </c>
      <c r="Y397" cm="1">
        <f t="array" ref="Y397">SUM(IF(INT($M$2:$M$594)&amp;" "&amp;$K$2:$K$594=INT($M397)&amp;" "&amp;$K397,1,0))</f>
        <v>1</v>
      </c>
      <c r="Z397" cm="1">
        <f t="array" ref="Z397">SUM(IF(ROUND($M$2:$M$594,0)&amp;" "&amp;$K$2:$K$594=ROUND($M397,0)&amp;" "&amp;$K397,1,0))</f>
        <v>1</v>
      </c>
      <c r="AA397" cm="1">
        <f t="array" ref="AA397">SUM(IF($W$2:$W$594=$W397,1,0))</f>
        <v>1</v>
      </c>
    </row>
    <row r="398" spans="2:27" x14ac:dyDescent="0.25">
      <c r="B398" t="s">
        <v>1528</v>
      </c>
      <c r="C398" t="s">
        <v>1528</v>
      </c>
      <c r="E398">
        <v>2</v>
      </c>
      <c r="F398" t="str">
        <f t="shared" si="6"/>
        <v>5/2</v>
      </c>
      <c r="G398" s="1" t="s">
        <v>293</v>
      </c>
      <c r="I398" s="3" t="s">
        <v>63</v>
      </c>
      <c r="K398" s="3" t="s">
        <v>43</v>
      </c>
      <c r="L398" s="4" t="s">
        <v>293</v>
      </c>
      <c r="M398" s="4" t="s">
        <v>293</v>
      </c>
      <c r="N398" s="3" t="s">
        <v>63</v>
      </c>
      <c r="O398" s="3" t="s">
        <v>200</v>
      </c>
      <c r="P398" s="3" t="s">
        <v>17</v>
      </c>
      <c r="Q398" s="3">
        <v>18</v>
      </c>
      <c r="R398" s="3" t="s">
        <v>321</v>
      </c>
      <c r="T398" s="3">
        <v>17</v>
      </c>
      <c r="V398" s="3" t="s">
        <v>1880</v>
      </c>
      <c r="W398" s="4" t="s">
        <v>295</v>
      </c>
      <c r="X398" s="3" t="s">
        <v>21</v>
      </c>
      <c r="Y398" cm="1">
        <f t="array" ref="Y398">SUM(IF(INT($M$2:$M$594)&amp;" "&amp;$K$2:$K$594=INT($M398)&amp;" "&amp;$K398,1,0))</f>
        <v>1</v>
      </c>
      <c r="Z398" cm="1">
        <f t="array" ref="Z398">SUM(IF(ROUND($M$2:$M$594,0)&amp;" "&amp;$K$2:$K$594=ROUND($M398,0)&amp;" "&amp;$K398,1,0))</f>
        <v>1</v>
      </c>
      <c r="AA398" cm="1">
        <f t="array" ref="AA398">SUM(IF($W$2:$W$594=$W398,1,0))</f>
        <v>1</v>
      </c>
    </row>
    <row r="399" spans="2:27" x14ac:dyDescent="0.25">
      <c r="B399" t="s">
        <v>1532</v>
      </c>
      <c r="C399" t="s">
        <v>1520</v>
      </c>
      <c r="D399" t="s">
        <v>244</v>
      </c>
      <c r="E399">
        <v>7</v>
      </c>
      <c r="F399" t="str">
        <f t="shared" si="6"/>
        <v>15/2</v>
      </c>
      <c r="G399" s="1" t="s">
        <v>296</v>
      </c>
      <c r="I399" s="3" t="s">
        <v>63</v>
      </c>
      <c r="K399" s="3" t="s">
        <v>30</v>
      </c>
      <c r="L399" s="4" t="s">
        <v>296</v>
      </c>
      <c r="M399" s="4" t="s">
        <v>296</v>
      </c>
      <c r="N399" s="3" t="s">
        <v>63</v>
      </c>
      <c r="O399" s="3" t="s">
        <v>61</v>
      </c>
      <c r="P399" s="3" t="s">
        <v>244</v>
      </c>
      <c r="Q399" s="3">
        <v>86</v>
      </c>
      <c r="T399" s="3">
        <v>11</v>
      </c>
      <c r="V399" s="3" t="s">
        <v>1895</v>
      </c>
      <c r="W399" s="4" t="s">
        <v>298</v>
      </c>
      <c r="X399" s="3" t="s">
        <v>21</v>
      </c>
      <c r="Y399" cm="1">
        <f t="array" ref="Y399">SUM(IF(INT($M$2:$M$594)&amp;" "&amp;$K$2:$K$594=INT($M399)&amp;" "&amp;$K399,1,0))</f>
        <v>1</v>
      </c>
      <c r="Z399" cm="1">
        <f t="array" ref="Z399">SUM(IF(ROUND($M$2:$M$594,0)&amp;" "&amp;$K$2:$K$594=ROUND($M399,0)&amp;" "&amp;$K399,1,0))</f>
        <v>1</v>
      </c>
      <c r="AA399" cm="1">
        <f t="array" ref="AA399">SUM(IF($W$2:$W$594=$W399,1,0))</f>
        <v>1</v>
      </c>
    </row>
    <row r="400" spans="2:27" x14ac:dyDescent="0.25">
      <c r="B400" t="s">
        <v>1527</v>
      </c>
      <c r="C400" t="s">
        <v>1530</v>
      </c>
      <c r="D400" t="s">
        <v>86</v>
      </c>
      <c r="E400">
        <v>5</v>
      </c>
      <c r="F400" t="str">
        <f t="shared" si="6"/>
        <v>11/2</v>
      </c>
      <c r="G400" s="1" t="s">
        <v>299</v>
      </c>
      <c r="I400" s="3" t="s">
        <v>63</v>
      </c>
      <c r="K400" s="3" t="s">
        <v>22</v>
      </c>
      <c r="L400" s="4" t="s">
        <v>299</v>
      </c>
      <c r="M400" s="4" t="s">
        <v>299</v>
      </c>
      <c r="N400" s="3" t="s">
        <v>63</v>
      </c>
      <c r="O400" s="3" t="s">
        <v>151</v>
      </c>
      <c r="P400" s="3" t="s">
        <v>86</v>
      </c>
      <c r="Q400" s="3">
        <v>42</v>
      </c>
      <c r="T400" s="3">
        <v>24</v>
      </c>
      <c r="V400" s="3" t="s">
        <v>1889</v>
      </c>
      <c r="W400" s="4" t="s">
        <v>301</v>
      </c>
      <c r="X400" s="3" t="s">
        <v>21</v>
      </c>
      <c r="Y400" cm="1">
        <f t="array" ref="Y400">SUM(IF(INT($M$2:$M$594)&amp;" "&amp;$K$2:$K$594=INT($M400)&amp;" "&amp;$K400,1,0))</f>
        <v>1</v>
      </c>
      <c r="Z400" cm="1">
        <f t="array" ref="Z400">SUM(IF(ROUND($M$2:$M$594,0)&amp;" "&amp;$K$2:$K$594=ROUND($M400,0)&amp;" "&amp;$K400,1,0))</f>
        <v>1</v>
      </c>
      <c r="AA400" cm="1">
        <f t="array" ref="AA400">SUM(IF($W$2:$W$594=$W400,1,0))</f>
        <v>1</v>
      </c>
    </row>
    <row r="401" spans="2:27" x14ac:dyDescent="0.25">
      <c r="B401" t="s">
        <v>1533</v>
      </c>
      <c r="C401" t="s">
        <v>1530</v>
      </c>
      <c r="D401" t="s">
        <v>173</v>
      </c>
      <c r="E401">
        <v>3</v>
      </c>
      <c r="F401" t="str">
        <f t="shared" si="6"/>
        <v>7/2</v>
      </c>
      <c r="G401" s="1" t="s">
        <v>302</v>
      </c>
      <c r="I401" s="3" t="s">
        <v>63</v>
      </c>
      <c r="K401" s="3" t="s">
        <v>47</v>
      </c>
      <c r="L401" s="4" t="s">
        <v>302</v>
      </c>
      <c r="M401" s="4" t="s">
        <v>302</v>
      </c>
      <c r="N401" s="3" t="s">
        <v>63</v>
      </c>
      <c r="O401" s="3" t="s">
        <v>151</v>
      </c>
      <c r="P401" s="3" t="s">
        <v>173</v>
      </c>
      <c r="Q401" s="3">
        <v>34</v>
      </c>
      <c r="T401" s="3">
        <v>21</v>
      </c>
      <c r="V401" s="3" t="s">
        <v>1891</v>
      </c>
      <c r="W401" s="4" t="s">
        <v>304</v>
      </c>
      <c r="X401" s="3" t="s">
        <v>21</v>
      </c>
      <c r="Y401" cm="1">
        <f t="array" ref="Y401">SUM(IF(INT($M$2:$M$594)&amp;" "&amp;$K$2:$K$594=INT($M401)&amp;" "&amp;$K401,1,0))</f>
        <v>1</v>
      </c>
      <c r="Z401" cm="1">
        <f t="array" ref="Z401">SUM(IF(ROUND($M$2:$M$594,0)&amp;" "&amp;$K$2:$K$594=ROUND($M401,0)&amp;" "&amp;$K401,1,0))</f>
        <v>1</v>
      </c>
      <c r="AA401" cm="1">
        <f t="array" ref="AA401">SUM(IF($W$2:$W$594=$W401,1,0))</f>
        <v>1</v>
      </c>
    </row>
    <row r="402" spans="2:27" x14ac:dyDescent="0.25">
      <c r="B402" t="s">
        <v>1534</v>
      </c>
      <c r="C402" t="s">
        <v>1530</v>
      </c>
      <c r="D402" t="s">
        <v>193</v>
      </c>
      <c r="E402">
        <v>3</v>
      </c>
      <c r="F402" t="str">
        <f t="shared" si="6"/>
        <v>7/2</v>
      </c>
      <c r="G402" s="1" t="s">
        <v>315</v>
      </c>
      <c r="I402" s="3" t="s">
        <v>63</v>
      </c>
      <c r="K402" s="3" t="s">
        <v>47</v>
      </c>
      <c r="L402" s="4" t="s">
        <v>315</v>
      </c>
      <c r="M402" s="4" t="s">
        <v>315</v>
      </c>
      <c r="N402" s="3" t="s">
        <v>63</v>
      </c>
      <c r="O402" s="3" t="s">
        <v>151</v>
      </c>
      <c r="P402" s="3" t="s">
        <v>193</v>
      </c>
      <c r="Q402" s="3">
        <v>42</v>
      </c>
      <c r="T402" s="3">
        <v>17</v>
      </c>
      <c r="V402" s="3" t="s">
        <v>1896</v>
      </c>
      <c r="W402" s="4" t="s">
        <v>317</v>
      </c>
      <c r="X402" s="3" t="s">
        <v>21</v>
      </c>
      <c r="Y402" cm="1">
        <f t="array" ref="Y402">SUM(IF(INT($M$2:$M$594)&amp;" "&amp;$K$2:$K$594=INT($M402)&amp;" "&amp;$K402,1,0))</f>
        <v>1</v>
      </c>
      <c r="Z402" cm="1">
        <f t="array" ref="Z402">SUM(IF(ROUND($M$2:$M$594,0)&amp;" "&amp;$K$2:$K$594=ROUND($M402,0)&amp;" "&amp;$K402,1,0))</f>
        <v>1</v>
      </c>
      <c r="AA402" cm="1">
        <f t="array" ref="AA402">SUM(IF($W$2:$W$594=$W402,1,0))</f>
        <v>1</v>
      </c>
    </row>
    <row r="403" spans="2:27" x14ac:dyDescent="0.25">
      <c r="B403" t="s">
        <v>1535</v>
      </c>
      <c r="C403" t="s">
        <v>1528</v>
      </c>
      <c r="D403" t="s">
        <v>140</v>
      </c>
      <c r="E403">
        <v>5</v>
      </c>
      <c r="F403" t="str">
        <f t="shared" si="6"/>
        <v>11/2</v>
      </c>
      <c r="G403" s="1" t="s">
        <v>318</v>
      </c>
      <c r="I403" s="3" t="s">
        <v>63</v>
      </c>
      <c r="K403" s="3" t="s">
        <v>22</v>
      </c>
      <c r="L403" s="4" t="s">
        <v>318</v>
      </c>
      <c r="M403" s="4" t="s">
        <v>318</v>
      </c>
      <c r="N403" s="3" t="s">
        <v>63</v>
      </c>
      <c r="O403" s="3" t="s">
        <v>200</v>
      </c>
      <c r="P403" s="3" t="s">
        <v>140</v>
      </c>
      <c r="Q403" s="3">
        <v>64</v>
      </c>
      <c r="T403" s="3">
        <v>17</v>
      </c>
      <c r="V403" s="3" t="s">
        <v>1885</v>
      </c>
      <c r="W403" s="4" t="s">
        <v>320</v>
      </c>
      <c r="X403" s="3" t="s">
        <v>21</v>
      </c>
      <c r="Y403" cm="1">
        <f t="array" ref="Y403">SUM(IF(INT($M$2:$M$594)&amp;" "&amp;$K$2:$K$594=INT($M403)&amp;" "&amp;$K403,1,0))</f>
        <v>1</v>
      </c>
      <c r="Z403" cm="1">
        <f t="array" ref="Z403">SUM(IF(ROUND($M$2:$M$594,0)&amp;" "&amp;$K$2:$K$594=ROUND($M403,0)&amp;" "&amp;$K403,1,0))</f>
        <v>1</v>
      </c>
      <c r="AA403" cm="1">
        <f t="array" ref="AA403">SUM(IF($W$2:$W$594=$W403,1,0))</f>
        <v>1</v>
      </c>
    </row>
    <row r="404" spans="2:27" x14ac:dyDescent="0.25">
      <c r="B404" t="s">
        <v>1536</v>
      </c>
      <c r="C404" t="s">
        <v>1528</v>
      </c>
      <c r="D404" t="s">
        <v>321</v>
      </c>
      <c r="E404">
        <v>2</v>
      </c>
      <c r="F404" t="str">
        <f t="shared" si="6"/>
        <v>5/2</v>
      </c>
      <c r="G404" s="1" t="s">
        <v>322</v>
      </c>
      <c r="I404" s="3" t="s">
        <v>63</v>
      </c>
      <c r="K404" s="3" t="s">
        <v>43</v>
      </c>
      <c r="L404" s="4" t="s">
        <v>322</v>
      </c>
      <c r="M404" s="4" t="s">
        <v>322</v>
      </c>
      <c r="N404" s="3" t="s">
        <v>63</v>
      </c>
      <c r="O404" s="3" t="s">
        <v>200</v>
      </c>
      <c r="P404" s="3" t="s">
        <v>321</v>
      </c>
      <c r="Q404" s="3">
        <v>56</v>
      </c>
      <c r="T404" s="3">
        <v>27</v>
      </c>
      <c r="V404" s="3" t="s">
        <v>1888</v>
      </c>
      <c r="W404" s="4" t="s">
        <v>324</v>
      </c>
      <c r="X404" s="3" t="s">
        <v>21</v>
      </c>
      <c r="Y404" cm="1">
        <f t="array" ref="Y404">SUM(IF(INT($M$2:$M$594)&amp;" "&amp;$K$2:$K$594=INT($M404)&amp;" "&amp;$K404,1,0))</f>
        <v>1</v>
      </c>
      <c r="Z404" cm="1">
        <f t="array" ref="Z404">SUM(IF(ROUND($M$2:$M$594,0)&amp;" "&amp;$K$2:$K$594=ROUND($M404,0)&amp;" "&amp;$K404,1,0))</f>
        <v>1</v>
      </c>
      <c r="AA404" cm="1">
        <f t="array" ref="AA404">SUM(IF($W$2:$W$594=$W404,1,0))</f>
        <v>1</v>
      </c>
    </row>
    <row r="405" spans="2:27" x14ac:dyDescent="0.25">
      <c r="B405" t="s">
        <v>1533</v>
      </c>
      <c r="C405" t="s">
        <v>1530</v>
      </c>
      <c r="D405" t="s">
        <v>173</v>
      </c>
      <c r="E405">
        <v>4</v>
      </c>
      <c r="F405" t="str">
        <f t="shared" si="6"/>
        <v>9/2</v>
      </c>
      <c r="G405" s="1" t="s">
        <v>328</v>
      </c>
      <c r="I405" s="3" t="s">
        <v>63</v>
      </c>
      <c r="K405" s="3" t="s">
        <v>14</v>
      </c>
      <c r="L405" s="4" t="s">
        <v>328</v>
      </c>
      <c r="M405" s="4" t="s">
        <v>328</v>
      </c>
      <c r="N405" s="3" t="s">
        <v>63</v>
      </c>
      <c r="O405" s="3" t="s">
        <v>151</v>
      </c>
      <c r="P405" s="3" t="s">
        <v>173</v>
      </c>
      <c r="Q405" s="3">
        <v>56</v>
      </c>
      <c r="T405" s="3">
        <v>26</v>
      </c>
      <c r="V405" s="3" t="s">
        <v>1894</v>
      </c>
      <c r="W405" s="4" t="s">
        <v>330</v>
      </c>
      <c r="X405" s="3" t="s">
        <v>21</v>
      </c>
      <c r="Y405" cm="1">
        <f t="array" ref="Y405">SUM(IF(INT($M$2:$M$594)&amp;" "&amp;$K$2:$K$594=INT($M405)&amp;" "&amp;$K405,1,0))</f>
        <v>1</v>
      </c>
      <c r="Z405" cm="1">
        <f t="array" ref="Z405">SUM(IF(ROUND($M$2:$M$594,0)&amp;" "&amp;$K$2:$K$594=ROUND($M405,0)&amp;" "&amp;$K405,1,0))</f>
        <v>1</v>
      </c>
      <c r="AA405" cm="1">
        <f t="array" ref="AA405">SUM(IF($W$2:$W$594=$W405,1,0))</f>
        <v>1</v>
      </c>
    </row>
    <row r="406" spans="2:27" x14ac:dyDescent="0.25">
      <c r="B406" t="s">
        <v>1537</v>
      </c>
      <c r="C406" t="s">
        <v>1730</v>
      </c>
      <c r="D406">
        <v>4</v>
      </c>
      <c r="E406">
        <v>3</v>
      </c>
      <c r="F406" t="str">
        <f t="shared" si="6"/>
        <v>7/2</v>
      </c>
      <c r="G406" s="1" t="s">
        <v>336</v>
      </c>
      <c r="I406" s="3" t="s">
        <v>63</v>
      </c>
      <c r="K406" s="3" t="s">
        <v>47</v>
      </c>
      <c r="L406" s="4" t="s">
        <v>336</v>
      </c>
      <c r="M406" s="4" t="s">
        <v>336</v>
      </c>
      <c r="N406" s="3" t="s">
        <v>63</v>
      </c>
      <c r="O406" s="3" t="s">
        <v>334</v>
      </c>
      <c r="P406" s="3" t="s">
        <v>335</v>
      </c>
      <c r="Q406" s="3">
        <v>97</v>
      </c>
      <c r="W406" s="4" t="s">
        <v>338</v>
      </c>
      <c r="X406" s="3" t="s">
        <v>21</v>
      </c>
      <c r="Y406" cm="1">
        <f t="array" ref="Y406">SUM(IF(INT($M$2:$M$594)&amp;" "&amp;$K$2:$K$594=INT($M406)&amp;" "&amp;$K406,1,0))</f>
        <v>1</v>
      </c>
      <c r="Z406" cm="1">
        <f t="array" ref="Z406">SUM(IF(ROUND($M$2:$M$594,0)&amp;" "&amp;$K$2:$K$594=ROUND($M406,0)&amp;" "&amp;$K406,1,0))</f>
        <v>1</v>
      </c>
      <c r="AA406" cm="1">
        <f t="array" ref="AA406">SUM(IF($W$2:$W$594=$W406,1,0))</f>
        <v>1</v>
      </c>
    </row>
    <row r="407" spans="2:27" x14ac:dyDescent="0.25">
      <c r="B407" t="s">
        <v>1534</v>
      </c>
      <c r="C407" t="s">
        <v>1530</v>
      </c>
      <c r="D407" t="s">
        <v>193</v>
      </c>
      <c r="E407">
        <v>4</v>
      </c>
      <c r="F407" t="str">
        <f t="shared" si="6"/>
        <v>9/2</v>
      </c>
      <c r="G407" s="1" t="s">
        <v>339</v>
      </c>
      <c r="I407" s="3" t="s">
        <v>63</v>
      </c>
      <c r="K407" s="3" t="s">
        <v>14</v>
      </c>
      <c r="L407" s="4" t="s">
        <v>339</v>
      </c>
      <c r="M407" s="4" t="s">
        <v>339</v>
      </c>
      <c r="N407" s="3" t="s">
        <v>63</v>
      </c>
      <c r="O407" s="3" t="s">
        <v>151</v>
      </c>
      <c r="P407" s="3" t="s">
        <v>193</v>
      </c>
      <c r="Q407" s="3">
        <v>52</v>
      </c>
      <c r="T407" s="3">
        <v>15</v>
      </c>
      <c r="V407" s="3" t="s">
        <v>1897</v>
      </c>
      <c r="W407" s="4" t="s">
        <v>341</v>
      </c>
      <c r="X407" s="3" t="s">
        <v>21</v>
      </c>
      <c r="Y407" cm="1">
        <f t="array" ref="Y407">SUM(IF(INT($M$2:$M$594)&amp;" "&amp;$K$2:$K$594=INT($M407)&amp;" "&amp;$K407,1,0))</f>
        <v>1</v>
      </c>
      <c r="Z407" cm="1">
        <f t="array" ref="Z407">SUM(IF(ROUND($M$2:$M$594,0)&amp;" "&amp;$K$2:$K$594=ROUND($M407,0)&amp;" "&amp;$K407,1,0))</f>
        <v>1</v>
      </c>
      <c r="AA407" cm="1">
        <f t="array" ref="AA407">SUM(IF($W$2:$W$594=$W407,1,0))</f>
        <v>1</v>
      </c>
    </row>
    <row r="408" spans="2:27" x14ac:dyDescent="0.25">
      <c r="B408" t="s">
        <v>1537</v>
      </c>
      <c r="C408" t="s">
        <v>1730</v>
      </c>
      <c r="D408">
        <v>4</v>
      </c>
      <c r="E408">
        <v>4</v>
      </c>
      <c r="F408" t="str">
        <f t="shared" si="6"/>
        <v>9/2</v>
      </c>
      <c r="G408" s="1" t="s">
        <v>342</v>
      </c>
      <c r="I408" s="3" t="s">
        <v>63</v>
      </c>
      <c r="K408" s="3" t="s">
        <v>14</v>
      </c>
      <c r="L408" s="4" t="s">
        <v>342</v>
      </c>
      <c r="M408" s="4" t="s">
        <v>342</v>
      </c>
      <c r="N408" s="3" t="s">
        <v>63</v>
      </c>
      <c r="O408" s="3" t="s">
        <v>334</v>
      </c>
      <c r="P408" s="3" t="s">
        <v>335</v>
      </c>
      <c r="Q408" s="3">
        <v>93</v>
      </c>
      <c r="W408" s="4" t="s">
        <v>344</v>
      </c>
      <c r="X408" s="3" t="s">
        <v>21</v>
      </c>
      <c r="Y408" cm="1">
        <f t="array" ref="Y408">SUM(IF(INT($M$2:$M$594)&amp;" "&amp;$K$2:$K$594=INT($M408)&amp;" "&amp;$K408,1,0))</f>
        <v>1</v>
      </c>
      <c r="Z408" cm="1">
        <f t="array" ref="Z408">SUM(IF(ROUND($M$2:$M$594,0)&amp;" "&amp;$K$2:$K$594=ROUND($M408,0)&amp;" "&amp;$K408,1,0))</f>
        <v>1</v>
      </c>
      <c r="AA408" cm="1">
        <f t="array" ref="AA408">SUM(IF($W$2:$W$594=$W408,1,0))</f>
        <v>1</v>
      </c>
    </row>
    <row r="409" spans="2:27" x14ac:dyDescent="0.25">
      <c r="B409" t="s">
        <v>1536</v>
      </c>
      <c r="C409" t="s">
        <v>1528</v>
      </c>
      <c r="D409" t="s">
        <v>321</v>
      </c>
      <c r="E409">
        <v>1</v>
      </c>
      <c r="F409" t="str">
        <f t="shared" si="6"/>
        <v>3/2</v>
      </c>
      <c r="G409" s="1" t="s">
        <v>345</v>
      </c>
      <c r="I409" s="3" t="s">
        <v>63</v>
      </c>
      <c r="K409" s="3" t="s">
        <v>35</v>
      </c>
      <c r="L409" s="4" t="s">
        <v>345</v>
      </c>
      <c r="M409" s="4" t="s">
        <v>345</v>
      </c>
      <c r="N409" s="3" t="s">
        <v>63</v>
      </c>
      <c r="O409" s="3" t="s">
        <v>200</v>
      </c>
      <c r="P409" s="3" t="s">
        <v>321</v>
      </c>
      <c r="Q409" s="3">
        <v>66</v>
      </c>
      <c r="T409" s="3">
        <v>18</v>
      </c>
      <c r="V409" s="3" t="s">
        <v>1888</v>
      </c>
      <c r="W409" s="4" t="s">
        <v>347</v>
      </c>
      <c r="X409" s="3" t="s">
        <v>21</v>
      </c>
      <c r="Y409" cm="1">
        <f t="array" ref="Y409">SUM(IF(INT($M$2:$M$594)&amp;" "&amp;$K$2:$K$594=INT($M409)&amp;" "&amp;$K409,1,0))</f>
        <v>1</v>
      </c>
      <c r="Z409" cm="1">
        <f t="array" ref="Z409">SUM(IF(ROUND($M$2:$M$594,0)&amp;" "&amp;$K$2:$K$594=ROUND($M409,0)&amp;" "&amp;$K409,1,0))</f>
        <v>1</v>
      </c>
      <c r="AA409" cm="1">
        <f t="array" ref="AA409">SUM(IF($W$2:$W$594=$W409,1,0))</f>
        <v>1</v>
      </c>
    </row>
    <row r="410" spans="2:27" x14ac:dyDescent="0.25">
      <c r="B410" t="s">
        <v>1535</v>
      </c>
      <c r="C410" t="s">
        <v>1528</v>
      </c>
      <c r="D410" t="s">
        <v>140</v>
      </c>
      <c r="E410">
        <v>6</v>
      </c>
      <c r="F410" t="str">
        <f t="shared" si="6"/>
        <v>13/2</v>
      </c>
      <c r="G410" s="1" t="s">
        <v>348</v>
      </c>
      <c r="I410" s="3" t="s">
        <v>63</v>
      </c>
      <c r="K410" s="3" t="s">
        <v>26</v>
      </c>
      <c r="L410" s="4" t="s">
        <v>348</v>
      </c>
      <c r="M410" s="4" t="s">
        <v>348</v>
      </c>
      <c r="N410" s="3" t="s">
        <v>63</v>
      </c>
      <c r="O410" s="3" t="s">
        <v>200</v>
      </c>
      <c r="P410" s="3" t="s">
        <v>140</v>
      </c>
      <c r="Q410" s="3">
        <v>68</v>
      </c>
      <c r="T410" s="3">
        <v>22</v>
      </c>
      <c r="V410" s="3" t="s">
        <v>1885</v>
      </c>
      <c r="W410" s="4" t="s">
        <v>350</v>
      </c>
      <c r="X410" s="3" t="s">
        <v>21</v>
      </c>
      <c r="Y410" cm="1">
        <f t="array" ref="Y410">SUM(IF(INT($M$2:$M$594)&amp;" "&amp;$K$2:$K$594=INT($M410)&amp;" "&amp;$K410,1,0))</f>
        <v>1</v>
      </c>
      <c r="Z410" cm="1">
        <f t="array" ref="Z410">SUM(IF(ROUND($M$2:$M$594,0)&amp;" "&amp;$K$2:$K$594=ROUND($M410,0)&amp;" "&amp;$K410,1,0))</f>
        <v>1</v>
      </c>
      <c r="AA410" cm="1">
        <f t="array" ref="AA410">SUM(IF($W$2:$W$594=$W410,1,0))</f>
        <v>1</v>
      </c>
    </row>
    <row r="411" spans="2:27" x14ac:dyDescent="0.25">
      <c r="B411" t="s">
        <v>1538</v>
      </c>
      <c r="C411" t="s">
        <v>1528</v>
      </c>
      <c r="D411" t="s">
        <v>351</v>
      </c>
      <c r="E411">
        <v>2</v>
      </c>
      <c r="F411" t="str">
        <f t="shared" si="6"/>
        <v>5/2</v>
      </c>
      <c r="G411" s="1" t="s">
        <v>352</v>
      </c>
      <c r="I411" s="3" t="s">
        <v>63</v>
      </c>
      <c r="K411" s="3" t="s">
        <v>43</v>
      </c>
      <c r="L411" s="4" t="s">
        <v>352</v>
      </c>
      <c r="M411" s="4" t="s">
        <v>352</v>
      </c>
      <c r="N411" s="3" t="s">
        <v>63</v>
      </c>
      <c r="O411" s="3" t="s">
        <v>200</v>
      </c>
      <c r="P411" s="3" t="s">
        <v>351</v>
      </c>
      <c r="Q411" s="3">
        <v>55</v>
      </c>
      <c r="T411" s="3">
        <v>23</v>
      </c>
      <c r="V411" s="3" t="s">
        <v>1880</v>
      </c>
      <c r="W411" s="4" t="s">
        <v>354</v>
      </c>
      <c r="X411" s="3" t="s">
        <v>21</v>
      </c>
      <c r="Y411" cm="1">
        <f t="array" ref="Y411">SUM(IF(INT($M$2:$M$594)&amp;" "&amp;$K$2:$K$594=INT($M411)&amp;" "&amp;$K411,1,0))</f>
        <v>1</v>
      </c>
      <c r="Z411" cm="1">
        <f t="array" ref="Z411">SUM(IF(ROUND($M$2:$M$594,0)&amp;" "&amp;$K$2:$K$594=ROUND($M411,0)&amp;" "&amp;$K411,1,0))</f>
        <v>1</v>
      </c>
      <c r="AA411" cm="1">
        <f t="array" ref="AA411">SUM(IF($W$2:$W$594=$W411,1,0))</f>
        <v>1</v>
      </c>
    </row>
    <row r="412" spans="2:27" x14ac:dyDescent="0.25">
      <c r="B412" t="s">
        <v>1539</v>
      </c>
      <c r="C412" t="s">
        <v>1530</v>
      </c>
      <c r="D412" t="s">
        <v>62</v>
      </c>
      <c r="E412">
        <v>4</v>
      </c>
      <c r="F412" t="str">
        <f t="shared" si="6"/>
        <v>9/2</v>
      </c>
      <c r="G412" s="1" t="s">
        <v>355</v>
      </c>
      <c r="I412" s="3" t="s">
        <v>63</v>
      </c>
      <c r="K412" s="3" t="s">
        <v>14</v>
      </c>
      <c r="L412" s="4" t="s">
        <v>355</v>
      </c>
      <c r="M412" s="4" t="s">
        <v>355</v>
      </c>
      <c r="N412" s="3" t="s">
        <v>63</v>
      </c>
      <c r="O412" s="3" t="s">
        <v>151</v>
      </c>
      <c r="P412" s="3" t="s">
        <v>62</v>
      </c>
      <c r="Q412" s="3">
        <v>37</v>
      </c>
      <c r="T412" s="3">
        <v>27</v>
      </c>
      <c r="V412" s="3" t="s">
        <v>1889</v>
      </c>
      <c r="W412" s="4" t="s">
        <v>357</v>
      </c>
      <c r="X412" s="3" t="s">
        <v>21</v>
      </c>
      <c r="Y412" cm="1">
        <f t="array" ref="Y412">SUM(IF(INT($M$2:$M$594)&amp;" "&amp;$K$2:$K$594=INT($M412)&amp;" "&amp;$K412,1,0))</f>
        <v>1</v>
      </c>
      <c r="Z412" cm="1">
        <f t="array" ref="Z412">SUM(IF(ROUND($M$2:$M$594,0)&amp;" "&amp;$K$2:$K$594=ROUND($M412,0)&amp;" "&amp;$K412,1,0))</f>
        <v>1</v>
      </c>
      <c r="AA412" cm="1">
        <f t="array" ref="AA412">SUM(IF($W$2:$W$594=$W412,1,0))</f>
        <v>1</v>
      </c>
    </row>
    <row r="413" spans="2:27" x14ac:dyDescent="0.25">
      <c r="B413" t="s">
        <v>1539</v>
      </c>
      <c r="C413" t="s">
        <v>1530</v>
      </c>
      <c r="D413" t="s">
        <v>62</v>
      </c>
      <c r="E413">
        <v>5</v>
      </c>
      <c r="F413" t="str">
        <f t="shared" si="6"/>
        <v>11/2</v>
      </c>
      <c r="G413" s="1" t="s">
        <v>358</v>
      </c>
      <c r="I413" s="3" t="s">
        <v>63</v>
      </c>
      <c r="K413" s="3" t="s">
        <v>22</v>
      </c>
      <c r="L413" s="4" t="s">
        <v>358</v>
      </c>
      <c r="M413" s="4" t="s">
        <v>358</v>
      </c>
      <c r="N413" s="3" t="s">
        <v>63</v>
      </c>
      <c r="O413" s="3" t="s">
        <v>151</v>
      </c>
      <c r="P413" s="3" t="s">
        <v>62</v>
      </c>
      <c r="Q413" s="3">
        <v>57</v>
      </c>
      <c r="T413" s="3">
        <v>19</v>
      </c>
      <c r="V413" s="3" t="s">
        <v>1889</v>
      </c>
      <c r="W413" s="4" t="s">
        <v>360</v>
      </c>
      <c r="X413" s="3" t="s">
        <v>21</v>
      </c>
      <c r="Y413" cm="1">
        <f t="array" ref="Y413">SUM(IF(INT($M$2:$M$594)&amp;" "&amp;$K$2:$K$594=INT($M413)&amp;" "&amp;$K413,1,0))</f>
        <v>1</v>
      </c>
      <c r="Z413" cm="1">
        <f t="array" ref="Z413">SUM(IF(ROUND($M$2:$M$594,0)&amp;" "&amp;$K$2:$K$594=ROUND($M413,0)&amp;" "&amp;$K413,1,0))</f>
        <v>1</v>
      </c>
      <c r="AA413" cm="1">
        <f t="array" ref="AA413">SUM(IF($W$2:$W$594=$W413,1,0))</f>
        <v>1</v>
      </c>
    </row>
    <row r="414" spans="2:27" x14ac:dyDescent="0.25">
      <c r="B414" t="s">
        <v>1540</v>
      </c>
      <c r="C414" t="s">
        <v>1730</v>
      </c>
      <c r="D414">
        <v>5</v>
      </c>
      <c r="E414">
        <v>5</v>
      </c>
      <c r="F414" t="str">
        <f t="shared" si="6"/>
        <v>11/2</v>
      </c>
      <c r="G414" s="1" t="s">
        <v>363</v>
      </c>
      <c r="I414" s="3" t="s">
        <v>63</v>
      </c>
      <c r="K414" s="3" t="s">
        <v>22</v>
      </c>
      <c r="L414" s="4" t="s">
        <v>363</v>
      </c>
      <c r="M414" s="4" t="s">
        <v>363</v>
      </c>
      <c r="N414" s="3" t="s">
        <v>63</v>
      </c>
      <c r="O414" s="3" t="s">
        <v>361</v>
      </c>
      <c r="P414" s="3" t="s">
        <v>362</v>
      </c>
      <c r="Q414" s="3">
        <v>98</v>
      </c>
      <c r="W414" s="4" t="s">
        <v>364</v>
      </c>
      <c r="X414" s="3" t="s">
        <v>21</v>
      </c>
      <c r="Y414" cm="1">
        <f t="array" ref="Y414">SUM(IF(INT($M$2:$M$594)&amp;" "&amp;$K$2:$K$594=INT($M414)&amp;" "&amp;$K414,1,0))</f>
        <v>1</v>
      </c>
      <c r="Z414" cm="1">
        <f t="array" ref="Z414">SUM(IF(ROUND($M$2:$M$594,0)&amp;" "&amp;$K$2:$K$594=ROUND($M414,0)&amp;" "&amp;$K414,1,0))</f>
        <v>1</v>
      </c>
      <c r="AA414" cm="1">
        <f t="array" ref="AA414">SUM(IF($W$2:$W$594=$W414,1,0))</f>
        <v>1</v>
      </c>
    </row>
    <row r="415" spans="2:27" x14ac:dyDescent="0.25">
      <c r="B415" t="s">
        <v>1540</v>
      </c>
      <c r="C415" t="s">
        <v>1730</v>
      </c>
      <c r="D415">
        <v>5</v>
      </c>
      <c r="E415">
        <v>4</v>
      </c>
      <c r="F415" t="str">
        <f t="shared" si="6"/>
        <v>9/2</v>
      </c>
      <c r="G415" s="1" t="s">
        <v>365</v>
      </c>
      <c r="I415" s="3" t="s">
        <v>63</v>
      </c>
      <c r="K415" s="3" t="s">
        <v>14</v>
      </c>
      <c r="L415" s="4" t="s">
        <v>365</v>
      </c>
      <c r="M415" s="4" t="s">
        <v>365</v>
      </c>
      <c r="N415" s="3" t="s">
        <v>63</v>
      </c>
      <c r="O415" s="3" t="s">
        <v>361</v>
      </c>
      <c r="P415" s="3" t="s">
        <v>362</v>
      </c>
      <c r="Q415" s="3">
        <v>95</v>
      </c>
      <c r="W415" s="4" t="s">
        <v>366</v>
      </c>
      <c r="X415" s="3" t="s">
        <v>21</v>
      </c>
      <c r="Y415" cm="1">
        <f t="array" ref="Y415">SUM(IF(INT($M$2:$M$594)&amp;" "&amp;$K$2:$K$594=INT($M415)&amp;" "&amp;$K415,1,0))</f>
        <v>1</v>
      </c>
      <c r="Z415" cm="1">
        <f t="array" ref="Z415">SUM(IF(ROUND($M$2:$M$594,0)&amp;" "&amp;$K$2:$K$594=ROUND($M415,0)&amp;" "&amp;$K415,1,0))</f>
        <v>1</v>
      </c>
      <c r="AA415" cm="1">
        <f t="array" ref="AA415">SUM(IF($W$2:$W$594=$W415,1,0))</f>
        <v>1</v>
      </c>
    </row>
    <row r="416" spans="2:27" x14ac:dyDescent="0.25">
      <c r="B416" t="s">
        <v>1528</v>
      </c>
      <c r="C416" t="s">
        <v>1528</v>
      </c>
      <c r="E416">
        <v>3</v>
      </c>
      <c r="F416" t="str">
        <f t="shared" si="6"/>
        <v>7/2</v>
      </c>
      <c r="G416" s="1" t="s">
        <v>367</v>
      </c>
      <c r="I416" s="3" t="s">
        <v>63</v>
      </c>
      <c r="K416" s="3" t="s">
        <v>47</v>
      </c>
      <c r="L416" s="4" t="s">
        <v>367</v>
      </c>
      <c r="M416" s="4" t="s">
        <v>367</v>
      </c>
      <c r="N416" s="3" t="s">
        <v>63</v>
      </c>
      <c r="O416" s="3" t="s">
        <v>200</v>
      </c>
      <c r="P416" s="3" t="s">
        <v>17</v>
      </c>
      <c r="Q416" s="3">
        <v>35</v>
      </c>
      <c r="R416" s="3" t="s">
        <v>351</v>
      </c>
      <c r="T416" s="3">
        <v>27</v>
      </c>
      <c r="V416" s="3" t="s">
        <v>1880</v>
      </c>
      <c r="W416" s="4" t="s">
        <v>369</v>
      </c>
      <c r="X416" s="3" t="s">
        <v>21</v>
      </c>
      <c r="Y416" cm="1">
        <f t="array" ref="Y416">SUM(IF(INT($M$2:$M$594)&amp;" "&amp;$K$2:$K$594=INT($M416)&amp;" "&amp;$K416,1,0))</f>
        <v>1</v>
      </c>
      <c r="Z416" cm="1">
        <f t="array" ref="Z416">SUM(IF(ROUND($M$2:$M$594,0)&amp;" "&amp;$K$2:$K$594=ROUND($M416,0)&amp;" "&amp;$K416,1,0))</f>
        <v>1</v>
      </c>
      <c r="AA416" cm="1">
        <f t="array" ref="AA416">SUM(IF($W$2:$W$594=$W416,1,0))</f>
        <v>1</v>
      </c>
    </row>
    <row r="417" spans="2:27" x14ac:dyDescent="0.25">
      <c r="B417" t="s">
        <v>1541</v>
      </c>
      <c r="C417" t="s">
        <v>1731</v>
      </c>
      <c r="D417" t="s">
        <v>375</v>
      </c>
      <c r="E417">
        <v>0</v>
      </c>
      <c r="F417" t="str">
        <f t="shared" si="6"/>
        <v>1/2</v>
      </c>
      <c r="G417" s="1" t="s">
        <v>376</v>
      </c>
      <c r="I417" s="3" t="s">
        <v>63</v>
      </c>
      <c r="K417" s="3" t="s">
        <v>145</v>
      </c>
      <c r="L417" s="4" t="s">
        <v>376</v>
      </c>
      <c r="M417" s="4" t="s">
        <v>376</v>
      </c>
      <c r="N417" s="3" t="s">
        <v>63</v>
      </c>
      <c r="O417" s="3" t="s">
        <v>374</v>
      </c>
      <c r="P417" s="3" t="s">
        <v>375</v>
      </c>
      <c r="Q417" s="3">
        <v>68</v>
      </c>
      <c r="T417" s="3">
        <v>19</v>
      </c>
      <c r="V417" s="3" t="s">
        <v>1898</v>
      </c>
      <c r="W417" s="4" t="s">
        <v>378</v>
      </c>
      <c r="X417" s="3" t="s">
        <v>21</v>
      </c>
      <c r="Y417" cm="1">
        <f t="array" ref="Y417">SUM(IF(INT($M$2:$M$594)&amp;" "&amp;$K$2:$K$594=INT($M417)&amp;" "&amp;$K417,1,0))</f>
        <v>1</v>
      </c>
      <c r="Z417" cm="1">
        <f t="array" ref="Z417">SUM(IF(ROUND($M$2:$M$594,0)&amp;" "&amp;$K$2:$K$594=ROUND($M417,0)&amp;" "&amp;$K417,1,0))</f>
        <v>1</v>
      </c>
      <c r="AA417" cm="1">
        <f t="array" ref="AA417">SUM(IF($W$2:$W$594=$W417,1,0))</f>
        <v>1</v>
      </c>
    </row>
    <row r="418" spans="2:27" x14ac:dyDescent="0.25">
      <c r="B418" t="s">
        <v>1542</v>
      </c>
      <c r="C418" t="s">
        <v>1731</v>
      </c>
      <c r="D418" t="s">
        <v>379</v>
      </c>
      <c r="E418">
        <v>1</v>
      </c>
      <c r="F418" t="str">
        <f t="shared" si="6"/>
        <v>3/2</v>
      </c>
      <c r="G418" s="1" t="s">
        <v>380</v>
      </c>
      <c r="I418" s="3" t="s">
        <v>63</v>
      </c>
      <c r="K418" s="3" t="s">
        <v>35</v>
      </c>
      <c r="L418" s="4" t="s">
        <v>380</v>
      </c>
      <c r="M418" s="4" t="s">
        <v>380</v>
      </c>
      <c r="N418" s="3" t="s">
        <v>63</v>
      </c>
      <c r="O418" s="3" t="s">
        <v>374</v>
      </c>
      <c r="P418" s="3" t="s">
        <v>379</v>
      </c>
      <c r="Q418" s="3">
        <v>73</v>
      </c>
      <c r="T418" s="3">
        <v>17</v>
      </c>
      <c r="V418" s="3" t="s">
        <v>1899</v>
      </c>
      <c r="W418" s="4" t="s">
        <v>382</v>
      </c>
      <c r="X418" s="3" t="s">
        <v>21</v>
      </c>
      <c r="Y418" cm="1">
        <f t="array" ref="Y418">SUM(IF(INT($M$2:$M$594)&amp;" "&amp;$K$2:$K$594=INT($M418)&amp;" "&amp;$K418,1,0))</f>
        <v>1</v>
      </c>
      <c r="Z418" cm="1">
        <f t="array" ref="Z418">SUM(IF(ROUND($M$2:$M$594,0)&amp;" "&amp;$K$2:$K$594=ROUND($M418,0)&amp;" "&amp;$K418,1,0))</f>
        <v>1</v>
      </c>
      <c r="AA418" cm="1">
        <f t="array" ref="AA418">SUM(IF($W$2:$W$594=$W418,1,0))</f>
        <v>1</v>
      </c>
    </row>
    <row r="419" spans="2:27" x14ac:dyDescent="0.25">
      <c r="B419" t="s">
        <v>1543</v>
      </c>
      <c r="C419" t="s">
        <v>1730</v>
      </c>
      <c r="D419">
        <v>6</v>
      </c>
      <c r="E419">
        <v>6</v>
      </c>
      <c r="F419" t="str">
        <f t="shared" si="6"/>
        <v>13/2</v>
      </c>
      <c r="G419" s="1" t="s">
        <v>385</v>
      </c>
      <c r="I419" s="3" t="s">
        <v>63</v>
      </c>
      <c r="K419" s="3" t="s">
        <v>26</v>
      </c>
      <c r="L419" s="4" t="s">
        <v>385</v>
      </c>
      <c r="M419" s="4" t="s">
        <v>385</v>
      </c>
      <c r="N419" s="3" t="s">
        <v>63</v>
      </c>
      <c r="O419" s="3" t="s">
        <v>383</v>
      </c>
      <c r="P419" s="3" t="s">
        <v>384</v>
      </c>
      <c r="Q419" s="3">
        <v>100</v>
      </c>
      <c r="W419" s="4" t="s">
        <v>386</v>
      </c>
      <c r="X419" s="3" t="s">
        <v>21</v>
      </c>
      <c r="Y419" cm="1">
        <f t="array" ref="Y419">SUM(IF(INT($M$2:$M$594)&amp;" "&amp;$K$2:$K$594=INT($M419)&amp;" "&amp;$K419,1,0))</f>
        <v>1</v>
      </c>
      <c r="Z419" cm="1">
        <f t="array" ref="Z419">SUM(IF(ROUND($M$2:$M$594,0)&amp;" "&amp;$K$2:$K$594=ROUND($M419,0)&amp;" "&amp;$K419,1,0))</f>
        <v>1</v>
      </c>
      <c r="AA419" cm="1">
        <f t="array" ref="AA419">SUM(IF($W$2:$W$594=$W419,1,0))</f>
        <v>1</v>
      </c>
    </row>
    <row r="420" spans="2:27" x14ac:dyDescent="0.25">
      <c r="B420" t="s">
        <v>1544</v>
      </c>
      <c r="C420" t="s">
        <v>1732</v>
      </c>
      <c r="D420">
        <v>2</v>
      </c>
      <c r="E420">
        <v>1</v>
      </c>
      <c r="F420" t="str">
        <f t="shared" si="6"/>
        <v>3/2</v>
      </c>
      <c r="G420" s="1" t="s">
        <v>389</v>
      </c>
      <c r="I420" s="3" t="s">
        <v>63</v>
      </c>
      <c r="K420" s="3" t="s">
        <v>35</v>
      </c>
      <c r="L420" s="4" t="s">
        <v>389</v>
      </c>
      <c r="M420" s="4" t="s">
        <v>389</v>
      </c>
      <c r="N420" s="3" t="s">
        <v>63</v>
      </c>
      <c r="O420" s="3" t="s">
        <v>387</v>
      </c>
      <c r="P420" s="3" t="s">
        <v>388</v>
      </c>
      <c r="Q420" s="3">
        <v>98</v>
      </c>
      <c r="W420" s="4" t="s">
        <v>390</v>
      </c>
      <c r="X420" s="3" t="s">
        <v>21</v>
      </c>
      <c r="Y420" cm="1">
        <f t="array" ref="Y420">SUM(IF(INT($M$2:$M$594)&amp;" "&amp;$K$2:$K$594=INT($M420)&amp;" "&amp;$K420,1,0))</f>
        <v>1</v>
      </c>
      <c r="Z420" cm="1">
        <f t="array" ref="Z420">SUM(IF(ROUND($M$2:$M$594,0)&amp;" "&amp;$K$2:$K$594=ROUND($M420,0)&amp;" "&amp;$K420,1,0))</f>
        <v>1</v>
      </c>
      <c r="AA420" cm="1">
        <f t="array" ref="AA420">SUM(IF($W$2:$W$594=$W420,1,0))</f>
        <v>1</v>
      </c>
    </row>
    <row r="421" spans="2:27" x14ac:dyDescent="0.25">
      <c r="B421" t="s">
        <v>1543</v>
      </c>
      <c r="C421" t="s">
        <v>1730</v>
      </c>
      <c r="D421">
        <v>6</v>
      </c>
      <c r="E421">
        <v>5</v>
      </c>
      <c r="F421" t="str">
        <f t="shared" si="6"/>
        <v>11/2</v>
      </c>
      <c r="G421" s="1" t="s">
        <v>391</v>
      </c>
      <c r="I421" s="3" t="s">
        <v>63</v>
      </c>
      <c r="K421" s="3" t="s">
        <v>22</v>
      </c>
      <c r="L421" s="4" t="s">
        <v>391</v>
      </c>
      <c r="M421" s="4" t="s">
        <v>391</v>
      </c>
      <c r="N421" s="3" t="s">
        <v>63</v>
      </c>
      <c r="O421" s="3" t="s">
        <v>383</v>
      </c>
      <c r="P421" s="3" t="s">
        <v>384</v>
      </c>
      <c r="Q421" s="3">
        <v>97</v>
      </c>
      <c r="W421" s="4" t="s">
        <v>392</v>
      </c>
      <c r="X421" s="3" t="s">
        <v>21</v>
      </c>
      <c r="Y421" cm="1">
        <f t="array" ref="Y421">SUM(IF(INT($M$2:$M$594)&amp;" "&amp;$K$2:$K$594=INT($M421)&amp;" "&amp;$K421,1,0))</f>
        <v>1</v>
      </c>
      <c r="Z421" cm="1">
        <f t="array" ref="Z421">SUM(IF(ROUND($M$2:$M$594,0)&amp;" "&amp;$K$2:$K$594=ROUND($M421,0)&amp;" "&amp;$K421,1,0))</f>
        <v>1</v>
      </c>
      <c r="AA421" cm="1">
        <f t="array" ref="AA421">SUM(IF($W$2:$W$594=$W421,1,0))</f>
        <v>1</v>
      </c>
    </row>
    <row r="422" spans="2:27" x14ac:dyDescent="0.25">
      <c r="B422" t="s">
        <v>1544</v>
      </c>
      <c r="C422" t="s">
        <v>1732</v>
      </c>
      <c r="D422">
        <v>2</v>
      </c>
      <c r="E422">
        <v>2</v>
      </c>
      <c r="F422" t="str">
        <f t="shared" si="6"/>
        <v>5/2</v>
      </c>
      <c r="G422" s="1" t="s">
        <v>393</v>
      </c>
      <c r="I422" s="3" t="s">
        <v>63</v>
      </c>
      <c r="K422" s="3" t="s">
        <v>43</v>
      </c>
      <c r="L422" s="4" t="s">
        <v>393</v>
      </c>
      <c r="M422" s="4" t="s">
        <v>393</v>
      </c>
      <c r="N422" s="3" t="s">
        <v>63</v>
      </c>
      <c r="O422" s="3" t="s">
        <v>387</v>
      </c>
      <c r="P422" s="3" t="s">
        <v>388</v>
      </c>
      <c r="Q422" s="3">
        <v>89</v>
      </c>
      <c r="T422" s="3">
        <v>9</v>
      </c>
      <c r="V422" s="3" t="s">
        <v>1900</v>
      </c>
      <c r="W422" s="4" t="s">
        <v>395</v>
      </c>
      <c r="X422" s="3" t="s">
        <v>21</v>
      </c>
      <c r="Y422" cm="1">
        <f t="array" ref="Y422">SUM(IF(INT($M$2:$M$594)&amp;" "&amp;$K$2:$K$594=INT($M422)&amp;" "&amp;$K422,1,0))</f>
        <v>1</v>
      </c>
      <c r="Z422" cm="1">
        <f t="array" ref="Z422">SUM(IF(ROUND($M$2:$M$594,0)&amp;" "&amp;$K$2:$K$594=ROUND($M422,0)&amp;" "&amp;$K422,1,0))</f>
        <v>1</v>
      </c>
      <c r="AA422" cm="1">
        <f t="array" ref="AA422">SUM(IF($W$2:$W$594=$W422,1,0))</f>
        <v>1</v>
      </c>
    </row>
    <row r="423" spans="2:27" x14ac:dyDescent="0.25">
      <c r="B423" t="s">
        <v>1542</v>
      </c>
      <c r="C423" t="s">
        <v>1731</v>
      </c>
      <c r="D423" t="s">
        <v>379</v>
      </c>
      <c r="E423">
        <v>0</v>
      </c>
      <c r="F423" t="str">
        <f t="shared" si="6"/>
        <v>1/2</v>
      </c>
      <c r="G423" s="1" t="s">
        <v>396</v>
      </c>
      <c r="I423" s="3" t="s">
        <v>63</v>
      </c>
      <c r="K423" s="3" t="s">
        <v>145</v>
      </c>
      <c r="L423" s="4" t="s">
        <v>396</v>
      </c>
      <c r="M423" s="4" t="s">
        <v>396</v>
      </c>
      <c r="N423" s="3" t="s">
        <v>63</v>
      </c>
      <c r="O423" s="3" t="s">
        <v>374</v>
      </c>
      <c r="P423" s="3" t="s">
        <v>379</v>
      </c>
      <c r="Q423" s="3">
        <v>68</v>
      </c>
      <c r="T423" s="3">
        <v>25</v>
      </c>
      <c r="V423" s="3" t="s">
        <v>1901</v>
      </c>
      <c r="W423" s="4" t="s">
        <v>398</v>
      </c>
      <c r="X423" s="3" t="s">
        <v>21</v>
      </c>
      <c r="Y423" cm="1">
        <f t="array" ref="Y423">SUM(IF(INT($M$2:$M$594)&amp;" "&amp;$K$2:$K$594=INT($M423)&amp;" "&amp;$K423,1,0))</f>
        <v>1</v>
      </c>
      <c r="Z423" cm="1">
        <f t="array" ref="Z423">SUM(IF(ROUND($M$2:$M$594,0)&amp;" "&amp;$K$2:$K$594=ROUND($M423,0)&amp;" "&amp;$K423,1,0))</f>
        <v>1</v>
      </c>
      <c r="AA423" cm="1">
        <f t="array" ref="AA423">SUM(IF($W$2:$W$594=$W423,1,0))</f>
        <v>1</v>
      </c>
    </row>
    <row r="424" spans="2:27" x14ac:dyDescent="0.25">
      <c r="B424" t="s">
        <v>1545</v>
      </c>
      <c r="C424" t="s">
        <v>1731</v>
      </c>
      <c r="D424" t="s">
        <v>351</v>
      </c>
      <c r="E424">
        <v>2</v>
      </c>
      <c r="F424" t="str">
        <f t="shared" si="6"/>
        <v>5/2</v>
      </c>
      <c r="G424" s="1" t="s">
        <v>399</v>
      </c>
      <c r="I424" s="3" t="s">
        <v>63</v>
      </c>
      <c r="K424" s="3" t="s">
        <v>43</v>
      </c>
      <c r="L424" s="4" t="s">
        <v>399</v>
      </c>
      <c r="M424" s="4" t="s">
        <v>399</v>
      </c>
      <c r="N424" s="3" t="s">
        <v>63</v>
      </c>
      <c r="O424" s="3" t="s">
        <v>374</v>
      </c>
      <c r="P424" s="3" t="s">
        <v>351</v>
      </c>
      <c r="Q424" s="3">
        <v>53</v>
      </c>
      <c r="T424" s="3">
        <v>18</v>
      </c>
      <c r="V424" s="3" t="s">
        <v>1902</v>
      </c>
      <c r="W424" s="4" t="s">
        <v>401</v>
      </c>
      <c r="X424" s="3" t="s">
        <v>21</v>
      </c>
      <c r="Y424" cm="1">
        <f t="array" ref="Y424">SUM(IF(INT($M$2:$M$594)&amp;" "&amp;$K$2:$K$594=INT($M424)&amp;" "&amp;$K424,1,0))</f>
        <v>1</v>
      </c>
      <c r="Z424" cm="1">
        <f t="array" ref="Z424">SUM(IF(ROUND($M$2:$M$594,0)&amp;" "&amp;$K$2:$K$594=ROUND($M424,0)&amp;" "&amp;$K424,1,0))</f>
        <v>1</v>
      </c>
      <c r="AA424" cm="1">
        <f t="array" ref="AA424">SUM(IF($W$2:$W$594=$W424,1,0))</f>
        <v>1</v>
      </c>
    </row>
    <row r="425" spans="2:27" x14ac:dyDescent="0.25">
      <c r="B425" t="s">
        <v>1546</v>
      </c>
      <c r="C425" t="s">
        <v>1732</v>
      </c>
      <c r="D425">
        <v>3</v>
      </c>
      <c r="E425">
        <v>3</v>
      </c>
      <c r="F425" t="str">
        <f t="shared" si="6"/>
        <v>7/2</v>
      </c>
      <c r="G425" s="1" t="s">
        <v>404</v>
      </c>
      <c r="I425" s="3" t="s">
        <v>63</v>
      </c>
      <c r="K425" s="3" t="s">
        <v>47</v>
      </c>
      <c r="L425" s="4" t="s">
        <v>404</v>
      </c>
      <c r="M425" s="4" t="s">
        <v>404</v>
      </c>
      <c r="N425" s="3" t="s">
        <v>63</v>
      </c>
      <c r="O425" s="3" t="s">
        <v>402</v>
      </c>
      <c r="P425" s="3" t="s">
        <v>403</v>
      </c>
      <c r="Q425" s="3">
        <v>89</v>
      </c>
      <c r="W425" s="4" t="s">
        <v>405</v>
      </c>
      <c r="X425" s="3" t="s">
        <v>21</v>
      </c>
      <c r="Y425" cm="1">
        <f t="array" ref="Y425">SUM(IF(INT($M$2:$M$594)&amp;" "&amp;$K$2:$K$594=INT($M425)&amp;" "&amp;$K425,1,0))</f>
        <v>1</v>
      </c>
      <c r="Z425" cm="1">
        <f t="array" ref="Z425">SUM(IF(ROUND($M$2:$M$594,0)&amp;" "&amp;$K$2:$K$594=ROUND($M425,0)&amp;" "&amp;$K425,1,0))</f>
        <v>1</v>
      </c>
      <c r="AA425" cm="1">
        <f t="array" ref="AA425">SUM(IF($W$2:$W$594=$W425,1,0))</f>
        <v>1</v>
      </c>
    </row>
    <row r="426" spans="2:27" x14ac:dyDescent="0.25">
      <c r="B426" t="s">
        <v>1547</v>
      </c>
      <c r="C426" t="s">
        <v>1731</v>
      </c>
      <c r="D426" t="s">
        <v>193</v>
      </c>
      <c r="E426">
        <v>3</v>
      </c>
      <c r="F426" t="str">
        <f t="shared" si="6"/>
        <v>7/2</v>
      </c>
      <c r="G426" s="1" t="s">
        <v>406</v>
      </c>
      <c r="I426" s="3" t="s">
        <v>63</v>
      </c>
      <c r="K426" s="3" t="s">
        <v>47</v>
      </c>
      <c r="L426" s="4" t="s">
        <v>406</v>
      </c>
      <c r="M426" s="4" t="s">
        <v>406</v>
      </c>
      <c r="N426" s="3" t="s">
        <v>63</v>
      </c>
      <c r="O426" s="3" t="s">
        <v>374</v>
      </c>
      <c r="P426" s="3" t="s">
        <v>193</v>
      </c>
      <c r="Q426" s="3">
        <v>48</v>
      </c>
      <c r="T426" s="3">
        <v>19</v>
      </c>
      <c r="V426" s="3" t="s">
        <v>1903</v>
      </c>
      <c r="W426" s="4" t="s">
        <v>408</v>
      </c>
      <c r="X426" s="3" t="s">
        <v>21</v>
      </c>
      <c r="Y426" cm="1">
        <f t="array" ref="Y426">SUM(IF(INT($M$2:$M$594)&amp;" "&amp;$K$2:$K$594=INT($M426)&amp;" "&amp;$K426,1,0))</f>
        <v>1</v>
      </c>
      <c r="Z426" cm="1">
        <f t="array" ref="Z426">SUM(IF(ROUND($M$2:$M$594,0)&amp;" "&amp;$K$2:$K$594=ROUND($M426,0)&amp;" "&amp;$K426,1,0))</f>
        <v>1</v>
      </c>
      <c r="AA426" cm="1">
        <f t="array" ref="AA426">SUM(IF($W$2:$W$594=$W426,1,0))</f>
        <v>1</v>
      </c>
    </row>
    <row r="427" spans="2:27" x14ac:dyDescent="0.25">
      <c r="B427" t="s">
        <v>1548</v>
      </c>
      <c r="C427" t="s">
        <v>1548</v>
      </c>
      <c r="E427">
        <v>1</v>
      </c>
      <c r="F427" t="str">
        <f t="shared" si="6"/>
        <v>3/2</v>
      </c>
      <c r="G427" s="1" t="s">
        <v>410</v>
      </c>
      <c r="I427" s="3" t="s">
        <v>63</v>
      </c>
      <c r="K427" s="3" t="s">
        <v>35</v>
      </c>
      <c r="L427" s="4" t="s">
        <v>410</v>
      </c>
      <c r="M427" s="4" t="s">
        <v>410</v>
      </c>
      <c r="N427" s="3" t="s">
        <v>63</v>
      </c>
      <c r="O427" s="3" t="s">
        <v>409</v>
      </c>
      <c r="P427" s="3" t="s">
        <v>17</v>
      </c>
      <c r="Q427" s="3">
        <v>32</v>
      </c>
      <c r="R427" s="3" t="s">
        <v>173</v>
      </c>
      <c r="T427" s="3">
        <v>31</v>
      </c>
      <c r="V427" s="3" t="s">
        <v>1904</v>
      </c>
      <c r="W427" s="4" t="s">
        <v>412</v>
      </c>
      <c r="X427" s="3" t="s">
        <v>21</v>
      </c>
      <c r="Y427" cm="1">
        <f t="array" ref="Y427">SUM(IF(INT($M$2:$M$594)&amp;" "&amp;$K$2:$K$594=INT($M427)&amp;" "&amp;$K427,1,0))</f>
        <v>1</v>
      </c>
      <c r="Z427" cm="1">
        <f t="array" ref="Z427">SUM(IF(ROUND($M$2:$M$594,0)&amp;" "&amp;$K$2:$K$594=ROUND($M427,0)&amp;" "&amp;$K427,1,0))</f>
        <v>1</v>
      </c>
      <c r="AA427" cm="1">
        <f t="array" ref="AA427">SUM(IF($W$2:$W$594=$W427,1,0))</f>
        <v>1</v>
      </c>
    </row>
    <row r="428" spans="2:27" x14ac:dyDescent="0.25">
      <c r="B428" t="s">
        <v>1549</v>
      </c>
      <c r="C428" t="s">
        <v>1732</v>
      </c>
      <c r="D428">
        <v>4</v>
      </c>
      <c r="E428">
        <v>4</v>
      </c>
      <c r="F428" t="str">
        <f t="shared" si="6"/>
        <v>9/2</v>
      </c>
      <c r="G428" s="1" t="s">
        <v>414</v>
      </c>
      <c r="I428" s="3" t="s">
        <v>63</v>
      </c>
      <c r="K428" s="3" t="s">
        <v>14</v>
      </c>
      <c r="L428" s="4" t="s">
        <v>414</v>
      </c>
      <c r="M428" s="4" t="s">
        <v>414</v>
      </c>
      <c r="N428" s="3" t="s">
        <v>63</v>
      </c>
      <c r="O428" s="3" t="s">
        <v>413</v>
      </c>
      <c r="P428" s="3" t="s">
        <v>335</v>
      </c>
      <c r="Q428" s="3">
        <v>69</v>
      </c>
      <c r="T428" s="3">
        <v>30</v>
      </c>
      <c r="V428" s="3" t="s">
        <v>1905</v>
      </c>
      <c r="W428" s="4" t="s">
        <v>416</v>
      </c>
      <c r="X428" s="3" t="s">
        <v>21</v>
      </c>
      <c r="Y428" cm="1">
        <f t="array" ref="Y428">SUM(IF(INT($M$2:$M$594)&amp;" "&amp;$K$2:$K$594=INT($M428)&amp;" "&amp;$K428,1,0))</f>
        <v>1</v>
      </c>
      <c r="Z428" cm="1">
        <f t="array" ref="Z428">SUM(IF(ROUND($M$2:$M$594,0)&amp;" "&amp;$K$2:$K$594=ROUND($M428,0)&amp;" "&amp;$K428,1,0))</f>
        <v>1</v>
      </c>
      <c r="AA428" cm="1">
        <f t="array" ref="AA428">SUM(IF($W$2:$W$594=$W428,1,0))</f>
        <v>1</v>
      </c>
    </row>
    <row r="429" spans="2:27" x14ac:dyDescent="0.25">
      <c r="B429" t="s">
        <v>1546</v>
      </c>
      <c r="C429" t="s">
        <v>1732</v>
      </c>
      <c r="D429">
        <v>3</v>
      </c>
      <c r="E429">
        <v>2</v>
      </c>
      <c r="F429" t="str">
        <f t="shared" si="6"/>
        <v>5/2</v>
      </c>
      <c r="G429" s="1" t="s">
        <v>417</v>
      </c>
      <c r="I429" s="3" t="s">
        <v>63</v>
      </c>
      <c r="K429" s="3" t="s">
        <v>43</v>
      </c>
      <c r="L429" s="4" t="s">
        <v>417</v>
      </c>
      <c r="M429" s="4" t="s">
        <v>417</v>
      </c>
      <c r="N429" s="3" t="s">
        <v>63</v>
      </c>
      <c r="O429" s="3" t="s">
        <v>402</v>
      </c>
      <c r="P429" s="3" t="s">
        <v>403</v>
      </c>
      <c r="Q429" s="3">
        <v>91</v>
      </c>
      <c r="T429" s="3">
        <v>9</v>
      </c>
      <c r="V429" s="3" t="s">
        <v>1906</v>
      </c>
      <c r="W429" s="4" t="s">
        <v>419</v>
      </c>
      <c r="X429" s="3" t="s">
        <v>21</v>
      </c>
      <c r="Y429" cm="1">
        <f t="array" ref="Y429">SUM(IF(INT($M$2:$M$594)&amp;" "&amp;$K$2:$K$594=INT($M429)&amp;" "&amp;$K429,1,0))</f>
        <v>1</v>
      </c>
      <c r="Z429" cm="1">
        <f t="array" ref="Z429">SUM(IF(ROUND($M$2:$M$594,0)&amp;" "&amp;$K$2:$K$594=ROUND($M429,0)&amp;" "&amp;$K429,1,0))</f>
        <v>1</v>
      </c>
      <c r="AA429" cm="1">
        <f t="array" ref="AA429">SUM(IF($W$2:$W$594=$W429,1,0))</f>
        <v>1</v>
      </c>
    </row>
    <row r="430" spans="2:27" x14ac:dyDescent="0.25">
      <c r="B430" t="s">
        <v>1549</v>
      </c>
      <c r="C430" t="s">
        <v>1732</v>
      </c>
      <c r="D430">
        <v>4</v>
      </c>
      <c r="E430">
        <v>3</v>
      </c>
      <c r="F430" t="str">
        <f t="shared" si="6"/>
        <v>7/2</v>
      </c>
      <c r="G430" s="1" t="s">
        <v>420</v>
      </c>
      <c r="I430" s="3" t="s">
        <v>63</v>
      </c>
      <c r="K430" s="3" t="s">
        <v>47</v>
      </c>
      <c r="L430" s="4" t="s">
        <v>420</v>
      </c>
      <c r="M430" s="4" t="s">
        <v>420</v>
      </c>
      <c r="N430" s="3" t="s">
        <v>63</v>
      </c>
      <c r="O430" s="3" t="s">
        <v>413</v>
      </c>
      <c r="P430" s="3" t="s">
        <v>335</v>
      </c>
      <c r="Q430" s="3">
        <v>50</v>
      </c>
      <c r="T430" s="3">
        <v>39</v>
      </c>
      <c r="V430" s="3" t="s">
        <v>1905</v>
      </c>
      <c r="W430" s="4" t="s">
        <v>422</v>
      </c>
      <c r="X430" s="3" t="s">
        <v>21</v>
      </c>
      <c r="Y430" cm="1">
        <f t="array" ref="Y430">SUM(IF(INT($M$2:$M$594)&amp;" "&amp;$K$2:$K$594=INT($M430)&amp;" "&amp;$K430,1,0))</f>
        <v>1</v>
      </c>
      <c r="Z430" cm="1">
        <f t="array" ref="Z430">SUM(IF(ROUND($M$2:$M$594,0)&amp;" "&amp;$K$2:$K$594=ROUND($M430,0)&amp;" "&amp;$K430,1,0))</f>
        <v>1</v>
      </c>
      <c r="AA430" cm="1">
        <f t="array" ref="AA430">SUM(IF($W$2:$W$594=$W430,1,0))</f>
        <v>1</v>
      </c>
    </row>
    <row r="431" spans="2:27" x14ac:dyDescent="0.25">
      <c r="B431" t="s">
        <v>1547</v>
      </c>
      <c r="C431" t="s">
        <v>1731</v>
      </c>
      <c r="D431" t="s">
        <v>193</v>
      </c>
      <c r="E431">
        <v>4</v>
      </c>
      <c r="F431" t="str">
        <f t="shared" si="6"/>
        <v>9/2</v>
      </c>
      <c r="G431" s="1" t="s">
        <v>423</v>
      </c>
      <c r="I431" s="3" t="s">
        <v>63</v>
      </c>
      <c r="K431" s="3" t="s">
        <v>14</v>
      </c>
      <c r="L431" s="4" t="s">
        <v>423</v>
      </c>
      <c r="M431" s="4" t="s">
        <v>423</v>
      </c>
      <c r="N431" s="3" t="s">
        <v>63</v>
      </c>
      <c r="O431" s="3" t="s">
        <v>374</v>
      </c>
      <c r="P431" s="3" t="s">
        <v>193</v>
      </c>
      <c r="Q431" s="3">
        <v>54</v>
      </c>
      <c r="T431" s="3">
        <v>22</v>
      </c>
      <c r="V431" s="3" t="s">
        <v>1902</v>
      </c>
      <c r="W431" s="4" t="s">
        <v>425</v>
      </c>
      <c r="X431" s="3" t="s">
        <v>21</v>
      </c>
      <c r="Y431" cm="1">
        <f t="array" ref="Y431">SUM(IF(INT($M$2:$M$594)&amp;" "&amp;$K$2:$K$594=INT($M431)&amp;" "&amp;$K431,1,0))</f>
        <v>1</v>
      </c>
      <c r="Z431" cm="1">
        <f t="array" ref="Z431">SUM(IF(ROUND($M$2:$M$594,0)&amp;" "&amp;$K$2:$K$594=ROUND($M431,0)&amp;" "&amp;$K431,1,0))</f>
        <v>1</v>
      </c>
      <c r="AA431" cm="1">
        <f t="array" ref="AA431">SUM(IF($W$2:$W$594=$W431,1,0))</f>
        <v>1</v>
      </c>
    </row>
    <row r="432" spans="2:27" x14ac:dyDescent="0.25">
      <c r="B432" t="s">
        <v>1550</v>
      </c>
      <c r="C432" t="s">
        <v>1548</v>
      </c>
      <c r="D432" t="s">
        <v>173</v>
      </c>
      <c r="E432">
        <v>1</v>
      </c>
      <c r="F432" t="str">
        <f t="shared" si="6"/>
        <v>3/2</v>
      </c>
      <c r="G432" s="1" t="s">
        <v>426</v>
      </c>
      <c r="I432" s="3" t="s">
        <v>63</v>
      </c>
      <c r="K432" s="3" t="s">
        <v>35</v>
      </c>
      <c r="L432" s="4" t="s">
        <v>426</v>
      </c>
      <c r="M432" s="4" t="s">
        <v>426</v>
      </c>
      <c r="N432" s="3" t="s">
        <v>63</v>
      </c>
      <c r="O432" s="3" t="s">
        <v>409</v>
      </c>
      <c r="P432" s="3" t="s">
        <v>173</v>
      </c>
      <c r="Q432" s="3">
        <v>65</v>
      </c>
      <c r="T432" s="3">
        <v>12</v>
      </c>
      <c r="V432" s="3" t="s">
        <v>1899</v>
      </c>
      <c r="W432" s="4" t="s">
        <v>428</v>
      </c>
      <c r="X432" s="3" t="s">
        <v>21</v>
      </c>
      <c r="Y432" cm="1">
        <f t="array" ref="Y432">SUM(IF(INT($M$2:$M$594)&amp;" "&amp;$K$2:$K$594=INT($M432)&amp;" "&amp;$K432,1,0))</f>
        <v>1</v>
      </c>
      <c r="Z432" cm="1">
        <f t="array" ref="Z432">SUM(IF(ROUND($M$2:$M$594,0)&amp;" "&amp;$K$2:$K$594=ROUND($M432,0)&amp;" "&amp;$K432,1,0))</f>
        <v>1</v>
      </c>
      <c r="AA432" cm="1">
        <f t="array" ref="AA432">SUM(IF($W$2:$W$594=$W432,1,0))</f>
        <v>1</v>
      </c>
    </row>
    <row r="433" spans="2:27" x14ac:dyDescent="0.25">
      <c r="B433" t="s">
        <v>1545</v>
      </c>
      <c r="C433" t="s">
        <v>1731</v>
      </c>
      <c r="D433" t="s">
        <v>351</v>
      </c>
      <c r="E433">
        <v>3</v>
      </c>
      <c r="F433" t="str">
        <f t="shared" si="6"/>
        <v>7/2</v>
      </c>
      <c r="G433" s="1" t="s">
        <v>429</v>
      </c>
      <c r="I433" s="3" t="s">
        <v>63</v>
      </c>
      <c r="K433" s="3" t="s">
        <v>47</v>
      </c>
      <c r="L433" s="4" t="s">
        <v>429</v>
      </c>
      <c r="M433" s="4" t="s">
        <v>429</v>
      </c>
      <c r="N433" s="3" t="s">
        <v>63</v>
      </c>
      <c r="O433" s="3" t="s">
        <v>374</v>
      </c>
      <c r="P433" s="3" t="s">
        <v>351</v>
      </c>
      <c r="Q433" s="3">
        <v>39</v>
      </c>
      <c r="T433" s="3">
        <v>22</v>
      </c>
      <c r="V433" s="3" t="s">
        <v>1902</v>
      </c>
      <c r="W433" s="4" t="s">
        <v>431</v>
      </c>
      <c r="X433" s="3" t="s">
        <v>21</v>
      </c>
      <c r="Y433" cm="1">
        <f t="array" ref="Y433">SUM(IF(INT($M$2:$M$594)&amp;" "&amp;$K$2:$K$594=INT($M433)&amp;" "&amp;$K433,1,0))</f>
        <v>1</v>
      </c>
      <c r="Z433" cm="1">
        <f t="array" ref="Z433">SUM(IF(ROUND($M$2:$M$594,0)&amp;" "&amp;$K$2:$K$594=ROUND($M433,0)&amp;" "&amp;$K433,1,0))</f>
        <v>1</v>
      </c>
      <c r="AA433" cm="1">
        <f t="array" ref="AA433">SUM(IF($W$2:$W$594=$W433,1,0))</f>
        <v>1</v>
      </c>
    </row>
    <row r="434" spans="2:27" x14ac:dyDescent="0.25">
      <c r="B434" t="s">
        <v>1551</v>
      </c>
      <c r="C434" t="s">
        <v>1733</v>
      </c>
      <c r="D434" t="s">
        <v>140</v>
      </c>
      <c r="E434">
        <v>6</v>
      </c>
      <c r="F434" t="str">
        <f t="shared" si="6"/>
        <v>13/2</v>
      </c>
      <c r="G434" s="1" t="s">
        <v>433</v>
      </c>
      <c r="I434" s="3" t="s">
        <v>63</v>
      </c>
      <c r="K434" s="3" t="s">
        <v>26</v>
      </c>
      <c r="L434" s="4" t="s">
        <v>433</v>
      </c>
      <c r="M434" s="4" t="s">
        <v>433</v>
      </c>
      <c r="N434" s="3" t="s">
        <v>63</v>
      </c>
      <c r="O434" s="3" t="s">
        <v>432</v>
      </c>
      <c r="P434" s="3" t="s">
        <v>140</v>
      </c>
      <c r="Q434" s="3">
        <v>69</v>
      </c>
      <c r="T434" s="3">
        <v>26</v>
      </c>
      <c r="V434" s="3" t="s">
        <v>1895</v>
      </c>
      <c r="W434" s="4" t="s">
        <v>435</v>
      </c>
      <c r="X434" s="3" t="s">
        <v>21</v>
      </c>
      <c r="Y434" cm="1">
        <f t="array" ref="Y434">SUM(IF(INT($M$2:$M$594)&amp;" "&amp;$K$2:$K$594=INT($M434)&amp;" "&amp;$K434,1,0))</f>
        <v>1</v>
      </c>
      <c r="Z434" cm="1">
        <f t="array" ref="Z434">SUM(IF(ROUND($M$2:$M$594,0)&amp;" "&amp;$K$2:$K$594=ROUND($M434,0)&amp;" "&amp;$K434,1,0))</f>
        <v>1</v>
      </c>
      <c r="AA434" cm="1">
        <f t="array" ref="AA434">SUM(IF($W$2:$W$594=$W434,1,0))</f>
        <v>1</v>
      </c>
    </row>
    <row r="435" spans="2:27" x14ac:dyDescent="0.25">
      <c r="B435" t="s">
        <v>1550</v>
      </c>
      <c r="C435" t="s">
        <v>1548</v>
      </c>
      <c r="D435" t="s">
        <v>173</v>
      </c>
      <c r="E435">
        <v>2</v>
      </c>
      <c r="F435" t="str">
        <f t="shared" si="6"/>
        <v>5/2</v>
      </c>
      <c r="G435" s="1" t="s">
        <v>436</v>
      </c>
      <c r="I435" s="3" t="s">
        <v>63</v>
      </c>
      <c r="K435" s="3" t="s">
        <v>43</v>
      </c>
      <c r="L435" s="4" t="s">
        <v>436</v>
      </c>
      <c r="M435" s="4" t="s">
        <v>436</v>
      </c>
      <c r="N435" s="3" t="s">
        <v>63</v>
      </c>
      <c r="O435" s="3" t="s">
        <v>409</v>
      </c>
      <c r="P435" s="3" t="s">
        <v>173</v>
      </c>
      <c r="Q435" s="3">
        <v>80</v>
      </c>
      <c r="T435" s="3">
        <v>11</v>
      </c>
      <c r="V435" s="3" t="s">
        <v>1907</v>
      </c>
      <c r="W435" s="4" t="s">
        <v>438</v>
      </c>
      <c r="X435" s="3" t="s">
        <v>21</v>
      </c>
      <c r="Y435" cm="1">
        <f t="array" ref="Y435">SUM(IF(INT($M$2:$M$594)&amp;" "&amp;$K$2:$K$594=INT($M435)&amp;" "&amp;$K435,1,0))</f>
        <v>1</v>
      </c>
      <c r="Z435" cm="1">
        <f t="array" ref="Z435">SUM(IF(ROUND($M$2:$M$594,0)&amp;" "&amp;$K$2:$K$594=ROUND($M435,0)&amp;" "&amp;$K435,1,0))</f>
        <v>1</v>
      </c>
      <c r="AA435" cm="1">
        <f t="array" ref="AA435">SUM(IF($W$2:$W$594=$W435,1,0))</f>
        <v>1</v>
      </c>
    </row>
    <row r="436" spans="2:27" x14ac:dyDescent="0.25">
      <c r="B436" t="s">
        <v>1551</v>
      </c>
      <c r="C436" t="s">
        <v>1733</v>
      </c>
      <c r="D436" t="s">
        <v>140</v>
      </c>
      <c r="E436">
        <v>5</v>
      </c>
      <c r="F436" t="str">
        <f t="shared" si="6"/>
        <v>11/2</v>
      </c>
      <c r="G436" s="1" t="s">
        <v>439</v>
      </c>
      <c r="I436" s="3" t="s">
        <v>63</v>
      </c>
      <c r="K436" s="3" t="s">
        <v>22</v>
      </c>
      <c r="L436" s="4" t="s">
        <v>439</v>
      </c>
      <c r="M436" s="4" t="s">
        <v>439</v>
      </c>
      <c r="N436" s="3" t="s">
        <v>63</v>
      </c>
      <c r="O436" s="3" t="s">
        <v>432</v>
      </c>
      <c r="P436" s="3" t="s">
        <v>140</v>
      </c>
      <c r="Q436" s="3">
        <v>92</v>
      </c>
      <c r="W436" s="4" t="s">
        <v>441</v>
      </c>
      <c r="X436" s="3" t="s">
        <v>21</v>
      </c>
      <c r="Y436" cm="1">
        <f t="array" ref="Y436">SUM(IF(INT($M$2:$M$594)&amp;" "&amp;$K$2:$K$594=INT($M436)&amp;" "&amp;$K436,1,0))</f>
        <v>1</v>
      </c>
      <c r="Z436" cm="1">
        <f t="array" ref="Z436">SUM(IF(ROUND($M$2:$M$594,0)&amp;" "&amp;$K$2:$K$594=ROUND($M436,0)&amp;" "&amp;$K436,1,0))</f>
        <v>1</v>
      </c>
      <c r="AA436" cm="1">
        <f t="array" ref="AA436">SUM(IF($W$2:$W$594=$W436,1,0))</f>
        <v>1</v>
      </c>
    </row>
    <row r="437" spans="2:27" x14ac:dyDescent="0.25">
      <c r="B437" t="s">
        <v>1552</v>
      </c>
      <c r="C437" t="s">
        <v>1548</v>
      </c>
      <c r="D437" t="s">
        <v>186</v>
      </c>
      <c r="E437">
        <v>0</v>
      </c>
      <c r="F437" t="str">
        <f t="shared" si="6"/>
        <v>1/2</v>
      </c>
      <c r="G437" s="1" t="s">
        <v>442</v>
      </c>
      <c r="I437" s="3" t="s">
        <v>63</v>
      </c>
      <c r="K437" s="3" t="s">
        <v>145</v>
      </c>
      <c r="L437" s="4" t="s">
        <v>442</v>
      </c>
      <c r="M437" s="4" t="s">
        <v>442</v>
      </c>
      <c r="N437" s="3" t="s">
        <v>63</v>
      </c>
      <c r="O437" s="3" t="s">
        <v>409</v>
      </c>
      <c r="P437" s="3" t="s">
        <v>186</v>
      </c>
      <c r="Q437" s="3">
        <v>57</v>
      </c>
      <c r="T437" s="3">
        <v>35</v>
      </c>
      <c r="V437" s="3" t="s">
        <v>1899</v>
      </c>
      <c r="W437" s="4" t="s">
        <v>444</v>
      </c>
      <c r="X437" s="3" t="s">
        <v>21</v>
      </c>
      <c r="Y437" cm="1">
        <f t="array" ref="Y437">SUM(IF(INT($M$2:$M$594)&amp;" "&amp;$K$2:$K$594=INT($M437)&amp;" "&amp;$K437,1,0))</f>
        <v>1</v>
      </c>
      <c r="Z437" cm="1">
        <f t="array" ref="Z437">SUM(IF(ROUND($M$2:$M$594,0)&amp;" "&amp;$K$2:$K$594=ROUND($M437,0)&amp;" "&amp;$K437,1,0))</f>
        <v>1</v>
      </c>
      <c r="AA437" cm="1">
        <f t="array" ref="AA437">SUM(IF($W$2:$W$594=$W437,1,0))</f>
        <v>1</v>
      </c>
    </row>
    <row r="438" spans="2:27" x14ac:dyDescent="0.25">
      <c r="B438" t="s">
        <v>1548</v>
      </c>
      <c r="C438" t="s">
        <v>1548</v>
      </c>
      <c r="E438">
        <v>2</v>
      </c>
      <c r="F438" t="str">
        <f t="shared" si="6"/>
        <v>5/2</v>
      </c>
      <c r="G438" s="1" t="s">
        <v>445</v>
      </c>
      <c r="I438" s="3" t="s">
        <v>63</v>
      </c>
      <c r="K438" s="3" t="s">
        <v>43</v>
      </c>
      <c r="L438" s="4" t="s">
        <v>445</v>
      </c>
      <c r="M438" s="4" t="s">
        <v>445</v>
      </c>
      <c r="N438" s="3" t="s">
        <v>63</v>
      </c>
      <c r="O438" s="3" t="s">
        <v>409</v>
      </c>
      <c r="P438" s="3" t="s">
        <v>17</v>
      </c>
      <c r="Q438" s="3">
        <v>41</v>
      </c>
      <c r="R438" s="3" t="s">
        <v>186</v>
      </c>
      <c r="T438" s="3">
        <v>39</v>
      </c>
      <c r="V438" s="3" t="s">
        <v>1904</v>
      </c>
      <c r="W438" s="4" t="s">
        <v>447</v>
      </c>
      <c r="X438" s="3" t="s">
        <v>21</v>
      </c>
      <c r="Y438" cm="1">
        <f t="array" ref="Y438">SUM(IF(INT($M$2:$M$594)&amp;" "&amp;$K$2:$K$594=INT($M438)&amp;" "&amp;$K438,1,0))</f>
        <v>1</v>
      </c>
      <c r="Z438" cm="1">
        <f t="array" ref="Z438">SUM(IF(ROUND($M$2:$M$594,0)&amp;" "&amp;$K$2:$K$594=ROUND($M438,0)&amp;" "&amp;$K438,1,0))</f>
        <v>1</v>
      </c>
      <c r="AA438" cm="1">
        <f t="array" ref="AA438">SUM(IF($W$2:$W$594=$W438,1,0))</f>
        <v>1</v>
      </c>
    </row>
    <row r="439" spans="2:27" x14ac:dyDescent="0.25">
      <c r="B439" t="s">
        <v>1552</v>
      </c>
      <c r="C439" t="s">
        <v>1548</v>
      </c>
      <c r="D439" t="s">
        <v>186</v>
      </c>
      <c r="E439">
        <v>1</v>
      </c>
      <c r="F439" t="str">
        <f t="shared" si="6"/>
        <v>3/2</v>
      </c>
      <c r="G439" s="1" t="s">
        <v>448</v>
      </c>
      <c r="I439" s="3" t="s">
        <v>63</v>
      </c>
      <c r="K439" s="3" t="s">
        <v>35</v>
      </c>
      <c r="L439" s="4" t="s">
        <v>448</v>
      </c>
      <c r="M439" s="4" t="s">
        <v>448</v>
      </c>
      <c r="N439" s="3" t="s">
        <v>63</v>
      </c>
      <c r="O439" s="3" t="s">
        <v>409</v>
      </c>
      <c r="P439" s="3" t="s">
        <v>186</v>
      </c>
      <c r="Q439" s="3">
        <v>40</v>
      </c>
      <c r="T439" s="3">
        <v>32</v>
      </c>
      <c r="V439" s="3" t="s">
        <v>1904</v>
      </c>
      <c r="W439" s="4" t="s">
        <v>450</v>
      </c>
      <c r="X439" s="3" t="s">
        <v>21</v>
      </c>
      <c r="Y439" cm="1">
        <f t="array" ref="Y439">SUM(IF(INT($M$2:$M$594)&amp;" "&amp;$K$2:$K$594=INT($M439)&amp;" "&amp;$K439,1,0))</f>
        <v>1</v>
      </c>
      <c r="Z439" cm="1">
        <f t="array" ref="Z439">SUM(IF(ROUND($M$2:$M$594,0)&amp;" "&amp;$K$2:$K$594=ROUND($M439,0)&amp;" "&amp;$K439,1,0))</f>
        <v>1</v>
      </c>
      <c r="AA439" cm="1">
        <f t="array" ref="AA439">SUM(IF($W$2:$W$594=$W439,1,0))</f>
        <v>1</v>
      </c>
    </row>
    <row r="440" spans="2:27" x14ac:dyDescent="0.25">
      <c r="B440" t="s">
        <v>1550</v>
      </c>
      <c r="C440" t="s">
        <v>1548</v>
      </c>
      <c r="D440" t="s">
        <v>173</v>
      </c>
      <c r="E440">
        <v>3</v>
      </c>
      <c r="F440" t="str">
        <f t="shared" si="6"/>
        <v>7/2</v>
      </c>
      <c r="G440" s="1" t="s">
        <v>451</v>
      </c>
      <c r="I440" s="3" t="s">
        <v>63</v>
      </c>
      <c r="K440" s="3" t="s">
        <v>47</v>
      </c>
      <c r="L440" s="4" t="s">
        <v>451</v>
      </c>
      <c r="M440" s="4" t="s">
        <v>451</v>
      </c>
      <c r="N440" s="3" t="s">
        <v>63</v>
      </c>
      <c r="O440" s="3" t="s">
        <v>409</v>
      </c>
      <c r="P440" s="3" t="s">
        <v>173</v>
      </c>
      <c r="Q440" s="3">
        <v>61</v>
      </c>
      <c r="T440" s="3">
        <v>23</v>
      </c>
      <c r="V440" s="3" t="s">
        <v>1907</v>
      </c>
      <c r="W440" s="4" t="s">
        <v>453</v>
      </c>
      <c r="X440" s="3" t="s">
        <v>21</v>
      </c>
      <c r="Y440" cm="1">
        <f t="array" ref="Y440">SUM(IF(INT($M$2:$M$594)&amp;" "&amp;$K$2:$K$594=INT($M440)&amp;" "&amp;$K440,1,0))</f>
        <v>1</v>
      </c>
      <c r="Z440" cm="1">
        <f t="array" ref="Z440">SUM(IF(ROUND($M$2:$M$594,0)&amp;" "&amp;$K$2:$K$594=ROUND($M440,0)&amp;" "&amp;$K440,1,0))</f>
        <v>1</v>
      </c>
      <c r="AA440" cm="1">
        <f t="array" ref="AA440">SUM(IF($W$2:$W$594=$W440,1,0))</f>
        <v>1</v>
      </c>
    </row>
    <row r="441" spans="2:27" x14ac:dyDescent="0.25">
      <c r="B441" t="s">
        <v>1553</v>
      </c>
      <c r="C441" t="s">
        <v>1734</v>
      </c>
      <c r="D441">
        <v>4</v>
      </c>
      <c r="E441">
        <v>4</v>
      </c>
      <c r="F441" t="str">
        <f t="shared" si="6"/>
        <v>9/2</v>
      </c>
      <c r="G441" s="1" t="s">
        <v>455</v>
      </c>
      <c r="I441" s="3" t="s">
        <v>63</v>
      </c>
      <c r="K441" s="3" t="s">
        <v>14</v>
      </c>
      <c r="L441" s="4" t="s">
        <v>455</v>
      </c>
      <c r="M441" s="4" t="s">
        <v>455</v>
      </c>
      <c r="N441" s="3" t="s">
        <v>63</v>
      </c>
      <c r="O441" s="3" t="s">
        <v>454</v>
      </c>
      <c r="P441" s="3" t="s">
        <v>335</v>
      </c>
      <c r="Q441" s="3">
        <v>68</v>
      </c>
      <c r="T441" s="3">
        <v>30</v>
      </c>
      <c r="V441" s="3" t="s">
        <v>1908</v>
      </c>
      <c r="W441" s="4" t="s">
        <v>457</v>
      </c>
      <c r="X441" s="3" t="s">
        <v>21</v>
      </c>
      <c r="Y441" cm="1">
        <f t="array" ref="Y441">SUM(IF(INT($M$2:$M$594)&amp;" "&amp;$K$2:$K$594=INT($M441)&amp;" "&amp;$K441,1,0))</f>
        <v>1</v>
      </c>
      <c r="Z441" cm="1">
        <f t="array" ref="Z441">SUM(IF(ROUND($M$2:$M$594,0)&amp;" "&amp;$K$2:$K$594=ROUND($M441,0)&amp;" "&amp;$K441,1,0))</f>
        <v>1</v>
      </c>
      <c r="AA441" cm="1">
        <f t="array" ref="AA441">SUM(IF($W$2:$W$594=$W441,1,0))</f>
        <v>1</v>
      </c>
    </row>
    <row r="442" spans="2:27" x14ac:dyDescent="0.25">
      <c r="B442" t="s">
        <v>1548</v>
      </c>
      <c r="C442" t="s">
        <v>1548</v>
      </c>
      <c r="E442">
        <v>0</v>
      </c>
      <c r="F442" t="str">
        <f t="shared" si="6"/>
        <v>1/2</v>
      </c>
      <c r="G442" s="1" t="s">
        <v>458</v>
      </c>
      <c r="I442" s="3" t="s">
        <v>63</v>
      </c>
      <c r="K442" s="3" t="s">
        <v>145</v>
      </c>
      <c r="L442" s="4" t="s">
        <v>458</v>
      </c>
      <c r="M442" s="4" t="s">
        <v>458</v>
      </c>
      <c r="N442" s="3" t="s">
        <v>63</v>
      </c>
      <c r="O442" s="3" t="s">
        <v>409</v>
      </c>
      <c r="P442" s="3" t="s">
        <v>17</v>
      </c>
      <c r="Q442" s="3">
        <v>35</v>
      </c>
      <c r="R442" s="3" t="s">
        <v>221</v>
      </c>
      <c r="T442" s="3">
        <v>30</v>
      </c>
      <c r="V442" s="3" t="s">
        <v>1909</v>
      </c>
      <c r="W442" s="4" t="s">
        <v>460</v>
      </c>
      <c r="X442" s="3" t="s">
        <v>21</v>
      </c>
      <c r="Y442" cm="1">
        <f t="array" ref="Y442">SUM(IF(INT($M$2:$M$594)&amp;" "&amp;$K$2:$K$594=INT($M442)&amp;" "&amp;$K442,1,0))</f>
        <v>1</v>
      </c>
      <c r="Z442" cm="1">
        <f t="array" ref="Z442">SUM(IF(ROUND($M$2:$M$594,0)&amp;" "&amp;$K$2:$K$594=ROUND($M442,0)&amp;" "&amp;$K442,1,0))</f>
        <v>1</v>
      </c>
      <c r="AA442" cm="1">
        <f t="array" ref="AA442">SUM(IF($W$2:$W$594=$W442,1,0))</f>
        <v>1</v>
      </c>
    </row>
    <row r="443" spans="2:27" x14ac:dyDescent="0.25">
      <c r="B443" t="s">
        <v>1552</v>
      </c>
      <c r="C443" t="s">
        <v>1548</v>
      </c>
      <c r="D443" t="s">
        <v>186</v>
      </c>
      <c r="E443">
        <v>2</v>
      </c>
      <c r="F443" t="str">
        <f t="shared" si="6"/>
        <v>5/2</v>
      </c>
      <c r="G443" s="1" t="s">
        <v>461</v>
      </c>
      <c r="I443" s="3" t="s">
        <v>63</v>
      </c>
      <c r="K443" s="3" t="s">
        <v>43</v>
      </c>
      <c r="L443" s="4" t="s">
        <v>461</v>
      </c>
      <c r="M443" s="4" t="s">
        <v>461</v>
      </c>
      <c r="N443" s="3" t="s">
        <v>63</v>
      </c>
      <c r="O443" s="3" t="s">
        <v>409</v>
      </c>
      <c r="P443" s="3" t="s">
        <v>186</v>
      </c>
      <c r="Q443" s="3">
        <v>50</v>
      </c>
      <c r="T443" s="3">
        <v>23</v>
      </c>
      <c r="V443" s="3" t="s">
        <v>1904</v>
      </c>
      <c r="W443" s="4" t="s">
        <v>463</v>
      </c>
      <c r="X443" s="3" t="s">
        <v>21</v>
      </c>
      <c r="Y443" cm="1">
        <f t="array" ref="Y443">SUM(IF(INT($M$2:$M$594)&amp;" "&amp;$K$2:$K$594=INT($M443)&amp;" "&amp;$K443,1,0))</f>
        <v>1</v>
      </c>
      <c r="Z443" cm="1">
        <f t="array" ref="Z443">SUM(IF(ROUND($M$2:$M$594,0)&amp;" "&amp;$K$2:$K$594=ROUND($M443,0)&amp;" "&amp;$K443,1,0))</f>
        <v>1</v>
      </c>
      <c r="AA443" cm="1">
        <f t="array" ref="AA443">SUM(IF($W$2:$W$594=$W443,1,0))</f>
        <v>1</v>
      </c>
    </row>
    <row r="444" spans="2:27" x14ac:dyDescent="0.25">
      <c r="B444" t="s">
        <v>1554</v>
      </c>
      <c r="C444" t="s">
        <v>1733</v>
      </c>
      <c r="D444" t="s">
        <v>244</v>
      </c>
      <c r="E444">
        <v>6</v>
      </c>
      <c r="F444" t="str">
        <f t="shared" si="6"/>
        <v>13/2</v>
      </c>
      <c r="G444" s="1" t="s">
        <v>464</v>
      </c>
      <c r="I444" s="3" t="s">
        <v>63</v>
      </c>
      <c r="K444" s="3" t="s">
        <v>26</v>
      </c>
      <c r="L444" s="4" t="s">
        <v>464</v>
      </c>
      <c r="M444" s="4" t="s">
        <v>464</v>
      </c>
      <c r="N444" s="3" t="s">
        <v>63</v>
      </c>
      <c r="O444" s="3" t="s">
        <v>432</v>
      </c>
      <c r="P444" s="3" t="s">
        <v>244</v>
      </c>
      <c r="Q444" s="3">
        <v>63</v>
      </c>
      <c r="T444" s="3">
        <v>28</v>
      </c>
      <c r="V444" s="3" t="s">
        <v>1910</v>
      </c>
      <c r="W444" s="4" t="s">
        <v>466</v>
      </c>
      <c r="X444" s="3" t="s">
        <v>21</v>
      </c>
      <c r="Y444" cm="1">
        <f t="array" ref="Y444">SUM(IF(INT($M$2:$M$594)&amp;" "&amp;$K$2:$K$594=INT($M444)&amp;" "&amp;$K444,1,0))</f>
        <v>1</v>
      </c>
      <c r="Z444" cm="1">
        <f t="array" ref="Z444">SUM(IF(ROUND($M$2:$M$594,0)&amp;" "&amp;$K$2:$K$594=ROUND($M444,0)&amp;" "&amp;$K444,1,0))</f>
        <v>1</v>
      </c>
      <c r="AA444" cm="1">
        <f t="array" ref="AA444">SUM(IF($W$2:$W$594=$W444,1,0))</f>
        <v>1</v>
      </c>
    </row>
    <row r="445" spans="2:27" x14ac:dyDescent="0.25">
      <c r="B445" t="s">
        <v>1553</v>
      </c>
      <c r="C445" t="s">
        <v>1734</v>
      </c>
      <c r="D445">
        <v>4</v>
      </c>
      <c r="E445">
        <v>3</v>
      </c>
      <c r="F445" t="str">
        <f t="shared" si="6"/>
        <v>7/2</v>
      </c>
      <c r="G445" s="1" t="s">
        <v>467</v>
      </c>
      <c r="I445" s="3" t="s">
        <v>63</v>
      </c>
      <c r="K445" s="3" t="s">
        <v>47</v>
      </c>
      <c r="L445" s="4" t="s">
        <v>467</v>
      </c>
      <c r="M445" s="4" t="s">
        <v>467</v>
      </c>
      <c r="N445" s="3" t="s">
        <v>63</v>
      </c>
      <c r="O445" s="3" t="s">
        <v>454</v>
      </c>
      <c r="P445" s="3" t="s">
        <v>335</v>
      </c>
      <c r="Q445" s="3">
        <v>57</v>
      </c>
      <c r="T445" s="3">
        <v>42</v>
      </c>
      <c r="V445" s="3" t="s">
        <v>1908</v>
      </c>
      <c r="W445" s="4" t="s">
        <v>469</v>
      </c>
      <c r="X445" s="3" t="s">
        <v>21</v>
      </c>
      <c r="Y445" cm="1">
        <f t="array" ref="Y445">SUM(IF(INT($M$2:$M$594)&amp;" "&amp;$K$2:$K$594=INT($M445)&amp;" "&amp;$K445,1,0))</f>
        <v>1</v>
      </c>
      <c r="Z445" cm="1">
        <f t="array" ref="Z445">SUM(IF(ROUND($M$2:$M$594,0)&amp;" "&amp;$K$2:$K$594=ROUND($M445,0)&amp;" "&amp;$K445,1,0))</f>
        <v>1</v>
      </c>
      <c r="AA445" cm="1">
        <f t="array" ref="AA445">SUM(IF($W$2:$W$594=$W445,1,0))</f>
        <v>1</v>
      </c>
    </row>
    <row r="446" spans="2:27" x14ac:dyDescent="0.25">
      <c r="B446" t="s">
        <v>1554</v>
      </c>
      <c r="C446" t="s">
        <v>1733</v>
      </c>
      <c r="D446" t="s">
        <v>244</v>
      </c>
      <c r="E446">
        <v>7</v>
      </c>
      <c r="F446" t="str">
        <f t="shared" si="6"/>
        <v>15/2</v>
      </c>
      <c r="G446" s="1" t="s">
        <v>470</v>
      </c>
      <c r="I446" s="3" t="s">
        <v>63</v>
      </c>
      <c r="K446" s="3" t="s">
        <v>30</v>
      </c>
      <c r="L446" s="4" t="s">
        <v>470</v>
      </c>
      <c r="M446" s="4" t="s">
        <v>470</v>
      </c>
      <c r="N446" s="3" t="s">
        <v>63</v>
      </c>
      <c r="O446" s="3" t="s">
        <v>432</v>
      </c>
      <c r="P446" s="3" t="s">
        <v>244</v>
      </c>
      <c r="Q446" s="3">
        <v>72</v>
      </c>
      <c r="T446" s="3">
        <v>16</v>
      </c>
      <c r="V446" s="3" t="s">
        <v>1911</v>
      </c>
      <c r="W446" s="4" t="s">
        <v>472</v>
      </c>
      <c r="X446" s="3" t="s">
        <v>21</v>
      </c>
      <c r="Y446" cm="1">
        <f t="array" ref="Y446">SUM(IF(INT($M$2:$M$594)&amp;" "&amp;$K$2:$K$594=INT($M446)&amp;" "&amp;$K446,1,0))</f>
        <v>1</v>
      </c>
      <c r="Z446" cm="1">
        <f t="array" ref="Z446">SUM(IF(ROUND($M$2:$M$594,0)&amp;" "&amp;$K$2:$K$594=ROUND($M446,0)&amp;" "&amp;$K446,1,0))</f>
        <v>1</v>
      </c>
      <c r="AA446" cm="1">
        <f t="array" ref="AA446">SUM(IF($W$2:$W$594=$W446,1,0))</f>
        <v>1</v>
      </c>
    </row>
    <row r="447" spans="2:27" x14ac:dyDescent="0.25">
      <c r="B447" t="s">
        <v>1550</v>
      </c>
      <c r="C447" t="s">
        <v>1548</v>
      </c>
      <c r="D447" t="s">
        <v>173</v>
      </c>
      <c r="E447">
        <v>4</v>
      </c>
      <c r="F447" t="str">
        <f t="shared" si="6"/>
        <v>9/2</v>
      </c>
      <c r="G447" s="1" t="s">
        <v>473</v>
      </c>
      <c r="I447" s="3" t="s">
        <v>63</v>
      </c>
      <c r="K447" s="3" t="s">
        <v>14</v>
      </c>
      <c r="L447" s="4" t="s">
        <v>473</v>
      </c>
      <c r="M447" s="4" t="s">
        <v>473</v>
      </c>
      <c r="N447" s="3" t="s">
        <v>63</v>
      </c>
      <c r="O447" s="3" t="s">
        <v>409</v>
      </c>
      <c r="P447" s="3" t="s">
        <v>173</v>
      </c>
      <c r="Q447" s="3">
        <v>73</v>
      </c>
      <c r="T447" s="3">
        <v>16</v>
      </c>
      <c r="V447" s="3" t="s">
        <v>1896</v>
      </c>
      <c r="W447" s="4" t="s">
        <v>475</v>
      </c>
      <c r="X447" s="3" t="s">
        <v>21</v>
      </c>
      <c r="Y447" cm="1">
        <f t="array" ref="Y447">SUM(IF(INT($M$2:$M$594)&amp;" "&amp;$K$2:$K$594=INT($M447)&amp;" "&amp;$K447,1,0))</f>
        <v>1</v>
      </c>
      <c r="Z447" cm="1">
        <f t="array" ref="Z447">SUM(IF(ROUND($M$2:$M$594,0)&amp;" "&amp;$K$2:$K$594=ROUND($M447,0)&amp;" "&amp;$K447,1,0))</f>
        <v>1</v>
      </c>
      <c r="AA447" cm="1">
        <f t="array" ref="AA447">SUM(IF($W$2:$W$594=$W447,1,0))</f>
        <v>1</v>
      </c>
    </row>
    <row r="448" spans="2:27" x14ac:dyDescent="0.25">
      <c r="B448" t="s">
        <v>1555</v>
      </c>
      <c r="C448" t="s">
        <v>1548</v>
      </c>
      <c r="D448" t="s">
        <v>221</v>
      </c>
      <c r="E448">
        <v>1</v>
      </c>
      <c r="F448" t="str">
        <f t="shared" si="6"/>
        <v>3/2</v>
      </c>
      <c r="G448" s="4" t="s">
        <v>1556</v>
      </c>
      <c r="I448" s="3" t="s">
        <v>63</v>
      </c>
      <c r="K448" s="3" t="s">
        <v>35</v>
      </c>
      <c r="L448" s="3" t="s">
        <v>476</v>
      </c>
      <c r="M448" s="4" t="s">
        <v>1556</v>
      </c>
      <c r="N448" s="3" t="s">
        <v>63</v>
      </c>
      <c r="O448" s="3" t="s">
        <v>409</v>
      </c>
      <c r="P448" s="3" t="s">
        <v>221</v>
      </c>
      <c r="Q448" s="3">
        <v>56</v>
      </c>
      <c r="T448" s="3">
        <v>22</v>
      </c>
      <c r="V448" s="3" t="s">
        <v>1909</v>
      </c>
      <c r="W448" s="4" t="s">
        <v>478</v>
      </c>
      <c r="X448" s="3" t="s">
        <v>1758</v>
      </c>
      <c r="Y448" cm="1">
        <f t="array" ref="Y448">SUM(IF(INT($M$2:$M$594)&amp;" "&amp;$K$2:$K$594=INT($M448)&amp;" "&amp;$K448,1,0))</f>
        <v>1</v>
      </c>
      <c r="Z448" cm="1">
        <f t="array" ref="Z448">SUM(IF(ROUND($M$2:$M$594,0)&amp;" "&amp;$K$2:$K$594=ROUND($M448,0)&amp;" "&amp;$K448,1,0))</f>
        <v>1</v>
      </c>
      <c r="AA448" cm="1">
        <f t="array" ref="AA448">SUM(IF($W$2:$W$594=$W448,1,0))</f>
        <v>1</v>
      </c>
    </row>
    <row r="449" spans="1:27" x14ac:dyDescent="0.25">
      <c r="B449" t="s">
        <v>1555</v>
      </c>
      <c r="C449" t="s">
        <v>1548</v>
      </c>
      <c r="D449" t="s">
        <v>221</v>
      </c>
      <c r="E449">
        <v>0</v>
      </c>
      <c r="F449" t="str">
        <f t="shared" si="6"/>
        <v>1/2</v>
      </c>
      <c r="G449" s="1" t="s">
        <v>483</v>
      </c>
      <c r="I449" s="3" t="s">
        <v>63</v>
      </c>
      <c r="K449" s="3" t="s">
        <v>145</v>
      </c>
      <c r="L449" s="4" t="s">
        <v>483</v>
      </c>
      <c r="M449" s="4" t="s">
        <v>483</v>
      </c>
      <c r="N449" s="3" t="s">
        <v>63</v>
      </c>
      <c r="O449" s="3" t="s">
        <v>409</v>
      </c>
      <c r="P449" s="3" t="s">
        <v>221</v>
      </c>
      <c r="Q449" s="3">
        <v>57</v>
      </c>
      <c r="T449" s="3">
        <v>34</v>
      </c>
      <c r="V449" s="3" t="s">
        <v>1899</v>
      </c>
      <c r="W449" s="4" t="s">
        <v>485</v>
      </c>
      <c r="X449" s="3" t="s">
        <v>21</v>
      </c>
      <c r="Y449" cm="1">
        <f t="array" ref="Y449">SUM(IF(INT($M$2:$M$594)&amp;" "&amp;$K$2:$K$594=INT($M449)&amp;" "&amp;$K449,1,0))</f>
        <v>1</v>
      </c>
      <c r="Z449" cm="1">
        <f t="array" ref="Z449">SUM(IF(ROUND($M$2:$M$594,0)&amp;" "&amp;$K$2:$K$594=ROUND($M449,0)&amp;" "&amp;$K449,1,0))</f>
        <v>1</v>
      </c>
      <c r="AA449" cm="1">
        <f t="array" ref="AA449">SUM(IF($W$2:$W$594=$W449,1,0))</f>
        <v>1</v>
      </c>
    </row>
    <row r="450" spans="1:27" x14ac:dyDescent="0.25">
      <c r="B450" t="s">
        <v>1557</v>
      </c>
      <c r="C450" t="s">
        <v>1733</v>
      </c>
      <c r="D450" t="s">
        <v>486</v>
      </c>
      <c r="E450">
        <v>7</v>
      </c>
      <c r="F450" t="str">
        <f t="shared" si="6"/>
        <v>15/2</v>
      </c>
      <c r="G450" s="1" t="s">
        <v>487</v>
      </c>
      <c r="I450" s="3" t="s">
        <v>63</v>
      </c>
      <c r="K450" s="3" t="s">
        <v>30</v>
      </c>
      <c r="L450" s="4" t="s">
        <v>487</v>
      </c>
      <c r="M450" s="4" t="s">
        <v>487</v>
      </c>
      <c r="N450" s="3" t="s">
        <v>63</v>
      </c>
      <c r="O450" s="3" t="s">
        <v>432</v>
      </c>
      <c r="P450" s="3" t="s">
        <v>486</v>
      </c>
      <c r="Q450" s="3">
        <v>83</v>
      </c>
      <c r="T450" s="3">
        <v>16</v>
      </c>
      <c r="V450" s="3" t="s">
        <v>1895</v>
      </c>
      <c r="W450" s="4" t="s">
        <v>489</v>
      </c>
      <c r="X450" s="3" t="s">
        <v>21</v>
      </c>
      <c r="Y450" cm="1">
        <f t="array" ref="Y450">SUM(IF(INT($M$2:$M$594)&amp;" "&amp;$K$2:$K$594=INT($M450)&amp;" "&amp;$K450,1,0))</f>
        <v>1</v>
      </c>
      <c r="Z450" cm="1">
        <f t="array" ref="Z450">SUM(IF(ROUND($M$2:$M$594,0)&amp;" "&amp;$K$2:$K$594=ROUND($M450,0)&amp;" "&amp;$K450,1,0))</f>
        <v>1</v>
      </c>
      <c r="AA450" cm="1">
        <f t="array" ref="AA450">SUM(IF($W$2:$W$594=$W450,1,0))</f>
        <v>1</v>
      </c>
    </row>
    <row r="451" spans="1:27" x14ac:dyDescent="0.25">
      <c r="B451" t="s">
        <v>1558</v>
      </c>
      <c r="C451" t="s">
        <v>1733</v>
      </c>
      <c r="D451" t="s">
        <v>62</v>
      </c>
      <c r="E451">
        <v>5</v>
      </c>
      <c r="F451" t="str">
        <f t="shared" si="6"/>
        <v>11/2</v>
      </c>
      <c r="G451" s="1" t="s">
        <v>490</v>
      </c>
      <c r="I451" s="3" t="s">
        <v>63</v>
      </c>
      <c r="K451" s="3" t="s">
        <v>22</v>
      </c>
      <c r="L451" s="4" t="s">
        <v>490</v>
      </c>
      <c r="M451" s="4" t="s">
        <v>490</v>
      </c>
      <c r="N451" s="3" t="s">
        <v>63</v>
      </c>
      <c r="O451" s="3" t="s">
        <v>432</v>
      </c>
      <c r="P451" s="3" t="s">
        <v>62</v>
      </c>
      <c r="Q451" s="3">
        <v>86</v>
      </c>
      <c r="W451" s="4" t="s">
        <v>492</v>
      </c>
      <c r="X451" s="3" t="s">
        <v>21</v>
      </c>
      <c r="Y451" cm="1">
        <f t="array" ref="Y451">SUM(IF(INT($M$2:$M$594)&amp;" "&amp;$K$2:$K$594=INT($M451)&amp;" "&amp;$K451,1,0))</f>
        <v>1</v>
      </c>
      <c r="Z451" cm="1">
        <f t="array" ref="Z451">SUM(IF(ROUND($M$2:$M$594,0)&amp;" "&amp;$K$2:$K$594=ROUND($M451,0)&amp;" "&amp;$K451,1,0))</f>
        <v>1</v>
      </c>
      <c r="AA451" cm="1">
        <f t="array" ref="AA451">SUM(IF($W$2:$W$594=$W451,1,0))</f>
        <v>1</v>
      </c>
    </row>
    <row r="452" spans="1:27" x14ac:dyDescent="0.25">
      <c r="B452" t="s">
        <v>1558</v>
      </c>
      <c r="C452" t="s">
        <v>1733</v>
      </c>
      <c r="D452" t="s">
        <v>62</v>
      </c>
      <c r="E452">
        <v>4</v>
      </c>
      <c r="F452" t="str">
        <f t="shared" ref="F452:F515" si="7">(2*E452+1)&amp;"/2"</f>
        <v>9/2</v>
      </c>
      <c r="G452" s="1" t="s">
        <v>493</v>
      </c>
      <c r="I452" s="3" t="s">
        <v>63</v>
      </c>
      <c r="K452" s="3" t="s">
        <v>14</v>
      </c>
      <c r="L452" s="4" t="s">
        <v>493</v>
      </c>
      <c r="M452" s="4" t="s">
        <v>493</v>
      </c>
      <c r="N452" s="3" t="s">
        <v>63</v>
      </c>
      <c r="O452" s="3" t="s">
        <v>432</v>
      </c>
      <c r="P452" s="3" t="s">
        <v>62</v>
      </c>
      <c r="Q452" s="3">
        <v>81</v>
      </c>
      <c r="W452" s="4" t="s">
        <v>495</v>
      </c>
      <c r="X452" s="3" t="s">
        <v>21</v>
      </c>
      <c r="Y452" cm="1">
        <f t="array" ref="Y452">SUM(IF(INT($M$2:$M$594)&amp;" "&amp;$K$2:$K$594=INT($M452)&amp;" "&amp;$K452,1,0))</f>
        <v>1</v>
      </c>
      <c r="Z452" cm="1">
        <f t="array" ref="Z452">SUM(IF(ROUND($M$2:$M$594,0)&amp;" "&amp;$K$2:$K$594=ROUND($M452,0)&amp;" "&amp;$K452,1,0))</f>
        <v>1</v>
      </c>
      <c r="AA452" cm="1">
        <f t="array" ref="AA452">SUM(IF($W$2:$W$594=$W452,1,0))</f>
        <v>1</v>
      </c>
    </row>
    <row r="453" spans="1:27" x14ac:dyDescent="0.25">
      <c r="B453" t="s">
        <v>1555</v>
      </c>
      <c r="C453" t="s">
        <v>1548</v>
      </c>
      <c r="D453" t="s">
        <v>221</v>
      </c>
      <c r="E453">
        <v>2</v>
      </c>
      <c r="F453" t="str">
        <f t="shared" si="7"/>
        <v>5/2</v>
      </c>
      <c r="G453" s="1" t="s">
        <v>499</v>
      </c>
      <c r="I453" s="3" t="s">
        <v>63</v>
      </c>
      <c r="K453" s="3" t="s">
        <v>43</v>
      </c>
      <c r="L453" s="4" t="s">
        <v>499</v>
      </c>
      <c r="M453" s="4" t="s">
        <v>499</v>
      </c>
      <c r="N453" s="3" t="s">
        <v>63</v>
      </c>
      <c r="O453" s="3" t="s">
        <v>409</v>
      </c>
      <c r="P453" s="3" t="s">
        <v>221</v>
      </c>
      <c r="Q453" s="3">
        <v>71</v>
      </c>
      <c r="T453" s="3">
        <v>19</v>
      </c>
      <c r="V453" s="3" t="s">
        <v>1904</v>
      </c>
      <c r="W453" s="4" t="s">
        <v>501</v>
      </c>
      <c r="X453" s="3" t="s">
        <v>21</v>
      </c>
      <c r="Y453" cm="1">
        <f t="array" ref="Y453">SUM(IF(INT($M$2:$M$594)&amp;" "&amp;$K$2:$K$594=INT($M453)&amp;" "&amp;$K453,1,0))</f>
        <v>1</v>
      </c>
      <c r="Z453" cm="1">
        <f t="array" ref="Z453">SUM(IF(ROUND($M$2:$M$594,0)&amp;" "&amp;$K$2:$K$594=ROUND($M453,0)&amp;" "&amp;$K453,1,0))</f>
        <v>1</v>
      </c>
      <c r="AA453" cm="1">
        <f t="array" ref="AA453">SUM(IF($W$2:$W$594=$W453,1,0))</f>
        <v>1</v>
      </c>
    </row>
    <row r="454" spans="1:27" x14ac:dyDescent="0.25">
      <c r="B454" t="s">
        <v>1548</v>
      </c>
      <c r="C454" t="s">
        <v>1548</v>
      </c>
      <c r="E454">
        <v>1</v>
      </c>
      <c r="F454" t="str">
        <f t="shared" si="7"/>
        <v>3/2</v>
      </c>
      <c r="G454" s="1" t="s">
        <v>502</v>
      </c>
      <c r="I454" s="3" t="s">
        <v>63</v>
      </c>
      <c r="K454" s="3" t="s">
        <v>35</v>
      </c>
      <c r="L454" s="4" t="s">
        <v>502</v>
      </c>
      <c r="M454" s="4" t="s">
        <v>502</v>
      </c>
      <c r="N454" s="3" t="s">
        <v>63</v>
      </c>
      <c r="O454" s="3" t="s">
        <v>409</v>
      </c>
      <c r="P454" s="3" t="s">
        <v>17</v>
      </c>
      <c r="Q454" s="3">
        <v>32</v>
      </c>
      <c r="R454" s="3" t="s">
        <v>379</v>
      </c>
      <c r="T454" s="3">
        <v>29</v>
      </c>
      <c r="V454" s="3" t="s">
        <v>1912</v>
      </c>
      <c r="W454" s="4" t="s">
        <v>504</v>
      </c>
      <c r="X454" s="3" t="s">
        <v>21</v>
      </c>
      <c r="Y454" cm="1">
        <f t="array" ref="Y454">SUM(IF(INT($M$2:$M$594)&amp;" "&amp;$K$2:$K$594=INT($M454)&amp;" "&amp;$K454,1,0))</f>
        <v>1</v>
      </c>
      <c r="Z454" cm="1">
        <f t="array" ref="Z454">SUM(IF(ROUND($M$2:$M$594,0)&amp;" "&amp;$K$2:$K$594=ROUND($M454,0)&amp;" "&amp;$K454,1,0))</f>
        <v>1</v>
      </c>
      <c r="AA454" cm="1">
        <f t="array" ref="AA454">SUM(IF($W$2:$W$594=$W454,1,0))</f>
        <v>1</v>
      </c>
    </row>
    <row r="455" spans="1:27" x14ac:dyDescent="0.25">
      <c r="B455" t="s">
        <v>1555</v>
      </c>
      <c r="C455" t="s">
        <v>1548</v>
      </c>
      <c r="D455" t="s">
        <v>221</v>
      </c>
      <c r="E455">
        <v>3</v>
      </c>
      <c r="F455" t="str">
        <f t="shared" si="7"/>
        <v>7/2</v>
      </c>
      <c r="G455" s="1" t="s">
        <v>505</v>
      </c>
      <c r="I455" s="3" t="s">
        <v>63</v>
      </c>
      <c r="K455" s="3" t="s">
        <v>47</v>
      </c>
      <c r="L455" s="4" t="s">
        <v>505</v>
      </c>
      <c r="M455" s="4" t="s">
        <v>505</v>
      </c>
      <c r="N455" s="3" t="s">
        <v>63</v>
      </c>
      <c r="O455" s="3" t="s">
        <v>409</v>
      </c>
      <c r="P455" s="3" t="s">
        <v>221</v>
      </c>
      <c r="Q455" s="3">
        <v>85</v>
      </c>
      <c r="T455" s="3">
        <v>11</v>
      </c>
      <c r="V455" s="3" t="s">
        <v>1907</v>
      </c>
      <c r="W455" s="4" t="s">
        <v>507</v>
      </c>
      <c r="X455" s="3" t="s">
        <v>21</v>
      </c>
      <c r="Y455" cm="1">
        <f t="array" ref="Y455">SUM(IF(INT($M$2:$M$594)&amp;" "&amp;$K$2:$K$594=INT($M455)&amp;" "&amp;$K455,1,0))</f>
        <v>1</v>
      </c>
      <c r="Z455" cm="1">
        <f t="array" ref="Z455">SUM(IF(ROUND($M$2:$M$594,0)&amp;" "&amp;$K$2:$K$594=ROUND($M455,0)&amp;" "&amp;$K455,1,0))</f>
        <v>1</v>
      </c>
      <c r="AA455" cm="1">
        <f t="array" ref="AA455">SUM(IF($W$2:$W$594=$W455,1,0))</f>
        <v>1</v>
      </c>
    </row>
    <row r="456" spans="1:27" x14ac:dyDescent="0.25">
      <c r="B456" t="s">
        <v>1557</v>
      </c>
      <c r="C456" t="s">
        <v>1733</v>
      </c>
      <c r="D456" t="s">
        <v>486</v>
      </c>
      <c r="E456">
        <v>8</v>
      </c>
      <c r="F456" t="str">
        <f t="shared" si="7"/>
        <v>17/2</v>
      </c>
      <c r="G456" s="1" t="s">
        <v>508</v>
      </c>
      <c r="I456" s="3" t="s">
        <v>63</v>
      </c>
      <c r="K456" s="3" t="s">
        <v>164</v>
      </c>
      <c r="L456" s="4" t="s">
        <v>508</v>
      </c>
      <c r="M456" s="4" t="s">
        <v>508</v>
      </c>
      <c r="N456" s="3" t="s">
        <v>63</v>
      </c>
      <c r="O456" s="3" t="s">
        <v>432</v>
      </c>
      <c r="P456" s="3" t="s">
        <v>486</v>
      </c>
      <c r="Q456" s="3">
        <v>100</v>
      </c>
      <c r="W456" s="4" t="s">
        <v>509</v>
      </c>
      <c r="X456" s="3" t="s">
        <v>21</v>
      </c>
      <c r="Y456" cm="1">
        <f t="array" ref="Y456">SUM(IF(INT($M$2:$M$594)&amp;" "&amp;$K$2:$K$594=INT($M456)&amp;" "&amp;$K456,1,0))</f>
        <v>1</v>
      </c>
      <c r="Z456" cm="1">
        <f t="array" ref="Z456">SUM(IF(ROUND($M$2:$M$594,0)&amp;" "&amp;$K$2:$K$594=ROUND($M456,0)&amp;" "&amp;$K456,1,0))</f>
        <v>1</v>
      </c>
      <c r="AA456" cm="1">
        <f t="array" ref="AA456">SUM(IF($W$2:$W$594=$W456,1,0))</f>
        <v>1</v>
      </c>
    </row>
    <row r="457" spans="1:27" x14ac:dyDescent="0.25">
      <c r="B457" t="s">
        <v>1559</v>
      </c>
      <c r="C457" t="s">
        <v>1548</v>
      </c>
      <c r="D457" t="s">
        <v>351</v>
      </c>
      <c r="E457">
        <v>3</v>
      </c>
      <c r="F457" t="str">
        <f t="shared" si="7"/>
        <v>7/2</v>
      </c>
      <c r="G457" s="1" t="s">
        <v>510</v>
      </c>
      <c r="I457" s="3" t="s">
        <v>63</v>
      </c>
      <c r="K457" s="3" t="s">
        <v>47</v>
      </c>
      <c r="L457" s="4" t="s">
        <v>510</v>
      </c>
      <c r="M457" s="4" t="s">
        <v>510</v>
      </c>
      <c r="N457" s="3" t="s">
        <v>63</v>
      </c>
      <c r="O457" s="3" t="s">
        <v>409</v>
      </c>
      <c r="P457" s="3" t="s">
        <v>351</v>
      </c>
      <c r="Q457" s="3">
        <v>77</v>
      </c>
      <c r="T457" s="3">
        <v>10</v>
      </c>
      <c r="V457" s="3" t="s">
        <v>1880</v>
      </c>
      <c r="W457" s="4" t="s">
        <v>512</v>
      </c>
      <c r="X457" s="3" t="s">
        <v>21</v>
      </c>
      <c r="Y457" cm="1">
        <f t="array" ref="Y457">SUM(IF(INT($M$2:$M$594)&amp;" "&amp;$K$2:$K$594=INT($M457)&amp;" "&amp;$K457,1,0))</f>
        <v>1</v>
      </c>
      <c r="Z457" cm="1">
        <f t="array" ref="Z457">SUM(IF(ROUND($M$2:$M$594,0)&amp;" "&amp;$K$2:$K$594=ROUND($M457,0)&amp;" "&amp;$K457,1,0))</f>
        <v>1</v>
      </c>
      <c r="AA457" cm="1">
        <f t="array" ref="AA457">SUM(IF($W$2:$W$594=$W457,1,0))</f>
        <v>1</v>
      </c>
    </row>
    <row r="458" spans="1:27" x14ac:dyDescent="0.25">
      <c r="B458" t="s">
        <v>1559</v>
      </c>
      <c r="C458" t="s">
        <v>1548</v>
      </c>
      <c r="D458" t="s">
        <v>351</v>
      </c>
      <c r="E458">
        <v>2</v>
      </c>
      <c r="F458" t="str">
        <f t="shared" si="7"/>
        <v>5/2</v>
      </c>
      <c r="G458" s="1" t="s">
        <v>513</v>
      </c>
      <c r="I458" s="3" t="s">
        <v>63</v>
      </c>
      <c r="K458" s="3" t="s">
        <v>43</v>
      </c>
      <c r="L458" s="4" t="s">
        <v>513</v>
      </c>
      <c r="M458" s="4" t="s">
        <v>513</v>
      </c>
      <c r="N458" s="3" t="s">
        <v>63</v>
      </c>
      <c r="O458" s="3" t="s">
        <v>409</v>
      </c>
      <c r="P458" s="3" t="s">
        <v>351</v>
      </c>
      <c r="Q458" s="3">
        <v>71</v>
      </c>
      <c r="T458" s="3">
        <v>12</v>
      </c>
      <c r="V458" s="3" t="s">
        <v>1907</v>
      </c>
      <c r="W458" s="4" t="s">
        <v>515</v>
      </c>
      <c r="X458" s="3" t="s">
        <v>21</v>
      </c>
      <c r="Y458" cm="1">
        <f t="array" ref="Y458">SUM(IF(INT($M$2:$M$594)&amp;" "&amp;$K$2:$K$594=INT($M458)&amp;" "&amp;$K458,1,0))</f>
        <v>1</v>
      </c>
      <c r="Z458" cm="1">
        <f t="array" ref="Z458">SUM(IF(ROUND($M$2:$M$594,0)&amp;" "&amp;$K$2:$K$594=ROUND($M458,0)&amp;" "&amp;$K458,1,0))</f>
        <v>1</v>
      </c>
      <c r="AA458" cm="1">
        <f t="array" ref="AA458">SUM(IF($W$2:$W$594=$W458,1,0))</f>
        <v>1</v>
      </c>
    </row>
    <row r="459" spans="1:27" x14ac:dyDescent="0.25">
      <c r="B459" t="s">
        <v>1560</v>
      </c>
      <c r="C459" t="s">
        <v>1733</v>
      </c>
      <c r="D459" t="s">
        <v>193</v>
      </c>
      <c r="E459">
        <v>4</v>
      </c>
      <c r="F459" t="str">
        <f t="shared" si="7"/>
        <v>9/2</v>
      </c>
      <c r="G459" s="1" t="s">
        <v>516</v>
      </c>
      <c r="I459" s="3" t="s">
        <v>63</v>
      </c>
      <c r="K459" s="3" t="s">
        <v>14</v>
      </c>
      <c r="L459" s="4" t="s">
        <v>516</v>
      </c>
      <c r="M459" s="4" t="s">
        <v>516</v>
      </c>
      <c r="N459" s="3" t="s">
        <v>63</v>
      </c>
      <c r="O459" s="3" t="s">
        <v>432</v>
      </c>
      <c r="P459" s="3" t="s">
        <v>193</v>
      </c>
      <c r="Q459" s="3">
        <v>94</v>
      </c>
      <c r="W459" s="4" t="s">
        <v>518</v>
      </c>
      <c r="X459" s="3" t="s">
        <v>21</v>
      </c>
      <c r="Y459" cm="1">
        <f t="array" ref="Y459">SUM(IF(INT($M$2:$M$594)&amp;" "&amp;$K$2:$K$594=INT($M459)&amp;" "&amp;$K459,1,0))</f>
        <v>1</v>
      </c>
      <c r="Z459" cm="1">
        <f t="array" ref="Z459">SUM(IF(ROUND($M$2:$M$594,0)&amp;" "&amp;$K$2:$K$594=ROUND($M459,0)&amp;" "&amp;$K459,1,0))</f>
        <v>1</v>
      </c>
      <c r="AA459" cm="1">
        <f t="array" ref="AA459">SUM(IF($W$2:$W$594=$W459,1,0))</f>
        <v>1</v>
      </c>
    </row>
    <row r="460" spans="1:27" x14ac:dyDescent="0.25">
      <c r="B460" t="s">
        <v>1561</v>
      </c>
      <c r="C460" t="s">
        <v>1735</v>
      </c>
      <c r="D460">
        <v>2</v>
      </c>
      <c r="E460">
        <v>2</v>
      </c>
      <c r="F460" t="str">
        <f t="shared" si="7"/>
        <v>5/2</v>
      </c>
      <c r="G460" s="1" t="s">
        <v>520</v>
      </c>
      <c r="I460" s="3" t="s">
        <v>63</v>
      </c>
      <c r="K460" s="3" t="s">
        <v>43</v>
      </c>
      <c r="L460" s="4" t="s">
        <v>520</v>
      </c>
      <c r="M460" s="4" t="s">
        <v>520</v>
      </c>
      <c r="N460" s="3" t="s">
        <v>63</v>
      </c>
      <c r="O460" s="3" t="s">
        <v>519</v>
      </c>
      <c r="P460" s="3" t="s">
        <v>388</v>
      </c>
      <c r="Q460" s="3">
        <v>88</v>
      </c>
      <c r="T460" s="3">
        <v>9</v>
      </c>
      <c r="V460" s="3" t="s">
        <v>1913</v>
      </c>
      <c r="W460" s="4" t="s">
        <v>522</v>
      </c>
      <c r="X460" s="3" t="s">
        <v>21</v>
      </c>
      <c r="Y460" cm="1">
        <f t="array" ref="Y460">SUM(IF(INT($M$2:$M$594)&amp;" "&amp;$K$2:$K$594=INT($M460)&amp;" "&amp;$K460,1,0))</f>
        <v>1</v>
      </c>
      <c r="Z460" cm="1">
        <f t="array" ref="Z460">SUM(IF(ROUND($M$2:$M$594,0)&amp;" "&amp;$K$2:$K$594=ROUND($M460,0)&amp;" "&amp;$K460,1,0))</f>
        <v>1</v>
      </c>
      <c r="AA460" cm="1">
        <f t="array" ref="AA460">SUM(IF($W$2:$W$594=$W460,1,0))</f>
        <v>1</v>
      </c>
    </row>
    <row r="461" spans="1:27" x14ac:dyDescent="0.25">
      <c r="B461" t="s">
        <v>1561</v>
      </c>
      <c r="C461" t="s">
        <v>1735</v>
      </c>
      <c r="D461">
        <v>2</v>
      </c>
      <c r="E461">
        <v>1</v>
      </c>
      <c r="F461" t="str">
        <f t="shared" si="7"/>
        <v>3/2</v>
      </c>
      <c r="G461" s="1" t="s">
        <v>523</v>
      </c>
      <c r="I461" s="3" t="s">
        <v>63</v>
      </c>
      <c r="K461" s="3" t="s">
        <v>35</v>
      </c>
      <c r="L461" s="4" t="s">
        <v>523</v>
      </c>
      <c r="M461" s="4" t="s">
        <v>523</v>
      </c>
      <c r="N461" s="3" t="s">
        <v>63</v>
      </c>
      <c r="O461" s="3" t="s">
        <v>519</v>
      </c>
      <c r="P461" s="3" t="s">
        <v>388</v>
      </c>
      <c r="Q461" s="3">
        <v>90</v>
      </c>
      <c r="T461" s="3">
        <v>8</v>
      </c>
      <c r="V461" s="3" t="s">
        <v>1913</v>
      </c>
      <c r="W461" s="4" t="s">
        <v>525</v>
      </c>
      <c r="X461" s="3" t="s">
        <v>21</v>
      </c>
      <c r="Y461" cm="1">
        <f t="array" ref="Y461">SUM(IF(INT($M$2:$M$594)&amp;" "&amp;$K$2:$K$594=INT($M461)&amp;" "&amp;$K461,1,0))</f>
        <v>1</v>
      </c>
      <c r="Z461" cm="1">
        <f t="array" ref="Z461">SUM(IF(ROUND($M$2:$M$594,0)&amp;" "&amp;$K$2:$K$594=ROUND($M461,0)&amp;" "&amp;$K461,1,0))</f>
        <v>1</v>
      </c>
      <c r="AA461" cm="1">
        <f t="array" ref="AA461">SUM(IF($W$2:$W$594=$W461,1,0))</f>
        <v>1</v>
      </c>
    </row>
    <row r="462" spans="1:27" x14ac:dyDescent="0.25">
      <c r="A462" t="s">
        <v>1664</v>
      </c>
      <c r="B462" t="s">
        <v>1560</v>
      </c>
      <c r="C462" t="s">
        <v>1733</v>
      </c>
      <c r="D462" t="s">
        <v>193</v>
      </c>
      <c r="E462">
        <v>3</v>
      </c>
      <c r="F462" t="str">
        <f t="shared" si="7"/>
        <v>7/2</v>
      </c>
      <c r="G462" s="4" t="s">
        <v>1562</v>
      </c>
      <c r="H462" t="s">
        <v>1563</v>
      </c>
      <c r="I462" s="3" t="s">
        <v>63</v>
      </c>
      <c r="K462" s="3" t="s">
        <v>47</v>
      </c>
      <c r="L462" s="4" t="s">
        <v>526</v>
      </c>
      <c r="M462" s="4" t="s">
        <v>1562</v>
      </c>
      <c r="N462" s="3" t="s">
        <v>63</v>
      </c>
      <c r="O462" s="3" t="s">
        <v>432</v>
      </c>
      <c r="P462" s="3" t="s">
        <v>193</v>
      </c>
      <c r="Q462" s="3">
        <v>98</v>
      </c>
      <c r="W462" s="4" t="s">
        <v>527</v>
      </c>
      <c r="X462" s="3" t="s">
        <v>1758</v>
      </c>
      <c r="Y462" cm="1">
        <f t="array" ref="Y462">SUM(IF(INT($M$2:$M$594)&amp;" "&amp;$K$2:$K$594=INT($M462)&amp;" "&amp;$K462,1,0))</f>
        <v>1</v>
      </c>
      <c r="Z462" cm="1">
        <f t="array" ref="Z462">SUM(IF(ROUND($M$2:$M$594,0)&amp;" "&amp;$K$2:$K$594=ROUND($M462,0)&amp;" "&amp;$K462,1,0))</f>
        <v>1</v>
      </c>
      <c r="AA462" cm="1">
        <f t="array" ref="AA462">SUM(IF($W$2:$W$594=$W462,1,0))</f>
        <v>1</v>
      </c>
    </row>
    <row r="463" spans="1:27" x14ac:dyDescent="0.25">
      <c r="B463" t="s">
        <v>1564</v>
      </c>
      <c r="C463" t="s">
        <v>1548</v>
      </c>
      <c r="D463" t="s">
        <v>321</v>
      </c>
      <c r="E463">
        <v>1</v>
      </c>
      <c r="F463" t="str">
        <f t="shared" si="7"/>
        <v>3/2</v>
      </c>
      <c r="G463" s="1" t="s">
        <v>528</v>
      </c>
      <c r="I463" s="3" t="s">
        <v>63</v>
      </c>
      <c r="K463" s="3" t="s">
        <v>35</v>
      </c>
      <c r="L463" s="4" t="s">
        <v>528</v>
      </c>
      <c r="M463" s="4" t="s">
        <v>528</v>
      </c>
      <c r="N463" s="3" t="s">
        <v>63</v>
      </c>
      <c r="O463" s="3" t="s">
        <v>409</v>
      </c>
      <c r="P463" s="3" t="s">
        <v>321</v>
      </c>
      <c r="Q463" s="3">
        <v>90</v>
      </c>
      <c r="W463" s="4" t="s">
        <v>530</v>
      </c>
      <c r="X463" s="3" t="s">
        <v>21</v>
      </c>
      <c r="Y463" cm="1">
        <f t="array" ref="Y463">SUM(IF(INT($M$2:$M$594)&amp;" "&amp;$K$2:$K$594=INT($M463)&amp;" "&amp;$K463,1,0))</f>
        <v>1</v>
      </c>
      <c r="Z463" cm="1">
        <f t="array" ref="Z463">SUM(IF(ROUND($M$2:$M$594,0)&amp;" "&amp;$K$2:$K$594=ROUND($M463,0)&amp;" "&amp;$K463,1,0))</f>
        <v>1</v>
      </c>
      <c r="AA463" cm="1">
        <f t="array" ref="AA463">SUM(IF($W$2:$W$594=$W463,1,0))</f>
        <v>1</v>
      </c>
    </row>
    <row r="464" spans="1:27" x14ac:dyDescent="0.25">
      <c r="B464" t="s">
        <v>1564</v>
      </c>
      <c r="C464" t="s">
        <v>1548</v>
      </c>
      <c r="D464" t="s">
        <v>321</v>
      </c>
      <c r="E464">
        <v>2</v>
      </c>
      <c r="F464" t="str">
        <f t="shared" si="7"/>
        <v>5/2</v>
      </c>
      <c r="G464" s="1" t="s">
        <v>531</v>
      </c>
      <c r="I464" s="3" t="s">
        <v>63</v>
      </c>
      <c r="K464" s="3" t="s">
        <v>43</v>
      </c>
      <c r="L464" s="4" t="s">
        <v>531</v>
      </c>
      <c r="M464" s="4" t="s">
        <v>531</v>
      </c>
      <c r="N464" s="3" t="s">
        <v>63</v>
      </c>
      <c r="O464" s="3" t="s">
        <v>409</v>
      </c>
      <c r="P464" s="3" t="s">
        <v>321</v>
      </c>
      <c r="Q464" s="3">
        <v>87</v>
      </c>
      <c r="W464" s="4" t="s">
        <v>533</v>
      </c>
      <c r="X464" s="3" t="s">
        <v>21</v>
      </c>
      <c r="Y464" cm="1">
        <f t="array" ref="Y464">SUM(IF(INT($M$2:$M$594)&amp;" "&amp;$K$2:$K$594=INT($M464)&amp;" "&amp;$K464,1,0))</f>
        <v>1</v>
      </c>
      <c r="Z464" cm="1">
        <f t="array" ref="Z464">SUM(IF(ROUND($M$2:$M$594,0)&amp;" "&amp;$K$2:$K$594=ROUND($M464,0)&amp;" "&amp;$K464,1,0))</f>
        <v>1</v>
      </c>
      <c r="AA464" cm="1">
        <f t="array" ref="AA464">SUM(IF($W$2:$W$594=$W464,1,0))</f>
        <v>1</v>
      </c>
    </row>
    <row r="465" spans="1:27" x14ac:dyDescent="0.25">
      <c r="B465" t="s">
        <v>1565</v>
      </c>
      <c r="C465" t="s">
        <v>1736</v>
      </c>
      <c r="D465">
        <v>1</v>
      </c>
      <c r="E465">
        <v>1</v>
      </c>
      <c r="F465" t="str">
        <f t="shared" si="7"/>
        <v>3/2</v>
      </c>
      <c r="G465" s="1" t="s">
        <v>536</v>
      </c>
      <c r="I465" s="3" t="s">
        <v>63</v>
      </c>
      <c r="K465" s="3" t="s">
        <v>35</v>
      </c>
      <c r="L465" s="4" t="s">
        <v>536</v>
      </c>
      <c r="M465" s="4" t="s">
        <v>536</v>
      </c>
      <c r="N465" s="3" t="s">
        <v>63</v>
      </c>
      <c r="O465" s="3" t="s">
        <v>534</v>
      </c>
      <c r="P465" s="3" t="s">
        <v>535</v>
      </c>
      <c r="Q465" s="3">
        <v>97</v>
      </c>
      <c r="W465" s="4" t="s">
        <v>537</v>
      </c>
      <c r="X465" s="3" t="s">
        <v>21</v>
      </c>
      <c r="Y465" cm="1">
        <f t="array" ref="Y465">SUM(IF(INT($M$2:$M$594)&amp;" "&amp;$K$2:$K$594=INT($M465)&amp;" "&amp;$K465,1,0))</f>
        <v>1</v>
      </c>
      <c r="Z465" cm="1">
        <f t="array" ref="Z465">SUM(IF(ROUND($M$2:$M$594,0)&amp;" "&amp;$K$2:$K$594=ROUND($M465,0)&amp;" "&amp;$K465,1,0))</f>
        <v>1</v>
      </c>
      <c r="AA465" cm="1">
        <f t="array" ref="AA465">SUM(IF($W$2:$W$594=$W465,1,0))</f>
        <v>1</v>
      </c>
    </row>
    <row r="466" spans="1:27" x14ac:dyDescent="0.25">
      <c r="B466" t="s">
        <v>1566</v>
      </c>
      <c r="C466" t="s">
        <v>1737</v>
      </c>
      <c r="D466">
        <v>6</v>
      </c>
      <c r="E466">
        <v>5</v>
      </c>
      <c r="F466" t="str">
        <f t="shared" si="7"/>
        <v>11/2</v>
      </c>
      <c r="G466" s="1" t="s">
        <v>539</v>
      </c>
      <c r="I466" s="3" t="s">
        <v>63</v>
      </c>
      <c r="K466" s="3" t="s">
        <v>22</v>
      </c>
      <c r="L466" s="4" t="s">
        <v>539</v>
      </c>
      <c r="M466" s="4" t="s">
        <v>539</v>
      </c>
      <c r="N466" s="3" t="s">
        <v>63</v>
      </c>
      <c r="O466" s="3" t="s">
        <v>538</v>
      </c>
      <c r="P466" s="3" t="s">
        <v>384</v>
      </c>
      <c r="Q466" s="3">
        <v>100</v>
      </c>
      <c r="W466" s="4" t="s">
        <v>540</v>
      </c>
      <c r="X466" s="3" t="s">
        <v>21</v>
      </c>
      <c r="Y466" cm="1">
        <f t="array" ref="Y466">SUM(IF(INT($M$2:$M$594)&amp;" "&amp;$K$2:$K$594=INT($M466)&amp;" "&amp;$K466,1,0))</f>
        <v>1</v>
      </c>
      <c r="Z466" cm="1">
        <f t="array" ref="Z466">SUM(IF(ROUND($M$2:$M$594,0)&amp;" "&amp;$K$2:$K$594=ROUND($M466,0)&amp;" "&amp;$K466,1,0))</f>
        <v>1</v>
      </c>
      <c r="AA466" cm="1">
        <f t="array" ref="AA466">SUM(IF($W$2:$W$594=$W466,1,0))</f>
        <v>1</v>
      </c>
    </row>
    <row r="467" spans="1:27" x14ac:dyDescent="0.25">
      <c r="B467" t="s">
        <v>1566</v>
      </c>
      <c r="C467" t="s">
        <v>1737</v>
      </c>
      <c r="D467">
        <v>6</v>
      </c>
      <c r="E467">
        <v>6</v>
      </c>
      <c r="F467" t="str">
        <f t="shared" si="7"/>
        <v>13/2</v>
      </c>
      <c r="G467" s="1" t="s">
        <v>541</v>
      </c>
      <c r="I467" s="3" t="s">
        <v>63</v>
      </c>
      <c r="K467" s="3" t="s">
        <v>26</v>
      </c>
      <c r="L467" s="4" t="s">
        <v>541</v>
      </c>
      <c r="M467" s="4" t="s">
        <v>541</v>
      </c>
      <c r="N467" s="3" t="s">
        <v>63</v>
      </c>
      <c r="O467" s="3" t="s">
        <v>538</v>
      </c>
      <c r="P467" s="3" t="s">
        <v>384</v>
      </c>
      <c r="Q467" s="3">
        <v>100</v>
      </c>
      <c r="W467" s="4" t="s">
        <v>542</v>
      </c>
      <c r="X467" s="3" t="s">
        <v>21</v>
      </c>
      <c r="Y467" cm="1">
        <f t="array" ref="Y467">SUM(IF(INT($M$2:$M$594)&amp;" "&amp;$K$2:$K$594=INT($M467)&amp;" "&amp;$K467,1,0))</f>
        <v>1</v>
      </c>
      <c r="Z467" cm="1">
        <f t="array" ref="Z467">SUM(IF(ROUND($M$2:$M$594,0)&amp;" "&amp;$K$2:$K$594=ROUND($M467,0)&amp;" "&amp;$K467,1,0))</f>
        <v>1</v>
      </c>
      <c r="AA467" cm="1">
        <f t="array" ref="AA467">SUM(IF($W$2:$W$594=$W467,1,0))</f>
        <v>1</v>
      </c>
    </row>
    <row r="468" spans="1:27" x14ac:dyDescent="0.25">
      <c r="B468" t="s">
        <v>1565</v>
      </c>
      <c r="C468" t="s">
        <v>1736</v>
      </c>
      <c r="D468">
        <v>1</v>
      </c>
      <c r="E468">
        <v>0</v>
      </c>
      <c r="F468" t="str">
        <f t="shared" si="7"/>
        <v>1/2</v>
      </c>
      <c r="G468" s="1" t="s">
        <v>543</v>
      </c>
      <c r="I468" s="3" t="s">
        <v>63</v>
      </c>
      <c r="K468" s="3" t="s">
        <v>145</v>
      </c>
      <c r="L468" s="4" t="s">
        <v>543</v>
      </c>
      <c r="M468" s="4" t="s">
        <v>543</v>
      </c>
      <c r="N468" s="3" t="s">
        <v>63</v>
      </c>
      <c r="O468" s="3" t="s">
        <v>534</v>
      </c>
      <c r="P468" s="3" t="s">
        <v>535</v>
      </c>
      <c r="Q468" s="3">
        <v>86</v>
      </c>
      <c r="T468" s="3">
        <v>14</v>
      </c>
      <c r="V468" s="3" t="s">
        <v>1914</v>
      </c>
      <c r="W468" s="4" t="s">
        <v>545</v>
      </c>
      <c r="X468" s="3" t="s">
        <v>21</v>
      </c>
      <c r="Y468" cm="1">
        <f t="array" ref="Y468">SUM(IF(INT($M$2:$M$594)&amp;" "&amp;$K$2:$K$594=INT($M468)&amp;" "&amp;$K468,1,0))</f>
        <v>1</v>
      </c>
      <c r="Z468" cm="1">
        <f t="array" ref="Z468">SUM(IF(ROUND($M$2:$M$594,0)&amp;" "&amp;$K$2:$K$594=ROUND($M468,0)&amp;" "&amp;$K468,1,0))</f>
        <v>1</v>
      </c>
      <c r="AA468" cm="1">
        <f t="array" ref="AA468">SUM(IF($W$2:$W$594=$W468,1,0))</f>
        <v>1</v>
      </c>
    </row>
    <row r="469" spans="1:27" x14ac:dyDescent="0.25">
      <c r="B469" t="s">
        <v>1567</v>
      </c>
      <c r="C469" t="s">
        <v>1736</v>
      </c>
      <c r="D469">
        <v>2</v>
      </c>
      <c r="E469">
        <v>2</v>
      </c>
      <c r="F469" t="str">
        <f t="shared" si="7"/>
        <v>5/2</v>
      </c>
      <c r="G469" s="1" t="s">
        <v>547</v>
      </c>
      <c r="I469" s="3" t="s">
        <v>63</v>
      </c>
      <c r="K469" s="3" t="s">
        <v>43</v>
      </c>
      <c r="L469" s="4" t="s">
        <v>547</v>
      </c>
      <c r="M469" s="4" t="s">
        <v>547</v>
      </c>
      <c r="N469" s="3" t="s">
        <v>63</v>
      </c>
      <c r="O469" s="3" t="s">
        <v>546</v>
      </c>
      <c r="P469" s="3" t="s">
        <v>388</v>
      </c>
      <c r="Q469" s="3">
        <v>91</v>
      </c>
      <c r="T469" s="3">
        <v>9</v>
      </c>
      <c r="V469" s="3" t="s">
        <v>1915</v>
      </c>
      <c r="W469" s="4" t="s">
        <v>549</v>
      </c>
      <c r="X469" s="3" t="s">
        <v>21</v>
      </c>
      <c r="Y469" cm="1">
        <f t="array" ref="Y469">SUM(IF(INT($M$2:$M$594)&amp;" "&amp;$K$2:$K$594=INT($M469)&amp;" "&amp;$K469,1,0))</f>
        <v>1</v>
      </c>
      <c r="Z469" cm="1">
        <f t="array" ref="Z469">SUM(IF(ROUND($M$2:$M$594,0)&amp;" "&amp;$K$2:$K$594=ROUND($M469,0)&amp;" "&amp;$K469,1,0))</f>
        <v>1</v>
      </c>
      <c r="AA469" cm="1">
        <f t="array" ref="AA469">SUM(IF($W$2:$W$594=$W469,1,0))</f>
        <v>1</v>
      </c>
    </row>
    <row r="470" spans="1:27" x14ac:dyDescent="0.25">
      <c r="B470" t="s">
        <v>1567</v>
      </c>
      <c r="C470" t="s">
        <v>1736</v>
      </c>
      <c r="D470">
        <v>2</v>
      </c>
      <c r="E470">
        <v>1</v>
      </c>
      <c r="F470" t="str">
        <f t="shared" si="7"/>
        <v>3/2</v>
      </c>
      <c r="G470" s="1" t="s">
        <v>550</v>
      </c>
      <c r="I470" s="3" t="s">
        <v>63</v>
      </c>
      <c r="K470" s="3" t="s">
        <v>35</v>
      </c>
      <c r="L470" s="4" t="s">
        <v>550</v>
      </c>
      <c r="M470" s="4" t="s">
        <v>550</v>
      </c>
      <c r="N470" s="3" t="s">
        <v>63</v>
      </c>
      <c r="O470" s="3" t="s">
        <v>546</v>
      </c>
      <c r="P470" s="3" t="s">
        <v>388</v>
      </c>
      <c r="Q470" s="3">
        <v>90</v>
      </c>
      <c r="T470" s="3">
        <v>7</v>
      </c>
      <c r="V470" s="3" t="s">
        <v>1915</v>
      </c>
      <c r="W470" s="4" t="s">
        <v>552</v>
      </c>
      <c r="X470" s="3" t="s">
        <v>21</v>
      </c>
      <c r="Y470" cm="1">
        <f t="array" ref="Y470">SUM(IF(INT($M$2:$M$594)&amp;" "&amp;$K$2:$K$594=INT($M470)&amp;" "&amp;$K470,1,0))</f>
        <v>1</v>
      </c>
      <c r="Z470" cm="1">
        <f t="array" ref="Z470">SUM(IF(ROUND($M$2:$M$594,0)&amp;" "&amp;$K$2:$K$594=ROUND($M470,0)&amp;" "&amp;$K470,1,0))</f>
        <v>1</v>
      </c>
      <c r="AA470" cm="1">
        <f t="array" ref="AA470">SUM(IF($W$2:$W$594=$W470,1,0))</f>
        <v>1</v>
      </c>
    </row>
    <row r="471" spans="1:27" x14ac:dyDescent="0.25">
      <c r="A471" t="s">
        <v>1664</v>
      </c>
      <c r="B471" t="s">
        <v>1569</v>
      </c>
      <c r="C471" t="s">
        <v>1738</v>
      </c>
      <c r="D471" t="s">
        <v>1714</v>
      </c>
      <c r="E471">
        <v>3</v>
      </c>
      <c r="F471" t="str">
        <f t="shared" si="7"/>
        <v>7/2</v>
      </c>
      <c r="G471" s="1" t="s">
        <v>1568</v>
      </c>
      <c r="I471" s="3" t="s">
        <v>63</v>
      </c>
      <c r="K471" s="3" t="s">
        <v>47</v>
      </c>
      <c r="M471" s="4" t="s">
        <v>1568</v>
      </c>
      <c r="N471" s="3" t="s">
        <v>63</v>
      </c>
      <c r="O471" s="3" t="s">
        <v>960</v>
      </c>
      <c r="P471" s="3" t="s">
        <v>335</v>
      </c>
      <c r="W471" s="5" t="s">
        <v>2041</v>
      </c>
      <c r="X471" s="3" t="s">
        <v>1757</v>
      </c>
      <c r="Y471" cm="1">
        <f t="array" ref="Y471">SUM(IF(INT($M$2:$M$594)&amp;" "&amp;$K$2:$K$594=INT($M471)&amp;" "&amp;$K471,1,0))</f>
        <v>1</v>
      </c>
      <c r="Z471" cm="1">
        <f t="array" ref="Z471">SUM(IF(ROUND($M$2:$M$594,0)&amp;" "&amp;$K$2:$K$594=ROUND($M471,0)&amp;" "&amp;$K471,1,0))</f>
        <v>1</v>
      </c>
      <c r="AA471" cm="1">
        <f t="array" ref="AA471">SUM(IF($W$2:$W$594=$W471,1,0))</f>
        <v>1</v>
      </c>
    </row>
    <row r="472" spans="1:27" x14ac:dyDescent="0.25">
      <c r="B472" t="s">
        <v>1569</v>
      </c>
      <c r="C472" t="s">
        <v>1738</v>
      </c>
      <c r="D472" t="s">
        <v>1714</v>
      </c>
      <c r="E472">
        <v>4</v>
      </c>
      <c r="F472" t="str">
        <f t="shared" si="7"/>
        <v>9/2</v>
      </c>
      <c r="G472" s="1" t="s">
        <v>961</v>
      </c>
      <c r="I472" s="3" t="s">
        <v>63</v>
      </c>
      <c r="K472" s="3" t="s">
        <v>14</v>
      </c>
      <c r="L472" s="4" t="s">
        <v>961</v>
      </c>
      <c r="M472" s="4" t="s">
        <v>961</v>
      </c>
      <c r="N472" s="3" t="s">
        <v>63</v>
      </c>
      <c r="O472" s="3" t="s">
        <v>960</v>
      </c>
      <c r="P472" s="3" t="s">
        <v>335</v>
      </c>
      <c r="W472" s="4" t="s">
        <v>963</v>
      </c>
      <c r="X472" s="3" t="s">
        <v>21</v>
      </c>
      <c r="Y472" cm="1">
        <f t="array" ref="Y472">SUM(IF(INT($M$2:$M$594)&amp;" "&amp;$K$2:$K$594=INT($M472)&amp;" "&amp;$K472,1,0))</f>
        <v>1</v>
      </c>
      <c r="Z472" cm="1">
        <f t="array" ref="Z472">SUM(IF(ROUND($M$2:$M$594,0)&amp;" "&amp;$K$2:$K$594=ROUND($M472,0)&amp;" "&amp;$K472,1,0))</f>
        <v>1</v>
      </c>
      <c r="AA472" cm="1">
        <f t="array" ref="AA472">SUM(IF($W$2:$W$594=$W472,1,0))</f>
        <v>1</v>
      </c>
    </row>
    <row r="473" spans="1:27" x14ac:dyDescent="0.25">
      <c r="B473" t="s">
        <v>1570</v>
      </c>
      <c r="C473" t="s">
        <v>1739</v>
      </c>
      <c r="D473" t="s">
        <v>1714</v>
      </c>
      <c r="E473">
        <v>4</v>
      </c>
      <c r="F473" t="str">
        <f t="shared" si="7"/>
        <v>9/2</v>
      </c>
      <c r="G473" s="1" t="s">
        <v>966</v>
      </c>
      <c r="I473" s="3" t="s">
        <v>63</v>
      </c>
      <c r="K473" s="3" t="s">
        <v>14</v>
      </c>
      <c r="L473" s="4" t="s">
        <v>966</v>
      </c>
      <c r="M473" s="4" t="s">
        <v>966</v>
      </c>
      <c r="N473" s="3" t="s">
        <v>63</v>
      </c>
      <c r="O473" s="3" t="s">
        <v>964</v>
      </c>
      <c r="P473" s="3" t="s">
        <v>965</v>
      </c>
      <c r="Q473" s="3">
        <v>96</v>
      </c>
      <c r="W473" s="4" t="s">
        <v>967</v>
      </c>
      <c r="X473" s="3" t="s">
        <v>21</v>
      </c>
      <c r="Y473" cm="1">
        <f t="array" ref="Y473">SUM(IF(INT($M$2:$M$594)&amp;" "&amp;$K$2:$K$594=INT($M473)&amp;" "&amp;$K473,1,0))</f>
        <v>1</v>
      </c>
      <c r="Z473" cm="1">
        <f t="array" ref="Z473">SUM(IF(ROUND($M$2:$M$594,0)&amp;" "&amp;$K$2:$K$594=ROUND($M473,0)&amp;" "&amp;$K473,1,0))</f>
        <v>1</v>
      </c>
      <c r="AA473" cm="1">
        <f t="array" ref="AA473">SUM(IF($W$2:$W$594=$W473,1,0))</f>
        <v>1</v>
      </c>
    </row>
    <row r="474" spans="1:27" x14ac:dyDescent="0.25">
      <c r="B474" t="s">
        <v>1570</v>
      </c>
      <c r="C474" t="s">
        <v>1739</v>
      </c>
      <c r="D474" t="s">
        <v>1714</v>
      </c>
      <c r="E474">
        <v>5</v>
      </c>
      <c r="F474" t="str">
        <f t="shared" si="7"/>
        <v>11/2</v>
      </c>
      <c r="G474" s="1" t="s">
        <v>968</v>
      </c>
      <c r="I474" s="3" t="s">
        <v>63</v>
      </c>
      <c r="K474" s="3" t="s">
        <v>22</v>
      </c>
      <c r="L474" s="4" t="s">
        <v>968</v>
      </c>
      <c r="M474" s="4" t="s">
        <v>968</v>
      </c>
      <c r="N474" s="3" t="s">
        <v>63</v>
      </c>
      <c r="O474" s="3" t="s">
        <v>964</v>
      </c>
      <c r="P474" s="3" t="s">
        <v>965</v>
      </c>
      <c r="Q474" s="3">
        <v>96</v>
      </c>
      <c r="W474" s="4" t="s">
        <v>969</v>
      </c>
      <c r="X474" s="3" t="s">
        <v>21</v>
      </c>
      <c r="Y474" cm="1">
        <f t="array" ref="Y474">SUM(IF(INT($M$2:$M$594)&amp;" "&amp;$K$2:$K$594=INT($M474)&amp;" "&amp;$K474,1,0))</f>
        <v>1</v>
      </c>
      <c r="Z474" cm="1">
        <f t="array" ref="Z474">SUM(IF(ROUND($M$2:$M$594,0)&amp;" "&amp;$K$2:$K$594=ROUND($M474,0)&amp;" "&amp;$K474,1,0))</f>
        <v>1</v>
      </c>
      <c r="AA474" cm="1">
        <f t="array" ref="AA474">SUM(IF($W$2:$W$594=$W474,1,0))</f>
        <v>1</v>
      </c>
    </row>
    <row r="475" spans="1:27" x14ac:dyDescent="0.25">
      <c r="B475" t="s">
        <v>1570</v>
      </c>
      <c r="C475" t="s">
        <v>1739</v>
      </c>
      <c r="D475" t="s">
        <v>1714</v>
      </c>
      <c r="E475">
        <v>3</v>
      </c>
      <c r="F475" t="str">
        <f t="shared" si="7"/>
        <v>7/2</v>
      </c>
      <c r="G475" s="1" t="s">
        <v>970</v>
      </c>
      <c r="I475" s="3" t="s">
        <v>63</v>
      </c>
      <c r="K475" s="3" t="s">
        <v>47</v>
      </c>
      <c r="L475" s="4" t="s">
        <v>970</v>
      </c>
      <c r="M475" s="4" t="s">
        <v>970</v>
      </c>
      <c r="N475" s="3" t="s">
        <v>63</v>
      </c>
      <c r="O475" s="3" t="s">
        <v>964</v>
      </c>
      <c r="P475" s="3" t="s">
        <v>965</v>
      </c>
      <c r="Q475" s="3">
        <v>65</v>
      </c>
      <c r="T475" s="3">
        <v>31</v>
      </c>
      <c r="V475" s="3" t="s">
        <v>1916</v>
      </c>
      <c r="W475" s="4" t="s">
        <v>972</v>
      </c>
      <c r="X475" s="3" t="s">
        <v>21</v>
      </c>
      <c r="Y475" cm="1">
        <f t="array" ref="Y475">SUM(IF(INT($M$2:$M$594)&amp;" "&amp;$K$2:$K$594=INT($M475)&amp;" "&amp;$K475,1,0))</f>
        <v>1</v>
      </c>
      <c r="Z475" cm="1">
        <f t="array" ref="Z475">SUM(IF(ROUND($M$2:$M$594,0)&amp;" "&amp;$K$2:$K$594=ROUND($M475,0)&amp;" "&amp;$K475,1,0))</f>
        <v>1</v>
      </c>
      <c r="AA475" cm="1">
        <f t="array" ref="AA475">SUM(IF($W$2:$W$594=$W475,1,0))</f>
        <v>1</v>
      </c>
    </row>
    <row r="476" spans="1:27" x14ac:dyDescent="0.25">
      <c r="B476" t="s">
        <v>1570</v>
      </c>
      <c r="C476" t="s">
        <v>1739</v>
      </c>
      <c r="D476" t="s">
        <v>1714</v>
      </c>
      <c r="E476">
        <v>4</v>
      </c>
      <c r="F476" t="str">
        <f t="shared" si="7"/>
        <v>9/2</v>
      </c>
      <c r="G476" s="1" t="s">
        <v>975</v>
      </c>
      <c r="I476" s="3" t="s">
        <v>63</v>
      </c>
      <c r="K476" s="3" t="s">
        <v>14</v>
      </c>
      <c r="L476" s="4" t="s">
        <v>975</v>
      </c>
      <c r="M476" s="4" t="s">
        <v>975</v>
      </c>
      <c r="N476" s="3" t="s">
        <v>63</v>
      </c>
      <c r="O476" s="3" t="s">
        <v>973</v>
      </c>
      <c r="P476" s="3" t="s">
        <v>974</v>
      </c>
      <c r="Q476" s="3">
        <v>94</v>
      </c>
      <c r="W476" s="4" t="s">
        <v>976</v>
      </c>
      <c r="X476" s="3" t="s">
        <v>21</v>
      </c>
      <c r="Y476" cm="1">
        <f t="array" ref="Y476">SUM(IF(INT($M$2:$M$594)&amp;" "&amp;$K$2:$K$594=INT($M476)&amp;" "&amp;$K476,1,0))</f>
        <v>1</v>
      </c>
      <c r="Z476" cm="1">
        <f t="array" ref="Z476">SUM(IF(ROUND($M$2:$M$594,0)&amp;" "&amp;$K$2:$K$594=ROUND($M476,0)&amp;" "&amp;$K476,1,0))</f>
        <v>1</v>
      </c>
      <c r="AA476" cm="1">
        <f t="array" ref="AA476">SUM(IF($W$2:$W$594=$W476,1,0))</f>
        <v>1</v>
      </c>
    </row>
    <row r="477" spans="1:27" x14ac:dyDescent="0.25">
      <c r="B477" t="s">
        <v>1570</v>
      </c>
      <c r="C477" t="s">
        <v>1739</v>
      </c>
      <c r="D477" t="s">
        <v>1714</v>
      </c>
      <c r="E477">
        <v>2</v>
      </c>
      <c r="F477" t="str">
        <f t="shared" si="7"/>
        <v>5/2</v>
      </c>
      <c r="G477" s="1" t="s">
        <v>977</v>
      </c>
      <c r="I477" s="3" t="s">
        <v>63</v>
      </c>
      <c r="K477" s="3" t="s">
        <v>43</v>
      </c>
      <c r="L477" s="4" t="s">
        <v>977</v>
      </c>
      <c r="M477" s="4" t="s">
        <v>977</v>
      </c>
      <c r="N477" s="3" t="s">
        <v>63</v>
      </c>
      <c r="O477" s="3" t="s">
        <v>964</v>
      </c>
      <c r="P477" s="3" t="s">
        <v>965</v>
      </c>
      <c r="Q477" s="3">
        <v>50</v>
      </c>
      <c r="T477" s="3">
        <v>45</v>
      </c>
      <c r="V477" s="3" t="s">
        <v>1916</v>
      </c>
      <c r="W477" s="4" t="s">
        <v>979</v>
      </c>
      <c r="X477" s="3" t="s">
        <v>21</v>
      </c>
      <c r="Y477" cm="1">
        <f t="array" ref="Y477">SUM(IF(INT($M$2:$M$594)&amp;" "&amp;$K$2:$K$594=INT($M477)&amp;" "&amp;$K477,1,0))</f>
        <v>1</v>
      </c>
      <c r="Z477" cm="1">
        <f t="array" ref="Z477">SUM(IF(ROUND($M$2:$M$594,0)&amp;" "&amp;$K$2:$K$594=ROUND($M477,0)&amp;" "&amp;$K477,1,0))</f>
        <v>1</v>
      </c>
      <c r="AA477" cm="1">
        <f t="array" ref="AA477">SUM(IF($W$2:$W$594=$W477,1,0))</f>
        <v>1</v>
      </c>
    </row>
    <row r="478" spans="1:27" x14ac:dyDescent="0.25">
      <c r="B478" t="s">
        <v>1570</v>
      </c>
      <c r="C478" t="s">
        <v>1739</v>
      </c>
      <c r="D478" t="s">
        <v>1714</v>
      </c>
      <c r="E478">
        <v>5</v>
      </c>
      <c r="F478" t="str">
        <f t="shared" si="7"/>
        <v>11/2</v>
      </c>
      <c r="G478" s="1" t="s">
        <v>980</v>
      </c>
      <c r="I478" s="3" t="s">
        <v>63</v>
      </c>
      <c r="K478" s="3" t="s">
        <v>22</v>
      </c>
      <c r="L478" s="4" t="s">
        <v>980</v>
      </c>
      <c r="M478" s="4" t="s">
        <v>980</v>
      </c>
      <c r="N478" s="3" t="s">
        <v>63</v>
      </c>
      <c r="O478" s="3" t="s">
        <v>973</v>
      </c>
      <c r="P478" s="3" t="s">
        <v>974</v>
      </c>
      <c r="Q478" s="3">
        <v>94</v>
      </c>
      <c r="W478" s="4" t="s">
        <v>981</v>
      </c>
      <c r="X478" s="3" t="s">
        <v>21</v>
      </c>
      <c r="Y478" cm="1">
        <f t="array" ref="Y478">SUM(IF(INT($M$2:$M$594)&amp;" "&amp;$K$2:$K$594=INT($M478)&amp;" "&amp;$K478,1,0))</f>
        <v>1</v>
      </c>
      <c r="Z478" cm="1">
        <f t="array" ref="Z478">SUM(IF(ROUND($M$2:$M$594,0)&amp;" "&amp;$K$2:$K$594=ROUND($M478,0)&amp;" "&amp;$K478,1,0))</f>
        <v>1</v>
      </c>
      <c r="AA478" cm="1">
        <f t="array" ref="AA478">SUM(IF($W$2:$W$594=$W478,1,0))</f>
        <v>1</v>
      </c>
    </row>
    <row r="479" spans="1:27" x14ac:dyDescent="0.25">
      <c r="B479" t="s">
        <v>1570</v>
      </c>
      <c r="C479" t="s">
        <v>1739</v>
      </c>
      <c r="D479" t="s">
        <v>1714</v>
      </c>
      <c r="E479">
        <v>3</v>
      </c>
      <c r="F479" t="str">
        <f t="shared" si="7"/>
        <v>7/2</v>
      </c>
      <c r="G479" s="1" t="s">
        <v>982</v>
      </c>
      <c r="I479" s="3" t="s">
        <v>63</v>
      </c>
      <c r="K479" s="3" t="s">
        <v>47</v>
      </c>
      <c r="L479" s="4" t="s">
        <v>982</v>
      </c>
      <c r="M479" s="4" t="s">
        <v>982</v>
      </c>
      <c r="N479" s="3" t="s">
        <v>63</v>
      </c>
      <c r="O479" s="3" t="s">
        <v>973</v>
      </c>
      <c r="P479" s="3" t="s">
        <v>974</v>
      </c>
      <c r="Q479" s="3">
        <v>64</v>
      </c>
      <c r="T479" s="3">
        <v>28</v>
      </c>
      <c r="V479" s="3" t="s">
        <v>1917</v>
      </c>
      <c r="W479" s="4" t="s">
        <v>984</v>
      </c>
      <c r="X479" s="3" t="s">
        <v>21</v>
      </c>
      <c r="Y479" cm="1">
        <f t="array" ref="Y479">SUM(IF(INT($M$2:$M$594)&amp;" "&amp;$K$2:$K$594=INT($M479)&amp;" "&amp;$K479,1,0))</f>
        <v>1</v>
      </c>
      <c r="Z479" cm="1">
        <f t="array" ref="Z479">SUM(IF(ROUND($M$2:$M$594,0)&amp;" "&amp;$K$2:$K$594=ROUND($M479,0)&amp;" "&amp;$K479,1,0))</f>
        <v>1</v>
      </c>
      <c r="AA479" cm="1">
        <f t="array" ref="AA479">SUM(IF($W$2:$W$594=$W479,1,0))</f>
        <v>1</v>
      </c>
    </row>
    <row r="480" spans="1:27" x14ac:dyDescent="0.25">
      <c r="B480" t="s">
        <v>1570</v>
      </c>
      <c r="C480" t="s">
        <v>1739</v>
      </c>
      <c r="D480" t="s">
        <v>1714</v>
      </c>
      <c r="E480">
        <v>2</v>
      </c>
      <c r="F480" t="str">
        <f t="shared" si="7"/>
        <v>5/2</v>
      </c>
      <c r="G480" s="1" t="s">
        <v>985</v>
      </c>
      <c r="I480" s="3" t="s">
        <v>63</v>
      </c>
      <c r="K480" s="3" t="s">
        <v>43</v>
      </c>
      <c r="L480" s="4" t="s">
        <v>985</v>
      </c>
      <c r="M480" s="4" t="s">
        <v>985</v>
      </c>
      <c r="N480" s="3" t="s">
        <v>63</v>
      </c>
      <c r="O480" s="3" t="s">
        <v>973</v>
      </c>
      <c r="P480" s="3" t="s">
        <v>974</v>
      </c>
      <c r="Q480" s="3">
        <v>52</v>
      </c>
      <c r="T480" s="3">
        <v>43</v>
      </c>
      <c r="V480" s="3" t="s">
        <v>1917</v>
      </c>
      <c r="W480" s="4" t="s">
        <v>987</v>
      </c>
      <c r="X480" s="3" t="s">
        <v>21</v>
      </c>
      <c r="Y480" cm="1">
        <f t="array" ref="Y480">SUM(IF(INT($M$2:$M$594)&amp;" "&amp;$K$2:$K$594=INT($M480)&amp;" "&amp;$K480,1,0))</f>
        <v>1</v>
      </c>
      <c r="Z480" cm="1">
        <f t="array" ref="Z480">SUM(IF(ROUND($M$2:$M$594,0)&amp;" "&amp;$K$2:$K$594=ROUND($M480,0)&amp;" "&amp;$K480,1,0))</f>
        <v>1</v>
      </c>
      <c r="AA480" cm="1">
        <f t="array" ref="AA480">SUM(IF($W$2:$W$594=$W480,1,0))</f>
        <v>1</v>
      </c>
    </row>
    <row r="481" spans="1:27" x14ac:dyDescent="0.25">
      <c r="B481" t="s">
        <v>1570</v>
      </c>
      <c r="C481" t="s">
        <v>1739</v>
      </c>
      <c r="D481" t="s">
        <v>1714</v>
      </c>
      <c r="E481">
        <v>6</v>
      </c>
      <c r="F481" t="str">
        <f t="shared" si="7"/>
        <v>13/2</v>
      </c>
      <c r="G481" s="1" t="s">
        <v>988</v>
      </c>
      <c r="I481" s="3" t="s">
        <v>63</v>
      </c>
      <c r="K481" s="3" t="s">
        <v>26</v>
      </c>
      <c r="L481" s="4" t="s">
        <v>988</v>
      </c>
      <c r="M481" s="4" t="s">
        <v>988</v>
      </c>
      <c r="N481" s="3" t="s">
        <v>63</v>
      </c>
      <c r="O481" s="3" t="s">
        <v>973</v>
      </c>
      <c r="P481" s="3" t="s">
        <v>974</v>
      </c>
      <c r="Q481" s="3">
        <v>84</v>
      </c>
      <c r="T481" s="3">
        <v>10</v>
      </c>
      <c r="V481" s="3" t="s">
        <v>1918</v>
      </c>
      <c r="W481" s="4" t="s">
        <v>990</v>
      </c>
      <c r="X481" s="3" t="s">
        <v>21</v>
      </c>
      <c r="Y481" cm="1">
        <f t="array" ref="Y481">SUM(IF(INT($M$2:$M$594)&amp;" "&amp;$K$2:$K$594=INT($M481)&amp;" "&amp;$K481,1,0))</f>
        <v>1</v>
      </c>
      <c r="Z481" cm="1">
        <f t="array" ref="Z481">SUM(IF(ROUND($M$2:$M$594,0)&amp;" "&amp;$K$2:$K$594=ROUND($M481,0)&amp;" "&amp;$K481,1,0))</f>
        <v>1</v>
      </c>
      <c r="AA481" cm="1">
        <f t="array" ref="AA481">SUM(IF($W$2:$W$594=$W481,1,0))</f>
        <v>1</v>
      </c>
    </row>
    <row r="482" spans="1:27" x14ac:dyDescent="0.25">
      <c r="B482" t="s">
        <v>1570</v>
      </c>
      <c r="C482" t="s">
        <v>1739</v>
      </c>
      <c r="D482" t="s">
        <v>1714</v>
      </c>
      <c r="E482">
        <v>1</v>
      </c>
      <c r="F482" t="str">
        <f t="shared" si="7"/>
        <v>3/2</v>
      </c>
      <c r="G482" s="4" t="s">
        <v>1571</v>
      </c>
      <c r="I482" s="3" t="s">
        <v>63</v>
      </c>
      <c r="K482" s="3" t="s">
        <v>35</v>
      </c>
      <c r="M482" s="4" t="s">
        <v>1571</v>
      </c>
      <c r="N482" s="3" t="s">
        <v>63</v>
      </c>
      <c r="O482" s="3" t="s">
        <v>1760</v>
      </c>
      <c r="W482" s="5" t="s">
        <v>2042</v>
      </c>
      <c r="X482" s="3" t="s">
        <v>1757</v>
      </c>
      <c r="Y482" cm="1">
        <f t="array" ref="Y482">SUM(IF(INT($M$2:$M$594)&amp;" "&amp;$K$2:$K$594=INT($M482)&amp;" "&amp;$K482,1,0))</f>
        <v>1</v>
      </c>
      <c r="Z482" cm="1">
        <f t="array" ref="Z482">SUM(IF(ROUND($M$2:$M$594,0)&amp;" "&amp;$K$2:$K$594=ROUND($M482,0)&amp;" "&amp;$K482,1,0))</f>
        <v>1</v>
      </c>
      <c r="AA482" cm="1">
        <f t="array" ref="AA482">SUM(IF($W$2:$W$594=$W482,1,0))</f>
        <v>1</v>
      </c>
    </row>
    <row r="483" spans="1:27" x14ac:dyDescent="0.25">
      <c r="B483" t="s">
        <v>1572</v>
      </c>
      <c r="C483" t="s">
        <v>1738</v>
      </c>
      <c r="D483" t="s">
        <v>1716</v>
      </c>
      <c r="E483">
        <v>5</v>
      </c>
      <c r="F483" t="str">
        <f t="shared" si="7"/>
        <v>11/2</v>
      </c>
      <c r="G483" s="1" t="s">
        <v>992</v>
      </c>
      <c r="I483" s="3" t="s">
        <v>63</v>
      </c>
      <c r="K483" s="3" t="s">
        <v>22</v>
      </c>
      <c r="L483" s="4" t="s">
        <v>992</v>
      </c>
      <c r="M483" s="4" t="s">
        <v>992</v>
      </c>
      <c r="N483" s="3" t="s">
        <v>63</v>
      </c>
      <c r="O483" s="3" t="s">
        <v>991</v>
      </c>
      <c r="P483" s="3" t="s">
        <v>362</v>
      </c>
      <c r="W483" s="4" t="s">
        <v>993</v>
      </c>
      <c r="X483" s="3" t="s">
        <v>21</v>
      </c>
      <c r="Y483" cm="1">
        <f t="array" ref="Y483">SUM(IF(INT($M$2:$M$594)&amp;" "&amp;$K$2:$K$594=INT($M483)&amp;" "&amp;$K483,1,0))</f>
        <v>1</v>
      </c>
      <c r="Z483" cm="1">
        <f t="array" ref="Z483">SUM(IF(ROUND($M$2:$M$594,0)&amp;" "&amp;$K$2:$K$594=ROUND($M483,0)&amp;" "&amp;$K483,1,0))</f>
        <v>1</v>
      </c>
      <c r="AA483" cm="1">
        <f t="array" ref="AA483">SUM(IF($W$2:$W$594=$W483,1,0))</f>
        <v>1</v>
      </c>
    </row>
    <row r="484" spans="1:27" x14ac:dyDescent="0.25">
      <c r="B484" t="s">
        <v>1572</v>
      </c>
      <c r="C484" t="s">
        <v>1738</v>
      </c>
      <c r="D484" t="s">
        <v>1716</v>
      </c>
      <c r="E484">
        <v>4</v>
      </c>
      <c r="F484" t="str">
        <f t="shared" si="7"/>
        <v>9/2</v>
      </c>
      <c r="G484" s="1" t="s">
        <v>994</v>
      </c>
      <c r="I484" s="3" t="s">
        <v>63</v>
      </c>
      <c r="K484" s="3" t="s">
        <v>14</v>
      </c>
      <c r="L484" s="4" t="s">
        <v>994</v>
      </c>
      <c r="M484" s="4" t="s">
        <v>994</v>
      </c>
      <c r="N484" s="3" t="s">
        <v>63</v>
      </c>
      <c r="O484" s="3" t="s">
        <v>991</v>
      </c>
      <c r="P484" s="3" t="s">
        <v>362</v>
      </c>
      <c r="W484" s="4" t="s">
        <v>995</v>
      </c>
      <c r="X484" s="3" t="s">
        <v>21</v>
      </c>
      <c r="Y484" cm="1">
        <f t="array" ref="Y484">SUM(IF(INT($M$2:$M$594)&amp;" "&amp;$K$2:$K$594=INT($M484)&amp;" "&amp;$K484,1,0))</f>
        <v>1</v>
      </c>
      <c r="Z484" cm="1">
        <f t="array" ref="Z484">SUM(IF(ROUND($M$2:$M$594,0)&amp;" "&amp;$K$2:$K$594=ROUND($M484,0)&amp;" "&amp;$K484,1,0))</f>
        <v>1</v>
      </c>
      <c r="AA484" cm="1">
        <f t="array" ref="AA484">SUM(IF($W$2:$W$594=$W484,1,0))</f>
        <v>1</v>
      </c>
    </row>
    <row r="485" spans="1:27" x14ac:dyDescent="0.25">
      <c r="B485" t="s">
        <v>1573</v>
      </c>
      <c r="C485" t="s">
        <v>1739</v>
      </c>
      <c r="D485" t="s">
        <v>1716</v>
      </c>
      <c r="E485">
        <v>5</v>
      </c>
      <c r="F485" t="str">
        <f t="shared" si="7"/>
        <v>11/2</v>
      </c>
      <c r="G485" s="1" t="s">
        <v>998</v>
      </c>
      <c r="I485" s="3" t="s">
        <v>63</v>
      </c>
      <c r="K485" s="3" t="s">
        <v>22</v>
      </c>
      <c r="L485" s="4" t="s">
        <v>998</v>
      </c>
      <c r="M485" s="4" t="s">
        <v>998</v>
      </c>
      <c r="N485" s="3" t="s">
        <v>63</v>
      </c>
      <c r="O485" s="3" t="s">
        <v>996</v>
      </c>
      <c r="P485" s="3" t="s">
        <v>997</v>
      </c>
      <c r="Q485" s="3">
        <v>95</v>
      </c>
      <c r="W485" s="4" t="s">
        <v>999</v>
      </c>
      <c r="X485" s="3" t="s">
        <v>21</v>
      </c>
      <c r="Y485" cm="1">
        <f t="array" ref="Y485">SUM(IF(INT($M$2:$M$594)&amp;" "&amp;$K$2:$K$594=INT($M485)&amp;" "&amp;$K485,1,0))</f>
        <v>1</v>
      </c>
      <c r="Z485" cm="1">
        <f t="array" ref="Z485">SUM(IF(ROUND($M$2:$M$594,0)&amp;" "&amp;$K$2:$K$594=ROUND($M485,0)&amp;" "&amp;$K485,1,0))</f>
        <v>1</v>
      </c>
      <c r="AA485" cm="1">
        <f t="array" ref="AA485">SUM(IF($W$2:$W$594=$W485,1,0))</f>
        <v>1</v>
      </c>
    </row>
    <row r="486" spans="1:27" x14ac:dyDescent="0.25">
      <c r="B486" t="s">
        <v>1573</v>
      </c>
      <c r="C486" t="s">
        <v>1739</v>
      </c>
      <c r="D486" t="s">
        <v>1716</v>
      </c>
      <c r="E486">
        <v>4</v>
      </c>
      <c r="F486" t="str">
        <f t="shared" si="7"/>
        <v>9/2</v>
      </c>
      <c r="G486" s="1" t="s">
        <v>1000</v>
      </c>
      <c r="I486" s="3" t="s">
        <v>63</v>
      </c>
      <c r="K486" s="3" t="s">
        <v>14</v>
      </c>
      <c r="L486" s="4" t="s">
        <v>1000</v>
      </c>
      <c r="M486" s="4" t="s">
        <v>1000</v>
      </c>
      <c r="N486" s="3" t="s">
        <v>63</v>
      </c>
      <c r="O486" s="3" t="s">
        <v>996</v>
      </c>
      <c r="P486" s="3" t="s">
        <v>997</v>
      </c>
      <c r="Q486" s="3">
        <v>79</v>
      </c>
      <c r="T486" s="3">
        <v>18</v>
      </c>
      <c r="V486" s="3" t="s">
        <v>1919</v>
      </c>
      <c r="W486" s="4" t="s">
        <v>1002</v>
      </c>
      <c r="X486" s="3" t="s">
        <v>21</v>
      </c>
      <c r="Y486" cm="1">
        <f t="array" ref="Y486">SUM(IF(INT($M$2:$M$594)&amp;" "&amp;$K$2:$K$594=INT($M486)&amp;" "&amp;$K486,1,0))</f>
        <v>1</v>
      </c>
      <c r="Z486" cm="1">
        <f t="array" ref="Z486">SUM(IF(ROUND($M$2:$M$594,0)&amp;" "&amp;$K$2:$K$594=ROUND($M486,0)&amp;" "&amp;$K486,1,0))</f>
        <v>1</v>
      </c>
      <c r="AA486" cm="1">
        <f t="array" ref="AA486">SUM(IF($W$2:$W$594=$W486,1,0))</f>
        <v>1</v>
      </c>
    </row>
    <row r="487" spans="1:27" x14ac:dyDescent="0.25">
      <c r="B487" t="s">
        <v>1573</v>
      </c>
      <c r="C487" t="s">
        <v>1739</v>
      </c>
      <c r="D487" t="s">
        <v>1716</v>
      </c>
      <c r="E487">
        <v>6</v>
      </c>
      <c r="F487" t="str">
        <f t="shared" si="7"/>
        <v>13/2</v>
      </c>
      <c r="G487" s="1" t="s">
        <v>1003</v>
      </c>
      <c r="I487" s="3" t="s">
        <v>63</v>
      </c>
      <c r="K487" s="3" t="s">
        <v>26</v>
      </c>
      <c r="L487" s="4" t="s">
        <v>1003</v>
      </c>
      <c r="M487" s="4" t="s">
        <v>1003</v>
      </c>
      <c r="N487" s="3" t="s">
        <v>63</v>
      </c>
      <c r="O487" s="3" t="s">
        <v>996</v>
      </c>
      <c r="P487" s="3" t="s">
        <v>997</v>
      </c>
      <c r="Q487" s="3">
        <v>51</v>
      </c>
      <c r="T487" s="3">
        <v>47</v>
      </c>
      <c r="V487" s="3" t="s">
        <v>1919</v>
      </c>
      <c r="W487" s="4" t="s">
        <v>1005</v>
      </c>
      <c r="X487" s="3" t="s">
        <v>21</v>
      </c>
      <c r="Y487" cm="1">
        <f t="array" ref="Y487">SUM(IF(INT($M$2:$M$594)&amp;" "&amp;$K$2:$K$594=INT($M487)&amp;" "&amp;$K487,1,0))</f>
        <v>1</v>
      </c>
      <c r="Z487" cm="1">
        <f t="array" ref="Z487">SUM(IF(ROUND($M$2:$M$594,0)&amp;" "&amp;$K$2:$K$594=ROUND($M487,0)&amp;" "&amp;$K487,1,0))</f>
        <v>1</v>
      </c>
      <c r="AA487" cm="1">
        <f t="array" ref="AA487">SUM(IF($W$2:$W$594=$W487,1,0))</f>
        <v>1</v>
      </c>
    </row>
    <row r="488" spans="1:27" x14ac:dyDescent="0.25">
      <c r="B488" t="s">
        <v>1573</v>
      </c>
      <c r="C488" t="s">
        <v>1739</v>
      </c>
      <c r="D488" t="s">
        <v>1716</v>
      </c>
      <c r="E488">
        <v>3</v>
      </c>
      <c r="F488" t="str">
        <f t="shared" si="7"/>
        <v>7/2</v>
      </c>
      <c r="G488" s="1" t="s">
        <v>1006</v>
      </c>
      <c r="I488" s="3" t="s">
        <v>63</v>
      </c>
      <c r="K488" s="3" t="s">
        <v>47</v>
      </c>
      <c r="L488" s="4" t="s">
        <v>1006</v>
      </c>
      <c r="M488" s="4" t="s">
        <v>1006</v>
      </c>
      <c r="N488" s="3" t="s">
        <v>63</v>
      </c>
      <c r="O488" s="3" t="s">
        <v>996</v>
      </c>
      <c r="P488" s="3" t="s">
        <v>997</v>
      </c>
      <c r="Q488" s="3">
        <v>93</v>
      </c>
      <c r="W488" s="4" t="s">
        <v>1007</v>
      </c>
      <c r="X488" s="3" t="s">
        <v>21</v>
      </c>
      <c r="Y488" cm="1">
        <f t="array" ref="Y488">SUM(IF(INT($M$2:$M$594)&amp;" "&amp;$K$2:$K$594=INT($M488)&amp;" "&amp;$K488,1,0))</f>
        <v>1</v>
      </c>
      <c r="Z488" cm="1">
        <f t="array" ref="Z488">SUM(IF(ROUND($M$2:$M$594,0)&amp;" "&amp;$K$2:$K$594=ROUND($M488,0)&amp;" "&amp;$K488,1,0))</f>
        <v>1</v>
      </c>
      <c r="AA488" cm="1">
        <f t="array" ref="AA488">SUM(IF($W$2:$W$594=$W488,1,0))</f>
        <v>1</v>
      </c>
    </row>
    <row r="489" spans="1:27" x14ac:dyDescent="0.25">
      <c r="B489" t="s">
        <v>1573</v>
      </c>
      <c r="C489" t="s">
        <v>1739</v>
      </c>
      <c r="D489" t="s">
        <v>1716</v>
      </c>
      <c r="E489">
        <v>4</v>
      </c>
      <c r="F489" t="str">
        <f t="shared" si="7"/>
        <v>9/2</v>
      </c>
      <c r="G489" s="1" t="s">
        <v>1010</v>
      </c>
      <c r="I489" s="3" t="s">
        <v>63</v>
      </c>
      <c r="K489" s="3" t="s">
        <v>14</v>
      </c>
      <c r="L489" s="4" t="s">
        <v>1010</v>
      </c>
      <c r="M489" s="4" t="s">
        <v>1010</v>
      </c>
      <c r="N489" s="3" t="s">
        <v>63</v>
      </c>
      <c r="O489" s="3" t="s">
        <v>1008</v>
      </c>
      <c r="P489" s="3" t="s">
        <v>1009</v>
      </c>
      <c r="Q489" s="3">
        <v>74</v>
      </c>
      <c r="T489" s="3">
        <v>18</v>
      </c>
      <c r="V489" s="3" t="s">
        <v>1918</v>
      </c>
      <c r="W489" s="4" t="s">
        <v>1012</v>
      </c>
      <c r="X489" s="3" t="s">
        <v>21</v>
      </c>
      <c r="Y489" cm="1">
        <f t="array" ref="Y489">SUM(IF(INT($M$2:$M$594)&amp;" "&amp;$K$2:$K$594=INT($M489)&amp;" "&amp;$K489,1,0))</f>
        <v>1</v>
      </c>
      <c r="Z489" cm="1">
        <f t="array" ref="Z489">SUM(IF(ROUND($M$2:$M$594,0)&amp;" "&amp;$K$2:$K$594=ROUND($M489,0)&amp;" "&amp;$K489,1,0))</f>
        <v>1</v>
      </c>
      <c r="AA489" cm="1">
        <f t="array" ref="AA489">SUM(IF($W$2:$W$594=$W489,1,0))</f>
        <v>1</v>
      </c>
    </row>
    <row r="490" spans="1:27" x14ac:dyDescent="0.25">
      <c r="B490" t="s">
        <v>1573</v>
      </c>
      <c r="C490" t="s">
        <v>1739</v>
      </c>
      <c r="D490" t="s">
        <v>1716</v>
      </c>
      <c r="E490">
        <v>5</v>
      </c>
      <c r="F490" t="str">
        <f t="shared" si="7"/>
        <v>11/2</v>
      </c>
      <c r="G490" s="1" t="s">
        <v>1013</v>
      </c>
      <c r="I490" s="3" t="s">
        <v>63</v>
      </c>
      <c r="K490" s="3" t="s">
        <v>22</v>
      </c>
      <c r="L490" s="4" t="s">
        <v>1013</v>
      </c>
      <c r="M490" s="4" t="s">
        <v>1013</v>
      </c>
      <c r="N490" s="3" t="s">
        <v>63</v>
      </c>
      <c r="O490" s="3" t="s">
        <v>1008</v>
      </c>
      <c r="P490" s="3" t="s">
        <v>1009</v>
      </c>
      <c r="Q490" s="3">
        <v>96</v>
      </c>
      <c r="W490" s="4" t="s">
        <v>1014</v>
      </c>
      <c r="X490" s="3" t="s">
        <v>21</v>
      </c>
      <c r="Y490" cm="1">
        <f t="array" ref="Y490">SUM(IF(INT($M$2:$M$594)&amp;" "&amp;$K$2:$K$594=INT($M490)&amp;" "&amp;$K490,1,0))</f>
        <v>1</v>
      </c>
      <c r="Z490" cm="1">
        <f t="array" ref="Z490">SUM(IF(ROUND($M$2:$M$594,0)&amp;" "&amp;$K$2:$K$594=ROUND($M490,0)&amp;" "&amp;$K490,1,0))</f>
        <v>1</v>
      </c>
      <c r="AA490" cm="1">
        <f t="array" ref="AA490">SUM(IF($W$2:$W$594=$W490,1,0))</f>
        <v>1</v>
      </c>
    </row>
    <row r="491" spans="1:27" x14ac:dyDescent="0.25">
      <c r="B491" t="s">
        <v>1573</v>
      </c>
      <c r="C491" t="s">
        <v>1739</v>
      </c>
      <c r="D491" t="s">
        <v>1716</v>
      </c>
      <c r="E491">
        <v>7</v>
      </c>
      <c r="F491" t="str">
        <f t="shared" si="7"/>
        <v>15/2</v>
      </c>
      <c r="G491" s="1" t="s">
        <v>1015</v>
      </c>
      <c r="I491" s="3" t="s">
        <v>63</v>
      </c>
      <c r="K491" s="3" t="s">
        <v>30</v>
      </c>
      <c r="L491" s="4" t="s">
        <v>1015</v>
      </c>
      <c r="M491" s="4" t="s">
        <v>1015</v>
      </c>
      <c r="N491" s="3" t="s">
        <v>63</v>
      </c>
      <c r="O491" s="3" t="s">
        <v>1008</v>
      </c>
      <c r="P491" s="3" t="s">
        <v>1009</v>
      </c>
      <c r="Q491" s="3">
        <v>95</v>
      </c>
      <c r="W491" s="4" t="s">
        <v>1016</v>
      </c>
      <c r="X491" s="3" t="s">
        <v>21</v>
      </c>
      <c r="Y491" cm="1">
        <f t="array" ref="Y491">SUM(IF(INT($M$2:$M$594)&amp;" "&amp;$K$2:$K$594=INT($M491)&amp;" "&amp;$K491,1,0))</f>
        <v>1</v>
      </c>
      <c r="Z491" cm="1">
        <f t="array" ref="Z491">SUM(IF(ROUND($M$2:$M$594,0)&amp;" "&amp;$K$2:$K$594=ROUND($M491,0)&amp;" "&amp;$K491,1,0))</f>
        <v>1</v>
      </c>
      <c r="AA491" cm="1">
        <f t="array" ref="AA491">SUM(IF($W$2:$W$594=$W491,1,0))</f>
        <v>1</v>
      </c>
    </row>
    <row r="492" spans="1:27" x14ac:dyDescent="0.25">
      <c r="B492" t="s">
        <v>1573</v>
      </c>
      <c r="C492" t="s">
        <v>1739</v>
      </c>
      <c r="D492" t="s">
        <v>1716</v>
      </c>
      <c r="E492">
        <v>6</v>
      </c>
      <c r="F492" t="str">
        <f t="shared" si="7"/>
        <v>13/2</v>
      </c>
      <c r="G492" s="1" t="s">
        <v>1017</v>
      </c>
      <c r="I492" s="3" t="s">
        <v>63</v>
      </c>
      <c r="K492" s="3" t="s">
        <v>26</v>
      </c>
      <c r="L492" s="4" t="s">
        <v>1017</v>
      </c>
      <c r="M492" s="4" t="s">
        <v>1017</v>
      </c>
      <c r="N492" s="3" t="s">
        <v>63</v>
      </c>
      <c r="O492" s="3" t="s">
        <v>1008</v>
      </c>
      <c r="P492" s="3" t="s">
        <v>1009</v>
      </c>
      <c r="Q492" s="3">
        <v>48</v>
      </c>
      <c r="T492" s="3">
        <v>39</v>
      </c>
      <c r="V492" s="3" t="s">
        <v>1918</v>
      </c>
      <c r="W492" s="4" t="s">
        <v>1019</v>
      </c>
      <c r="X492" s="3" t="s">
        <v>21</v>
      </c>
      <c r="Y492" cm="1">
        <f t="array" ref="Y492">SUM(IF(INT($M$2:$M$594)&amp;" "&amp;$K$2:$K$594=INT($M492)&amp;" "&amp;$K492,1,0))</f>
        <v>1</v>
      </c>
      <c r="Z492" cm="1">
        <f t="array" ref="Z492">SUM(IF(ROUND($M$2:$M$594,0)&amp;" "&amp;$K$2:$K$594=ROUND($M492,0)&amp;" "&amp;$K492,1,0))</f>
        <v>1</v>
      </c>
      <c r="AA492" cm="1">
        <f t="array" ref="AA492">SUM(IF($W$2:$W$594=$W492,1,0))</f>
        <v>1</v>
      </c>
    </row>
    <row r="493" spans="1:27" x14ac:dyDescent="0.25">
      <c r="B493" t="s">
        <v>1573</v>
      </c>
      <c r="C493" t="s">
        <v>1739</v>
      </c>
      <c r="D493" t="s">
        <v>1716</v>
      </c>
      <c r="E493">
        <v>3</v>
      </c>
      <c r="F493" t="str">
        <f t="shared" si="7"/>
        <v>7/2</v>
      </c>
      <c r="G493" s="1" t="s">
        <v>1020</v>
      </c>
      <c r="I493" s="3" t="s">
        <v>63</v>
      </c>
      <c r="K493" s="3" t="s">
        <v>47</v>
      </c>
      <c r="L493" s="4" t="s">
        <v>1020</v>
      </c>
      <c r="M493" s="4" t="s">
        <v>1020</v>
      </c>
      <c r="N493" s="3" t="s">
        <v>63</v>
      </c>
      <c r="O493" s="3" t="s">
        <v>1008</v>
      </c>
      <c r="P493" s="3" t="s">
        <v>1009</v>
      </c>
      <c r="Q493" s="3">
        <v>95</v>
      </c>
      <c r="W493" s="4" t="s">
        <v>1021</v>
      </c>
      <c r="X493" s="3" t="s">
        <v>21</v>
      </c>
      <c r="Y493" cm="1">
        <f t="array" ref="Y493">SUM(IF(INT($M$2:$M$594)&amp;" "&amp;$K$2:$K$594=INT($M493)&amp;" "&amp;$K493,1,0))</f>
        <v>1</v>
      </c>
      <c r="Z493" cm="1">
        <f t="array" ref="Z493">SUM(IF(ROUND($M$2:$M$594,0)&amp;" "&amp;$K$2:$K$594=ROUND($M493,0)&amp;" "&amp;$K493,1,0))</f>
        <v>1</v>
      </c>
      <c r="AA493" cm="1">
        <f t="array" ref="AA493">SUM(IF($W$2:$W$594=$W493,1,0))</f>
        <v>1</v>
      </c>
    </row>
    <row r="494" spans="1:27" x14ac:dyDescent="0.25">
      <c r="A494" t="s">
        <v>1664</v>
      </c>
      <c r="B494" t="s">
        <v>1573</v>
      </c>
      <c r="C494" t="s">
        <v>1739</v>
      </c>
      <c r="D494" t="s">
        <v>1716</v>
      </c>
      <c r="E494">
        <v>2</v>
      </c>
      <c r="F494" t="str">
        <f t="shared" si="7"/>
        <v>5/2</v>
      </c>
      <c r="G494" s="1" t="s">
        <v>1574</v>
      </c>
      <c r="I494" s="3" t="s">
        <v>63</v>
      </c>
      <c r="K494" s="3" t="s">
        <v>43</v>
      </c>
      <c r="M494" s="4" t="s">
        <v>1574</v>
      </c>
      <c r="N494" s="3" t="s">
        <v>63</v>
      </c>
      <c r="O494" s="3" t="s">
        <v>1773</v>
      </c>
      <c r="W494" s="5" t="s">
        <v>2043</v>
      </c>
      <c r="X494" s="3" t="s">
        <v>1757</v>
      </c>
      <c r="Y494" cm="1">
        <f t="array" ref="Y494">SUM(IF(INT($M$2:$M$594)&amp;" "&amp;$K$2:$K$594=INT($M494)&amp;" "&amp;$K494,1,0))</f>
        <v>1</v>
      </c>
      <c r="Z494" cm="1">
        <f t="array" ref="Z494">SUM(IF(ROUND($M$2:$M$594,0)&amp;" "&amp;$K$2:$K$594=ROUND($M494,0)&amp;" "&amp;$K494,1,0))</f>
        <v>1</v>
      </c>
      <c r="AA494" cm="1">
        <f t="array" ref="AA494">SUM(IF($W$2:$W$594=$W494,1,0))</f>
        <v>1</v>
      </c>
    </row>
    <row r="495" spans="1:27" x14ac:dyDescent="0.25">
      <c r="B495" t="s">
        <v>1575</v>
      </c>
      <c r="C495" t="s">
        <v>1738</v>
      </c>
      <c r="D495" t="s">
        <v>1717</v>
      </c>
      <c r="E495">
        <v>6</v>
      </c>
      <c r="F495" t="str">
        <f t="shared" si="7"/>
        <v>13/2</v>
      </c>
      <c r="G495" s="1" t="s">
        <v>1023</v>
      </c>
      <c r="I495" s="3" t="s">
        <v>63</v>
      </c>
      <c r="K495" s="3" t="s">
        <v>26</v>
      </c>
      <c r="L495" s="4" t="s">
        <v>1023</v>
      </c>
      <c r="M495" s="4" t="s">
        <v>1023</v>
      </c>
      <c r="N495" s="3" t="s">
        <v>63</v>
      </c>
      <c r="O495" s="3" t="s">
        <v>1022</v>
      </c>
      <c r="P495" s="3" t="s">
        <v>384</v>
      </c>
      <c r="W495" s="4" t="s">
        <v>1024</v>
      </c>
      <c r="X495" s="3" t="s">
        <v>21</v>
      </c>
      <c r="Y495" cm="1">
        <f t="array" ref="Y495">SUM(IF(INT($M$2:$M$594)&amp;" "&amp;$K$2:$K$594=INT($M495)&amp;" "&amp;$K495,1,0))</f>
        <v>1</v>
      </c>
      <c r="Z495" cm="1">
        <f t="array" ref="Z495">SUM(IF(ROUND($M$2:$M$594,0)&amp;" "&amp;$K$2:$K$594=ROUND($M495,0)&amp;" "&amp;$K495,1,0))</f>
        <v>1</v>
      </c>
      <c r="AA495" cm="1">
        <f t="array" ref="AA495">SUM(IF($W$2:$W$594=$W495,1,0))</f>
        <v>1</v>
      </c>
    </row>
    <row r="496" spans="1:27" x14ac:dyDescent="0.25">
      <c r="B496" t="s">
        <v>1575</v>
      </c>
      <c r="C496" t="s">
        <v>1738</v>
      </c>
      <c r="D496" t="s">
        <v>1717</v>
      </c>
      <c r="E496">
        <v>5</v>
      </c>
      <c r="F496" t="str">
        <f t="shared" si="7"/>
        <v>11/2</v>
      </c>
      <c r="G496" s="1" t="s">
        <v>1025</v>
      </c>
      <c r="I496" s="3" t="s">
        <v>63</v>
      </c>
      <c r="K496" s="3" t="s">
        <v>22</v>
      </c>
      <c r="L496" s="4" t="s">
        <v>1025</v>
      </c>
      <c r="M496" s="4" t="s">
        <v>1025</v>
      </c>
      <c r="N496" s="3" t="s">
        <v>63</v>
      </c>
      <c r="O496" s="3" t="s">
        <v>1022</v>
      </c>
      <c r="P496" s="3" t="s">
        <v>384</v>
      </c>
      <c r="W496" s="4" t="s">
        <v>1026</v>
      </c>
      <c r="X496" s="3" t="s">
        <v>21</v>
      </c>
      <c r="Y496" cm="1">
        <f t="array" ref="Y496">SUM(IF(INT($M$2:$M$594)&amp;" "&amp;$K$2:$K$594=INT($M496)&amp;" "&amp;$K496,1,0))</f>
        <v>1</v>
      </c>
      <c r="Z496" cm="1">
        <f t="array" ref="Z496">SUM(IF(ROUND($M$2:$M$594,0)&amp;" "&amp;$K$2:$K$594=ROUND($M496,0)&amp;" "&amp;$K496,1,0))</f>
        <v>1</v>
      </c>
      <c r="AA496" cm="1">
        <f t="array" ref="AA496">SUM(IF($W$2:$W$594=$W496,1,0))</f>
        <v>1</v>
      </c>
    </row>
    <row r="497" spans="1:27" x14ac:dyDescent="0.25">
      <c r="B497" t="s">
        <v>1576</v>
      </c>
      <c r="C497" t="s">
        <v>1739</v>
      </c>
      <c r="D497" t="s">
        <v>1717</v>
      </c>
      <c r="E497">
        <v>5</v>
      </c>
      <c r="F497" t="str">
        <f t="shared" si="7"/>
        <v>11/2</v>
      </c>
      <c r="G497" s="1" t="s">
        <v>1029</v>
      </c>
      <c r="I497" s="3" t="s">
        <v>63</v>
      </c>
      <c r="K497" s="3" t="s">
        <v>22</v>
      </c>
      <c r="L497" s="4" t="s">
        <v>1029</v>
      </c>
      <c r="M497" s="4" t="s">
        <v>1029</v>
      </c>
      <c r="N497" s="3" t="s">
        <v>63</v>
      </c>
      <c r="O497" s="3" t="s">
        <v>1027</v>
      </c>
      <c r="P497" s="3" t="s">
        <v>1028</v>
      </c>
      <c r="Q497" s="3">
        <v>93</v>
      </c>
      <c r="W497" s="4" t="s">
        <v>1030</v>
      </c>
      <c r="X497" s="3" t="s">
        <v>21</v>
      </c>
      <c r="Y497" cm="1">
        <f t="array" ref="Y497">SUM(IF(INT($M$2:$M$594)&amp;" "&amp;$K$2:$K$594=INT($M497)&amp;" "&amp;$K497,1,0))</f>
        <v>1</v>
      </c>
      <c r="Z497" cm="1">
        <f t="array" ref="Z497">SUM(IF(ROUND($M$2:$M$594,0)&amp;" "&amp;$K$2:$K$594=ROUND($M497,0)&amp;" "&amp;$K497,1,0))</f>
        <v>1</v>
      </c>
      <c r="AA497" cm="1">
        <f t="array" ref="AA497">SUM(IF($W$2:$W$594=$W497,1,0))</f>
        <v>1</v>
      </c>
    </row>
    <row r="498" spans="1:27" x14ac:dyDescent="0.25">
      <c r="B498" t="s">
        <v>1576</v>
      </c>
      <c r="C498" t="s">
        <v>1739</v>
      </c>
      <c r="D498" t="s">
        <v>1717</v>
      </c>
      <c r="E498">
        <v>6</v>
      </c>
      <c r="F498" t="str">
        <f t="shared" si="7"/>
        <v>13/2</v>
      </c>
      <c r="G498" s="1" t="s">
        <v>1031</v>
      </c>
      <c r="I498" s="3" t="s">
        <v>63</v>
      </c>
      <c r="K498" s="3" t="s">
        <v>26</v>
      </c>
      <c r="L498" s="4" t="s">
        <v>1031</v>
      </c>
      <c r="M498" s="4" t="s">
        <v>1031</v>
      </c>
      <c r="N498" s="3" t="s">
        <v>63</v>
      </c>
      <c r="O498" s="3" t="s">
        <v>1027</v>
      </c>
      <c r="P498" s="3" t="s">
        <v>1028</v>
      </c>
      <c r="Q498" s="3">
        <v>86</v>
      </c>
      <c r="T498" s="3">
        <v>13</v>
      </c>
      <c r="V498" s="3" t="s">
        <v>1920</v>
      </c>
      <c r="W498" s="4" t="s">
        <v>1033</v>
      </c>
      <c r="X498" s="3" t="s">
        <v>21</v>
      </c>
      <c r="Y498" cm="1">
        <f t="array" ref="Y498">SUM(IF(INT($M$2:$M$594)&amp;" "&amp;$K$2:$K$594=INT($M498)&amp;" "&amp;$K498,1,0))</f>
        <v>1</v>
      </c>
      <c r="Z498" cm="1">
        <f t="array" ref="Z498">SUM(IF(ROUND($M$2:$M$594,0)&amp;" "&amp;$K$2:$K$594=ROUND($M498,0)&amp;" "&amp;$K498,1,0))</f>
        <v>1</v>
      </c>
      <c r="AA498" cm="1">
        <f t="array" ref="AA498">SUM(IF($W$2:$W$594=$W498,1,0))</f>
        <v>1</v>
      </c>
    </row>
    <row r="499" spans="1:27" x14ac:dyDescent="0.25">
      <c r="B499" t="s">
        <v>1576</v>
      </c>
      <c r="C499" t="s">
        <v>1739</v>
      </c>
      <c r="D499" t="s">
        <v>1717</v>
      </c>
      <c r="E499">
        <v>7</v>
      </c>
      <c r="F499" t="str">
        <f t="shared" si="7"/>
        <v>15/2</v>
      </c>
      <c r="G499" s="1" t="s">
        <v>1036</v>
      </c>
      <c r="I499" s="3" t="s">
        <v>63</v>
      </c>
      <c r="K499" s="3" t="s">
        <v>30</v>
      </c>
      <c r="L499" s="4" t="s">
        <v>1036</v>
      </c>
      <c r="M499" s="4" t="s">
        <v>1036</v>
      </c>
      <c r="N499" s="3" t="s">
        <v>63</v>
      </c>
      <c r="O499" s="3" t="s">
        <v>1034</v>
      </c>
      <c r="P499" s="3" t="s">
        <v>1035</v>
      </c>
      <c r="Q499" s="3">
        <v>57</v>
      </c>
      <c r="T499" s="3">
        <v>42</v>
      </c>
      <c r="V499" s="3" t="s">
        <v>1921</v>
      </c>
      <c r="W499" s="4" t="s">
        <v>1038</v>
      </c>
      <c r="X499" s="3" t="s">
        <v>21</v>
      </c>
      <c r="Y499" cm="1">
        <f t="array" ref="Y499">SUM(IF(INT($M$2:$M$594)&amp;" "&amp;$K$2:$K$594=INT($M499)&amp;" "&amp;$K499,1,0))</f>
        <v>1</v>
      </c>
      <c r="Z499" cm="1">
        <f t="array" ref="Z499">SUM(IF(ROUND($M$2:$M$594,0)&amp;" "&amp;$K$2:$K$594=ROUND($M499,0)&amp;" "&amp;$K499,1,0))</f>
        <v>1</v>
      </c>
      <c r="AA499" cm="1">
        <f t="array" ref="AA499">SUM(IF($W$2:$W$594=$W499,1,0))</f>
        <v>1</v>
      </c>
    </row>
    <row r="500" spans="1:27" x14ac:dyDescent="0.25">
      <c r="A500" t="s">
        <v>1664</v>
      </c>
      <c r="B500" t="s">
        <v>1681</v>
      </c>
      <c r="C500" t="s">
        <v>1738</v>
      </c>
      <c r="D500" t="s">
        <v>1718</v>
      </c>
      <c r="E500">
        <v>1</v>
      </c>
      <c r="F500" t="str">
        <f t="shared" si="7"/>
        <v>3/2</v>
      </c>
      <c r="G500" s="1" t="s">
        <v>1577</v>
      </c>
      <c r="I500" s="3" t="s">
        <v>63</v>
      </c>
      <c r="K500" s="3" t="s">
        <v>35</v>
      </c>
      <c r="M500" s="4" t="s">
        <v>1577</v>
      </c>
      <c r="N500" s="3" t="s">
        <v>63</v>
      </c>
      <c r="O500" s="3" t="s">
        <v>1774</v>
      </c>
      <c r="P500" s="3" t="s">
        <v>388</v>
      </c>
      <c r="W500" s="5" t="s">
        <v>2044</v>
      </c>
      <c r="X500" s="3" t="s">
        <v>1757</v>
      </c>
      <c r="Y500" cm="1">
        <f t="array" ref="Y500">SUM(IF(INT($M$2:$M$594)&amp;" "&amp;$K$2:$K$594=INT($M500)&amp;" "&amp;$K500,1,0))</f>
        <v>1</v>
      </c>
      <c r="Z500" cm="1">
        <f t="array" ref="Z500">SUM(IF(ROUND($M$2:$M$594,0)&amp;" "&amp;$K$2:$K$594=ROUND($M500,0)&amp;" "&amp;$K500,1,0))</f>
        <v>1</v>
      </c>
      <c r="AA500" cm="1">
        <f t="array" ref="AA500">SUM(IF($W$2:$W$594=$W500,1,0))</f>
        <v>1</v>
      </c>
    </row>
    <row r="501" spans="1:27" x14ac:dyDescent="0.25">
      <c r="A501" t="s">
        <v>1664</v>
      </c>
      <c r="B501" t="s">
        <v>1681</v>
      </c>
      <c r="C501" t="s">
        <v>1738</v>
      </c>
      <c r="D501" t="s">
        <v>1718</v>
      </c>
      <c r="E501">
        <v>2</v>
      </c>
      <c r="F501" t="str">
        <f t="shared" si="7"/>
        <v>5/2</v>
      </c>
      <c r="G501" s="1" t="s">
        <v>1578</v>
      </c>
      <c r="I501" s="3" t="s">
        <v>63</v>
      </c>
      <c r="K501" s="3" t="s">
        <v>43</v>
      </c>
      <c r="M501" s="4" t="s">
        <v>1578</v>
      </c>
      <c r="N501" s="3" t="s">
        <v>63</v>
      </c>
      <c r="O501" s="3" t="s">
        <v>1774</v>
      </c>
      <c r="P501" s="3" t="s">
        <v>388</v>
      </c>
      <c r="W501" s="5" t="s">
        <v>2045</v>
      </c>
      <c r="X501" s="3" t="s">
        <v>1757</v>
      </c>
      <c r="Y501" cm="1">
        <f t="array" ref="Y501">SUM(IF(INT($M$2:$M$594)&amp;" "&amp;$K$2:$K$594=INT($M501)&amp;" "&amp;$K501,1,0))</f>
        <v>1</v>
      </c>
      <c r="Z501" cm="1">
        <f t="array" ref="Z501">SUM(IF(ROUND($M$2:$M$594,0)&amp;" "&amp;$K$2:$K$594=ROUND($M501,0)&amp;" "&amp;$K501,1,0))</f>
        <v>1</v>
      </c>
      <c r="AA501" cm="1">
        <f t="array" ref="AA501">SUM(IF($W$2:$W$594=$W501,1,0))</f>
        <v>1</v>
      </c>
    </row>
    <row r="502" spans="1:27" x14ac:dyDescent="0.25">
      <c r="B502" t="s">
        <v>1576</v>
      </c>
      <c r="C502" t="s">
        <v>1739</v>
      </c>
      <c r="D502" t="s">
        <v>1717</v>
      </c>
      <c r="E502">
        <v>5</v>
      </c>
      <c r="F502" t="str">
        <f t="shared" si="7"/>
        <v>11/2</v>
      </c>
      <c r="G502" s="1" t="s">
        <v>1039</v>
      </c>
      <c r="I502" s="3" t="s">
        <v>63</v>
      </c>
      <c r="K502" s="3" t="s">
        <v>22</v>
      </c>
      <c r="L502" s="4" t="s">
        <v>1039</v>
      </c>
      <c r="M502" s="4" t="s">
        <v>1039</v>
      </c>
      <c r="N502" s="3" t="s">
        <v>63</v>
      </c>
      <c r="O502" s="3" t="s">
        <v>1034</v>
      </c>
      <c r="P502" s="3" t="s">
        <v>1035</v>
      </c>
      <c r="Q502" s="3">
        <v>82</v>
      </c>
      <c r="W502" s="4" t="s">
        <v>1041</v>
      </c>
      <c r="X502" s="3" t="s">
        <v>21</v>
      </c>
      <c r="Y502" cm="1">
        <f t="array" ref="Y502">SUM(IF(INT($M$2:$M$594)&amp;" "&amp;$K$2:$K$594=INT($M502)&amp;" "&amp;$K502,1,0))</f>
        <v>1</v>
      </c>
      <c r="Z502" cm="1">
        <f t="array" ref="Z502">SUM(IF(ROUND($M$2:$M$594,0)&amp;" "&amp;$K$2:$K$594=ROUND($M502,0)&amp;" "&amp;$K502,1,0))</f>
        <v>1</v>
      </c>
      <c r="AA502" cm="1">
        <f t="array" ref="AA502">SUM(IF($W$2:$W$594=$W502,1,0))</f>
        <v>1</v>
      </c>
    </row>
    <row r="503" spans="1:27" x14ac:dyDescent="0.25">
      <c r="A503" t="s">
        <v>1664</v>
      </c>
      <c r="B503" t="s">
        <v>1576</v>
      </c>
      <c r="C503" t="s">
        <v>1739</v>
      </c>
      <c r="D503" t="s">
        <v>1717</v>
      </c>
      <c r="E503">
        <v>8</v>
      </c>
      <c r="F503" t="str">
        <f t="shared" si="7"/>
        <v>17/2</v>
      </c>
      <c r="G503" s="1" t="s">
        <v>1579</v>
      </c>
      <c r="I503" s="3" t="s">
        <v>63</v>
      </c>
      <c r="K503" s="3" t="s">
        <v>164</v>
      </c>
      <c r="M503" s="4" t="s">
        <v>1579</v>
      </c>
      <c r="N503" s="3" t="s">
        <v>63</v>
      </c>
      <c r="O503" s="3" t="s">
        <v>1034</v>
      </c>
      <c r="P503" s="3" t="s">
        <v>1035</v>
      </c>
      <c r="W503" s="5" t="s">
        <v>2046</v>
      </c>
      <c r="X503" s="3" t="s">
        <v>1757</v>
      </c>
      <c r="Y503" cm="1">
        <f t="array" ref="Y503">SUM(IF(INT($M$2:$M$594)&amp;" "&amp;$K$2:$K$594=INT($M503)&amp;" "&amp;$K503,1,0))</f>
        <v>1</v>
      </c>
      <c r="Z503" cm="1">
        <f t="array" ref="Z503">SUM(IF(ROUND($M$2:$M$594,0)&amp;" "&amp;$K$2:$K$594=ROUND($M503,0)&amp;" "&amp;$K503,1,0))</f>
        <v>1</v>
      </c>
      <c r="AA503" cm="1">
        <f t="array" ref="AA503">SUM(IF($W$2:$W$594=$W503,1,0))</f>
        <v>1</v>
      </c>
    </row>
    <row r="504" spans="1:27" x14ac:dyDescent="0.25">
      <c r="A504" t="s">
        <v>1664</v>
      </c>
      <c r="B504" t="s">
        <v>1682</v>
      </c>
      <c r="C504" t="s">
        <v>1739</v>
      </c>
      <c r="D504" t="s">
        <v>1718</v>
      </c>
      <c r="E504">
        <v>3</v>
      </c>
      <c r="F504" t="str">
        <f t="shared" si="7"/>
        <v>7/2</v>
      </c>
      <c r="G504" s="1" t="s">
        <v>1580</v>
      </c>
      <c r="I504" s="3" t="s">
        <v>63</v>
      </c>
      <c r="K504" s="3" t="s">
        <v>47</v>
      </c>
      <c r="M504" s="4" t="s">
        <v>1580</v>
      </c>
      <c r="N504" s="3" t="s">
        <v>63</v>
      </c>
      <c r="O504" s="3" t="s">
        <v>1775</v>
      </c>
      <c r="W504" s="5" t="s">
        <v>2047</v>
      </c>
      <c r="X504" s="3" t="s">
        <v>1757</v>
      </c>
      <c r="Y504" cm="1">
        <f t="array" ref="Y504">SUM(IF(INT($M$2:$M$594)&amp;" "&amp;$K$2:$K$594=INT($M504)&amp;" "&amp;$K504,1,0))</f>
        <v>1</v>
      </c>
      <c r="Z504" cm="1">
        <f t="array" ref="Z504">SUM(IF(ROUND($M$2:$M$594,0)&amp;" "&amp;$K$2:$K$594=ROUND($M504,0)&amp;" "&amp;$K504,1,0))</f>
        <v>1</v>
      </c>
      <c r="AA504" cm="1">
        <f t="array" ref="AA504">SUM(IF($W$2:$W$594=$W504,1,0))</f>
        <v>1</v>
      </c>
    </row>
    <row r="505" spans="1:27" x14ac:dyDescent="0.25">
      <c r="B505" t="s">
        <v>1576</v>
      </c>
      <c r="C505" t="s">
        <v>1739</v>
      </c>
      <c r="D505" t="s">
        <v>1717</v>
      </c>
      <c r="E505">
        <v>4</v>
      </c>
      <c r="F505" t="str">
        <f t="shared" si="7"/>
        <v>9/2</v>
      </c>
      <c r="G505" s="1" t="s">
        <v>1042</v>
      </c>
      <c r="I505" s="3" t="s">
        <v>63</v>
      </c>
      <c r="K505" s="3" t="s">
        <v>14</v>
      </c>
      <c r="L505" s="4" t="s">
        <v>1042</v>
      </c>
      <c r="M505" s="4" t="s">
        <v>1042</v>
      </c>
      <c r="N505" s="3" t="s">
        <v>63</v>
      </c>
      <c r="O505" s="3" t="s">
        <v>1027</v>
      </c>
      <c r="P505" s="3" t="s">
        <v>1028</v>
      </c>
      <c r="Q505" s="3">
        <v>96</v>
      </c>
      <c r="W505" s="4" t="s">
        <v>1043</v>
      </c>
      <c r="X505" s="3" t="s">
        <v>21</v>
      </c>
      <c r="Y505" cm="1">
        <f t="array" ref="Y505">SUM(IF(INT($M$2:$M$594)&amp;" "&amp;$K$2:$K$594=INT($M505)&amp;" "&amp;$K505,1,0))</f>
        <v>1</v>
      </c>
      <c r="Z505" cm="1">
        <f t="array" ref="Z505">SUM(IF(ROUND($M$2:$M$594,0)&amp;" "&amp;$K$2:$K$594=ROUND($M505,0)&amp;" "&amp;$K505,1,0))</f>
        <v>1</v>
      </c>
      <c r="AA505" cm="1">
        <f t="array" ref="AA505">SUM(IF($W$2:$W$594=$W505,1,0))</f>
        <v>1</v>
      </c>
    </row>
    <row r="506" spans="1:27" x14ac:dyDescent="0.25">
      <c r="B506" t="s">
        <v>1576</v>
      </c>
      <c r="C506" t="s">
        <v>1739</v>
      </c>
      <c r="D506" t="s">
        <v>1717</v>
      </c>
      <c r="E506">
        <v>6</v>
      </c>
      <c r="F506" t="str">
        <f t="shared" si="7"/>
        <v>13/2</v>
      </c>
      <c r="G506" s="1" t="s">
        <v>1044</v>
      </c>
      <c r="I506" s="3" t="s">
        <v>63</v>
      </c>
      <c r="K506" s="3" t="s">
        <v>26</v>
      </c>
      <c r="L506" s="4" t="s">
        <v>1044</v>
      </c>
      <c r="M506" s="4" t="s">
        <v>1044</v>
      </c>
      <c r="N506" s="3" t="s">
        <v>63</v>
      </c>
      <c r="O506" s="3" t="s">
        <v>1034</v>
      </c>
      <c r="P506" s="3" t="s">
        <v>1035</v>
      </c>
      <c r="Q506" s="3">
        <v>85</v>
      </c>
      <c r="T506" s="3">
        <v>12</v>
      </c>
      <c r="V506" s="3" t="s">
        <v>1921</v>
      </c>
      <c r="W506" s="4" t="s">
        <v>1046</v>
      </c>
      <c r="X506" s="3" t="s">
        <v>21</v>
      </c>
      <c r="Y506" cm="1">
        <f t="array" ref="Y506">SUM(IF(INT($M$2:$M$594)&amp;" "&amp;$K$2:$K$594=INT($M506)&amp;" "&amp;$K506,1,0))</f>
        <v>1</v>
      </c>
      <c r="Z506" cm="1">
        <f t="array" ref="Z506">SUM(IF(ROUND($M$2:$M$594,0)&amp;" "&amp;$K$2:$K$594=ROUND($M506,0)&amp;" "&amp;$K506,1,0))</f>
        <v>1</v>
      </c>
      <c r="AA506" cm="1">
        <f t="array" ref="AA506">SUM(IF($W$2:$W$594=$W506,1,0))</f>
        <v>1</v>
      </c>
    </row>
    <row r="507" spans="1:27" x14ac:dyDescent="0.25">
      <c r="A507" t="s">
        <v>1664</v>
      </c>
      <c r="B507" t="s">
        <v>1576</v>
      </c>
      <c r="C507" t="s">
        <v>1739</v>
      </c>
      <c r="D507" t="s">
        <v>1717</v>
      </c>
      <c r="E507">
        <v>4</v>
      </c>
      <c r="F507" t="str">
        <f t="shared" si="7"/>
        <v>9/2</v>
      </c>
      <c r="G507" s="1" t="s">
        <v>1581</v>
      </c>
      <c r="I507" s="3" t="s">
        <v>63</v>
      </c>
      <c r="K507" s="3" t="s">
        <v>14</v>
      </c>
      <c r="M507" s="4" t="s">
        <v>1581</v>
      </c>
      <c r="N507" s="3" t="s">
        <v>63</v>
      </c>
      <c r="O507" s="3" t="s">
        <v>1776</v>
      </c>
      <c r="W507" s="5" t="s">
        <v>2048</v>
      </c>
      <c r="X507" s="3" t="s">
        <v>1757</v>
      </c>
      <c r="Y507" cm="1">
        <f t="array" ref="Y507">SUM(IF(INT($M$2:$M$594)&amp;" "&amp;$K$2:$K$594=INT($M507)&amp;" "&amp;$K507,1,0))</f>
        <v>1</v>
      </c>
      <c r="Z507" cm="1">
        <f t="array" ref="Z507">SUM(IF(ROUND($M$2:$M$594,0)&amp;" "&amp;$K$2:$K$594=ROUND($M507,0)&amp;" "&amp;$K507,1,0))</f>
        <v>1</v>
      </c>
      <c r="AA507" cm="1">
        <f t="array" ref="AA507">SUM(IF($W$2:$W$594=$W507,1,0))</f>
        <v>1</v>
      </c>
    </row>
    <row r="508" spans="1:27" x14ac:dyDescent="0.25">
      <c r="A508" t="s">
        <v>1664</v>
      </c>
      <c r="B508" t="s">
        <v>1576</v>
      </c>
      <c r="C508" t="s">
        <v>1739</v>
      </c>
      <c r="D508" t="s">
        <v>1717</v>
      </c>
      <c r="E508">
        <v>3</v>
      </c>
      <c r="F508" t="str">
        <f t="shared" si="7"/>
        <v>7/2</v>
      </c>
      <c r="G508" s="1" t="s">
        <v>1582</v>
      </c>
      <c r="I508" s="3" t="s">
        <v>63</v>
      </c>
      <c r="K508" s="3" t="s">
        <v>47</v>
      </c>
      <c r="M508" s="4" t="s">
        <v>1582</v>
      </c>
      <c r="N508" s="3" t="s">
        <v>63</v>
      </c>
      <c r="O508" s="3" t="s">
        <v>1776</v>
      </c>
      <c r="W508" s="5" t="s">
        <v>2049</v>
      </c>
      <c r="X508" s="3" t="s">
        <v>1757</v>
      </c>
      <c r="Y508" cm="1">
        <f t="array" ref="Y508">SUM(IF(INT($M$2:$M$594)&amp;" "&amp;$K$2:$K$594=INT($M508)&amp;" "&amp;$K508,1,0))</f>
        <v>1</v>
      </c>
      <c r="Z508" cm="1">
        <f t="array" ref="Z508">SUM(IF(ROUND($M$2:$M$594,0)&amp;" "&amp;$K$2:$K$594=ROUND($M508,0)&amp;" "&amp;$K508,1,0))</f>
        <v>1</v>
      </c>
      <c r="AA508" cm="1">
        <f t="array" ref="AA508">SUM(IF($W$2:$W$594=$W508,1,0))</f>
        <v>1</v>
      </c>
    </row>
    <row r="509" spans="1:27" x14ac:dyDescent="0.25">
      <c r="A509" t="s">
        <v>1664</v>
      </c>
      <c r="B509" t="s">
        <v>1682</v>
      </c>
      <c r="C509" t="s">
        <v>1739</v>
      </c>
      <c r="D509" t="s">
        <v>1718</v>
      </c>
      <c r="E509">
        <v>4</v>
      </c>
      <c r="F509" t="str">
        <f t="shared" si="7"/>
        <v>9/2</v>
      </c>
      <c r="G509" s="1" t="s">
        <v>1583</v>
      </c>
      <c r="I509" s="3" t="s">
        <v>63</v>
      </c>
      <c r="K509" s="3" t="s">
        <v>14</v>
      </c>
      <c r="M509" s="4" t="s">
        <v>1583</v>
      </c>
      <c r="N509" s="3" t="s">
        <v>63</v>
      </c>
      <c r="O509" s="3" t="s">
        <v>1775</v>
      </c>
      <c r="W509" s="5" t="s">
        <v>2050</v>
      </c>
      <c r="X509" s="3" t="s">
        <v>1757</v>
      </c>
      <c r="Y509" cm="1">
        <f t="array" ref="Y509">SUM(IF(INT($M$2:$M$594)&amp;" "&amp;$K$2:$K$594=INT($M509)&amp;" "&amp;$K509,1,0))</f>
        <v>1</v>
      </c>
      <c r="Z509" cm="1">
        <f t="array" ref="Z509">SUM(IF(ROUND($M$2:$M$594,0)&amp;" "&amp;$K$2:$K$594=ROUND($M509,0)&amp;" "&amp;$K509,1,0))</f>
        <v>1</v>
      </c>
      <c r="AA509" cm="1">
        <f t="array" ref="AA509">SUM(IF($W$2:$W$594=$W509,1,0))</f>
        <v>1</v>
      </c>
    </row>
    <row r="510" spans="1:27" x14ac:dyDescent="0.25">
      <c r="A510" t="s">
        <v>1664</v>
      </c>
      <c r="B510" t="s">
        <v>1682</v>
      </c>
      <c r="C510" t="s">
        <v>1739</v>
      </c>
      <c r="D510" t="s">
        <v>1718</v>
      </c>
      <c r="E510">
        <v>2</v>
      </c>
      <c r="F510" t="str">
        <f t="shared" si="7"/>
        <v>5/2</v>
      </c>
      <c r="G510" s="1" t="s">
        <v>1584</v>
      </c>
      <c r="I510" s="3" t="s">
        <v>63</v>
      </c>
      <c r="K510" s="3" t="s">
        <v>43</v>
      </c>
      <c r="M510" s="4" t="s">
        <v>1584</v>
      </c>
      <c r="N510" s="3" t="s">
        <v>63</v>
      </c>
      <c r="O510" s="3" t="s">
        <v>1775</v>
      </c>
      <c r="W510" s="5" t="s">
        <v>2051</v>
      </c>
      <c r="X510" s="3" t="s">
        <v>1757</v>
      </c>
      <c r="Y510" cm="1">
        <f t="array" ref="Y510">SUM(IF(INT($M$2:$M$594)&amp;" "&amp;$K$2:$K$594=INT($M510)&amp;" "&amp;$K510,1,0))</f>
        <v>1</v>
      </c>
      <c r="Z510" cm="1">
        <f t="array" ref="Z510">SUM(IF(ROUND($M$2:$M$594,0)&amp;" "&amp;$K$2:$K$594=ROUND($M510,0)&amp;" "&amp;$K510,1,0))</f>
        <v>1</v>
      </c>
      <c r="AA510" cm="1">
        <f t="array" ref="AA510">SUM(IF($W$2:$W$594=$W510,1,0))</f>
        <v>1</v>
      </c>
    </row>
    <row r="511" spans="1:27" x14ac:dyDescent="0.25">
      <c r="A511" t="s">
        <v>1664</v>
      </c>
      <c r="B511" t="s">
        <v>1576</v>
      </c>
      <c r="C511" t="s">
        <v>1739</v>
      </c>
      <c r="D511" t="s">
        <v>1717</v>
      </c>
      <c r="E511">
        <v>7</v>
      </c>
      <c r="F511" t="str">
        <f t="shared" si="7"/>
        <v>15/2</v>
      </c>
      <c r="G511" s="1" t="s">
        <v>1585</v>
      </c>
      <c r="I511" s="3" t="s">
        <v>63</v>
      </c>
      <c r="K511" s="3" t="s">
        <v>30</v>
      </c>
      <c r="M511" s="4" t="s">
        <v>1585</v>
      </c>
      <c r="N511" s="3" t="s">
        <v>63</v>
      </c>
      <c r="O511" s="3" t="s">
        <v>1776</v>
      </c>
      <c r="W511" s="5" t="s">
        <v>2052</v>
      </c>
      <c r="X511" s="3" t="s">
        <v>1757</v>
      </c>
      <c r="Y511" cm="1">
        <f t="array" ref="Y511">SUM(IF(INT($M$2:$M$594)&amp;" "&amp;$K$2:$K$594=INT($M511)&amp;" "&amp;$K511,1,0))</f>
        <v>1</v>
      </c>
      <c r="Z511" cm="1">
        <f t="array" ref="Z511">SUM(IF(ROUND($M$2:$M$594,0)&amp;" "&amp;$K$2:$K$594=ROUND($M511,0)&amp;" "&amp;$K511,1,0))</f>
        <v>1</v>
      </c>
      <c r="AA511" cm="1">
        <f t="array" ref="AA511">SUM(IF($W$2:$W$594=$W511,1,0))</f>
        <v>1</v>
      </c>
    </row>
    <row r="512" spans="1:27" x14ac:dyDescent="0.25">
      <c r="A512" t="s">
        <v>1664</v>
      </c>
      <c r="B512" t="s">
        <v>1682</v>
      </c>
      <c r="C512" t="s">
        <v>1739</v>
      </c>
      <c r="D512" t="s">
        <v>1718</v>
      </c>
      <c r="E512">
        <v>3</v>
      </c>
      <c r="F512" t="str">
        <f t="shared" si="7"/>
        <v>7/2</v>
      </c>
      <c r="G512" s="1" t="s">
        <v>1586</v>
      </c>
      <c r="I512" s="3" t="s">
        <v>63</v>
      </c>
      <c r="K512" s="3" t="s">
        <v>47</v>
      </c>
      <c r="M512" s="4" t="s">
        <v>1586</v>
      </c>
      <c r="N512" s="3" t="s">
        <v>63</v>
      </c>
      <c r="O512" s="3" t="s">
        <v>1775</v>
      </c>
      <c r="W512" s="5" t="s">
        <v>2053</v>
      </c>
      <c r="X512" s="3" t="s">
        <v>1757</v>
      </c>
      <c r="Y512" cm="1">
        <f t="array" ref="Y512">SUM(IF(INT($M$2:$M$594)&amp;" "&amp;$K$2:$K$594=INT($M512)&amp;" "&amp;$K512,1,0))</f>
        <v>1</v>
      </c>
      <c r="Z512" cm="1">
        <f t="array" ref="Z512">SUM(IF(ROUND($M$2:$M$594,0)&amp;" "&amp;$K$2:$K$594=ROUND($M512,0)&amp;" "&amp;$K512,1,0))</f>
        <v>1</v>
      </c>
      <c r="AA512" cm="1">
        <f t="array" ref="AA512">SUM(IF($W$2:$W$594=$W512,1,0))</f>
        <v>1</v>
      </c>
    </row>
    <row r="513" spans="1:27" x14ac:dyDescent="0.25">
      <c r="B513" t="s">
        <v>1587</v>
      </c>
      <c r="C513" t="s">
        <v>1738</v>
      </c>
      <c r="D513" t="s">
        <v>1719</v>
      </c>
      <c r="E513">
        <v>3</v>
      </c>
      <c r="F513" t="str">
        <f t="shared" si="7"/>
        <v>7/2</v>
      </c>
      <c r="G513" s="1" t="s">
        <v>1048</v>
      </c>
      <c r="I513" s="3" t="s">
        <v>63</v>
      </c>
      <c r="K513" s="3" t="s">
        <v>47</v>
      </c>
      <c r="L513" s="4" t="s">
        <v>1048</v>
      </c>
      <c r="M513" s="4" t="s">
        <v>1048</v>
      </c>
      <c r="N513" s="3" t="s">
        <v>63</v>
      </c>
      <c r="O513" s="3" t="s">
        <v>1047</v>
      </c>
      <c r="P513" s="3" t="s">
        <v>403</v>
      </c>
      <c r="W513" s="4" t="s">
        <v>1049</v>
      </c>
      <c r="X513" s="3" t="s">
        <v>21</v>
      </c>
      <c r="Y513" cm="1">
        <f t="array" ref="Y513">SUM(IF(INT($M$2:$M$594)&amp;" "&amp;$K$2:$K$594=INT($M513)&amp;" "&amp;$K513,1,0))</f>
        <v>1</v>
      </c>
      <c r="Z513" cm="1">
        <f t="array" ref="Z513">SUM(IF(ROUND($M$2:$M$594,0)&amp;" "&amp;$K$2:$K$594=ROUND($M513,0)&amp;" "&amp;$K513,1,0))</f>
        <v>1</v>
      </c>
      <c r="AA513" cm="1">
        <f t="array" ref="AA513">SUM(IF($W$2:$W$594=$W513,1,0))</f>
        <v>1</v>
      </c>
    </row>
    <row r="514" spans="1:27" x14ac:dyDescent="0.25">
      <c r="B514" t="s">
        <v>1587</v>
      </c>
      <c r="C514" t="s">
        <v>1738</v>
      </c>
      <c r="D514" t="s">
        <v>1719</v>
      </c>
      <c r="E514">
        <v>2</v>
      </c>
      <c r="F514" t="str">
        <f t="shared" si="7"/>
        <v>5/2</v>
      </c>
      <c r="G514" s="1" t="s">
        <v>1050</v>
      </c>
      <c r="I514" s="3" t="s">
        <v>63</v>
      </c>
      <c r="K514" s="3" t="s">
        <v>43</v>
      </c>
      <c r="L514" s="4" t="s">
        <v>1050</v>
      </c>
      <c r="M514" s="4" t="s">
        <v>1050</v>
      </c>
      <c r="N514" s="3" t="s">
        <v>63</v>
      </c>
      <c r="O514" s="3" t="s">
        <v>1047</v>
      </c>
      <c r="P514" s="3" t="s">
        <v>403</v>
      </c>
      <c r="W514" s="4" t="s">
        <v>1051</v>
      </c>
      <c r="X514" s="3" t="s">
        <v>21</v>
      </c>
      <c r="Y514" cm="1">
        <f t="array" ref="Y514">SUM(IF(INT($M$2:$M$594)&amp;" "&amp;$K$2:$K$594=INT($M514)&amp;" "&amp;$K514,1,0))</f>
        <v>1</v>
      </c>
      <c r="Z514" cm="1">
        <f t="array" ref="Z514">SUM(IF(ROUND($M$2:$M$594,0)&amp;" "&amp;$K$2:$K$594=ROUND($M514,0)&amp;" "&amp;$K514,1,0))</f>
        <v>1</v>
      </c>
      <c r="AA514" cm="1">
        <f t="array" ref="AA514">SUM(IF($W$2:$W$594=$W514,1,0))</f>
        <v>1</v>
      </c>
    </row>
    <row r="515" spans="1:27" x14ac:dyDescent="0.25">
      <c r="B515" t="s">
        <v>1588</v>
      </c>
      <c r="C515" t="s">
        <v>1738</v>
      </c>
      <c r="D515" t="s">
        <v>1720</v>
      </c>
      <c r="E515">
        <v>4</v>
      </c>
      <c r="F515" t="str">
        <f t="shared" si="7"/>
        <v>9/2</v>
      </c>
      <c r="G515" s="1" t="s">
        <v>1053</v>
      </c>
      <c r="I515" s="3" t="s">
        <v>63</v>
      </c>
      <c r="K515" s="3" t="s">
        <v>14</v>
      </c>
      <c r="L515" s="4" t="s">
        <v>1053</v>
      </c>
      <c r="M515" s="4" t="s">
        <v>1053</v>
      </c>
      <c r="N515" s="3" t="s">
        <v>63</v>
      </c>
      <c r="O515" s="3" t="s">
        <v>1052</v>
      </c>
      <c r="P515" s="3" t="s">
        <v>335</v>
      </c>
      <c r="W515" s="4" t="s">
        <v>1054</v>
      </c>
      <c r="X515" s="3" t="s">
        <v>21</v>
      </c>
      <c r="Y515" cm="1">
        <f t="array" ref="Y515">SUM(IF(INT($M$2:$M$594)&amp;" "&amp;$K$2:$K$594=INT($M515)&amp;" "&amp;$K515,1,0))</f>
        <v>1</v>
      </c>
      <c r="Z515" cm="1">
        <f t="array" ref="Z515">SUM(IF(ROUND($M$2:$M$594,0)&amp;" "&amp;$K$2:$K$594=ROUND($M515,0)&amp;" "&amp;$K515,1,0))</f>
        <v>1</v>
      </c>
      <c r="AA515" cm="1">
        <f t="array" ref="AA515">SUM(IF($W$2:$W$594=$W515,1,0))</f>
        <v>1</v>
      </c>
    </row>
    <row r="516" spans="1:27" x14ac:dyDescent="0.25">
      <c r="A516" t="s">
        <v>1664</v>
      </c>
      <c r="B516" t="s">
        <v>1592</v>
      </c>
      <c r="C516" t="s">
        <v>1739</v>
      </c>
      <c r="D516" t="s">
        <v>1719</v>
      </c>
      <c r="E516">
        <v>4</v>
      </c>
      <c r="F516" t="str">
        <f t="shared" ref="F516:F582" si="8">(2*E516+1)&amp;"/2"</f>
        <v>9/2</v>
      </c>
      <c r="G516" s="1" t="s">
        <v>1589</v>
      </c>
      <c r="I516" s="3" t="s">
        <v>63</v>
      </c>
      <c r="K516" s="3" t="s">
        <v>14</v>
      </c>
      <c r="M516" s="4" t="s">
        <v>1589</v>
      </c>
      <c r="N516" s="3" t="s">
        <v>63</v>
      </c>
      <c r="O516" s="3" t="s">
        <v>1777</v>
      </c>
      <c r="W516" s="5" t="s">
        <v>2054</v>
      </c>
      <c r="X516" s="3" t="s">
        <v>1757</v>
      </c>
      <c r="Y516" cm="1">
        <f t="array" ref="Y516">SUM(IF(INT($M$2:$M$594)&amp;" "&amp;$K$2:$K$594=INT($M516)&amp;" "&amp;$K516,1,0))</f>
        <v>1</v>
      </c>
      <c r="Z516" cm="1">
        <f t="array" ref="Z516">SUM(IF(ROUND($M$2:$M$594,0)&amp;" "&amp;$K$2:$K$594=ROUND($M516,0)&amp;" "&amp;$K516,1,0))</f>
        <v>1</v>
      </c>
      <c r="AA516" cm="1">
        <f t="array" ref="AA516">SUM(IF($W$2:$W$594=$W516,1,0))</f>
        <v>1</v>
      </c>
    </row>
    <row r="517" spans="1:27" x14ac:dyDescent="0.25">
      <c r="A517" t="s">
        <v>1664</v>
      </c>
      <c r="B517" t="s">
        <v>1588</v>
      </c>
      <c r="C517" t="s">
        <v>1738</v>
      </c>
      <c r="D517" t="s">
        <v>1720</v>
      </c>
      <c r="E517">
        <v>3</v>
      </c>
      <c r="F517" s="2" t="str">
        <f t="shared" si="8"/>
        <v>7/2</v>
      </c>
      <c r="G517" s="6" t="s">
        <v>1590</v>
      </c>
      <c r="I517" s="3" t="s">
        <v>63</v>
      </c>
      <c r="K517" s="7" t="s">
        <v>47</v>
      </c>
      <c r="M517" s="5" t="s">
        <v>2126</v>
      </c>
      <c r="N517" s="3" t="s">
        <v>63</v>
      </c>
      <c r="O517" s="3" t="s">
        <v>1778</v>
      </c>
      <c r="P517" s="3" t="s">
        <v>335</v>
      </c>
      <c r="S517" s="3" t="s">
        <v>1801</v>
      </c>
      <c r="U517" s="3" t="s">
        <v>2127</v>
      </c>
      <c r="V517" s="3" t="s">
        <v>351</v>
      </c>
      <c r="W517" s="5" t="s">
        <v>2055</v>
      </c>
      <c r="X517" s="3" t="s">
        <v>1757</v>
      </c>
      <c r="Y517" cm="1">
        <f t="array" ref="Y517">SUM(IF(INT($M$2:$M$594)&amp;" "&amp;$K$2:$K$594=INT($M517)&amp;" "&amp;$K517,1,0))</f>
        <v>1</v>
      </c>
      <c r="Z517" cm="1">
        <f t="array" ref="Z517">SUM(IF(ROUND($M$2:$M$594,0)&amp;" "&amp;$K$2:$K$594=ROUND($M517,0)&amp;" "&amp;$K517,1,0))</f>
        <v>1</v>
      </c>
      <c r="AA517" cm="1">
        <f t="array" ref="AA517">SUM(IF($W$2:$W$594=$W517,1,0))</f>
        <v>1</v>
      </c>
    </row>
    <row r="518" spans="1:27" x14ac:dyDescent="0.25">
      <c r="A518" t="s">
        <v>1664</v>
      </c>
      <c r="B518" t="s">
        <v>1592</v>
      </c>
      <c r="C518" t="s">
        <v>1739</v>
      </c>
      <c r="D518" t="s">
        <v>1719</v>
      </c>
      <c r="E518">
        <v>3</v>
      </c>
      <c r="F518" s="2" t="str">
        <f t="shared" si="8"/>
        <v>7/2</v>
      </c>
      <c r="G518" s="1" t="s">
        <v>1591</v>
      </c>
      <c r="I518" s="3" t="s">
        <v>63</v>
      </c>
      <c r="K518" s="5" t="s">
        <v>43</v>
      </c>
      <c r="M518" s="4" t="s">
        <v>1591</v>
      </c>
      <c r="N518" s="3" t="s">
        <v>63</v>
      </c>
      <c r="O518" s="3" t="s">
        <v>1777</v>
      </c>
      <c r="S518" s="3" t="s">
        <v>1801</v>
      </c>
      <c r="U518" s="3" t="s">
        <v>2128</v>
      </c>
      <c r="V518" s="3" t="s">
        <v>173</v>
      </c>
      <c r="W518" s="5" t="s">
        <v>2056</v>
      </c>
      <c r="X518" s="3" t="s">
        <v>1757</v>
      </c>
      <c r="Y518" cm="1">
        <f t="array" ref="Y518">SUM(IF(INT($M$2:$M$594)&amp;" "&amp;$K$2:$K$594=INT($M518)&amp;" "&amp;$K518,1,0))</f>
        <v>1</v>
      </c>
      <c r="Z518" cm="1">
        <f t="array" ref="Z518">SUM(IF(ROUND($M$2:$M$594,0)&amp;" "&amp;$K$2:$K$594=ROUND($M518,0)&amp;" "&amp;$K518,1,0))</f>
        <v>1</v>
      </c>
      <c r="AA518" cm="1">
        <f t="array" ref="AA518">SUM(IF($W$2:$W$594=$W518,1,0))</f>
        <v>1</v>
      </c>
    </row>
    <row r="519" spans="1:27" x14ac:dyDescent="0.25">
      <c r="B519" t="s">
        <v>1592</v>
      </c>
      <c r="C519" t="s">
        <v>1739</v>
      </c>
      <c r="D519" t="s">
        <v>1719</v>
      </c>
      <c r="E519">
        <v>3</v>
      </c>
      <c r="F519" t="str">
        <f t="shared" si="8"/>
        <v>7/2</v>
      </c>
      <c r="G519" s="1" t="s">
        <v>1057</v>
      </c>
      <c r="I519" s="3" t="s">
        <v>63</v>
      </c>
      <c r="K519" s="3" t="s">
        <v>47</v>
      </c>
      <c r="L519" s="4" t="s">
        <v>1057</v>
      </c>
      <c r="M519" s="5" t="s">
        <v>1057</v>
      </c>
      <c r="N519" s="3" t="s">
        <v>63</v>
      </c>
      <c r="O519" s="3" t="s">
        <v>1055</v>
      </c>
      <c r="P519" s="3" t="s">
        <v>1056</v>
      </c>
      <c r="Q519" s="3">
        <v>64</v>
      </c>
      <c r="T519" s="3">
        <v>8</v>
      </c>
      <c r="V519" s="3" t="s">
        <v>1922</v>
      </c>
      <c r="W519" s="4" t="s">
        <v>1059</v>
      </c>
      <c r="X519" s="3" t="s">
        <v>21</v>
      </c>
      <c r="Y519" cm="1">
        <f t="array" ref="Y519">SUM(IF(INT($M$2:$M$594)&amp;" "&amp;$K$2:$K$594=INT($M519)&amp;" "&amp;$K519,1,0))</f>
        <v>1</v>
      </c>
      <c r="Z519" cm="1">
        <f t="array" ref="Z519">SUM(IF(ROUND($M$2:$M$594,0)&amp;" "&amp;$K$2:$K$594=ROUND($M519,0)&amp;" "&amp;$K519,1,0))</f>
        <v>1</v>
      </c>
      <c r="AA519" cm="1">
        <f t="array" ref="AA519">SUM(IF($W$2:$W$594=$W519,1,0))</f>
        <v>1</v>
      </c>
    </row>
    <row r="520" spans="1:27" x14ac:dyDescent="0.25">
      <c r="A520" t="s">
        <v>1664</v>
      </c>
      <c r="B520" t="s">
        <v>1592</v>
      </c>
      <c r="C520" t="s">
        <v>1739</v>
      </c>
      <c r="D520" t="s">
        <v>1719</v>
      </c>
      <c r="E520">
        <v>5</v>
      </c>
      <c r="F520" t="str">
        <f t="shared" si="8"/>
        <v>11/2</v>
      </c>
      <c r="G520" s="1" t="s">
        <v>1593</v>
      </c>
      <c r="I520" s="3" t="s">
        <v>63</v>
      </c>
      <c r="K520" s="3" t="s">
        <v>22</v>
      </c>
      <c r="M520" s="4" t="s">
        <v>1593</v>
      </c>
      <c r="N520" s="3" t="s">
        <v>63</v>
      </c>
      <c r="O520" s="3" t="s">
        <v>1777</v>
      </c>
      <c r="W520" s="5" t="s">
        <v>2057</v>
      </c>
      <c r="X520" s="3" t="s">
        <v>1757</v>
      </c>
      <c r="Y520" cm="1">
        <f t="array" ref="Y520">SUM(IF(INT($M$2:$M$594)&amp;" "&amp;$K$2:$K$594=INT($M520)&amp;" "&amp;$K520,1,0))</f>
        <v>1</v>
      </c>
      <c r="Z520" cm="1">
        <f t="array" ref="Z520">SUM(IF(ROUND($M$2:$M$594,0)&amp;" "&amp;$K$2:$K$594=ROUND($M520,0)&amp;" "&amp;$K520,1,0))</f>
        <v>1</v>
      </c>
      <c r="AA520" cm="1">
        <f t="array" ref="AA520">SUM(IF($W$2:$W$594=$W520,1,0))</f>
        <v>1</v>
      </c>
    </row>
    <row r="521" spans="1:27" x14ac:dyDescent="0.25">
      <c r="A521" t="s">
        <v>1664</v>
      </c>
      <c r="B521" t="s">
        <v>1595</v>
      </c>
      <c r="C521" t="s">
        <v>1739</v>
      </c>
      <c r="D521" t="s">
        <v>1720</v>
      </c>
      <c r="E521">
        <v>5</v>
      </c>
      <c r="F521" t="str">
        <f t="shared" si="8"/>
        <v>11/2</v>
      </c>
      <c r="G521" s="1" t="s">
        <v>1594</v>
      </c>
      <c r="I521" s="3" t="s">
        <v>63</v>
      </c>
      <c r="K521" s="3" t="s">
        <v>22</v>
      </c>
      <c r="M521" s="4" t="s">
        <v>1594</v>
      </c>
      <c r="N521" s="3" t="s">
        <v>63</v>
      </c>
      <c r="O521" s="3" t="s">
        <v>1779</v>
      </c>
      <c r="W521" s="5" t="s">
        <v>1948</v>
      </c>
      <c r="X521" s="3" t="s">
        <v>1757</v>
      </c>
      <c r="Y521" cm="1">
        <f t="array" ref="Y521">SUM(IF(INT($M$2:$M$594)&amp;" "&amp;$K$2:$K$594=INT($M521)&amp;" "&amp;$K521,1,0))</f>
        <v>1</v>
      </c>
      <c r="Z521" cm="1">
        <f t="array" ref="Z521">SUM(IF(ROUND($M$2:$M$594,0)&amp;" "&amp;$K$2:$K$594=ROUND($M521,0)&amp;" "&amp;$K521,1,0))</f>
        <v>1</v>
      </c>
      <c r="AA521" cm="1">
        <f t="array" ref="AA521">SUM(IF($W$2:$W$594=$W521,1,0))</f>
        <v>1</v>
      </c>
    </row>
    <row r="522" spans="1:27" x14ac:dyDescent="0.25">
      <c r="B522" t="s">
        <v>1595</v>
      </c>
      <c r="C522" t="s">
        <v>1739</v>
      </c>
      <c r="D522" t="s">
        <v>1720</v>
      </c>
      <c r="E522">
        <v>4</v>
      </c>
      <c r="F522" t="str">
        <f t="shared" si="8"/>
        <v>9/2</v>
      </c>
      <c r="G522" s="1" t="s">
        <v>1061</v>
      </c>
      <c r="I522" s="3" t="s">
        <v>63</v>
      </c>
      <c r="K522" s="3" t="s">
        <v>14</v>
      </c>
      <c r="L522" s="4" t="s">
        <v>1061</v>
      </c>
      <c r="M522" s="4" t="s">
        <v>1061</v>
      </c>
      <c r="N522" s="3" t="s">
        <v>63</v>
      </c>
      <c r="O522" s="3" t="s">
        <v>1060</v>
      </c>
      <c r="P522" s="3" t="s">
        <v>17</v>
      </c>
      <c r="Q522" s="3">
        <v>32</v>
      </c>
      <c r="R522" s="3" t="s">
        <v>965</v>
      </c>
      <c r="T522" s="3">
        <v>20</v>
      </c>
      <c r="V522" s="3" t="s">
        <v>1923</v>
      </c>
      <c r="W522" s="4" t="s">
        <v>1063</v>
      </c>
      <c r="X522" s="3" t="s">
        <v>21</v>
      </c>
      <c r="Y522" cm="1">
        <f t="array" ref="Y522">SUM(IF(INT($M$2:$M$594)&amp;" "&amp;$K$2:$K$594=INT($M522)&amp;" "&amp;$K522,1,0))</f>
        <v>1</v>
      </c>
      <c r="Z522" cm="1">
        <f t="array" ref="Z522">SUM(IF(ROUND($M$2:$M$594,0)&amp;" "&amp;$K$2:$K$594=ROUND($M522,0)&amp;" "&amp;$K522,1,0))</f>
        <v>1</v>
      </c>
      <c r="AA522" cm="1">
        <f t="array" ref="AA522">SUM(IF($W$2:$W$594=$W522,1,0))</f>
        <v>1</v>
      </c>
    </row>
    <row r="523" spans="1:27" x14ac:dyDescent="0.25">
      <c r="A523" t="s">
        <v>1664</v>
      </c>
      <c r="B523" t="s">
        <v>1595</v>
      </c>
      <c r="C523" t="s">
        <v>1739</v>
      </c>
      <c r="D523" t="s">
        <v>1720</v>
      </c>
      <c r="E523">
        <v>6</v>
      </c>
      <c r="F523" t="str">
        <f t="shared" si="8"/>
        <v>13/2</v>
      </c>
      <c r="G523" s="1" t="s">
        <v>1596</v>
      </c>
      <c r="I523" s="3" t="s">
        <v>63</v>
      </c>
      <c r="K523" s="3" t="s">
        <v>26</v>
      </c>
      <c r="M523" s="4" t="s">
        <v>1596</v>
      </c>
      <c r="N523" s="3" t="s">
        <v>63</v>
      </c>
      <c r="O523" s="3" t="s">
        <v>1779</v>
      </c>
      <c r="W523" s="5" t="s">
        <v>2058</v>
      </c>
      <c r="X523" s="3" t="s">
        <v>1757</v>
      </c>
      <c r="Y523" cm="1">
        <f t="array" ref="Y523">SUM(IF(INT($M$2:$M$594)&amp;" "&amp;$K$2:$K$594=INT($M523)&amp;" "&amp;$K523,1,0))</f>
        <v>1</v>
      </c>
      <c r="Z523" cm="1">
        <f t="array" ref="Z523">SUM(IF(ROUND($M$2:$M$594,0)&amp;" "&amp;$K$2:$K$594=ROUND($M523,0)&amp;" "&amp;$K523,1,0))</f>
        <v>1</v>
      </c>
      <c r="AA523" cm="1">
        <f t="array" ref="AA523">SUM(IF($W$2:$W$594=$W523,1,0))</f>
        <v>1</v>
      </c>
    </row>
    <row r="524" spans="1:27" x14ac:dyDescent="0.25">
      <c r="B524" t="s">
        <v>1595</v>
      </c>
      <c r="C524" t="s">
        <v>1739</v>
      </c>
      <c r="D524" t="s">
        <v>1720</v>
      </c>
      <c r="E524">
        <v>5</v>
      </c>
      <c r="F524" t="str">
        <f t="shared" si="8"/>
        <v>11/2</v>
      </c>
      <c r="G524" s="1" t="s">
        <v>1065</v>
      </c>
      <c r="I524" s="3" t="s">
        <v>63</v>
      </c>
      <c r="K524" s="3" t="s">
        <v>22</v>
      </c>
      <c r="L524" s="4" t="s">
        <v>1065</v>
      </c>
      <c r="M524" s="4" t="s">
        <v>1065</v>
      </c>
      <c r="N524" s="3" t="s">
        <v>63</v>
      </c>
      <c r="O524" s="3" t="s">
        <v>1064</v>
      </c>
      <c r="P524" s="3" t="s">
        <v>974</v>
      </c>
      <c r="Q524" s="3">
        <v>42</v>
      </c>
      <c r="T524" s="3">
        <v>21</v>
      </c>
      <c r="V524" s="3" t="s">
        <v>1924</v>
      </c>
      <c r="W524" s="4" t="s">
        <v>1067</v>
      </c>
      <c r="X524" s="3" t="s">
        <v>21</v>
      </c>
      <c r="Y524" cm="1">
        <f t="array" ref="Y524">SUM(IF(INT($M$2:$M$594)&amp;" "&amp;$K$2:$K$594=INT($M524)&amp;" "&amp;$K524,1,0))</f>
        <v>1</v>
      </c>
      <c r="Z524" cm="1">
        <f t="array" ref="Z524">SUM(IF(ROUND($M$2:$M$594,0)&amp;" "&amp;$K$2:$K$594=ROUND($M524,0)&amp;" "&amp;$K524,1,0))</f>
        <v>1</v>
      </c>
      <c r="AA524" cm="1">
        <f t="array" ref="AA524">SUM(IF($W$2:$W$594=$W524,1,0))</f>
        <v>1</v>
      </c>
    </row>
    <row r="525" spans="1:27" x14ac:dyDescent="0.25">
      <c r="A525" t="s">
        <v>1664</v>
      </c>
      <c r="B525" t="s">
        <v>1595</v>
      </c>
      <c r="C525" t="s">
        <v>1739</v>
      </c>
      <c r="D525" t="s">
        <v>1720</v>
      </c>
      <c r="E525">
        <v>4</v>
      </c>
      <c r="F525" t="str">
        <f t="shared" si="8"/>
        <v>9/2</v>
      </c>
      <c r="G525" s="1" t="s">
        <v>1597</v>
      </c>
      <c r="I525" s="3" t="s">
        <v>63</v>
      </c>
      <c r="K525" s="3" t="s">
        <v>14</v>
      </c>
      <c r="M525" s="4" t="s">
        <v>1597</v>
      </c>
      <c r="N525" s="3" t="s">
        <v>63</v>
      </c>
      <c r="O525" s="3" t="s">
        <v>1779</v>
      </c>
      <c r="W525" s="5" t="s">
        <v>2059</v>
      </c>
      <c r="X525" s="3" t="s">
        <v>1757</v>
      </c>
      <c r="Y525" cm="1">
        <f t="array" ref="Y525">SUM(IF(INT($M$2:$M$594)&amp;" "&amp;$K$2:$K$594=INT($M525)&amp;" "&amp;$K525,1,0))</f>
        <v>1</v>
      </c>
      <c r="Z525" cm="1">
        <f t="array" ref="Z525">SUM(IF(ROUND($M$2:$M$594,0)&amp;" "&amp;$K$2:$K$594=ROUND($M525,0)&amp;" "&amp;$K525,1,0))</f>
        <v>1</v>
      </c>
      <c r="AA525" cm="1">
        <f t="array" ref="AA525">SUM(IF($W$2:$W$594=$W525,1,0))</f>
        <v>1</v>
      </c>
    </row>
    <row r="526" spans="1:27" x14ac:dyDescent="0.25">
      <c r="A526" t="s">
        <v>1664</v>
      </c>
      <c r="B526" t="s">
        <v>1683</v>
      </c>
      <c r="C526" t="s">
        <v>1739</v>
      </c>
      <c r="D526" t="s">
        <v>1721</v>
      </c>
      <c r="E526">
        <v>5</v>
      </c>
      <c r="F526" t="str">
        <f t="shared" si="8"/>
        <v>11/2</v>
      </c>
      <c r="G526" s="1" t="s">
        <v>1598</v>
      </c>
      <c r="I526" s="3" t="s">
        <v>63</v>
      </c>
      <c r="K526" s="3" t="s">
        <v>22</v>
      </c>
      <c r="M526" s="4" t="s">
        <v>1598</v>
      </c>
      <c r="N526" s="3" t="s">
        <v>63</v>
      </c>
      <c r="O526" s="3" t="s">
        <v>1780</v>
      </c>
      <c r="W526" s="5" t="s">
        <v>2060</v>
      </c>
      <c r="X526" s="3" t="s">
        <v>1757</v>
      </c>
      <c r="Y526" cm="1">
        <f t="array" ref="Y526">SUM(IF(INT($M$2:$M$594)&amp;" "&amp;$K$2:$K$594=INT($M526)&amp;" "&amp;$K526,1,0))</f>
        <v>1</v>
      </c>
      <c r="Z526" cm="1">
        <f t="array" ref="Z526">SUM(IF(ROUND($M$2:$M$594,0)&amp;" "&amp;$K$2:$K$594=ROUND($M526,0)&amp;" "&amp;$K526,1,0))</f>
        <v>1</v>
      </c>
      <c r="AA526" cm="1">
        <f t="array" ref="AA526">SUM(IF($W$2:$W$594=$W526,1,0))</f>
        <v>1</v>
      </c>
    </row>
    <row r="527" spans="1:27" x14ac:dyDescent="0.25">
      <c r="A527" t="s">
        <v>1664</v>
      </c>
      <c r="B527" t="s">
        <v>1683</v>
      </c>
      <c r="C527" t="s">
        <v>1739</v>
      </c>
      <c r="D527" t="s">
        <v>1721</v>
      </c>
      <c r="E527">
        <v>6</v>
      </c>
      <c r="F527" t="str">
        <f t="shared" si="8"/>
        <v>13/2</v>
      </c>
      <c r="G527" s="1" t="s">
        <v>1599</v>
      </c>
      <c r="I527" s="3" t="s">
        <v>63</v>
      </c>
      <c r="K527" s="3" t="s">
        <v>26</v>
      </c>
      <c r="M527" s="4" t="s">
        <v>1599</v>
      </c>
      <c r="N527" s="3" t="s">
        <v>63</v>
      </c>
      <c r="O527" s="3" t="s">
        <v>1780</v>
      </c>
      <c r="W527" s="5" t="s">
        <v>2064</v>
      </c>
      <c r="X527" s="3" t="s">
        <v>1757</v>
      </c>
      <c r="Y527" cm="1">
        <f t="array" ref="Y527">SUM(IF(INT($M$2:$M$594)&amp;" "&amp;$K$2:$K$594=INT($M527)&amp;" "&amp;$K527,1,0))</f>
        <v>1</v>
      </c>
      <c r="Z527" cm="1">
        <f t="array" ref="Z527">SUM(IF(ROUND($M$2:$M$594,0)&amp;" "&amp;$K$2:$K$594=ROUND($M527,0)&amp;" "&amp;$K527,1,0))</f>
        <v>1</v>
      </c>
      <c r="AA527" cm="1">
        <f t="array" ref="AA527">SUM(IF($W$2:$W$594=$W527,1,0))</f>
        <v>1</v>
      </c>
    </row>
    <row r="528" spans="1:27" x14ac:dyDescent="0.25">
      <c r="A528" t="s">
        <v>1664</v>
      </c>
      <c r="B528" t="s">
        <v>1684</v>
      </c>
      <c r="C528" t="s">
        <v>1698</v>
      </c>
      <c r="D528" t="s">
        <v>1740</v>
      </c>
      <c r="F528" s="1" t="s">
        <v>14</v>
      </c>
      <c r="G528" s="1" t="s">
        <v>1790</v>
      </c>
      <c r="I528" s="3" t="s">
        <v>63</v>
      </c>
      <c r="K528" s="3" t="s">
        <v>14</v>
      </c>
      <c r="M528" s="4" t="s">
        <v>1790</v>
      </c>
      <c r="N528" s="3" t="s">
        <v>63</v>
      </c>
      <c r="O528" s="3" t="s">
        <v>1781</v>
      </c>
      <c r="W528" s="5" t="s">
        <v>1964</v>
      </c>
      <c r="X528" s="3" t="s">
        <v>1757</v>
      </c>
      <c r="Y528" cm="1">
        <f t="array" ref="Y528">SUM(IF(INT($M$2:$M$594)&amp;" "&amp;$K$2:$K$594=INT($M528)&amp;" "&amp;$K528,1,0))</f>
        <v>1</v>
      </c>
      <c r="Z528" cm="1">
        <f t="array" ref="Z528">SUM(IF(ROUND($M$2:$M$594,0)&amp;" "&amp;$K$2:$K$594=ROUND($M528,0)&amp;" "&amp;$K528,1,0))</f>
        <v>1</v>
      </c>
      <c r="AA528" cm="1">
        <f t="array" ref="AA528">SUM(IF($W$2:$W$594=$W528,1,0))</f>
        <v>1</v>
      </c>
    </row>
    <row r="529" spans="1:27" x14ac:dyDescent="0.25">
      <c r="A529" t="s">
        <v>1664</v>
      </c>
      <c r="B529" t="s">
        <v>1684</v>
      </c>
      <c r="C529" t="s">
        <v>1698</v>
      </c>
      <c r="D529" t="s">
        <v>1740</v>
      </c>
      <c r="F529" s="1" t="s">
        <v>47</v>
      </c>
      <c r="G529" s="1" t="s">
        <v>1789</v>
      </c>
      <c r="I529" s="3" t="s">
        <v>63</v>
      </c>
      <c r="K529" s="3" t="s">
        <v>47</v>
      </c>
      <c r="M529" s="4" t="s">
        <v>1789</v>
      </c>
      <c r="N529" s="3" t="s">
        <v>63</v>
      </c>
      <c r="O529" s="3" t="s">
        <v>1781</v>
      </c>
      <c r="W529" s="5" t="s">
        <v>2065</v>
      </c>
      <c r="X529" s="3" t="s">
        <v>1757</v>
      </c>
      <c r="Y529" cm="1">
        <f t="array" ref="Y529">SUM(IF(INT($M$2:$M$594)&amp;" "&amp;$K$2:$K$594=INT($M529)&amp;" "&amp;$K529,1,0))</f>
        <v>1</v>
      </c>
      <c r="Z529" cm="1">
        <f t="array" ref="Z529">SUM(IF(ROUND($M$2:$M$594,0)&amp;" "&amp;$K$2:$K$594=ROUND($M529,0)&amp;" "&amp;$K529,1,0))</f>
        <v>1</v>
      </c>
      <c r="AA529" cm="1">
        <f t="array" ref="AA529">SUM(IF($W$2:$W$594=$W529,1,0))</f>
        <v>1</v>
      </c>
    </row>
    <row r="530" spans="1:27" x14ac:dyDescent="0.25">
      <c r="A530" t="s">
        <v>1664</v>
      </c>
      <c r="B530" t="s">
        <v>1684</v>
      </c>
      <c r="C530" t="s">
        <v>1698</v>
      </c>
      <c r="D530" t="s">
        <v>1740</v>
      </c>
      <c r="E530">
        <v>4</v>
      </c>
      <c r="F530" t="str">
        <f t="shared" si="8"/>
        <v>9/2</v>
      </c>
      <c r="G530" s="1" t="s">
        <v>1600</v>
      </c>
      <c r="I530" s="3" t="s">
        <v>63</v>
      </c>
      <c r="K530" s="3" t="s">
        <v>14</v>
      </c>
      <c r="M530" s="4" t="s">
        <v>1600</v>
      </c>
      <c r="N530" s="3" t="s">
        <v>63</v>
      </c>
      <c r="O530" s="3" t="s">
        <v>1781</v>
      </c>
      <c r="W530" s="5" t="s">
        <v>2066</v>
      </c>
      <c r="X530" s="3" t="s">
        <v>1757</v>
      </c>
      <c r="Y530" cm="1">
        <f t="array" ref="Y530">SUM(IF(INT($M$2:$M$594)&amp;" "&amp;$K$2:$K$594=INT($M530)&amp;" "&amp;$K530,1,0))</f>
        <v>1</v>
      </c>
      <c r="Z530" cm="1">
        <f t="array" ref="Z530">SUM(IF(ROUND($M$2:$M$594,0)&amp;" "&amp;$K$2:$K$594=ROUND($M530,0)&amp;" "&amp;$K530,1,0))</f>
        <v>1</v>
      </c>
      <c r="AA530" cm="1">
        <f t="array" ref="AA530">SUM(IF($W$2:$W$594=$W530,1,0))</f>
        <v>1</v>
      </c>
    </row>
    <row r="531" spans="1:27" x14ac:dyDescent="0.25">
      <c r="A531" t="s">
        <v>1664</v>
      </c>
      <c r="B531" t="s">
        <v>1684</v>
      </c>
      <c r="C531" t="s">
        <v>1698</v>
      </c>
      <c r="D531" t="s">
        <v>1740</v>
      </c>
      <c r="E531">
        <v>5</v>
      </c>
      <c r="F531" t="str">
        <f t="shared" si="8"/>
        <v>11/2</v>
      </c>
      <c r="G531" s="1" t="s">
        <v>1601</v>
      </c>
      <c r="I531" s="3" t="s">
        <v>63</v>
      </c>
      <c r="K531" s="3" t="s">
        <v>22</v>
      </c>
      <c r="M531" s="4" t="s">
        <v>1601</v>
      </c>
      <c r="N531" s="3" t="s">
        <v>63</v>
      </c>
      <c r="O531" s="3" t="s">
        <v>1781</v>
      </c>
      <c r="W531" s="5" t="s">
        <v>2067</v>
      </c>
      <c r="X531" s="3" t="s">
        <v>1757</v>
      </c>
      <c r="Y531" cm="1">
        <f t="array" ref="Y531">SUM(IF(INT($M$2:$M$594)&amp;" "&amp;$K$2:$K$594=INT($M531)&amp;" "&amp;$K531,1,0))</f>
        <v>1</v>
      </c>
      <c r="Z531" cm="1">
        <f t="array" ref="Z531">SUM(IF(ROUND($M$2:$M$594,0)&amp;" "&amp;$K$2:$K$594=ROUND($M531,0)&amp;" "&amp;$K531,1,0))</f>
        <v>1</v>
      </c>
      <c r="AA531" cm="1">
        <f t="array" ref="AA531">SUM(IF($W$2:$W$594=$W531,1,0))</f>
        <v>1</v>
      </c>
    </row>
    <row r="532" spans="1:27" x14ac:dyDescent="0.25">
      <c r="A532" t="s">
        <v>1664</v>
      </c>
      <c r="B532" t="s">
        <v>1684</v>
      </c>
      <c r="C532" t="s">
        <v>1698</v>
      </c>
      <c r="D532" t="s">
        <v>1740</v>
      </c>
      <c r="E532">
        <v>6</v>
      </c>
      <c r="F532" t="str">
        <f t="shared" si="8"/>
        <v>13/2</v>
      </c>
      <c r="G532" s="1" t="s">
        <v>1602</v>
      </c>
      <c r="I532" s="3" t="s">
        <v>63</v>
      </c>
      <c r="K532" s="3" t="s">
        <v>26</v>
      </c>
      <c r="M532" s="4" t="s">
        <v>1602</v>
      </c>
      <c r="N532" s="3" t="s">
        <v>63</v>
      </c>
      <c r="O532" s="3" t="s">
        <v>1781</v>
      </c>
      <c r="W532" s="5" t="s">
        <v>2068</v>
      </c>
      <c r="X532" s="3" t="s">
        <v>1757</v>
      </c>
      <c r="Y532" cm="1">
        <f t="array" ref="Y532">SUM(IF(INT($M$2:$M$594)&amp;" "&amp;$K$2:$K$594=INT($M532)&amp;" "&amp;$K532,1,0))</f>
        <v>1</v>
      </c>
      <c r="Z532" cm="1">
        <f t="array" ref="Z532">SUM(IF(ROUND($M$2:$M$594,0)&amp;" "&amp;$K$2:$K$594=ROUND($M532,0)&amp;" "&amp;$K532,1,0))</f>
        <v>1</v>
      </c>
      <c r="AA532" cm="1">
        <f t="array" ref="AA532">SUM(IF($W$2:$W$594=$W532,1,0))</f>
        <v>1</v>
      </c>
    </row>
    <row r="533" spans="1:27" x14ac:dyDescent="0.25">
      <c r="A533" t="s">
        <v>1664</v>
      </c>
      <c r="B533" t="s">
        <v>1684</v>
      </c>
      <c r="C533" t="s">
        <v>1698</v>
      </c>
      <c r="D533" t="s">
        <v>1740</v>
      </c>
      <c r="E533">
        <v>6</v>
      </c>
      <c r="F533" t="str">
        <f t="shared" si="8"/>
        <v>13/2</v>
      </c>
      <c r="G533" s="1" t="s">
        <v>1603</v>
      </c>
      <c r="I533" s="3" t="s">
        <v>63</v>
      </c>
      <c r="K533" s="3" t="s">
        <v>26</v>
      </c>
      <c r="M533" s="4" t="s">
        <v>1603</v>
      </c>
      <c r="N533" s="3" t="s">
        <v>63</v>
      </c>
      <c r="O533" s="3" t="s">
        <v>1781</v>
      </c>
      <c r="W533" s="5" t="s">
        <v>2069</v>
      </c>
      <c r="X533" s="3" t="s">
        <v>1757</v>
      </c>
      <c r="Y533" cm="1">
        <f t="array" ref="Y533">SUM(IF(INT($M$2:$M$594)&amp;" "&amp;$K$2:$K$594=INT($M533)&amp;" "&amp;$K533,1,0))</f>
        <v>1</v>
      </c>
      <c r="Z533" cm="1">
        <f t="array" ref="Z533">SUM(IF(ROUND($M$2:$M$594,0)&amp;" "&amp;$K$2:$K$594=ROUND($M533,0)&amp;" "&amp;$K533,1,0))</f>
        <v>1</v>
      </c>
      <c r="AA533" cm="1">
        <f t="array" ref="AA533">SUM(IF($W$2:$W$594=$W533,1,0))</f>
        <v>1</v>
      </c>
    </row>
    <row r="534" spans="1:27" x14ac:dyDescent="0.25">
      <c r="A534" t="s">
        <v>1664</v>
      </c>
      <c r="B534" t="s">
        <v>1684</v>
      </c>
      <c r="C534" t="s">
        <v>1698</v>
      </c>
      <c r="D534" t="s">
        <v>1740</v>
      </c>
      <c r="E534">
        <v>7</v>
      </c>
      <c r="F534" t="str">
        <f t="shared" si="8"/>
        <v>15/2</v>
      </c>
      <c r="G534" s="1" t="s">
        <v>1604</v>
      </c>
      <c r="I534" s="3" t="s">
        <v>63</v>
      </c>
      <c r="K534" s="3" t="s">
        <v>30</v>
      </c>
      <c r="M534" s="4" t="s">
        <v>1604</v>
      </c>
      <c r="N534" s="3" t="s">
        <v>63</v>
      </c>
      <c r="O534" s="3" t="s">
        <v>1781</v>
      </c>
      <c r="W534" s="5" t="s">
        <v>2070</v>
      </c>
      <c r="X534" s="3" t="s">
        <v>1757</v>
      </c>
      <c r="Y534" cm="1">
        <f t="array" ref="Y534">SUM(IF(INT($M$2:$M$594)&amp;" "&amp;$K$2:$K$594=INT($M534)&amp;" "&amp;$K534,1,0))</f>
        <v>1</v>
      </c>
      <c r="Z534" cm="1">
        <f t="array" ref="Z534">SUM(IF(ROUND($M$2:$M$594,0)&amp;" "&amp;$K$2:$K$594=ROUND($M534,0)&amp;" "&amp;$K534,1,0))</f>
        <v>1</v>
      </c>
      <c r="AA534" cm="1">
        <f t="array" ref="AA534">SUM(IF($W$2:$W$594=$W534,1,0))</f>
        <v>1</v>
      </c>
    </row>
    <row r="535" spans="1:27" x14ac:dyDescent="0.25">
      <c r="A535" t="s">
        <v>1664</v>
      </c>
      <c r="B535" t="s">
        <v>1684</v>
      </c>
      <c r="C535" t="s">
        <v>1698</v>
      </c>
      <c r="D535" t="s">
        <v>1740</v>
      </c>
      <c r="E535">
        <v>5</v>
      </c>
      <c r="F535" t="str">
        <f t="shared" si="8"/>
        <v>11/2</v>
      </c>
      <c r="G535" s="1" t="s">
        <v>1605</v>
      </c>
      <c r="I535" s="3" t="s">
        <v>63</v>
      </c>
      <c r="K535" s="3" t="s">
        <v>22</v>
      </c>
      <c r="M535" s="4" t="s">
        <v>1605</v>
      </c>
      <c r="N535" s="3" t="s">
        <v>63</v>
      </c>
      <c r="O535" s="3" t="s">
        <v>1781</v>
      </c>
      <c r="W535" s="5" t="s">
        <v>2071</v>
      </c>
      <c r="X535" s="3" t="s">
        <v>1757</v>
      </c>
      <c r="Y535" cm="1">
        <f t="array" ref="Y535">SUM(IF(INT($M$2:$M$594)&amp;" "&amp;$K$2:$K$594=INT($M535)&amp;" "&amp;$K535,1,0))</f>
        <v>1</v>
      </c>
      <c r="Z535" cm="1">
        <f t="array" ref="Z535">SUM(IF(ROUND($M$2:$M$594,0)&amp;" "&amp;$K$2:$K$594=ROUND($M535,0)&amp;" "&amp;$K535,1,0))</f>
        <v>1</v>
      </c>
      <c r="AA535" cm="1">
        <f t="array" ref="AA535">SUM(IF($W$2:$W$594=$W535,1,0))</f>
        <v>1</v>
      </c>
    </row>
    <row r="536" spans="1:27" x14ac:dyDescent="0.25">
      <c r="A536" t="s">
        <v>1685</v>
      </c>
      <c r="B536" t="s">
        <v>1607</v>
      </c>
      <c r="C536" t="s">
        <v>1741</v>
      </c>
      <c r="D536" t="s">
        <v>1714</v>
      </c>
      <c r="E536">
        <v>3</v>
      </c>
      <c r="F536" t="str">
        <f t="shared" si="8"/>
        <v>7/2</v>
      </c>
      <c r="G536" s="1" t="s">
        <v>1606</v>
      </c>
      <c r="I536" s="3" t="s">
        <v>63</v>
      </c>
      <c r="J536" s="3" t="s">
        <v>1662</v>
      </c>
      <c r="K536" s="3" t="s">
        <v>47</v>
      </c>
      <c r="M536" s="4" t="s">
        <v>1606</v>
      </c>
      <c r="N536" s="3" t="s">
        <v>63</v>
      </c>
      <c r="O536" s="3" t="s">
        <v>1782</v>
      </c>
      <c r="P536" s="3" t="s">
        <v>335</v>
      </c>
      <c r="W536" s="5" t="s">
        <v>2072</v>
      </c>
      <c r="X536" s="3" t="s">
        <v>1757</v>
      </c>
      <c r="Y536" cm="1">
        <f t="array" ref="Y536">SUM(IF(INT($M$2:$M$594)&amp;" "&amp;$K$2:$K$594=INT($M536)&amp;" "&amp;$K536,1,0))</f>
        <v>1</v>
      </c>
      <c r="Z536" cm="1">
        <f t="array" ref="Z536">SUM(IF(ROUND($M$2:$M$594,0)&amp;" "&amp;$K$2:$K$594=ROUND($M536,0)&amp;" "&amp;$K536,1,0))</f>
        <v>1</v>
      </c>
      <c r="AA536" cm="1">
        <f t="array" ref="AA536">SUM(IF($W$2:$W$594=$W536,1,0))</f>
        <v>1</v>
      </c>
    </row>
    <row r="537" spans="1:27" x14ac:dyDescent="0.25">
      <c r="B537" t="s">
        <v>1607</v>
      </c>
      <c r="C537" t="s">
        <v>1741</v>
      </c>
      <c r="D537" t="s">
        <v>1714</v>
      </c>
      <c r="E537">
        <v>4</v>
      </c>
      <c r="F537" t="str">
        <f t="shared" si="8"/>
        <v>9/2</v>
      </c>
      <c r="G537" s="1" t="s">
        <v>1297</v>
      </c>
      <c r="I537" s="3" t="s">
        <v>63</v>
      </c>
      <c r="K537" s="3" t="s">
        <v>14</v>
      </c>
      <c r="L537" s="4" t="s">
        <v>1297</v>
      </c>
      <c r="M537" s="4" t="s">
        <v>1297</v>
      </c>
      <c r="N537" s="3" t="s">
        <v>63</v>
      </c>
      <c r="O537" s="3" t="s">
        <v>1296</v>
      </c>
      <c r="P537" s="3" t="s">
        <v>335</v>
      </c>
      <c r="W537" s="4" t="s">
        <v>1298</v>
      </c>
      <c r="X537" s="3" t="s">
        <v>21</v>
      </c>
      <c r="Y537" cm="1">
        <f t="array" ref="Y537">SUM(IF(INT($M$2:$M$594)&amp;" "&amp;$K$2:$K$594=INT($M537)&amp;" "&amp;$K537,1,0))</f>
        <v>1</v>
      </c>
      <c r="Z537" cm="1">
        <f t="array" ref="Z537">SUM(IF(ROUND($M$2:$M$594,0)&amp;" "&amp;$K$2:$K$594=ROUND($M537,0)&amp;" "&amp;$K537,1,0))</f>
        <v>1</v>
      </c>
      <c r="AA537" cm="1">
        <f t="array" ref="AA537">SUM(IF($W$2:$W$594=$W537,1,0))</f>
        <v>1</v>
      </c>
    </row>
    <row r="538" spans="1:27" x14ac:dyDescent="0.25">
      <c r="A538" t="s">
        <v>1664</v>
      </c>
      <c r="B538" t="s">
        <v>1686</v>
      </c>
      <c r="C538" t="s">
        <v>1742</v>
      </c>
      <c r="D538" t="s">
        <v>1714</v>
      </c>
      <c r="E538">
        <v>4</v>
      </c>
      <c r="F538" t="str">
        <f t="shared" si="8"/>
        <v>9/2</v>
      </c>
      <c r="G538" s="1" t="s">
        <v>1608</v>
      </c>
      <c r="I538" s="3" t="s">
        <v>63</v>
      </c>
      <c r="K538" s="3" t="s">
        <v>14</v>
      </c>
      <c r="M538" s="4" t="s">
        <v>1608</v>
      </c>
      <c r="N538" s="3" t="s">
        <v>63</v>
      </c>
      <c r="O538" s="3" t="s">
        <v>1783</v>
      </c>
      <c r="W538" s="5" t="s">
        <v>2062</v>
      </c>
      <c r="X538" s="3" t="s">
        <v>1757</v>
      </c>
      <c r="Y538" cm="1">
        <f t="array" ref="Y538">SUM(IF(INT($M$2:$M$594)&amp;" "&amp;$K$2:$K$594=INT($M538)&amp;" "&amp;$K538,1,0))</f>
        <v>1</v>
      </c>
      <c r="Z538" cm="1">
        <f t="array" ref="Z538">SUM(IF(ROUND($M$2:$M$594,0)&amp;" "&amp;$K$2:$K$594=ROUND($M538,0)&amp;" "&amp;$K538,1,0))</f>
        <v>1</v>
      </c>
      <c r="AA538" cm="1">
        <f t="array" ref="AA538">SUM(IF($W$2:$W$594=$W538,1,0))</f>
        <v>1</v>
      </c>
    </row>
    <row r="539" spans="1:27" x14ac:dyDescent="0.25">
      <c r="A539" t="s">
        <v>1664</v>
      </c>
      <c r="B539" t="s">
        <v>1686</v>
      </c>
      <c r="C539" t="s">
        <v>1742</v>
      </c>
      <c r="D539" t="s">
        <v>1714</v>
      </c>
      <c r="E539">
        <v>4</v>
      </c>
      <c r="F539" t="str">
        <f t="shared" si="8"/>
        <v>9/2</v>
      </c>
      <c r="G539" s="1" t="s">
        <v>1609</v>
      </c>
      <c r="I539" s="3" t="s">
        <v>63</v>
      </c>
      <c r="K539" s="3" t="s">
        <v>14</v>
      </c>
      <c r="M539" s="4" t="s">
        <v>1609</v>
      </c>
      <c r="N539" s="3" t="s">
        <v>63</v>
      </c>
      <c r="O539" s="3" t="s">
        <v>1783</v>
      </c>
      <c r="W539" s="5" t="s">
        <v>2063</v>
      </c>
      <c r="X539" s="3" t="s">
        <v>1757</v>
      </c>
      <c r="Y539" cm="1">
        <f t="array" ref="Y539">SUM(IF(INT($M$2:$M$594)&amp;" "&amp;$K$2:$K$594=INT($M539)&amp;" "&amp;$K539,1,0))</f>
        <v>1</v>
      </c>
      <c r="Z539" cm="1">
        <f t="array" ref="Z539">SUM(IF(ROUND($M$2:$M$594,0)&amp;" "&amp;$K$2:$K$594=ROUND($M539,0)&amp;" "&amp;$K539,1,0))</f>
        <v>1</v>
      </c>
      <c r="AA539" cm="1">
        <f t="array" ref="AA539">SUM(IF($W$2:$W$594=$W539,1,0))</f>
        <v>1</v>
      </c>
    </row>
    <row r="540" spans="1:27" x14ac:dyDescent="0.25">
      <c r="A540" t="s">
        <v>1664</v>
      </c>
      <c r="B540" t="s">
        <v>1686</v>
      </c>
      <c r="C540" t="s">
        <v>1742</v>
      </c>
      <c r="D540" t="s">
        <v>1714</v>
      </c>
      <c r="E540">
        <v>5</v>
      </c>
      <c r="F540" t="str">
        <f t="shared" si="8"/>
        <v>11/2</v>
      </c>
      <c r="G540" s="1" t="s">
        <v>1610</v>
      </c>
      <c r="I540" s="3" t="s">
        <v>63</v>
      </c>
      <c r="K540" s="3" t="s">
        <v>22</v>
      </c>
      <c r="M540" s="4" t="s">
        <v>1610</v>
      </c>
      <c r="N540" s="3" t="s">
        <v>63</v>
      </c>
      <c r="O540" s="3" t="s">
        <v>1783</v>
      </c>
      <c r="W540" s="5" t="s">
        <v>2073</v>
      </c>
      <c r="X540" s="3" t="s">
        <v>1757</v>
      </c>
      <c r="Y540" cm="1">
        <f t="array" ref="Y540">SUM(IF(INT($M$2:$M$594)&amp;" "&amp;$K$2:$K$594=INT($M540)&amp;" "&amp;$K540,1,0))</f>
        <v>1</v>
      </c>
      <c r="Z540" cm="1">
        <f t="array" ref="Z540">SUM(IF(ROUND($M$2:$M$594,0)&amp;" "&amp;$K$2:$K$594=ROUND($M540,0)&amp;" "&amp;$K540,1,0))</f>
        <v>1</v>
      </c>
      <c r="AA540" cm="1">
        <f t="array" ref="AA540">SUM(IF($W$2:$W$594=$W540,1,0))</f>
        <v>1</v>
      </c>
    </row>
    <row r="541" spans="1:27" x14ac:dyDescent="0.25">
      <c r="A541" t="s">
        <v>1685</v>
      </c>
      <c r="B541" t="s">
        <v>1686</v>
      </c>
      <c r="C541" t="s">
        <v>1742</v>
      </c>
      <c r="D541" t="s">
        <v>1714</v>
      </c>
      <c r="E541">
        <v>6</v>
      </c>
      <c r="F541" t="str">
        <f t="shared" si="8"/>
        <v>13/2</v>
      </c>
      <c r="G541" s="1" t="s">
        <v>1611</v>
      </c>
      <c r="I541" s="3" t="s">
        <v>63</v>
      </c>
      <c r="J541" s="3" t="s">
        <v>1662</v>
      </c>
      <c r="K541" s="3" t="s">
        <v>26</v>
      </c>
      <c r="M541" s="4" t="s">
        <v>1611</v>
      </c>
      <c r="N541" s="3" t="s">
        <v>63</v>
      </c>
      <c r="O541" s="3" t="s">
        <v>1783</v>
      </c>
      <c r="W541" s="5" t="s">
        <v>2074</v>
      </c>
      <c r="X541" s="3" t="s">
        <v>1757</v>
      </c>
      <c r="Y541" cm="1">
        <f t="array" ref="Y541">SUM(IF(INT($M$2:$M$594)&amp;" "&amp;$K$2:$K$594=INT($M541)&amp;" "&amp;$K541,1,0))</f>
        <v>1</v>
      </c>
      <c r="Z541" cm="1">
        <f t="array" ref="Z541">SUM(IF(ROUND($M$2:$M$594,0)&amp;" "&amp;$K$2:$K$594=ROUND($M541,0)&amp;" "&amp;$K541,1,0))</f>
        <v>1</v>
      </c>
      <c r="AA541" cm="1">
        <f t="array" ref="AA541">SUM(IF($W$2:$W$594=$W541,1,0))</f>
        <v>1</v>
      </c>
    </row>
    <row r="542" spans="1:27" x14ac:dyDescent="0.25">
      <c r="B542" t="s">
        <v>1612</v>
      </c>
      <c r="C542" t="s">
        <v>1741</v>
      </c>
      <c r="D542" t="s">
        <v>1716</v>
      </c>
      <c r="E542">
        <v>5</v>
      </c>
      <c r="F542" t="str">
        <f t="shared" si="8"/>
        <v>11/2</v>
      </c>
      <c r="G542" s="1" t="s">
        <v>1300</v>
      </c>
      <c r="I542" s="3" t="s">
        <v>63</v>
      </c>
      <c r="K542" s="3" t="s">
        <v>22</v>
      </c>
      <c r="L542" s="4" t="s">
        <v>1300</v>
      </c>
      <c r="M542" s="4" t="s">
        <v>1300</v>
      </c>
      <c r="N542" s="3" t="s">
        <v>63</v>
      </c>
      <c r="O542" s="3" t="s">
        <v>1299</v>
      </c>
      <c r="P542" s="3" t="s">
        <v>362</v>
      </c>
      <c r="W542" s="4" t="s">
        <v>1301</v>
      </c>
      <c r="X542" s="3" t="s">
        <v>21</v>
      </c>
      <c r="Y542" cm="1">
        <f t="array" ref="Y542">SUM(IF(INT($M$2:$M$594)&amp;" "&amp;$K$2:$K$594=INT($M542)&amp;" "&amp;$K542,1,0))</f>
        <v>1</v>
      </c>
      <c r="Z542" cm="1">
        <f t="array" ref="Z542">SUM(IF(ROUND($M$2:$M$594,0)&amp;" "&amp;$K$2:$K$594=ROUND($M542,0)&amp;" "&amp;$K542,1,0))</f>
        <v>1</v>
      </c>
      <c r="AA542" cm="1">
        <f t="array" ref="AA542">SUM(IF($W$2:$W$594=$W542,1,0))</f>
        <v>1</v>
      </c>
    </row>
    <row r="543" spans="1:27" x14ac:dyDescent="0.25">
      <c r="B543" t="s">
        <v>1612</v>
      </c>
      <c r="C543" t="s">
        <v>1741</v>
      </c>
      <c r="D543" t="s">
        <v>1716</v>
      </c>
      <c r="E543">
        <v>4</v>
      </c>
      <c r="F543" t="str">
        <f t="shared" si="8"/>
        <v>9/2</v>
      </c>
      <c r="G543" s="1" t="s">
        <v>1302</v>
      </c>
      <c r="I543" s="3" t="s">
        <v>63</v>
      </c>
      <c r="K543" s="3" t="s">
        <v>14</v>
      </c>
      <c r="L543" s="4" t="s">
        <v>1302</v>
      </c>
      <c r="M543" s="4" t="s">
        <v>1302</v>
      </c>
      <c r="N543" s="3" t="s">
        <v>63</v>
      </c>
      <c r="O543" s="3" t="s">
        <v>1299</v>
      </c>
      <c r="P543" s="3" t="s">
        <v>362</v>
      </c>
      <c r="W543" s="4" t="s">
        <v>1303</v>
      </c>
      <c r="X543" s="3" t="s">
        <v>21</v>
      </c>
      <c r="Y543" cm="1">
        <f t="array" ref="Y543">SUM(IF(INT($M$2:$M$594)&amp;" "&amp;$K$2:$K$594=INT($M543)&amp;" "&amp;$K543,1,0))</f>
        <v>1</v>
      </c>
      <c r="Z543" cm="1">
        <f t="array" ref="Z543">SUM(IF(ROUND($M$2:$M$594,0)&amp;" "&amp;$K$2:$K$594=ROUND($M543,0)&amp;" "&amp;$K543,1,0))</f>
        <v>1</v>
      </c>
      <c r="AA543" cm="1">
        <f t="array" ref="AA543">SUM(IF($W$2:$W$594=$W543,1,0))</f>
        <v>1</v>
      </c>
    </row>
    <row r="544" spans="1:27" x14ac:dyDescent="0.25">
      <c r="A544" t="s">
        <v>1664</v>
      </c>
      <c r="B544" t="s">
        <v>1687</v>
      </c>
      <c r="C544" t="s">
        <v>1742</v>
      </c>
      <c r="D544" t="s">
        <v>1716</v>
      </c>
      <c r="E544">
        <v>6</v>
      </c>
      <c r="F544" t="str">
        <f t="shared" si="8"/>
        <v>13/2</v>
      </c>
      <c r="G544" s="1" t="s">
        <v>1613</v>
      </c>
      <c r="I544" s="3" t="s">
        <v>63</v>
      </c>
      <c r="K544" s="3" t="s">
        <v>26</v>
      </c>
      <c r="M544" s="4" t="s">
        <v>1613</v>
      </c>
      <c r="N544" s="3" t="s">
        <v>63</v>
      </c>
      <c r="O544" s="3" t="s">
        <v>1784</v>
      </c>
      <c r="W544" s="5" t="s">
        <v>2075</v>
      </c>
      <c r="X544" s="3" t="s">
        <v>1757</v>
      </c>
      <c r="Y544" cm="1">
        <f t="array" ref="Y544">SUM(IF(INT($M$2:$M$594)&amp;" "&amp;$K$2:$K$594=INT($M544)&amp;" "&amp;$K544,1,0))</f>
        <v>1</v>
      </c>
      <c r="Z544" cm="1">
        <f t="array" ref="Z544">SUM(IF(ROUND($M$2:$M$594,0)&amp;" "&amp;$K$2:$K$594=ROUND($M544,0)&amp;" "&amp;$K544,1,0))</f>
        <v>1</v>
      </c>
      <c r="AA544" cm="1">
        <f t="array" ref="AA544">SUM(IF($W$2:$W$594=$W544,1,0))</f>
        <v>1</v>
      </c>
    </row>
    <row r="545" spans="1:27" x14ac:dyDescent="0.25">
      <c r="A545" t="s">
        <v>1664</v>
      </c>
      <c r="B545" t="s">
        <v>1687</v>
      </c>
      <c r="C545" t="s">
        <v>1742</v>
      </c>
      <c r="D545" t="s">
        <v>1716</v>
      </c>
      <c r="E545">
        <v>6</v>
      </c>
      <c r="F545" t="str">
        <f t="shared" si="8"/>
        <v>13/2</v>
      </c>
      <c r="G545" s="1" t="s">
        <v>1614</v>
      </c>
      <c r="I545" s="3" t="s">
        <v>63</v>
      </c>
      <c r="K545" s="3" t="s">
        <v>26</v>
      </c>
      <c r="M545" s="4" t="s">
        <v>1614</v>
      </c>
      <c r="N545" s="3" t="s">
        <v>63</v>
      </c>
      <c r="O545" s="3" t="s">
        <v>1784</v>
      </c>
      <c r="W545" s="5" t="s">
        <v>2076</v>
      </c>
      <c r="X545" s="3" t="s">
        <v>1757</v>
      </c>
      <c r="Y545" cm="1">
        <f t="array" ref="Y545">SUM(IF(INT($M$2:$M$594)&amp;" "&amp;$K$2:$K$594=INT($M545)&amp;" "&amp;$K545,1,0))</f>
        <v>1</v>
      </c>
      <c r="Z545" cm="1">
        <f t="array" ref="Z545">SUM(IF(ROUND($M$2:$M$594,0)&amp;" "&amp;$K$2:$K$594=ROUND($M545,0)&amp;" "&amp;$K545,1,0))</f>
        <v>1</v>
      </c>
      <c r="AA545" cm="1">
        <f t="array" ref="AA545">SUM(IF($W$2:$W$594=$W545,1,0))</f>
        <v>1</v>
      </c>
    </row>
    <row r="546" spans="1:27" x14ac:dyDescent="0.25">
      <c r="B546" t="s">
        <v>1615</v>
      </c>
      <c r="C546" t="s">
        <v>1741</v>
      </c>
      <c r="D546" t="s">
        <v>1717</v>
      </c>
      <c r="E546">
        <v>6</v>
      </c>
      <c r="F546" t="str">
        <f t="shared" si="8"/>
        <v>13/2</v>
      </c>
      <c r="G546" s="1" t="s">
        <v>1318</v>
      </c>
      <c r="I546" s="3" t="s">
        <v>63</v>
      </c>
      <c r="K546" s="3" t="s">
        <v>26</v>
      </c>
      <c r="L546" s="4" t="s">
        <v>1318</v>
      </c>
      <c r="M546" s="4" t="s">
        <v>1318</v>
      </c>
      <c r="N546" s="3" t="s">
        <v>63</v>
      </c>
      <c r="O546" s="3" t="s">
        <v>1317</v>
      </c>
      <c r="P546" s="3" t="s">
        <v>384</v>
      </c>
      <c r="W546" s="4" t="s">
        <v>1319</v>
      </c>
      <c r="X546" s="3" t="s">
        <v>21</v>
      </c>
      <c r="Y546" cm="1">
        <f t="array" ref="Y546">SUM(IF(INT($M$2:$M$594)&amp;" "&amp;$K$2:$K$594=INT($M546)&amp;" "&amp;$K546,1,0))</f>
        <v>1</v>
      </c>
      <c r="Z546" cm="1">
        <f t="array" ref="Z546">SUM(IF(ROUND($M$2:$M$594,0)&amp;" "&amp;$K$2:$K$594=ROUND($M546,0)&amp;" "&amp;$K546,1,0))</f>
        <v>1</v>
      </c>
      <c r="AA546" cm="1">
        <f t="array" ref="AA546">SUM(IF($W$2:$W$594=$W546,1,0))</f>
        <v>1</v>
      </c>
    </row>
    <row r="547" spans="1:27" x14ac:dyDescent="0.25">
      <c r="B547" t="s">
        <v>1615</v>
      </c>
      <c r="C547" t="s">
        <v>1741</v>
      </c>
      <c r="D547" t="s">
        <v>1717</v>
      </c>
      <c r="E547">
        <v>5</v>
      </c>
      <c r="F547" t="str">
        <f t="shared" si="8"/>
        <v>11/2</v>
      </c>
      <c r="G547" s="1" t="s">
        <v>1320</v>
      </c>
      <c r="I547" s="3" t="s">
        <v>63</v>
      </c>
      <c r="K547" s="3" t="s">
        <v>22</v>
      </c>
      <c r="L547" s="4" t="s">
        <v>1320</v>
      </c>
      <c r="M547" s="4" t="s">
        <v>1320</v>
      </c>
      <c r="N547" s="3" t="s">
        <v>63</v>
      </c>
      <c r="O547" s="3" t="s">
        <v>1317</v>
      </c>
      <c r="P547" s="3" t="s">
        <v>384</v>
      </c>
      <c r="W547" s="4" t="s">
        <v>1321</v>
      </c>
      <c r="X547" s="3" t="s">
        <v>21</v>
      </c>
      <c r="Y547" cm="1">
        <f t="array" ref="Y547">SUM(IF(INT($M$2:$M$594)&amp;" "&amp;$K$2:$K$594=INT($M547)&amp;" "&amp;$K547,1,0))</f>
        <v>1</v>
      </c>
      <c r="Z547" cm="1">
        <f t="array" ref="Z547">SUM(IF(ROUND($M$2:$M$594,0)&amp;" "&amp;$K$2:$K$594=ROUND($M547,0)&amp;" "&amp;$K547,1,0))</f>
        <v>1</v>
      </c>
      <c r="AA547" cm="1">
        <f t="array" ref="AA547">SUM(IF($W$2:$W$594=$W547,1,0))</f>
        <v>1</v>
      </c>
    </row>
    <row r="548" spans="1:27" x14ac:dyDescent="0.25">
      <c r="A548" t="s">
        <v>1664</v>
      </c>
      <c r="B548" t="s">
        <v>1688</v>
      </c>
      <c r="C548" t="s">
        <v>1743</v>
      </c>
      <c r="D548" t="s">
        <v>1714</v>
      </c>
      <c r="E548">
        <v>5</v>
      </c>
      <c r="F548" t="str">
        <f t="shared" si="8"/>
        <v>11/2</v>
      </c>
      <c r="G548" s="1" t="s">
        <v>1616</v>
      </c>
      <c r="I548" s="3" t="s">
        <v>63</v>
      </c>
      <c r="K548" s="3" t="s">
        <v>22</v>
      </c>
      <c r="M548" s="4" t="s">
        <v>1616</v>
      </c>
      <c r="N548" s="3" t="s">
        <v>63</v>
      </c>
      <c r="O548" s="3" t="s">
        <v>1785</v>
      </c>
      <c r="W548" s="5" t="s">
        <v>2077</v>
      </c>
      <c r="X548" s="3" t="s">
        <v>1757</v>
      </c>
      <c r="Y548" cm="1">
        <f t="array" ref="Y548">SUM(IF(INT($M$2:$M$594)&amp;" "&amp;$K$2:$K$594=INT($M548)&amp;" "&amp;$K548,1,0))</f>
        <v>1</v>
      </c>
      <c r="Z548" cm="1">
        <f t="array" ref="Z548">SUM(IF(ROUND($M$2:$M$594,0)&amp;" "&amp;$K$2:$K$594=ROUND($M548,0)&amp;" "&amp;$K548,1,0))</f>
        <v>1</v>
      </c>
      <c r="AA548" cm="1">
        <f t="array" ref="AA548">SUM(IF($W$2:$W$594=$W548,1,0))</f>
        <v>1</v>
      </c>
    </row>
    <row r="549" spans="1:27" x14ac:dyDescent="0.25">
      <c r="A549" t="s">
        <v>1664</v>
      </c>
      <c r="B549" t="s">
        <v>1688</v>
      </c>
      <c r="C549" t="s">
        <v>1743</v>
      </c>
      <c r="D549" t="s">
        <v>1714</v>
      </c>
      <c r="E549">
        <v>6</v>
      </c>
      <c r="F549" t="str">
        <f t="shared" si="8"/>
        <v>13/2</v>
      </c>
      <c r="G549" s="1" t="s">
        <v>1617</v>
      </c>
      <c r="I549" s="3" t="s">
        <v>63</v>
      </c>
      <c r="K549" s="3" t="s">
        <v>26</v>
      </c>
      <c r="M549" s="4" t="s">
        <v>1617</v>
      </c>
      <c r="N549" s="3" t="s">
        <v>63</v>
      </c>
      <c r="O549" s="3" t="s">
        <v>1785</v>
      </c>
      <c r="W549" s="5" t="s">
        <v>2078</v>
      </c>
      <c r="X549" s="3" t="s">
        <v>1757</v>
      </c>
      <c r="Y549" cm="1">
        <f t="array" ref="Y549">SUM(IF(INT($M$2:$M$594)&amp;" "&amp;$K$2:$K$594=INT($M549)&amp;" "&amp;$K549,1,0))</f>
        <v>1</v>
      </c>
      <c r="Z549" cm="1">
        <f t="array" ref="Z549">SUM(IF(ROUND($M$2:$M$594,0)&amp;" "&amp;$K$2:$K$594=ROUND($M549,0)&amp;" "&amp;$K549,1,0))</f>
        <v>1</v>
      </c>
      <c r="AA549" cm="1">
        <f t="array" ref="AA549">SUM(IF($W$2:$W$594=$W549,1,0))</f>
        <v>1</v>
      </c>
    </row>
    <row r="550" spans="1:27" x14ac:dyDescent="0.25">
      <c r="A550" t="s">
        <v>1664</v>
      </c>
      <c r="B550" t="s">
        <v>1688</v>
      </c>
      <c r="C550" t="s">
        <v>1743</v>
      </c>
      <c r="D550" t="s">
        <v>1714</v>
      </c>
      <c r="E550">
        <v>5</v>
      </c>
      <c r="F550" t="str">
        <f t="shared" si="8"/>
        <v>11/2</v>
      </c>
      <c r="G550" s="1" t="s">
        <v>1618</v>
      </c>
      <c r="I550" s="3" t="s">
        <v>63</v>
      </c>
      <c r="K550" s="3" t="s">
        <v>22</v>
      </c>
      <c r="M550" s="4" t="s">
        <v>1618</v>
      </c>
      <c r="N550" s="3" t="s">
        <v>63</v>
      </c>
      <c r="O550" s="3" t="s">
        <v>1785</v>
      </c>
      <c r="W550" s="5" t="s">
        <v>2079</v>
      </c>
      <c r="X550" s="3" t="s">
        <v>1757</v>
      </c>
      <c r="Y550" cm="1">
        <f t="array" ref="Y550">SUM(IF(INT($M$2:$M$594)&amp;" "&amp;$K$2:$K$594=INT($M550)&amp;" "&amp;$K550,1,0))</f>
        <v>1</v>
      </c>
      <c r="Z550" cm="1">
        <f t="array" ref="Z550">SUM(IF(ROUND($M$2:$M$594,0)&amp;" "&amp;$K$2:$K$594=ROUND($M550,0)&amp;" "&amp;$K550,1,0))</f>
        <v>1</v>
      </c>
      <c r="AA550" cm="1">
        <f t="array" ref="AA550">SUM(IF($W$2:$W$594=$W550,1,0))</f>
        <v>1</v>
      </c>
    </row>
    <row r="551" spans="1:27" x14ac:dyDescent="0.25">
      <c r="A551" t="s">
        <v>1664</v>
      </c>
      <c r="B551" t="s">
        <v>1688</v>
      </c>
      <c r="C551" t="s">
        <v>1743</v>
      </c>
      <c r="D551" t="s">
        <v>1714</v>
      </c>
      <c r="E551">
        <v>4</v>
      </c>
      <c r="F551" t="str">
        <f t="shared" si="8"/>
        <v>9/2</v>
      </c>
      <c r="G551" s="1" t="s">
        <v>1619</v>
      </c>
      <c r="I551" s="3" t="s">
        <v>63</v>
      </c>
      <c r="K551" s="3" t="s">
        <v>14</v>
      </c>
      <c r="M551" s="4" t="s">
        <v>1619</v>
      </c>
      <c r="N551" s="3" t="s">
        <v>63</v>
      </c>
      <c r="O551" s="3" t="s">
        <v>1785</v>
      </c>
      <c r="W551" s="5" t="s">
        <v>2080</v>
      </c>
      <c r="X551" s="3" t="s">
        <v>1757</v>
      </c>
      <c r="Y551" cm="1">
        <f t="array" ref="Y551">SUM(IF(INT($M$2:$M$594)&amp;" "&amp;$K$2:$K$594=INT($M551)&amp;" "&amp;$K551,1,0))</f>
        <v>1</v>
      </c>
      <c r="Z551" cm="1">
        <f t="array" ref="Z551">SUM(IF(ROUND($M$2:$M$594,0)&amp;" "&amp;$K$2:$K$594=ROUND($M551,0)&amp;" "&amp;$K551,1,0))</f>
        <v>1</v>
      </c>
      <c r="AA551" cm="1">
        <f t="array" ref="AA551">SUM(IF($W$2:$W$594=$W551,1,0))</f>
        <v>1</v>
      </c>
    </row>
    <row r="552" spans="1:27" x14ac:dyDescent="0.25">
      <c r="A552" t="s">
        <v>1664</v>
      </c>
      <c r="B552" t="s">
        <v>1688</v>
      </c>
      <c r="C552" t="s">
        <v>1743</v>
      </c>
      <c r="D552" t="s">
        <v>1714</v>
      </c>
      <c r="E552">
        <v>3</v>
      </c>
      <c r="F552" t="str">
        <f t="shared" si="8"/>
        <v>7/2</v>
      </c>
      <c r="G552" s="1" t="s">
        <v>1620</v>
      </c>
      <c r="I552" s="3" t="s">
        <v>63</v>
      </c>
      <c r="K552" s="3" t="s">
        <v>47</v>
      </c>
      <c r="M552" s="4" t="s">
        <v>1620</v>
      </c>
      <c r="N552" s="3" t="s">
        <v>63</v>
      </c>
      <c r="O552" s="3" t="s">
        <v>1785</v>
      </c>
      <c r="W552" s="5" t="s">
        <v>2061</v>
      </c>
      <c r="X552" s="3" t="s">
        <v>1757</v>
      </c>
      <c r="Y552" cm="1">
        <f t="array" ref="Y552">SUM(IF(INT($M$2:$M$594)&amp;" "&amp;$K$2:$K$594=INT($M552)&amp;" "&amp;$K552,1,0))</f>
        <v>1</v>
      </c>
      <c r="Z552" cm="1">
        <f t="array" ref="Z552">SUM(IF(ROUND($M$2:$M$594,0)&amp;" "&amp;$K$2:$K$594=ROUND($M552,0)&amp;" "&amp;$K552,1,0))</f>
        <v>1</v>
      </c>
      <c r="AA552" cm="1">
        <f t="array" ref="AA552">SUM(IF($W$2:$W$594=$W552,1,0))</f>
        <v>1</v>
      </c>
    </row>
    <row r="553" spans="1:27" x14ac:dyDescent="0.25">
      <c r="A553" t="s">
        <v>1664</v>
      </c>
      <c r="B553" t="s">
        <v>1688</v>
      </c>
      <c r="C553" t="s">
        <v>1743</v>
      </c>
      <c r="D553" t="s">
        <v>1714</v>
      </c>
      <c r="E553">
        <v>6</v>
      </c>
      <c r="F553" t="str">
        <f t="shared" si="8"/>
        <v>13/2</v>
      </c>
      <c r="G553" s="1" t="s">
        <v>1621</v>
      </c>
      <c r="I553" s="3" t="s">
        <v>63</v>
      </c>
      <c r="K553" s="3" t="s">
        <v>26</v>
      </c>
      <c r="M553" s="4" t="s">
        <v>1621</v>
      </c>
      <c r="N553" s="3" t="s">
        <v>63</v>
      </c>
      <c r="O553" s="3" t="s">
        <v>1785</v>
      </c>
      <c r="W553" s="5" t="s">
        <v>2081</v>
      </c>
      <c r="X553" s="3" t="s">
        <v>1757</v>
      </c>
      <c r="Y553" cm="1">
        <f t="array" ref="Y553">SUM(IF(INT($M$2:$M$594)&amp;" "&amp;$K$2:$K$594=INT($M553)&amp;" "&amp;$K553,1,0))</f>
        <v>1</v>
      </c>
      <c r="Z553" cm="1">
        <f t="array" ref="Z553">SUM(IF(ROUND($M$2:$M$594,0)&amp;" "&amp;$K$2:$K$594=ROUND($M553,0)&amp;" "&amp;$K553,1,0))</f>
        <v>1</v>
      </c>
      <c r="AA553" cm="1">
        <f t="array" ref="AA553">SUM(IF($W$2:$W$594=$W553,1,0))</f>
        <v>1</v>
      </c>
    </row>
    <row r="554" spans="1:27" x14ac:dyDescent="0.25">
      <c r="A554" t="s">
        <v>1664</v>
      </c>
      <c r="B554" t="s">
        <v>1688</v>
      </c>
      <c r="C554" t="s">
        <v>1743</v>
      </c>
      <c r="D554" t="s">
        <v>1714</v>
      </c>
      <c r="E554">
        <v>7</v>
      </c>
      <c r="F554" t="str">
        <f t="shared" si="8"/>
        <v>15/2</v>
      </c>
      <c r="G554" s="1" t="s">
        <v>1622</v>
      </c>
      <c r="I554" s="3" t="s">
        <v>63</v>
      </c>
      <c r="K554" s="3" t="s">
        <v>30</v>
      </c>
      <c r="M554" s="4" t="s">
        <v>1622</v>
      </c>
      <c r="N554" s="3" t="s">
        <v>63</v>
      </c>
      <c r="O554" s="3" t="s">
        <v>1785</v>
      </c>
      <c r="W554" s="5" t="s">
        <v>2082</v>
      </c>
      <c r="X554" s="3" t="s">
        <v>1757</v>
      </c>
      <c r="Y554" cm="1">
        <f t="array" ref="Y554">SUM(IF(INT($M$2:$M$594)&amp;" "&amp;$K$2:$K$594=INT($M554)&amp;" "&amp;$K554,1,0))</f>
        <v>1</v>
      </c>
      <c r="Z554" cm="1">
        <f t="array" ref="Z554">SUM(IF(ROUND($M$2:$M$594,0)&amp;" "&amp;$K$2:$K$594=ROUND($M554,0)&amp;" "&amp;$K554,1,0))</f>
        <v>1</v>
      </c>
      <c r="AA554" cm="1">
        <f t="array" ref="AA554">SUM(IF($W$2:$W$594=$W554,1,0))</f>
        <v>1</v>
      </c>
    </row>
    <row r="555" spans="1:27" x14ac:dyDescent="0.25">
      <c r="A555" t="s">
        <v>1664</v>
      </c>
      <c r="B555" t="s">
        <v>1688</v>
      </c>
      <c r="C555" t="s">
        <v>1743</v>
      </c>
      <c r="D555" t="s">
        <v>1714</v>
      </c>
      <c r="E555">
        <v>2</v>
      </c>
      <c r="F555" t="str">
        <f t="shared" si="8"/>
        <v>5/2</v>
      </c>
      <c r="G555" s="1" t="s">
        <v>1623</v>
      </c>
      <c r="I555" s="3" t="s">
        <v>63</v>
      </c>
      <c r="K555" s="3" t="s">
        <v>43</v>
      </c>
      <c r="M555" s="4" t="s">
        <v>1623</v>
      </c>
      <c r="N555" s="3" t="s">
        <v>63</v>
      </c>
      <c r="O555" s="3" t="s">
        <v>1785</v>
      </c>
      <c r="W555" s="5" t="s">
        <v>2083</v>
      </c>
      <c r="X555" s="3" t="s">
        <v>1757</v>
      </c>
      <c r="Y555" cm="1">
        <f t="array" ref="Y555">SUM(IF(INT($M$2:$M$594)&amp;" "&amp;$K$2:$K$594=INT($M555)&amp;" "&amp;$K555,1,0))</f>
        <v>1</v>
      </c>
      <c r="Z555" cm="1">
        <f t="array" ref="Z555">SUM(IF(ROUND($M$2:$M$594,0)&amp;" "&amp;$K$2:$K$594=ROUND($M555,0)&amp;" "&amp;$K555,1,0))</f>
        <v>1</v>
      </c>
      <c r="AA555" cm="1">
        <f t="array" ref="AA555">SUM(IF($W$2:$W$594=$W555,1,0))</f>
        <v>1</v>
      </c>
    </row>
    <row r="556" spans="1:27" x14ac:dyDescent="0.25">
      <c r="A556" t="s">
        <v>1664</v>
      </c>
      <c r="B556" t="s">
        <v>1688</v>
      </c>
      <c r="C556" t="s">
        <v>1743</v>
      </c>
      <c r="D556" t="s">
        <v>1714</v>
      </c>
      <c r="E556">
        <v>3</v>
      </c>
      <c r="F556" t="str">
        <f t="shared" si="8"/>
        <v>7/2</v>
      </c>
      <c r="G556" s="1" t="s">
        <v>1624</v>
      </c>
      <c r="I556" s="3" t="s">
        <v>63</v>
      </c>
      <c r="K556" s="3" t="s">
        <v>47</v>
      </c>
      <c r="M556" s="4" t="s">
        <v>1624</v>
      </c>
      <c r="N556" s="3" t="s">
        <v>63</v>
      </c>
      <c r="O556" s="3" t="s">
        <v>1785</v>
      </c>
      <c r="W556" s="5" t="s">
        <v>2084</v>
      </c>
      <c r="X556" s="3" t="s">
        <v>1757</v>
      </c>
      <c r="Y556" cm="1">
        <f t="array" ref="Y556">SUM(IF(INT($M$2:$M$594)&amp;" "&amp;$K$2:$K$594=INT($M556)&amp;" "&amp;$K556,1,0))</f>
        <v>1</v>
      </c>
      <c r="Z556" cm="1">
        <f t="array" ref="Z556">SUM(IF(ROUND($M$2:$M$594,0)&amp;" "&amp;$K$2:$K$594=ROUND($M556,0)&amp;" "&amp;$K556,1,0))</f>
        <v>1</v>
      </c>
      <c r="AA556" cm="1">
        <f t="array" ref="AA556">SUM(IF($W$2:$W$594=$W556,1,0))</f>
        <v>1</v>
      </c>
    </row>
    <row r="557" spans="1:27" x14ac:dyDescent="0.25">
      <c r="A557" t="s">
        <v>1664</v>
      </c>
      <c r="B557" t="s">
        <v>1688</v>
      </c>
      <c r="C557" t="s">
        <v>1743</v>
      </c>
      <c r="D557" t="s">
        <v>1714</v>
      </c>
      <c r="E557">
        <v>1</v>
      </c>
      <c r="F557" t="str">
        <f t="shared" si="8"/>
        <v>3/2</v>
      </c>
      <c r="G557" s="1" t="s">
        <v>1625</v>
      </c>
      <c r="I557" s="3" t="s">
        <v>63</v>
      </c>
      <c r="K557" s="3" t="s">
        <v>35</v>
      </c>
      <c r="M557" s="4" t="s">
        <v>1625</v>
      </c>
      <c r="N557" s="3" t="s">
        <v>63</v>
      </c>
      <c r="O557" s="3" t="s">
        <v>1785</v>
      </c>
      <c r="W557" s="5" t="s">
        <v>2085</v>
      </c>
      <c r="X557" s="3" t="s">
        <v>1757</v>
      </c>
      <c r="Y557" cm="1">
        <f t="array" ref="Y557">SUM(IF(INT($M$2:$M$594)&amp;" "&amp;$K$2:$K$594=INT($M557)&amp;" "&amp;$K557,1,0))</f>
        <v>1</v>
      </c>
      <c r="Z557" cm="1">
        <f t="array" ref="Z557">SUM(IF(ROUND($M$2:$M$594,0)&amp;" "&amp;$K$2:$K$594=ROUND($M557,0)&amp;" "&amp;$K557,1,0))</f>
        <v>1</v>
      </c>
      <c r="AA557" cm="1">
        <f t="array" ref="AA557">SUM(IF($W$2:$W$594=$W557,1,0))</f>
        <v>1</v>
      </c>
    </row>
    <row r="558" spans="1:27" x14ac:dyDescent="0.25">
      <c r="A558" t="s">
        <v>1664</v>
      </c>
      <c r="B558" t="s">
        <v>1688</v>
      </c>
      <c r="C558" t="s">
        <v>1743</v>
      </c>
      <c r="D558" t="s">
        <v>1714</v>
      </c>
      <c r="E558">
        <v>2</v>
      </c>
      <c r="F558" t="str">
        <f t="shared" si="8"/>
        <v>5/2</v>
      </c>
      <c r="G558" s="1" t="s">
        <v>1626</v>
      </c>
      <c r="I558" s="3" t="s">
        <v>63</v>
      </c>
      <c r="K558" s="3" t="s">
        <v>43</v>
      </c>
      <c r="M558" s="4" t="s">
        <v>1626</v>
      </c>
      <c r="N558" s="3" t="s">
        <v>63</v>
      </c>
      <c r="O558" s="3" t="s">
        <v>1785</v>
      </c>
      <c r="W558" s="5" t="s">
        <v>2086</v>
      </c>
      <c r="X558" s="3" t="s">
        <v>1757</v>
      </c>
      <c r="Y558" cm="1">
        <f t="array" ref="Y558">SUM(IF(INT($M$2:$M$594)&amp;" "&amp;$K$2:$K$594=INT($M558)&amp;" "&amp;$K558,1,0))</f>
        <v>1</v>
      </c>
      <c r="Z558" cm="1">
        <f t="array" ref="Z558">SUM(IF(ROUND($M$2:$M$594,0)&amp;" "&amp;$K$2:$K$594=ROUND($M558,0)&amp;" "&amp;$K558,1,0))</f>
        <v>1</v>
      </c>
      <c r="AA558" cm="1">
        <f t="array" ref="AA558">SUM(IF($W$2:$W$594=$W558,1,0))</f>
        <v>1</v>
      </c>
    </row>
    <row r="559" spans="1:27" x14ac:dyDescent="0.25">
      <c r="A559" t="s">
        <v>1664</v>
      </c>
      <c r="B559" t="s">
        <v>1688</v>
      </c>
      <c r="C559" t="s">
        <v>1743</v>
      </c>
      <c r="D559" t="s">
        <v>1714</v>
      </c>
      <c r="E559">
        <v>1</v>
      </c>
      <c r="F559" t="str">
        <f t="shared" si="8"/>
        <v>3/2</v>
      </c>
      <c r="G559" s="1" t="s">
        <v>1627</v>
      </c>
      <c r="I559" s="3" t="s">
        <v>63</v>
      </c>
      <c r="K559" s="3" t="s">
        <v>35</v>
      </c>
      <c r="M559" s="4" t="s">
        <v>1627</v>
      </c>
      <c r="N559" s="3" t="s">
        <v>63</v>
      </c>
      <c r="O559" s="3" t="s">
        <v>1785</v>
      </c>
      <c r="W559" s="5" t="s">
        <v>2087</v>
      </c>
      <c r="X559" s="3" t="s">
        <v>1757</v>
      </c>
      <c r="Y559" cm="1">
        <f t="array" ref="Y559">SUM(IF(INT($M$2:$M$594)&amp;" "&amp;$K$2:$K$594=INT($M559)&amp;" "&amp;$K559,1,0))</f>
        <v>1</v>
      </c>
      <c r="Z559" cm="1">
        <f t="array" ref="Z559">SUM(IF(ROUND($M$2:$M$594,0)&amp;" "&amp;$K$2:$K$594=ROUND($M559,0)&amp;" "&amp;$K559,1,0))</f>
        <v>1</v>
      </c>
      <c r="AA559" cm="1">
        <f t="array" ref="AA559">SUM(IF($W$2:$W$594=$W559,1,0))</f>
        <v>1</v>
      </c>
    </row>
    <row r="560" spans="1:27" x14ac:dyDescent="0.25">
      <c r="A560" t="s">
        <v>1664</v>
      </c>
      <c r="B560" t="s">
        <v>1688</v>
      </c>
      <c r="C560" t="s">
        <v>1743</v>
      </c>
      <c r="D560" t="s">
        <v>1714</v>
      </c>
      <c r="E560">
        <v>7</v>
      </c>
      <c r="F560" t="str">
        <f t="shared" si="8"/>
        <v>15/2</v>
      </c>
      <c r="G560" s="1" t="s">
        <v>1628</v>
      </c>
      <c r="I560" s="3" t="s">
        <v>63</v>
      </c>
      <c r="K560" s="3" t="s">
        <v>30</v>
      </c>
      <c r="M560" s="4" t="s">
        <v>1628</v>
      </c>
      <c r="N560" s="3" t="s">
        <v>63</v>
      </c>
      <c r="O560" s="3" t="s">
        <v>1785</v>
      </c>
      <c r="W560" s="5" t="s">
        <v>2088</v>
      </c>
      <c r="X560" s="3" t="s">
        <v>1757</v>
      </c>
      <c r="Y560" cm="1">
        <f t="array" ref="Y560">SUM(IF(INT($M$2:$M$594)&amp;" "&amp;$K$2:$K$594=INT($M560)&amp;" "&amp;$K560,1,0))</f>
        <v>1</v>
      </c>
      <c r="Z560" cm="1">
        <f t="array" ref="Z560">SUM(IF(ROUND($M$2:$M$594,0)&amp;" "&amp;$K$2:$K$594=ROUND($M560,0)&amp;" "&amp;$K560,1,0))</f>
        <v>1</v>
      </c>
      <c r="AA560" cm="1">
        <f t="array" ref="AA560">SUM(IF($W$2:$W$594=$W560,1,0))</f>
        <v>1</v>
      </c>
    </row>
    <row r="561" spans="1:27" x14ac:dyDescent="0.25">
      <c r="A561" t="s">
        <v>1664</v>
      </c>
      <c r="B561" t="s">
        <v>1688</v>
      </c>
      <c r="C561" t="s">
        <v>1743</v>
      </c>
      <c r="D561" t="s">
        <v>1714</v>
      </c>
      <c r="E561">
        <v>8</v>
      </c>
      <c r="F561" t="str">
        <f t="shared" si="8"/>
        <v>17/2</v>
      </c>
      <c r="G561" s="1" t="s">
        <v>1629</v>
      </c>
      <c r="I561" s="3" t="s">
        <v>63</v>
      </c>
      <c r="K561" s="3" t="s">
        <v>164</v>
      </c>
      <c r="M561" s="4" t="s">
        <v>1629</v>
      </c>
      <c r="N561" s="3" t="s">
        <v>63</v>
      </c>
      <c r="O561" s="3" t="s">
        <v>1785</v>
      </c>
      <c r="W561" s="5" t="s">
        <v>2089</v>
      </c>
      <c r="X561" s="3" t="s">
        <v>1757</v>
      </c>
      <c r="Y561" cm="1">
        <f t="array" ref="Y561">SUM(IF(INT($M$2:$M$594)&amp;" "&amp;$K$2:$K$594=INT($M561)&amp;" "&amp;$K561,1,0))</f>
        <v>1</v>
      </c>
      <c r="Z561" cm="1">
        <f t="array" ref="Z561">SUM(IF(ROUND($M$2:$M$594,0)&amp;" "&amp;$K$2:$K$594=ROUND($M561,0)&amp;" "&amp;$K561,1,0))</f>
        <v>1</v>
      </c>
      <c r="AA561" cm="1">
        <f t="array" ref="AA561">SUM(IF($W$2:$W$594=$W561,1,0))</f>
        <v>1</v>
      </c>
    </row>
    <row r="562" spans="1:27" x14ac:dyDescent="0.25">
      <c r="B562" t="s">
        <v>1630</v>
      </c>
      <c r="C562" t="s">
        <v>1741</v>
      </c>
      <c r="D562" t="s">
        <v>1719</v>
      </c>
      <c r="E562">
        <v>3</v>
      </c>
      <c r="F562" t="str">
        <f t="shared" si="8"/>
        <v>7/2</v>
      </c>
      <c r="G562" s="1" t="s">
        <v>1323</v>
      </c>
      <c r="I562" s="3" t="s">
        <v>63</v>
      </c>
      <c r="K562" s="3" t="s">
        <v>47</v>
      </c>
      <c r="L562" s="4" t="s">
        <v>1323</v>
      </c>
      <c r="M562" s="4" t="s">
        <v>1323</v>
      </c>
      <c r="N562" s="3" t="s">
        <v>63</v>
      </c>
      <c r="O562" s="3" t="s">
        <v>1322</v>
      </c>
      <c r="P562" s="3" t="s">
        <v>403</v>
      </c>
      <c r="W562" s="4" t="s">
        <v>1324</v>
      </c>
      <c r="X562" s="3" t="s">
        <v>21</v>
      </c>
      <c r="Y562" cm="1">
        <f t="array" ref="Y562">SUM(IF(INT($M$2:$M$594)&amp;" "&amp;$K$2:$K$594=INT($M562)&amp;" "&amp;$K562,1,0))</f>
        <v>1</v>
      </c>
      <c r="Z562" cm="1">
        <f t="array" ref="Z562">SUM(IF(ROUND($M$2:$M$594,0)&amp;" "&amp;$K$2:$K$594=ROUND($M562,0)&amp;" "&amp;$K562,1,0))</f>
        <v>1</v>
      </c>
      <c r="AA562" cm="1">
        <f t="array" ref="AA562">SUM(IF($W$2:$W$594=$W562,1,0))</f>
        <v>1</v>
      </c>
    </row>
    <row r="563" spans="1:27" x14ac:dyDescent="0.25">
      <c r="B563" t="s">
        <v>1631</v>
      </c>
      <c r="C563" t="s">
        <v>1741</v>
      </c>
      <c r="D563" t="s">
        <v>1720</v>
      </c>
      <c r="E563">
        <v>4</v>
      </c>
      <c r="F563" t="str">
        <f t="shared" si="8"/>
        <v>9/2</v>
      </c>
      <c r="G563" s="1" t="s">
        <v>1326</v>
      </c>
      <c r="I563" s="3" t="s">
        <v>63</v>
      </c>
      <c r="K563" s="3" t="s">
        <v>14</v>
      </c>
      <c r="L563" s="4" t="s">
        <v>1326</v>
      </c>
      <c r="M563" s="4" t="s">
        <v>1326</v>
      </c>
      <c r="N563" s="3" t="s">
        <v>63</v>
      </c>
      <c r="O563" s="3" t="s">
        <v>1325</v>
      </c>
      <c r="P563" s="3" t="s">
        <v>335</v>
      </c>
      <c r="W563" s="4" t="s">
        <v>1327</v>
      </c>
      <c r="X563" s="3" t="s">
        <v>21</v>
      </c>
      <c r="Y563" cm="1">
        <f t="array" ref="Y563">SUM(IF(INT($M$2:$M$594)&amp;" "&amp;$K$2:$K$594=INT($M563)&amp;" "&amp;$K563,1,0))</f>
        <v>1</v>
      </c>
      <c r="Z563" cm="1">
        <f t="array" ref="Z563">SUM(IF(ROUND($M$2:$M$594,0)&amp;" "&amp;$K$2:$K$594=ROUND($M563,0)&amp;" "&amp;$K563,1,0))</f>
        <v>1</v>
      </c>
      <c r="AA563" cm="1">
        <f t="array" ref="AA563">SUM(IF($W$2:$W$594=$W563,1,0))</f>
        <v>1</v>
      </c>
    </row>
    <row r="564" spans="1:27" x14ac:dyDescent="0.25">
      <c r="A564" t="s">
        <v>1664</v>
      </c>
      <c r="B564" t="s">
        <v>1689</v>
      </c>
      <c r="C564" t="s">
        <v>1743</v>
      </c>
      <c r="D564" t="s">
        <v>1716</v>
      </c>
      <c r="E564">
        <v>6</v>
      </c>
      <c r="F564" t="str">
        <f t="shared" si="8"/>
        <v>13/2</v>
      </c>
      <c r="G564" s="1" t="s">
        <v>1632</v>
      </c>
      <c r="I564" s="3" t="s">
        <v>63</v>
      </c>
      <c r="K564" s="3" t="s">
        <v>26</v>
      </c>
      <c r="M564" s="4" t="s">
        <v>1632</v>
      </c>
      <c r="N564" s="3" t="s">
        <v>63</v>
      </c>
      <c r="O564" s="3" t="s">
        <v>1786</v>
      </c>
      <c r="W564" s="5" t="s">
        <v>2090</v>
      </c>
      <c r="X564" s="3" t="s">
        <v>1757</v>
      </c>
      <c r="Y564" cm="1">
        <f t="array" ref="Y564">SUM(IF(INT($M$2:$M$594)&amp;" "&amp;$K$2:$K$594=INT($M564)&amp;" "&amp;$K564,1,0))</f>
        <v>1</v>
      </c>
      <c r="Z564" cm="1">
        <f t="array" ref="Z564">SUM(IF(ROUND($M$2:$M$594,0)&amp;" "&amp;$K$2:$K$594=ROUND($M564,0)&amp;" "&amp;$K564,1,0))</f>
        <v>1</v>
      </c>
      <c r="AA564" cm="1">
        <f t="array" ref="AA564">SUM(IF($W$2:$W$594=$W564,1,0))</f>
        <v>1</v>
      </c>
    </row>
    <row r="565" spans="1:27" x14ac:dyDescent="0.25">
      <c r="A565" t="s">
        <v>1664</v>
      </c>
      <c r="B565" t="s">
        <v>1689</v>
      </c>
      <c r="C565" t="s">
        <v>1743</v>
      </c>
      <c r="D565" t="s">
        <v>1716</v>
      </c>
      <c r="E565">
        <v>5</v>
      </c>
      <c r="F565" t="str">
        <f t="shared" si="8"/>
        <v>11/2</v>
      </c>
      <c r="G565" s="1" t="s">
        <v>1633</v>
      </c>
      <c r="I565" s="3" t="s">
        <v>63</v>
      </c>
      <c r="K565" s="3" t="s">
        <v>22</v>
      </c>
      <c r="M565" s="4" t="s">
        <v>1633</v>
      </c>
      <c r="N565" s="3" t="s">
        <v>63</v>
      </c>
      <c r="O565" s="3" t="s">
        <v>1786</v>
      </c>
      <c r="W565" s="5" t="s">
        <v>2091</v>
      </c>
      <c r="X565" s="3" t="s">
        <v>1757</v>
      </c>
      <c r="Y565" cm="1">
        <f t="array" ref="Y565">SUM(IF(INT($M$2:$M$594)&amp;" "&amp;$K$2:$K$594=INT($M565)&amp;" "&amp;$K565,1,0))</f>
        <v>1</v>
      </c>
      <c r="Z565" cm="1">
        <f t="array" ref="Z565">SUM(IF(ROUND($M$2:$M$594,0)&amp;" "&amp;$K$2:$K$594=ROUND($M565,0)&amp;" "&amp;$K565,1,0))</f>
        <v>1</v>
      </c>
      <c r="AA565" cm="1">
        <f t="array" ref="AA565">SUM(IF($W$2:$W$594=$W565,1,0))</f>
        <v>1</v>
      </c>
    </row>
    <row r="566" spans="1:27" x14ac:dyDescent="0.25">
      <c r="A566" t="s">
        <v>1664</v>
      </c>
      <c r="B566" t="s">
        <v>1689</v>
      </c>
      <c r="C566" t="s">
        <v>1743</v>
      </c>
      <c r="D566" t="s">
        <v>1716</v>
      </c>
      <c r="E566">
        <v>6</v>
      </c>
      <c r="F566" t="str">
        <f t="shared" si="8"/>
        <v>13/2</v>
      </c>
      <c r="G566" s="1" t="s">
        <v>1634</v>
      </c>
      <c r="I566" s="3" t="s">
        <v>63</v>
      </c>
      <c r="K566" s="3" t="s">
        <v>26</v>
      </c>
      <c r="M566" s="4" t="s">
        <v>1634</v>
      </c>
      <c r="N566" s="3" t="s">
        <v>63</v>
      </c>
      <c r="O566" s="3" t="s">
        <v>1786</v>
      </c>
      <c r="W566" s="5" t="s">
        <v>2092</v>
      </c>
      <c r="X566" s="3" t="s">
        <v>1757</v>
      </c>
      <c r="Y566" cm="1">
        <f t="array" ref="Y566">SUM(IF(INT($M$2:$M$594)&amp;" "&amp;$K$2:$K$594=INT($M566)&amp;" "&amp;$K566,1,0))</f>
        <v>1</v>
      </c>
      <c r="Z566" cm="1">
        <f t="array" ref="Z566">SUM(IF(ROUND($M$2:$M$594,0)&amp;" "&amp;$K$2:$K$594=ROUND($M566,0)&amp;" "&amp;$K566,1,0))</f>
        <v>1</v>
      </c>
      <c r="AA566" cm="1">
        <f t="array" ref="AA566">SUM(IF($W$2:$W$594=$W566,1,0))</f>
        <v>1</v>
      </c>
    </row>
    <row r="567" spans="1:27" x14ac:dyDescent="0.25">
      <c r="A567" t="s">
        <v>1664</v>
      </c>
      <c r="B567" t="s">
        <v>1689</v>
      </c>
      <c r="C567" t="s">
        <v>1743</v>
      </c>
      <c r="D567" t="s">
        <v>1716</v>
      </c>
      <c r="E567">
        <v>7</v>
      </c>
      <c r="F567" t="str">
        <f t="shared" si="8"/>
        <v>15/2</v>
      </c>
      <c r="G567" s="1" t="s">
        <v>1635</v>
      </c>
      <c r="I567" s="3" t="s">
        <v>63</v>
      </c>
      <c r="K567" s="3" t="s">
        <v>30</v>
      </c>
      <c r="M567" s="4" t="s">
        <v>1635</v>
      </c>
      <c r="N567" s="3" t="s">
        <v>63</v>
      </c>
      <c r="O567" s="3" t="s">
        <v>1786</v>
      </c>
      <c r="W567" s="5" t="s">
        <v>2093</v>
      </c>
      <c r="X567" s="3" t="s">
        <v>1757</v>
      </c>
      <c r="Y567" cm="1">
        <f t="array" ref="Y567">SUM(IF(INT($M$2:$M$594)&amp;" "&amp;$K$2:$K$594=INT($M567)&amp;" "&amp;$K567,1,0))</f>
        <v>1</v>
      </c>
      <c r="Z567" cm="1">
        <f t="array" ref="Z567">SUM(IF(ROUND($M$2:$M$594,0)&amp;" "&amp;$K$2:$K$594=ROUND($M567,0)&amp;" "&amp;$K567,1,0))</f>
        <v>1</v>
      </c>
      <c r="AA567" cm="1">
        <f t="array" ref="AA567">SUM(IF($W$2:$W$594=$W567,1,0))</f>
        <v>1</v>
      </c>
    </row>
    <row r="568" spans="1:27" x14ac:dyDescent="0.25">
      <c r="A568" t="s">
        <v>1664</v>
      </c>
      <c r="B568" t="s">
        <v>1689</v>
      </c>
      <c r="C568" t="s">
        <v>1743</v>
      </c>
      <c r="D568" t="s">
        <v>1716</v>
      </c>
      <c r="E568">
        <v>5</v>
      </c>
      <c r="F568" t="str">
        <f t="shared" si="8"/>
        <v>11/2</v>
      </c>
      <c r="G568" s="1" t="s">
        <v>1636</v>
      </c>
      <c r="I568" s="3" t="s">
        <v>63</v>
      </c>
      <c r="K568" s="3" t="s">
        <v>22</v>
      </c>
      <c r="M568" s="4" t="s">
        <v>1636</v>
      </c>
      <c r="N568" s="3" t="s">
        <v>63</v>
      </c>
      <c r="O568" s="3" t="s">
        <v>1786</v>
      </c>
      <c r="W568" s="5" t="s">
        <v>2094</v>
      </c>
      <c r="X568" s="3" t="s">
        <v>1757</v>
      </c>
      <c r="Y568" cm="1">
        <f t="array" ref="Y568">SUM(IF(INT($M$2:$M$594)&amp;" "&amp;$K$2:$K$594=INT($M568)&amp;" "&amp;$K568,1,0))</f>
        <v>1</v>
      </c>
      <c r="Z568" cm="1">
        <f t="array" ref="Z568">SUM(IF(ROUND($M$2:$M$594,0)&amp;" "&amp;$K$2:$K$594=ROUND($M568,0)&amp;" "&amp;$K568,1,0))</f>
        <v>1</v>
      </c>
      <c r="AA568" cm="1">
        <f t="array" ref="AA568">SUM(IF($W$2:$W$594=$W568,1,0))</f>
        <v>1</v>
      </c>
    </row>
    <row r="569" spans="1:27" x14ac:dyDescent="0.25">
      <c r="A569" t="s">
        <v>1664</v>
      </c>
      <c r="B569" t="s">
        <v>1689</v>
      </c>
      <c r="C569" t="s">
        <v>1743</v>
      </c>
      <c r="D569" t="s">
        <v>1716</v>
      </c>
      <c r="E569">
        <v>4</v>
      </c>
      <c r="F569" t="str">
        <f t="shared" si="8"/>
        <v>9/2</v>
      </c>
      <c r="G569" s="1" t="s">
        <v>1637</v>
      </c>
      <c r="I569" s="3" t="s">
        <v>63</v>
      </c>
      <c r="K569" s="3" t="s">
        <v>14</v>
      </c>
      <c r="M569" s="4" t="s">
        <v>1637</v>
      </c>
      <c r="N569" s="3" t="s">
        <v>63</v>
      </c>
      <c r="O569" s="3" t="s">
        <v>1786</v>
      </c>
      <c r="W569" s="5" t="s">
        <v>2095</v>
      </c>
      <c r="X569" s="3" t="s">
        <v>1757</v>
      </c>
      <c r="Y569" cm="1">
        <f t="array" ref="Y569">SUM(IF(INT($M$2:$M$594)&amp;" "&amp;$K$2:$K$594=INT($M569)&amp;" "&amp;$K569,1,0))</f>
        <v>1</v>
      </c>
      <c r="Z569" cm="1">
        <f t="array" ref="Z569">SUM(IF(ROUND($M$2:$M$594,0)&amp;" "&amp;$K$2:$K$594=ROUND($M569,0)&amp;" "&amp;$K569,1,0))</f>
        <v>1</v>
      </c>
      <c r="AA569" cm="1">
        <f t="array" ref="AA569">SUM(IF($W$2:$W$594=$W569,1,0))</f>
        <v>1</v>
      </c>
    </row>
    <row r="570" spans="1:27" x14ac:dyDescent="0.25">
      <c r="A570" t="s">
        <v>1664</v>
      </c>
      <c r="B570" t="s">
        <v>1689</v>
      </c>
      <c r="C570" t="s">
        <v>1743</v>
      </c>
      <c r="D570" t="s">
        <v>1716</v>
      </c>
      <c r="E570">
        <v>8</v>
      </c>
      <c r="F570" t="str">
        <f t="shared" si="8"/>
        <v>17/2</v>
      </c>
      <c r="G570" s="1" t="s">
        <v>1638</v>
      </c>
      <c r="I570" s="3" t="s">
        <v>63</v>
      </c>
      <c r="K570" s="3" t="s">
        <v>164</v>
      </c>
      <c r="M570" s="4" t="s">
        <v>1638</v>
      </c>
      <c r="N570" s="3" t="s">
        <v>63</v>
      </c>
      <c r="O570" s="3" t="s">
        <v>1786</v>
      </c>
      <c r="W570" s="5" t="s">
        <v>2096</v>
      </c>
      <c r="X570" s="3" t="s">
        <v>1757</v>
      </c>
      <c r="Y570" cm="1">
        <f t="array" ref="Y570">SUM(IF(INT($M$2:$M$594)&amp;" "&amp;$K$2:$K$594=INT($M570)&amp;" "&amp;$K570,1,0))</f>
        <v>1</v>
      </c>
      <c r="Z570" cm="1">
        <f t="array" ref="Z570">SUM(IF(ROUND($M$2:$M$594,0)&amp;" "&amp;$K$2:$K$594=ROUND($M570,0)&amp;" "&amp;$K570,1,0))</f>
        <v>1</v>
      </c>
      <c r="AA570" cm="1">
        <f t="array" ref="AA570">SUM(IF($W$2:$W$594=$W570,1,0))</f>
        <v>1</v>
      </c>
    </row>
    <row r="571" spans="1:27" x14ac:dyDescent="0.25">
      <c r="A571" t="s">
        <v>1664</v>
      </c>
      <c r="B571" t="s">
        <v>1689</v>
      </c>
      <c r="C571" t="s">
        <v>1743</v>
      </c>
      <c r="D571" t="s">
        <v>1716</v>
      </c>
      <c r="E571">
        <v>7</v>
      </c>
      <c r="F571" t="str">
        <f t="shared" si="8"/>
        <v>15/2</v>
      </c>
      <c r="G571" s="1" t="s">
        <v>1639</v>
      </c>
      <c r="I571" s="3" t="s">
        <v>63</v>
      </c>
      <c r="K571" s="3" t="s">
        <v>30</v>
      </c>
      <c r="M571" s="4" t="s">
        <v>1639</v>
      </c>
      <c r="N571" s="3" t="s">
        <v>63</v>
      </c>
      <c r="O571" s="3" t="s">
        <v>1786</v>
      </c>
      <c r="W571" s="5" t="s">
        <v>2097</v>
      </c>
      <c r="X571" s="3" t="s">
        <v>1757</v>
      </c>
      <c r="Y571" cm="1">
        <f t="array" ref="Y571">SUM(IF(INT($M$2:$M$594)&amp;" "&amp;$K$2:$K$594=INT($M571)&amp;" "&amp;$K571,1,0))</f>
        <v>1</v>
      </c>
      <c r="Z571" cm="1">
        <f t="array" ref="Z571">SUM(IF(ROUND($M$2:$M$594,0)&amp;" "&amp;$K$2:$K$594=ROUND($M571,0)&amp;" "&amp;$K571,1,0))</f>
        <v>1</v>
      </c>
      <c r="AA571" cm="1">
        <f t="array" ref="AA571">SUM(IF($W$2:$W$594=$W571,1,0))</f>
        <v>1</v>
      </c>
    </row>
    <row r="572" spans="1:27" x14ac:dyDescent="0.25">
      <c r="A572" t="s">
        <v>1664</v>
      </c>
      <c r="B572" t="s">
        <v>1689</v>
      </c>
      <c r="C572" t="s">
        <v>1743</v>
      </c>
      <c r="D572" t="s">
        <v>1716</v>
      </c>
      <c r="E572">
        <v>3</v>
      </c>
      <c r="F572" t="str">
        <f t="shared" si="8"/>
        <v>7/2</v>
      </c>
      <c r="G572" s="1" t="s">
        <v>1640</v>
      </c>
      <c r="I572" s="3" t="s">
        <v>63</v>
      </c>
      <c r="K572" s="3" t="s">
        <v>47</v>
      </c>
      <c r="M572" s="4" t="s">
        <v>1640</v>
      </c>
      <c r="N572" s="3" t="s">
        <v>63</v>
      </c>
      <c r="O572" s="3" t="s">
        <v>1786</v>
      </c>
      <c r="W572" s="5" t="s">
        <v>2098</v>
      </c>
      <c r="X572" s="3" t="s">
        <v>1757</v>
      </c>
      <c r="Y572" cm="1">
        <f t="array" ref="Y572">SUM(IF(INT($M$2:$M$594)&amp;" "&amp;$K$2:$K$594=INT($M572)&amp;" "&amp;$K572,1,0))</f>
        <v>1</v>
      </c>
      <c r="Z572" cm="1">
        <f t="array" ref="Z572">SUM(IF(ROUND($M$2:$M$594,0)&amp;" "&amp;$K$2:$K$594=ROUND($M572,0)&amp;" "&amp;$K572,1,0))</f>
        <v>1</v>
      </c>
      <c r="AA572" cm="1">
        <f t="array" ref="AA572">SUM(IF($W$2:$W$594=$W572,1,0))</f>
        <v>1</v>
      </c>
    </row>
    <row r="573" spans="1:27" x14ac:dyDescent="0.25">
      <c r="A573" t="s">
        <v>1664</v>
      </c>
      <c r="B573" t="s">
        <v>1689</v>
      </c>
      <c r="C573" t="s">
        <v>1743</v>
      </c>
      <c r="D573" t="s">
        <v>1716</v>
      </c>
      <c r="E573">
        <v>4</v>
      </c>
      <c r="F573" t="str">
        <f t="shared" si="8"/>
        <v>9/2</v>
      </c>
      <c r="G573" s="1" t="s">
        <v>1641</v>
      </c>
      <c r="I573" s="3" t="s">
        <v>63</v>
      </c>
      <c r="K573" s="3" t="s">
        <v>14</v>
      </c>
      <c r="M573" s="4" t="s">
        <v>1641</v>
      </c>
      <c r="N573" s="3" t="s">
        <v>63</v>
      </c>
      <c r="O573" s="3" t="s">
        <v>1786</v>
      </c>
      <c r="W573" s="5" t="s">
        <v>2099</v>
      </c>
      <c r="X573" s="3" t="s">
        <v>1757</v>
      </c>
      <c r="Y573" cm="1">
        <f t="array" ref="Y573">SUM(IF(INT($M$2:$M$594)&amp;" "&amp;$K$2:$K$594=INT($M573)&amp;" "&amp;$K573,1,0))</f>
        <v>1</v>
      </c>
      <c r="Z573" cm="1">
        <f t="array" ref="Z573">SUM(IF(ROUND($M$2:$M$594,0)&amp;" "&amp;$K$2:$K$594=ROUND($M573,0)&amp;" "&amp;$K573,1,0))</f>
        <v>1</v>
      </c>
      <c r="AA573" cm="1">
        <f t="array" ref="AA573">SUM(IF($W$2:$W$594=$W573,1,0))</f>
        <v>1</v>
      </c>
    </row>
    <row r="574" spans="1:27" x14ac:dyDescent="0.25">
      <c r="A574" t="s">
        <v>1664</v>
      </c>
      <c r="B574" t="s">
        <v>1689</v>
      </c>
      <c r="C574" t="s">
        <v>1743</v>
      </c>
      <c r="D574" t="s">
        <v>1716</v>
      </c>
      <c r="E574">
        <v>2</v>
      </c>
      <c r="F574" t="str">
        <f t="shared" si="8"/>
        <v>5/2</v>
      </c>
      <c r="G574" s="1" t="s">
        <v>1642</v>
      </c>
      <c r="I574" s="3" t="s">
        <v>63</v>
      </c>
      <c r="K574" s="3" t="s">
        <v>43</v>
      </c>
      <c r="M574" s="4" t="s">
        <v>1642</v>
      </c>
      <c r="N574" s="3" t="s">
        <v>63</v>
      </c>
      <c r="O574" s="3" t="s">
        <v>1786</v>
      </c>
      <c r="W574" s="5" t="s">
        <v>2100</v>
      </c>
      <c r="X574" s="3" t="s">
        <v>1757</v>
      </c>
      <c r="Y574" cm="1">
        <f t="array" ref="Y574">SUM(IF(INT($M$2:$M$594)&amp;" "&amp;$K$2:$K$594=INT($M574)&amp;" "&amp;$K574,1,0))</f>
        <v>1</v>
      </c>
      <c r="Z574" cm="1">
        <f t="array" ref="Z574">SUM(IF(ROUND($M$2:$M$594,0)&amp;" "&amp;$K$2:$K$594=ROUND($M574,0)&amp;" "&amp;$K574,1,0))</f>
        <v>1</v>
      </c>
      <c r="AA574" cm="1">
        <f t="array" ref="AA574">SUM(IF($W$2:$W$594=$W574,1,0))</f>
        <v>1</v>
      </c>
    </row>
    <row r="575" spans="1:27" x14ac:dyDescent="0.25">
      <c r="A575" t="s">
        <v>1664</v>
      </c>
      <c r="B575" t="s">
        <v>1689</v>
      </c>
      <c r="C575" t="s">
        <v>1743</v>
      </c>
      <c r="D575" t="s">
        <v>1716</v>
      </c>
      <c r="E575">
        <v>2</v>
      </c>
      <c r="F575" t="str">
        <f t="shared" si="8"/>
        <v>5/2</v>
      </c>
      <c r="G575" s="1" t="s">
        <v>1643</v>
      </c>
      <c r="I575" s="3" t="s">
        <v>63</v>
      </c>
      <c r="K575" s="3" t="s">
        <v>43</v>
      </c>
      <c r="M575" s="4" t="s">
        <v>1643</v>
      </c>
      <c r="N575" s="3" t="s">
        <v>63</v>
      </c>
      <c r="O575" s="3" t="s">
        <v>1786</v>
      </c>
      <c r="W575" s="5" t="s">
        <v>2101</v>
      </c>
      <c r="X575" s="3" t="s">
        <v>1757</v>
      </c>
      <c r="Y575" cm="1">
        <f t="array" ref="Y575">SUM(IF(INT($M$2:$M$594)&amp;" "&amp;$K$2:$K$594=INT($M575)&amp;" "&amp;$K575,1,0))</f>
        <v>1</v>
      </c>
      <c r="Z575" cm="1">
        <f t="array" ref="Z575">SUM(IF(ROUND($M$2:$M$594,0)&amp;" "&amp;$K$2:$K$594=ROUND($M575,0)&amp;" "&amp;$K575,1,0))</f>
        <v>1</v>
      </c>
      <c r="AA575" cm="1">
        <f t="array" ref="AA575">SUM(IF($W$2:$W$594=$W575,1,0))</f>
        <v>1</v>
      </c>
    </row>
    <row r="576" spans="1:27" x14ac:dyDescent="0.25">
      <c r="G576" s="1"/>
      <c r="I576" s="3" t="s">
        <v>63</v>
      </c>
      <c r="K576" s="4" t="s">
        <v>35</v>
      </c>
      <c r="M576" s="4" t="s">
        <v>2123</v>
      </c>
      <c r="N576" s="3" t="s">
        <v>63</v>
      </c>
      <c r="O576" s="3" t="s">
        <v>1786</v>
      </c>
      <c r="W576" s="5" t="s">
        <v>2102</v>
      </c>
      <c r="X576" s="3" t="s">
        <v>2125</v>
      </c>
      <c r="Y576" cm="1">
        <f t="array" ref="Y576">SUM(IF(INT($M$2:$M$594)&amp;" "&amp;$K$2:$K$594=INT($M576)&amp;" "&amp;$K576,1,0))</f>
        <v>1</v>
      </c>
      <c r="Z576" cm="1">
        <f t="array" ref="Z576">SUM(IF(ROUND($M$2:$M$594,0)&amp;" "&amp;$K$2:$K$594=ROUND($M576,0)&amp;" "&amp;$K576,1,0))</f>
        <v>1</v>
      </c>
      <c r="AA576" cm="1">
        <f t="array" ref="AA576">SUM(IF($W$2:$W$594=$W576,1,0))</f>
        <v>1</v>
      </c>
    </row>
    <row r="577" spans="1:27" x14ac:dyDescent="0.25">
      <c r="A577" t="s">
        <v>1664</v>
      </c>
      <c r="B577" t="s">
        <v>1689</v>
      </c>
      <c r="C577" t="s">
        <v>1743</v>
      </c>
      <c r="D577" t="s">
        <v>1716</v>
      </c>
      <c r="E577">
        <v>9</v>
      </c>
      <c r="F577" t="str">
        <f t="shared" si="8"/>
        <v>19/2</v>
      </c>
      <c r="G577" s="1" t="s">
        <v>1644</v>
      </c>
      <c r="I577" s="3" t="s">
        <v>63</v>
      </c>
      <c r="K577" s="3" t="s">
        <v>1160</v>
      </c>
      <c r="M577" s="4" t="s">
        <v>1644</v>
      </c>
      <c r="N577" s="3" t="s">
        <v>63</v>
      </c>
      <c r="O577" s="3" t="s">
        <v>1786</v>
      </c>
      <c r="W577" s="5" t="s">
        <v>2103</v>
      </c>
      <c r="X577" s="3" t="s">
        <v>1757</v>
      </c>
      <c r="Y577" cm="1">
        <f t="array" ref="Y577">SUM(IF(INT($M$2:$M$594)&amp;" "&amp;$K$2:$K$594=INT($M577)&amp;" "&amp;$K577,1,0))</f>
        <v>1</v>
      </c>
      <c r="Z577" cm="1">
        <f t="array" ref="Z577">SUM(IF(ROUND($M$2:$M$594,0)&amp;" "&amp;$K$2:$K$594=ROUND($M577,0)&amp;" "&amp;$K577,1,0))</f>
        <v>1</v>
      </c>
      <c r="AA577" cm="1">
        <f t="array" ref="AA577">SUM(IF($W$2:$W$594=$W577,1,0))</f>
        <v>1</v>
      </c>
    </row>
    <row r="578" spans="1:27" x14ac:dyDescent="0.25">
      <c r="A578" t="s">
        <v>1664</v>
      </c>
      <c r="B578" t="s">
        <v>1689</v>
      </c>
      <c r="C578" t="s">
        <v>1743</v>
      </c>
      <c r="D578" t="s">
        <v>1716</v>
      </c>
      <c r="E578">
        <v>8</v>
      </c>
      <c r="F578" t="str">
        <f t="shared" si="8"/>
        <v>17/2</v>
      </c>
      <c r="G578" s="1" t="s">
        <v>1645</v>
      </c>
      <c r="I578" s="3" t="s">
        <v>63</v>
      </c>
      <c r="K578" s="3" t="s">
        <v>164</v>
      </c>
      <c r="M578" s="4" t="s">
        <v>1645</v>
      </c>
      <c r="N578" s="3" t="s">
        <v>63</v>
      </c>
      <c r="O578" s="3" t="s">
        <v>1786</v>
      </c>
      <c r="W578" s="5" t="s">
        <v>2104</v>
      </c>
      <c r="X578" s="3" t="s">
        <v>1757</v>
      </c>
      <c r="Y578" cm="1">
        <f t="array" ref="Y578">SUM(IF(INT($M$2:$M$594)&amp;" "&amp;$K$2:$K$594=INT($M578)&amp;" "&amp;$K578,1,0))</f>
        <v>1</v>
      </c>
      <c r="Z578" cm="1">
        <f t="array" ref="Z578">SUM(IF(ROUND($M$2:$M$594,0)&amp;" "&amp;$K$2:$K$594=ROUND($M578,0)&amp;" "&amp;$K578,1,0))</f>
        <v>1</v>
      </c>
      <c r="AA578" cm="1">
        <f t="array" ref="AA578">SUM(IF($W$2:$W$594=$W578,1,0))</f>
        <v>1</v>
      </c>
    </row>
    <row r="579" spans="1:27" x14ac:dyDescent="0.25">
      <c r="A579" t="s">
        <v>1664</v>
      </c>
      <c r="B579" t="s">
        <v>1690</v>
      </c>
      <c r="C579" t="s">
        <v>1743</v>
      </c>
      <c r="D579" t="s">
        <v>1717</v>
      </c>
      <c r="E579">
        <v>6</v>
      </c>
      <c r="F579" t="str">
        <f t="shared" si="8"/>
        <v>13/2</v>
      </c>
      <c r="G579" s="1" t="s">
        <v>1646</v>
      </c>
      <c r="I579" s="3" t="s">
        <v>63</v>
      </c>
      <c r="K579" s="3" t="s">
        <v>26</v>
      </c>
      <c r="M579" s="4" t="s">
        <v>1646</v>
      </c>
      <c r="N579" s="3" t="s">
        <v>63</v>
      </c>
      <c r="O579" s="3" t="s">
        <v>1787</v>
      </c>
      <c r="W579" s="5" t="s">
        <v>2105</v>
      </c>
      <c r="X579" s="3" t="s">
        <v>1757</v>
      </c>
      <c r="Y579" cm="1">
        <f t="array" ref="Y579">SUM(IF(INT($M$2:$M$594)&amp;" "&amp;$K$2:$K$594=INT($M579)&amp;" "&amp;$K579,1,0))</f>
        <v>1</v>
      </c>
      <c r="Z579" cm="1">
        <f t="array" ref="Z579">SUM(IF(ROUND($M$2:$M$594,0)&amp;" "&amp;$K$2:$K$594=ROUND($M579,0)&amp;" "&amp;$K579,1,0))</f>
        <v>1</v>
      </c>
      <c r="AA579" cm="1">
        <f t="array" ref="AA579">SUM(IF($W$2:$W$594=$W579,1,0))</f>
        <v>1</v>
      </c>
    </row>
    <row r="580" spans="1:27" x14ac:dyDescent="0.25">
      <c r="A580" t="s">
        <v>1664</v>
      </c>
      <c r="B580" t="s">
        <v>1690</v>
      </c>
      <c r="C580" t="s">
        <v>1743</v>
      </c>
      <c r="D580" t="s">
        <v>1717</v>
      </c>
      <c r="E580">
        <v>7</v>
      </c>
      <c r="F580" t="str">
        <f t="shared" si="8"/>
        <v>15/2</v>
      </c>
      <c r="G580" s="1" t="s">
        <v>1647</v>
      </c>
      <c r="I580" s="3" t="s">
        <v>63</v>
      </c>
      <c r="K580" s="3" t="s">
        <v>30</v>
      </c>
      <c r="M580" s="4" t="s">
        <v>1647</v>
      </c>
      <c r="N580" s="3" t="s">
        <v>63</v>
      </c>
      <c r="O580" s="3" t="s">
        <v>1787</v>
      </c>
      <c r="W580" s="5" t="s">
        <v>2106</v>
      </c>
      <c r="X580" s="3" t="s">
        <v>1757</v>
      </c>
      <c r="Y580" cm="1">
        <f t="array" ref="Y580">SUM(IF(INT($M$2:$M$594)&amp;" "&amp;$K$2:$K$594=INT($M580)&amp;" "&amp;$K580,1,0))</f>
        <v>1</v>
      </c>
      <c r="Z580" cm="1">
        <f t="array" ref="Z580">SUM(IF(ROUND($M$2:$M$594,0)&amp;" "&amp;$K$2:$K$594=ROUND($M580,0)&amp;" "&amp;$K580,1,0))</f>
        <v>1</v>
      </c>
      <c r="AA580" cm="1">
        <f t="array" ref="AA580">SUM(IF($W$2:$W$594=$W580,1,0))</f>
        <v>1</v>
      </c>
    </row>
    <row r="581" spans="1:27" x14ac:dyDescent="0.25">
      <c r="A581" t="s">
        <v>1664</v>
      </c>
      <c r="B581" t="s">
        <v>1690</v>
      </c>
      <c r="C581" t="s">
        <v>1743</v>
      </c>
      <c r="D581" t="s">
        <v>1717</v>
      </c>
      <c r="E581">
        <v>7</v>
      </c>
      <c r="F581" t="str">
        <f t="shared" si="8"/>
        <v>15/2</v>
      </c>
      <c r="G581" s="1" t="s">
        <v>1648</v>
      </c>
      <c r="I581" s="3" t="s">
        <v>63</v>
      </c>
      <c r="K581" s="3" t="s">
        <v>30</v>
      </c>
      <c r="M581" s="4" t="s">
        <v>1648</v>
      </c>
      <c r="N581" s="3" t="s">
        <v>63</v>
      </c>
      <c r="O581" s="3" t="s">
        <v>1787</v>
      </c>
      <c r="W581" s="5" t="s">
        <v>2107</v>
      </c>
      <c r="X581" s="3" t="s">
        <v>1757</v>
      </c>
      <c r="Y581" cm="1">
        <f t="array" ref="Y581">SUM(IF(INT($M$2:$M$594)&amp;" "&amp;$K$2:$K$594=INT($M581)&amp;" "&amp;$K581,1,0))</f>
        <v>1</v>
      </c>
      <c r="Z581" cm="1">
        <f t="array" ref="Z581">SUM(IF(ROUND($M$2:$M$594,0)&amp;" "&amp;$K$2:$K$594=ROUND($M581,0)&amp;" "&amp;$K581,1,0))</f>
        <v>1</v>
      </c>
      <c r="AA581" cm="1">
        <f t="array" ref="AA581">SUM(IF($W$2:$W$594=$W581,1,0))</f>
        <v>1</v>
      </c>
    </row>
    <row r="582" spans="1:27" x14ac:dyDescent="0.25">
      <c r="A582" t="s">
        <v>1664</v>
      </c>
      <c r="B582" t="s">
        <v>1690</v>
      </c>
      <c r="C582" t="s">
        <v>1743</v>
      </c>
      <c r="D582" t="s">
        <v>1717</v>
      </c>
      <c r="E582">
        <v>8</v>
      </c>
      <c r="F582" t="str">
        <f t="shared" si="8"/>
        <v>17/2</v>
      </c>
      <c r="G582" s="1" t="s">
        <v>1649</v>
      </c>
      <c r="I582" s="3" t="s">
        <v>63</v>
      </c>
      <c r="K582" s="3" t="s">
        <v>164</v>
      </c>
      <c r="M582" s="4" t="s">
        <v>1649</v>
      </c>
      <c r="N582" s="3" t="s">
        <v>63</v>
      </c>
      <c r="O582" s="3" t="s">
        <v>1787</v>
      </c>
      <c r="W582" s="5" t="s">
        <v>2108</v>
      </c>
      <c r="X582" s="3" t="s">
        <v>1757</v>
      </c>
      <c r="Y582" cm="1">
        <f t="array" ref="Y582">SUM(IF(INT($M$2:$M$594)&amp;" "&amp;$K$2:$K$594=INT($M582)&amp;" "&amp;$K582,1,0))</f>
        <v>1</v>
      </c>
      <c r="Z582" cm="1">
        <f t="array" ref="Z582">SUM(IF(ROUND($M$2:$M$594,0)&amp;" "&amp;$K$2:$K$594=ROUND($M582,0)&amp;" "&amp;$K582,1,0))</f>
        <v>1</v>
      </c>
      <c r="AA582" cm="1">
        <f t="array" ref="AA582">SUM(IF($W$2:$W$594=$W582,1,0))</f>
        <v>1</v>
      </c>
    </row>
    <row r="583" spans="1:27" x14ac:dyDescent="0.25">
      <c r="A583" t="s">
        <v>1664</v>
      </c>
      <c r="B583" t="s">
        <v>1690</v>
      </c>
      <c r="C583" t="s">
        <v>1743</v>
      </c>
      <c r="D583" t="s">
        <v>1717</v>
      </c>
      <c r="E583">
        <v>6</v>
      </c>
      <c r="F583" t="str">
        <f t="shared" ref="F583:F594" si="9">(2*E583+1)&amp;"/2"</f>
        <v>13/2</v>
      </c>
      <c r="G583" s="1" t="s">
        <v>1650</v>
      </c>
      <c r="I583" s="3" t="s">
        <v>63</v>
      </c>
      <c r="K583" s="3" t="s">
        <v>26</v>
      </c>
      <c r="M583" s="4" t="s">
        <v>1650</v>
      </c>
      <c r="N583" s="3" t="s">
        <v>63</v>
      </c>
      <c r="O583" s="3" t="s">
        <v>1787</v>
      </c>
      <c r="W583" s="5" t="s">
        <v>2109</v>
      </c>
      <c r="X583" s="3" t="s">
        <v>1757</v>
      </c>
      <c r="Y583" cm="1">
        <f t="array" ref="Y583">SUM(IF(INT($M$2:$M$594)&amp;" "&amp;$K$2:$K$594=INT($M583)&amp;" "&amp;$K583,1,0))</f>
        <v>1</v>
      </c>
      <c r="Z583" cm="1">
        <f t="array" ref="Z583">SUM(IF(ROUND($M$2:$M$594,0)&amp;" "&amp;$K$2:$K$594=ROUND($M583,0)&amp;" "&amp;$K583,1,0))</f>
        <v>1</v>
      </c>
      <c r="AA583" cm="1">
        <f t="array" ref="AA583">SUM(IF($W$2:$W$594=$W583,1,0))</f>
        <v>1</v>
      </c>
    </row>
    <row r="584" spans="1:27" x14ac:dyDescent="0.25">
      <c r="A584" t="s">
        <v>1664</v>
      </c>
      <c r="B584" t="s">
        <v>1690</v>
      </c>
      <c r="C584" t="s">
        <v>1743</v>
      </c>
      <c r="D584" t="s">
        <v>1717</v>
      </c>
      <c r="E584">
        <v>5</v>
      </c>
      <c r="F584" t="str">
        <f t="shared" si="9"/>
        <v>11/2</v>
      </c>
      <c r="G584" s="1" t="s">
        <v>1651</v>
      </c>
      <c r="I584" s="3" t="s">
        <v>63</v>
      </c>
      <c r="K584" s="3" t="s">
        <v>22</v>
      </c>
      <c r="M584" s="4" t="s">
        <v>1651</v>
      </c>
      <c r="N584" s="3" t="s">
        <v>63</v>
      </c>
      <c r="O584" s="3" t="s">
        <v>1787</v>
      </c>
      <c r="W584" s="5" t="s">
        <v>2110</v>
      </c>
      <c r="X584" s="3" t="s">
        <v>1757</v>
      </c>
      <c r="Y584" cm="1">
        <f t="array" ref="Y584">SUM(IF(INT($M$2:$M$594)&amp;" "&amp;$K$2:$K$594=INT($M584)&amp;" "&amp;$K584,1,0))</f>
        <v>1</v>
      </c>
      <c r="Z584" cm="1">
        <f t="array" ref="Z584">SUM(IF(ROUND($M$2:$M$594,0)&amp;" "&amp;$K$2:$K$594=ROUND($M584,0)&amp;" "&amp;$K584,1,0))</f>
        <v>1</v>
      </c>
      <c r="AA584" cm="1">
        <f t="array" ref="AA584">SUM(IF($W$2:$W$594=$W584,1,0))</f>
        <v>1</v>
      </c>
    </row>
    <row r="585" spans="1:27" x14ac:dyDescent="0.25">
      <c r="A585" t="s">
        <v>1664</v>
      </c>
      <c r="B585" t="s">
        <v>1690</v>
      </c>
      <c r="C585" t="s">
        <v>1743</v>
      </c>
      <c r="D585" t="s">
        <v>1717</v>
      </c>
      <c r="E585">
        <v>4</v>
      </c>
      <c r="F585" t="str">
        <f t="shared" si="9"/>
        <v>9/2</v>
      </c>
      <c r="G585" s="1" t="s">
        <v>1652</v>
      </c>
      <c r="I585" s="3" t="s">
        <v>63</v>
      </c>
      <c r="K585" s="3" t="s">
        <v>14</v>
      </c>
      <c r="M585" s="4" t="s">
        <v>1652</v>
      </c>
      <c r="N585" s="3" t="s">
        <v>63</v>
      </c>
      <c r="O585" s="3" t="s">
        <v>1787</v>
      </c>
      <c r="W585" s="5" t="s">
        <v>2111</v>
      </c>
      <c r="X585" s="3" t="s">
        <v>1757</v>
      </c>
      <c r="Y585" cm="1">
        <f t="array" ref="Y585">SUM(IF(INT($M$2:$M$594)&amp;" "&amp;$K$2:$K$594=INT($M585)&amp;" "&amp;$K585,1,0))</f>
        <v>1</v>
      </c>
      <c r="Z585" cm="1">
        <f t="array" ref="Z585">SUM(IF(ROUND($M$2:$M$594,0)&amp;" "&amp;$K$2:$K$594=ROUND($M585,0)&amp;" "&amp;$K585,1,0))</f>
        <v>1</v>
      </c>
      <c r="AA585" cm="1">
        <f t="array" ref="AA585">SUM(IF($W$2:$W$594=$W585,1,0))</f>
        <v>1</v>
      </c>
    </row>
    <row r="586" spans="1:27" x14ac:dyDescent="0.25">
      <c r="A586" t="s">
        <v>1664</v>
      </c>
      <c r="B586" t="s">
        <v>1690</v>
      </c>
      <c r="C586" t="s">
        <v>1743</v>
      </c>
      <c r="D586" t="s">
        <v>1717</v>
      </c>
      <c r="E586">
        <v>5</v>
      </c>
      <c r="F586" t="str">
        <f t="shared" si="9"/>
        <v>11/2</v>
      </c>
      <c r="G586" s="1" t="s">
        <v>1653</v>
      </c>
      <c r="I586" s="3" t="s">
        <v>63</v>
      </c>
      <c r="K586" s="3" t="s">
        <v>22</v>
      </c>
      <c r="M586" s="4" t="s">
        <v>1653</v>
      </c>
      <c r="N586" s="3" t="s">
        <v>63</v>
      </c>
      <c r="O586" s="3" t="s">
        <v>1787</v>
      </c>
      <c r="W586" s="5" t="s">
        <v>2112</v>
      </c>
      <c r="X586" s="3" t="s">
        <v>1757</v>
      </c>
      <c r="Y586" cm="1">
        <f t="array" ref="Y586">SUM(IF(INT($M$2:$M$594)&amp;" "&amp;$K$2:$K$594=INT($M586)&amp;" "&amp;$K586,1,0))</f>
        <v>1</v>
      </c>
      <c r="Z586" cm="1">
        <f t="array" ref="Z586">SUM(IF(ROUND($M$2:$M$594,0)&amp;" "&amp;$K$2:$K$594=ROUND($M586,0)&amp;" "&amp;$K586,1,0))</f>
        <v>1</v>
      </c>
      <c r="AA586" cm="1">
        <f t="array" ref="AA586">SUM(IF($W$2:$W$594=$W586,1,0))</f>
        <v>1</v>
      </c>
    </row>
    <row r="587" spans="1:27" x14ac:dyDescent="0.25">
      <c r="A587" t="s">
        <v>1664</v>
      </c>
      <c r="B587" t="s">
        <v>1690</v>
      </c>
      <c r="C587" t="s">
        <v>1743</v>
      </c>
      <c r="D587" t="s">
        <v>1717</v>
      </c>
      <c r="E587">
        <v>9</v>
      </c>
      <c r="F587" t="str">
        <f t="shared" si="9"/>
        <v>19/2</v>
      </c>
      <c r="G587" s="1" t="s">
        <v>1654</v>
      </c>
      <c r="I587" s="3" t="s">
        <v>63</v>
      </c>
      <c r="K587" s="3" t="s">
        <v>1160</v>
      </c>
      <c r="M587" s="4" t="s">
        <v>1654</v>
      </c>
      <c r="N587" s="3" t="s">
        <v>63</v>
      </c>
      <c r="O587" s="3" t="s">
        <v>1787</v>
      </c>
      <c r="W587" s="5" t="s">
        <v>2113</v>
      </c>
      <c r="X587" s="3" t="s">
        <v>1757</v>
      </c>
      <c r="Y587" cm="1">
        <f t="array" ref="Y587">SUM(IF(INT($M$2:$M$594)&amp;" "&amp;$K$2:$K$594=INT($M587)&amp;" "&amp;$K587,1,0))</f>
        <v>1</v>
      </c>
      <c r="Z587" cm="1">
        <f t="array" ref="Z587">SUM(IF(ROUND($M$2:$M$594,0)&amp;" "&amp;$K$2:$K$594=ROUND($M587,0)&amp;" "&amp;$K587,1,0))</f>
        <v>1</v>
      </c>
      <c r="AA587" cm="1">
        <f t="array" ref="AA587">SUM(IF($W$2:$W$594=$W587,1,0))</f>
        <v>1</v>
      </c>
    </row>
    <row r="588" spans="1:27" x14ac:dyDescent="0.25">
      <c r="A588" t="s">
        <v>1664</v>
      </c>
      <c r="B588" t="s">
        <v>1690</v>
      </c>
      <c r="C588" t="s">
        <v>1743</v>
      </c>
      <c r="D588" t="s">
        <v>1717</v>
      </c>
      <c r="E588">
        <v>8</v>
      </c>
      <c r="F588" t="str">
        <f t="shared" si="9"/>
        <v>17/2</v>
      </c>
      <c r="G588" s="1" t="s">
        <v>1655</v>
      </c>
      <c r="I588" s="3" t="s">
        <v>63</v>
      </c>
      <c r="K588" s="3" t="s">
        <v>164</v>
      </c>
      <c r="M588" s="4" t="s">
        <v>1655</v>
      </c>
      <c r="N588" s="3" t="s">
        <v>63</v>
      </c>
      <c r="O588" s="3" t="s">
        <v>1787</v>
      </c>
      <c r="W588" s="5" t="s">
        <v>2114</v>
      </c>
      <c r="X588" s="3" t="s">
        <v>1757</v>
      </c>
      <c r="Y588" cm="1">
        <f t="array" ref="Y588">SUM(IF(INT($M$2:$M$594)&amp;" "&amp;$K$2:$K$594=INT($M588)&amp;" "&amp;$K588,1,0))</f>
        <v>1</v>
      </c>
      <c r="Z588" cm="1">
        <f t="array" ref="Z588">SUM(IF(ROUND($M$2:$M$594,0)&amp;" "&amp;$K$2:$K$594=ROUND($M588,0)&amp;" "&amp;$K588,1,0))</f>
        <v>1</v>
      </c>
      <c r="AA588" cm="1">
        <f t="array" ref="AA588">SUM(IF($W$2:$W$594=$W588,1,0))</f>
        <v>1</v>
      </c>
    </row>
    <row r="589" spans="1:27" x14ac:dyDescent="0.25">
      <c r="A589" t="s">
        <v>1664</v>
      </c>
      <c r="B589" t="s">
        <v>1690</v>
      </c>
      <c r="C589" t="s">
        <v>1743</v>
      </c>
      <c r="D589" t="s">
        <v>1717</v>
      </c>
      <c r="E589">
        <v>4</v>
      </c>
      <c r="F589" t="str">
        <f t="shared" si="9"/>
        <v>9/2</v>
      </c>
      <c r="G589" s="1" t="s">
        <v>1656</v>
      </c>
      <c r="I589" s="3" t="s">
        <v>63</v>
      </c>
      <c r="K589" s="3" t="s">
        <v>14</v>
      </c>
      <c r="M589" s="4" t="s">
        <v>1656</v>
      </c>
      <c r="N589" s="3" t="s">
        <v>63</v>
      </c>
      <c r="O589" s="3" t="s">
        <v>1787</v>
      </c>
      <c r="W589" s="5" t="s">
        <v>2115</v>
      </c>
      <c r="X589" s="3" t="s">
        <v>1757</v>
      </c>
      <c r="Y589" cm="1">
        <f t="array" ref="Y589">SUM(IF(INT($M$2:$M$594)&amp;" "&amp;$K$2:$K$594=INT($M589)&amp;" "&amp;$K589,1,0))</f>
        <v>1</v>
      </c>
      <c r="Z589" cm="1">
        <f t="array" ref="Z589">SUM(IF(ROUND($M$2:$M$594,0)&amp;" "&amp;$K$2:$K$594=ROUND($M589,0)&amp;" "&amp;$K589,1,0))</f>
        <v>1</v>
      </c>
      <c r="AA589" cm="1">
        <f t="array" ref="AA589">SUM(IF($W$2:$W$594=$W589,1,0))</f>
        <v>1</v>
      </c>
    </row>
    <row r="590" spans="1:27" x14ac:dyDescent="0.25">
      <c r="A590" t="s">
        <v>1664</v>
      </c>
      <c r="B590" t="s">
        <v>1690</v>
      </c>
      <c r="C590" t="s">
        <v>1743</v>
      </c>
      <c r="D590" t="s">
        <v>1717</v>
      </c>
      <c r="E590">
        <v>3</v>
      </c>
      <c r="F590" t="str">
        <f t="shared" si="9"/>
        <v>7/2</v>
      </c>
      <c r="G590" s="1" t="s">
        <v>1657</v>
      </c>
      <c r="I590" s="3" t="s">
        <v>63</v>
      </c>
      <c r="K590" s="3" t="s">
        <v>47</v>
      </c>
      <c r="M590" s="4" t="s">
        <v>1657</v>
      </c>
      <c r="N590" s="3" t="s">
        <v>63</v>
      </c>
      <c r="O590" s="3" t="s">
        <v>1787</v>
      </c>
      <c r="W590" s="5" t="s">
        <v>2116</v>
      </c>
      <c r="X590" s="3" t="s">
        <v>1757</v>
      </c>
      <c r="Y590" cm="1">
        <f t="array" ref="Y590">SUM(IF(INT($M$2:$M$594)&amp;" "&amp;$K$2:$K$594=INT($M590)&amp;" "&amp;$K590,1,0))</f>
        <v>1</v>
      </c>
      <c r="Z590" cm="1">
        <f t="array" ref="Z590">SUM(IF(ROUND($M$2:$M$594,0)&amp;" "&amp;$K$2:$K$594=ROUND($M590,0)&amp;" "&amp;$K590,1,0))</f>
        <v>1</v>
      </c>
      <c r="AA590" cm="1">
        <f t="array" ref="AA590">SUM(IF($W$2:$W$594=$W590,1,0))</f>
        <v>1</v>
      </c>
    </row>
    <row r="591" spans="1:27" x14ac:dyDescent="0.25">
      <c r="A591" t="s">
        <v>1664</v>
      </c>
      <c r="B591" t="s">
        <v>1690</v>
      </c>
      <c r="C591" t="s">
        <v>1743</v>
      </c>
      <c r="D591" t="s">
        <v>1717</v>
      </c>
      <c r="E591">
        <v>2</v>
      </c>
      <c r="F591" t="str">
        <f t="shared" si="9"/>
        <v>5/2</v>
      </c>
      <c r="G591" s="1" t="s">
        <v>1658</v>
      </c>
      <c r="I591" s="3" t="s">
        <v>63</v>
      </c>
      <c r="K591" s="3" t="s">
        <v>43</v>
      </c>
      <c r="M591" s="4" t="s">
        <v>1658</v>
      </c>
      <c r="N591" s="3" t="s">
        <v>63</v>
      </c>
      <c r="O591" s="3" t="s">
        <v>1787</v>
      </c>
      <c r="W591" s="5" t="s">
        <v>2117</v>
      </c>
      <c r="X591" s="3" t="s">
        <v>1757</v>
      </c>
      <c r="Y591" cm="1">
        <f t="array" ref="Y591">SUM(IF(INT($M$2:$M$594)&amp;" "&amp;$K$2:$K$594=INT($M591)&amp;" "&amp;$K591,1,0))</f>
        <v>1</v>
      </c>
      <c r="Z591" cm="1">
        <f t="array" ref="Z591">SUM(IF(ROUND($M$2:$M$594,0)&amp;" "&amp;$K$2:$K$594=ROUND($M591,0)&amp;" "&amp;$K591,1,0))</f>
        <v>1</v>
      </c>
      <c r="AA591" cm="1">
        <f t="array" ref="AA591">SUM(IF($W$2:$W$594=$W591,1,0))</f>
        <v>1</v>
      </c>
    </row>
    <row r="592" spans="1:27" x14ac:dyDescent="0.25">
      <c r="A592" t="s">
        <v>1664</v>
      </c>
      <c r="B592" t="s">
        <v>1690</v>
      </c>
      <c r="C592" t="s">
        <v>1743</v>
      </c>
      <c r="D592" t="s">
        <v>1717</v>
      </c>
      <c r="E592">
        <v>10</v>
      </c>
      <c r="F592" t="str">
        <f t="shared" si="9"/>
        <v>21/2</v>
      </c>
      <c r="G592" s="1" t="s">
        <v>1659</v>
      </c>
      <c r="I592" s="3" t="s">
        <v>63</v>
      </c>
      <c r="K592" s="3" t="s">
        <v>1797</v>
      </c>
      <c r="M592" s="4" t="s">
        <v>1659</v>
      </c>
      <c r="N592" s="3" t="s">
        <v>63</v>
      </c>
      <c r="O592" s="3" t="s">
        <v>1787</v>
      </c>
      <c r="W592" s="5" t="s">
        <v>2118</v>
      </c>
      <c r="X592" s="3" t="s">
        <v>1757</v>
      </c>
      <c r="Y592" cm="1">
        <f t="array" ref="Y592">SUM(IF(INT($M$2:$M$594)&amp;" "&amp;$K$2:$K$594=INT($M592)&amp;" "&amp;$K592,1,0))</f>
        <v>1</v>
      </c>
      <c r="Z592" cm="1">
        <f t="array" ref="Z592">SUM(IF(ROUND($M$2:$M$594,0)&amp;" "&amp;$K$2:$K$594=ROUND($M592,0)&amp;" "&amp;$K592,1,0))</f>
        <v>1</v>
      </c>
      <c r="AA592" cm="1">
        <f t="array" ref="AA592">SUM(IF($W$2:$W$594=$W592,1,0))</f>
        <v>1</v>
      </c>
    </row>
    <row r="593" spans="1:27" x14ac:dyDescent="0.25">
      <c r="A593" t="s">
        <v>1664</v>
      </c>
      <c r="B593" t="s">
        <v>1690</v>
      </c>
      <c r="C593" t="s">
        <v>1743</v>
      </c>
      <c r="D593" t="s">
        <v>1717</v>
      </c>
      <c r="E593">
        <v>9</v>
      </c>
      <c r="F593" t="str">
        <f t="shared" si="9"/>
        <v>19/2</v>
      </c>
      <c r="G593" s="1" t="s">
        <v>1660</v>
      </c>
      <c r="I593" s="3" t="s">
        <v>63</v>
      </c>
      <c r="K593" s="3" t="s">
        <v>1160</v>
      </c>
      <c r="M593" s="4" t="s">
        <v>1660</v>
      </c>
      <c r="N593" s="3" t="s">
        <v>63</v>
      </c>
      <c r="O593" s="3" t="s">
        <v>1787</v>
      </c>
      <c r="W593" s="5" t="s">
        <v>2119</v>
      </c>
      <c r="X593" s="3" t="s">
        <v>1757</v>
      </c>
      <c r="Y593" cm="1">
        <f t="array" ref="Y593">SUM(IF(INT($M$2:$M$594)&amp;" "&amp;$K$2:$K$594=INT($M593)&amp;" "&amp;$K593,1,0))</f>
        <v>1</v>
      </c>
      <c r="Z593" cm="1">
        <f t="array" ref="Z593">SUM(IF(ROUND($M$2:$M$594,0)&amp;" "&amp;$K$2:$K$594=ROUND($M593,0)&amp;" "&amp;$K593,1,0))</f>
        <v>1</v>
      </c>
      <c r="AA593" cm="1">
        <f t="array" ref="AA593">SUM(IF($W$2:$W$594=$W593,1,0))</f>
        <v>1</v>
      </c>
    </row>
    <row r="594" spans="1:27" x14ac:dyDescent="0.25">
      <c r="A594" t="s">
        <v>1662</v>
      </c>
      <c r="B594" t="s">
        <v>1691</v>
      </c>
      <c r="C594" t="s">
        <v>1743</v>
      </c>
      <c r="D594" t="s">
        <v>1720</v>
      </c>
      <c r="E594">
        <v>7</v>
      </c>
      <c r="F594" t="str">
        <f t="shared" si="9"/>
        <v>15/2</v>
      </c>
      <c r="G594" s="1" t="s">
        <v>1661</v>
      </c>
      <c r="I594" s="3" t="s">
        <v>63</v>
      </c>
      <c r="J594" s="3" t="s">
        <v>1662</v>
      </c>
      <c r="K594" s="3" t="s">
        <v>30</v>
      </c>
      <c r="M594" s="8" t="s">
        <v>2129</v>
      </c>
      <c r="N594" s="3" t="s">
        <v>63</v>
      </c>
      <c r="O594" s="3" t="s">
        <v>1788</v>
      </c>
      <c r="W594" s="5" t="s">
        <v>2124</v>
      </c>
      <c r="X594" s="3" t="s">
        <v>1757</v>
      </c>
      <c r="Y594" cm="1">
        <f t="array" ref="Y594">SUM(IF(INT($M$2:$M$594)&amp;" "&amp;$K$2:$K$594=INT($M594)&amp;" "&amp;$K594,1,0))</f>
        <v>1</v>
      </c>
      <c r="Z594" cm="1">
        <f t="array" ref="Z594">SUM(IF(ROUND($M$2:$M$594,0)&amp;" "&amp;$K$2:$K$594=ROUND($M594,0)&amp;" "&amp;$K594,1,0))</f>
        <v>1</v>
      </c>
      <c r="AA594" cm="1">
        <f t="array" ref="AA594">SUM(IF($W$2:$W$594=$W594,1,0))</f>
        <v>1</v>
      </c>
    </row>
  </sheetData>
  <autoFilter ref="A1:AA594" xr:uid="{7F7E0026-8260-492A-B4D8-1F54B1CBD15E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ASD512</vt:lpstr>
      <vt:lpstr>Wyart2000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2026-02-26T15:30:09Z</dcterms:created>
  <dcterms:modified xsi:type="dcterms:W3CDTF">2026-07-09T21:55:13Z</dcterms:modified>
</cp:coreProperties>
</file>